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3.xml" ContentType="application/vnd.openxmlformats-officedocument.spreadsheetml.comments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Id="rIdUI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Übersicht" sheetId="1" state="visible" r:id="rId1"/>
    <sheet xmlns:r="http://schemas.openxmlformats.org/officeDocument/2006/relationships" name="Buchungen" sheetId="2" state="visible" r:id="rId2"/>
    <sheet xmlns:r="http://schemas.openxmlformats.org/officeDocument/2006/relationships" name="Monatsübersicht" sheetId="3" state="visible" r:id="rId3"/>
    <sheet xmlns:r="http://schemas.openxmlformats.org/officeDocument/2006/relationships" name="Fixkosten" sheetId="4" state="visible" r:id="rId4"/>
    <sheet xmlns:r="http://schemas.openxmlformats.org/officeDocument/2006/relationships" name="Ausgleich" sheetId="5" state="visible" r:id="rId5"/>
    <sheet xmlns:r="http://schemas.openxmlformats.org/officeDocument/2006/relationships" name="Importregeln" sheetId="6" state="visible" r:id="rId6"/>
    <sheet xmlns:r="http://schemas.openxmlformats.org/officeDocument/2006/relationships" name="Einstellungen" sheetId="7" state="visible" r:id="rId7"/>
    <sheet xmlns:r="http://schemas.openxmlformats.org/officeDocument/2006/relationships" name="Hinweise" sheetId="8" state="visible" r:id="rId8"/>
  </sheets>
  <definedNames>
    <definedName name="_xlnm._FilterDatabase" localSheetId="1" hidden="1">'Buchungen'!$A$5:$AE$5</definedName>
    <definedName name="_xlnm.Print_Titles" localSheetId="1">'Buchungen'!$5:$5</definedName>
    <definedName name="_xlnm.Print_Area" localSheetId="1">'Buchungen'!$A$1:$W$6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yyyy-mm-dd h:mm:ss"/>
    <numFmt numFmtId="165" formatCode="DD.MM.YYYY"/>
    <numFmt numFmtId="166" formatCode="#,##0.00&quot; €&quot;;[RED]\-#,##0.00&quot; €&quot;;\–"/>
    <numFmt numFmtId="167" formatCode="MMM YYYY"/>
    <numFmt numFmtId="168" formatCode="#,##0.00;[RED]-#,##0.00;&quot;&quot;"/>
    <numFmt numFmtId="169" formatCode="MMMM YYYY"/>
    <numFmt numFmtId="170" formatCode="MMM"/>
    <numFmt numFmtId="171" formatCode="#,##0&quot; €&quot;"/>
  </numFmts>
  <fonts count="16">
    <font>
      <name val="Calibri"/>
      <family val="2"/>
      <color theme="1"/>
      <sz val="11"/>
      <scheme val="minor"/>
    </font>
    <font>
      <name val="Arial"/>
      <b val="1"/>
      <color rgb="FF1F3864"/>
      <sz val="16"/>
    </font>
    <font>
      <name val="Arial"/>
      <color rgb="FF595959"/>
      <sz val="9"/>
    </font>
    <font>
      <name val="Arial"/>
      <b val="1"/>
      <color rgb="FFFFFFFF"/>
      <sz val="10"/>
    </font>
    <font>
      <name val="Arial"/>
      <color rgb="FF0000FF"/>
      <sz val="10"/>
    </font>
    <font>
      <name val="Arial"/>
      <b val="1"/>
      <sz val="10"/>
    </font>
    <font>
      <name val="Arial"/>
      <color rgb="FF008000"/>
      <sz val="10"/>
    </font>
    <font>
      <name val="Arial"/>
      <color rgb="FF000000"/>
      <sz val="10"/>
    </font>
    <font>
      <name val="Arial"/>
      <sz val="10"/>
    </font>
    <font>
      <name val="Arial"/>
      <b val="1"/>
      <color rgb="FFFFFFFF"/>
      <sz val="11"/>
    </font>
    <font>
      <name val="Arial"/>
      <b val="1"/>
      <color rgb="FF0000FF"/>
      <sz val="10"/>
    </font>
    <font>
      <name val="Arial"/>
      <b val="1"/>
      <color rgb="FF595959"/>
      <sz val="9"/>
    </font>
    <font>
      <name val="Arial"/>
      <color rgb="FF595959"/>
      <sz val="8"/>
    </font>
    <font>
      <name val="Arial"/>
      <b val="1"/>
      <color rgb="FFFFFFFF"/>
      <sz val="9"/>
    </font>
    <font>
      <name val="Arial"/>
      <b val="1"/>
      <color rgb="FF595959"/>
      <sz val="8"/>
    </font>
    <font>
      <name val="Arial"/>
      <b val="1"/>
      <color rgb="FF008000"/>
      <sz val="10"/>
    </font>
  </fonts>
  <fills count="9">
    <fill>
      <patternFill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F99"/>
      </patternFill>
    </fill>
    <fill>
      <patternFill patternType="solid">
        <fgColor rgb="FF2E75B6"/>
      </patternFill>
    </fill>
    <fill>
      <patternFill patternType="solid">
        <fgColor rgb="FFEEF2F8"/>
      </patternFill>
    </fill>
    <fill>
      <patternFill patternType="solid">
        <fgColor rgb="FFF2F2F2"/>
      </patternFill>
    </fill>
    <fill>
      <patternFill patternType="solid">
        <fgColor rgb="FFF7F7F7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ck">
        <color rgb="FF1F3864"/>
      </left>
    </border>
  </borders>
  <cellStyleXfs count="1">
    <xf numFmtId="0" fontId="0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5" borderId="0" applyAlignment="1" pivotButton="0" quotePrefix="0" xfId="0">
      <alignment horizontal="center" vertical="center"/>
    </xf>
    <xf numFmtId="0" fontId="0" fillId="5" borderId="0" pivotButton="0" quotePrefix="0" xfId="0"/>
    <xf numFmtId="0" fontId="5" fillId="0" borderId="0" pivotButton="0" quotePrefix="0" xfId="0"/>
    <xf numFmtId="167" fontId="10" fillId="4" borderId="0" pivotButton="0" quotePrefix="0" xfId="0"/>
    <xf numFmtId="0" fontId="11" fillId="6" borderId="2" pivotButton="0" quotePrefix="0" xfId="0"/>
    <xf numFmtId="0" fontId="0" fillId="6" borderId="0" pivotButton="0" quotePrefix="0" xfId="0"/>
    <xf numFmtId="166" fontId="1" fillId="6" borderId="2" applyAlignment="1" pivotButton="0" quotePrefix="0" xfId="0">
      <alignment horizontal="left"/>
    </xf>
    <xf numFmtId="1" fontId="1" fillId="6" borderId="2" applyAlignment="1" pivotButton="0" quotePrefix="0" xfId="0">
      <alignment horizontal="left"/>
    </xf>
    <xf numFmtId="0" fontId="12" fillId="6" borderId="2" pivotButton="0" quotePrefix="0" xfId="0"/>
    <xf numFmtId="0" fontId="5" fillId="3" borderId="0" pivotButton="0" quotePrefix="0" xfId="0"/>
    <xf numFmtId="0" fontId="0" fillId="3" borderId="0" pivotButton="0" quotePrefix="0" xfId="0"/>
    <xf numFmtId="0" fontId="3" fillId="2" borderId="0" applyAlignment="1" pivotButton="0" quotePrefix="0" xfId="0">
      <alignment horizontal="left" vertical="center" wrapText="1"/>
    </xf>
    <xf numFmtId="0" fontId="3" fillId="2" borderId="0" applyAlignment="1" pivotButton="0" quotePrefix="0" xfId="0">
      <alignment horizontal="center" vertical="center" wrapText="1"/>
    </xf>
    <xf numFmtId="0" fontId="4" fillId="0" borderId="1" pivotButton="0" quotePrefix="0" xfId="0"/>
    <xf numFmtId="166" fontId="4" fillId="4" borderId="1" pivotButton="0" quotePrefix="0" xfId="0"/>
    <xf numFmtId="165" fontId="4" fillId="4" borderId="1" pivotButton="0" quotePrefix="0" xfId="0"/>
    <xf numFmtId="166" fontId="5" fillId="0" borderId="1" pivotButton="0" quotePrefix="0" xfId="0"/>
    <xf numFmtId="9" fontId="8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65" fontId="8" fillId="0" borderId="1" applyAlignment="1" pivotButton="0" quotePrefix="0" xfId="0">
      <alignment horizontal="center"/>
    </xf>
    <xf numFmtId="166" fontId="8" fillId="0" borderId="1" pivotButton="0" quotePrefix="0" xfId="0"/>
    <xf numFmtId="166" fontId="4" fillId="0" borderId="1" pivotButton="0" quotePrefix="0" xfId="0"/>
    <xf numFmtId="165" fontId="4" fillId="0" borderId="1" pivotButton="0" quotePrefix="0" xfId="0"/>
    <xf numFmtId="0" fontId="5" fillId="7" borderId="1" pivotButton="0" quotePrefix="0" xfId="0"/>
    <xf numFmtId="166" fontId="5" fillId="7" borderId="1" pivotButton="0" quotePrefix="0" xfId="0"/>
    <xf numFmtId="0" fontId="13" fillId="2" borderId="0" applyAlignment="1" pivotButton="0" quotePrefix="0" xfId="0">
      <alignment horizontal="center" vertical="center" wrapText="1"/>
    </xf>
    <xf numFmtId="0" fontId="14" fillId="8" borderId="0" applyAlignment="1" pivotButton="0" quotePrefix="0" xfId="0">
      <alignment horizontal="center" wrapText="1"/>
    </xf>
    <xf numFmtId="165" fontId="0" fillId="0" borderId="0" pivotButton="0" quotePrefix="0" xfId="0"/>
    <xf numFmtId="166" fontId="0" fillId="0" borderId="0" pivotButton="0" quotePrefix="0" xfId="0"/>
    <xf numFmtId="9" fontId="0" fillId="0" borderId="0" applyAlignment="1" pivotButton="0" quotePrefix="0" xfId="0">
      <alignment horizontal="center"/>
    </xf>
    <xf numFmtId="167" fontId="0" fillId="0" borderId="0" pivotButton="0" quotePrefix="0" xfId="0"/>
    <xf numFmtId="168" fontId="12" fillId="0" borderId="0" pivotButton="0" quotePrefix="0" xfId="0"/>
    <xf numFmtId="1" fontId="10" fillId="4" borderId="0" pivotButton="0" quotePrefix="0" xfId="0"/>
    <xf numFmtId="169" fontId="8" fillId="0" borderId="1" pivotButton="0" quotePrefix="0" xfId="0"/>
    <xf numFmtId="0" fontId="8" fillId="0" borderId="1" applyAlignment="1" pivotButton="0" quotePrefix="0" xfId="0">
      <alignment horizontal="center"/>
    </xf>
    <xf numFmtId="1" fontId="5" fillId="7" borderId="1" pivotButton="0" quotePrefix="0" xfId="0"/>
    <xf numFmtId="170" fontId="3" fillId="2" borderId="0" applyAlignment="1" pivotButton="0" quotePrefix="0" xfId="0">
      <alignment horizontal="center"/>
    </xf>
    <xf numFmtId="0" fontId="5" fillId="0" borderId="1" pivotButton="0" quotePrefix="0" xfId="0"/>
    <xf numFmtId="171" fontId="8" fillId="0" borderId="1" pivotButton="0" quotePrefix="0" xfId="0"/>
    <xf numFmtId="171" fontId="5" fillId="0" borderId="1" pivotButton="0" quotePrefix="0" xfId="0"/>
    <xf numFmtId="0" fontId="4" fillId="0" borderId="0" pivotButton="0" quotePrefix="0" xfId="0"/>
    <xf numFmtId="166" fontId="4" fillId="0" borderId="0" pivotButton="0" quotePrefix="0" xfId="0"/>
    <xf numFmtId="0" fontId="5" fillId="7" borderId="0" pivotButton="0" quotePrefix="0" xfId="0"/>
    <xf numFmtId="166" fontId="5" fillId="7" borderId="0" pivotButton="0" quotePrefix="0" xfId="0"/>
    <xf numFmtId="0" fontId="5" fillId="3" borderId="0" applyAlignment="1" pivotButton="0" quotePrefix="0" xfId="0">
      <alignment horizontal="center"/>
    </xf>
    <xf numFmtId="9" fontId="4" fillId="0" borderId="1" applyAlignment="1" pivotButton="0" quotePrefix="0" xfId="0">
      <alignment horizontal="center"/>
    </xf>
    <xf numFmtId="0" fontId="2" fillId="0" borderId="1" pivotButton="0" quotePrefix="0" xfId="0"/>
    <xf numFmtId="167" fontId="15" fillId="0" borderId="0" pivotButton="0" quotePrefix="0" xfId="0"/>
    <xf numFmtId="1" fontId="0" fillId="0" borderId="0" pivotButton="0" quotePrefix="0" xfId="0"/>
    <xf numFmtId="0" fontId="15" fillId="0" borderId="1" pivotButton="0" quotePrefix="0" xfId="0"/>
    <xf numFmtId="9" fontId="4" fillId="0" borderId="0" applyAlignment="1" pivotButton="0" quotePrefix="0" xfId="0">
      <alignment horizontal="center"/>
    </xf>
    <xf numFmtId="0" fontId="7" fillId="0" borderId="0" pivotButton="0" quotePrefix="0" xfId="0"/>
    <xf numFmtId="0" fontId="8" fillId="0" borderId="0" pivotButton="0" quotePrefix="0" xfId="0"/>
    <xf numFmtId="49" fontId="4" fillId="4" borderId="0" pivotButton="0" quotePrefix="0" xfId="0"/>
    <xf numFmtId="165" fontId="4" fillId="4" borderId="0" pivotButton="0" quotePrefix="0" xfId="0"/>
    <xf numFmtId="166" fontId="4" fillId="4" borderId="0" pivotButton="0" quotePrefix="0" xfId="0"/>
    <xf numFmtId="9" fontId="4" fillId="4" borderId="0" pivotButton="0" quotePrefix="0" xfId="0"/>
    <xf numFmtId="0" fontId="8" fillId="0" borderId="0" applyAlignment="1" pivotButton="0" quotePrefix="0" xfId="0">
      <alignment vertical="top" wrapText="1"/>
    </xf>
    <xf numFmtId="49" fontId="4" fillId="4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6" fillId="0" borderId="1" pivotButton="0" quotePrefix="0" xfId="0"/>
  </cellXfs>
  <cellStyles count="1">
    <cellStyle name="Normal" xfId="0" builtinId="0" hidden="0"/>
  </cellStyles>
  <dxfs count="11">
    <dxf>
      <font>
        <name val="Arial"/>
        <b val="1"/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0B2"/>
        </patternFill>
      </fill>
    </dxf>
    <dxf>
      <font>
        <name val="Arial"/>
        <b val="1"/>
        <color rgb="FFC00000"/>
        <sz val="16"/>
      </font>
    </dxf>
    <dxf>
      <fill>
        <patternFill patternType="solid">
          <fgColor rgb="FFFFFF99"/>
        </patternFill>
      </fill>
    </dxf>
    <dxf>
      <fill>
        <patternFill patternType="solid">
          <fgColor rgb="FFFFC7CE"/>
        </patternFill>
      </fill>
    </dxf>
    <dxf>
      <font>
        <name val="Arial"/>
        <color rgb="FF8C8C8C"/>
      </font>
    </dxf>
    <dxf>
      <font>
        <name val="Arial"/>
        <color rgb="FFBFBFBF"/>
      </font>
    </dxf>
    <dxf>
      <font>
        <name val="Arial"/>
        <b val="1"/>
        <color rgb="FFC00000"/>
      </font>
    </dxf>
    <dxf>
      <font>
        <name val="Arial"/>
        <b val="1"/>
        <color rgb="FF006100"/>
      </font>
    </dxf>
    <dxf>
      <font>
        <name val="Arial"/>
        <color rgb="FFD0D0D0"/>
      </font>
    </dxf>
    <dxf>
      <fill>
        <patternFill patternType="solid">
          <fgColor rgb="FFE2EFD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Einnahmen vs. Ausgaben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'Monatsübersicht'!B5</f>
            </strRef>
          </tx>
          <spPr>
            <a:solidFill xmlns:a="http://schemas.openxmlformats.org/drawingml/2006/main">
              <a:srgbClr val="1F3864"/>
            </a:solidFill>
            <a:ln xmlns:a="http://schemas.openxmlformats.org/drawingml/2006/main">
              <a:solidFill>
                <a:srgbClr val="1F3864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'Monatsübersicht'!$B$6:$B$17</f>
            </numRef>
          </val>
        </ser>
        <ser>
          <idx val="1"/>
          <order val="1"/>
          <tx>
            <strRef>
              <f>'Monatsübersicht'!F5</f>
            </strRef>
          </tx>
          <spPr>
            <a:solidFill xmlns:a="http://schemas.openxmlformats.org/drawingml/2006/main">
              <a:srgbClr val="ED7D31"/>
            </a:solidFill>
            <a:ln xmlns:a="http://schemas.openxmlformats.org/drawingml/2006/main">
              <a:solidFill>
                <a:srgbClr val="ED7D31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'Monatsübersicht'!$F$6:$F$17</f>
            </numRef>
          </val>
        </ser>
        <ser>
          <idx val="2"/>
          <order val="2"/>
          <tx>
            <strRef>
              <f>'Monatsübersicht'!D5</f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solidFill>
                <a:srgbClr val="A5A5A5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'Monatsübersicht'!$D$6:$D$17</f>
            </numRef>
          </val>
        </ser>
        <gapWidth val="60"/>
        <axId val="10"/>
        <axId val="100"/>
      </barChart>
      <catAx>
        <axId val="10"/>
        <scaling>
          <orientation val="minMax"/>
        </scaling>
        <delete val="0"/>
        <axPos val="l"/>
        <numFmt formatCode="MMM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numFmt formatCode="#,##0&quot; €&quot;" sourceLinked="0"/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Finanzen</author>
  </authors>
  <commentList>
    <comment ref="B7" authorId="0" shapeId="0">
      <text>
        <t>Standard: aktueller Monat. Für einen anderen Monat einfach ein Datum eintragen (z. B. 1.9.2026). Gilt für Übersicht, Fixkosten (Ist) und Ausgleich.</t>
      </text>
    </comment>
    <comment ref="D14" authorId="0" shapeId="0">
      <text>
        <t>Wird beim ersten Import automatisch eingetragen. Darüber erkennt der Import das Konto und Umbuchungen zwischen deinen Konten.</t>
      </text>
    </comment>
    <comment ref="E14" authorId="0" shapeId="0">
      <text>
        <t>Kontostand aus George mit Vorzeichen (Kreditkarte: offene Umsätze negativ).</t>
      </text>
    </comment>
    <comment ref="G14" authorId="0" shapeId="0">
      <text>
        <t>Überziehungsrahmen bzw. Kartenlimit – jederzeit änderbar.</t>
      </text>
    </comment>
  </commentList>
</comments>
</file>

<file path=xl/comments/comment2.xml><?xml version="1.0" encoding="utf-8"?>
<comments xmlns="http://schemas.openxmlformats.org/spreadsheetml/2006/main">
  <authors>
    <author>Finanzen</author>
  </authors>
  <commentList>
    <comment ref="S5" authorId="0" shapeId="0">
      <text>
        <t>Wie der Import die Buchung eingeordnet hat (Regel, Fixkosten, …).</t>
      </text>
    </comment>
    <comment ref="T5" authorId="0" shapeId="0">
      <text>
        <t>Technischer Schlüssel gegen Doppelimporte – nicht ändern.</t>
      </text>
    </comment>
  </commentList>
</comments>
</file>

<file path=xl/comments/comment3.xml><?xml version="1.0" encoding="utf-8"?>
<comments xmlns="http://schemas.openxmlformats.org/spreadsheetml/2006/main">
  <authors>
    <author>Finanzen</author>
  </authors>
  <commentList>
    <comment ref="I5" authorId="0" shapeId="0">
      <text>
        <t>zählt als variable Ausgabe, kann aufgeteilt werden</t>
      </text>
    </comment>
    <comment ref="I6" authorId="0" shapeId="0">
      <text>
        <t>Posten aus dem Blatt Fixkosten</t>
      </text>
    </comment>
    <comment ref="I7" authorId="0" shapeId="0">
      <text>
        <t>Lohn &amp; andere Eingänge</t>
      </text>
    </comment>
    <comment ref="I8" authorId="0" shapeId="0">
      <text>
        <t>Rückzahlung einer Person (Spalte Person)</t>
      </text>
    </comment>
    <comment ref="I9" authorId="0" shapeId="0">
      <text>
        <t>zwischen eigenen Konten</t>
      </text>
    </comment>
    <comment ref="L9" authorId="0" shapeId="0">
      <text>
        <t>Überweisungen einer bekannten Person zählen nur als Ausgleich, wenn eines dieser Wörter im Verwendungszweck oder in der Zahlungsreferenz steht. Sonst: Art „Einnahme“ mit Person, orange markiert zum Prüfen. Wörter mit ; trennen, * = jede Überweisung ist Ausgleich.</t>
      </text>
    </comment>
    <comment ref="I10" authorId="0" shapeId="0">
      <text>
        <t>Bewegung am Spar-/Bausparkonto</t>
      </text>
    </comment>
    <comment ref="I11" authorId="0" shapeId="0">
      <text>
        <t>wird nirgends gezählt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11</col>
      <colOff>0</colOff>
      <row>2</row>
      <rowOff>0</rowOff>
    </from>
    <ext cx="576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&#220;bersicht'!A4" TargetMode="External" Id="rId1"/><Relationship Type="http://schemas.openxmlformats.org/officeDocument/2006/relationships/hyperlink" Target="#'&#220;bersicht'!D4" TargetMode="External" Id="rId2"/><Relationship Type="http://schemas.openxmlformats.org/officeDocument/2006/relationships/hyperlink" Target="#'&#220;bersicht'!G4" TargetMode="External" Id="rId3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#'Buchungen'!D1" TargetMode="External" Id="rId1"/><Relationship Type="http://schemas.openxmlformats.org/officeDocument/2006/relationships/hyperlink" Target="#'Buchungen'!F1" TargetMode="External" Id="rId2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sheet1.xml><?xml version="1.0" encoding="utf-8"?>
<worksheet xmlns="http://schemas.openxmlformats.org/spreadsheetml/2006/main">
  <sheetPr codeName="shUebersicht">
    <tabColor rgb="001F3864"/>
    <outlinePr summaryBelow="1" summaryRight="1"/>
    <pageSetUpPr fitToPage="1"/>
  </sheetPr>
  <dimension ref="A1:L24"/>
  <sheetViews>
    <sheetView showGridLines="0" tabSelected="1" workbookViewId="0">
      <selection activeCell="A1" sqref="A1"/>
    </sheetView>
  </sheetViews>
  <sheetFormatPr baseColWidth="8" defaultRowHeight="15"/>
  <cols>
    <col width="24" customWidth="1" min="1" max="1"/>
    <col width="14" customWidth="1" min="2" max="2"/>
    <col width="16" customWidth="1" min="3" max="3"/>
    <col width="22" customWidth="1" min="4" max="4"/>
    <col width="15" customWidth="1" min="5" max="5"/>
    <col width="12" customWidth="1" min="6" max="6"/>
    <col width="14" customWidth="1" min="7" max="7"/>
    <col width="15" customWidth="1" min="8" max="8"/>
    <col width="11" customWidth="1" min="9" max="9"/>
    <col width="11" customWidth="1" min="10" max="10"/>
    <col width="13" customWidth="1" min="11" max="11"/>
    <col width="15" customWidth="1" min="12" max="12"/>
  </cols>
  <sheetData>
    <row r="1">
      <c r="A1" s="1" t="inlineStr">
        <is>
          <t>Finanzen – Übersicht</t>
        </is>
      </c>
    </row>
    <row r="2">
      <c r="A2" s="2" t="inlineStr">
        <is>
          <t>Import: Schaltflächen unten oder Menüband „Finanzen“. Blau = Eingabe · Schwarz = Formel · Gelb = ausfüllen.</t>
        </is>
      </c>
    </row>
    <row r="4" ht="26" customHeight="1">
      <c r="A4" s="3" t="inlineStr">
        <is>
          <t>▶  Dateien importieren …</t>
        </is>
      </c>
      <c r="B4" s="4" t="n"/>
      <c r="D4" s="3" t="inlineStr">
        <is>
          <t>▶  Import-Ordner einlesen</t>
        </is>
      </c>
      <c r="E4" s="4" t="n"/>
      <c r="G4" s="3" t="inlineStr">
        <is>
          <t>Import-Ordner öffnen</t>
        </is>
      </c>
      <c r="H4" s="4" t="n"/>
    </row>
    <row r="5">
      <c r="A5" s="2" t="inlineStr">
        <is>
          <t>Letzter Import:</t>
        </is>
      </c>
      <c r="B5" s="2" t="n"/>
    </row>
    <row r="7">
      <c r="A7" s="5" t="inlineStr">
        <is>
          <t>Auswertungsmonat</t>
        </is>
      </c>
      <c r="B7" s="6">
        <f>DATE(YEAR(TODAY()),MONTH(TODAY()),1)</f>
        <v/>
      </c>
      <c r="C7" s="2" t="inlineStr">
        <is>
          <t>← Datum eintragen, um einen anderen Monat auszuwerten</t>
        </is>
      </c>
    </row>
    <row r="9">
      <c r="A9" s="7" t="inlineStr">
        <is>
          <t>Verfügbar gesamt</t>
        </is>
      </c>
      <c r="B9" s="8" t="n"/>
      <c r="C9" s="7" t="inlineStr">
        <is>
          <t>Nettovermögen</t>
        </is>
      </c>
      <c r="D9" s="8" t="n"/>
      <c r="E9" s="7" t="inlineStr">
        <is>
          <t>Ausgaben im Monat</t>
        </is>
      </c>
      <c r="F9" s="8" t="n"/>
      <c r="G9" s="7" t="inlineStr">
        <is>
          <t>Mein Anteil im Monat</t>
        </is>
      </c>
      <c r="H9" s="8" t="n"/>
      <c r="I9" s="7" t="inlineStr">
        <is>
          <t>Offen von Mitzahlern</t>
        </is>
      </c>
      <c r="J9" s="8" t="n"/>
      <c r="K9" s="7" t="inlineStr">
        <is>
          <t>Ohne Kategorie</t>
        </is>
      </c>
      <c r="L9" s="8" t="n"/>
    </row>
    <row r="10" ht="26" customHeight="1">
      <c r="A10" s="9">
        <f>SUMIFS($H$15:$H$22,$J$15:$J$22,"ja")</f>
        <v/>
      </c>
      <c r="B10" s="8" t="n"/>
      <c r="C10" s="9">
        <f>SUM($E$15:$E$22)</f>
        <v/>
      </c>
      <c r="D10" s="8" t="n"/>
      <c r="E10" s="9">
        <f>-SUMIFS(Buchungen!$E:$E,Buchungen!$H:$H,"Ausgabe",Buchungen!$W:$W,Übersicht!$B$7)-SUMIFS(Buchungen!$E:$E,Buchungen!$H:$H,"Fixkosten",Buchungen!$W:$W,Übersicht!$B$7)</f>
        <v/>
      </c>
      <c r="F10" s="8" t="n"/>
      <c r="G10" s="9">
        <f>SUMIFS(Buchungen!$V:$V,Buchungen!$W:$W,Übersicht!$B$7)+Fixkosten!$S$53</f>
        <v/>
      </c>
      <c r="H10" s="8" t="n"/>
      <c r="I10" s="9">
        <f>Ausgleich!$J$16</f>
        <v/>
      </c>
      <c r="J10" s="8" t="n"/>
      <c r="K10" s="10">
        <f>COUNTIFS(Buchungen!$H:$H,"Ausgabe",Buchungen!$G:$G,"",Buchungen!$A:$A,"&lt;&gt;")</f>
        <v/>
      </c>
      <c r="L10" s="8" t="n"/>
    </row>
    <row r="11">
      <c r="A11" s="11" t="inlineStr">
        <is>
          <t>Konten mit „In Summe = ja“</t>
        </is>
      </c>
      <c r="B11" s="8" t="n"/>
      <c r="C11" s="11" t="inlineStr">
        <is>
          <t>Summe aller Kontostände</t>
        </is>
      </c>
      <c r="D11" s="8" t="n"/>
      <c r="E11" s="11" t="inlineStr">
        <is>
          <t>variabel + Fixkosten (Ist)</t>
        </is>
      </c>
      <c r="F11" s="8" t="n"/>
      <c r="G11" s="11" t="inlineStr">
        <is>
          <t>variabel nach Aufteilung + mein Fixkosten-Anteil (Ø)</t>
        </is>
      </c>
      <c r="H11" s="8" t="n"/>
      <c r="I11" s="11" t="inlineStr">
        <is>
          <t>seit „Ausgleich ab“ (Blatt Ausgleich)</t>
        </is>
      </c>
      <c r="J11" s="8" t="n"/>
      <c r="K11" s="11" t="inlineStr">
        <is>
          <t>Buchungen zum Nachtragen</t>
        </is>
      </c>
      <c r="L11" s="8" t="n"/>
    </row>
    <row r="13">
      <c r="A13" s="12" t="inlineStr">
        <is>
          <t>Konten</t>
        </is>
      </c>
      <c r="B13" s="13" t="n"/>
      <c r="C13" s="13" t="n"/>
      <c r="D13" s="13" t="n"/>
      <c r="E13" s="13" t="n"/>
      <c r="F13" s="13" t="n"/>
      <c r="G13" s="13" t="n"/>
      <c r="H13" s="13" t="n"/>
      <c r="I13" s="13" t="n"/>
      <c r="J13" s="13" t="n"/>
      <c r="K13" s="13" t="n"/>
      <c r="L13" s="13" t="n"/>
    </row>
    <row r="14" ht="30" customHeight="1">
      <c r="A14" s="14" t="inlineStr">
        <is>
          <t>Konto</t>
        </is>
      </c>
      <c r="B14" s="15" t="inlineStr">
        <is>
          <t>Typ</t>
        </is>
      </c>
      <c r="C14" s="15" t="inlineStr">
        <is>
          <t>Bank</t>
        </is>
      </c>
      <c r="D14" s="15" t="inlineStr">
        <is>
          <t>IBAN / Karte</t>
        </is>
      </c>
      <c r="E14" s="15" t="inlineStr">
        <is>
          <t>Kontostand</t>
        </is>
      </c>
      <c r="F14" s="15" t="inlineStr">
        <is>
          <t>Stand vom</t>
        </is>
      </c>
      <c r="G14" s="15" t="inlineStr">
        <is>
          <t>Rahmen</t>
        </is>
      </c>
      <c r="H14" s="15" t="inlineStr">
        <is>
          <t>Verfügbar</t>
        </is>
      </c>
      <c r="I14" s="15" t="inlineStr">
        <is>
          <t>Rahmen genutzt</t>
        </is>
      </c>
      <c r="J14" s="15" t="inlineStr">
        <is>
          <t>In Summe?</t>
        </is>
      </c>
      <c r="K14" s="15" t="inlineStr">
        <is>
          <t>Letzte Buchung</t>
        </is>
      </c>
      <c r="L14" s="15" t="inlineStr">
        <is>
          <t>Saldo Buchungen im Monat</t>
        </is>
      </c>
    </row>
    <row r="15">
      <c r="A15" s="16" t="inlineStr">
        <is>
          <t>Girokonto</t>
        </is>
      </c>
      <c r="B15" s="16" t="inlineStr">
        <is>
          <t>Girokonto</t>
        </is>
      </c>
      <c r="C15" s="16" t="n"/>
      <c r="D15" s="16" t="n"/>
      <c r="E15" s="17" t="n"/>
      <c r="F15" s="18" t="n"/>
      <c r="G15" s="17" t="n"/>
      <c r="H15" s="19">
        <f>IF(OR($A15="",$E15=""),"",$E15+N($G15))</f>
        <v/>
      </c>
      <c r="I15" s="20">
        <f>IF(OR($A15="",N($G15)=0,$E15=""),"",MAX(0,-$E15)/$G15)</f>
        <v/>
      </c>
      <c r="J15" s="21" t="inlineStr">
        <is>
          <t>ja</t>
        </is>
      </c>
      <c r="K15" s="22">
        <f>IF($A15="","",IFERROR(1/(1/_xlfn.MAXIFS(Buchungen!$A:$A,Buchungen!$B:$B,$A15)),"–"))</f>
        <v/>
      </c>
      <c r="L15" s="23">
        <f>IF($A15="","",SUMIFS(Buchungen!$E:$E,Buchungen!$B:$B,$A15,Buchungen!$W:$W,Übersicht!$B$7))</f>
        <v/>
      </c>
    </row>
    <row r="16">
      <c r="A16" s="16" t="inlineStr">
        <is>
          <t>Sparkonto</t>
        </is>
      </c>
      <c r="B16" s="16" t="inlineStr">
        <is>
          <t>Sparkonto</t>
        </is>
      </c>
      <c r="C16" s="16" t="n"/>
      <c r="D16" s="16" t="n"/>
      <c r="E16" s="17" t="n"/>
      <c r="F16" s="18" t="n"/>
      <c r="G16" s="24" t="n">
        <v>0</v>
      </c>
      <c r="H16" s="19">
        <f>IF(OR($A16="",$E16=""),"",$E16+N($G16))</f>
        <v/>
      </c>
      <c r="I16" s="20">
        <f>IF(OR($A16="",N($G16)=0,$E16=""),"",MAX(0,-$E16)/$G16)</f>
        <v/>
      </c>
      <c r="J16" s="21" t="inlineStr">
        <is>
          <t>ja</t>
        </is>
      </c>
      <c r="K16" s="22">
        <f>IF($A16="","",IFERROR(1/(1/_xlfn.MAXIFS(Buchungen!$A:$A,Buchungen!$B:$B,$A16)),"–"))</f>
        <v/>
      </c>
      <c r="L16" s="23">
        <f>IF($A16="","",SUMIFS(Buchungen!$E:$E,Buchungen!$B:$B,$A16,Buchungen!$W:$W,Übersicht!$B$7))</f>
        <v/>
      </c>
    </row>
    <row r="17">
      <c r="A17" s="16" t="inlineStr">
        <is>
          <t>Bausparkonto</t>
        </is>
      </c>
      <c r="B17" s="16" t="inlineStr">
        <is>
          <t>Bausparkonto</t>
        </is>
      </c>
      <c r="C17" s="16" t="n"/>
      <c r="D17" s="16" t="n"/>
      <c r="E17" s="17" t="n"/>
      <c r="F17" s="18" t="n"/>
      <c r="G17" s="24" t="n">
        <v>0</v>
      </c>
      <c r="H17" s="19">
        <f>IF(OR($A17="",$E17=""),"",$E17+N($G17))</f>
        <v/>
      </c>
      <c r="I17" s="20">
        <f>IF(OR($A17="",N($G17)=0,$E17=""),"",MAX(0,-$E17)/$G17)</f>
        <v/>
      </c>
      <c r="J17" s="21" t="inlineStr">
        <is>
          <t>nein</t>
        </is>
      </c>
      <c r="K17" s="22">
        <f>IF($A17="","",IFERROR(1/(1/_xlfn.MAXIFS(Buchungen!$A:$A,Buchungen!$B:$B,$A17)),"–"))</f>
        <v/>
      </c>
      <c r="L17" s="23">
        <f>IF($A17="","",SUMIFS(Buchungen!$E:$E,Buchungen!$B:$B,$A17,Buchungen!$W:$W,Übersicht!$B$7))</f>
        <v/>
      </c>
    </row>
    <row r="18">
      <c r="A18" s="16" t="inlineStr">
        <is>
          <t>Kreditkarte</t>
        </is>
      </c>
      <c r="B18" s="16" t="inlineStr">
        <is>
          <t>Kreditkarte</t>
        </is>
      </c>
      <c r="C18" s="16" t="n"/>
      <c r="D18" s="16" t="n"/>
      <c r="E18" s="17" t="n"/>
      <c r="F18" s="18" t="n"/>
      <c r="G18" s="17" t="n"/>
      <c r="H18" s="19">
        <f>IF(OR($A18="",$E18=""),"",$E18+N($G18))</f>
        <v/>
      </c>
      <c r="I18" s="20">
        <f>IF(OR($A18="",N($G18)=0,$E18=""),"",MAX(0,-$E18)/$G18)</f>
        <v/>
      </c>
      <c r="J18" s="21" t="inlineStr">
        <is>
          <t>ja</t>
        </is>
      </c>
      <c r="K18" s="22">
        <f>IF($A18="","",IFERROR(1/(1/_xlfn.MAXIFS(Buchungen!$A:$A,Buchungen!$B:$B,$A18)),"–"))</f>
        <v/>
      </c>
      <c r="L18" s="23">
        <f>IF($A18="","",SUMIFS(Buchungen!$E:$E,Buchungen!$B:$B,$A18,Buchungen!$W:$W,Übersicht!$B$7))</f>
        <v/>
      </c>
    </row>
    <row r="19">
      <c r="A19" s="16" t="n"/>
      <c r="B19" s="16" t="n"/>
      <c r="C19" s="16" t="n"/>
      <c r="D19" s="16" t="n"/>
      <c r="E19" s="24" t="n"/>
      <c r="F19" s="25" t="n"/>
      <c r="G19" s="24" t="n"/>
      <c r="H19" s="19">
        <f>IF(OR($A19="",$E19=""),"",$E19+N($G19))</f>
        <v/>
      </c>
      <c r="I19" s="20">
        <f>IF(OR($A19="",N($G19)=0,$E19=""),"",MAX(0,-$E19)/$G19)</f>
        <v/>
      </c>
      <c r="J19" s="21" t="n"/>
      <c r="K19" s="22">
        <f>IF($A19="","",IFERROR(1/(1/_xlfn.MAXIFS(Buchungen!$A:$A,Buchungen!$B:$B,$A19)),"–"))</f>
        <v/>
      </c>
      <c r="L19" s="23">
        <f>IF($A19="","",SUMIFS(Buchungen!$E:$E,Buchungen!$B:$B,$A19,Buchungen!$W:$W,Übersicht!$B$7))</f>
        <v/>
      </c>
    </row>
    <row r="20">
      <c r="A20" s="16" t="n"/>
      <c r="B20" s="16" t="n"/>
      <c r="C20" s="16" t="n"/>
      <c r="D20" s="16" t="n"/>
      <c r="E20" s="24" t="n"/>
      <c r="F20" s="25" t="n"/>
      <c r="G20" s="24" t="n"/>
      <c r="H20" s="19">
        <f>IF(OR($A20="",$E20=""),"",$E20+N($G20))</f>
        <v/>
      </c>
      <c r="I20" s="20">
        <f>IF(OR($A20="",N($G20)=0,$E20=""),"",MAX(0,-$E20)/$G20)</f>
        <v/>
      </c>
      <c r="J20" s="21" t="n"/>
      <c r="K20" s="22">
        <f>IF($A20="","",IFERROR(1/(1/_xlfn.MAXIFS(Buchungen!$A:$A,Buchungen!$B:$B,$A20)),"–"))</f>
        <v/>
      </c>
      <c r="L20" s="23">
        <f>IF($A20="","",SUMIFS(Buchungen!$E:$E,Buchungen!$B:$B,$A20,Buchungen!$W:$W,Übersicht!$B$7))</f>
        <v/>
      </c>
    </row>
    <row r="21">
      <c r="A21" s="16" t="n"/>
      <c r="B21" s="16" t="n"/>
      <c r="C21" s="16" t="n"/>
      <c r="D21" s="16" t="n"/>
      <c r="E21" s="24" t="n"/>
      <c r="F21" s="25" t="n"/>
      <c r="G21" s="24" t="n"/>
      <c r="H21" s="19">
        <f>IF(OR($A21="",$E21=""),"",$E21+N($G21))</f>
        <v/>
      </c>
      <c r="I21" s="20">
        <f>IF(OR($A21="",N($G21)=0,$E21=""),"",MAX(0,-$E21)/$G21)</f>
        <v/>
      </c>
      <c r="J21" s="21" t="n"/>
      <c r="K21" s="22">
        <f>IF($A21="","",IFERROR(1/(1/_xlfn.MAXIFS(Buchungen!$A:$A,Buchungen!$B:$B,$A21)),"–"))</f>
        <v/>
      </c>
      <c r="L21" s="23">
        <f>IF($A21="","",SUMIFS(Buchungen!$E:$E,Buchungen!$B:$B,$A21,Buchungen!$W:$W,Übersicht!$B$7))</f>
        <v/>
      </c>
    </row>
    <row r="22">
      <c r="A22" s="16" t="n"/>
      <c r="B22" s="16" t="n"/>
      <c r="C22" s="16" t="n"/>
      <c r="D22" s="16" t="n"/>
      <c r="E22" s="24" t="n"/>
      <c r="F22" s="25" t="n"/>
      <c r="G22" s="24" t="n"/>
      <c r="H22" s="19">
        <f>IF(OR($A22="",$E22=""),"",$E22+N($G22))</f>
        <v/>
      </c>
      <c r="I22" s="20">
        <f>IF(OR($A22="",N($G22)=0,$E22=""),"",MAX(0,-$E22)/$G22)</f>
        <v/>
      </c>
      <c r="J22" s="21" t="n"/>
      <c r="K22" s="22">
        <f>IF($A22="","",IFERROR(1/(1/_xlfn.MAXIFS(Buchungen!$A:$A,Buchungen!$B:$B,$A22)),"–"))</f>
        <v/>
      </c>
      <c r="L22" s="23">
        <f>IF($A22="","",SUMIFS(Buchungen!$E:$E,Buchungen!$B:$B,$A22,Buchungen!$W:$W,Übersicht!$B$7))</f>
        <v/>
      </c>
    </row>
    <row r="23">
      <c r="A23" s="26" t="inlineStr">
        <is>
          <t>Summe</t>
        </is>
      </c>
      <c r="B23" s="26" t="n"/>
      <c r="C23" s="26" t="n"/>
      <c r="D23" s="26" t="n"/>
      <c r="E23" s="27">
        <f>SUM(E15:E22)</f>
        <v/>
      </c>
      <c r="F23" s="26" t="n"/>
      <c r="G23" s="27">
        <f>SUM(G15:G22)</f>
        <v/>
      </c>
      <c r="H23" s="27">
        <f>SUM(H15:H22)</f>
        <v/>
      </c>
      <c r="I23" s="26" t="n"/>
      <c r="J23" s="26" t="n"/>
      <c r="K23" s="26" t="n"/>
      <c r="L23" s="27">
        <f>SUM(L15:L22)</f>
        <v/>
      </c>
    </row>
    <row r="24">
      <c r="A24" s="2" t="inlineStr">
        <is>
          <t>Kontostand &amp; „Stand vom“ aus George übernehmen (der Export enthält keinen Saldo). „Saldo Buchungen im Monat“ = Summe der importierten Umsätze des Kontos im Auswertungsmonat.</t>
        </is>
      </c>
    </row>
  </sheetData>
  <mergeCells count="22">
    <mergeCell ref="A11:B11"/>
    <mergeCell ref="G11:H11"/>
    <mergeCell ref="I11:J11"/>
    <mergeCell ref="K9:L9"/>
    <mergeCell ref="K11:L11"/>
    <mergeCell ref="C10:D10"/>
    <mergeCell ref="E10:F10"/>
    <mergeCell ref="G10:H10"/>
    <mergeCell ref="C9:D9"/>
    <mergeCell ref="E9:F9"/>
    <mergeCell ref="C11:D11"/>
    <mergeCell ref="E11:F11"/>
    <mergeCell ref="D4:E4"/>
    <mergeCell ref="A4:B4"/>
    <mergeCell ref="G4:H4"/>
    <mergeCell ref="I10:J10"/>
    <mergeCell ref="A10:B10"/>
    <mergeCell ref="K10:L10"/>
    <mergeCell ref="B5:L5"/>
    <mergeCell ref="A9:B9"/>
    <mergeCell ref="G9:H9"/>
    <mergeCell ref="I9:J9"/>
  </mergeCells>
  <conditionalFormatting sqref="H15:H22">
    <cfRule type="expression" priority="1" dxfId="0">
      <formula>AND($H15&lt;&gt;"",$J15&lt;&gt;"nein",$H15&lt;Einstellungen!$L$7)</formula>
    </cfRule>
  </conditionalFormatting>
  <conditionalFormatting sqref="F15:F22">
    <cfRule type="expression" priority="2" dxfId="1">
      <formula>AND($F15&lt;&gt;"",TODAY()-$F15&gt;30)</formula>
    </cfRule>
  </conditionalFormatting>
  <conditionalFormatting sqref="I15:I22">
    <cfRule type="dataBar" priority="3">
      <dataBar showValue="1">
        <cfvo type="num" val="0"/>
        <cfvo type="num" val="1"/>
        <color rgb="FFF4B183"/>
      </dataBar>
    </cfRule>
  </conditionalFormatting>
  <conditionalFormatting sqref="K10">
    <cfRule type="expression" priority="4" dxfId="2">
      <formula>$K$10&gt;0</formula>
    </cfRule>
  </conditionalFormatting>
  <dataValidations count="2">
    <dataValidation sqref="B15:B22" showDropDown="0" showInputMessage="0" showErrorMessage="0" allowBlank="1" type="list">
      <formula1>Einstellungen!$G$5:$G$9</formula1>
    </dataValidation>
    <dataValidation sqref="J15:J22" showDropDown="0" showInputMessage="0" showErrorMessage="0" allowBlank="1" type="list">
      <formula1>"ja,nein"</formula1>
    </dataValidation>
  </dataValidations>
  <hyperlinks>
    <hyperlink xmlns:r="http://schemas.openxmlformats.org/officeDocument/2006/relationships" ref="A4" r:id="rId1"/>
    <hyperlink xmlns:r="http://schemas.openxmlformats.org/officeDocument/2006/relationships" ref="D4" r:id="rId2"/>
    <hyperlink xmlns:r="http://schemas.openxmlformats.org/officeDocument/2006/relationships" ref="G4" r:id="rId3"/>
  </hyperlink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Buchungen">
    <outlinePr summaryBelow="1" summaryRight="1"/>
    <pageSetUpPr fitToPage="1"/>
  </sheetPr>
  <dimension ref="A1:AE3005"/>
  <sheetViews>
    <sheetView showGridLines="0" tabSelected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1" customWidth="1" min="1" max="1"/>
    <col width="13" customWidth="1" min="2" max="2"/>
    <col width="26" customWidth="1" min="3" max="3"/>
    <col width="44" customWidth="1" min="4" max="4"/>
    <col width="12" customWidth="1" min="5" max="5"/>
    <col width="22" customWidth="1" min="6" max="6"/>
    <col width="15" customWidth="1" min="7" max="7"/>
    <col width="11" customWidth="1" min="8" max="8"/>
    <col width="12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  <col width="22" customWidth="1" min="18" max="18"/>
    <col width="22" customWidth="1" min="19" max="19"/>
    <col hidden="1" outlineLevel="1" width="8" customWidth="1" min="20" max="20"/>
    <col width="12" customWidth="1" min="21" max="21"/>
    <col width="12" customWidth="1" min="22" max="22"/>
    <col width="10" customWidth="1" min="23" max="23"/>
    <col hidden="1" outlineLevel="1" width="9" customWidth="1" min="24" max="24"/>
    <col hidden="1" outlineLevel="1" width="9" customWidth="1" min="25" max="25"/>
    <col hidden="1" outlineLevel="1" width="9" customWidth="1" min="26" max="26"/>
    <col hidden="1" outlineLevel="1" width="9" customWidth="1" min="27" max="27"/>
    <col hidden="1" outlineLevel="1" width="9" customWidth="1" min="28" max="28"/>
    <col hidden="1" outlineLevel="1" width="9" customWidth="1" min="29" max="29"/>
    <col hidden="1" outlineLevel="1" width="9" customWidth="1" min="30" max="30"/>
    <col hidden="1" outlineLevel="1" width="9" customWidth="1" min="31" max="31"/>
  </cols>
  <sheetData>
    <row r="1" ht="24" customHeight="1">
      <c r="A1" s="1" t="inlineStr">
        <is>
          <t>Buchungen (alle Konten)</t>
        </is>
      </c>
      <c r="D1" s="3" t="inlineStr">
        <is>
          <t>▶  Dateien importieren …</t>
        </is>
      </c>
      <c r="E1" s="4" t="n"/>
      <c r="F1" s="3" t="inlineStr">
        <is>
          <t>▶  Import-Ordner einlesen</t>
        </is>
      </c>
      <c r="G1" s="4" t="n"/>
    </row>
    <row r="2">
      <c r="A2" s="2" t="inlineStr">
        <is>
          <t>Wird vom Import befüllt. Ändern darfst du: Bezeichnung, Kategorie, Art, Person, Anteile P1–P8 (z. B. 50 % oder „x“ = gleich aufteilen inkl. dir) und Notiz. Spalten ab „Anteil andere“ sind Formeln.</t>
        </is>
      </c>
    </row>
    <row r="3">
      <c r="A3" s="2" t="inlineStr">
        <is>
          <t>Aufteilen: In P1–P8 je Person einen Prozentsatz eintragen (Rest = dein Anteil) – oder „x“ bei allen, mit denen gleich geteilt wird (x bei 2 Personen = je ⅓). Gilt nur für Art = Ausgabe.</t>
        </is>
      </c>
    </row>
    <row r="5" ht="30" customHeight="1">
      <c r="A5" s="14" t="inlineStr">
        <is>
          <t>Datum</t>
        </is>
      </c>
      <c r="B5" s="15" t="inlineStr">
        <is>
          <t>Konto</t>
        </is>
      </c>
      <c r="C5" s="15" t="inlineStr">
        <is>
          <t>Empfänger / Auftraggeber</t>
        </is>
      </c>
      <c r="D5" s="15" t="inlineStr">
        <is>
          <t>Verwendungszweck / Zahlungsreferenz</t>
        </is>
      </c>
      <c r="E5" s="15" t="inlineStr">
        <is>
          <t>Betrag</t>
        </is>
      </c>
      <c r="F5" s="15" t="inlineStr">
        <is>
          <t>Bezeichnung</t>
        </is>
      </c>
      <c r="G5" s="15" t="inlineStr">
        <is>
          <t>Kategorie</t>
        </is>
      </c>
      <c r="H5" s="15" t="inlineStr">
        <is>
          <t>Art</t>
        </is>
      </c>
      <c r="I5" s="15" t="inlineStr">
        <is>
          <t>Person (Ausgleich)</t>
        </is>
      </c>
      <c r="J5" s="28">
        <f>IF(Einstellungen!$A$5="","P1",Einstellungen!$A$5)</f>
        <v/>
      </c>
      <c r="K5" s="28">
        <f>IF(Einstellungen!$A$6="","P2",Einstellungen!$A$6)</f>
        <v/>
      </c>
      <c r="L5" s="28">
        <f>IF(Einstellungen!$A$7="","P3",Einstellungen!$A$7)</f>
        <v/>
      </c>
      <c r="M5" s="28">
        <f>IF(Einstellungen!$A$8="","P4",Einstellungen!$A$8)</f>
        <v/>
      </c>
      <c r="N5" s="28">
        <f>IF(Einstellungen!$A$9="","P5",Einstellungen!$A$9)</f>
        <v/>
      </c>
      <c r="O5" s="28">
        <f>IF(Einstellungen!$A$10="","P6",Einstellungen!$A$10)</f>
        <v/>
      </c>
      <c r="P5" s="28">
        <f>IF(Einstellungen!$A$11="","P7",Einstellungen!$A$11)</f>
        <v/>
      </c>
      <c r="Q5" s="28">
        <f>IF(Einstellungen!$A$12="","P8",Einstellungen!$A$12)</f>
        <v/>
      </c>
      <c r="R5" s="15" t="inlineStr">
        <is>
          <t>Notiz</t>
        </is>
      </c>
      <c r="S5" s="15" t="inlineStr">
        <is>
          <t>Import-Info</t>
        </is>
      </c>
      <c r="T5" s="15" t="inlineStr">
        <is>
          <t>Schlüssel</t>
        </is>
      </c>
      <c r="U5" s="15" t="inlineStr">
        <is>
          <t>Anteil andere</t>
        </is>
      </c>
      <c r="V5" s="15" t="inlineStr">
        <is>
          <t>Mein Anteil</t>
        </is>
      </c>
      <c r="W5" s="15" t="inlineStr">
        <is>
          <t>Monat</t>
        </is>
      </c>
      <c r="X5" s="29">
        <f>IF(Einstellungen!$A$5="","P1",Einstellungen!$A$5)&amp;" €"</f>
        <v/>
      </c>
      <c r="Y5" s="29">
        <f>IF(Einstellungen!$A$6="","P2",Einstellungen!$A$6)&amp;" €"</f>
        <v/>
      </c>
      <c r="Z5" s="29">
        <f>IF(Einstellungen!$A$7="","P3",Einstellungen!$A$7)&amp;" €"</f>
        <v/>
      </c>
      <c r="AA5" s="29">
        <f>IF(Einstellungen!$A$8="","P4",Einstellungen!$A$8)&amp;" €"</f>
        <v/>
      </c>
      <c r="AB5" s="29">
        <f>IF(Einstellungen!$A$9="","P5",Einstellungen!$A$9)&amp;" €"</f>
        <v/>
      </c>
      <c r="AC5" s="29">
        <f>IF(Einstellungen!$A$10="","P6",Einstellungen!$A$10)&amp;" €"</f>
        <v/>
      </c>
      <c r="AD5" s="29">
        <f>IF(Einstellungen!$A$11="","P7",Einstellungen!$A$11)&amp;" €"</f>
        <v/>
      </c>
      <c r="AE5" s="29">
        <f>IF(Einstellungen!$A$12="","P8",Einstellungen!$A$12)&amp;" €"</f>
        <v/>
      </c>
    </row>
    <row r="6">
      <c r="A6" s="30" t="n"/>
      <c r="E6" s="31" t="n"/>
      <c r="J6" s="32" t="n"/>
      <c r="K6" s="32" t="n"/>
      <c r="L6" s="32" t="n"/>
      <c r="M6" s="32" t="n"/>
      <c r="N6" s="32" t="n"/>
      <c r="O6" s="32" t="n"/>
      <c r="P6" s="32" t="n"/>
      <c r="Q6" s="32" t="n"/>
      <c r="U6" s="31">
        <f>IF($A6="","",SUM(X6:AE6))</f>
        <v/>
      </c>
      <c r="V6" s="31">
        <f>IF($A6="","",IF($H6&lt;&gt;"Ausgabe",0,-$E6-$U6))</f>
        <v/>
      </c>
      <c r="W6" s="33">
        <f>IF($A6="","",DATE(YEAR($A6),MONTH($A6),1))</f>
        <v/>
      </c>
      <c r="X6" s="34">
        <f>IF(OR($A6="",$H6&lt;&gt;"Ausgabe",J6=""),0,IF(J6="x",-$E6/(COUNTIF($J6:$Q6,"x")+1),-$E6*N(J6)))</f>
        <v/>
      </c>
      <c r="Y6" s="34">
        <f>IF(OR($A6="",$H6&lt;&gt;"Ausgabe",K6=""),0,IF(K6="x",-$E6/(COUNTIF($J6:$Q6,"x")+1),-$E6*N(K6)))</f>
        <v/>
      </c>
      <c r="Z6" s="34">
        <f>IF(OR($A6="",$H6&lt;&gt;"Ausgabe",L6=""),0,IF(L6="x",-$E6/(COUNTIF($J6:$Q6,"x")+1),-$E6*N(L6)))</f>
        <v/>
      </c>
      <c r="AA6" s="34">
        <f>IF(OR($A6="",$H6&lt;&gt;"Ausgabe",M6=""),0,IF(M6="x",-$E6/(COUNTIF($J6:$Q6,"x")+1),-$E6*N(M6)))</f>
        <v/>
      </c>
      <c r="AB6" s="34">
        <f>IF(OR($A6="",$H6&lt;&gt;"Ausgabe",N6=""),0,IF(N6="x",-$E6/(COUNTIF($J6:$Q6,"x")+1),-$E6*N(N6)))</f>
        <v/>
      </c>
      <c r="AC6" s="34">
        <f>IF(OR($A6="",$H6&lt;&gt;"Ausgabe",O6=""),0,IF(O6="x",-$E6/(COUNTIF($J6:$Q6,"x")+1),-$E6*N(O6)))</f>
        <v/>
      </c>
      <c r="AD6" s="34">
        <f>IF(OR($A6="",$H6&lt;&gt;"Ausgabe",P6=""),0,IF(P6="x",-$E6/(COUNTIF($J6:$Q6,"x")+1),-$E6*N(P6)))</f>
        <v/>
      </c>
      <c r="AE6" s="34">
        <f>IF(OR($A6="",$H6&lt;&gt;"Ausgabe",Q6=""),0,IF(Q6="x",-$E6/(COUNTIF($J6:$Q6,"x")+1),-$E6*N(Q6)))</f>
        <v/>
      </c>
    </row>
    <row r="7">
      <c r="A7" s="30" t="n"/>
      <c r="E7" s="31" t="n"/>
      <c r="J7" s="32" t="n"/>
      <c r="K7" s="32" t="n"/>
      <c r="L7" s="32" t="n"/>
      <c r="M7" s="32" t="n"/>
      <c r="N7" s="32" t="n"/>
      <c r="O7" s="32" t="n"/>
      <c r="P7" s="32" t="n"/>
      <c r="Q7" s="32" t="n"/>
      <c r="U7" s="31">
        <f>IF($A7="","",SUM(X7:AE7))</f>
        <v/>
      </c>
      <c r="V7" s="31">
        <f>IF($A7="","",IF($H7&lt;&gt;"Ausgabe",0,-$E7-$U7))</f>
        <v/>
      </c>
      <c r="W7" s="33">
        <f>IF($A7="","",DATE(YEAR($A7),MONTH($A7),1))</f>
        <v/>
      </c>
      <c r="X7" s="34">
        <f>IF(OR($A7="",$H7&lt;&gt;"Ausgabe",J7=""),0,IF(J7="x",-$E7/(COUNTIF($J7:$Q7,"x")+1),-$E7*N(J7)))</f>
        <v/>
      </c>
      <c r="Y7" s="34">
        <f>IF(OR($A7="",$H7&lt;&gt;"Ausgabe",K7=""),0,IF(K7="x",-$E7/(COUNTIF($J7:$Q7,"x")+1),-$E7*N(K7)))</f>
        <v/>
      </c>
      <c r="Z7" s="34">
        <f>IF(OR($A7="",$H7&lt;&gt;"Ausgabe",L7=""),0,IF(L7="x",-$E7/(COUNTIF($J7:$Q7,"x")+1),-$E7*N(L7)))</f>
        <v/>
      </c>
      <c r="AA7" s="34">
        <f>IF(OR($A7="",$H7&lt;&gt;"Ausgabe",M7=""),0,IF(M7="x",-$E7/(COUNTIF($J7:$Q7,"x")+1),-$E7*N(M7)))</f>
        <v/>
      </c>
      <c r="AB7" s="34">
        <f>IF(OR($A7="",$H7&lt;&gt;"Ausgabe",N7=""),0,IF(N7="x",-$E7/(COUNTIF($J7:$Q7,"x")+1),-$E7*N(N7)))</f>
        <v/>
      </c>
      <c r="AC7" s="34">
        <f>IF(OR($A7="",$H7&lt;&gt;"Ausgabe",O7=""),0,IF(O7="x",-$E7/(COUNTIF($J7:$Q7,"x")+1),-$E7*N(O7)))</f>
        <v/>
      </c>
      <c r="AD7" s="34">
        <f>IF(OR($A7="",$H7&lt;&gt;"Ausgabe",P7=""),0,IF(P7="x",-$E7/(COUNTIF($J7:$Q7,"x")+1),-$E7*N(P7)))</f>
        <v/>
      </c>
      <c r="AE7" s="34">
        <f>IF(OR($A7="",$H7&lt;&gt;"Ausgabe",Q7=""),0,IF(Q7="x",-$E7/(COUNTIF($J7:$Q7,"x")+1),-$E7*N(Q7)))</f>
        <v/>
      </c>
    </row>
    <row r="8">
      <c r="A8" s="30" t="n"/>
      <c r="E8" s="31" t="n"/>
      <c r="J8" s="32" t="n"/>
      <c r="K8" s="32" t="n"/>
      <c r="L8" s="32" t="n"/>
      <c r="M8" s="32" t="n"/>
      <c r="N8" s="32" t="n"/>
      <c r="O8" s="32" t="n"/>
      <c r="P8" s="32" t="n"/>
      <c r="Q8" s="32" t="n"/>
      <c r="U8" s="31">
        <f>IF($A8="","",SUM(X8:AE8))</f>
        <v/>
      </c>
      <c r="V8" s="31">
        <f>IF($A8="","",IF($H8&lt;&gt;"Ausgabe",0,-$E8-$U8))</f>
        <v/>
      </c>
      <c r="W8" s="33">
        <f>IF($A8="","",DATE(YEAR($A8),MONTH($A8),1))</f>
        <v/>
      </c>
      <c r="X8" s="34">
        <f>IF(OR($A8="",$H8&lt;&gt;"Ausgabe",J8=""),0,IF(J8="x",-$E8/(COUNTIF($J8:$Q8,"x")+1),-$E8*N(J8)))</f>
        <v/>
      </c>
      <c r="Y8" s="34">
        <f>IF(OR($A8="",$H8&lt;&gt;"Ausgabe",K8=""),0,IF(K8="x",-$E8/(COUNTIF($J8:$Q8,"x")+1),-$E8*N(K8)))</f>
        <v/>
      </c>
      <c r="Z8" s="34">
        <f>IF(OR($A8="",$H8&lt;&gt;"Ausgabe",L8=""),0,IF(L8="x",-$E8/(COUNTIF($J8:$Q8,"x")+1),-$E8*N(L8)))</f>
        <v/>
      </c>
      <c r="AA8" s="34">
        <f>IF(OR($A8="",$H8&lt;&gt;"Ausgabe",M8=""),0,IF(M8="x",-$E8/(COUNTIF($J8:$Q8,"x")+1),-$E8*N(M8)))</f>
        <v/>
      </c>
      <c r="AB8" s="34">
        <f>IF(OR($A8="",$H8&lt;&gt;"Ausgabe",N8=""),0,IF(N8="x",-$E8/(COUNTIF($J8:$Q8,"x")+1),-$E8*N(N8)))</f>
        <v/>
      </c>
      <c r="AC8" s="34">
        <f>IF(OR($A8="",$H8&lt;&gt;"Ausgabe",O8=""),0,IF(O8="x",-$E8/(COUNTIF($J8:$Q8,"x")+1),-$E8*N(O8)))</f>
        <v/>
      </c>
      <c r="AD8" s="34">
        <f>IF(OR($A8="",$H8&lt;&gt;"Ausgabe",P8=""),0,IF(P8="x",-$E8/(COUNTIF($J8:$Q8,"x")+1),-$E8*N(P8)))</f>
        <v/>
      </c>
      <c r="AE8" s="34">
        <f>IF(OR($A8="",$H8&lt;&gt;"Ausgabe",Q8=""),0,IF(Q8="x",-$E8/(COUNTIF($J8:$Q8,"x")+1),-$E8*N(Q8)))</f>
        <v/>
      </c>
    </row>
    <row r="9">
      <c r="A9" s="30" t="n"/>
      <c r="E9" s="31" t="n"/>
      <c r="J9" s="32" t="n"/>
      <c r="K9" s="32" t="n"/>
      <c r="L9" s="32" t="n"/>
      <c r="M9" s="32" t="n"/>
      <c r="N9" s="32" t="n"/>
      <c r="O9" s="32" t="n"/>
      <c r="P9" s="32" t="n"/>
      <c r="Q9" s="32" t="n"/>
      <c r="U9" s="31">
        <f>IF($A9="","",SUM(X9:AE9))</f>
        <v/>
      </c>
      <c r="V9" s="31">
        <f>IF($A9="","",IF($H9&lt;&gt;"Ausgabe",0,-$E9-$U9))</f>
        <v/>
      </c>
      <c r="W9" s="33">
        <f>IF($A9="","",DATE(YEAR($A9),MONTH($A9),1))</f>
        <v/>
      </c>
      <c r="X9" s="34">
        <f>IF(OR($A9="",$H9&lt;&gt;"Ausgabe",J9=""),0,IF(J9="x",-$E9/(COUNTIF($J9:$Q9,"x")+1),-$E9*N(J9)))</f>
        <v/>
      </c>
      <c r="Y9" s="34">
        <f>IF(OR($A9="",$H9&lt;&gt;"Ausgabe",K9=""),0,IF(K9="x",-$E9/(COUNTIF($J9:$Q9,"x")+1),-$E9*N(K9)))</f>
        <v/>
      </c>
      <c r="Z9" s="34">
        <f>IF(OR($A9="",$H9&lt;&gt;"Ausgabe",L9=""),0,IF(L9="x",-$E9/(COUNTIF($J9:$Q9,"x")+1),-$E9*N(L9)))</f>
        <v/>
      </c>
      <c r="AA9" s="34">
        <f>IF(OR($A9="",$H9&lt;&gt;"Ausgabe",M9=""),0,IF(M9="x",-$E9/(COUNTIF($J9:$Q9,"x")+1),-$E9*N(M9)))</f>
        <v/>
      </c>
      <c r="AB9" s="34">
        <f>IF(OR($A9="",$H9&lt;&gt;"Ausgabe",N9=""),0,IF(N9="x",-$E9/(COUNTIF($J9:$Q9,"x")+1),-$E9*N(N9)))</f>
        <v/>
      </c>
      <c r="AC9" s="34">
        <f>IF(OR($A9="",$H9&lt;&gt;"Ausgabe",O9=""),0,IF(O9="x",-$E9/(COUNTIF($J9:$Q9,"x")+1),-$E9*N(O9)))</f>
        <v/>
      </c>
      <c r="AD9" s="34">
        <f>IF(OR($A9="",$H9&lt;&gt;"Ausgabe",P9=""),0,IF(P9="x",-$E9/(COUNTIF($J9:$Q9,"x")+1),-$E9*N(P9)))</f>
        <v/>
      </c>
      <c r="AE9" s="34">
        <f>IF(OR($A9="",$H9&lt;&gt;"Ausgabe",Q9=""),0,IF(Q9="x",-$E9/(COUNTIF($J9:$Q9,"x")+1),-$E9*N(Q9)))</f>
        <v/>
      </c>
    </row>
    <row r="10">
      <c r="A10" s="30" t="n"/>
      <c r="E10" s="31" t="n"/>
      <c r="J10" s="32" t="n"/>
      <c r="K10" s="32" t="n"/>
      <c r="L10" s="32" t="n"/>
      <c r="M10" s="32" t="n"/>
      <c r="N10" s="32" t="n"/>
      <c r="O10" s="32" t="n"/>
      <c r="P10" s="32" t="n"/>
      <c r="Q10" s="32" t="n"/>
      <c r="U10" s="31">
        <f>IF($A10="","",SUM(X10:AE10))</f>
        <v/>
      </c>
      <c r="V10" s="31">
        <f>IF($A10="","",IF($H10&lt;&gt;"Ausgabe",0,-$E10-$U10))</f>
        <v/>
      </c>
      <c r="W10" s="33">
        <f>IF($A10="","",DATE(YEAR($A10),MONTH($A10),1))</f>
        <v/>
      </c>
      <c r="X10" s="34">
        <f>IF(OR($A10="",$H10&lt;&gt;"Ausgabe",J10=""),0,IF(J10="x",-$E10/(COUNTIF($J10:$Q10,"x")+1),-$E10*N(J10)))</f>
        <v/>
      </c>
      <c r="Y10" s="34">
        <f>IF(OR($A10="",$H10&lt;&gt;"Ausgabe",K10=""),0,IF(K10="x",-$E10/(COUNTIF($J10:$Q10,"x")+1),-$E10*N(K10)))</f>
        <v/>
      </c>
      <c r="Z10" s="34">
        <f>IF(OR($A10="",$H10&lt;&gt;"Ausgabe",L10=""),0,IF(L10="x",-$E10/(COUNTIF($J10:$Q10,"x")+1),-$E10*N(L10)))</f>
        <v/>
      </c>
      <c r="AA10" s="34">
        <f>IF(OR($A10="",$H10&lt;&gt;"Ausgabe",M10=""),0,IF(M10="x",-$E10/(COUNTIF($J10:$Q10,"x")+1),-$E10*N(M10)))</f>
        <v/>
      </c>
      <c r="AB10" s="34">
        <f>IF(OR($A10="",$H10&lt;&gt;"Ausgabe",N10=""),0,IF(N10="x",-$E10/(COUNTIF($J10:$Q10,"x")+1),-$E10*N(N10)))</f>
        <v/>
      </c>
      <c r="AC10" s="34">
        <f>IF(OR($A10="",$H10&lt;&gt;"Ausgabe",O10=""),0,IF(O10="x",-$E10/(COUNTIF($J10:$Q10,"x")+1),-$E10*N(O10)))</f>
        <v/>
      </c>
      <c r="AD10" s="34">
        <f>IF(OR($A10="",$H10&lt;&gt;"Ausgabe",P10=""),0,IF(P10="x",-$E10/(COUNTIF($J10:$Q10,"x")+1),-$E10*N(P10)))</f>
        <v/>
      </c>
      <c r="AE10" s="34">
        <f>IF(OR($A10="",$H10&lt;&gt;"Ausgabe",Q10=""),0,IF(Q10="x",-$E10/(COUNTIF($J10:$Q10,"x")+1),-$E10*N(Q10)))</f>
        <v/>
      </c>
    </row>
    <row r="11">
      <c r="A11" s="30" t="n"/>
      <c r="E11" s="31" t="n"/>
      <c r="J11" s="32" t="n"/>
      <c r="K11" s="32" t="n"/>
      <c r="L11" s="32" t="n"/>
      <c r="M11" s="32" t="n"/>
      <c r="N11" s="32" t="n"/>
      <c r="O11" s="32" t="n"/>
      <c r="P11" s="32" t="n"/>
      <c r="Q11" s="32" t="n"/>
      <c r="U11" s="31">
        <f>IF($A11="","",SUM(X11:AE11))</f>
        <v/>
      </c>
      <c r="V11" s="31">
        <f>IF($A11="","",IF($H11&lt;&gt;"Ausgabe",0,-$E11-$U11))</f>
        <v/>
      </c>
      <c r="W11" s="33">
        <f>IF($A11="","",DATE(YEAR($A11),MONTH($A11),1))</f>
        <v/>
      </c>
      <c r="X11" s="34">
        <f>IF(OR($A11="",$H11&lt;&gt;"Ausgabe",J11=""),0,IF(J11="x",-$E11/(COUNTIF($J11:$Q11,"x")+1),-$E11*N(J11)))</f>
        <v/>
      </c>
      <c r="Y11" s="34">
        <f>IF(OR($A11="",$H11&lt;&gt;"Ausgabe",K11=""),0,IF(K11="x",-$E11/(COUNTIF($J11:$Q11,"x")+1),-$E11*N(K11)))</f>
        <v/>
      </c>
      <c r="Z11" s="34">
        <f>IF(OR($A11="",$H11&lt;&gt;"Ausgabe",L11=""),0,IF(L11="x",-$E11/(COUNTIF($J11:$Q11,"x")+1),-$E11*N(L11)))</f>
        <v/>
      </c>
      <c r="AA11" s="34">
        <f>IF(OR($A11="",$H11&lt;&gt;"Ausgabe",M11=""),0,IF(M11="x",-$E11/(COUNTIF($J11:$Q11,"x")+1),-$E11*N(M11)))</f>
        <v/>
      </c>
      <c r="AB11" s="34">
        <f>IF(OR($A11="",$H11&lt;&gt;"Ausgabe",N11=""),0,IF(N11="x",-$E11/(COUNTIF($J11:$Q11,"x")+1),-$E11*N(N11)))</f>
        <v/>
      </c>
      <c r="AC11" s="34">
        <f>IF(OR($A11="",$H11&lt;&gt;"Ausgabe",O11=""),0,IF(O11="x",-$E11/(COUNTIF($J11:$Q11,"x")+1),-$E11*N(O11)))</f>
        <v/>
      </c>
      <c r="AD11" s="34">
        <f>IF(OR($A11="",$H11&lt;&gt;"Ausgabe",P11=""),0,IF(P11="x",-$E11/(COUNTIF($J11:$Q11,"x")+1),-$E11*N(P11)))</f>
        <v/>
      </c>
      <c r="AE11" s="34">
        <f>IF(OR($A11="",$H11&lt;&gt;"Ausgabe",Q11=""),0,IF(Q11="x",-$E11/(COUNTIF($J11:$Q11,"x")+1),-$E11*N(Q11)))</f>
        <v/>
      </c>
    </row>
    <row r="12">
      <c r="A12" s="30" t="n"/>
      <c r="E12" s="31" t="n"/>
      <c r="J12" s="32" t="n"/>
      <c r="K12" s="32" t="n"/>
      <c r="L12" s="32" t="n"/>
      <c r="M12" s="32" t="n"/>
      <c r="N12" s="32" t="n"/>
      <c r="O12" s="32" t="n"/>
      <c r="P12" s="32" t="n"/>
      <c r="Q12" s="32" t="n"/>
      <c r="U12" s="31">
        <f>IF($A12="","",SUM(X12:AE12))</f>
        <v/>
      </c>
      <c r="V12" s="31">
        <f>IF($A12="","",IF($H12&lt;&gt;"Ausgabe",0,-$E12-$U12))</f>
        <v/>
      </c>
      <c r="W12" s="33">
        <f>IF($A12="","",DATE(YEAR($A12),MONTH($A12),1))</f>
        <v/>
      </c>
      <c r="X12" s="34">
        <f>IF(OR($A12="",$H12&lt;&gt;"Ausgabe",J12=""),0,IF(J12="x",-$E12/(COUNTIF($J12:$Q12,"x")+1),-$E12*N(J12)))</f>
        <v/>
      </c>
      <c r="Y12" s="34">
        <f>IF(OR($A12="",$H12&lt;&gt;"Ausgabe",K12=""),0,IF(K12="x",-$E12/(COUNTIF($J12:$Q12,"x")+1),-$E12*N(K12)))</f>
        <v/>
      </c>
      <c r="Z12" s="34">
        <f>IF(OR($A12="",$H12&lt;&gt;"Ausgabe",L12=""),0,IF(L12="x",-$E12/(COUNTIF($J12:$Q12,"x")+1),-$E12*N(L12)))</f>
        <v/>
      </c>
      <c r="AA12" s="34">
        <f>IF(OR($A12="",$H12&lt;&gt;"Ausgabe",M12=""),0,IF(M12="x",-$E12/(COUNTIF($J12:$Q12,"x")+1),-$E12*N(M12)))</f>
        <v/>
      </c>
      <c r="AB12" s="34">
        <f>IF(OR($A12="",$H12&lt;&gt;"Ausgabe",N12=""),0,IF(N12="x",-$E12/(COUNTIF($J12:$Q12,"x")+1),-$E12*N(N12)))</f>
        <v/>
      </c>
      <c r="AC12" s="34">
        <f>IF(OR($A12="",$H12&lt;&gt;"Ausgabe",O12=""),0,IF(O12="x",-$E12/(COUNTIF($J12:$Q12,"x")+1),-$E12*N(O12)))</f>
        <v/>
      </c>
      <c r="AD12" s="34">
        <f>IF(OR($A12="",$H12&lt;&gt;"Ausgabe",P12=""),0,IF(P12="x",-$E12/(COUNTIF($J12:$Q12,"x")+1),-$E12*N(P12)))</f>
        <v/>
      </c>
      <c r="AE12" s="34">
        <f>IF(OR($A12="",$H12&lt;&gt;"Ausgabe",Q12=""),0,IF(Q12="x",-$E12/(COUNTIF($J12:$Q12,"x")+1),-$E12*N(Q12)))</f>
        <v/>
      </c>
    </row>
    <row r="13">
      <c r="A13" s="30" t="n"/>
      <c r="E13" s="31" t="n"/>
      <c r="J13" s="32" t="n"/>
      <c r="K13" s="32" t="n"/>
      <c r="L13" s="32" t="n"/>
      <c r="M13" s="32" t="n"/>
      <c r="N13" s="32" t="n"/>
      <c r="O13" s="32" t="n"/>
      <c r="P13" s="32" t="n"/>
      <c r="Q13" s="32" t="n"/>
      <c r="U13" s="31">
        <f>IF($A13="","",SUM(X13:AE13))</f>
        <v/>
      </c>
      <c r="V13" s="31">
        <f>IF($A13="","",IF($H13&lt;&gt;"Ausgabe",0,-$E13-$U13))</f>
        <v/>
      </c>
      <c r="W13" s="33">
        <f>IF($A13="","",DATE(YEAR($A13),MONTH($A13),1))</f>
        <v/>
      </c>
      <c r="X13" s="34">
        <f>IF(OR($A13="",$H13&lt;&gt;"Ausgabe",J13=""),0,IF(J13="x",-$E13/(COUNTIF($J13:$Q13,"x")+1),-$E13*N(J13)))</f>
        <v/>
      </c>
      <c r="Y13" s="34">
        <f>IF(OR($A13="",$H13&lt;&gt;"Ausgabe",K13=""),0,IF(K13="x",-$E13/(COUNTIF($J13:$Q13,"x")+1),-$E13*N(K13)))</f>
        <v/>
      </c>
      <c r="Z13" s="34">
        <f>IF(OR($A13="",$H13&lt;&gt;"Ausgabe",L13=""),0,IF(L13="x",-$E13/(COUNTIF($J13:$Q13,"x")+1),-$E13*N(L13)))</f>
        <v/>
      </c>
      <c r="AA13" s="34">
        <f>IF(OR($A13="",$H13&lt;&gt;"Ausgabe",M13=""),0,IF(M13="x",-$E13/(COUNTIF($J13:$Q13,"x")+1),-$E13*N(M13)))</f>
        <v/>
      </c>
      <c r="AB13" s="34">
        <f>IF(OR($A13="",$H13&lt;&gt;"Ausgabe",N13=""),0,IF(N13="x",-$E13/(COUNTIF($J13:$Q13,"x")+1),-$E13*N(N13)))</f>
        <v/>
      </c>
      <c r="AC13" s="34">
        <f>IF(OR($A13="",$H13&lt;&gt;"Ausgabe",O13=""),0,IF(O13="x",-$E13/(COUNTIF($J13:$Q13,"x")+1),-$E13*N(O13)))</f>
        <v/>
      </c>
      <c r="AD13" s="34">
        <f>IF(OR($A13="",$H13&lt;&gt;"Ausgabe",P13=""),0,IF(P13="x",-$E13/(COUNTIF($J13:$Q13,"x")+1),-$E13*N(P13)))</f>
        <v/>
      </c>
      <c r="AE13" s="34">
        <f>IF(OR($A13="",$H13&lt;&gt;"Ausgabe",Q13=""),0,IF(Q13="x",-$E13/(COUNTIF($J13:$Q13,"x")+1),-$E13*N(Q13)))</f>
        <v/>
      </c>
    </row>
    <row r="14">
      <c r="A14" s="30" t="n"/>
      <c r="E14" s="31" t="n"/>
      <c r="J14" s="32" t="n"/>
      <c r="K14" s="32" t="n"/>
      <c r="L14" s="32" t="n"/>
      <c r="M14" s="32" t="n"/>
      <c r="N14" s="32" t="n"/>
      <c r="O14" s="32" t="n"/>
      <c r="P14" s="32" t="n"/>
      <c r="Q14" s="32" t="n"/>
      <c r="U14" s="31">
        <f>IF($A14="","",SUM(X14:AE14))</f>
        <v/>
      </c>
      <c r="V14" s="31">
        <f>IF($A14="","",IF($H14&lt;&gt;"Ausgabe",0,-$E14-$U14))</f>
        <v/>
      </c>
      <c r="W14" s="33">
        <f>IF($A14="","",DATE(YEAR($A14),MONTH($A14),1))</f>
        <v/>
      </c>
      <c r="X14" s="34">
        <f>IF(OR($A14="",$H14&lt;&gt;"Ausgabe",J14=""),0,IF(J14="x",-$E14/(COUNTIF($J14:$Q14,"x")+1),-$E14*N(J14)))</f>
        <v/>
      </c>
      <c r="Y14" s="34">
        <f>IF(OR($A14="",$H14&lt;&gt;"Ausgabe",K14=""),0,IF(K14="x",-$E14/(COUNTIF($J14:$Q14,"x")+1),-$E14*N(K14)))</f>
        <v/>
      </c>
      <c r="Z14" s="34">
        <f>IF(OR($A14="",$H14&lt;&gt;"Ausgabe",L14=""),0,IF(L14="x",-$E14/(COUNTIF($J14:$Q14,"x")+1),-$E14*N(L14)))</f>
        <v/>
      </c>
      <c r="AA14" s="34">
        <f>IF(OR($A14="",$H14&lt;&gt;"Ausgabe",M14=""),0,IF(M14="x",-$E14/(COUNTIF($J14:$Q14,"x")+1),-$E14*N(M14)))</f>
        <v/>
      </c>
      <c r="AB14" s="34">
        <f>IF(OR($A14="",$H14&lt;&gt;"Ausgabe",N14=""),0,IF(N14="x",-$E14/(COUNTIF($J14:$Q14,"x")+1),-$E14*N(N14)))</f>
        <v/>
      </c>
      <c r="AC14" s="34">
        <f>IF(OR($A14="",$H14&lt;&gt;"Ausgabe",O14=""),0,IF(O14="x",-$E14/(COUNTIF($J14:$Q14,"x")+1),-$E14*N(O14)))</f>
        <v/>
      </c>
      <c r="AD14" s="34">
        <f>IF(OR($A14="",$H14&lt;&gt;"Ausgabe",P14=""),0,IF(P14="x",-$E14/(COUNTIF($J14:$Q14,"x")+1),-$E14*N(P14)))</f>
        <v/>
      </c>
      <c r="AE14" s="34">
        <f>IF(OR($A14="",$H14&lt;&gt;"Ausgabe",Q14=""),0,IF(Q14="x",-$E14/(COUNTIF($J14:$Q14,"x")+1),-$E14*N(Q14)))</f>
        <v/>
      </c>
    </row>
    <row r="15">
      <c r="A15" s="30" t="n"/>
      <c r="E15" s="31" t="n"/>
      <c r="J15" s="32" t="n"/>
      <c r="K15" s="32" t="n"/>
      <c r="L15" s="32" t="n"/>
      <c r="M15" s="32" t="n"/>
      <c r="N15" s="32" t="n"/>
      <c r="O15" s="32" t="n"/>
      <c r="P15" s="32" t="n"/>
      <c r="Q15" s="32" t="n"/>
      <c r="U15" s="31">
        <f>IF($A15="","",SUM(X15:AE15))</f>
        <v/>
      </c>
      <c r="V15" s="31">
        <f>IF($A15="","",IF($H15&lt;&gt;"Ausgabe",0,-$E15-$U15))</f>
        <v/>
      </c>
      <c r="W15" s="33">
        <f>IF($A15="","",DATE(YEAR($A15),MONTH($A15),1))</f>
        <v/>
      </c>
      <c r="X15" s="34">
        <f>IF(OR($A15="",$H15&lt;&gt;"Ausgabe",J15=""),0,IF(J15="x",-$E15/(COUNTIF($J15:$Q15,"x")+1),-$E15*N(J15)))</f>
        <v/>
      </c>
      <c r="Y15" s="34">
        <f>IF(OR($A15="",$H15&lt;&gt;"Ausgabe",K15=""),0,IF(K15="x",-$E15/(COUNTIF($J15:$Q15,"x")+1),-$E15*N(K15)))</f>
        <v/>
      </c>
      <c r="Z15" s="34">
        <f>IF(OR($A15="",$H15&lt;&gt;"Ausgabe",L15=""),0,IF(L15="x",-$E15/(COUNTIF($J15:$Q15,"x")+1),-$E15*N(L15)))</f>
        <v/>
      </c>
      <c r="AA15" s="34">
        <f>IF(OR($A15="",$H15&lt;&gt;"Ausgabe",M15=""),0,IF(M15="x",-$E15/(COUNTIF($J15:$Q15,"x")+1),-$E15*N(M15)))</f>
        <v/>
      </c>
      <c r="AB15" s="34">
        <f>IF(OR($A15="",$H15&lt;&gt;"Ausgabe",N15=""),0,IF(N15="x",-$E15/(COUNTIF($J15:$Q15,"x")+1),-$E15*N(N15)))</f>
        <v/>
      </c>
      <c r="AC15" s="34">
        <f>IF(OR($A15="",$H15&lt;&gt;"Ausgabe",O15=""),0,IF(O15="x",-$E15/(COUNTIF($J15:$Q15,"x")+1),-$E15*N(O15)))</f>
        <v/>
      </c>
      <c r="AD15" s="34">
        <f>IF(OR($A15="",$H15&lt;&gt;"Ausgabe",P15=""),0,IF(P15="x",-$E15/(COUNTIF($J15:$Q15,"x")+1),-$E15*N(P15)))</f>
        <v/>
      </c>
      <c r="AE15" s="34">
        <f>IF(OR($A15="",$H15&lt;&gt;"Ausgabe",Q15=""),0,IF(Q15="x",-$E15/(COUNTIF($J15:$Q15,"x")+1),-$E15*N(Q15)))</f>
        <v/>
      </c>
    </row>
    <row r="16">
      <c r="A16" s="30" t="n"/>
      <c r="E16" s="31" t="n"/>
      <c r="J16" s="32" t="n"/>
      <c r="K16" s="32" t="n"/>
      <c r="L16" s="32" t="n"/>
      <c r="M16" s="32" t="n"/>
      <c r="N16" s="32" t="n"/>
      <c r="O16" s="32" t="n"/>
      <c r="P16" s="32" t="n"/>
      <c r="Q16" s="32" t="n"/>
      <c r="U16" s="31">
        <f>IF($A16="","",SUM(X16:AE16))</f>
        <v/>
      </c>
      <c r="V16" s="31">
        <f>IF($A16="","",IF($H16&lt;&gt;"Ausgabe",0,-$E16-$U16))</f>
        <v/>
      </c>
      <c r="W16" s="33">
        <f>IF($A16="","",DATE(YEAR($A16),MONTH($A16),1))</f>
        <v/>
      </c>
      <c r="X16" s="34">
        <f>IF(OR($A16="",$H16&lt;&gt;"Ausgabe",J16=""),0,IF(J16="x",-$E16/(COUNTIF($J16:$Q16,"x")+1),-$E16*N(J16)))</f>
        <v/>
      </c>
      <c r="Y16" s="34">
        <f>IF(OR($A16="",$H16&lt;&gt;"Ausgabe",K16=""),0,IF(K16="x",-$E16/(COUNTIF($J16:$Q16,"x")+1),-$E16*N(K16)))</f>
        <v/>
      </c>
      <c r="Z16" s="34">
        <f>IF(OR($A16="",$H16&lt;&gt;"Ausgabe",L16=""),0,IF(L16="x",-$E16/(COUNTIF($J16:$Q16,"x")+1),-$E16*N(L16)))</f>
        <v/>
      </c>
      <c r="AA16" s="34">
        <f>IF(OR($A16="",$H16&lt;&gt;"Ausgabe",M16=""),0,IF(M16="x",-$E16/(COUNTIF($J16:$Q16,"x")+1),-$E16*N(M16)))</f>
        <v/>
      </c>
      <c r="AB16" s="34">
        <f>IF(OR($A16="",$H16&lt;&gt;"Ausgabe",N16=""),0,IF(N16="x",-$E16/(COUNTIF($J16:$Q16,"x")+1),-$E16*N(N16)))</f>
        <v/>
      </c>
      <c r="AC16" s="34">
        <f>IF(OR($A16="",$H16&lt;&gt;"Ausgabe",O16=""),0,IF(O16="x",-$E16/(COUNTIF($J16:$Q16,"x")+1),-$E16*N(O16)))</f>
        <v/>
      </c>
      <c r="AD16" s="34">
        <f>IF(OR($A16="",$H16&lt;&gt;"Ausgabe",P16=""),0,IF(P16="x",-$E16/(COUNTIF($J16:$Q16,"x")+1),-$E16*N(P16)))</f>
        <v/>
      </c>
      <c r="AE16" s="34">
        <f>IF(OR($A16="",$H16&lt;&gt;"Ausgabe",Q16=""),0,IF(Q16="x",-$E16/(COUNTIF($J16:$Q16,"x")+1),-$E16*N(Q16)))</f>
        <v/>
      </c>
    </row>
    <row r="17">
      <c r="A17" s="30" t="n"/>
      <c r="E17" s="31" t="n"/>
      <c r="J17" s="32" t="n"/>
      <c r="K17" s="32" t="n"/>
      <c r="L17" s="32" t="n"/>
      <c r="M17" s="32" t="n"/>
      <c r="N17" s="32" t="n"/>
      <c r="O17" s="32" t="n"/>
      <c r="P17" s="32" t="n"/>
      <c r="Q17" s="32" t="n"/>
      <c r="U17" s="31">
        <f>IF($A17="","",SUM(X17:AE17))</f>
        <v/>
      </c>
      <c r="V17" s="31">
        <f>IF($A17="","",IF($H17&lt;&gt;"Ausgabe",0,-$E17-$U17))</f>
        <v/>
      </c>
      <c r="W17" s="33">
        <f>IF($A17="","",DATE(YEAR($A17),MONTH($A17),1))</f>
        <v/>
      </c>
      <c r="X17" s="34">
        <f>IF(OR($A17="",$H17&lt;&gt;"Ausgabe",J17=""),0,IF(J17="x",-$E17/(COUNTIF($J17:$Q17,"x")+1),-$E17*N(J17)))</f>
        <v/>
      </c>
      <c r="Y17" s="34">
        <f>IF(OR($A17="",$H17&lt;&gt;"Ausgabe",K17=""),0,IF(K17="x",-$E17/(COUNTIF($J17:$Q17,"x")+1),-$E17*N(K17)))</f>
        <v/>
      </c>
      <c r="Z17" s="34">
        <f>IF(OR($A17="",$H17&lt;&gt;"Ausgabe",L17=""),0,IF(L17="x",-$E17/(COUNTIF($J17:$Q17,"x")+1),-$E17*N(L17)))</f>
        <v/>
      </c>
      <c r="AA17" s="34">
        <f>IF(OR($A17="",$H17&lt;&gt;"Ausgabe",M17=""),0,IF(M17="x",-$E17/(COUNTIF($J17:$Q17,"x")+1),-$E17*N(M17)))</f>
        <v/>
      </c>
      <c r="AB17" s="34">
        <f>IF(OR($A17="",$H17&lt;&gt;"Ausgabe",N17=""),0,IF(N17="x",-$E17/(COUNTIF($J17:$Q17,"x")+1),-$E17*N(N17)))</f>
        <v/>
      </c>
      <c r="AC17" s="34">
        <f>IF(OR($A17="",$H17&lt;&gt;"Ausgabe",O17=""),0,IF(O17="x",-$E17/(COUNTIF($J17:$Q17,"x")+1),-$E17*N(O17)))</f>
        <v/>
      </c>
      <c r="AD17" s="34">
        <f>IF(OR($A17="",$H17&lt;&gt;"Ausgabe",P17=""),0,IF(P17="x",-$E17/(COUNTIF($J17:$Q17,"x")+1),-$E17*N(P17)))</f>
        <v/>
      </c>
      <c r="AE17" s="34">
        <f>IF(OR($A17="",$H17&lt;&gt;"Ausgabe",Q17=""),0,IF(Q17="x",-$E17/(COUNTIF($J17:$Q17,"x")+1),-$E17*N(Q17)))</f>
        <v/>
      </c>
    </row>
    <row r="18">
      <c r="A18" s="30" t="n"/>
      <c r="E18" s="31" t="n"/>
      <c r="J18" s="32" t="n"/>
      <c r="K18" s="32" t="n"/>
      <c r="L18" s="32" t="n"/>
      <c r="M18" s="32" t="n"/>
      <c r="N18" s="32" t="n"/>
      <c r="O18" s="32" t="n"/>
      <c r="P18" s="32" t="n"/>
      <c r="Q18" s="32" t="n"/>
      <c r="U18" s="31">
        <f>IF($A18="","",SUM(X18:AE18))</f>
        <v/>
      </c>
      <c r="V18" s="31">
        <f>IF($A18="","",IF($H18&lt;&gt;"Ausgabe",0,-$E18-$U18))</f>
        <v/>
      </c>
      <c r="W18" s="33">
        <f>IF($A18="","",DATE(YEAR($A18),MONTH($A18),1))</f>
        <v/>
      </c>
      <c r="X18" s="34">
        <f>IF(OR($A18="",$H18&lt;&gt;"Ausgabe",J18=""),0,IF(J18="x",-$E18/(COUNTIF($J18:$Q18,"x")+1),-$E18*N(J18)))</f>
        <v/>
      </c>
      <c r="Y18" s="34">
        <f>IF(OR($A18="",$H18&lt;&gt;"Ausgabe",K18=""),0,IF(K18="x",-$E18/(COUNTIF($J18:$Q18,"x")+1),-$E18*N(K18)))</f>
        <v/>
      </c>
      <c r="Z18" s="34">
        <f>IF(OR($A18="",$H18&lt;&gt;"Ausgabe",L18=""),0,IF(L18="x",-$E18/(COUNTIF($J18:$Q18,"x")+1),-$E18*N(L18)))</f>
        <v/>
      </c>
      <c r="AA18" s="34">
        <f>IF(OR($A18="",$H18&lt;&gt;"Ausgabe",M18=""),0,IF(M18="x",-$E18/(COUNTIF($J18:$Q18,"x")+1),-$E18*N(M18)))</f>
        <v/>
      </c>
      <c r="AB18" s="34">
        <f>IF(OR($A18="",$H18&lt;&gt;"Ausgabe",N18=""),0,IF(N18="x",-$E18/(COUNTIF($J18:$Q18,"x")+1),-$E18*N(N18)))</f>
        <v/>
      </c>
      <c r="AC18" s="34">
        <f>IF(OR($A18="",$H18&lt;&gt;"Ausgabe",O18=""),0,IF(O18="x",-$E18/(COUNTIF($J18:$Q18,"x")+1),-$E18*N(O18)))</f>
        <v/>
      </c>
      <c r="AD18" s="34">
        <f>IF(OR($A18="",$H18&lt;&gt;"Ausgabe",P18=""),0,IF(P18="x",-$E18/(COUNTIF($J18:$Q18,"x")+1),-$E18*N(P18)))</f>
        <v/>
      </c>
      <c r="AE18" s="34">
        <f>IF(OR($A18="",$H18&lt;&gt;"Ausgabe",Q18=""),0,IF(Q18="x",-$E18/(COUNTIF($J18:$Q18,"x")+1),-$E18*N(Q18)))</f>
        <v/>
      </c>
    </row>
    <row r="19">
      <c r="A19" s="30" t="n"/>
      <c r="E19" s="31" t="n"/>
      <c r="J19" s="32" t="n"/>
      <c r="K19" s="32" t="n"/>
      <c r="L19" s="32" t="n"/>
      <c r="M19" s="32" t="n"/>
      <c r="N19" s="32" t="n"/>
      <c r="O19" s="32" t="n"/>
      <c r="P19" s="32" t="n"/>
      <c r="Q19" s="32" t="n"/>
      <c r="U19" s="31">
        <f>IF($A19="","",SUM(X19:AE19))</f>
        <v/>
      </c>
      <c r="V19" s="31">
        <f>IF($A19="","",IF($H19&lt;&gt;"Ausgabe",0,-$E19-$U19))</f>
        <v/>
      </c>
      <c r="W19" s="33">
        <f>IF($A19="","",DATE(YEAR($A19),MONTH($A19),1))</f>
        <v/>
      </c>
      <c r="X19" s="34">
        <f>IF(OR($A19="",$H19&lt;&gt;"Ausgabe",J19=""),0,IF(J19="x",-$E19/(COUNTIF($J19:$Q19,"x")+1),-$E19*N(J19)))</f>
        <v/>
      </c>
      <c r="Y19" s="34">
        <f>IF(OR($A19="",$H19&lt;&gt;"Ausgabe",K19=""),0,IF(K19="x",-$E19/(COUNTIF($J19:$Q19,"x")+1),-$E19*N(K19)))</f>
        <v/>
      </c>
      <c r="Z19" s="34">
        <f>IF(OR($A19="",$H19&lt;&gt;"Ausgabe",L19=""),0,IF(L19="x",-$E19/(COUNTIF($J19:$Q19,"x")+1),-$E19*N(L19)))</f>
        <v/>
      </c>
      <c r="AA19" s="34">
        <f>IF(OR($A19="",$H19&lt;&gt;"Ausgabe",M19=""),0,IF(M19="x",-$E19/(COUNTIF($J19:$Q19,"x")+1),-$E19*N(M19)))</f>
        <v/>
      </c>
      <c r="AB19" s="34">
        <f>IF(OR($A19="",$H19&lt;&gt;"Ausgabe",N19=""),0,IF(N19="x",-$E19/(COUNTIF($J19:$Q19,"x")+1),-$E19*N(N19)))</f>
        <v/>
      </c>
      <c r="AC19" s="34">
        <f>IF(OR($A19="",$H19&lt;&gt;"Ausgabe",O19=""),0,IF(O19="x",-$E19/(COUNTIF($J19:$Q19,"x")+1),-$E19*N(O19)))</f>
        <v/>
      </c>
      <c r="AD19" s="34">
        <f>IF(OR($A19="",$H19&lt;&gt;"Ausgabe",P19=""),0,IF(P19="x",-$E19/(COUNTIF($J19:$Q19,"x")+1),-$E19*N(P19)))</f>
        <v/>
      </c>
      <c r="AE19" s="34">
        <f>IF(OR($A19="",$H19&lt;&gt;"Ausgabe",Q19=""),0,IF(Q19="x",-$E19/(COUNTIF($J19:$Q19,"x")+1),-$E19*N(Q19)))</f>
        <v/>
      </c>
    </row>
    <row r="20">
      <c r="A20" s="30" t="n"/>
      <c r="E20" s="31" t="n"/>
      <c r="J20" s="32" t="n"/>
      <c r="K20" s="32" t="n"/>
      <c r="L20" s="32" t="n"/>
      <c r="M20" s="32" t="n"/>
      <c r="N20" s="32" t="n"/>
      <c r="O20" s="32" t="n"/>
      <c r="P20" s="32" t="n"/>
      <c r="Q20" s="32" t="n"/>
      <c r="U20" s="31">
        <f>IF($A20="","",SUM(X20:AE20))</f>
        <v/>
      </c>
      <c r="V20" s="31">
        <f>IF($A20="","",IF($H20&lt;&gt;"Ausgabe",0,-$E20-$U20))</f>
        <v/>
      </c>
      <c r="W20" s="33">
        <f>IF($A20="","",DATE(YEAR($A20),MONTH($A20),1))</f>
        <v/>
      </c>
      <c r="X20" s="34">
        <f>IF(OR($A20="",$H20&lt;&gt;"Ausgabe",J20=""),0,IF(J20="x",-$E20/(COUNTIF($J20:$Q20,"x")+1),-$E20*N(J20)))</f>
        <v/>
      </c>
      <c r="Y20" s="34">
        <f>IF(OR($A20="",$H20&lt;&gt;"Ausgabe",K20=""),0,IF(K20="x",-$E20/(COUNTIF($J20:$Q20,"x")+1),-$E20*N(K20)))</f>
        <v/>
      </c>
      <c r="Z20" s="34">
        <f>IF(OR($A20="",$H20&lt;&gt;"Ausgabe",L20=""),0,IF(L20="x",-$E20/(COUNTIF($J20:$Q20,"x")+1),-$E20*N(L20)))</f>
        <v/>
      </c>
      <c r="AA20" s="34">
        <f>IF(OR($A20="",$H20&lt;&gt;"Ausgabe",M20=""),0,IF(M20="x",-$E20/(COUNTIF($J20:$Q20,"x")+1),-$E20*N(M20)))</f>
        <v/>
      </c>
      <c r="AB20" s="34">
        <f>IF(OR($A20="",$H20&lt;&gt;"Ausgabe",N20=""),0,IF(N20="x",-$E20/(COUNTIF($J20:$Q20,"x")+1),-$E20*N(N20)))</f>
        <v/>
      </c>
      <c r="AC20" s="34">
        <f>IF(OR($A20="",$H20&lt;&gt;"Ausgabe",O20=""),0,IF(O20="x",-$E20/(COUNTIF($J20:$Q20,"x")+1),-$E20*N(O20)))</f>
        <v/>
      </c>
      <c r="AD20" s="34">
        <f>IF(OR($A20="",$H20&lt;&gt;"Ausgabe",P20=""),0,IF(P20="x",-$E20/(COUNTIF($J20:$Q20,"x")+1),-$E20*N(P20)))</f>
        <v/>
      </c>
      <c r="AE20" s="34">
        <f>IF(OR($A20="",$H20&lt;&gt;"Ausgabe",Q20=""),0,IF(Q20="x",-$E20/(COUNTIF($J20:$Q20,"x")+1),-$E20*N(Q20)))</f>
        <v/>
      </c>
    </row>
    <row r="21">
      <c r="A21" s="30" t="n"/>
      <c r="E21" s="31" t="n"/>
      <c r="J21" s="32" t="n"/>
      <c r="K21" s="32" t="n"/>
      <c r="L21" s="32" t="n"/>
      <c r="M21" s="32" t="n"/>
      <c r="N21" s="32" t="n"/>
      <c r="O21" s="32" t="n"/>
      <c r="P21" s="32" t="n"/>
      <c r="Q21" s="32" t="n"/>
      <c r="U21" s="31">
        <f>IF($A21="","",SUM(X21:AE21))</f>
        <v/>
      </c>
      <c r="V21" s="31">
        <f>IF($A21="","",IF($H21&lt;&gt;"Ausgabe",0,-$E21-$U21))</f>
        <v/>
      </c>
      <c r="W21" s="33">
        <f>IF($A21="","",DATE(YEAR($A21),MONTH($A21),1))</f>
        <v/>
      </c>
      <c r="X21" s="34">
        <f>IF(OR($A21="",$H21&lt;&gt;"Ausgabe",J21=""),0,IF(J21="x",-$E21/(COUNTIF($J21:$Q21,"x")+1),-$E21*N(J21)))</f>
        <v/>
      </c>
      <c r="Y21" s="34">
        <f>IF(OR($A21="",$H21&lt;&gt;"Ausgabe",K21=""),0,IF(K21="x",-$E21/(COUNTIF($J21:$Q21,"x")+1),-$E21*N(K21)))</f>
        <v/>
      </c>
      <c r="Z21" s="34">
        <f>IF(OR($A21="",$H21&lt;&gt;"Ausgabe",L21=""),0,IF(L21="x",-$E21/(COUNTIF($J21:$Q21,"x")+1),-$E21*N(L21)))</f>
        <v/>
      </c>
      <c r="AA21" s="34">
        <f>IF(OR($A21="",$H21&lt;&gt;"Ausgabe",M21=""),0,IF(M21="x",-$E21/(COUNTIF($J21:$Q21,"x")+1),-$E21*N(M21)))</f>
        <v/>
      </c>
      <c r="AB21" s="34">
        <f>IF(OR($A21="",$H21&lt;&gt;"Ausgabe",N21=""),0,IF(N21="x",-$E21/(COUNTIF($J21:$Q21,"x")+1),-$E21*N(N21)))</f>
        <v/>
      </c>
      <c r="AC21" s="34">
        <f>IF(OR($A21="",$H21&lt;&gt;"Ausgabe",O21=""),0,IF(O21="x",-$E21/(COUNTIF($J21:$Q21,"x")+1),-$E21*N(O21)))</f>
        <v/>
      </c>
      <c r="AD21" s="34">
        <f>IF(OR($A21="",$H21&lt;&gt;"Ausgabe",P21=""),0,IF(P21="x",-$E21/(COUNTIF($J21:$Q21,"x")+1),-$E21*N(P21)))</f>
        <v/>
      </c>
      <c r="AE21" s="34">
        <f>IF(OR($A21="",$H21&lt;&gt;"Ausgabe",Q21=""),0,IF(Q21="x",-$E21/(COUNTIF($J21:$Q21,"x")+1),-$E21*N(Q21)))</f>
        <v/>
      </c>
    </row>
    <row r="22">
      <c r="A22" s="30" t="n"/>
      <c r="E22" s="31" t="n"/>
      <c r="J22" s="32" t="n"/>
      <c r="K22" s="32" t="n"/>
      <c r="L22" s="32" t="n"/>
      <c r="M22" s="32" t="n"/>
      <c r="N22" s="32" t="n"/>
      <c r="O22" s="32" t="n"/>
      <c r="P22" s="32" t="n"/>
      <c r="Q22" s="32" t="n"/>
      <c r="U22" s="31">
        <f>IF($A22="","",SUM(X22:AE22))</f>
        <v/>
      </c>
      <c r="V22" s="31">
        <f>IF($A22="","",IF($H22&lt;&gt;"Ausgabe",0,-$E22-$U22))</f>
        <v/>
      </c>
      <c r="W22" s="33">
        <f>IF($A22="","",DATE(YEAR($A22),MONTH($A22),1))</f>
        <v/>
      </c>
      <c r="X22" s="34">
        <f>IF(OR($A22="",$H22&lt;&gt;"Ausgabe",J22=""),0,IF(J22="x",-$E22/(COUNTIF($J22:$Q22,"x")+1),-$E22*N(J22)))</f>
        <v/>
      </c>
      <c r="Y22" s="34">
        <f>IF(OR($A22="",$H22&lt;&gt;"Ausgabe",K22=""),0,IF(K22="x",-$E22/(COUNTIF($J22:$Q22,"x")+1),-$E22*N(K22)))</f>
        <v/>
      </c>
      <c r="Z22" s="34">
        <f>IF(OR($A22="",$H22&lt;&gt;"Ausgabe",L22=""),0,IF(L22="x",-$E22/(COUNTIF($J22:$Q22,"x")+1),-$E22*N(L22)))</f>
        <v/>
      </c>
      <c r="AA22" s="34">
        <f>IF(OR($A22="",$H22&lt;&gt;"Ausgabe",M22=""),0,IF(M22="x",-$E22/(COUNTIF($J22:$Q22,"x")+1),-$E22*N(M22)))</f>
        <v/>
      </c>
      <c r="AB22" s="34">
        <f>IF(OR($A22="",$H22&lt;&gt;"Ausgabe",N22=""),0,IF(N22="x",-$E22/(COUNTIF($J22:$Q22,"x")+1),-$E22*N(N22)))</f>
        <v/>
      </c>
      <c r="AC22" s="34">
        <f>IF(OR($A22="",$H22&lt;&gt;"Ausgabe",O22=""),0,IF(O22="x",-$E22/(COUNTIF($J22:$Q22,"x")+1),-$E22*N(O22)))</f>
        <v/>
      </c>
      <c r="AD22" s="34">
        <f>IF(OR($A22="",$H22&lt;&gt;"Ausgabe",P22=""),0,IF(P22="x",-$E22/(COUNTIF($J22:$Q22,"x")+1),-$E22*N(P22)))</f>
        <v/>
      </c>
      <c r="AE22" s="34">
        <f>IF(OR($A22="",$H22&lt;&gt;"Ausgabe",Q22=""),0,IF(Q22="x",-$E22/(COUNTIF($J22:$Q22,"x")+1),-$E22*N(Q22)))</f>
        <v/>
      </c>
    </row>
    <row r="23">
      <c r="A23" s="30" t="n"/>
      <c r="E23" s="31" t="n"/>
      <c r="J23" s="32" t="n"/>
      <c r="K23" s="32" t="n"/>
      <c r="L23" s="32" t="n"/>
      <c r="M23" s="32" t="n"/>
      <c r="N23" s="32" t="n"/>
      <c r="O23" s="32" t="n"/>
      <c r="P23" s="32" t="n"/>
      <c r="Q23" s="32" t="n"/>
      <c r="U23" s="31">
        <f>IF($A23="","",SUM(X23:AE23))</f>
        <v/>
      </c>
      <c r="V23" s="31">
        <f>IF($A23="","",IF($H23&lt;&gt;"Ausgabe",0,-$E23-$U23))</f>
        <v/>
      </c>
      <c r="W23" s="33">
        <f>IF($A23="","",DATE(YEAR($A23),MONTH($A23),1))</f>
        <v/>
      </c>
      <c r="X23" s="34">
        <f>IF(OR($A23="",$H23&lt;&gt;"Ausgabe",J23=""),0,IF(J23="x",-$E23/(COUNTIF($J23:$Q23,"x")+1),-$E23*N(J23)))</f>
        <v/>
      </c>
      <c r="Y23" s="34">
        <f>IF(OR($A23="",$H23&lt;&gt;"Ausgabe",K23=""),0,IF(K23="x",-$E23/(COUNTIF($J23:$Q23,"x")+1),-$E23*N(K23)))</f>
        <v/>
      </c>
      <c r="Z23" s="34">
        <f>IF(OR($A23="",$H23&lt;&gt;"Ausgabe",L23=""),0,IF(L23="x",-$E23/(COUNTIF($J23:$Q23,"x")+1),-$E23*N(L23)))</f>
        <v/>
      </c>
      <c r="AA23" s="34">
        <f>IF(OR($A23="",$H23&lt;&gt;"Ausgabe",M23=""),0,IF(M23="x",-$E23/(COUNTIF($J23:$Q23,"x")+1),-$E23*N(M23)))</f>
        <v/>
      </c>
      <c r="AB23" s="34">
        <f>IF(OR($A23="",$H23&lt;&gt;"Ausgabe",N23=""),0,IF(N23="x",-$E23/(COUNTIF($J23:$Q23,"x")+1),-$E23*N(N23)))</f>
        <v/>
      </c>
      <c r="AC23" s="34">
        <f>IF(OR($A23="",$H23&lt;&gt;"Ausgabe",O23=""),0,IF(O23="x",-$E23/(COUNTIF($J23:$Q23,"x")+1),-$E23*N(O23)))</f>
        <v/>
      </c>
      <c r="AD23" s="34">
        <f>IF(OR($A23="",$H23&lt;&gt;"Ausgabe",P23=""),0,IF(P23="x",-$E23/(COUNTIF($J23:$Q23,"x")+1),-$E23*N(P23)))</f>
        <v/>
      </c>
      <c r="AE23" s="34">
        <f>IF(OR($A23="",$H23&lt;&gt;"Ausgabe",Q23=""),0,IF(Q23="x",-$E23/(COUNTIF($J23:$Q23,"x")+1),-$E23*N(Q23)))</f>
        <v/>
      </c>
    </row>
    <row r="24">
      <c r="A24" s="30" t="n"/>
      <c r="E24" s="31" t="n"/>
      <c r="J24" s="32" t="n"/>
      <c r="K24" s="32" t="n"/>
      <c r="L24" s="32" t="n"/>
      <c r="M24" s="32" t="n"/>
      <c r="N24" s="32" t="n"/>
      <c r="O24" s="32" t="n"/>
      <c r="P24" s="32" t="n"/>
      <c r="Q24" s="32" t="n"/>
      <c r="U24" s="31">
        <f>IF($A24="","",SUM(X24:AE24))</f>
        <v/>
      </c>
      <c r="V24" s="31">
        <f>IF($A24="","",IF($H24&lt;&gt;"Ausgabe",0,-$E24-$U24))</f>
        <v/>
      </c>
      <c r="W24" s="33">
        <f>IF($A24="","",DATE(YEAR($A24),MONTH($A24),1))</f>
        <v/>
      </c>
      <c r="X24" s="34">
        <f>IF(OR($A24="",$H24&lt;&gt;"Ausgabe",J24=""),0,IF(J24="x",-$E24/(COUNTIF($J24:$Q24,"x")+1),-$E24*N(J24)))</f>
        <v/>
      </c>
      <c r="Y24" s="34">
        <f>IF(OR($A24="",$H24&lt;&gt;"Ausgabe",K24=""),0,IF(K24="x",-$E24/(COUNTIF($J24:$Q24,"x")+1),-$E24*N(K24)))</f>
        <v/>
      </c>
      <c r="Z24" s="34">
        <f>IF(OR($A24="",$H24&lt;&gt;"Ausgabe",L24=""),0,IF(L24="x",-$E24/(COUNTIF($J24:$Q24,"x")+1),-$E24*N(L24)))</f>
        <v/>
      </c>
      <c r="AA24" s="34">
        <f>IF(OR($A24="",$H24&lt;&gt;"Ausgabe",M24=""),0,IF(M24="x",-$E24/(COUNTIF($J24:$Q24,"x")+1),-$E24*N(M24)))</f>
        <v/>
      </c>
      <c r="AB24" s="34">
        <f>IF(OR($A24="",$H24&lt;&gt;"Ausgabe",N24=""),0,IF(N24="x",-$E24/(COUNTIF($J24:$Q24,"x")+1),-$E24*N(N24)))</f>
        <v/>
      </c>
      <c r="AC24" s="34">
        <f>IF(OR($A24="",$H24&lt;&gt;"Ausgabe",O24=""),0,IF(O24="x",-$E24/(COUNTIF($J24:$Q24,"x")+1),-$E24*N(O24)))</f>
        <v/>
      </c>
      <c r="AD24" s="34">
        <f>IF(OR($A24="",$H24&lt;&gt;"Ausgabe",P24=""),0,IF(P24="x",-$E24/(COUNTIF($J24:$Q24,"x")+1),-$E24*N(P24)))</f>
        <v/>
      </c>
      <c r="AE24" s="34">
        <f>IF(OR($A24="",$H24&lt;&gt;"Ausgabe",Q24=""),0,IF(Q24="x",-$E24/(COUNTIF($J24:$Q24,"x")+1),-$E24*N(Q24)))</f>
        <v/>
      </c>
    </row>
    <row r="25">
      <c r="A25" s="30" t="n"/>
      <c r="E25" s="31" t="n"/>
      <c r="J25" s="32" t="n"/>
      <c r="K25" s="32" t="n"/>
      <c r="L25" s="32" t="n"/>
      <c r="M25" s="32" t="n"/>
      <c r="N25" s="32" t="n"/>
      <c r="O25" s="32" t="n"/>
      <c r="P25" s="32" t="n"/>
      <c r="Q25" s="32" t="n"/>
      <c r="U25" s="31">
        <f>IF($A25="","",SUM(X25:AE25))</f>
        <v/>
      </c>
      <c r="V25" s="31">
        <f>IF($A25="","",IF($H25&lt;&gt;"Ausgabe",0,-$E25-$U25))</f>
        <v/>
      </c>
      <c r="W25" s="33">
        <f>IF($A25="","",DATE(YEAR($A25),MONTH($A25),1))</f>
        <v/>
      </c>
      <c r="X25" s="34">
        <f>IF(OR($A25="",$H25&lt;&gt;"Ausgabe",J25=""),0,IF(J25="x",-$E25/(COUNTIF($J25:$Q25,"x")+1),-$E25*N(J25)))</f>
        <v/>
      </c>
      <c r="Y25" s="34">
        <f>IF(OR($A25="",$H25&lt;&gt;"Ausgabe",K25=""),0,IF(K25="x",-$E25/(COUNTIF($J25:$Q25,"x")+1),-$E25*N(K25)))</f>
        <v/>
      </c>
      <c r="Z25" s="34">
        <f>IF(OR($A25="",$H25&lt;&gt;"Ausgabe",L25=""),0,IF(L25="x",-$E25/(COUNTIF($J25:$Q25,"x")+1),-$E25*N(L25)))</f>
        <v/>
      </c>
      <c r="AA25" s="34">
        <f>IF(OR($A25="",$H25&lt;&gt;"Ausgabe",M25=""),0,IF(M25="x",-$E25/(COUNTIF($J25:$Q25,"x")+1),-$E25*N(M25)))</f>
        <v/>
      </c>
      <c r="AB25" s="34">
        <f>IF(OR($A25="",$H25&lt;&gt;"Ausgabe",N25=""),0,IF(N25="x",-$E25/(COUNTIF($J25:$Q25,"x")+1),-$E25*N(N25)))</f>
        <v/>
      </c>
      <c r="AC25" s="34">
        <f>IF(OR($A25="",$H25&lt;&gt;"Ausgabe",O25=""),0,IF(O25="x",-$E25/(COUNTIF($J25:$Q25,"x")+1),-$E25*N(O25)))</f>
        <v/>
      </c>
      <c r="AD25" s="34">
        <f>IF(OR($A25="",$H25&lt;&gt;"Ausgabe",P25=""),0,IF(P25="x",-$E25/(COUNTIF($J25:$Q25,"x")+1),-$E25*N(P25)))</f>
        <v/>
      </c>
      <c r="AE25" s="34">
        <f>IF(OR($A25="",$H25&lt;&gt;"Ausgabe",Q25=""),0,IF(Q25="x",-$E25/(COUNTIF($J25:$Q25,"x")+1),-$E25*N(Q25)))</f>
        <v/>
      </c>
    </row>
    <row r="26">
      <c r="A26" s="30" t="n"/>
      <c r="E26" s="31" t="n"/>
      <c r="J26" s="32" t="n"/>
      <c r="K26" s="32" t="n"/>
      <c r="L26" s="32" t="n"/>
      <c r="M26" s="32" t="n"/>
      <c r="N26" s="32" t="n"/>
      <c r="O26" s="32" t="n"/>
      <c r="P26" s="32" t="n"/>
      <c r="Q26" s="32" t="n"/>
      <c r="U26" s="31">
        <f>IF($A26="","",SUM(X26:AE26))</f>
        <v/>
      </c>
      <c r="V26" s="31">
        <f>IF($A26="","",IF($H26&lt;&gt;"Ausgabe",0,-$E26-$U26))</f>
        <v/>
      </c>
      <c r="W26" s="33">
        <f>IF($A26="","",DATE(YEAR($A26),MONTH($A26),1))</f>
        <v/>
      </c>
      <c r="X26" s="34">
        <f>IF(OR($A26="",$H26&lt;&gt;"Ausgabe",J26=""),0,IF(J26="x",-$E26/(COUNTIF($J26:$Q26,"x")+1),-$E26*N(J26)))</f>
        <v/>
      </c>
      <c r="Y26" s="34">
        <f>IF(OR($A26="",$H26&lt;&gt;"Ausgabe",K26=""),0,IF(K26="x",-$E26/(COUNTIF($J26:$Q26,"x")+1),-$E26*N(K26)))</f>
        <v/>
      </c>
      <c r="Z26" s="34">
        <f>IF(OR($A26="",$H26&lt;&gt;"Ausgabe",L26=""),0,IF(L26="x",-$E26/(COUNTIF($J26:$Q26,"x")+1),-$E26*N(L26)))</f>
        <v/>
      </c>
      <c r="AA26" s="34">
        <f>IF(OR($A26="",$H26&lt;&gt;"Ausgabe",M26=""),0,IF(M26="x",-$E26/(COUNTIF($J26:$Q26,"x")+1),-$E26*N(M26)))</f>
        <v/>
      </c>
      <c r="AB26" s="34">
        <f>IF(OR($A26="",$H26&lt;&gt;"Ausgabe",N26=""),0,IF(N26="x",-$E26/(COUNTIF($J26:$Q26,"x")+1),-$E26*N(N26)))</f>
        <v/>
      </c>
      <c r="AC26" s="34">
        <f>IF(OR($A26="",$H26&lt;&gt;"Ausgabe",O26=""),0,IF(O26="x",-$E26/(COUNTIF($J26:$Q26,"x")+1),-$E26*N(O26)))</f>
        <v/>
      </c>
      <c r="AD26" s="34">
        <f>IF(OR($A26="",$H26&lt;&gt;"Ausgabe",P26=""),0,IF(P26="x",-$E26/(COUNTIF($J26:$Q26,"x")+1),-$E26*N(P26)))</f>
        <v/>
      </c>
      <c r="AE26" s="34">
        <f>IF(OR($A26="",$H26&lt;&gt;"Ausgabe",Q26=""),0,IF(Q26="x",-$E26/(COUNTIF($J26:$Q26,"x")+1),-$E26*N(Q26)))</f>
        <v/>
      </c>
    </row>
    <row r="27">
      <c r="A27" s="30" t="n"/>
      <c r="E27" s="31" t="n"/>
      <c r="J27" s="32" t="n"/>
      <c r="K27" s="32" t="n"/>
      <c r="L27" s="32" t="n"/>
      <c r="M27" s="32" t="n"/>
      <c r="N27" s="32" t="n"/>
      <c r="O27" s="32" t="n"/>
      <c r="P27" s="32" t="n"/>
      <c r="Q27" s="32" t="n"/>
      <c r="U27" s="31">
        <f>IF($A27="","",SUM(X27:AE27))</f>
        <v/>
      </c>
      <c r="V27" s="31">
        <f>IF($A27="","",IF($H27&lt;&gt;"Ausgabe",0,-$E27-$U27))</f>
        <v/>
      </c>
      <c r="W27" s="33">
        <f>IF($A27="","",DATE(YEAR($A27),MONTH($A27),1))</f>
        <v/>
      </c>
      <c r="X27" s="34">
        <f>IF(OR($A27="",$H27&lt;&gt;"Ausgabe",J27=""),0,IF(J27="x",-$E27/(COUNTIF($J27:$Q27,"x")+1),-$E27*N(J27)))</f>
        <v/>
      </c>
      <c r="Y27" s="34">
        <f>IF(OR($A27="",$H27&lt;&gt;"Ausgabe",K27=""),0,IF(K27="x",-$E27/(COUNTIF($J27:$Q27,"x")+1),-$E27*N(K27)))</f>
        <v/>
      </c>
      <c r="Z27" s="34">
        <f>IF(OR($A27="",$H27&lt;&gt;"Ausgabe",L27=""),0,IF(L27="x",-$E27/(COUNTIF($J27:$Q27,"x")+1),-$E27*N(L27)))</f>
        <v/>
      </c>
      <c r="AA27" s="34">
        <f>IF(OR($A27="",$H27&lt;&gt;"Ausgabe",M27=""),0,IF(M27="x",-$E27/(COUNTIF($J27:$Q27,"x")+1),-$E27*N(M27)))</f>
        <v/>
      </c>
      <c r="AB27" s="34">
        <f>IF(OR($A27="",$H27&lt;&gt;"Ausgabe",N27=""),0,IF(N27="x",-$E27/(COUNTIF($J27:$Q27,"x")+1),-$E27*N(N27)))</f>
        <v/>
      </c>
      <c r="AC27" s="34">
        <f>IF(OR($A27="",$H27&lt;&gt;"Ausgabe",O27=""),0,IF(O27="x",-$E27/(COUNTIF($J27:$Q27,"x")+1),-$E27*N(O27)))</f>
        <v/>
      </c>
      <c r="AD27" s="34">
        <f>IF(OR($A27="",$H27&lt;&gt;"Ausgabe",P27=""),0,IF(P27="x",-$E27/(COUNTIF($J27:$Q27,"x")+1),-$E27*N(P27)))</f>
        <v/>
      </c>
      <c r="AE27" s="34">
        <f>IF(OR($A27="",$H27&lt;&gt;"Ausgabe",Q27=""),0,IF(Q27="x",-$E27/(COUNTIF($J27:$Q27,"x")+1),-$E27*N(Q27)))</f>
        <v/>
      </c>
    </row>
    <row r="28">
      <c r="A28" s="30" t="n"/>
      <c r="E28" s="31" t="n"/>
      <c r="J28" s="32" t="n"/>
      <c r="K28" s="32" t="n"/>
      <c r="L28" s="32" t="n"/>
      <c r="M28" s="32" t="n"/>
      <c r="N28" s="32" t="n"/>
      <c r="O28" s="32" t="n"/>
      <c r="P28" s="32" t="n"/>
      <c r="Q28" s="32" t="n"/>
      <c r="U28" s="31">
        <f>IF($A28="","",SUM(X28:AE28))</f>
        <v/>
      </c>
      <c r="V28" s="31">
        <f>IF($A28="","",IF($H28&lt;&gt;"Ausgabe",0,-$E28-$U28))</f>
        <v/>
      </c>
      <c r="W28" s="33">
        <f>IF($A28="","",DATE(YEAR($A28),MONTH($A28),1))</f>
        <v/>
      </c>
      <c r="X28" s="34">
        <f>IF(OR($A28="",$H28&lt;&gt;"Ausgabe",J28=""),0,IF(J28="x",-$E28/(COUNTIF($J28:$Q28,"x")+1),-$E28*N(J28)))</f>
        <v/>
      </c>
      <c r="Y28" s="34">
        <f>IF(OR($A28="",$H28&lt;&gt;"Ausgabe",K28=""),0,IF(K28="x",-$E28/(COUNTIF($J28:$Q28,"x")+1),-$E28*N(K28)))</f>
        <v/>
      </c>
      <c r="Z28" s="34">
        <f>IF(OR($A28="",$H28&lt;&gt;"Ausgabe",L28=""),0,IF(L28="x",-$E28/(COUNTIF($J28:$Q28,"x")+1),-$E28*N(L28)))</f>
        <v/>
      </c>
      <c r="AA28" s="34">
        <f>IF(OR($A28="",$H28&lt;&gt;"Ausgabe",M28=""),0,IF(M28="x",-$E28/(COUNTIF($J28:$Q28,"x")+1),-$E28*N(M28)))</f>
        <v/>
      </c>
      <c r="AB28" s="34">
        <f>IF(OR($A28="",$H28&lt;&gt;"Ausgabe",N28=""),0,IF(N28="x",-$E28/(COUNTIF($J28:$Q28,"x")+1),-$E28*N(N28)))</f>
        <v/>
      </c>
      <c r="AC28" s="34">
        <f>IF(OR($A28="",$H28&lt;&gt;"Ausgabe",O28=""),0,IF(O28="x",-$E28/(COUNTIF($J28:$Q28,"x")+1),-$E28*N(O28)))</f>
        <v/>
      </c>
      <c r="AD28" s="34">
        <f>IF(OR($A28="",$H28&lt;&gt;"Ausgabe",P28=""),0,IF(P28="x",-$E28/(COUNTIF($J28:$Q28,"x")+1),-$E28*N(P28)))</f>
        <v/>
      </c>
      <c r="AE28" s="34">
        <f>IF(OR($A28="",$H28&lt;&gt;"Ausgabe",Q28=""),0,IF(Q28="x",-$E28/(COUNTIF($J28:$Q28,"x")+1),-$E28*N(Q28)))</f>
        <v/>
      </c>
    </row>
    <row r="29">
      <c r="A29" s="30" t="n"/>
      <c r="E29" s="31" t="n"/>
      <c r="J29" s="32" t="n"/>
      <c r="K29" s="32" t="n"/>
      <c r="L29" s="32" t="n"/>
      <c r="M29" s="32" t="n"/>
      <c r="N29" s="32" t="n"/>
      <c r="O29" s="32" t="n"/>
      <c r="P29" s="32" t="n"/>
      <c r="Q29" s="32" t="n"/>
      <c r="U29" s="31">
        <f>IF($A29="","",SUM(X29:AE29))</f>
        <v/>
      </c>
      <c r="V29" s="31">
        <f>IF($A29="","",IF($H29&lt;&gt;"Ausgabe",0,-$E29-$U29))</f>
        <v/>
      </c>
      <c r="W29" s="33">
        <f>IF($A29="","",DATE(YEAR($A29),MONTH($A29),1))</f>
        <v/>
      </c>
      <c r="X29" s="34">
        <f>IF(OR($A29="",$H29&lt;&gt;"Ausgabe",J29=""),0,IF(J29="x",-$E29/(COUNTIF($J29:$Q29,"x")+1),-$E29*N(J29)))</f>
        <v/>
      </c>
      <c r="Y29" s="34">
        <f>IF(OR($A29="",$H29&lt;&gt;"Ausgabe",K29=""),0,IF(K29="x",-$E29/(COUNTIF($J29:$Q29,"x")+1),-$E29*N(K29)))</f>
        <v/>
      </c>
      <c r="Z29" s="34">
        <f>IF(OR($A29="",$H29&lt;&gt;"Ausgabe",L29=""),0,IF(L29="x",-$E29/(COUNTIF($J29:$Q29,"x")+1),-$E29*N(L29)))</f>
        <v/>
      </c>
      <c r="AA29" s="34">
        <f>IF(OR($A29="",$H29&lt;&gt;"Ausgabe",M29=""),0,IF(M29="x",-$E29/(COUNTIF($J29:$Q29,"x")+1),-$E29*N(M29)))</f>
        <v/>
      </c>
      <c r="AB29" s="34">
        <f>IF(OR($A29="",$H29&lt;&gt;"Ausgabe",N29=""),0,IF(N29="x",-$E29/(COUNTIF($J29:$Q29,"x")+1),-$E29*N(N29)))</f>
        <v/>
      </c>
      <c r="AC29" s="34">
        <f>IF(OR($A29="",$H29&lt;&gt;"Ausgabe",O29=""),0,IF(O29="x",-$E29/(COUNTIF($J29:$Q29,"x")+1),-$E29*N(O29)))</f>
        <v/>
      </c>
      <c r="AD29" s="34">
        <f>IF(OR($A29="",$H29&lt;&gt;"Ausgabe",P29=""),0,IF(P29="x",-$E29/(COUNTIF($J29:$Q29,"x")+1),-$E29*N(P29)))</f>
        <v/>
      </c>
      <c r="AE29" s="34">
        <f>IF(OR($A29="",$H29&lt;&gt;"Ausgabe",Q29=""),0,IF(Q29="x",-$E29/(COUNTIF($J29:$Q29,"x")+1),-$E29*N(Q29)))</f>
        <v/>
      </c>
    </row>
    <row r="30">
      <c r="A30" s="30" t="n"/>
      <c r="E30" s="31" t="n"/>
      <c r="J30" s="32" t="n"/>
      <c r="K30" s="32" t="n"/>
      <c r="L30" s="32" t="n"/>
      <c r="M30" s="32" t="n"/>
      <c r="N30" s="32" t="n"/>
      <c r="O30" s="32" t="n"/>
      <c r="P30" s="32" t="n"/>
      <c r="Q30" s="32" t="n"/>
      <c r="U30" s="31">
        <f>IF($A30="","",SUM(X30:AE30))</f>
        <v/>
      </c>
      <c r="V30" s="31">
        <f>IF($A30="","",IF($H30&lt;&gt;"Ausgabe",0,-$E30-$U30))</f>
        <v/>
      </c>
      <c r="W30" s="33">
        <f>IF($A30="","",DATE(YEAR($A30),MONTH($A30),1))</f>
        <v/>
      </c>
      <c r="X30" s="34">
        <f>IF(OR($A30="",$H30&lt;&gt;"Ausgabe",J30=""),0,IF(J30="x",-$E30/(COUNTIF($J30:$Q30,"x")+1),-$E30*N(J30)))</f>
        <v/>
      </c>
      <c r="Y30" s="34">
        <f>IF(OR($A30="",$H30&lt;&gt;"Ausgabe",K30=""),0,IF(K30="x",-$E30/(COUNTIF($J30:$Q30,"x")+1),-$E30*N(K30)))</f>
        <v/>
      </c>
      <c r="Z30" s="34">
        <f>IF(OR($A30="",$H30&lt;&gt;"Ausgabe",L30=""),0,IF(L30="x",-$E30/(COUNTIF($J30:$Q30,"x")+1),-$E30*N(L30)))</f>
        <v/>
      </c>
      <c r="AA30" s="34">
        <f>IF(OR($A30="",$H30&lt;&gt;"Ausgabe",M30=""),0,IF(M30="x",-$E30/(COUNTIF($J30:$Q30,"x")+1),-$E30*N(M30)))</f>
        <v/>
      </c>
      <c r="AB30" s="34">
        <f>IF(OR($A30="",$H30&lt;&gt;"Ausgabe",N30=""),0,IF(N30="x",-$E30/(COUNTIF($J30:$Q30,"x")+1),-$E30*N(N30)))</f>
        <v/>
      </c>
      <c r="AC30" s="34">
        <f>IF(OR($A30="",$H30&lt;&gt;"Ausgabe",O30=""),0,IF(O30="x",-$E30/(COUNTIF($J30:$Q30,"x")+1),-$E30*N(O30)))</f>
        <v/>
      </c>
      <c r="AD30" s="34">
        <f>IF(OR($A30="",$H30&lt;&gt;"Ausgabe",P30=""),0,IF(P30="x",-$E30/(COUNTIF($J30:$Q30,"x")+1),-$E30*N(P30)))</f>
        <v/>
      </c>
      <c r="AE30" s="34">
        <f>IF(OR($A30="",$H30&lt;&gt;"Ausgabe",Q30=""),0,IF(Q30="x",-$E30/(COUNTIF($J30:$Q30,"x")+1),-$E30*N(Q30)))</f>
        <v/>
      </c>
    </row>
    <row r="31">
      <c r="A31" s="30" t="n"/>
      <c r="E31" s="31" t="n"/>
      <c r="J31" s="32" t="n"/>
      <c r="K31" s="32" t="n"/>
      <c r="L31" s="32" t="n"/>
      <c r="M31" s="32" t="n"/>
      <c r="N31" s="32" t="n"/>
      <c r="O31" s="32" t="n"/>
      <c r="P31" s="32" t="n"/>
      <c r="Q31" s="32" t="n"/>
      <c r="U31" s="31">
        <f>IF($A31="","",SUM(X31:AE31))</f>
        <v/>
      </c>
      <c r="V31" s="31">
        <f>IF($A31="","",IF($H31&lt;&gt;"Ausgabe",0,-$E31-$U31))</f>
        <v/>
      </c>
      <c r="W31" s="33">
        <f>IF($A31="","",DATE(YEAR($A31),MONTH($A31),1))</f>
        <v/>
      </c>
      <c r="X31" s="34">
        <f>IF(OR($A31="",$H31&lt;&gt;"Ausgabe",J31=""),0,IF(J31="x",-$E31/(COUNTIF($J31:$Q31,"x")+1),-$E31*N(J31)))</f>
        <v/>
      </c>
      <c r="Y31" s="34">
        <f>IF(OR($A31="",$H31&lt;&gt;"Ausgabe",K31=""),0,IF(K31="x",-$E31/(COUNTIF($J31:$Q31,"x")+1),-$E31*N(K31)))</f>
        <v/>
      </c>
      <c r="Z31" s="34">
        <f>IF(OR($A31="",$H31&lt;&gt;"Ausgabe",L31=""),0,IF(L31="x",-$E31/(COUNTIF($J31:$Q31,"x")+1),-$E31*N(L31)))</f>
        <v/>
      </c>
      <c r="AA31" s="34">
        <f>IF(OR($A31="",$H31&lt;&gt;"Ausgabe",M31=""),0,IF(M31="x",-$E31/(COUNTIF($J31:$Q31,"x")+1),-$E31*N(M31)))</f>
        <v/>
      </c>
      <c r="AB31" s="34">
        <f>IF(OR($A31="",$H31&lt;&gt;"Ausgabe",N31=""),0,IF(N31="x",-$E31/(COUNTIF($J31:$Q31,"x")+1),-$E31*N(N31)))</f>
        <v/>
      </c>
      <c r="AC31" s="34">
        <f>IF(OR($A31="",$H31&lt;&gt;"Ausgabe",O31=""),0,IF(O31="x",-$E31/(COUNTIF($J31:$Q31,"x")+1),-$E31*N(O31)))</f>
        <v/>
      </c>
      <c r="AD31" s="34">
        <f>IF(OR($A31="",$H31&lt;&gt;"Ausgabe",P31=""),0,IF(P31="x",-$E31/(COUNTIF($J31:$Q31,"x")+1),-$E31*N(P31)))</f>
        <v/>
      </c>
      <c r="AE31" s="34">
        <f>IF(OR($A31="",$H31&lt;&gt;"Ausgabe",Q31=""),0,IF(Q31="x",-$E31/(COUNTIF($J31:$Q31,"x")+1),-$E31*N(Q31)))</f>
        <v/>
      </c>
    </row>
    <row r="32">
      <c r="A32" s="30" t="n"/>
      <c r="E32" s="31" t="n"/>
      <c r="J32" s="32" t="n"/>
      <c r="K32" s="32" t="n"/>
      <c r="L32" s="32" t="n"/>
      <c r="M32" s="32" t="n"/>
      <c r="N32" s="32" t="n"/>
      <c r="O32" s="32" t="n"/>
      <c r="P32" s="32" t="n"/>
      <c r="Q32" s="32" t="n"/>
      <c r="U32" s="31">
        <f>IF($A32="","",SUM(X32:AE32))</f>
        <v/>
      </c>
      <c r="V32" s="31">
        <f>IF($A32="","",IF($H32&lt;&gt;"Ausgabe",0,-$E32-$U32))</f>
        <v/>
      </c>
      <c r="W32" s="33">
        <f>IF($A32="","",DATE(YEAR($A32),MONTH($A32),1))</f>
        <v/>
      </c>
      <c r="X32" s="34">
        <f>IF(OR($A32="",$H32&lt;&gt;"Ausgabe",J32=""),0,IF(J32="x",-$E32/(COUNTIF($J32:$Q32,"x")+1),-$E32*N(J32)))</f>
        <v/>
      </c>
      <c r="Y32" s="34">
        <f>IF(OR($A32="",$H32&lt;&gt;"Ausgabe",K32=""),0,IF(K32="x",-$E32/(COUNTIF($J32:$Q32,"x")+1),-$E32*N(K32)))</f>
        <v/>
      </c>
      <c r="Z32" s="34">
        <f>IF(OR($A32="",$H32&lt;&gt;"Ausgabe",L32=""),0,IF(L32="x",-$E32/(COUNTIF($J32:$Q32,"x")+1),-$E32*N(L32)))</f>
        <v/>
      </c>
      <c r="AA32" s="34">
        <f>IF(OR($A32="",$H32&lt;&gt;"Ausgabe",M32=""),0,IF(M32="x",-$E32/(COUNTIF($J32:$Q32,"x")+1),-$E32*N(M32)))</f>
        <v/>
      </c>
      <c r="AB32" s="34">
        <f>IF(OR($A32="",$H32&lt;&gt;"Ausgabe",N32=""),0,IF(N32="x",-$E32/(COUNTIF($J32:$Q32,"x")+1),-$E32*N(N32)))</f>
        <v/>
      </c>
      <c r="AC32" s="34">
        <f>IF(OR($A32="",$H32&lt;&gt;"Ausgabe",O32=""),0,IF(O32="x",-$E32/(COUNTIF($J32:$Q32,"x")+1),-$E32*N(O32)))</f>
        <v/>
      </c>
      <c r="AD32" s="34">
        <f>IF(OR($A32="",$H32&lt;&gt;"Ausgabe",P32=""),0,IF(P32="x",-$E32/(COUNTIF($J32:$Q32,"x")+1),-$E32*N(P32)))</f>
        <v/>
      </c>
      <c r="AE32" s="34">
        <f>IF(OR($A32="",$H32&lt;&gt;"Ausgabe",Q32=""),0,IF(Q32="x",-$E32/(COUNTIF($J32:$Q32,"x")+1),-$E32*N(Q32)))</f>
        <v/>
      </c>
    </row>
    <row r="33">
      <c r="A33" s="30" t="n"/>
      <c r="E33" s="31" t="n"/>
      <c r="J33" s="32" t="n"/>
      <c r="K33" s="32" t="n"/>
      <c r="L33" s="32" t="n"/>
      <c r="M33" s="32" t="n"/>
      <c r="N33" s="32" t="n"/>
      <c r="O33" s="32" t="n"/>
      <c r="P33" s="32" t="n"/>
      <c r="Q33" s="32" t="n"/>
      <c r="U33" s="31">
        <f>IF($A33="","",SUM(X33:AE33))</f>
        <v/>
      </c>
      <c r="V33" s="31">
        <f>IF($A33="","",IF($H33&lt;&gt;"Ausgabe",0,-$E33-$U33))</f>
        <v/>
      </c>
      <c r="W33" s="33">
        <f>IF($A33="","",DATE(YEAR($A33),MONTH($A33),1))</f>
        <v/>
      </c>
      <c r="X33" s="34">
        <f>IF(OR($A33="",$H33&lt;&gt;"Ausgabe",J33=""),0,IF(J33="x",-$E33/(COUNTIF($J33:$Q33,"x")+1),-$E33*N(J33)))</f>
        <v/>
      </c>
      <c r="Y33" s="34">
        <f>IF(OR($A33="",$H33&lt;&gt;"Ausgabe",K33=""),0,IF(K33="x",-$E33/(COUNTIF($J33:$Q33,"x")+1),-$E33*N(K33)))</f>
        <v/>
      </c>
      <c r="Z33" s="34">
        <f>IF(OR($A33="",$H33&lt;&gt;"Ausgabe",L33=""),0,IF(L33="x",-$E33/(COUNTIF($J33:$Q33,"x")+1),-$E33*N(L33)))</f>
        <v/>
      </c>
      <c r="AA33" s="34">
        <f>IF(OR($A33="",$H33&lt;&gt;"Ausgabe",M33=""),0,IF(M33="x",-$E33/(COUNTIF($J33:$Q33,"x")+1),-$E33*N(M33)))</f>
        <v/>
      </c>
      <c r="AB33" s="34">
        <f>IF(OR($A33="",$H33&lt;&gt;"Ausgabe",N33=""),0,IF(N33="x",-$E33/(COUNTIF($J33:$Q33,"x")+1),-$E33*N(N33)))</f>
        <v/>
      </c>
      <c r="AC33" s="34">
        <f>IF(OR($A33="",$H33&lt;&gt;"Ausgabe",O33=""),0,IF(O33="x",-$E33/(COUNTIF($J33:$Q33,"x")+1),-$E33*N(O33)))</f>
        <v/>
      </c>
      <c r="AD33" s="34">
        <f>IF(OR($A33="",$H33&lt;&gt;"Ausgabe",P33=""),0,IF(P33="x",-$E33/(COUNTIF($J33:$Q33,"x")+1),-$E33*N(P33)))</f>
        <v/>
      </c>
      <c r="AE33" s="34">
        <f>IF(OR($A33="",$H33&lt;&gt;"Ausgabe",Q33=""),0,IF(Q33="x",-$E33/(COUNTIF($J33:$Q33,"x")+1),-$E33*N(Q33)))</f>
        <v/>
      </c>
    </row>
    <row r="34">
      <c r="A34" s="30" t="n"/>
      <c r="E34" s="31" t="n"/>
      <c r="J34" s="32" t="n"/>
      <c r="K34" s="32" t="n"/>
      <c r="L34" s="32" t="n"/>
      <c r="M34" s="32" t="n"/>
      <c r="N34" s="32" t="n"/>
      <c r="O34" s="32" t="n"/>
      <c r="P34" s="32" t="n"/>
      <c r="Q34" s="32" t="n"/>
      <c r="U34" s="31">
        <f>IF($A34="","",SUM(X34:AE34))</f>
        <v/>
      </c>
      <c r="V34" s="31">
        <f>IF($A34="","",IF($H34&lt;&gt;"Ausgabe",0,-$E34-$U34))</f>
        <v/>
      </c>
      <c r="W34" s="33">
        <f>IF($A34="","",DATE(YEAR($A34),MONTH($A34),1))</f>
        <v/>
      </c>
      <c r="X34" s="34">
        <f>IF(OR($A34="",$H34&lt;&gt;"Ausgabe",J34=""),0,IF(J34="x",-$E34/(COUNTIF($J34:$Q34,"x")+1),-$E34*N(J34)))</f>
        <v/>
      </c>
      <c r="Y34" s="34">
        <f>IF(OR($A34="",$H34&lt;&gt;"Ausgabe",K34=""),0,IF(K34="x",-$E34/(COUNTIF($J34:$Q34,"x")+1),-$E34*N(K34)))</f>
        <v/>
      </c>
      <c r="Z34" s="34">
        <f>IF(OR($A34="",$H34&lt;&gt;"Ausgabe",L34=""),0,IF(L34="x",-$E34/(COUNTIF($J34:$Q34,"x")+1),-$E34*N(L34)))</f>
        <v/>
      </c>
      <c r="AA34" s="34">
        <f>IF(OR($A34="",$H34&lt;&gt;"Ausgabe",M34=""),0,IF(M34="x",-$E34/(COUNTIF($J34:$Q34,"x")+1),-$E34*N(M34)))</f>
        <v/>
      </c>
      <c r="AB34" s="34">
        <f>IF(OR($A34="",$H34&lt;&gt;"Ausgabe",N34=""),0,IF(N34="x",-$E34/(COUNTIF($J34:$Q34,"x")+1),-$E34*N(N34)))</f>
        <v/>
      </c>
      <c r="AC34" s="34">
        <f>IF(OR($A34="",$H34&lt;&gt;"Ausgabe",O34=""),0,IF(O34="x",-$E34/(COUNTIF($J34:$Q34,"x")+1),-$E34*N(O34)))</f>
        <v/>
      </c>
      <c r="AD34" s="34">
        <f>IF(OR($A34="",$H34&lt;&gt;"Ausgabe",P34=""),0,IF(P34="x",-$E34/(COUNTIF($J34:$Q34,"x")+1),-$E34*N(P34)))</f>
        <v/>
      </c>
      <c r="AE34" s="34">
        <f>IF(OR($A34="",$H34&lt;&gt;"Ausgabe",Q34=""),0,IF(Q34="x",-$E34/(COUNTIF($J34:$Q34,"x")+1),-$E34*N(Q34)))</f>
        <v/>
      </c>
    </row>
    <row r="35">
      <c r="A35" s="30" t="n"/>
      <c r="E35" s="31" t="n"/>
      <c r="J35" s="32" t="n"/>
      <c r="K35" s="32" t="n"/>
      <c r="L35" s="32" t="n"/>
      <c r="M35" s="32" t="n"/>
      <c r="N35" s="32" t="n"/>
      <c r="O35" s="32" t="n"/>
      <c r="P35" s="32" t="n"/>
      <c r="Q35" s="32" t="n"/>
      <c r="U35" s="31">
        <f>IF($A35="","",SUM(X35:AE35))</f>
        <v/>
      </c>
      <c r="V35" s="31">
        <f>IF($A35="","",IF($H35&lt;&gt;"Ausgabe",0,-$E35-$U35))</f>
        <v/>
      </c>
      <c r="W35" s="33">
        <f>IF($A35="","",DATE(YEAR($A35),MONTH($A35),1))</f>
        <v/>
      </c>
      <c r="X35" s="34">
        <f>IF(OR($A35="",$H35&lt;&gt;"Ausgabe",J35=""),0,IF(J35="x",-$E35/(COUNTIF($J35:$Q35,"x")+1),-$E35*N(J35)))</f>
        <v/>
      </c>
      <c r="Y35" s="34">
        <f>IF(OR($A35="",$H35&lt;&gt;"Ausgabe",K35=""),0,IF(K35="x",-$E35/(COUNTIF($J35:$Q35,"x")+1),-$E35*N(K35)))</f>
        <v/>
      </c>
      <c r="Z35" s="34">
        <f>IF(OR($A35="",$H35&lt;&gt;"Ausgabe",L35=""),0,IF(L35="x",-$E35/(COUNTIF($J35:$Q35,"x")+1),-$E35*N(L35)))</f>
        <v/>
      </c>
      <c r="AA35" s="34">
        <f>IF(OR($A35="",$H35&lt;&gt;"Ausgabe",M35=""),0,IF(M35="x",-$E35/(COUNTIF($J35:$Q35,"x")+1),-$E35*N(M35)))</f>
        <v/>
      </c>
      <c r="AB35" s="34">
        <f>IF(OR($A35="",$H35&lt;&gt;"Ausgabe",N35=""),0,IF(N35="x",-$E35/(COUNTIF($J35:$Q35,"x")+1),-$E35*N(N35)))</f>
        <v/>
      </c>
      <c r="AC35" s="34">
        <f>IF(OR($A35="",$H35&lt;&gt;"Ausgabe",O35=""),0,IF(O35="x",-$E35/(COUNTIF($J35:$Q35,"x")+1),-$E35*N(O35)))</f>
        <v/>
      </c>
      <c r="AD35" s="34">
        <f>IF(OR($A35="",$H35&lt;&gt;"Ausgabe",P35=""),0,IF(P35="x",-$E35/(COUNTIF($J35:$Q35,"x")+1),-$E35*N(P35)))</f>
        <v/>
      </c>
      <c r="AE35" s="34">
        <f>IF(OR($A35="",$H35&lt;&gt;"Ausgabe",Q35=""),0,IF(Q35="x",-$E35/(COUNTIF($J35:$Q35,"x")+1),-$E35*N(Q35)))</f>
        <v/>
      </c>
    </row>
    <row r="36">
      <c r="A36" s="30" t="n"/>
      <c r="E36" s="31" t="n"/>
      <c r="J36" s="32" t="n"/>
      <c r="K36" s="32" t="n"/>
      <c r="L36" s="32" t="n"/>
      <c r="M36" s="32" t="n"/>
      <c r="N36" s="32" t="n"/>
      <c r="O36" s="32" t="n"/>
      <c r="P36" s="32" t="n"/>
      <c r="Q36" s="32" t="n"/>
      <c r="U36" s="31">
        <f>IF($A36="","",SUM(X36:AE36))</f>
        <v/>
      </c>
      <c r="V36" s="31">
        <f>IF($A36="","",IF($H36&lt;&gt;"Ausgabe",0,-$E36-$U36))</f>
        <v/>
      </c>
      <c r="W36" s="33">
        <f>IF($A36="","",DATE(YEAR($A36),MONTH($A36),1))</f>
        <v/>
      </c>
      <c r="X36" s="34">
        <f>IF(OR($A36="",$H36&lt;&gt;"Ausgabe",J36=""),0,IF(J36="x",-$E36/(COUNTIF($J36:$Q36,"x")+1),-$E36*N(J36)))</f>
        <v/>
      </c>
      <c r="Y36" s="34">
        <f>IF(OR($A36="",$H36&lt;&gt;"Ausgabe",K36=""),0,IF(K36="x",-$E36/(COUNTIF($J36:$Q36,"x")+1),-$E36*N(K36)))</f>
        <v/>
      </c>
      <c r="Z36" s="34">
        <f>IF(OR($A36="",$H36&lt;&gt;"Ausgabe",L36=""),0,IF(L36="x",-$E36/(COUNTIF($J36:$Q36,"x")+1),-$E36*N(L36)))</f>
        <v/>
      </c>
      <c r="AA36" s="34">
        <f>IF(OR($A36="",$H36&lt;&gt;"Ausgabe",M36=""),0,IF(M36="x",-$E36/(COUNTIF($J36:$Q36,"x")+1),-$E36*N(M36)))</f>
        <v/>
      </c>
      <c r="AB36" s="34">
        <f>IF(OR($A36="",$H36&lt;&gt;"Ausgabe",N36=""),0,IF(N36="x",-$E36/(COUNTIF($J36:$Q36,"x")+1),-$E36*N(N36)))</f>
        <v/>
      </c>
      <c r="AC36" s="34">
        <f>IF(OR($A36="",$H36&lt;&gt;"Ausgabe",O36=""),0,IF(O36="x",-$E36/(COUNTIF($J36:$Q36,"x")+1),-$E36*N(O36)))</f>
        <v/>
      </c>
      <c r="AD36" s="34">
        <f>IF(OR($A36="",$H36&lt;&gt;"Ausgabe",P36=""),0,IF(P36="x",-$E36/(COUNTIF($J36:$Q36,"x")+1),-$E36*N(P36)))</f>
        <v/>
      </c>
      <c r="AE36" s="34">
        <f>IF(OR($A36="",$H36&lt;&gt;"Ausgabe",Q36=""),0,IF(Q36="x",-$E36/(COUNTIF($J36:$Q36,"x")+1),-$E36*N(Q36)))</f>
        <v/>
      </c>
    </row>
    <row r="37">
      <c r="A37" s="30" t="n"/>
      <c r="E37" s="31" t="n"/>
      <c r="J37" s="32" t="n"/>
      <c r="K37" s="32" t="n"/>
      <c r="L37" s="32" t="n"/>
      <c r="M37" s="32" t="n"/>
      <c r="N37" s="32" t="n"/>
      <c r="O37" s="32" t="n"/>
      <c r="P37" s="32" t="n"/>
      <c r="Q37" s="32" t="n"/>
      <c r="U37" s="31">
        <f>IF($A37="","",SUM(X37:AE37))</f>
        <v/>
      </c>
      <c r="V37" s="31">
        <f>IF($A37="","",IF($H37&lt;&gt;"Ausgabe",0,-$E37-$U37))</f>
        <v/>
      </c>
      <c r="W37" s="33">
        <f>IF($A37="","",DATE(YEAR($A37),MONTH($A37),1))</f>
        <v/>
      </c>
      <c r="X37" s="34">
        <f>IF(OR($A37="",$H37&lt;&gt;"Ausgabe",J37=""),0,IF(J37="x",-$E37/(COUNTIF($J37:$Q37,"x")+1),-$E37*N(J37)))</f>
        <v/>
      </c>
      <c r="Y37" s="34">
        <f>IF(OR($A37="",$H37&lt;&gt;"Ausgabe",K37=""),0,IF(K37="x",-$E37/(COUNTIF($J37:$Q37,"x")+1),-$E37*N(K37)))</f>
        <v/>
      </c>
      <c r="Z37" s="34">
        <f>IF(OR($A37="",$H37&lt;&gt;"Ausgabe",L37=""),0,IF(L37="x",-$E37/(COUNTIF($J37:$Q37,"x")+1),-$E37*N(L37)))</f>
        <v/>
      </c>
      <c r="AA37" s="34">
        <f>IF(OR($A37="",$H37&lt;&gt;"Ausgabe",M37=""),0,IF(M37="x",-$E37/(COUNTIF($J37:$Q37,"x")+1),-$E37*N(M37)))</f>
        <v/>
      </c>
      <c r="AB37" s="34">
        <f>IF(OR($A37="",$H37&lt;&gt;"Ausgabe",N37=""),0,IF(N37="x",-$E37/(COUNTIF($J37:$Q37,"x")+1),-$E37*N(N37)))</f>
        <v/>
      </c>
      <c r="AC37" s="34">
        <f>IF(OR($A37="",$H37&lt;&gt;"Ausgabe",O37=""),0,IF(O37="x",-$E37/(COUNTIF($J37:$Q37,"x")+1),-$E37*N(O37)))</f>
        <v/>
      </c>
      <c r="AD37" s="34">
        <f>IF(OR($A37="",$H37&lt;&gt;"Ausgabe",P37=""),0,IF(P37="x",-$E37/(COUNTIF($J37:$Q37,"x")+1),-$E37*N(P37)))</f>
        <v/>
      </c>
      <c r="AE37" s="34">
        <f>IF(OR($A37="",$H37&lt;&gt;"Ausgabe",Q37=""),0,IF(Q37="x",-$E37/(COUNTIF($J37:$Q37,"x")+1),-$E37*N(Q37)))</f>
        <v/>
      </c>
    </row>
    <row r="38">
      <c r="A38" s="30" t="n"/>
      <c r="E38" s="31" t="n"/>
      <c r="J38" s="32" t="n"/>
      <c r="K38" s="32" t="n"/>
      <c r="L38" s="32" t="n"/>
      <c r="M38" s="32" t="n"/>
      <c r="N38" s="32" t="n"/>
      <c r="O38" s="32" t="n"/>
      <c r="P38" s="32" t="n"/>
      <c r="Q38" s="32" t="n"/>
      <c r="U38" s="31">
        <f>IF($A38="","",SUM(X38:AE38))</f>
        <v/>
      </c>
      <c r="V38" s="31">
        <f>IF($A38="","",IF($H38&lt;&gt;"Ausgabe",0,-$E38-$U38))</f>
        <v/>
      </c>
      <c r="W38" s="33">
        <f>IF($A38="","",DATE(YEAR($A38),MONTH($A38),1))</f>
        <v/>
      </c>
      <c r="X38" s="34">
        <f>IF(OR($A38="",$H38&lt;&gt;"Ausgabe",J38=""),0,IF(J38="x",-$E38/(COUNTIF($J38:$Q38,"x")+1),-$E38*N(J38)))</f>
        <v/>
      </c>
      <c r="Y38" s="34">
        <f>IF(OR($A38="",$H38&lt;&gt;"Ausgabe",K38=""),0,IF(K38="x",-$E38/(COUNTIF($J38:$Q38,"x")+1),-$E38*N(K38)))</f>
        <v/>
      </c>
      <c r="Z38" s="34">
        <f>IF(OR($A38="",$H38&lt;&gt;"Ausgabe",L38=""),0,IF(L38="x",-$E38/(COUNTIF($J38:$Q38,"x")+1),-$E38*N(L38)))</f>
        <v/>
      </c>
      <c r="AA38" s="34">
        <f>IF(OR($A38="",$H38&lt;&gt;"Ausgabe",M38=""),0,IF(M38="x",-$E38/(COUNTIF($J38:$Q38,"x")+1),-$E38*N(M38)))</f>
        <v/>
      </c>
      <c r="AB38" s="34">
        <f>IF(OR($A38="",$H38&lt;&gt;"Ausgabe",N38=""),0,IF(N38="x",-$E38/(COUNTIF($J38:$Q38,"x")+1),-$E38*N(N38)))</f>
        <v/>
      </c>
      <c r="AC38" s="34">
        <f>IF(OR($A38="",$H38&lt;&gt;"Ausgabe",O38=""),0,IF(O38="x",-$E38/(COUNTIF($J38:$Q38,"x")+1),-$E38*N(O38)))</f>
        <v/>
      </c>
      <c r="AD38" s="34">
        <f>IF(OR($A38="",$H38&lt;&gt;"Ausgabe",P38=""),0,IF(P38="x",-$E38/(COUNTIF($J38:$Q38,"x")+1),-$E38*N(P38)))</f>
        <v/>
      </c>
      <c r="AE38" s="34">
        <f>IF(OR($A38="",$H38&lt;&gt;"Ausgabe",Q38=""),0,IF(Q38="x",-$E38/(COUNTIF($J38:$Q38,"x")+1),-$E38*N(Q38)))</f>
        <v/>
      </c>
    </row>
    <row r="39">
      <c r="A39" s="30" t="n"/>
      <c r="E39" s="31" t="n"/>
      <c r="J39" s="32" t="n"/>
      <c r="K39" s="32" t="n"/>
      <c r="L39" s="32" t="n"/>
      <c r="M39" s="32" t="n"/>
      <c r="N39" s="32" t="n"/>
      <c r="O39" s="32" t="n"/>
      <c r="P39" s="32" t="n"/>
      <c r="Q39" s="32" t="n"/>
      <c r="U39" s="31">
        <f>IF($A39="","",SUM(X39:AE39))</f>
        <v/>
      </c>
      <c r="V39" s="31">
        <f>IF($A39="","",IF($H39&lt;&gt;"Ausgabe",0,-$E39-$U39))</f>
        <v/>
      </c>
      <c r="W39" s="33">
        <f>IF($A39="","",DATE(YEAR($A39),MONTH($A39),1))</f>
        <v/>
      </c>
      <c r="X39" s="34">
        <f>IF(OR($A39="",$H39&lt;&gt;"Ausgabe",J39=""),0,IF(J39="x",-$E39/(COUNTIF($J39:$Q39,"x")+1),-$E39*N(J39)))</f>
        <v/>
      </c>
      <c r="Y39" s="34">
        <f>IF(OR($A39="",$H39&lt;&gt;"Ausgabe",K39=""),0,IF(K39="x",-$E39/(COUNTIF($J39:$Q39,"x")+1),-$E39*N(K39)))</f>
        <v/>
      </c>
      <c r="Z39" s="34">
        <f>IF(OR($A39="",$H39&lt;&gt;"Ausgabe",L39=""),0,IF(L39="x",-$E39/(COUNTIF($J39:$Q39,"x")+1),-$E39*N(L39)))</f>
        <v/>
      </c>
      <c r="AA39" s="34">
        <f>IF(OR($A39="",$H39&lt;&gt;"Ausgabe",M39=""),0,IF(M39="x",-$E39/(COUNTIF($J39:$Q39,"x")+1),-$E39*N(M39)))</f>
        <v/>
      </c>
      <c r="AB39" s="34">
        <f>IF(OR($A39="",$H39&lt;&gt;"Ausgabe",N39=""),0,IF(N39="x",-$E39/(COUNTIF($J39:$Q39,"x")+1),-$E39*N(N39)))</f>
        <v/>
      </c>
      <c r="AC39" s="34">
        <f>IF(OR($A39="",$H39&lt;&gt;"Ausgabe",O39=""),0,IF(O39="x",-$E39/(COUNTIF($J39:$Q39,"x")+1),-$E39*N(O39)))</f>
        <v/>
      </c>
      <c r="AD39" s="34">
        <f>IF(OR($A39="",$H39&lt;&gt;"Ausgabe",P39=""),0,IF(P39="x",-$E39/(COUNTIF($J39:$Q39,"x")+1),-$E39*N(P39)))</f>
        <v/>
      </c>
      <c r="AE39" s="34">
        <f>IF(OR($A39="",$H39&lt;&gt;"Ausgabe",Q39=""),0,IF(Q39="x",-$E39/(COUNTIF($J39:$Q39,"x")+1),-$E39*N(Q39)))</f>
        <v/>
      </c>
    </row>
    <row r="40">
      <c r="A40" s="30" t="n"/>
      <c r="E40" s="31" t="n"/>
      <c r="J40" s="32" t="n"/>
      <c r="K40" s="32" t="n"/>
      <c r="L40" s="32" t="n"/>
      <c r="M40" s="32" t="n"/>
      <c r="N40" s="32" t="n"/>
      <c r="O40" s="32" t="n"/>
      <c r="P40" s="32" t="n"/>
      <c r="Q40" s="32" t="n"/>
      <c r="U40" s="31">
        <f>IF($A40="","",SUM(X40:AE40))</f>
        <v/>
      </c>
      <c r="V40" s="31">
        <f>IF($A40="","",IF($H40&lt;&gt;"Ausgabe",0,-$E40-$U40))</f>
        <v/>
      </c>
      <c r="W40" s="33">
        <f>IF($A40="","",DATE(YEAR($A40),MONTH($A40),1))</f>
        <v/>
      </c>
      <c r="X40" s="34">
        <f>IF(OR($A40="",$H40&lt;&gt;"Ausgabe",J40=""),0,IF(J40="x",-$E40/(COUNTIF($J40:$Q40,"x")+1),-$E40*N(J40)))</f>
        <v/>
      </c>
      <c r="Y40" s="34">
        <f>IF(OR($A40="",$H40&lt;&gt;"Ausgabe",K40=""),0,IF(K40="x",-$E40/(COUNTIF($J40:$Q40,"x")+1),-$E40*N(K40)))</f>
        <v/>
      </c>
      <c r="Z40" s="34">
        <f>IF(OR($A40="",$H40&lt;&gt;"Ausgabe",L40=""),0,IF(L40="x",-$E40/(COUNTIF($J40:$Q40,"x")+1),-$E40*N(L40)))</f>
        <v/>
      </c>
      <c r="AA40" s="34">
        <f>IF(OR($A40="",$H40&lt;&gt;"Ausgabe",M40=""),0,IF(M40="x",-$E40/(COUNTIF($J40:$Q40,"x")+1),-$E40*N(M40)))</f>
        <v/>
      </c>
      <c r="AB40" s="34">
        <f>IF(OR($A40="",$H40&lt;&gt;"Ausgabe",N40=""),0,IF(N40="x",-$E40/(COUNTIF($J40:$Q40,"x")+1),-$E40*N(N40)))</f>
        <v/>
      </c>
      <c r="AC40" s="34">
        <f>IF(OR($A40="",$H40&lt;&gt;"Ausgabe",O40=""),0,IF(O40="x",-$E40/(COUNTIF($J40:$Q40,"x")+1),-$E40*N(O40)))</f>
        <v/>
      </c>
      <c r="AD40" s="34">
        <f>IF(OR($A40="",$H40&lt;&gt;"Ausgabe",P40=""),0,IF(P40="x",-$E40/(COUNTIF($J40:$Q40,"x")+1),-$E40*N(P40)))</f>
        <v/>
      </c>
      <c r="AE40" s="34">
        <f>IF(OR($A40="",$H40&lt;&gt;"Ausgabe",Q40=""),0,IF(Q40="x",-$E40/(COUNTIF($J40:$Q40,"x")+1),-$E40*N(Q40)))</f>
        <v/>
      </c>
    </row>
    <row r="41">
      <c r="A41" s="30" t="n"/>
      <c r="E41" s="31" t="n"/>
      <c r="J41" s="32" t="n"/>
      <c r="K41" s="32" t="n"/>
      <c r="L41" s="32" t="n"/>
      <c r="M41" s="32" t="n"/>
      <c r="N41" s="32" t="n"/>
      <c r="O41" s="32" t="n"/>
      <c r="P41" s="32" t="n"/>
      <c r="Q41" s="32" t="n"/>
      <c r="U41" s="31">
        <f>IF($A41="","",SUM(X41:AE41))</f>
        <v/>
      </c>
      <c r="V41" s="31">
        <f>IF($A41="","",IF($H41&lt;&gt;"Ausgabe",0,-$E41-$U41))</f>
        <v/>
      </c>
      <c r="W41" s="33">
        <f>IF($A41="","",DATE(YEAR($A41),MONTH($A41),1))</f>
        <v/>
      </c>
      <c r="X41" s="34">
        <f>IF(OR($A41="",$H41&lt;&gt;"Ausgabe",J41=""),0,IF(J41="x",-$E41/(COUNTIF($J41:$Q41,"x")+1),-$E41*N(J41)))</f>
        <v/>
      </c>
      <c r="Y41" s="34">
        <f>IF(OR($A41="",$H41&lt;&gt;"Ausgabe",K41=""),0,IF(K41="x",-$E41/(COUNTIF($J41:$Q41,"x")+1),-$E41*N(K41)))</f>
        <v/>
      </c>
      <c r="Z41" s="34">
        <f>IF(OR($A41="",$H41&lt;&gt;"Ausgabe",L41=""),0,IF(L41="x",-$E41/(COUNTIF($J41:$Q41,"x")+1),-$E41*N(L41)))</f>
        <v/>
      </c>
      <c r="AA41" s="34">
        <f>IF(OR($A41="",$H41&lt;&gt;"Ausgabe",M41=""),0,IF(M41="x",-$E41/(COUNTIF($J41:$Q41,"x")+1),-$E41*N(M41)))</f>
        <v/>
      </c>
      <c r="AB41" s="34">
        <f>IF(OR($A41="",$H41&lt;&gt;"Ausgabe",N41=""),0,IF(N41="x",-$E41/(COUNTIF($J41:$Q41,"x")+1),-$E41*N(N41)))</f>
        <v/>
      </c>
      <c r="AC41" s="34">
        <f>IF(OR($A41="",$H41&lt;&gt;"Ausgabe",O41=""),0,IF(O41="x",-$E41/(COUNTIF($J41:$Q41,"x")+1),-$E41*N(O41)))</f>
        <v/>
      </c>
      <c r="AD41" s="34">
        <f>IF(OR($A41="",$H41&lt;&gt;"Ausgabe",P41=""),0,IF(P41="x",-$E41/(COUNTIF($J41:$Q41,"x")+1),-$E41*N(P41)))</f>
        <v/>
      </c>
      <c r="AE41" s="34">
        <f>IF(OR($A41="",$H41&lt;&gt;"Ausgabe",Q41=""),0,IF(Q41="x",-$E41/(COUNTIF($J41:$Q41,"x")+1),-$E41*N(Q41)))</f>
        <v/>
      </c>
    </row>
    <row r="42">
      <c r="A42" s="30" t="n"/>
      <c r="E42" s="31" t="n"/>
      <c r="J42" s="32" t="n"/>
      <c r="K42" s="32" t="n"/>
      <c r="L42" s="32" t="n"/>
      <c r="M42" s="32" t="n"/>
      <c r="N42" s="32" t="n"/>
      <c r="O42" s="32" t="n"/>
      <c r="P42" s="32" t="n"/>
      <c r="Q42" s="32" t="n"/>
      <c r="U42" s="31">
        <f>IF($A42="","",SUM(X42:AE42))</f>
        <v/>
      </c>
      <c r="V42" s="31">
        <f>IF($A42="","",IF($H42&lt;&gt;"Ausgabe",0,-$E42-$U42))</f>
        <v/>
      </c>
      <c r="W42" s="33">
        <f>IF($A42="","",DATE(YEAR($A42),MONTH($A42),1))</f>
        <v/>
      </c>
      <c r="X42" s="34">
        <f>IF(OR($A42="",$H42&lt;&gt;"Ausgabe",J42=""),0,IF(J42="x",-$E42/(COUNTIF($J42:$Q42,"x")+1),-$E42*N(J42)))</f>
        <v/>
      </c>
      <c r="Y42" s="34">
        <f>IF(OR($A42="",$H42&lt;&gt;"Ausgabe",K42=""),0,IF(K42="x",-$E42/(COUNTIF($J42:$Q42,"x")+1),-$E42*N(K42)))</f>
        <v/>
      </c>
      <c r="Z42" s="34">
        <f>IF(OR($A42="",$H42&lt;&gt;"Ausgabe",L42=""),0,IF(L42="x",-$E42/(COUNTIF($J42:$Q42,"x")+1),-$E42*N(L42)))</f>
        <v/>
      </c>
      <c r="AA42" s="34">
        <f>IF(OR($A42="",$H42&lt;&gt;"Ausgabe",M42=""),0,IF(M42="x",-$E42/(COUNTIF($J42:$Q42,"x")+1),-$E42*N(M42)))</f>
        <v/>
      </c>
      <c r="AB42" s="34">
        <f>IF(OR($A42="",$H42&lt;&gt;"Ausgabe",N42=""),0,IF(N42="x",-$E42/(COUNTIF($J42:$Q42,"x")+1),-$E42*N(N42)))</f>
        <v/>
      </c>
      <c r="AC42" s="34">
        <f>IF(OR($A42="",$H42&lt;&gt;"Ausgabe",O42=""),0,IF(O42="x",-$E42/(COUNTIF($J42:$Q42,"x")+1),-$E42*N(O42)))</f>
        <v/>
      </c>
      <c r="AD42" s="34">
        <f>IF(OR($A42="",$H42&lt;&gt;"Ausgabe",P42=""),0,IF(P42="x",-$E42/(COUNTIF($J42:$Q42,"x")+1),-$E42*N(P42)))</f>
        <v/>
      </c>
      <c r="AE42" s="34">
        <f>IF(OR($A42="",$H42&lt;&gt;"Ausgabe",Q42=""),0,IF(Q42="x",-$E42/(COUNTIF($J42:$Q42,"x")+1),-$E42*N(Q42)))</f>
        <v/>
      </c>
    </row>
    <row r="43">
      <c r="A43" s="30" t="n"/>
      <c r="E43" s="31" t="n"/>
      <c r="J43" s="32" t="n"/>
      <c r="K43" s="32" t="n"/>
      <c r="L43" s="32" t="n"/>
      <c r="M43" s="32" t="n"/>
      <c r="N43" s="32" t="n"/>
      <c r="O43" s="32" t="n"/>
      <c r="P43" s="32" t="n"/>
      <c r="Q43" s="32" t="n"/>
      <c r="U43" s="31">
        <f>IF($A43="","",SUM(X43:AE43))</f>
        <v/>
      </c>
      <c r="V43" s="31">
        <f>IF($A43="","",IF($H43&lt;&gt;"Ausgabe",0,-$E43-$U43))</f>
        <v/>
      </c>
      <c r="W43" s="33">
        <f>IF($A43="","",DATE(YEAR($A43),MONTH($A43),1))</f>
        <v/>
      </c>
      <c r="X43" s="34">
        <f>IF(OR($A43="",$H43&lt;&gt;"Ausgabe",J43=""),0,IF(J43="x",-$E43/(COUNTIF($J43:$Q43,"x")+1),-$E43*N(J43)))</f>
        <v/>
      </c>
      <c r="Y43" s="34">
        <f>IF(OR($A43="",$H43&lt;&gt;"Ausgabe",K43=""),0,IF(K43="x",-$E43/(COUNTIF($J43:$Q43,"x")+1),-$E43*N(K43)))</f>
        <v/>
      </c>
      <c r="Z43" s="34">
        <f>IF(OR($A43="",$H43&lt;&gt;"Ausgabe",L43=""),0,IF(L43="x",-$E43/(COUNTIF($J43:$Q43,"x")+1),-$E43*N(L43)))</f>
        <v/>
      </c>
      <c r="AA43" s="34">
        <f>IF(OR($A43="",$H43&lt;&gt;"Ausgabe",M43=""),0,IF(M43="x",-$E43/(COUNTIF($J43:$Q43,"x")+1),-$E43*N(M43)))</f>
        <v/>
      </c>
      <c r="AB43" s="34">
        <f>IF(OR($A43="",$H43&lt;&gt;"Ausgabe",N43=""),0,IF(N43="x",-$E43/(COUNTIF($J43:$Q43,"x")+1),-$E43*N(N43)))</f>
        <v/>
      </c>
      <c r="AC43" s="34">
        <f>IF(OR($A43="",$H43&lt;&gt;"Ausgabe",O43=""),0,IF(O43="x",-$E43/(COUNTIF($J43:$Q43,"x")+1),-$E43*N(O43)))</f>
        <v/>
      </c>
      <c r="AD43" s="34">
        <f>IF(OR($A43="",$H43&lt;&gt;"Ausgabe",P43=""),0,IF(P43="x",-$E43/(COUNTIF($J43:$Q43,"x")+1),-$E43*N(P43)))</f>
        <v/>
      </c>
      <c r="AE43" s="34">
        <f>IF(OR($A43="",$H43&lt;&gt;"Ausgabe",Q43=""),0,IF(Q43="x",-$E43/(COUNTIF($J43:$Q43,"x")+1),-$E43*N(Q43)))</f>
        <v/>
      </c>
    </row>
    <row r="44">
      <c r="A44" s="30" t="n"/>
      <c r="E44" s="31" t="n"/>
      <c r="J44" s="32" t="n"/>
      <c r="K44" s="32" t="n"/>
      <c r="L44" s="32" t="n"/>
      <c r="M44" s="32" t="n"/>
      <c r="N44" s="32" t="n"/>
      <c r="O44" s="32" t="n"/>
      <c r="P44" s="32" t="n"/>
      <c r="Q44" s="32" t="n"/>
      <c r="U44" s="31">
        <f>IF($A44="","",SUM(X44:AE44))</f>
        <v/>
      </c>
      <c r="V44" s="31">
        <f>IF($A44="","",IF($H44&lt;&gt;"Ausgabe",0,-$E44-$U44))</f>
        <v/>
      </c>
      <c r="W44" s="33">
        <f>IF($A44="","",DATE(YEAR($A44),MONTH($A44),1))</f>
        <v/>
      </c>
      <c r="X44" s="34">
        <f>IF(OR($A44="",$H44&lt;&gt;"Ausgabe",J44=""),0,IF(J44="x",-$E44/(COUNTIF($J44:$Q44,"x")+1),-$E44*N(J44)))</f>
        <v/>
      </c>
      <c r="Y44" s="34">
        <f>IF(OR($A44="",$H44&lt;&gt;"Ausgabe",K44=""),0,IF(K44="x",-$E44/(COUNTIF($J44:$Q44,"x")+1),-$E44*N(K44)))</f>
        <v/>
      </c>
      <c r="Z44" s="34">
        <f>IF(OR($A44="",$H44&lt;&gt;"Ausgabe",L44=""),0,IF(L44="x",-$E44/(COUNTIF($J44:$Q44,"x")+1),-$E44*N(L44)))</f>
        <v/>
      </c>
      <c r="AA44" s="34">
        <f>IF(OR($A44="",$H44&lt;&gt;"Ausgabe",M44=""),0,IF(M44="x",-$E44/(COUNTIF($J44:$Q44,"x")+1),-$E44*N(M44)))</f>
        <v/>
      </c>
      <c r="AB44" s="34">
        <f>IF(OR($A44="",$H44&lt;&gt;"Ausgabe",N44=""),0,IF(N44="x",-$E44/(COUNTIF($J44:$Q44,"x")+1),-$E44*N(N44)))</f>
        <v/>
      </c>
      <c r="AC44" s="34">
        <f>IF(OR($A44="",$H44&lt;&gt;"Ausgabe",O44=""),0,IF(O44="x",-$E44/(COUNTIF($J44:$Q44,"x")+1),-$E44*N(O44)))</f>
        <v/>
      </c>
      <c r="AD44" s="34">
        <f>IF(OR($A44="",$H44&lt;&gt;"Ausgabe",P44=""),0,IF(P44="x",-$E44/(COUNTIF($J44:$Q44,"x")+1),-$E44*N(P44)))</f>
        <v/>
      </c>
      <c r="AE44" s="34">
        <f>IF(OR($A44="",$H44&lt;&gt;"Ausgabe",Q44=""),0,IF(Q44="x",-$E44/(COUNTIF($J44:$Q44,"x")+1),-$E44*N(Q44)))</f>
        <v/>
      </c>
    </row>
    <row r="45">
      <c r="A45" s="30" t="n"/>
      <c r="E45" s="31" t="n"/>
      <c r="J45" s="32" t="n"/>
      <c r="K45" s="32" t="n"/>
      <c r="L45" s="32" t="n"/>
      <c r="M45" s="32" t="n"/>
      <c r="N45" s="32" t="n"/>
      <c r="O45" s="32" t="n"/>
      <c r="P45" s="32" t="n"/>
      <c r="Q45" s="32" t="n"/>
      <c r="U45" s="31">
        <f>IF($A45="","",SUM(X45:AE45))</f>
        <v/>
      </c>
      <c r="V45" s="31">
        <f>IF($A45="","",IF($H45&lt;&gt;"Ausgabe",0,-$E45-$U45))</f>
        <v/>
      </c>
      <c r="W45" s="33">
        <f>IF($A45="","",DATE(YEAR($A45),MONTH($A45),1))</f>
        <v/>
      </c>
      <c r="X45" s="34">
        <f>IF(OR($A45="",$H45&lt;&gt;"Ausgabe",J45=""),0,IF(J45="x",-$E45/(COUNTIF($J45:$Q45,"x")+1),-$E45*N(J45)))</f>
        <v/>
      </c>
      <c r="Y45" s="34">
        <f>IF(OR($A45="",$H45&lt;&gt;"Ausgabe",K45=""),0,IF(K45="x",-$E45/(COUNTIF($J45:$Q45,"x")+1),-$E45*N(K45)))</f>
        <v/>
      </c>
      <c r="Z45" s="34">
        <f>IF(OR($A45="",$H45&lt;&gt;"Ausgabe",L45=""),0,IF(L45="x",-$E45/(COUNTIF($J45:$Q45,"x")+1),-$E45*N(L45)))</f>
        <v/>
      </c>
      <c r="AA45" s="34">
        <f>IF(OR($A45="",$H45&lt;&gt;"Ausgabe",M45=""),0,IF(M45="x",-$E45/(COUNTIF($J45:$Q45,"x")+1),-$E45*N(M45)))</f>
        <v/>
      </c>
      <c r="AB45" s="34">
        <f>IF(OR($A45="",$H45&lt;&gt;"Ausgabe",N45=""),0,IF(N45="x",-$E45/(COUNTIF($J45:$Q45,"x")+1),-$E45*N(N45)))</f>
        <v/>
      </c>
      <c r="AC45" s="34">
        <f>IF(OR($A45="",$H45&lt;&gt;"Ausgabe",O45=""),0,IF(O45="x",-$E45/(COUNTIF($J45:$Q45,"x")+1),-$E45*N(O45)))</f>
        <v/>
      </c>
      <c r="AD45" s="34">
        <f>IF(OR($A45="",$H45&lt;&gt;"Ausgabe",P45=""),0,IF(P45="x",-$E45/(COUNTIF($J45:$Q45,"x")+1),-$E45*N(P45)))</f>
        <v/>
      </c>
      <c r="AE45" s="34">
        <f>IF(OR($A45="",$H45&lt;&gt;"Ausgabe",Q45=""),0,IF(Q45="x",-$E45/(COUNTIF($J45:$Q45,"x")+1),-$E45*N(Q45)))</f>
        <v/>
      </c>
    </row>
    <row r="46">
      <c r="A46" s="30" t="n"/>
      <c r="E46" s="31" t="n"/>
      <c r="J46" s="32" t="n"/>
      <c r="K46" s="32" t="n"/>
      <c r="L46" s="32" t="n"/>
      <c r="M46" s="32" t="n"/>
      <c r="N46" s="32" t="n"/>
      <c r="O46" s="32" t="n"/>
      <c r="P46" s="32" t="n"/>
      <c r="Q46" s="32" t="n"/>
      <c r="U46" s="31">
        <f>IF($A46="","",SUM(X46:AE46))</f>
        <v/>
      </c>
      <c r="V46" s="31">
        <f>IF($A46="","",IF($H46&lt;&gt;"Ausgabe",0,-$E46-$U46))</f>
        <v/>
      </c>
      <c r="W46" s="33">
        <f>IF($A46="","",DATE(YEAR($A46),MONTH($A46),1))</f>
        <v/>
      </c>
      <c r="X46" s="34">
        <f>IF(OR($A46="",$H46&lt;&gt;"Ausgabe",J46=""),0,IF(J46="x",-$E46/(COUNTIF($J46:$Q46,"x")+1),-$E46*N(J46)))</f>
        <v/>
      </c>
      <c r="Y46" s="34">
        <f>IF(OR($A46="",$H46&lt;&gt;"Ausgabe",K46=""),0,IF(K46="x",-$E46/(COUNTIF($J46:$Q46,"x")+1),-$E46*N(K46)))</f>
        <v/>
      </c>
      <c r="Z46" s="34">
        <f>IF(OR($A46="",$H46&lt;&gt;"Ausgabe",L46=""),0,IF(L46="x",-$E46/(COUNTIF($J46:$Q46,"x")+1),-$E46*N(L46)))</f>
        <v/>
      </c>
      <c r="AA46" s="34">
        <f>IF(OR($A46="",$H46&lt;&gt;"Ausgabe",M46=""),0,IF(M46="x",-$E46/(COUNTIF($J46:$Q46,"x")+1),-$E46*N(M46)))</f>
        <v/>
      </c>
      <c r="AB46" s="34">
        <f>IF(OR($A46="",$H46&lt;&gt;"Ausgabe",N46=""),0,IF(N46="x",-$E46/(COUNTIF($J46:$Q46,"x")+1),-$E46*N(N46)))</f>
        <v/>
      </c>
      <c r="AC46" s="34">
        <f>IF(OR($A46="",$H46&lt;&gt;"Ausgabe",O46=""),0,IF(O46="x",-$E46/(COUNTIF($J46:$Q46,"x")+1),-$E46*N(O46)))</f>
        <v/>
      </c>
      <c r="AD46" s="34">
        <f>IF(OR($A46="",$H46&lt;&gt;"Ausgabe",P46=""),0,IF(P46="x",-$E46/(COUNTIF($J46:$Q46,"x")+1),-$E46*N(P46)))</f>
        <v/>
      </c>
      <c r="AE46" s="34">
        <f>IF(OR($A46="",$H46&lt;&gt;"Ausgabe",Q46=""),0,IF(Q46="x",-$E46/(COUNTIF($J46:$Q46,"x")+1),-$E46*N(Q46)))</f>
        <v/>
      </c>
    </row>
    <row r="47">
      <c r="A47" s="30" t="n"/>
      <c r="E47" s="31" t="n"/>
      <c r="J47" s="32" t="n"/>
      <c r="K47" s="32" t="n"/>
      <c r="L47" s="32" t="n"/>
      <c r="M47" s="32" t="n"/>
      <c r="N47" s="32" t="n"/>
      <c r="O47" s="32" t="n"/>
      <c r="P47" s="32" t="n"/>
      <c r="Q47" s="32" t="n"/>
      <c r="U47" s="31">
        <f>IF($A47="","",SUM(X47:AE47))</f>
        <v/>
      </c>
      <c r="V47" s="31">
        <f>IF($A47="","",IF($H47&lt;&gt;"Ausgabe",0,-$E47-$U47))</f>
        <v/>
      </c>
      <c r="W47" s="33">
        <f>IF($A47="","",DATE(YEAR($A47),MONTH($A47),1))</f>
        <v/>
      </c>
      <c r="X47" s="34">
        <f>IF(OR($A47="",$H47&lt;&gt;"Ausgabe",J47=""),0,IF(J47="x",-$E47/(COUNTIF($J47:$Q47,"x")+1),-$E47*N(J47)))</f>
        <v/>
      </c>
      <c r="Y47" s="34">
        <f>IF(OR($A47="",$H47&lt;&gt;"Ausgabe",K47=""),0,IF(K47="x",-$E47/(COUNTIF($J47:$Q47,"x")+1),-$E47*N(K47)))</f>
        <v/>
      </c>
      <c r="Z47" s="34">
        <f>IF(OR($A47="",$H47&lt;&gt;"Ausgabe",L47=""),0,IF(L47="x",-$E47/(COUNTIF($J47:$Q47,"x")+1),-$E47*N(L47)))</f>
        <v/>
      </c>
      <c r="AA47" s="34">
        <f>IF(OR($A47="",$H47&lt;&gt;"Ausgabe",M47=""),0,IF(M47="x",-$E47/(COUNTIF($J47:$Q47,"x")+1),-$E47*N(M47)))</f>
        <v/>
      </c>
      <c r="AB47" s="34">
        <f>IF(OR($A47="",$H47&lt;&gt;"Ausgabe",N47=""),0,IF(N47="x",-$E47/(COUNTIF($J47:$Q47,"x")+1),-$E47*N(N47)))</f>
        <v/>
      </c>
      <c r="AC47" s="34">
        <f>IF(OR($A47="",$H47&lt;&gt;"Ausgabe",O47=""),0,IF(O47="x",-$E47/(COUNTIF($J47:$Q47,"x")+1),-$E47*N(O47)))</f>
        <v/>
      </c>
      <c r="AD47" s="34">
        <f>IF(OR($A47="",$H47&lt;&gt;"Ausgabe",P47=""),0,IF(P47="x",-$E47/(COUNTIF($J47:$Q47,"x")+1),-$E47*N(P47)))</f>
        <v/>
      </c>
      <c r="AE47" s="34">
        <f>IF(OR($A47="",$H47&lt;&gt;"Ausgabe",Q47=""),0,IF(Q47="x",-$E47/(COUNTIF($J47:$Q47,"x")+1),-$E47*N(Q47)))</f>
        <v/>
      </c>
    </row>
    <row r="48">
      <c r="A48" s="30" t="n"/>
      <c r="E48" s="31" t="n"/>
      <c r="J48" s="32" t="n"/>
      <c r="K48" s="32" t="n"/>
      <c r="L48" s="32" t="n"/>
      <c r="M48" s="32" t="n"/>
      <c r="N48" s="32" t="n"/>
      <c r="O48" s="32" t="n"/>
      <c r="P48" s="32" t="n"/>
      <c r="Q48" s="32" t="n"/>
      <c r="U48" s="31">
        <f>IF($A48="","",SUM(X48:AE48))</f>
        <v/>
      </c>
      <c r="V48" s="31">
        <f>IF($A48="","",IF($H48&lt;&gt;"Ausgabe",0,-$E48-$U48))</f>
        <v/>
      </c>
      <c r="W48" s="33">
        <f>IF($A48="","",DATE(YEAR($A48),MONTH($A48),1))</f>
        <v/>
      </c>
      <c r="X48" s="34">
        <f>IF(OR($A48="",$H48&lt;&gt;"Ausgabe",J48=""),0,IF(J48="x",-$E48/(COUNTIF($J48:$Q48,"x")+1),-$E48*N(J48)))</f>
        <v/>
      </c>
      <c r="Y48" s="34">
        <f>IF(OR($A48="",$H48&lt;&gt;"Ausgabe",K48=""),0,IF(K48="x",-$E48/(COUNTIF($J48:$Q48,"x")+1),-$E48*N(K48)))</f>
        <v/>
      </c>
      <c r="Z48" s="34">
        <f>IF(OR($A48="",$H48&lt;&gt;"Ausgabe",L48=""),0,IF(L48="x",-$E48/(COUNTIF($J48:$Q48,"x")+1),-$E48*N(L48)))</f>
        <v/>
      </c>
      <c r="AA48" s="34">
        <f>IF(OR($A48="",$H48&lt;&gt;"Ausgabe",M48=""),0,IF(M48="x",-$E48/(COUNTIF($J48:$Q48,"x")+1),-$E48*N(M48)))</f>
        <v/>
      </c>
      <c r="AB48" s="34">
        <f>IF(OR($A48="",$H48&lt;&gt;"Ausgabe",N48=""),0,IF(N48="x",-$E48/(COUNTIF($J48:$Q48,"x")+1),-$E48*N(N48)))</f>
        <v/>
      </c>
      <c r="AC48" s="34">
        <f>IF(OR($A48="",$H48&lt;&gt;"Ausgabe",O48=""),0,IF(O48="x",-$E48/(COUNTIF($J48:$Q48,"x")+1),-$E48*N(O48)))</f>
        <v/>
      </c>
      <c r="AD48" s="34">
        <f>IF(OR($A48="",$H48&lt;&gt;"Ausgabe",P48=""),0,IF(P48="x",-$E48/(COUNTIF($J48:$Q48,"x")+1),-$E48*N(P48)))</f>
        <v/>
      </c>
      <c r="AE48" s="34">
        <f>IF(OR($A48="",$H48&lt;&gt;"Ausgabe",Q48=""),0,IF(Q48="x",-$E48/(COUNTIF($J48:$Q48,"x")+1),-$E48*N(Q48)))</f>
        <v/>
      </c>
    </row>
    <row r="49">
      <c r="A49" s="30" t="n"/>
      <c r="E49" s="31" t="n"/>
      <c r="J49" s="32" t="n"/>
      <c r="K49" s="32" t="n"/>
      <c r="L49" s="32" t="n"/>
      <c r="M49" s="32" t="n"/>
      <c r="N49" s="32" t="n"/>
      <c r="O49" s="32" t="n"/>
      <c r="P49" s="32" t="n"/>
      <c r="Q49" s="32" t="n"/>
      <c r="U49" s="31">
        <f>IF($A49="","",SUM(X49:AE49))</f>
        <v/>
      </c>
      <c r="V49" s="31">
        <f>IF($A49="","",IF($H49&lt;&gt;"Ausgabe",0,-$E49-$U49))</f>
        <v/>
      </c>
      <c r="W49" s="33">
        <f>IF($A49="","",DATE(YEAR($A49),MONTH($A49),1))</f>
        <v/>
      </c>
      <c r="X49" s="34">
        <f>IF(OR($A49="",$H49&lt;&gt;"Ausgabe",J49=""),0,IF(J49="x",-$E49/(COUNTIF($J49:$Q49,"x")+1),-$E49*N(J49)))</f>
        <v/>
      </c>
      <c r="Y49" s="34">
        <f>IF(OR($A49="",$H49&lt;&gt;"Ausgabe",K49=""),0,IF(K49="x",-$E49/(COUNTIF($J49:$Q49,"x")+1),-$E49*N(K49)))</f>
        <v/>
      </c>
      <c r="Z49" s="34">
        <f>IF(OR($A49="",$H49&lt;&gt;"Ausgabe",L49=""),0,IF(L49="x",-$E49/(COUNTIF($J49:$Q49,"x")+1),-$E49*N(L49)))</f>
        <v/>
      </c>
      <c r="AA49" s="34">
        <f>IF(OR($A49="",$H49&lt;&gt;"Ausgabe",M49=""),0,IF(M49="x",-$E49/(COUNTIF($J49:$Q49,"x")+1),-$E49*N(M49)))</f>
        <v/>
      </c>
      <c r="AB49" s="34">
        <f>IF(OR($A49="",$H49&lt;&gt;"Ausgabe",N49=""),0,IF(N49="x",-$E49/(COUNTIF($J49:$Q49,"x")+1),-$E49*N(N49)))</f>
        <v/>
      </c>
      <c r="AC49" s="34">
        <f>IF(OR($A49="",$H49&lt;&gt;"Ausgabe",O49=""),0,IF(O49="x",-$E49/(COUNTIF($J49:$Q49,"x")+1),-$E49*N(O49)))</f>
        <v/>
      </c>
      <c r="AD49" s="34">
        <f>IF(OR($A49="",$H49&lt;&gt;"Ausgabe",P49=""),0,IF(P49="x",-$E49/(COUNTIF($J49:$Q49,"x")+1),-$E49*N(P49)))</f>
        <v/>
      </c>
      <c r="AE49" s="34">
        <f>IF(OR($A49="",$H49&lt;&gt;"Ausgabe",Q49=""),0,IF(Q49="x",-$E49/(COUNTIF($J49:$Q49,"x")+1),-$E49*N(Q49)))</f>
        <v/>
      </c>
    </row>
    <row r="50">
      <c r="A50" s="30" t="n"/>
      <c r="E50" s="31" t="n"/>
      <c r="J50" s="32" t="n"/>
      <c r="K50" s="32" t="n"/>
      <c r="L50" s="32" t="n"/>
      <c r="M50" s="32" t="n"/>
      <c r="N50" s="32" t="n"/>
      <c r="O50" s="32" t="n"/>
      <c r="P50" s="32" t="n"/>
      <c r="Q50" s="32" t="n"/>
      <c r="U50" s="31">
        <f>IF($A50="","",SUM(X50:AE50))</f>
        <v/>
      </c>
      <c r="V50" s="31">
        <f>IF($A50="","",IF($H50&lt;&gt;"Ausgabe",0,-$E50-$U50))</f>
        <v/>
      </c>
      <c r="W50" s="33">
        <f>IF($A50="","",DATE(YEAR($A50),MONTH($A50),1))</f>
        <v/>
      </c>
      <c r="X50" s="34">
        <f>IF(OR($A50="",$H50&lt;&gt;"Ausgabe",J50=""),0,IF(J50="x",-$E50/(COUNTIF($J50:$Q50,"x")+1),-$E50*N(J50)))</f>
        <v/>
      </c>
      <c r="Y50" s="34">
        <f>IF(OR($A50="",$H50&lt;&gt;"Ausgabe",K50=""),0,IF(K50="x",-$E50/(COUNTIF($J50:$Q50,"x")+1),-$E50*N(K50)))</f>
        <v/>
      </c>
      <c r="Z50" s="34">
        <f>IF(OR($A50="",$H50&lt;&gt;"Ausgabe",L50=""),0,IF(L50="x",-$E50/(COUNTIF($J50:$Q50,"x")+1),-$E50*N(L50)))</f>
        <v/>
      </c>
      <c r="AA50" s="34">
        <f>IF(OR($A50="",$H50&lt;&gt;"Ausgabe",M50=""),0,IF(M50="x",-$E50/(COUNTIF($J50:$Q50,"x")+1),-$E50*N(M50)))</f>
        <v/>
      </c>
      <c r="AB50" s="34">
        <f>IF(OR($A50="",$H50&lt;&gt;"Ausgabe",N50=""),0,IF(N50="x",-$E50/(COUNTIF($J50:$Q50,"x")+1),-$E50*N(N50)))</f>
        <v/>
      </c>
      <c r="AC50" s="34">
        <f>IF(OR($A50="",$H50&lt;&gt;"Ausgabe",O50=""),0,IF(O50="x",-$E50/(COUNTIF($J50:$Q50,"x")+1),-$E50*N(O50)))</f>
        <v/>
      </c>
      <c r="AD50" s="34">
        <f>IF(OR($A50="",$H50&lt;&gt;"Ausgabe",P50=""),0,IF(P50="x",-$E50/(COUNTIF($J50:$Q50,"x")+1),-$E50*N(P50)))</f>
        <v/>
      </c>
      <c r="AE50" s="34">
        <f>IF(OR($A50="",$H50&lt;&gt;"Ausgabe",Q50=""),0,IF(Q50="x",-$E50/(COUNTIF($J50:$Q50,"x")+1),-$E50*N(Q50)))</f>
        <v/>
      </c>
    </row>
    <row r="51">
      <c r="A51" s="30" t="n"/>
      <c r="E51" s="31" t="n"/>
      <c r="J51" s="32" t="n"/>
      <c r="K51" s="32" t="n"/>
      <c r="L51" s="32" t="n"/>
      <c r="M51" s="32" t="n"/>
      <c r="N51" s="32" t="n"/>
      <c r="O51" s="32" t="n"/>
      <c r="P51" s="32" t="n"/>
      <c r="Q51" s="32" t="n"/>
      <c r="U51" s="31">
        <f>IF($A51="","",SUM(X51:AE51))</f>
        <v/>
      </c>
      <c r="V51" s="31">
        <f>IF($A51="","",IF($H51&lt;&gt;"Ausgabe",0,-$E51-$U51))</f>
        <v/>
      </c>
      <c r="W51" s="33">
        <f>IF($A51="","",DATE(YEAR($A51),MONTH($A51),1))</f>
        <v/>
      </c>
      <c r="X51" s="34">
        <f>IF(OR($A51="",$H51&lt;&gt;"Ausgabe",J51=""),0,IF(J51="x",-$E51/(COUNTIF($J51:$Q51,"x")+1),-$E51*N(J51)))</f>
        <v/>
      </c>
      <c r="Y51" s="34">
        <f>IF(OR($A51="",$H51&lt;&gt;"Ausgabe",K51=""),0,IF(K51="x",-$E51/(COUNTIF($J51:$Q51,"x")+1),-$E51*N(K51)))</f>
        <v/>
      </c>
      <c r="Z51" s="34">
        <f>IF(OR($A51="",$H51&lt;&gt;"Ausgabe",L51=""),0,IF(L51="x",-$E51/(COUNTIF($J51:$Q51,"x")+1),-$E51*N(L51)))</f>
        <v/>
      </c>
      <c r="AA51" s="34">
        <f>IF(OR($A51="",$H51&lt;&gt;"Ausgabe",M51=""),0,IF(M51="x",-$E51/(COUNTIF($J51:$Q51,"x")+1),-$E51*N(M51)))</f>
        <v/>
      </c>
      <c r="AB51" s="34">
        <f>IF(OR($A51="",$H51&lt;&gt;"Ausgabe",N51=""),0,IF(N51="x",-$E51/(COUNTIF($J51:$Q51,"x")+1),-$E51*N(N51)))</f>
        <v/>
      </c>
      <c r="AC51" s="34">
        <f>IF(OR($A51="",$H51&lt;&gt;"Ausgabe",O51=""),0,IF(O51="x",-$E51/(COUNTIF($J51:$Q51,"x")+1),-$E51*N(O51)))</f>
        <v/>
      </c>
      <c r="AD51" s="34">
        <f>IF(OR($A51="",$H51&lt;&gt;"Ausgabe",P51=""),0,IF(P51="x",-$E51/(COUNTIF($J51:$Q51,"x")+1),-$E51*N(P51)))</f>
        <v/>
      </c>
      <c r="AE51" s="34">
        <f>IF(OR($A51="",$H51&lt;&gt;"Ausgabe",Q51=""),0,IF(Q51="x",-$E51/(COUNTIF($J51:$Q51,"x")+1),-$E51*N(Q51)))</f>
        <v/>
      </c>
    </row>
    <row r="52">
      <c r="A52" s="30" t="n"/>
      <c r="E52" s="31" t="n"/>
      <c r="J52" s="32" t="n"/>
      <c r="K52" s="32" t="n"/>
      <c r="L52" s="32" t="n"/>
      <c r="M52" s="32" t="n"/>
      <c r="N52" s="32" t="n"/>
      <c r="O52" s="32" t="n"/>
      <c r="P52" s="32" t="n"/>
      <c r="Q52" s="32" t="n"/>
      <c r="U52" s="31">
        <f>IF($A52="","",SUM(X52:AE52))</f>
        <v/>
      </c>
      <c r="V52" s="31">
        <f>IF($A52="","",IF($H52&lt;&gt;"Ausgabe",0,-$E52-$U52))</f>
        <v/>
      </c>
      <c r="W52" s="33">
        <f>IF($A52="","",DATE(YEAR($A52),MONTH($A52),1))</f>
        <v/>
      </c>
      <c r="X52" s="34">
        <f>IF(OR($A52="",$H52&lt;&gt;"Ausgabe",J52=""),0,IF(J52="x",-$E52/(COUNTIF($J52:$Q52,"x")+1),-$E52*N(J52)))</f>
        <v/>
      </c>
      <c r="Y52" s="34">
        <f>IF(OR($A52="",$H52&lt;&gt;"Ausgabe",K52=""),0,IF(K52="x",-$E52/(COUNTIF($J52:$Q52,"x")+1),-$E52*N(K52)))</f>
        <v/>
      </c>
      <c r="Z52" s="34">
        <f>IF(OR($A52="",$H52&lt;&gt;"Ausgabe",L52=""),0,IF(L52="x",-$E52/(COUNTIF($J52:$Q52,"x")+1),-$E52*N(L52)))</f>
        <v/>
      </c>
      <c r="AA52" s="34">
        <f>IF(OR($A52="",$H52&lt;&gt;"Ausgabe",M52=""),0,IF(M52="x",-$E52/(COUNTIF($J52:$Q52,"x")+1),-$E52*N(M52)))</f>
        <v/>
      </c>
      <c r="AB52" s="34">
        <f>IF(OR($A52="",$H52&lt;&gt;"Ausgabe",N52=""),0,IF(N52="x",-$E52/(COUNTIF($J52:$Q52,"x")+1),-$E52*N(N52)))</f>
        <v/>
      </c>
      <c r="AC52" s="34">
        <f>IF(OR($A52="",$H52&lt;&gt;"Ausgabe",O52=""),0,IF(O52="x",-$E52/(COUNTIF($J52:$Q52,"x")+1),-$E52*N(O52)))</f>
        <v/>
      </c>
      <c r="AD52" s="34">
        <f>IF(OR($A52="",$H52&lt;&gt;"Ausgabe",P52=""),0,IF(P52="x",-$E52/(COUNTIF($J52:$Q52,"x")+1),-$E52*N(P52)))</f>
        <v/>
      </c>
      <c r="AE52" s="34">
        <f>IF(OR($A52="",$H52&lt;&gt;"Ausgabe",Q52=""),0,IF(Q52="x",-$E52/(COUNTIF($J52:$Q52,"x")+1),-$E52*N(Q52)))</f>
        <v/>
      </c>
    </row>
    <row r="53">
      <c r="A53" s="30" t="n"/>
      <c r="E53" s="31" t="n"/>
      <c r="J53" s="32" t="n"/>
      <c r="K53" s="32" t="n"/>
      <c r="L53" s="32" t="n"/>
      <c r="M53" s="32" t="n"/>
      <c r="N53" s="32" t="n"/>
      <c r="O53" s="32" t="n"/>
      <c r="P53" s="32" t="n"/>
      <c r="Q53" s="32" t="n"/>
      <c r="U53" s="31">
        <f>IF($A53="","",SUM(X53:AE53))</f>
        <v/>
      </c>
      <c r="V53" s="31">
        <f>IF($A53="","",IF($H53&lt;&gt;"Ausgabe",0,-$E53-$U53))</f>
        <v/>
      </c>
      <c r="W53" s="33">
        <f>IF($A53="","",DATE(YEAR($A53),MONTH($A53),1))</f>
        <v/>
      </c>
      <c r="X53" s="34">
        <f>IF(OR($A53="",$H53&lt;&gt;"Ausgabe",J53=""),0,IF(J53="x",-$E53/(COUNTIF($J53:$Q53,"x")+1),-$E53*N(J53)))</f>
        <v/>
      </c>
      <c r="Y53" s="34">
        <f>IF(OR($A53="",$H53&lt;&gt;"Ausgabe",K53=""),0,IF(K53="x",-$E53/(COUNTIF($J53:$Q53,"x")+1),-$E53*N(K53)))</f>
        <v/>
      </c>
      <c r="Z53" s="34">
        <f>IF(OR($A53="",$H53&lt;&gt;"Ausgabe",L53=""),0,IF(L53="x",-$E53/(COUNTIF($J53:$Q53,"x")+1),-$E53*N(L53)))</f>
        <v/>
      </c>
      <c r="AA53" s="34">
        <f>IF(OR($A53="",$H53&lt;&gt;"Ausgabe",M53=""),0,IF(M53="x",-$E53/(COUNTIF($J53:$Q53,"x")+1),-$E53*N(M53)))</f>
        <v/>
      </c>
      <c r="AB53" s="34">
        <f>IF(OR($A53="",$H53&lt;&gt;"Ausgabe",N53=""),0,IF(N53="x",-$E53/(COUNTIF($J53:$Q53,"x")+1),-$E53*N(N53)))</f>
        <v/>
      </c>
      <c r="AC53" s="34">
        <f>IF(OR($A53="",$H53&lt;&gt;"Ausgabe",O53=""),0,IF(O53="x",-$E53/(COUNTIF($J53:$Q53,"x")+1),-$E53*N(O53)))</f>
        <v/>
      </c>
      <c r="AD53" s="34">
        <f>IF(OR($A53="",$H53&lt;&gt;"Ausgabe",P53=""),0,IF(P53="x",-$E53/(COUNTIF($J53:$Q53,"x")+1),-$E53*N(P53)))</f>
        <v/>
      </c>
      <c r="AE53" s="34">
        <f>IF(OR($A53="",$H53&lt;&gt;"Ausgabe",Q53=""),0,IF(Q53="x",-$E53/(COUNTIF($J53:$Q53,"x")+1),-$E53*N(Q53)))</f>
        <v/>
      </c>
    </row>
    <row r="54">
      <c r="A54" s="30" t="n"/>
      <c r="E54" s="31" t="n"/>
      <c r="J54" s="32" t="n"/>
      <c r="K54" s="32" t="n"/>
      <c r="L54" s="32" t="n"/>
      <c r="M54" s="32" t="n"/>
      <c r="N54" s="32" t="n"/>
      <c r="O54" s="32" t="n"/>
      <c r="P54" s="32" t="n"/>
      <c r="Q54" s="32" t="n"/>
      <c r="U54" s="31">
        <f>IF($A54="","",SUM(X54:AE54))</f>
        <v/>
      </c>
      <c r="V54" s="31">
        <f>IF($A54="","",IF($H54&lt;&gt;"Ausgabe",0,-$E54-$U54))</f>
        <v/>
      </c>
      <c r="W54" s="33">
        <f>IF($A54="","",DATE(YEAR($A54),MONTH($A54),1))</f>
        <v/>
      </c>
      <c r="X54" s="34">
        <f>IF(OR($A54="",$H54&lt;&gt;"Ausgabe",J54=""),0,IF(J54="x",-$E54/(COUNTIF($J54:$Q54,"x")+1),-$E54*N(J54)))</f>
        <v/>
      </c>
      <c r="Y54" s="34">
        <f>IF(OR($A54="",$H54&lt;&gt;"Ausgabe",K54=""),0,IF(K54="x",-$E54/(COUNTIF($J54:$Q54,"x")+1),-$E54*N(K54)))</f>
        <v/>
      </c>
      <c r="Z54" s="34">
        <f>IF(OR($A54="",$H54&lt;&gt;"Ausgabe",L54=""),0,IF(L54="x",-$E54/(COUNTIF($J54:$Q54,"x")+1),-$E54*N(L54)))</f>
        <v/>
      </c>
      <c r="AA54" s="34">
        <f>IF(OR($A54="",$H54&lt;&gt;"Ausgabe",M54=""),0,IF(M54="x",-$E54/(COUNTIF($J54:$Q54,"x")+1),-$E54*N(M54)))</f>
        <v/>
      </c>
      <c r="AB54" s="34">
        <f>IF(OR($A54="",$H54&lt;&gt;"Ausgabe",N54=""),0,IF(N54="x",-$E54/(COUNTIF($J54:$Q54,"x")+1),-$E54*N(N54)))</f>
        <v/>
      </c>
      <c r="AC54" s="34">
        <f>IF(OR($A54="",$H54&lt;&gt;"Ausgabe",O54=""),0,IF(O54="x",-$E54/(COUNTIF($J54:$Q54,"x")+1),-$E54*N(O54)))</f>
        <v/>
      </c>
      <c r="AD54" s="34">
        <f>IF(OR($A54="",$H54&lt;&gt;"Ausgabe",P54=""),0,IF(P54="x",-$E54/(COUNTIF($J54:$Q54,"x")+1),-$E54*N(P54)))</f>
        <v/>
      </c>
      <c r="AE54" s="34">
        <f>IF(OR($A54="",$H54&lt;&gt;"Ausgabe",Q54=""),0,IF(Q54="x",-$E54/(COUNTIF($J54:$Q54,"x")+1),-$E54*N(Q54)))</f>
        <v/>
      </c>
    </row>
    <row r="55">
      <c r="A55" s="30" t="n"/>
      <c r="E55" s="31" t="n"/>
      <c r="J55" s="32" t="n"/>
      <c r="K55" s="32" t="n"/>
      <c r="L55" s="32" t="n"/>
      <c r="M55" s="32" t="n"/>
      <c r="N55" s="32" t="n"/>
      <c r="O55" s="32" t="n"/>
      <c r="P55" s="32" t="n"/>
      <c r="Q55" s="32" t="n"/>
      <c r="U55" s="31">
        <f>IF($A55="","",SUM(X55:AE55))</f>
        <v/>
      </c>
      <c r="V55" s="31">
        <f>IF($A55="","",IF($H55&lt;&gt;"Ausgabe",0,-$E55-$U55))</f>
        <v/>
      </c>
      <c r="W55" s="33">
        <f>IF($A55="","",DATE(YEAR($A55),MONTH($A55),1))</f>
        <v/>
      </c>
      <c r="X55" s="34">
        <f>IF(OR($A55="",$H55&lt;&gt;"Ausgabe",J55=""),0,IF(J55="x",-$E55/(COUNTIF($J55:$Q55,"x")+1),-$E55*N(J55)))</f>
        <v/>
      </c>
      <c r="Y55" s="34">
        <f>IF(OR($A55="",$H55&lt;&gt;"Ausgabe",K55=""),0,IF(K55="x",-$E55/(COUNTIF($J55:$Q55,"x")+1),-$E55*N(K55)))</f>
        <v/>
      </c>
      <c r="Z55" s="34">
        <f>IF(OR($A55="",$H55&lt;&gt;"Ausgabe",L55=""),0,IF(L55="x",-$E55/(COUNTIF($J55:$Q55,"x")+1),-$E55*N(L55)))</f>
        <v/>
      </c>
      <c r="AA55" s="34">
        <f>IF(OR($A55="",$H55&lt;&gt;"Ausgabe",M55=""),0,IF(M55="x",-$E55/(COUNTIF($J55:$Q55,"x")+1),-$E55*N(M55)))</f>
        <v/>
      </c>
      <c r="AB55" s="34">
        <f>IF(OR($A55="",$H55&lt;&gt;"Ausgabe",N55=""),0,IF(N55="x",-$E55/(COUNTIF($J55:$Q55,"x")+1),-$E55*N(N55)))</f>
        <v/>
      </c>
      <c r="AC55" s="34">
        <f>IF(OR($A55="",$H55&lt;&gt;"Ausgabe",O55=""),0,IF(O55="x",-$E55/(COUNTIF($J55:$Q55,"x")+1),-$E55*N(O55)))</f>
        <v/>
      </c>
      <c r="AD55" s="34">
        <f>IF(OR($A55="",$H55&lt;&gt;"Ausgabe",P55=""),0,IF(P55="x",-$E55/(COUNTIF($J55:$Q55,"x")+1),-$E55*N(P55)))</f>
        <v/>
      </c>
      <c r="AE55" s="34">
        <f>IF(OR($A55="",$H55&lt;&gt;"Ausgabe",Q55=""),0,IF(Q55="x",-$E55/(COUNTIF($J55:$Q55,"x")+1),-$E55*N(Q55)))</f>
        <v/>
      </c>
    </row>
    <row r="56">
      <c r="A56" s="30" t="n"/>
      <c r="E56" s="31" t="n"/>
      <c r="J56" s="32" t="n"/>
      <c r="K56" s="32" t="n"/>
      <c r="L56" s="32" t="n"/>
      <c r="M56" s="32" t="n"/>
      <c r="N56" s="32" t="n"/>
      <c r="O56" s="32" t="n"/>
      <c r="P56" s="32" t="n"/>
      <c r="Q56" s="32" t="n"/>
      <c r="U56" s="31">
        <f>IF($A56="","",SUM(X56:AE56))</f>
        <v/>
      </c>
      <c r="V56" s="31">
        <f>IF($A56="","",IF($H56&lt;&gt;"Ausgabe",0,-$E56-$U56))</f>
        <v/>
      </c>
      <c r="W56" s="33">
        <f>IF($A56="","",DATE(YEAR($A56),MONTH($A56),1))</f>
        <v/>
      </c>
      <c r="X56" s="34">
        <f>IF(OR($A56="",$H56&lt;&gt;"Ausgabe",J56=""),0,IF(J56="x",-$E56/(COUNTIF($J56:$Q56,"x")+1),-$E56*N(J56)))</f>
        <v/>
      </c>
      <c r="Y56" s="34">
        <f>IF(OR($A56="",$H56&lt;&gt;"Ausgabe",K56=""),0,IF(K56="x",-$E56/(COUNTIF($J56:$Q56,"x")+1),-$E56*N(K56)))</f>
        <v/>
      </c>
      <c r="Z56" s="34">
        <f>IF(OR($A56="",$H56&lt;&gt;"Ausgabe",L56=""),0,IF(L56="x",-$E56/(COUNTIF($J56:$Q56,"x")+1),-$E56*N(L56)))</f>
        <v/>
      </c>
      <c r="AA56" s="34">
        <f>IF(OR($A56="",$H56&lt;&gt;"Ausgabe",M56=""),0,IF(M56="x",-$E56/(COUNTIF($J56:$Q56,"x")+1),-$E56*N(M56)))</f>
        <v/>
      </c>
      <c r="AB56" s="34">
        <f>IF(OR($A56="",$H56&lt;&gt;"Ausgabe",N56=""),0,IF(N56="x",-$E56/(COUNTIF($J56:$Q56,"x")+1),-$E56*N(N56)))</f>
        <v/>
      </c>
      <c r="AC56" s="34">
        <f>IF(OR($A56="",$H56&lt;&gt;"Ausgabe",O56=""),0,IF(O56="x",-$E56/(COUNTIF($J56:$Q56,"x")+1),-$E56*N(O56)))</f>
        <v/>
      </c>
      <c r="AD56" s="34">
        <f>IF(OR($A56="",$H56&lt;&gt;"Ausgabe",P56=""),0,IF(P56="x",-$E56/(COUNTIF($J56:$Q56,"x")+1),-$E56*N(P56)))</f>
        <v/>
      </c>
      <c r="AE56" s="34">
        <f>IF(OR($A56="",$H56&lt;&gt;"Ausgabe",Q56=""),0,IF(Q56="x",-$E56/(COUNTIF($J56:$Q56,"x")+1),-$E56*N(Q56)))</f>
        <v/>
      </c>
    </row>
    <row r="57">
      <c r="A57" s="30" t="n"/>
      <c r="E57" s="31" t="n"/>
      <c r="J57" s="32" t="n"/>
      <c r="K57" s="32" t="n"/>
      <c r="L57" s="32" t="n"/>
      <c r="M57" s="32" t="n"/>
      <c r="N57" s="32" t="n"/>
      <c r="O57" s="32" t="n"/>
      <c r="P57" s="32" t="n"/>
      <c r="Q57" s="32" t="n"/>
      <c r="U57" s="31">
        <f>IF($A57="","",SUM(X57:AE57))</f>
        <v/>
      </c>
      <c r="V57" s="31">
        <f>IF($A57="","",IF($H57&lt;&gt;"Ausgabe",0,-$E57-$U57))</f>
        <v/>
      </c>
      <c r="W57" s="33">
        <f>IF($A57="","",DATE(YEAR($A57),MONTH($A57),1))</f>
        <v/>
      </c>
      <c r="X57" s="34">
        <f>IF(OR($A57="",$H57&lt;&gt;"Ausgabe",J57=""),0,IF(J57="x",-$E57/(COUNTIF($J57:$Q57,"x")+1),-$E57*N(J57)))</f>
        <v/>
      </c>
      <c r="Y57" s="34">
        <f>IF(OR($A57="",$H57&lt;&gt;"Ausgabe",K57=""),0,IF(K57="x",-$E57/(COUNTIF($J57:$Q57,"x")+1),-$E57*N(K57)))</f>
        <v/>
      </c>
      <c r="Z57" s="34">
        <f>IF(OR($A57="",$H57&lt;&gt;"Ausgabe",L57=""),0,IF(L57="x",-$E57/(COUNTIF($J57:$Q57,"x")+1),-$E57*N(L57)))</f>
        <v/>
      </c>
      <c r="AA57" s="34">
        <f>IF(OR($A57="",$H57&lt;&gt;"Ausgabe",M57=""),0,IF(M57="x",-$E57/(COUNTIF($J57:$Q57,"x")+1),-$E57*N(M57)))</f>
        <v/>
      </c>
      <c r="AB57" s="34">
        <f>IF(OR($A57="",$H57&lt;&gt;"Ausgabe",N57=""),0,IF(N57="x",-$E57/(COUNTIF($J57:$Q57,"x")+1),-$E57*N(N57)))</f>
        <v/>
      </c>
      <c r="AC57" s="34">
        <f>IF(OR($A57="",$H57&lt;&gt;"Ausgabe",O57=""),0,IF(O57="x",-$E57/(COUNTIF($J57:$Q57,"x")+1),-$E57*N(O57)))</f>
        <v/>
      </c>
      <c r="AD57" s="34">
        <f>IF(OR($A57="",$H57&lt;&gt;"Ausgabe",P57=""),0,IF(P57="x",-$E57/(COUNTIF($J57:$Q57,"x")+1),-$E57*N(P57)))</f>
        <v/>
      </c>
      <c r="AE57" s="34">
        <f>IF(OR($A57="",$H57&lt;&gt;"Ausgabe",Q57=""),0,IF(Q57="x",-$E57/(COUNTIF($J57:$Q57,"x")+1),-$E57*N(Q57)))</f>
        <v/>
      </c>
    </row>
    <row r="58">
      <c r="A58" s="30" t="n"/>
      <c r="E58" s="31" t="n"/>
      <c r="J58" s="32" t="n"/>
      <c r="K58" s="32" t="n"/>
      <c r="L58" s="32" t="n"/>
      <c r="M58" s="32" t="n"/>
      <c r="N58" s="32" t="n"/>
      <c r="O58" s="32" t="n"/>
      <c r="P58" s="32" t="n"/>
      <c r="Q58" s="32" t="n"/>
      <c r="U58" s="31">
        <f>IF($A58="","",SUM(X58:AE58))</f>
        <v/>
      </c>
      <c r="V58" s="31">
        <f>IF($A58="","",IF($H58&lt;&gt;"Ausgabe",0,-$E58-$U58))</f>
        <v/>
      </c>
      <c r="W58" s="33">
        <f>IF($A58="","",DATE(YEAR($A58),MONTH($A58),1))</f>
        <v/>
      </c>
      <c r="X58" s="34">
        <f>IF(OR($A58="",$H58&lt;&gt;"Ausgabe",J58=""),0,IF(J58="x",-$E58/(COUNTIF($J58:$Q58,"x")+1),-$E58*N(J58)))</f>
        <v/>
      </c>
      <c r="Y58" s="34">
        <f>IF(OR($A58="",$H58&lt;&gt;"Ausgabe",K58=""),0,IF(K58="x",-$E58/(COUNTIF($J58:$Q58,"x")+1),-$E58*N(K58)))</f>
        <v/>
      </c>
      <c r="Z58" s="34">
        <f>IF(OR($A58="",$H58&lt;&gt;"Ausgabe",L58=""),0,IF(L58="x",-$E58/(COUNTIF($J58:$Q58,"x")+1),-$E58*N(L58)))</f>
        <v/>
      </c>
      <c r="AA58" s="34">
        <f>IF(OR($A58="",$H58&lt;&gt;"Ausgabe",M58=""),0,IF(M58="x",-$E58/(COUNTIF($J58:$Q58,"x")+1),-$E58*N(M58)))</f>
        <v/>
      </c>
      <c r="AB58" s="34">
        <f>IF(OR($A58="",$H58&lt;&gt;"Ausgabe",N58=""),0,IF(N58="x",-$E58/(COUNTIF($J58:$Q58,"x")+1),-$E58*N(N58)))</f>
        <v/>
      </c>
      <c r="AC58" s="34">
        <f>IF(OR($A58="",$H58&lt;&gt;"Ausgabe",O58=""),0,IF(O58="x",-$E58/(COUNTIF($J58:$Q58,"x")+1),-$E58*N(O58)))</f>
        <v/>
      </c>
      <c r="AD58" s="34">
        <f>IF(OR($A58="",$H58&lt;&gt;"Ausgabe",P58=""),0,IF(P58="x",-$E58/(COUNTIF($J58:$Q58,"x")+1),-$E58*N(P58)))</f>
        <v/>
      </c>
      <c r="AE58" s="34">
        <f>IF(OR($A58="",$H58&lt;&gt;"Ausgabe",Q58=""),0,IF(Q58="x",-$E58/(COUNTIF($J58:$Q58,"x")+1),-$E58*N(Q58)))</f>
        <v/>
      </c>
    </row>
    <row r="59">
      <c r="A59" s="30" t="n"/>
      <c r="E59" s="31" t="n"/>
      <c r="J59" s="32" t="n"/>
      <c r="K59" s="32" t="n"/>
      <c r="L59" s="32" t="n"/>
      <c r="M59" s="32" t="n"/>
      <c r="N59" s="32" t="n"/>
      <c r="O59" s="32" t="n"/>
      <c r="P59" s="32" t="n"/>
      <c r="Q59" s="32" t="n"/>
      <c r="U59" s="31">
        <f>IF($A59="","",SUM(X59:AE59))</f>
        <v/>
      </c>
      <c r="V59" s="31">
        <f>IF($A59="","",IF($H59&lt;&gt;"Ausgabe",0,-$E59-$U59))</f>
        <v/>
      </c>
      <c r="W59" s="33">
        <f>IF($A59="","",DATE(YEAR($A59),MONTH($A59),1))</f>
        <v/>
      </c>
      <c r="X59" s="34">
        <f>IF(OR($A59="",$H59&lt;&gt;"Ausgabe",J59=""),0,IF(J59="x",-$E59/(COUNTIF($J59:$Q59,"x")+1),-$E59*N(J59)))</f>
        <v/>
      </c>
      <c r="Y59" s="34">
        <f>IF(OR($A59="",$H59&lt;&gt;"Ausgabe",K59=""),0,IF(K59="x",-$E59/(COUNTIF($J59:$Q59,"x")+1),-$E59*N(K59)))</f>
        <v/>
      </c>
      <c r="Z59" s="34">
        <f>IF(OR($A59="",$H59&lt;&gt;"Ausgabe",L59=""),0,IF(L59="x",-$E59/(COUNTIF($J59:$Q59,"x")+1),-$E59*N(L59)))</f>
        <v/>
      </c>
      <c r="AA59" s="34">
        <f>IF(OR($A59="",$H59&lt;&gt;"Ausgabe",M59=""),0,IF(M59="x",-$E59/(COUNTIF($J59:$Q59,"x")+1),-$E59*N(M59)))</f>
        <v/>
      </c>
      <c r="AB59" s="34">
        <f>IF(OR($A59="",$H59&lt;&gt;"Ausgabe",N59=""),0,IF(N59="x",-$E59/(COUNTIF($J59:$Q59,"x")+1),-$E59*N(N59)))</f>
        <v/>
      </c>
      <c r="AC59" s="34">
        <f>IF(OR($A59="",$H59&lt;&gt;"Ausgabe",O59=""),0,IF(O59="x",-$E59/(COUNTIF($J59:$Q59,"x")+1),-$E59*N(O59)))</f>
        <v/>
      </c>
      <c r="AD59" s="34">
        <f>IF(OR($A59="",$H59&lt;&gt;"Ausgabe",P59=""),0,IF(P59="x",-$E59/(COUNTIF($J59:$Q59,"x")+1),-$E59*N(P59)))</f>
        <v/>
      </c>
      <c r="AE59" s="34">
        <f>IF(OR($A59="",$H59&lt;&gt;"Ausgabe",Q59=""),0,IF(Q59="x",-$E59/(COUNTIF($J59:$Q59,"x")+1),-$E59*N(Q59)))</f>
        <v/>
      </c>
    </row>
    <row r="60">
      <c r="A60" s="30" t="n"/>
      <c r="E60" s="31" t="n"/>
      <c r="J60" s="32" t="n"/>
      <c r="K60" s="32" t="n"/>
      <c r="L60" s="32" t="n"/>
      <c r="M60" s="32" t="n"/>
      <c r="N60" s="32" t="n"/>
      <c r="O60" s="32" t="n"/>
      <c r="P60" s="32" t="n"/>
      <c r="Q60" s="32" t="n"/>
      <c r="U60" s="31">
        <f>IF($A60="","",SUM(X60:AE60))</f>
        <v/>
      </c>
      <c r="V60" s="31">
        <f>IF($A60="","",IF($H60&lt;&gt;"Ausgabe",0,-$E60-$U60))</f>
        <v/>
      </c>
      <c r="W60" s="33">
        <f>IF($A60="","",DATE(YEAR($A60),MONTH($A60),1))</f>
        <v/>
      </c>
      <c r="X60" s="34">
        <f>IF(OR($A60="",$H60&lt;&gt;"Ausgabe",J60=""),0,IF(J60="x",-$E60/(COUNTIF($J60:$Q60,"x")+1),-$E60*N(J60)))</f>
        <v/>
      </c>
      <c r="Y60" s="34">
        <f>IF(OR($A60="",$H60&lt;&gt;"Ausgabe",K60=""),0,IF(K60="x",-$E60/(COUNTIF($J60:$Q60,"x")+1),-$E60*N(K60)))</f>
        <v/>
      </c>
      <c r="Z60" s="34">
        <f>IF(OR($A60="",$H60&lt;&gt;"Ausgabe",L60=""),0,IF(L60="x",-$E60/(COUNTIF($J60:$Q60,"x")+1),-$E60*N(L60)))</f>
        <v/>
      </c>
      <c r="AA60" s="34">
        <f>IF(OR($A60="",$H60&lt;&gt;"Ausgabe",M60=""),0,IF(M60="x",-$E60/(COUNTIF($J60:$Q60,"x")+1),-$E60*N(M60)))</f>
        <v/>
      </c>
      <c r="AB60" s="34">
        <f>IF(OR($A60="",$H60&lt;&gt;"Ausgabe",N60=""),0,IF(N60="x",-$E60/(COUNTIF($J60:$Q60,"x")+1),-$E60*N(N60)))</f>
        <v/>
      </c>
      <c r="AC60" s="34">
        <f>IF(OR($A60="",$H60&lt;&gt;"Ausgabe",O60=""),0,IF(O60="x",-$E60/(COUNTIF($J60:$Q60,"x")+1),-$E60*N(O60)))</f>
        <v/>
      </c>
      <c r="AD60" s="34">
        <f>IF(OR($A60="",$H60&lt;&gt;"Ausgabe",P60=""),0,IF(P60="x",-$E60/(COUNTIF($J60:$Q60,"x")+1),-$E60*N(P60)))</f>
        <v/>
      </c>
      <c r="AE60" s="34">
        <f>IF(OR($A60="",$H60&lt;&gt;"Ausgabe",Q60=""),0,IF(Q60="x",-$E60/(COUNTIF($J60:$Q60,"x")+1),-$E60*N(Q60)))</f>
        <v/>
      </c>
    </row>
    <row r="61">
      <c r="A61" s="30" t="n"/>
      <c r="E61" s="31" t="n"/>
      <c r="J61" s="32" t="n"/>
      <c r="K61" s="32" t="n"/>
      <c r="L61" s="32" t="n"/>
      <c r="M61" s="32" t="n"/>
      <c r="N61" s="32" t="n"/>
      <c r="O61" s="32" t="n"/>
      <c r="P61" s="32" t="n"/>
      <c r="Q61" s="32" t="n"/>
      <c r="U61" s="31">
        <f>IF($A61="","",SUM(X61:AE61))</f>
        <v/>
      </c>
      <c r="V61" s="31">
        <f>IF($A61="","",IF($H61&lt;&gt;"Ausgabe",0,-$E61-$U61))</f>
        <v/>
      </c>
      <c r="W61" s="33">
        <f>IF($A61="","",DATE(YEAR($A61),MONTH($A61),1))</f>
        <v/>
      </c>
      <c r="X61" s="34">
        <f>IF(OR($A61="",$H61&lt;&gt;"Ausgabe",J61=""),0,IF(J61="x",-$E61/(COUNTIF($J61:$Q61,"x")+1),-$E61*N(J61)))</f>
        <v/>
      </c>
      <c r="Y61" s="34">
        <f>IF(OR($A61="",$H61&lt;&gt;"Ausgabe",K61=""),0,IF(K61="x",-$E61/(COUNTIF($J61:$Q61,"x")+1),-$E61*N(K61)))</f>
        <v/>
      </c>
      <c r="Z61" s="34">
        <f>IF(OR($A61="",$H61&lt;&gt;"Ausgabe",L61=""),0,IF(L61="x",-$E61/(COUNTIF($J61:$Q61,"x")+1),-$E61*N(L61)))</f>
        <v/>
      </c>
      <c r="AA61" s="34">
        <f>IF(OR($A61="",$H61&lt;&gt;"Ausgabe",M61=""),0,IF(M61="x",-$E61/(COUNTIF($J61:$Q61,"x")+1),-$E61*N(M61)))</f>
        <v/>
      </c>
      <c r="AB61" s="34">
        <f>IF(OR($A61="",$H61&lt;&gt;"Ausgabe",N61=""),0,IF(N61="x",-$E61/(COUNTIF($J61:$Q61,"x")+1),-$E61*N(N61)))</f>
        <v/>
      </c>
      <c r="AC61" s="34">
        <f>IF(OR($A61="",$H61&lt;&gt;"Ausgabe",O61=""),0,IF(O61="x",-$E61/(COUNTIF($J61:$Q61,"x")+1),-$E61*N(O61)))</f>
        <v/>
      </c>
      <c r="AD61" s="34">
        <f>IF(OR($A61="",$H61&lt;&gt;"Ausgabe",P61=""),0,IF(P61="x",-$E61/(COUNTIF($J61:$Q61,"x")+1),-$E61*N(P61)))</f>
        <v/>
      </c>
      <c r="AE61" s="34">
        <f>IF(OR($A61="",$H61&lt;&gt;"Ausgabe",Q61=""),0,IF(Q61="x",-$E61/(COUNTIF($J61:$Q61,"x")+1),-$E61*N(Q61)))</f>
        <v/>
      </c>
    </row>
    <row r="62">
      <c r="A62" s="30" t="n"/>
      <c r="E62" s="31" t="n"/>
      <c r="J62" s="32" t="n"/>
      <c r="K62" s="32" t="n"/>
      <c r="L62" s="32" t="n"/>
      <c r="M62" s="32" t="n"/>
      <c r="N62" s="32" t="n"/>
      <c r="O62" s="32" t="n"/>
      <c r="P62" s="32" t="n"/>
      <c r="Q62" s="32" t="n"/>
      <c r="U62" s="31">
        <f>IF($A62="","",SUM(X62:AE62))</f>
        <v/>
      </c>
      <c r="V62" s="31">
        <f>IF($A62="","",IF($H62&lt;&gt;"Ausgabe",0,-$E62-$U62))</f>
        <v/>
      </c>
      <c r="W62" s="33">
        <f>IF($A62="","",DATE(YEAR($A62),MONTH($A62),1))</f>
        <v/>
      </c>
      <c r="X62" s="34">
        <f>IF(OR($A62="",$H62&lt;&gt;"Ausgabe",J62=""),0,IF(J62="x",-$E62/(COUNTIF($J62:$Q62,"x")+1),-$E62*N(J62)))</f>
        <v/>
      </c>
      <c r="Y62" s="34">
        <f>IF(OR($A62="",$H62&lt;&gt;"Ausgabe",K62=""),0,IF(K62="x",-$E62/(COUNTIF($J62:$Q62,"x")+1),-$E62*N(K62)))</f>
        <v/>
      </c>
      <c r="Z62" s="34">
        <f>IF(OR($A62="",$H62&lt;&gt;"Ausgabe",L62=""),0,IF(L62="x",-$E62/(COUNTIF($J62:$Q62,"x")+1),-$E62*N(L62)))</f>
        <v/>
      </c>
      <c r="AA62" s="34">
        <f>IF(OR($A62="",$H62&lt;&gt;"Ausgabe",M62=""),0,IF(M62="x",-$E62/(COUNTIF($J62:$Q62,"x")+1),-$E62*N(M62)))</f>
        <v/>
      </c>
      <c r="AB62" s="34">
        <f>IF(OR($A62="",$H62&lt;&gt;"Ausgabe",N62=""),0,IF(N62="x",-$E62/(COUNTIF($J62:$Q62,"x")+1),-$E62*N(N62)))</f>
        <v/>
      </c>
      <c r="AC62" s="34">
        <f>IF(OR($A62="",$H62&lt;&gt;"Ausgabe",O62=""),0,IF(O62="x",-$E62/(COUNTIF($J62:$Q62,"x")+1),-$E62*N(O62)))</f>
        <v/>
      </c>
      <c r="AD62" s="34">
        <f>IF(OR($A62="",$H62&lt;&gt;"Ausgabe",P62=""),0,IF(P62="x",-$E62/(COUNTIF($J62:$Q62,"x")+1),-$E62*N(P62)))</f>
        <v/>
      </c>
      <c r="AE62" s="34">
        <f>IF(OR($A62="",$H62&lt;&gt;"Ausgabe",Q62=""),0,IF(Q62="x",-$E62/(COUNTIF($J62:$Q62,"x")+1),-$E62*N(Q62)))</f>
        <v/>
      </c>
    </row>
    <row r="63">
      <c r="A63" s="30" t="n"/>
      <c r="E63" s="31" t="n"/>
      <c r="J63" s="32" t="n"/>
      <c r="K63" s="32" t="n"/>
      <c r="L63" s="32" t="n"/>
      <c r="M63" s="32" t="n"/>
      <c r="N63" s="32" t="n"/>
      <c r="O63" s="32" t="n"/>
      <c r="P63" s="32" t="n"/>
      <c r="Q63" s="32" t="n"/>
      <c r="U63" s="31">
        <f>IF($A63="","",SUM(X63:AE63))</f>
        <v/>
      </c>
      <c r="V63" s="31">
        <f>IF($A63="","",IF($H63&lt;&gt;"Ausgabe",0,-$E63-$U63))</f>
        <v/>
      </c>
      <c r="W63" s="33">
        <f>IF($A63="","",DATE(YEAR($A63),MONTH($A63),1))</f>
        <v/>
      </c>
      <c r="X63" s="34">
        <f>IF(OR($A63="",$H63&lt;&gt;"Ausgabe",J63=""),0,IF(J63="x",-$E63/(COUNTIF($J63:$Q63,"x")+1),-$E63*N(J63)))</f>
        <v/>
      </c>
      <c r="Y63" s="34">
        <f>IF(OR($A63="",$H63&lt;&gt;"Ausgabe",K63=""),0,IF(K63="x",-$E63/(COUNTIF($J63:$Q63,"x")+1),-$E63*N(K63)))</f>
        <v/>
      </c>
      <c r="Z63" s="34">
        <f>IF(OR($A63="",$H63&lt;&gt;"Ausgabe",L63=""),0,IF(L63="x",-$E63/(COUNTIF($J63:$Q63,"x")+1),-$E63*N(L63)))</f>
        <v/>
      </c>
      <c r="AA63" s="34">
        <f>IF(OR($A63="",$H63&lt;&gt;"Ausgabe",M63=""),0,IF(M63="x",-$E63/(COUNTIF($J63:$Q63,"x")+1),-$E63*N(M63)))</f>
        <v/>
      </c>
      <c r="AB63" s="34">
        <f>IF(OR($A63="",$H63&lt;&gt;"Ausgabe",N63=""),0,IF(N63="x",-$E63/(COUNTIF($J63:$Q63,"x")+1),-$E63*N(N63)))</f>
        <v/>
      </c>
      <c r="AC63" s="34">
        <f>IF(OR($A63="",$H63&lt;&gt;"Ausgabe",O63=""),0,IF(O63="x",-$E63/(COUNTIF($J63:$Q63,"x")+1),-$E63*N(O63)))</f>
        <v/>
      </c>
      <c r="AD63" s="34">
        <f>IF(OR($A63="",$H63&lt;&gt;"Ausgabe",P63=""),0,IF(P63="x",-$E63/(COUNTIF($J63:$Q63,"x")+1),-$E63*N(P63)))</f>
        <v/>
      </c>
      <c r="AE63" s="34">
        <f>IF(OR($A63="",$H63&lt;&gt;"Ausgabe",Q63=""),0,IF(Q63="x",-$E63/(COUNTIF($J63:$Q63,"x")+1),-$E63*N(Q63)))</f>
        <v/>
      </c>
    </row>
    <row r="64">
      <c r="A64" s="30" t="n"/>
      <c r="E64" s="31" t="n"/>
      <c r="J64" s="32" t="n"/>
      <c r="K64" s="32" t="n"/>
      <c r="L64" s="32" t="n"/>
      <c r="M64" s="32" t="n"/>
      <c r="N64" s="32" t="n"/>
      <c r="O64" s="32" t="n"/>
      <c r="P64" s="32" t="n"/>
      <c r="Q64" s="32" t="n"/>
      <c r="U64" s="31">
        <f>IF($A64="","",SUM(X64:AE64))</f>
        <v/>
      </c>
      <c r="V64" s="31">
        <f>IF($A64="","",IF($H64&lt;&gt;"Ausgabe",0,-$E64-$U64))</f>
        <v/>
      </c>
      <c r="W64" s="33">
        <f>IF($A64="","",DATE(YEAR($A64),MONTH($A64),1))</f>
        <v/>
      </c>
      <c r="X64" s="34">
        <f>IF(OR($A64="",$H64&lt;&gt;"Ausgabe",J64=""),0,IF(J64="x",-$E64/(COUNTIF($J64:$Q64,"x")+1),-$E64*N(J64)))</f>
        <v/>
      </c>
      <c r="Y64" s="34">
        <f>IF(OR($A64="",$H64&lt;&gt;"Ausgabe",K64=""),0,IF(K64="x",-$E64/(COUNTIF($J64:$Q64,"x")+1),-$E64*N(K64)))</f>
        <v/>
      </c>
      <c r="Z64" s="34">
        <f>IF(OR($A64="",$H64&lt;&gt;"Ausgabe",L64=""),0,IF(L64="x",-$E64/(COUNTIF($J64:$Q64,"x")+1),-$E64*N(L64)))</f>
        <v/>
      </c>
      <c r="AA64" s="34">
        <f>IF(OR($A64="",$H64&lt;&gt;"Ausgabe",M64=""),0,IF(M64="x",-$E64/(COUNTIF($J64:$Q64,"x")+1),-$E64*N(M64)))</f>
        <v/>
      </c>
      <c r="AB64" s="34">
        <f>IF(OR($A64="",$H64&lt;&gt;"Ausgabe",N64=""),0,IF(N64="x",-$E64/(COUNTIF($J64:$Q64,"x")+1),-$E64*N(N64)))</f>
        <v/>
      </c>
      <c r="AC64" s="34">
        <f>IF(OR($A64="",$H64&lt;&gt;"Ausgabe",O64=""),0,IF(O64="x",-$E64/(COUNTIF($J64:$Q64,"x")+1),-$E64*N(O64)))</f>
        <v/>
      </c>
      <c r="AD64" s="34">
        <f>IF(OR($A64="",$H64&lt;&gt;"Ausgabe",P64=""),0,IF(P64="x",-$E64/(COUNTIF($J64:$Q64,"x")+1),-$E64*N(P64)))</f>
        <v/>
      </c>
      <c r="AE64" s="34">
        <f>IF(OR($A64="",$H64&lt;&gt;"Ausgabe",Q64=""),0,IF(Q64="x",-$E64/(COUNTIF($J64:$Q64,"x")+1),-$E64*N(Q64)))</f>
        <v/>
      </c>
    </row>
    <row r="65">
      <c r="A65" s="30" t="n"/>
      <c r="E65" s="31" t="n"/>
      <c r="J65" s="32" t="n"/>
      <c r="K65" s="32" t="n"/>
      <c r="L65" s="32" t="n"/>
      <c r="M65" s="32" t="n"/>
      <c r="N65" s="32" t="n"/>
      <c r="O65" s="32" t="n"/>
      <c r="P65" s="32" t="n"/>
      <c r="Q65" s="32" t="n"/>
      <c r="U65" s="31">
        <f>IF($A65="","",SUM(X65:AE65))</f>
        <v/>
      </c>
      <c r="V65" s="31">
        <f>IF($A65="","",IF($H65&lt;&gt;"Ausgabe",0,-$E65-$U65))</f>
        <v/>
      </c>
      <c r="W65" s="33">
        <f>IF($A65="","",DATE(YEAR($A65),MONTH($A65),1))</f>
        <v/>
      </c>
      <c r="X65" s="34">
        <f>IF(OR($A65="",$H65&lt;&gt;"Ausgabe",J65=""),0,IF(J65="x",-$E65/(COUNTIF($J65:$Q65,"x")+1),-$E65*N(J65)))</f>
        <v/>
      </c>
      <c r="Y65" s="34">
        <f>IF(OR($A65="",$H65&lt;&gt;"Ausgabe",K65=""),0,IF(K65="x",-$E65/(COUNTIF($J65:$Q65,"x")+1),-$E65*N(K65)))</f>
        <v/>
      </c>
      <c r="Z65" s="34">
        <f>IF(OR($A65="",$H65&lt;&gt;"Ausgabe",L65=""),0,IF(L65="x",-$E65/(COUNTIF($J65:$Q65,"x")+1),-$E65*N(L65)))</f>
        <v/>
      </c>
      <c r="AA65" s="34">
        <f>IF(OR($A65="",$H65&lt;&gt;"Ausgabe",M65=""),0,IF(M65="x",-$E65/(COUNTIF($J65:$Q65,"x")+1),-$E65*N(M65)))</f>
        <v/>
      </c>
      <c r="AB65" s="34">
        <f>IF(OR($A65="",$H65&lt;&gt;"Ausgabe",N65=""),0,IF(N65="x",-$E65/(COUNTIF($J65:$Q65,"x")+1),-$E65*N(N65)))</f>
        <v/>
      </c>
      <c r="AC65" s="34">
        <f>IF(OR($A65="",$H65&lt;&gt;"Ausgabe",O65=""),0,IF(O65="x",-$E65/(COUNTIF($J65:$Q65,"x")+1),-$E65*N(O65)))</f>
        <v/>
      </c>
      <c r="AD65" s="34">
        <f>IF(OR($A65="",$H65&lt;&gt;"Ausgabe",P65=""),0,IF(P65="x",-$E65/(COUNTIF($J65:$Q65,"x")+1),-$E65*N(P65)))</f>
        <v/>
      </c>
      <c r="AE65" s="34">
        <f>IF(OR($A65="",$H65&lt;&gt;"Ausgabe",Q65=""),0,IF(Q65="x",-$E65/(COUNTIF($J65:$Q65,"x")+1),-$E65*N(Q65)))</f>
        <v/>
      </c>
    </row>
    <row r="66">
      <c r="A66" s="30" t="n"/>
      <c r="E66" s="31" t="n"/>
      <c r="J66" s="32" t="n"/>
      <c r="K66" s="32" t="n"/>
      <c r="L66" s="32" t="n"/>
      <c r="M66" s="32" t="n"/>
      <c r="N66" s="32" t="n"/>
      <c r="O66" s="32" t="n"/>
      <c r="P66" s="32" t="n"/>
      <c r="Q66" s="32" t="n"/>
      <c r="U66" s="31">
        <f>IF($A66="","",SUM(X66:AE66))</f>
        <v/>
      </c>
      <c r="V66" s="31">
        <f>IF($A66="","",IF($H66&lt;&gt;"Ausgabe",0,-$E66-$U66))</f>
        <v/>
      </c>
      <c r="W66" s="33">
        <f>IF($A66="","",DATE(YEAR($A66),MONTH($A66),1))</f>
        <v/>
      </c>
      <c r="X66" s="34">
        <f>IF(OR($A66="",$H66&lt;&gt;"Ausgabe",J66=""),0,IF(J66="x",-$E66/(COUNTIF($J66:$Q66,"x")+1),-$E66*N(J66)))</f>
        <v/>
      </c>
      <c r="Y66" s="34">
        <f>IF(OR($A66="",$H66&lt;&gt;"Ausgabe",K66=""),0,IF(K66="x",-$E66/(COUNTIF($J66:$Q66,"x")+1),-$E66*N(K66)))</f>
        <v/>
      </c>
      <c r="Z66" s="34">
        <f>IF(OR($A66="",$H66&lt;&gt;"Ausgabe",L66=""),0,IF(L66="x",-$E66/(COUNTIF($J66:$Q66,"x")+1),-$E66*N(L66)))</f>
        <v/>
      </c>
      <c r="AA66" s="34">
        <f>IF(OR($A66="",$H66&lt;&gt;"Ausgabe",M66=""),0,IF(M66="x",-$E66/(COUNTIF($J66:$Q66,"x")+1),-$E66*N(M66)))</f>
        <v/>
      </c>
      <c r="AB66" s="34">
        <f>IF(OR($A66="",$H66&lt;&gt;"Ausgabe",N66=""),0,IF(N66="x",-$E66/(COUNTIF($J66:$Q66,"x")+1),-$E66*N(N66)))</f>
        <v/>
      </c>
      <c r="AC66" s="34">
        <f>IF(OR($A66="",$H66&lt;&gt;"Ausgabe",O66=""),0,IF(O66="x",-$E66/(COUNTIF($J66:$Q66,"x")+1),-$E66*N(O66)))</f>
        <v/>
      </c>
      <c r="AD66" s="34">
        <f>IF(OR($A66="",$H66&lt;&gt;"Ausgabe",P66=""),0,IF(P66="x",-$E66/(COUNTIF($J66:$Q66,"x")+1),-$E66*N(P66)))</f>
        <v/>
      </c>
      <c r="AE66" s="34">
        <f>IF(OR($A66="",$H66&lt;&gt;"Ausgabe",Q66=""),0,IF(Q66="x",-$E66/(COUNTIF($J66:$Q66,"x")+1),-$E66*N(Q66)))</f>
        <v/>
      </c>
    </row>
    <row r="67">
      <c r="A67" s="30" t="n"/>
      <c r="E67" s="31" t="n"/>
      <c r="J67" s="32" t="n"/>
      <c r="K67" s="32" t="n"/>
      <c r="L67" s="32" t="n"/>
      <c r="M67" s="32" t="n"/>
      <c r="N67" s="32" t="n"/>
      <c r="O67" s="32" t="n"/>
      <c r="P67" s="32" t="n"/>
      <c r="Q67" s="32" t="n"/>
      <c r="U67" s="31">
        <f>IF($A67="","",SUM(X67:AE67))</f>
        <v/>
      </c>
      <c r="V67" s="31">
        <f>IF($A67="","",IF($H67&lt;&gt;"Ausgabe",0,-$E67-$U67))</f>
        <v/>
      </c>
      <c r="W67" s="33">
        <f>IF($A67="","",DATE(YEAR($A67),MONTH($A67),1))</f>
        <v/>
      </c>
      <c r="X67" s="34">
        <f>IF(OR($A67="",$H67&lt;&gt;"Ausgabe",J67=""),0,IF(J67="x",-$E67/(COUNTIF($J67:$Q67,"x")+1),-$E67*N(J67)))</f>
        <v/>
      </c>
      <c r="Y67" s="34">
        <f>IF(OR($A67="",$H67&lt;&gt;"Ausgabe",K67=""),0,IF(K67="x",-$E67/(COUNTIF($J67:$Q67,"x")+1),-$E67*N(K67)))</f>
        <v/>
      </c>
      <c r="Z67" s="34">
        <f>IF(OR($A67="",$H67&lt;&gt;"Ausgabe",L67=""),0,IF(L67="x",-$E67/(COUNTIF($J67:$Q67,"x")+1),-$E67*N(L67)))</f>
        <v/>
      </c>
      <c r="AA67" s="34">
        <f>IF(OR($A67="",$H67&lt;&gt;"Ausgabe",M67=""),0,IF(M67="x",-$E67/(COUNTIF($J67:$Q67,"x")+1),-$E67*N(M67)))</f>
        <v/>
      </c>
      <c r="AB67" s="34">
        <f>IF(OR($A67="",$H67&lt;&gt;"Ausgabe",N67=""),0,IF(N67="x",-$E67/(COUNTIF($J67:$Q67,"x")+1),-$E67*N(N67)))</f>
        <v/>
      </c>
      <c r="AC67" s="34">
        <f>IF(OR($A67="",$H67&lt;&gt;"Ausgabe",O67=""),0,IF(O67="x",-$E67/(COUNTIF($J67:$Q67,"x")+1),-$E67*N(O67)))</f>
        <v/>
      </c>
      <c r="AD67" s="34">
        <f>IF(OR($A67="",$H67&lt;&gt;"Ausgabe",P67=""),0,IF(P67="x",-$E67/(COUNTIF($J67:$Q67,"x")+1),-$E67*N(P67)))</f>
        <v/>
      </c>
      <c r="AE67" s="34">
        <f>IF(OR($A67="",$H67&lt;&gt;"Ausgabe",Q67=""),0,IF(Q67="x",-$E67/(COUNTIF($J67:$Q67,"x")+1),-$E67*N(Q67)))</f>
        <v/>
      </c>
    </row>
    <row r="68">
      <c r="A68" s="30" t="n"/>
      <c r="E68" s="31" t="n"/>
      <c r="J68" s="32" t="n"/>
      <c r="K68" s="32" t="n"/>
      <c r="L68" s="32" t="n"/>
      <c r="M68" s="32" t="n"/>
      <c r="N68" s="32" t="n"/>
      <c r="O68" s="32" t="n"/>
      <c r="P68" s="32" t="n"/>
      <c r="Q68" s="32" t="n"/>
      <c r="U68" s="31">
        <f>IF($A68="","",SUM(X68:AE68))</f>
        <v/>
      </c>
      <c r="V68" s="31">
        <f>IF($A68="","",IF($H68&lt;&gt;"Ausgabe",0,-$E68-$U68))</f>
        <v/>
      </c>
      <c r="W68" s="33">
        <f>IF($A68="","",DATE(YEAR($A68),MONTH($A68),1))</f>
        <v/>
      </c>
      <c r="X68" s="34">
        <f>IF(OR($A68="",$H68&lt;&gt;"Ausgabe",J68=""),0,IF(J68="x",-$E68/(COUNTIF($J68:$Q68,"x")+1),-$E68*N(J68)))</f>
        <v/>
      </c>
      <c r="Y68" s="34">
        <f>IF(OR($A68="",$H68&lt;&gt;"Ausgabe",K68=""),0,IF(K68="x",-$E68/(COUNTIF($J68:$Q68,"x")+1),-$E68*N(K68)))</f>
        <v/>
      </c>
      <c r="Z68" s="34">
        <f>IF(OR($A68="",$H68&lt;&gt;"Ausgabe",L68=""),0,IF(L68="x",-$E68/(COUNTIF($J68:$Q68,"x")+1),-$E68*N(L68)))</f>
        <v/>
      </c>
      <c r="AA68" s="34">
        <f>IF(OR($A68="",$H68&lt;&gt;"Ausgabe",M68=""),0,IF(M68="x",-$E68/(COUNTIF($J68:$Q68,"x")+1),-$E68*N(M68)))</f>
        <v/>
      </c>
      <c r="AB68" s="34">
        <f>IF(OR($A68="",$H68&lt;&gt;"Ausgabe",N68=""),0,IF(N68="x",-$E68/(COUNTIF($J68:$Q68,"x")+1),-$E68*N(N68)))</f>
        <v/>
      </c>
      <c r="AC68" s="34">
        <f>IF(OR($A68="",$H68&lt;&gt;"Ausgabe",O68=""),0,IF(O68="x",-$E68/(COUNTIF($J68:$Q68,"x")+1),-$E68*N(O68)))</f>
        <v/>
      </c>
      <c r="AD68" s="34">
        <f>IF(OR($A68="",$H68&lt;&gt;"Ausgabe",P68=""),0,IF(P68="x",-$E68/(COUNTIF($J68:$Q68,"x")+1),-$E68*N(P68)))</f>
        <v/>
      </c>
      <c r="AE68" s="34">
        <f>IF(OR($A68="",$H68&lt;&gt;"Ausgabe",Q68=""),0,IF(Q68="x",-$E68/(COUNTIF($J68:$Q68,"x")+1),-$E68*N(Q68)))</f>
        <v/>
      </c>
    </row>
    <row r="69">
      <c r="A69" s="30" t="n"/>
      <c r="E69" s="31" t="n"/>
      <c r="J69" s="32" t="n"/>
      <c r="K69" s="32" t="n"/>
      <c r="L69" s="32" t="n"/>
      <c r="M69" s="32" t="n"/>
      <c r="N69" s="32" t="n"/>
      <c r="O69" s="32" t="n"/>
      <c r="P69" s="32" t="n"/>
      <c r="Q69" s="32" t="n"/>
      <c r="U69" s="31">
        <f>IF($A69="","",SUM(X69:AE69))</f>
        <v/>
      </c>
      <c r="V69" s="31">
        <f>IF($A69="","",IF($H69&lt;&gt;"Ausgabe",0,-$E69-$U69))</f>
        <v/>
      </c>
      <c r="W69" s="33">
        <f>IF($A69="","",DATE(YEAR($A69),MONTH($A69),1))</f>
        <v/>
      </c>
      <c r="X69" s="34">
        <f>IF(OR($A69="",$H69&lt;&gt;"Ausgabe",J69=""),0,IF(J69="x",-$E69/(COUNTIF($J69:$Q69,"x")+1),-$E69*N(J69)))</f>
        <v/>
      </c>
      <c r="Y69" s="34">
        <f>IF(OR($A69="",$H69&lt;&gt;"Ausgabe",K69=""),0,IF(K69="x",-$E69/(COUNTIF($J69:$Q69,"x")+1),-$E69*N(K69)))</f>
        <v/>
      </c>
      <c r="Z69" s="34">
        <f>IF(OR($A69="",$H69&lt;&gt;"Ausgabe",L69=""),0,IF(L69="x",-$E69/(COUNTIF($J69:$Q69,"x")+1),-$E69*N(L69)))</f>
        <v/>
      </c>
      <c r="AA69" s="34">
        <f>IF(OR($A69="",$H69&lt;&gt;"Ausgabe",M69=""),0,IF(M69="x",-$E69/(COUNTIF($J69:$Q69,"x")+1),-$E69*N(M69)))</f>
        <v/>
      </c>
      <c r="AB69" s="34">
        <f>IF(OR($A69="",$H69&lt;&gt;"Ausgabe",N69=""),0,IF(N69="x",-$E69/(COUNTIF($J69:$Q69,"x")+1),-$E69*N(N69)))</f>
        <v/>
      </c>
      <c r="AC69" s="34">
        <f>IF(OR($A69="",$H69&lt;&gt;"Ausgabe",O69=""),0,IF(O69="x",-$E69/(COUNTIF($J69:$Q69,"x")+1),-$E69*N(O69)))</f>
        <v/>
      </c>
      <c r="AD69" s="34">
        <f>IF(OR($A69="",$H69&lt;&gt;"Ausgabe",P69=""),0,IF(P69="x",-$E69/(COUNTIF($J69:$Q69,"x")+1),-$E69*N(P69)))</f>
        <v/>
      </c>
      <c r="AE69" s="34">
        <f>IF(OR($A69="",$H69&lt;&gt;"Ausgabe",Q69=""),0,IF(Q69="x",-$E69/(COUNTIF($J69:$Q69,"x")+1),-$E69*N(Q69)))</f>
        <v/>
      </c>
    </row>
    <row r="70">
      <c r="A70" s="30" t="n"/>
      <c r="E70" s="31" t="n"/>
      <c r="J70" s="32" t="n"/>
      <c r="K70" s="32" t="n"/>
      <c r="L70" s="32" t="n"/>
      <c r="M70" s="32" t="n"/>
      <c r="N70" s="32" t="n"/>
      <c r="O70" s="32" t="n"/>
      <c r="P70" s="32" t="n"/>
      <c r="Q70" s="32" t="n"/>
      <c r="U70" s="31">
        <f>IF($A70="","",SUM(X70:AE70))</f>
        <v/>
      </c>
      <c r="V70" s="31">
        <f>IF($A70="","",IF($H70&lt;&gt;"Ausgabe",0,-$E70-$U70))</f>
        <v/>
      </c>
      <c r="W70" s="33">
        <f>IF($A70="","",DATE(YEAR($A70),MONTH($A70),1))</f>
        <v/>
      </c>
      <c r="X70" s="34">
        <f>IF(OR($A70="",$H70&lt;&gt;"Ausgabe",J70=""),0,IF(J70="x",-$E70/(COUNTIF($J70:$Q70,"x")+1),-$E70*N(J70)))</f>
        <v/>
      </c>
      <c r="Y70" s="34">
        <f>IF(OR($A70="",$H70&lt;&gt;"Ausgabe",K70=""),0,IF(K70="x",-$E70/(COUNTIF($J70:$Q70,"x")+1),-$E70*N(K70)))</f>
        <v/>
      </c>
      <c r="Z70" s="34">
        <f>IF(OR($A70="",$H70&lt;&gt;"Ausgabe",L70=""),0,IF(L70="x",-$E70/(COUNTIF($J70:$Q70,"x")+1),-$E70*N(L70)))</f>
        <v/>
      </c>
      <c r="AA70" s="34">
        <f>IF(OR($A70="",$H70&lt;&gt;"Ausgabe",M70=""),0,IF(M70="x",-$E70/(COUNTIF($J70:$Q70,"x")+1),-$E70*N(M70)))</f>
        <v/>
      </c>
      <c r="AB70" s="34">
        <f>IF(OR($A70="",$H70&lt;&gt;"Ausgabe",N70=""),0,IF(N70="x",-$E70/(COUNTIF($J70:$Q70,"x")+1),-$E70*N(N70)))</f>
        <v/>
      </c>
      <c r="AC70" s="34">
        <f>IF(OR($A70="",$H70&lt;&gt;"Ausgabe",O70=""),0,IF(O70="x",-$E70/(COUNTIF($J70:$Q70,"x")+1),-$E70*N(O70)))</f>
        <v/>
      </c>
      <c r="AD70" s="34">
        <f>IF(OR($A70="",$H70&lt;&gt;"Ausgabe",P70=""),0,IF(P70="x",-$E70/(COUNTIF($J70:$Q70,"x")+1),-$E70*N(P70)))</f>
        <v/>
      </c>
      <c r="AE70" s="34">
        <f>IF(OR($A70="",$H70&lt;&gt;"Ausgabe",Q70=""),0,IF(Q70="x",-$E70/(COUNTIF($J70:$Q70,"x")+1),-$E70*N(Q70)))</f>
        <v/>
      </c>
    </row>
    <row r="71">
      <c r="A71" s="30" t="n"/>
      <c r="E71" s="31" t="n"/>
      <c r="J71" s="32" t="n"/>
      <c r="K71" s="32" t="n"/>
      <c r="L71" s="32" t="n"/>
      <c r="M71" s="32" t="n"/>
      <c r="N71" s="32" t="n"/>
      <c r="O71" s="32" t="n"/>
      <c r="P71" s="32" t="n"/>
      <c r="Q71" s="32" t="n"/>
      <c r="U71" s="31">
        <f>IF($A71="","",SUM(X71:AE71))</f>
        <v/>
      </c>
      <c r="V71" s="31">
        <f>IF($A71="","",IF($H71&lt;&gt;"Ausgabe",0,-$E71-$U71))</f>
        <v/>
      </c>
      <c r="W71" s="33">
        <f>IF($A71="","",DATE(YEAR($A71),MONTH($A71),1))</f>
        <v/>
      </c>
      <c r="X71" s="34">
        <f>IF(OR($A71="",$H71&lt;&gt;"Ausgabe",J71=""),0,IF(J71="x",-$E71/(COUNTIF($J71:$Q71,"x")+1),-$E71*N(J71)))</f>
        <v/>
      </c>
      <c r="Y71" s="34">
        <f>IF(OR($A71="",$H71&lt;&gt;"Ausgabe",K71=""),0,IF(K71="x",-$E71/(COUNTIF($J71:$Q71,"x")+1),-$E71*N(K71)))</f>
        <v/>
      </c>
      <c r="Z71" s="34">
        <f>IF(OR($A71="",$H71&lt;&gt;"Ausgabe",L71=""),0,IF(L71="x",-$E71/(COUNTIF($J71:$Q71,"x")+1),-$E71*N(L71)))</f>
        <v/>
      </c>
      <c r="AA71" s="34">
        <f>IF(OR($A71="",$H71&lt;&gt;"Ausgabe",M71=""),0,IF(M71="x",-$E71/(COUNTIF($J71:$Q71,"x")+1),-$E71*N(M71)))</f>
        <v/>
      </c>
      <c r="AB71" s="34">
        <f>IF(OR($A71="",$H71&lt;&gt;"Ausgabe",N71=""),0,IF(N71="x",-$E71/(COUNTIF($J71:$Q71,"x")+1),-$E71*N(N71)))</f>
        <v/>
      </c>
      <c r="AC71" s="34">
        <f>IF(OR($A71="",$H71&lt;&gt;"Ausgabe",O71=""),0,IF(O71="x",-$E71/(COUNTIF($J71:$Q71,"x")+1),-$E71*N(O71)))</f>
        <v/>
      </c>
      <c r="AD71" s="34">
        <f>IF(OR($A71="",$H71&lt;&gt;"Ausgabe",P71=""),0,IF(P71="x",-$E71/(COUNTIF($J71:$Q71,"x")+1),-$E71*N(P71)))</f>
        <v/>
      </c>
      <c r="AE71" s="34">
        <f>IF(OR($A71="",$H71&lt;&gt;"Ausgabe",Q71=""),0,IF(Q71="x",-$E71/(COUNTIF($J71:$Q71,"x")+1),-$E71*N(Q71)))</f>
        <v/>
      </c>
    </row>
    <row r="72">
      <c r="A72" s="30" t="n"/>
      <c r="E72" s="31" t="n"/>
      <c r="J72" s="32" t="n"/>
      <c r="K72" s="32" t="n"/>
      <c r="L72" s="32" t="n"/>
      <c r="M72" s="32" t="n"/>
      <c r="N72" s="32" t="n"/>
      <c r="O72" s="32" t="n"/>
      <c r="P72" s="32" t="n"/>
      <c r="Q72" s="32" t="n"/>
      <c r="U72" s="31">
        <f>IF($A72="","",SUM(X72:AE72))</f>
        <v/>
      </c>
      <c r="V72" s="31">
        <f>IF($A72="","",IF($H72&lt;&gt;"Ausgabe",0,-$E72-$U72))</f>
        <v/>
      </c>
      <c r="W72" s="33">
        <f>IF($A72="","",DATE(YEAR($A72),MONTH($A72),1))</f>
        <v/>
      </c>
      <c r="X72" s="34">
        <f>IF(OR($A72="",$H72&lt;&gt;"Ausgabe",J72=""),0,IF(J72="x",-$E72/(COUNTIF($J72:$Q72,"x")+1),-$E72*N(J72)))</f>
        <v/>
      </c>
      <c r="Y72" s="34">
        <f>IF(OR($A72="",$H72&lt;&gt;"Ausgabe",K72=""),0,IF(K72="x",-$E72/(COUNTIF($J72:$Q72,"x")+1),-$E72*N(K72)))</f>
        <v/>
      </c>
      <c r="Z72" s="34">
        <f>IF(OR($A72="",$H72&lt;&gt;"Ausgabe",L72=""),0,IF(L72="x",-$E72/(COUNTIF($J72:$Q72,"x")+1),-$E72*N(L72)))</f>
        <v/>
      </c>
      <c r="AA72" s="34">
        <f>IF(OR($A72="",$H72&lt;&gt;"Ausgabe",M72=""),0,IF(M72="x",-$E72/(COUNTIF($J72:$Q72,"x")+1),-$E72*N(M72)))</f>
        <v/>
      </c>
      <c r="AB72" s="34">
        <f>IF(OR($A72="",$H72&lt;&gt;"Ausgabe",N72=""),0,IF(N72="x",-$E72/(COUNTIF($J72:$Q72,"x")+1),-$E72*N(N72)))</f>
        <v/>
      </c>
      <c r="AC72" s="34">
        <f>IF(OR($A72="",$H72&lt;&gt;"Ausgabe",O72=""),0,IF(O72="x",-$E72/(COUNTIF($J72:$Q72,"x")+1),-$E72*N(O72)))</f>
        <v/>
      </c>
      <c r="AD72" s="34">
        <f>IF(OR($A72="",$H72&lt;&gt;"Ausgabe",P72=""),0,IF(P72="x",-$E72/(COUNTIF($J72:$Q72,"x")+1),-$E72*N(P72)))</f>
        <v/>
      </c>
      <c r="AE72" s="34">
        <f>IF(OR($A72="",$H72&lt;&gt;"Ausgabe",Q72=""),0,IF(Q72="x",-$E72/(COUNTIF($J72:$Q72,"x")+1),-$E72*N(Q72)))</f>
        <v/>
      </c>
    </row>
    <row r="73">
      <c r="A73" s="30" t="n"/>
      <c r="E73" s="31" t="n"/>
      <c r="J73" s="32" t="n"/>
      <c r="K73" s="32" t="n"/>
      <c r="L73" s="32" t="n"/>
      <c r="M73" s="32" t="n"/>
      <c r="N73" s="32" t="n"/>
      <c r="O73" s="32" t="n"/>
      <c r="P73" s="32" t="n"/>
      <c r="Q73" s="32" t="n"/>
      <c r="U73" s="31">
        <f>IF($A73="","",SUM(X73:AE73))</f>
        <v/>
      </c>
      <c r="V73" s="31">
        <f>IF($A73="","",IF($H73&lt;&gt;"Ausgabe",0,-$E73-$U73))</f>
        <v/>
      </c>
      <c r="W73" s="33">
        <f>IF($A73="","",DATE(YEAR($A73),MONTH($A73),1))</f>
        <v/>
      </c>
      <c r="X73" s="34">
        <f>IF(OR($A73="",$H73&lt;&gt;"Ausgabe",J73=""),0,IF(J73="x",-$E73/(COUNTIF($J73:$Q73,"x")+1),-$E73*N(J73)))</f>
        <v/>
      </c>
      <c r="Y73" s="34">
        <f>IF(OR($A73="",$H73&lt;&gt;"Ausgabe",K73=""),0,IF(K73="x",-$E73/(COUNTIF($J73:$Q73,"x")+1),-$E73*N(K73)))</f>
        <v/>
      </c>
      <c r="Z73" s="34">
        <f>IF(OR($A73="",$H73&lt;&gt;"Ausgabe",L73=""),0,IF(L73="x",-$E73/(COUNTIF($J73:$Q73,"x")+1),-$E73*N(L73)))</f>
        <v/>
      </c>
      <c r="AA73" s="34">
        <f>IF(OR($A73="",$H73&lt;&gt;"Ausgabe",M73=""),0,IF(M73="x",-$E73/(COUNTIF($J73:$Q73,"x")+1),-$E73*N(M73)))</f>
        <v/>
      </c>
      <c r="AB73" s="34">
        <f>IF(OR($A73="",$H73&lt;&gt;"Ausgabe",N73=""),0,IF(N73="x",-$E73/(COUNTIF($J73:$Q73,"x")+1),-$E73*N(N73)))</f>
        <v/>
      </c>
      <c r="AC73" s="34">
        <f>IF(OR($A73="",$H73&lt;&gt;"Ausgabe",O73=""),0,IF(O73="x",-$E73/(COUNTIF($J73:$Q73,"x")+1),-$E73*N(O73)))</f>
        <v/>
      </c>
      <c r="AD73" s="34">
        <f>IF(OR($A73="",$H73&lt;&gt;"Ausgabe",P73=""),0,IF(P73="x",-$E73/(COUNTIF($J73:$Q73,"x")+1),-$E73*N(P73)))</f>
        <v/>
      </c>
      <c r="AE73" s="34">
        <f>IF(OR($A73="",$H73&lt;&gt;"Ausgabe",Q73=""),0,IF(Q73="x",-$E73/(COUNTIF($J73:$Q73,"x")+1),-$E73*N(Q73)))</f>
        <v/>
      </c>
    </row>
    <row r="74">
      <c r="A74" s="30" t="n"/>
      <c r="E74" s="31" t="n"/>
      <c r="J74" s="32" t="n"/>
      <c r="K74" s="32" t="n"/>
      <c r="L74" s="32" t="n"/>
      <c r="M74" s="32" t="n"/>
      <c r="N74" s="32" t="n"/>
      <c r="O74" s="32" t="n"/>
      <c r="P74" s="32" t="n"/>
      <c r="Q74" s="32" t="n"/>
      <c r="U74" s="31">
        <f>IF($A74="","",SUM(X74:AE74))</f>
        <v/>
      </c>
      <c r="V74" s="31">
        <f>IF($A74="","",IF($H74&lt;&gt;"Ausgabe",0,-$E74-$U74))</f>
        <v/>
      </c>
      <c r="W74" s="33">
        <f>IF($A74="","",DATE(YEAR($A74),MONTH($A74),1))</f>
        <v/>
      </c>
      <c r="X74" s="34">
        <f>IF(OR($A74="",$H74&lt;&gt;"Ausgabe",J74=""),0,IF(J74="x",-$E74/(COUNTIF($J74:$Q74,"x")+1),-$E74*N(J74)))</f>
        <v/>
      </c>
      <c r="Y74" s="34">
        <f>IF(OR($A74="",$H74&lt;&gt;"Ausgabe",K74=""),0,IF(K74="x",-$E74/(COUNTIF($J74:$Q74,"x")+1),-$E74*N(K74)))</f>
        <v/>
      </c>
      <c r="Z74" s="34">
        <f>IF(OR($A74="",$H74&lt;&gt;"Ausgabe",L74=""),0,IF(L74="x",-$E74/(COUNTIF($J74:$Q74,"x")+1),-$E74*N(L74)))</f>
        <v/>
      </c>
      <c r="AA74" s="34">
        <f>IF(OR($A74="",$H74&lt;&gt;"Ausgabe",M74=""),0,IF(M74="x",-$E74/(COUNTIF($J74:$Q74,"x")+1),-$E74*N(M74)))</f>
        <v/>
      </c>
      <c r="AB74" s="34">
        <f>IF(OR($A74="",$H74&lt;&gt;"Ausgabe",N74=""),0,IF(N74="x",-$E74/(COUNTIF($J74:$Q74,"x")+1),-$E74*N(N74)))</f>
        <v/>
      </c>
      <c r="AC74" s="34">
        <f>IF(OR($A74="",$H74&lt;&gt;"Ausgabe",O74=""),0,IF(O74="x",-$E74/(COUNTIF($J74:$Q74,"x")+1),-$E74*N(O74)))</f>
        <v/>
      </c>
      <c r="AD74" s="34">
        <f>IF(OR($A74="",$H74&lt;&gt;"Ausgabe",P74=""),0,IF(P74="x",-$E74/(COUNTIF($J74:$Q74,"x")+1),-$E74*N(P74)))</f>
        <v/>
      </c>
      <c r="AE74" s="34">
        <f>IF(OR($A74="",$H74&lt;&gt;"Ausgabe",Q74=""),0,IF(Q74="x",-$E74/(COUNTIF($J74:$Q74,"x")+1),-$E74*N(Q74)))</f>
        <v/>
      </c>
    </row>
    <row r="75">
      <c r="A75" s="30" t="n"/>
      <c r="E75" s="31" t="n"/>
      <c r="J75" s="32" t="n"/>
      <c r="K75" s="32" t="n"/>
      <c r="L75" s="32" t="n"/>
      <c r="M75" s="32" t="n"/>
      <c r="N75" s="32" t="n"/>
      <c r="O75" s="32" t="n"/>
      <c r="P75" s="32" t="n"/>
      <c r="Q75" s="32" t="n"/>
      <c r="U75" s="31">
        <f>IF($A75="","",SUM(X75:AE75))</f>
        <v/>
      </c>
      <c r="V75" s="31">
        <f>IF($A75="","",IF($H75&lt;&gt;"Ausgabe",0,-$E75-$U75))</f>
        <v/>
      </c>
      <c r="W75" s="33">
        <f>IF($A75="","",DATE(YEAR($A75),MONTH($A75),1))</f>
        <v/>
      </c>
      <c r="X75" s="34">
        <f>IF(OR($A75="",$H75&lt;&gt;"Ausgabe",J75=""),0,IF(J75="x",-$E75/(COUNTIF($J75:$Q75,"x")+1),-$E75*N(J75)))</f>
        <v/>
      </c>
      <c r="Y75" s="34">
        <f>IF(OR($A75="",$H75&lt;&gt;"Ausgabe",K75=""),0,IF(K75="x",-$E75/(COUNTIF($J75:$Q75,"x")+1),-$E75*N(K75)))</f>
        <v/>
      </c>
      <c r="Z75" s="34">
        <f>IF(OR($A75="",$H75&lt;&gt;"Ausgabe",L75=""),0,IF(L75="x",-$E75/(COUNTIF($J75:$Q75,"x")+1),-$E75*N(L75)))</f>
        <v/>
      </c>
      <c r="AA75" s="34">
        <f>IF(OR($A75="",$H75&lt;&gt;"Ausgabe",M75=""),0,IF(M75="x",-$E75/(COUNTIF($J75:$Q75,"x")+1),-$E75*N(M75)))</f>
        <v/>
      </c>
      <c r="AB75" s="34">
        <f>IF(OR($A75="",$H75&lt;&gt;"Ausgabe",N75=""),0,IF(N75="x",-$E75/(COUNTIF($J75:$Q75,"x")+1),-$E75*N(N75)))</f>
        <v/>
      </c>
      <c r="AC75" s="34">
        <f>IF(OR($A75="",$H75&lt;&gt;"Ausgabe",O75=""),0,IF(O75="x",-$E75/(COUNTIF($J75:$Q75,"x")+1),-$E75*N(O75)))</f>
        <v/>
      </c>
      <c r="AD75" s="34">
        <f>IF(OR($A75="",$H75&lt;&gt;"Ausgabe",P75=""),0,IF(P75="x",-$E75/(COUNTIF($J75:$Q75,"x")+1),-$E75*N(P75)))</f>
        <v/>
      </c>
      <c r="AE75" s="34">
        <f>IF(OR($A75="",$H75&lt;&gt;"Ausgabe",Q75=""),0,IF(Q75="x",-$E75/(COUNTIF($J75:$Q75,"x")+1),-$E75*N(Q75)))</f>
        <v/>
      </c>
    </row>
    <row r="76">
      <c r="A76" s="30" t="n"/>
      <c r="E76" s="31" t="n"/>
      <c r="J76" s="32" t="n"/>
      <c r="K76" s="32" t="n"/>
      <c r="L76" s="32" t="n"/>
      <c r="M76" s="32" t="n"/>
      <c r="N76" s="32" t="n"/>
      <c r="O76" s="32" t="n"/>
      <c r="P76" s="32" t="n"/>
      <c r="Q76" s="32" t="n"/>
      <c r="U76" s="31">
        <f>IF($A76="","",SUM(X76:AE76))</f>
        <v/>
      </c>
      <c r="V76" s="31">
        <f>IF($A76="","",IF($H76&lt;&gt;"Ausgabe",0,-$E76-$U76))</f>
        <v/>
      </c>
      <c r="W76" s="33">
        <f>IF($A76="","",DATE(YEAR($A76),MONTH($A76),1))</f>
        <v/>
      </c>
      <c r="X76" s="34">
        <f>IF(OR($A76="",$H76&lt;&gt;"Ausgabe",J76=""),0,IF(J76="x",-$E76/(COUNTIF($J76:$Q76,"x")+1),-$E76*N(J76)))</f>
        <v/>
      </c>
      <c r="Y76" s="34">
        <f>IF(OR($A76="",$H76&lt;&gt;"Ausgabe",K76=""),0,IF(K76="x",-$E76/(COUNTIF($J76:$Q76,"x")+1),-$E76*N(K76)))</f>
        <v/>
      </c>
      <c r="Z76" s="34">
        <f>IF(OR($A76="",$H76&lt;&gt;"Ausgabe",L76=""),0,IF(L76="x",-$E76/(COUNTIF($J76:$Q76,"x")+1),-$E76*N(L76)))</f>
        <v/>
      </c>
      <c r="AA76" s="34">
        <f>IF(OR($A76="",$H76&lt;&gt;"Ausgabe",M76=""),0,IF(M76="x",-$E76/(COUNTIF($J76:$Q76,"x")+1),-$E76*N(M76)))</f>
        <v/>
      </c>
      <c r="AB76" s="34">
        <f>IF(OR($A76="",$H76&lt;&gt;"Ausgabe",N76=""),0,IF(N76="x",-$E76/(COUNTIF($J76:$Q76,"x")+1),-$E76*N(N76)))</f>
        <v/>
      </c>
      <c r="AC76" s="34">
        <f>IF(OR($A76="",$H76&lt;&gt;"Ausgabe",O76=""),0,IF(O76="x",-$E76/(COUNTIF($J76:$Q76,"x")+1),-$E76*N(O76)))</f>
        <v/>
      </c>
      <c r="AD76" s="34">
        <f>IF(OR($A76="",$H76&lt;&gt;"Ausgabe",P76=""),0,IF(P76="x",-$E76/(COUNTIF($J76:$Q76,"x")+1),-$E76*N(P76)))</f>
        <v/>
      </c>
      <c r="AE76" s="34">
        <f>IF(OR($A76="",$H76&lt;&gt;"Ausgabe",Q76=""),0,IF(Q76="x",-$E76/(COUNTIF($J76:$Q76,"x")+1),-$E76*N(Q76)))</f>
        <v/>
      </c>
    </row>
    <row r="77">
      <c r="A77" s="30" t="n"/>
      <c r="E77" s="31" t="n"/>
      <c r="J77" s="32" t="n"/>
      <c r="K77" s="32" t="n"/>
      <c r="L77" s="32" t="n"/>
      <c r="M77" s="32" t="n"/>
      <c r="N77" s="32" t="n"/>
      <c r="O77" s="32" t="n"/>
      <c r="P77" s="32" t="n"/>
      <c r="Q77" s="32" t="n"/>
      <c r="U77" s="31">
        <f>IF($A77="","",SUM(X77:AE77))</f>
        <v/>
      </c>
      <c r="V77" s="31">
        <f>IF($A77="","",IF($H77&lt;&gt;"Ausgabe",0,-$E77-$U77))</f>
        <v/>
      </c>
      <c r="W77" s="33">
        <f>IF($A77="","",DATE(YEAR($A77),MONTH($A77),1))</f>
        <v/>
      </c>
      <c r="X77" s="34">
        <f>IF(OR($A77="",$H77&lt;&gt;"Ausgabe",J77=""),0,IF(J77="x",-$E77/(COUNTIF($J77:$Q77,"x")+1),-$E77*N(J77)))</f>
        <v/>
      </c>
      <c r="Y77" s="34">
        <f>IF(OR($A77="",$H77&lt;&gt;"Ausgabe",K77=""),0,IF(K77="x",-$E77/(COUNTIF($J77:$Q77,"x")+1),-$E77*N(K77)))</f>
        <v/>
      </c>
      <c r="Z77" s="34">
        <f>IF(OR($A77="",$H77&lt;&gt;"Ausgabe",L77=""),0,IF(L77="x",-$E77/(COUNTIF($J77:$Q77,"x")+1),-$E77*N(L77)))</f>
        <v/>
      </c>
      <c r="AA77" s="34">
        <f>IF(OR($A77="",$H77&lt;&gt;"Ausgabe",M77=""),0,IF(M77="x",-$E77/(COUNTIF($J77:$Q77,"x")+1),-$E77*N(M77)))</f>
        <v/>
      </c>
      <c r="AB77" s="34">
        <f>IF(OR($A77="",$H77&lt;&gt;"Ausgabe",N77=""),0,IF(N77="x",-$E77/(COUNTIF($J77:$Q77,"x")+1),-$E77*N(N77)))</f>
        <v/>
      </c>
      <c r="AC77" s="34">
        <f>IF(OR($A77="",$H77&lt;&gt;"Ausgabe",O77=""),0,IF(O77="x",-$E77/(COUNTIF($J77:$Q77,"x")+1),-$E77*N(O77)))</f>
        <v/>
      </c>
      <c r="AD77" s="34">
        <f>IF(OR($A77="",$H77&lt;&gt;"Ausgabe",P77=""),0,IF(P77="x",-$E77/(COUNTIF($J77:$Q77,"x")+1),-$E77*N(P77)))</f>
        <v/>
      </c>
      <c r="AE77" s="34">
        <f>IF(OR($A77="",$H77&lt;&gt;"Ausgabe",Q77=""),0,IF(Q77="x",-$E77/(COUNTIF($J77:$Q77,"x")+1),-$E77*N(Q77)))</f>
        <v/>
      </c>
    </row>
    <row r="78">
      <c r="A78" s="30" t="n"/>
      <c r="E78" s="31" t="n"/>
      <c r="J78" s="32" t="n"/>
      <c r="K78" s="32" t="n"/>
      <c r="L78" s="32" t="n"/>
      <c r="M78" s="32" t="n"/>
      <c r="N78" s="32" t="n"/>
      <c r="O78" s="32" t="n"/>
      <c r="P78" s="32" t="n"/>
      <c r="Q78" s="32" t="n"/>
      <c r="U78" s="31">
        <f>IF($A78="","",SUM(X78:AE78))</f>
        <v/>
      </c>
      <c r="V78" s="31">
        <f>IF($A78="","",IF($H78&lt;&gt;"Ausgabe",0,-$E78-$U78))</f>
        <v/>
      </c>
      <c r="W78" s="33">
        <f>IF($A78="","",DATE(YEAR($A78),MONTH($A78),1))</f>
        <v/>
      </c>
      <c r="X78" s="34">
        <f>IF(OR($A78="",$H78&lt;&gt;"Ausgabe",J78=""),0,IF(J78="x",-$E78/(COUNTIF($J78:$Q78,"x")+1),-$E78*N(J78)))</f>
        <v/>
      </c>
      <c r="Y78" s="34">
        <f>IF(OR($A78="",$H78&lt;&gt;"Ausgabe",K78=""),0,IF(K78="x",-$E78/(COUNTIF($J78:$Q78,"x")+1),-$E78*N(K78)))</f>
        <v/>
      </c>
      <c r="Z78" s="34">
        <f>IF(OR($A78="",$H78&lt;&gt;"Ausgabe",L78=""),0,IF(L78="x",-$E78/(COUNTIF($J78:$Q78,"x")+1),-$E78*N(L78)))</f>
        <v/>
      </c>
      <c r="AA78" s="34">
        <f>IF(OR($A78="",$H78&lt;&gt;"Ausgabe",M78=""),0,IF(M78="x",-$E78/(COUNTIF($J78:$Q78,"x")+1),-$E78*N(M78)))</f>
        <v/>
      </c>
      <c r="AB78" s="34">
        <f>IF(OR($A78="",$H78&lt;&gt;"Ausgabe",N78=""),0,IF(N78="x",-$E78/(COUNTIF($J78:$Q78,"x")+1),-$E78*N(N78)))</f>
        <v/>
      </c>
      <c r="AC78" s="34">
        <f>IF(OR($A78="",$H78&lt;&gt;"Ausgabe",O78=""),0,IF(O78="x",-$E78/(COUNTIF($J78:$Q78,"x")+1),-$E78*N(O78)))</f>
        <v/>
      </c>
      <c r="AD78" s="34">
        <f>IF(OR($A78="",$H78&lt;&gt;"Ausgabe",P78=""),0,IF(P78="x",-$E78/(COUNTIF($J78:$Q78,"x")+1),-$E78*N(P78)))</f>
        <v/>
      </c>
      <c r="AE78" s="34">
        <f>IF(OR($A78="",$H78&lt;&gt;"Ausgabe",Q78=""),0,IF(Q78="x",-$E78/(COUNTIF($J78:$Q78,"x")+1),-$E78*N(Q78)))</f>
        <v/>
      </c>
    </row>
    <row r="79">
      <c r="A79" s="30" t="n"/>
      <c r="E79" s="31" t="n"/>
      <c r="J79" s="32" t="n"/>
      <c r="K79" s="32" t="n"/>
      <c r="L79" s="32" t="n"/>
      <c r="M79" s="32" t="n"/>
      <c r="N79" s="32" t="n"/>
      <c r="O79" s="32" t="n"/>
      <c r="P79" s="32" t="n"/>
      <c r="Q79" s="32" t="n"/>
      <c r="U79" s="31">
        <f>IF($A79="","",SUM(X79:AE79))</f>
        <v/>
      </c>
      <c r="V79" s="31">
        <f>IF($A79="","",IF($H79&lt;&gt;"Ausgabe",0,-$E79-$U79))</f>
        <v/>
      </c>
      <c r="W79" s="33">
        <f>IF($A79="","",DATE(YEAR($A79),MONTH($A79),1))</f>
        <v/>
      </c>
      <c r="X79" s="34">
        <f>IF(OR($A79="",$H79&lt;&gt;"Ausgabe",J79=""),0,IF(J79="x",-$E79/(COUNTIF($J79:$Q79,"x")+1),-$E79*N(J79)))</f>
        <v/>
      </c>
      <c r="Y79" s="34">
        <f>IF(OR($A79="",$H79&lt;&gt;"Ausgabe",K79=""),0,IF(K79="x",-$E79/(COUNTIF($J79:$Q79,"x")+1),-$E79*N(K79)))</f>
        <v/>
      </c>
      <c r="Z79" s="34">
        <f>IF(OR($A79="",$H79&lt;&gt;"Ausgabe",L79=""),0,IF(L79="x",-$E79/(COUNTIF($J79:$Q79,"x")+1),-$E79*N(L79)))</f>
        <v/>
      </c>
      <c r="AA79" s="34">
        <f>IF(OR($A79="",$H79&lt;&gt;"Ausgabe",M79=""),0,IF(M79="x",-$E79/(COUNTIF($J79:$Q79,"x")+1),-$E79*N(M79)))</f>
        <v/>
      </c>
      <c r="AB79" s="34">
        <f>IF(OR($A79="",$H79&lt;&gt;"Ausgabe",N79=""),0,IF(N79="x",-$E79/(COUNTIF($J79:$Q79,"x")+1),-$E79*N(N79)))</f>
        <v/>
      </c>
      <c r="AC79" s="34">
        <f>IF(OR($A79="",$H79&lt;&gt;"Ausgabe",O79=""),0,IF(O79="x",-$E79/(COUNTIF($J79:$Q79,"x")+1),-$E79*N(O79)))</f>
        <v/>
      </c>
      <c r="AD79" s="34">
        <f>IF(OR($A79="",$H79&lt;&gt;"Ausgabe",P79=""),0,IF(P79="x",-$E79/(COUNTIF($J79:$Q79,"x")+1),-$E79*N(P79)))</f>
        <v/>
      </c>
      <c r="AE79" s="34">
        <f>IF(OR($A79="",$H79&lt;&gt;"Ausgabe",Q79=""),0,IF(Q79="x",-$E79/(COUNTIF($J79:$Q79,"x")+1),-$E79*N(Q79)))</f>
        <v/>
      </c>
    </row>
    <row r="80">
      <c r="A80" s="30" t="n"/>
      <c r="E80" s="31" t="n"/>
      <c r="J80" s="32" t="n"/>
      <c r="K80" s="32" t="n"/>
      <c r="L80" s="32" t="n"/>
      <c r="M80" s="32" t="n"/>
      <c r="N80" s="32" t="n"/>
      <c r="O80" s="32" t="n"/>
      <c r="P80" s="32" t="n"/>
      <c r="Q80" s="32" t="n"/>
      <c r="U80" s="31">
        <f>IF($A80="","",SUM(X80:AE80))</f>
        <v/>
      </c>
      <c r="V80" s="31">
        <f>IF($A80="","",IF($H80&lt;&gt;"Ausgabe",0,-$E80-$U80))</f>
        <v/>
      </c>
      <c r="W80" s="33">
        <f>IF($A80="","",DATE(YEAR($A80),MONTH($A80),1))</f>
        <v/>
      </c>
      <c r="X80" s="34">
        <f>IF(OR($A80="",$H80&lt;&gt;"Ausgabe",J80=""),0,IF(J80="x",-$E80/(COUNTIF($J80:$Q80,"x")+1),-$E80*N(J80)))</f>
        <v/>
      </c>
      <c r="Y80" s="34">
        <f>IF(OR($A80="",$H80&lt;&gt;"Ausgabe",K80=""),0,IF(K80="x",-$E80/(COUNTIF($J80:$Q80,"x")+1),-$E80*N(K80)))</f>
        <v/>
      </c>
      <c r="Z80" s="34">
        <f>IF(OR($A80="",$H80&lt;&gt;"Ausgabe",L80=""),0,IF(L80="x",-$E80/(COUNTIF($J80:$Q80,"x")+1),-$E80*N(L80)))</f>
        <v/>
      </c>
      <c r="AA80" s="34">
        <f>IF(OR($A80="",$H80&lt;&gt;"Ausgabe",M80=""),0,IF(M80="x",-$E80/(COUNTIF($J80:$Q80,"x")+1),-$E80*N(M80)))</f>
        <v/>
      </c>
      <c r="AB80" s="34">
        <f>IF(OR($A80="",$H80&lt;&gt;"Ausgabe",N80=""),0,IF(N80="x",-$E80/(COUNTIF($J80:$Q80,"x")+1),-$E80*N(N80)))</f>
        <v/>
      </c>
      <c r="AC80" s="34">
        <f>IF(OR($A80="",$H80&lt;&gt;"Ausgabe",O80=""),0,IF(O80="x",-$E80/(COUNTIF($J80:$Q80,"x")+1),-$E80*N(O80)))</f>
        <v/>
      </c>
      <c r="AD80" s="34">
        <f>IF(OR($A80="",$H80&lt;&gt;"Ausgabe",P80=""),0,IF(P80="x",-$E80/(COUNTIF($J80:$Q80,"x")+1),-$E80*N(P80)))</f>
        <v/>
      </c>
      <c r="AE80" s="34">
        <f>IF(OR($A80="",$H80&lt;&gt;"Ausgabe",Q80=""),0,IF(Q80="x",-$E80/(COUNTIF($J80:$Q80,"x")+1),-$E80*N(Q80)))</f>
        <v/>
      </c>
    </row>
    <row r="81">
      <c r="A81" s="30" t="n"/>
      <c r="E81" s="31" t="n"/>
      <c r="J81" s="32" t="n"/>
      <c r="K81" s="32" t="n"/>
      <c r="L81" s="32" t="n"/>
      <c r="M81" s="32" t="n"/>
      <c r="N81" s="32" t="n"/>
      <c r="O81" s="32" t="n"/>
      <c r="P81" s="32" t="n"/>
      <c r="Q81" s="32" t="n"/>
      <c r="U81" s="31">
        <f>IF($A81="","",SUM(X81:AE81))</f>
        <v/>
      </c>
      <c r="V81" s="31">
        <f>IF($A81="","",IF($H81&lt;&gt;"Ausgabe",0,-$E81-$U81))</f>
        <v/>
      </c>
      <c r="W81" s="33">
        <f>IF($A81="","",DATE(YEAR($A81),MONTH($A81),1))</f>
        <v/>
      </c>
      <c r="X81" s="34">
        <f>IF(OR($A81="",$H81&lt;&gt;"Ausgabe",J81=""),0,IF(J81="x",-$E81/(COUNTIF($J81:$Q81,"x")+1),-$E81*N(J81)))</f>
        <v/>
      </c>
      <c r="Y81" s="34">
        <f>IF(OR($A81="",$H81&lt;&gt;"Ausgabe",K81=""),0,IF(K81="x",-$E81/(COUNTIF($J81:$Q81,"x")+1),-$E81*N(K81)))</f>
        <v/>
      </c>
      <c r="Z81" s="34">
        <f>IF(OR($A81="",$H81&lt;&gt;"Ausgabe",L81=""),0,IF(L81="x",-$E81/(COUNTIF($J81:$Q81,"x")+1),-$E81*N(L81)))</f>
        <v/>
      </c>
      <c r="AA81" s="34">
        <f>IF(OR($A81="",$H81&lt;&gt;"Ausgabe",M81=""),0,IF(M81="x",-$E81/(COUNTIF($J81:$Q81,"x")+1),-$E81*N(M81)))</f>
        <v/>
      </c>
      <c r="AB81" s="34">
        <f>IF(OR($A81="",$H81&lt;&gt;"Ausgabe",N81=""),0,IF(N81="x",-$E81/(COUNTIF($J81:$Q81,"x")+1),-$E81*N(N81)))</f>
        <v/>
      </c>
      <c r="AC81" s="34">
        <f>IF(OR($A81="",$H81&lt;&gt;"Ausgabe",O81=""),0,IF(O81="x",-$E81/(COUNTIF($J81:$Q81,"x")+1),-$E81*N(O81)))</f>
        <v/>
      </c>
      <c r="AD81" s="34">
        <f>IF(OR($A81="",$H81&lt;&gt;"Ausgabe",P81=""),0,IF(P81="x",-$E81/(COUNTIF($J81:$Q81,"x")+1),-$E81*N(P81)))</f>
        <v/>
      </c>
      <c r="AE81" s="34">
        <f>IF(OR($A81="",$H81&lt;&gt;"Ausgabe",Q81=""),0,IF(Q81="x",-$E81/(COUNTIF($J81:$Q81,"x")+1),-$E81*N(Q81)))</f>
        <v/>
      </c>
    </row>
    <row r="82">
      <c r="A82" s="30" t="n"/>
      <c r="E82" s="31" t="n"/>
      <c r="J82" s="32" t="n"/>
      <c r="K82" s="32" t="n"/>
      <c r="L82" s="32" t="n"/>
      <c r="M82" s="32" t="n"/>
      <c r="N82" s="32" t="n"/>
      <c r="O82" s="32" t="n"/>
      <c r="P82" s="32" t="n"/>
      <c r="Q82" s="32" t="n"/>
      <c r="U82" s="31">
        <f>IF($A82="","",SUM(X82:AE82))</f>
        <v/>
      </c>
      <c r="V82" s="31">
        <f>IF($A82="","",IF($H82&lt;&gt;"Ausgabe",0,-$E82-$U82))</f>
        <v/>
      </c>
      <c r="W82" s="33">
        <f>IF($A82="","",DATE(YEAR($A82),MONTH($A82),1))</f>
        <v/>
      </c>
      <c r="X82" s="34">
        <f>IF(OR($A82="",$H82&lt;&gt;"Ausgabe",J82=""),0,IF(J82="x",-$E82/(COUNTIF($J82:$Q82,"x")+1),-$E82*N(J82)))</f>
        <v/>
      </c>
      <c r="Y82" s="34">
        <f>IF(OR($A82="",$H82&lt;&gt;"Ausgabe",K82=""),0,IF(K82="x",-$E82/(COUNTIF($J82:$Q82,"x")+1),-$E82*N(K82)))</f>
        <v/>
      </c>
      <c r="Z82" s="34">
        <f>IF(OR($A82="",$H82&lt;&gt;"Ausgabe",L82=""),0,IF(L82="x",-$E82/(COUNTIF($J82:$Q82,"x")+1),-$E82*N(L82)))</f>
        <v/>
      </c>
      <c r="AA82" s="34">
        <f>IF(OR($A82="",$H82&lt;&gt;"Ausgabe",M82=""),0,IF(M82="x",-$E82/(COUNTIF($J82:$Q82,"x")+1),-$E82*N(M82)))</f>
        <v/>
      </c>
      <c r="AB82" s="34">
        <f>IF(OR($A82="",$H82&lt;&gt;"Ausgabe",N82=""),0,IF(N82="x",-$E82/(COUNTIF($J82:$Q82,"x")+1),-$E82*N(N82)))</f>
        <v/>
      </c>
      <c r="AC82" s="34">
        <f>IF(OR($A82="",$H82&lt;&gt;"Ausgabe",O82=""),0,IF(O82="x",-$E82/(COUNTIF($J82:$Q82,"x")+1),-$E82*N(O82)))</f>
        <v/>
      </c>
      <c r="AD82" s="34">
        <f>IF(OR($A82="",$H82&lt;&gt;"Ausgabe",P82=""),0,IF(P82="x",-$E82/(COUNTIF($J82:$Q82,"x")+1),-$E82*N(P82)))</f>
        <v/>
      </c>
      <c r="AE82" s="34">
        <f>IF(OR($A82="",$H82&lt;&gt;"Ausgabe",Q82=""),0,IF(Q82="x",-$E82/(COUNTIF($J82:$Q82,"x")+1),-$E82*N(Q82)))</f>
        <v/>
      </c>
    </row>
    <row r="83">
      <c r="A83" s="30" t="n"/>
      <c r="E83" s="31" t="n"/>
      <c r="J83" s="32" t="n"/>
      <c r="K83" s="32" t="n"/>
      <c r="L83" s="32" t="n"/>
      <c r="M83" s="32" t="n"/>
      <c r="N83" s="32" t="n"/>
      <c r="O83" s="32" t="n"/>
      <c r="P83" s="32" t="n"/>
      <c r="Q83" s="32" t="n"/>
      <c r="U83" s="31">
        <f>IF($A83="","",SUM(X83:AE83))</f>
        <v/>
      </c>
      <c r="V83" s="31">
        <f>IF($A83="","",IF($H83&lt;&gt;"Ausgabe",0,-$E83-$U83))</f>
        <v/>
      </c>
      <c r="W83" s="33">
        <f>IF($A83="","",DATE(YEAR($A83),MONTH($A83),1))</f>
        <v/>
      </c>
      <c r="X83" s="34">
        <f>IF(OR($A83="",$H83&lt;&gt;"Ausgabe",J83=""),0,IF(J83="x",-$E83/(COUNTIF($J83:$Q83,"x")+1),-$E83*N(J83)))</f>
        <v/>
      </c>
      <c r="Y83" s="34">
        <f>IF(OR($A83="",$H83&lt;&gt;"Ausgabe",K83=""),0,IF(K83="x",-$E83/(COUNTIF($J83:$Q83,"x")+1),-$E83*N(K83)))</f>
        <v/>
      </c>
      <c r="Z83" s="34">
        <f>IF(OR($A83="",$H83&lt;&gt;"Ausgabe",L83=""),0,IF(L83="x",-$E83/(COUNTIF($J83:$Q83,"x")+1),-$E83*N(L83)))</f>
        <v/>
      </c>
      <c r="AA83" s="34">
        <f>IF(OR($A83="",$H83&lt;&gt;"Ausgabe",M83=""),0,IF(M83="x",-$E83/(COUNTIF($J83:$Q83,"x")+1),-$E83*N(M83)))</f>
        <v/>
      </c>
      <c r="AB83" s="34">
        <f>IF(OR($A83="",$H83&lt;&gt;"Ausgabe",N83=""),0,IF(N83="x",-$E83/(COUNTIF($J83:$Q83,"x")+1),-$E83*N(N83)))</f>
        <v/>
      </c>
      <c r="AC83" s="34">
        <f>IF(OR($A83="",$H83&lt;&gt;"Ausgabe",O83=""),0,IF(O83="x",-$E83/(COUNTIF($J83:$Q83,"x")+1),-$E83*N(O83)))</f>
        <v/>
      </c>
      <c r="AD83" s="34">
        <f>IF(OR($A83="",$H83&lt;&gt;"Ausgabe",P83=""),0,IF(P83="x",-$E83/(COUNTIF($J83:$Q83,"x")+1),-$E83*N(P83)))</f>
        <v/>
      </c>
      <c r="AE83" s="34">
        <f>IF(OR($A83="",$H83&lt;&gt;"Ausgabe",Q83=""),0,IF(Q83="x",-$E83/(COUNTIF($J83:$Q83,"x")+1),-$E83*N(Q83)))</f>
        <v/>
      </c>
    </row>
    <row r="84">
      <c r="A84" s="30" t="n"/>
      <c r="E84" s="31" t="n"/>
      <c r="J84" s="32" t="n"/>
      <c r="K84" s="32" t="n"/>
      <c r="L84" s="32" t="n"/>
      <c r="M84" s="32" t="n"/>
      <c r="N84" s="32" t="n"/>
      <c r="O84" s="32" t="n"/>
      <c r="P84" s="32" t="n"/>
      <c r="Q84" s="32" t="n"/>
      <c r="U84" s="31">
        <f>IF($A84="","",SUM(X84:AE84))</f>
        <v/>
      </c>
      <c r="V84" s="31">
        <f>IF($A84="","",IF($H84&lt;&gt;"Ausgabe",0,-$E84-$U84))</f>
        <v/>
      </c>
      <c r="W84" s="33">
        <f>IF($A84="","",DATE(YEAR($A84),MONTH($A84),1))</f>
        <v/>
      </c>
      <c r="X84" s="34">
        <f>IF(OR($A84="",$H84&lt;&gt;"Ausgabe",J84=""),0,IF(J84="x",-$E84/(COUNTIF($J84:$Q84,"x")+1),-$E84*N(J84)))</f>
        <v/>
      </c>
      <c r="Y84" s="34">
        <f>IF(OR($A84="",$H84&lt;&gt;"Ausgabe",K84=""),0,IF(K84="x",-$E84/(COUNTIF($J84:$Q84,"x")+1),-$E84*N(K84)))</f>
        <v/>
      </c>
      <c r="Z84" s="34">
        <f>IF(OR($A84="",$H84&lt;&gt;"Ausgabe",L84=""),0,IF(L84="x",-$E84/(COUNTIF($J84:$Q84,"x")+1),-$E84*N(L84)))</f>
        <v/>
      </c>
      <c r="AA84" s="34">
        <f>IF(OR($A84="",$H84&lt;&gt;"Ausgabe",M84=""),0,IF(M84="x",-$E84/(COUNTIF($J84:$Q84,"x")+1),-$E84*N(M84)))</f>
        <v/>
      </c>
      <c r="AB84" s="34">
        <f>IF(OR($A84="",$H84&lt;&gt;"Ausgabe",N84=""),0,IF(N84="x",-$E84/(COUNTIF($J84:$Q84,"x")+1),-$E84*N(N84)))</f>
        <v/>
      </c>
      <c r="AC84" s="34">
        <f>IF(OR($A84="",$H84&lt;&gt;"Ausgabe",O84=""),0,IF(O84="x",-$E84/(COUNTIF($J84:$Q84,"x")+1),-$E84*N(O84)))</f>
        <v/>
      </c>
      <c r="AD84" s="34">
        <f>IF(OR($A84="",$H84&lt;&gt;"Ausgabe",P84=""),0,IF(P84="x",-$E84/(COUNTIF($J84:$Q84,"x")+1),-$E84*N(P84)))</f>
        <v/>
      </c>
      <c r="AE84" s="34">
        <f>IF(OR($A84="",$H84&lt;&gt;"Ausgabe",Q84=""),0,IF(Q84="x",-$E84/(COUNTIF($J84:$Q84,"x")+1),-$E84*N(Q84)))</f>
        <v/>
      </c>
    </row>
    <row r="85">
      <c r="A85" s="30" t="n"/>
      <c r="E85" s="31" t="n"/>
      <c r="J85" s="32" t="n"/>
      <c r="K85" s="32" t="n"/>
      <c r="L85" s="32" t="n"/>
      <c r="M85" s="32" t="n"/>
      <c r="N85" s="32" t="n"/>
      <c r="O85" s="32" t="n"/>
      <c r="P85" s="32" t="n"/>
      <c r="Q85" s="32" t="n"/>
      <c r="U85" s="31">
        <f>IF($A85="","",SUM(X85:AE85))</f>
        <v/>
      </c>
      <c r="V85" s="31">
        <f>IF($A85="","",IF($H85&lt;&gt;"Ausgabe",0,-$E85-$U85))</f>
        <v/>
      </c>
      <c r="W85" s="33">
        <f>IF($A85="","",DATE(YEAR($A85),MONTH($A85),1))</f>
        <v/>
      </c>
      <c r="X85" s="34">
        <f>IF(OR($A85="",$H85&lt;&gt;"Ausgabe",J85=""),0,IF(J85="x",-$E85/(COUNTIF($J85:$Q85,"x")+1),-$E85*N(J85)))</f>
        <v/>
      </c>
      <c r="Y85" s="34">
        <f>IF(OR($A85="",$H85&lt;&gt;"Ausgabe",K85=""),0,IF(K85="x",-$E85/(COUNTIF($J85:$Q85,"x")+1),-$E85*N(K85)))</f>
        <v/>
      </c>
      <c r="Z85" s="34">
        <f>IF(OR($A85="",$H85&lt;&gt;"Ausgabe",L85=""),0,IF(L85="x",-$E85/(COUNTIF($J85:$Q85,"x")+1),-$E85*N(L85)))</f>
        <v/>
      </c>
      <c r="AA85" s="34">
        <f>IF(OR($A85="",$H85&lt;&gt;"Ausgabe",M85=""),0,IF(M85="x",-$E85/(COUNTIF($J85:$Q85,"x")+1),-$E85*N(M85)))</f>
        <v/>
      </c>
      <c r="AB85" s="34">
        <f>IF(OR($A85="",$H85&lt;&gt;"Ausgabe",N85=""),0,IF(N85="x",-$E85/(COUNTIF($J85:$Q85,"x")+1),-$E85*N(N85)))</f>
        <v/>
      </c>
      <c r="AC85" s="34">
        <f>IF(OR($A85="",$H85&lt;&gt;"Ausgabe",O85=""),0,IF(O85="x",-$E85/(COUNTIF($J85:$Q85,"x")+1),-$E85*N(O85)))</f>
        <v/>
      </c>
      <c r="AD85" s="34">
        <f>IF(OR($A85="",$H85&lt;&gt;"Ausgabe",P85=""),0,IF(P85="x",-$E85/(COUNTIF($J85:$Q85,"x")+1),-$E85*N(P85)))</f>
        <v/>
      </c>
      <c r="AE85" s="34">
        <f>IF(OR($A85="",$H85&lt;&gt;"Ausgabe",Q85=""),0,IF(Q85="x",-$E85/(COUNTIF($J85:$Q85,"x")+1),-$E85*N(Q85)))</f>
        <v/>
      </c>
    </row>
    <row r="86">
      <c r="A86" s="30" t="n"/>
      <c r="E86" s="31" t="n"/>
      <c r="J86" s="32" t="n"/>
      <c r="K86" s="32" t="n"/>
      <c r="L86" s="32" t="n"/>
      <c r="M86" s="32" t="n"/>
      <c r="N86" s="32" t="n"/>
      <c r="O86" s="32" t="n"/>
      <c r="P86" s="32" t="n"/>
      <c r="Q86" s="32" t="n"/>
      <c r="U86" s="31">
        <f>IF($A86="","",SUM(X86:AE86))</f>
        <v/>
      </c>
      <c r="V86" s="31">
        <f>IF($A86="","",IF($H86&lt;&gt;"Ausgabe",0,-$E86-$U86))</f>
        <v/>
      </c>
      <c r="W86" s="33">
        <f>IF($A86="","",DATE(YEAR($A86),MONTH($A86),1))</f>
        <v/>
      </c>
      <c r="X86" s="34">
        <f>IF(OR($A86="",$H86&lt;&gt;"Ausgabe",J86=""),0,IF(J86="x",-$E86/(COUNTIF($J86:$Q86,"x")+1),-$E86*N(J86)))</f>
        <v/>
      </c>
      <c r="Y86" s="34">
        <f>IF(OR($A86="",$H86&lt;&gt;"Ausgabe",K86=""),0,IF(K86="x",-$E86/(COUNTIF($J86:$Q86,"x")+1),-$E86*N(K86)))</f>
        <v/>
      </c>
      <c r="Z86" s="34">
        <f>IF(OR($A86="",$H86&lt;&gt;"Ausgabe",L86=""),0,IF(L86="x",-$E86/(COUNTIF($J86:$Q86,"x")+1),-$E86*N(L86)))</f>
        <v/>
      </c>
      <c r="AA86" s="34">
        <f>IF(OR($A86="",$H86&lt;&gt;"Ausgabe",M86=""),0,IF(M86="x",-$E86/(COUNTIF($J86:$Q86,"x")+1),-$E86*N(M86)))</f>
        <v/>
      </c>
      <c r="AB86" s="34">
        <f>IF(OR($A86="",$H86&lt;&gt;"Ausgabe",N86=""),0,IF(N86="x",-$E86/(COUNTIF($J86:$Q86,"x")+1),-$E86*N(N86)))</f>
        <v/>
      </c>
      <c r="AC86" s="34">
        <f>IF(OR($A86="",$H86&lt;&gt;"Ausgabe",O86=""),0,IF(O86="x",-$E86/(COUNTIF($J86:$Q86,"x")+1),-$E86*N(O86)))</f>
        <v/>
      </c>
      <c r="AD86" s="34">
        <f>IF(OR($A86="",$H86&lt;&gt;"Ausgabe",P86=""),0,IF(P86="x",-$E86/(COUNTIF($J86:$Q86,"x")+1),-$E86*N(P86)))</f>
        <v/>
      </c>
      <c r="AE86" s="34">
        <f>IF(OR($A86="",$H86&lt;&gt;"Ausgabe",Q86=""),0,IF(Q86="x",-$E86/(COUNTIF($J86:$Q86,"x")+1),-$E86*N(Q86)))</f>
        <v/>
      </c>
    </row>
    <row r="87">
      <c r="A87" s="30" t="n"/>
      <c r="E87" s="31" t="n"/>
      <c r="J87" s="32" t="n"/>
      <c r="K87" s="32" t="n"/>
      <c r="L87" s="32" t="n"/>
      <c r="M87" s="32" t="n"/>
      <c r="N87" s="32" t="n"/>
      <c r="O87" s="32" t="n"/>
      <c r="P87" s="32" t="n"/>
      <c r="Q87" s="32" t="n"/>
      <c r="U87" s="31">
        <f>IF($A87="","",SUM(X87:AE87))</f>
        <v/>
      </c>
      <c r="V87" s="31">
        <f>IF($A87="","",IF($H87&lt;&gt;"Ausgabe",0,-$E87-$U87))</f>
        <v/>
      </c>
      <c r="W87" s="33">
        <f>IF($A87="","",DATE(YEAR($A87),MONTH($A87),1))</f>
        <v/>
      </c>
      <c r="X87" s="34">
        <f>IF(OR($A87="",$H87&lt;&gt;"Ausgabe",J87=""),0,IF(J87="x",-$E87/(COUNTIF($J87:$Q87,"x")+1),-$E87*N(J87)))</f>
        <v/>
      </c>
      <c r="Y87" s="34">
        <f>IF(OR($A87="",$H87&lt;&gt;"Ausgabe",K87=""),0,IF(K87="x",-$E87/(COUNTIF($J87:$Q87,"x")+1),-$E87*N(K87)))</f>
        <v/>
      </c>
      <c r="Z87" s="34">
        <f>IF(OR($A87="",$H87&lt;&gt;"Ausgabe",L87=""),0,IF(L87="x",-$E87/(COUNTIF($J87:$Q87,"x")+1),-$E87*N(L87)))</f>
        <v/>
      </c>
      <c r="AA87" s="34">
        <f>IF(OR($A87="",$H87&lt;&gt;"Ausgabe",M87=""),0,IF(M87="x",-$E87/(COUNTIF($J87:$Q87,"x")+1),-$E87*N(M87)))</f>
        <v/>
      </c>
      <c r="AB87" s="34">
        <f>IF(OR($A87="",$H87&lt;&gt;"Ausgabe",N87=""),0,IF(N87="x",-$E87/(COUNTIF($J87:$Q87,"x")+1),-$E87*N(N87)))</f>
        <v/>
      </c>
      <c r="AC87" s="34">
        <f>IF(OR($A87="",$H87&lt;&gt;"Ausgabe",O87=""),0,IF(O87="x",-$E87/(COUNTIF($J87:$Q87,"x")+1),-$E87*N(O87)))</f>
        <v/>
      </c>
      <c r="AD87" s="34">
        <f>IF(OR($A87="",$H87&lt;&gt;"Ausgabe",P87=""),0,IF(P87="x",-$E87/(COUNTIF($J87:$Q87,"x")+1),-$E87*N(P87)))</f>
        <v/>
      </c>
      <c r="AE87" s="34">
        <f>IF(OR($A87="",$H87&lt;&gt;"Ausgabe",Q87=""),0,IF(Q87="x",-$E87/(COUNTIF($J87:$Q87,"x")+1),-$E87*N(Q87)))</f>
        <v/>
      </c>
    </row>
    <row r="88">
      <c r="A88" s="30" t="n"/>
      <c r="E88" s="31" t="n"/>
      <c r="J88" s="32" t="n"/>
      <c r="K88" s="32" t="n"/>
      <c r="L88" s="32" t="n"/>
      <c r="M88" s="32" t="n"/>
      <c r="N88" s="32" t="n"/>
      <c r="O88" s="32" t="n"/>
      <c r="P88" s="32" t="n"/>
      <c r="Q88" s="32" t="n"/>
      <c r="U88" s="31">
        <f>IF($A88="","",SUM(X88:AE88))</f>
        <v/>
      </c>
      <c r="V88" s="31">
        <f>IF($A88="","",IF($H88&lt;&gt;"Ausgabe",0,-$E88-$U88))</f>
        <v/>
      </c>
      <c r="W88" s="33">
        <f>IF($A88="","",DATE(YEAR($A88),MONTH($A88),1))</f>
        <v/>
      </c>
      <c r="X88" s="34">
        <f>IF(OR($A88="",$H88&lt;&gt;"Ausgabe",J88=""),0,IF(J88="x",-$E88/(COUNTIF($J88:$Q88,"x")+1),-$E88*N(J88)))</f>
        <v/>
      </c>
      <c r="Y88" s="34">
        <f>IF(OR($A88="",$H88&lt;&gt;"Ausgabe",K88=""),0,IF(K88="x",-$E88/(COUNTIF($J88:$Q88,"x")+1),-$E88*N(K88)))</f>
        <v/>
      </c>
      <c r="Z88" s="34">
        <f>IF(OR($A88="",$H88&lt;&gt;"Ausgabe",L88=""),0,IF(L88="x",-$E88/(COUNTIF($J88:$Q88,"x")+1),-$E88*N(L88)))</f>
        <v/>
      </c>
      <c r="AA88" s="34">
        <f>IF(OR($A88="",$H88&lt;&gt;"Ausgabe",M88=""),0,IF(M88="x",-$E88/(COUNTIF($J88:$Q88,"x")+1),-$E88*N(M88)))</f>
        <v/>
      </c>
      <c r="AB88" s="34">
        <f>IF(OR($A88="",$H88&lt;&gt;"Ausgabe",N88=""),0,IF(N88="x",-$E88/(COUNTIF($J88:$Q88,"x")+1),-$E88*N(N88)))</f>
        <v/>
      </c>
      <c r="AC88" s="34">
        <f>IF(OR($A88="",$H88&lt;&gt;"Ausgabe",O88=""),0,IF(O88="x",-$E88/(COUNTIF($J88:$Q88,"x")+1),-$E88*N(O88)))</f>
        <v/>
      </c>
      <c r="AD88" s="34">
        <f>IF(OR($A88="",$H88&lt;&gt;"Ausgabe",P88=""),0,IF(P88="x",-$E88/(COUNTIF($J88:$Q88,"x")+1),-$E88*N(P88)))</f>
        <v/>
      </c>
      <c r="AE88" s="34">
        <f>IF(OR($A88="",$H88&lt;&gt;"Ausgabe",Q88=""),0,IF(Q88="x",-$E88/(COUNTIF($J88:$Q88,"x")+1),-$E88*N(Q88)))</f>
        <v/>
      </c>
    </row>
    <row r="89">
      <c r="A89" s="30" t="n"/>
      <c r="E89" s="31" t="n"/>
      <c r="J89" s="32" t="n"/>
      <c r="K89" s="32" t="n"/>
      <c r="L89" s="32" t="n"/>
      <c r="M89" s="32" t="n"/>
      <c r="N89" s="32" t="n"/>
      <c r="O89" s="32" t="n"/>
      <c r="P89" s="32" t="n"/>
      <c r="Q89" s="32" t="n"/>
      <c r="U89" s="31">
        <f>IF($A89="","",SUM(X89:AE89))</f>
        <v/>
      </c>
      <c r="V89" s="31">
        <f>IF($A89="","",IF($H89&lt;&gt;"Ausgabe",0,-$E89-$U89))</f>
        <v/>
      </c>
      <c r="W89" s="33">
        <f>IF($A89="","",DATE(YEAR($A89),MONTH($A89),1))</f>
        <v/>
      </c>
      <c r="X89" s="34">
        <f>IF(OR($A89="",$H89&lt;&gt;"Ausgabe",J89=""),0,IF(J89="x",-$E89/(COUNTIF($J89:$Q89,"x")+1),-$E89*N(J89)))</f>
        <v/>
      </c>
      <c r="Y89" s="34">
        <f>IF(OR($A89="",$H89&lt;&gt;"Ausgabe",K89=""),0,IF(K89="x",-$E89/(COUNTIF($J89:$Q89,"x")+1),-$E89*N(K89)))</f>
        <v/>
      </c>
      <c r="Z89" s="34">
        <f>IF(OR($A89="",$H89&lt;&gt;"Ausgabe",L89=""),0,IF(L89="x",-$E89/(COUNTIF($J89:$Q89,"x")+1),-$E89*N(L89)))</f>
        <v/>
      </c>
      <c r="AA89" s="34">
        <f>IF(OR($A89="",$H89&lt;&gt;"Ausgabe",M89=""),0,IF(M89="x",-$E89/(COUNTIF($J89:$Q89,"x")+1),-$E89*N(M89)))</f>
        <v/>
      </c>
      <c r="AB89" s="34">
        <f>IF(OR($A89="",$H89&lt;&gt;"Ausgabe",N89=""),0,IF(N89="x",-$E89/(COUNTIF($J89:$Q89,"x")+1),-$E89*N(N89)))</f>
        <v/>
      </c>
      <c r="AC89" s="34">
        <f>IF(OR($A89="",$H89&lt;&gt;"Ausgabe",O89=""),0,IF(O89="x",-$E89/(COUNTIF($J89:$Q89,"x")+1),-$E89*N(O89)))</f>
        <v/>
      </c>
      <c r="AD89" s="34">
        <f>IF(OR($A89="",$H89&lt;&gt;"Ausgabe",P89=""),0,IF(P89="x",-$E89/(COUNTIF($J89:$Q89,"x")+1),-$E89*N(P89)))</f>
        <v/>
      </c>
      <c r="AE89" s="34">
        <f>IF(OR($A89="",$H89&lt;&gt;"Ausgabe",Q89=""),0,IF(Q89="x",-$E89/(COUNTIF($J89:$Q89,"x")+1),-$E89*N(Q89)))</f>
        <v/>
      </c>
    </row>
    <row r="90">
      <c r="A90" s="30" t="n"/>
      <c r="E90" s="31" t="n"/>
      <c r="J90" s="32" t="n"/>
      <c r="K90" s="32" t="n"/>
      <c r="L90" s="32" t="n"/>
      <c r="M90" s="32" t="n"/>
      <c r="N90" s="32" t="n"/>
      <c r="O90" s="32" t="n"/>
      <c r="P90" s="32" t="n"/>
      <c r="Q90" s="32" t="n"/>
      <c r="U90" s="31">
        <f>IF($A90="","",SUM(X90:AE90))</f>
        <v/>
      </c>
      <c r="V90" s="31">
        <f>IF($A90="","",IF($H90&lt;&gt;"Ausgabe",0,-$E90-$U90))</f>
        <v/>
      </c>
      <c r="W90" s="33">
        <f>IF($A90="","",DATE(YEAR($A90),MONTH($A90),1))</f>
        <v/>
      </c>
      <c r="X90" s="34">
        <f>IF(OR($A90="",$H90&lt;&gt;"Ausgabe",J90=""),0,IF(J90="x",-$E90/(COUNTIF($J90:$Q90,"x")+1),-$E90*N(J90)))</f>
        <v/>
      </c>
      <c r="Y90" s="34">
        <f>IF(OR($A90="",$H90&lt;&gt;"Ausgabe",K90=""),0,IF(K90="x",-$E90/(COUNTIF($J90:$Q90,"x")+1),-$E90*N(K90)))</f>
        <v/>
      </c>
      <c r="Z90" s="34">
        <f>IF(OR($A90="",$H90&lt;&gt;"Ausgabe",L90=""),0,IF(L90="x",-$E90/(COUNTIF($J90:$Q90,"x")+1),-$E90*N(L90)))</f>
        <v/>
      </c>
      <c r="AA90" s="34">
        <f>IF(OR($A90="",$H90&lt;&gt;"Ausgabe",M90=""),0,IF(M90="x",-$E90/(COUNTIF($J90:$Q90,"x")+1),-$E90*N(M90)))</f>
        <v/>
      </c>
      <c r="AB90" s="34">
        <f>IF(OR($A90="",$H90&lt;&gt;"Ausgabe",N90=""),0,IF(N90="x",-$E90/(COUNTIF($J90:$Q90,"x")+1),-$E90*N(N90)))</f>
        <v/>
      </c>
      <c r="AC90" s="34">
        <f>IF(OR($A90="",$H90&lt;&gt;"Ausgabe",O90=""),0,IF(O90="x",-$E90/(COUNTIF($J90:$Q90,"x")+1),-$E90*N(O90)))</f>
        <v/>
      </c>
      <c r="AD90" s="34">
        <f>IF(OR($A90="",$H90&lt;&gt;"Ausgabe",P90=""),0,IF(P90="x",-$E90/(COUNTIF($J90:$Q90,"x")+1),-$E90*N(P90)))</f>
        <v/>
      </c>
      <c r="AE90" s="34">
        <f>IF(OR($A90="",$H90&lt;&gt;"Ausgabe",Q90=""),0,IF(Q90="x",-$E90/(COUNTIF($J90:$Q90,"x")+1),-$E90*N(Q90)))</f>
        <v/>
      </c>
    </row>
    <row r="91">
      <c r="A91" s="30" t="n"/>
      <c r="E91" s="31" t="n"/>
      <c r="J91" s="32" t="n"/>
      <c r="K91" s="32" t="n"/>
      <c r="L91" s="32" t="n"/>
      <c r="M91" s="32" t="n"/>
      <c r="N91" s="32" t="n"/>
      <c r="O91" s="32" t="n"/>
      <c r="P91" s="32" t="n"/>
      <c r="Q91" s="32" t="n"/>
      <c r="U91" s="31">
        <f>IF($A91="","",SUM(X91:AE91))</f>
        <v/>
      </c>
      <c r="V91" s="31">
        <f>IF($A91="","",IF($H91&lt;&gt;"Ausgabe",0,-$E91-$U91))</f>
        <v/>
      </c>
      <c r="W91" s="33">
        <f>IF($A91="","",DATE(YEAR($A91),MONTH($A91),1))</f>
        <v/>
      </c>
      <c r="X91" s="34">
        <f>IF(OR($A91="",$H91&lt;&gt;"Ausgabe",J91=""),0,IF(J91="x",-$E91/(COUNTIF($J91:$Q91,"x")+1),-$E91*N(J91)))</f>
        <v/>
      </c>
      <c r="Y91" s="34">
        <f>IF(OR($A91="",$H91&lt;&gt;"Ausgabe",K91=""),0,IF(K91="x",-$E91/(COUNTIF($J91:$Q91,"x")+1),-$E91*N(K91)))</f>
        <v/>
      </c>
      <c r="Z91" s="34">
        <f>IF(OR($A91="",$H91&lt;&gt;"Ausgabe",L91=""),0,IF(L91="x",-$E91/(COUNTIF($J91:$Q91,"x")+1),-$E91*N(L91)))</f>
        <v/>
      </c>
      <c r="AA91" s="34">
        <f>IF(OR($A91="",$H91&lt;&gt;"Ausgabe",M91=""),0,IF(M91="x",-$E91/(COUNTIF($J91:$Q91,"x")+1),-$E91*N(M91)))</f>
        <v/>
      </c>
      <c r="AB91" s="34">
        <f>IF(OR($A91="",$H91&lt;&gt;"Ausgabe",N91=""),0,IF(N91="x",-$E91/(COUNTIF($J91:$Q91,"x")+1),-$E91*N(N91)))</f>
        <v/>
      </c>
      <c r="AC91" s="34">
        <f>IF(OR($A91="",$H91&lt;&gt;"Ausgabe",O91=""),0,IF(O91="x",-$E91/(COUNTIF($J91:$Q91,"x")+1),-$E91*N(O91)))</f>
        <v/>
      </c>
      <c r="AD91" s="34">
        <f>IF(OR($A91="",$H91&lt;&gt;"Ausgabe",P91=""),0,IF(P91="x",-$E91/(COUNTIF($J91:$Q91,"x")+1),-$E91*N(P91)))</f>
        <v/>
      </c>
      <c r="AE91" s="34">
        <f>IF(OR($A91="",$H91&lt;&gt;"Ausgabe",Q91=""),0,IF(Q91="x",-$E91/(COUNTIF($J91:$Q91,"x")+1),-$E91*N(Q91)))</f>
        <v/>
      </c>
    </row>
    <row r="92">
      <c r="A92" s="30" t="n"/>
      <c r="E92" s="31" t="n"/>
      <c r="J92" s="32" t="n"/>
      <c r="K92" s="32" t="n"/>
      <c r="L92" s="32" t="n"/>
      <c r="M92" s="32" t="n"/>
      <c r="N92" s="32" t="n"/>
      <c r="O92" s="32" t="n"/>
      <c r="P92" s="32" t="n"/>
      <c r="Q92" s="32" t="n"/>
      <c r="U92" s="31">
        <f>IF($A92="","",SUM(X92:AE92))</f>
        <v/>
      </c>
      <c r="V92" s="31">
        <f>IF($A92="","",IF($H92&lt;&gt;"Ausgabe",0,-$E92-$U92))</f>
        <v/>
      </c>
      <c r="W92" s="33">
        <f>IF($A92="","",DATE(YEAR($A92),MONTH($A92),1))</f>
        <v/>
      </c>
      <c r="X92" s="34">
        <f>IF(OR($A92="",$H92&lt;&gt;"Ausgabe",J92=""),0,IF(J92="x",-$E92/(COUNTIF($J92:$Q92,"x")+1),-$E92*N(J92)))</f>
        <v/>
      </c>
      <c r="Y92" s="34">
        <f>IF(OR($A92="",$H92&lt;&gt;"Ausgabe",K92=""),0,IF(K92="x",-$E92/(COUNTIF($J92:$Q92,"x")+1),-$E92*N(K92)))</f>
        <v/>
      </c>
      <c r="Z92" s="34">
        <f>IF(OR($A92="",$H92&lt;&gt;"Ausgabe",L92=""),0,IF(L92="x",-$E92/(COUNTIF($J92:$Q92,"x")+1),-$E92*N(L92)))</f>
        <v/>
      </c>
      <c r="AA92" s="34">
        <f>IF(OR($A92="",$H92&lt;&gt;"Ausgabe",M92=""),0,IF(M92="x",-$E92/(COUNTIF($J92:$Q92,"x")+1),-$E92*N(M92)))</f>
        <v/>
      </c>
      <c r="AB92" s="34">
        <f>IF(OR($A92="",$H92&lt;&gt;"Ausgabe",N92=""),0,IF(N92="x",-$E92/(COUNTIF($J92:$Q92,"x")+1),-$E92*N(N92)))</f>
        <v/>
      </c>
      <c r="AC92" s="34">
        <f>IF(OR($A92="",$H92&lt;&gt;"Ausgabe",O92=""),0,IF(O92="x",-$E92/(COUNTIF($J92:$Q92,"x")+1),-$E92*N(O92)))</f>
        <v/>
      </c>
      <c r="AD92" s="34">
        <f>IF(OR($A92="",$H92&lt;&gt;"Ausgabe",P92=""),0,IF(P92="x",-$E92/(COUNTIF($J92:$Q92,"x")+1),-$E92*N(P92)))</f>
        <v/>
      </c>
      <c r="AE92" s="34">
        <f>IF(OR($A92="",$H92&lt;&gt;"Ausgabe",Q92=""),0,IF(Q92="x",-$E92/(COUNTIF($J92:$Q92,"x")+1),-$E92*N(Q92)))</f>
        <v/>
      </c>
    </row>
    <row r="93">
      <c r="A93" s="30" t="n"/>
      <c r="E93" s="31" t="n"/>
      <c r="J93" s="32" t="n"/>
      <c r="K93" s="32" t="n"/>
      <c r="L93" s="32" t="n"/>
      <c r="M93" s="32" t="n"/>
      <c r="N93" s="32" t="n"/>
      <c r="O93" s="32" t="n"/>
      <c r="P93" s="32" t="n"/>
      <c r="Q93" s="32" t="n"/>
      <c r="U93" s="31">
        <f>IF($A93="","",SUM(X93:AE93))</f>
        <v/>
      </c>
      <c r="V93" s="31">
        <f>IF($A93="","",IF($H93&lt;&gt;"Ausgabe",0,-$E93-$U93))</f>
        <v/>
      </c>
      <c r="W93" s="33">
        <f>IF($A93="","",DATE(YEAR($A93),MONTH($A93),1))</f>
        <v/>
      </c>
      <c r="X93" s="34">
        <f>IF(OR($A93="",$H93&lt;&gt;"Ausgabe",J93=""),0,IF(J93="x",-$E93/(COUNTIF($J93:$Q93,"x")+1),-$E93*N(J93)))</f>
        <v/>
      </c>
      <c r="Y93" s="34">
        <f>IF(OR($A93="",$H93&lt;&gt;"Ausgabe",K93=""),0,IF(K93="x",-$E93/(COUNTIF($J93:$Q93,"x")+1),-$E93*N(K93)))</f>
        <v/>
      </c>
      <c r="Z93" s="34">
        <f>IF(OR($A93="",$H93&lt;&gt;"Ausgabe",L93=""),0,IF(L93="x",-$E93/(COUNTIF($J93:$Q93,"x")+1),-$E93*N(L93)))</f>
        <v/>
      </c>
      <c r="AA93" s="34">
        <f>IF(OR($A93="",$H93&lt;&gt;"Ausgabe",M93=""),0,IF(M93="x",-$E93/(COUNTIF($J93:$Q93,"x")+1),-$E93*N(M93)))</f>
        <v/>
      </c>
      <c r="AB93" s="34">
        <f>IF(OR($A93="",$H93&lt;&gt;"Ausgabe",N93=""),0,IF(N93="x",-$E93/(COUNTIF($J93:$Q93,"x")+1),-$E93*N(N93)))</f>
        <v/>
      </c>
      <c r="AC93" s="34">
        <f>IF(OR($A93="",$H93&lt;&gt;"Ausgabe",O93=""),0,IF(O93="x",-$E93/(COUNTIF($J93:$Q93,"x")+1),-$E93*N(O93)))</f>
        <v/>
      </c>
      <c r="AD93" s="34">
        <f>IF(OR($A93="",$H93&lt;&gt;"Ausgabe",P93=""),0,IF(P93="x",-$E93/(COUNTIF($J93:$Q93,"x")+1),-$E93*N(P93)))</f>
        <v/>
      </c>
      <c r="AE93" s="34">
        <f>IF(OR($A93="",$H93&lt;&gt;"Ausgabe",Q93=""),0,IF(Q93="x",-$E93/(COUNTIF($J93:$Q93,"x")+1),-$E93*N(Q93)))</f>
        <v/>
      </c>
    </row>
    <row r="94">
      <c r="A94" s="30" t="n"/>
      <c r="E94" s="31" t="n"/>
      <c r="J94" s="32" t="n"/>
      <c r="K94" s="32" t="n"/>
      <c r="L94" s="32" t="n"/>
      <c r="M94" s="32" t="n"/>
      <c r="N94" s="32" t="n"/>
      <c r="O94" s="32" t="n"/>
      <c r="P94" s="32" t="n"/>
      <c r="Q94" s="32" t="n"/>
      <c r="U94" s="31">
        <f>IF($A94="","",SUM(X94:AE94))</f>
        <v/>
      </c>
      <c r="V94" s="31">
        <f>IF($A94="","",IF($H94&lt;&gt;"Ausgabe",0,-$E94-$U94))</f>
        <v/>
      </c>
      <c r="W94" s="33">
        <f>IF($A94="","",DATE(YEAR($A94),MONTH($A94),1))</f>
        <v/>
      </c>
      <c r="X94" s="34">
        <f>IF(OR($A94="",$H94&lt;&gt;"Ausgabe",J94=""),0,IF(J94="x",-$E94/(COUNTIF($J94:$Q94,"x")+1),-$E94*N(J94)))</f>
        <v/>
      </c>
      <c r="Y94" s="34">
        <f>IF(OR($A94="",$H94&lt;&gt;"Ausgabe",K94=""),0,IF(K94="x",-$E94/(COUNTIF($J94:$Q94,"x")+1),-$E94*N(K94)))</f>
        <v/>
      </c>
      <c r="Z94" s="34">
        <f>IF(OR($A94="",$H94&lt;&gt;"Ausgabe",L94=""),0,IF(L94="x",-$E94/(COUNTIF($J94:$Q94,"x")+1),-$E94*N(L94)))</f>
        <v/>
      </c>
      <c r="AA94" s="34">
        <f>IF(OR($A94="",$H94&lt;&gt;"Ausgabe",M94=""),0,IF(M94="x",-$E94/(COUNTIF($J94:$Q94,"x")+1),-$E94*N(M94)))</f>
        <v/>
      </c>
      <c r="AB94" s="34">
        <f>IF(OR($A94="",$H94&lt;&gt;"Ausgabe",N94=""),0,IF(N94="x",-$E94/(COUNTIF($J94:$Q94,"x")+1),-$E94*N(N94)))</f>
        <v/>
      </c>
      <c r="AC94" s="34">
        <f>IF(OR($A94="",$H94&lt;&gt;"Ausgabe",O94=""),0,IF(O94="x",-$E94/(COUNTIF($J94:$Q94,"x")+1),-$E94*N(O94)))</f>
        <v/>
      </c>
      <c r="AD94" s="34">
        <f>IF(OR($A94="",$H94&lt;&gt;"Ausgabe",P94=""),0,IF(P94="x",-$E94/(COUNTIF($J94:$Q94,"x")+1),-$E94*N(P94)))</f>
        <v/>
      </c>
      <c r="AE94" s="34">
        <f>IF(OR($A94="",$H94&lt;&gt;"Ausgabe",Q94=""),0,IF(Q94="x",-$E94/(COUNTIF($J94:$Q94,"x")+1),-$E94*N(Q94)))</f>
        <v/>
      </c>
    </row>
    <row r="95">
      <c r="A95" s="30" t="n"/>
      <c r="E95" s="31" t="n"/>
      <c r="J95" s="32" t="n"/>
      <c r="K95" s="32" t="n"/>
      <c r="L95" s="32" t="n"/>
      <c r="M95" s="32" t="n"/>
      <c r="N95" s="32" t="n"/>
      <c r="O95" s="32" t="n"/>
      <c r="P95" s="32" t="n"/>
      <c r="Q95" s="32" t="n"/>
      <c r="U95" s="31">
        <f>IF($A95="","",SUM(X95:AE95))</f>
        <v/>
      </c>
      <c r="V95" s="31">
        <f>IF($A95="","",IF($H95&lt;&gt;"Ausgabe",0,-$E95-$U95))</f>
        <v/>
      </c>
      <c r="W95" s="33">
        <f>IF($A95="","",DATE(YEAR($A95),MONTH($A95),1))</f>
        <v/>
      </c>
      <c r="X95" s="34">
        <f>IF(OR($A95="",$H95&lt;&gt;"Ausgabe",J95=""),0,IF(J95="x",-$E95/(COUNTIF($J95:$Q95,"x")+1),-$E95*N(J95)))</f>
        <v/>
      </c>
      <c r="Y95" s="34">
        <f>IF(OR($A95="",$H95&lt;&gt;"Ausgabe",K95=""),0,IF(K95="x",-$E95/(COUNTIF($J95:$Q95,"x")+1),-$E95*N(K95)))</f>
        <v/>
      </c>
      <c r="Z95" s="34">
        <f>IF(OR($A95="",$H95&lt;&gt;"Ausgabe",L95=""),0,IF(L95="x",-$E95/(COUNTIF($J95:$Q95,"x")+1),-$E95*N(L95)))</f>
        <v/>
      </c>
      <c r="AA95" s="34">
        <f>IF(OR($A95="",$H95&lt;&gt;"Ausgabe",M95=""),0,IF(M95="x",-$E95/(COUNTIF($J95:$Q95,"x")+1),-$E95*N(M95)))</f>
        <v/>
      </c>
      <c r="AB95" s="34">
        <f>IF(OR($A95="",$H95&lt;&gt;"Ausgabe",N95=""),0,IF(N95="x",-$E95/(COUNTIF($J95:$Q95,"x")+1),-$E95*N(N95)))</f>
        <v/>
      </c>
      <c r="AC95" s="34">
        <f>IF(OR($A95="",$H95&lt;&gt;"Ausgabe",O95=""),0,IF(O95="x",-$E95/(COUNTIF($J95:$Q95,"x")+1),-$E95*N(O95)))</f>
        <v/>
      </c>
      <c r="AD95" s="34">
        <f>IF(OR($A95="",$H95&lt;&gt;"Ausgabe",P95=""),0,IF(P95="x",-$E95/(COUNTIF($J95:$Q95,"x")+1),-$E95*N(P95)))</f>
        <v/>
      </c>
      <c r="AE95" s="34">
        <f>IF(OR($A95="",$H95&lt;&gt;"Ausgabe",Q95=""),0,IF(Q95="x",-$E95/(COUNTIF($J95:$Q95,"x")+1),-$E95*N(Q95)))</f>
        <v/>
      </c>
    </row>
    <row r="96">
      <c r="A96" s="30" t="n"/>
      <c r="E96" s="31" t="n"/>
      <c r="J96" s="32" t="n"/>
      <c r="K96" s="32" t="n"/>
      <c r="L96" s="32" t="n"/>
      <c r="M96" s="32" t="n"/>
      <c r="N96" s="32" t="n"/>
      <c r="O96" s="32" t="n"/>
      <c r="P96" s="32" t="n"/>
      <c r="Q96" s="32" t="n"/>
      <c r="U96" s="31">
        <f>IF($A96="","",SUM(X96:AE96))</f>
        <v/>
      </c>
      <c r="V96" s="31">
        <f>IF($A96="","",IF($H96&lt;&gt;"Ausgabe",0,-$E96-$U96))</f>
        <v/>
      </c>
      <c r="W96" s="33">
        <f>IF($A96="","",DATE(YEAR($A96),MONTH($A96),1))</f>
        <v/>
      </c>
      <c r="X96" s="34">
        <f>IF(OR($A96="",$H96&lt;&gt;"Ausgabe",J96=""),0,IF(J96="x",-$E96/(COUNTIF($J96:$Q96,"x")+1),-$E96*N(J96)))</f>
        <v/>
      </c>
      <c r="Y96" s="34">
        <f>IF(OR($A96="",$H96&lt;&gt;"Ausgabe",K96=""),0,IF(K96="x",-$E96/(COUNTIF($J96:$Q96,"x")+1),-$E96*N(K96)))</f>
        <v/>
      </c>
      <c r="Z96" s="34">
        <f>IF(OR($A96="",$H96&lt;&gt;"Ausgabe",L96=""),0,IF(L96="x",-$E96/(COUNTIF($J96:$Q96,"x")+1),-$E96*N(L96)))</f>
        <v/>
      </c>
      <c r="AA96" s="34">
        <f>IF(OR($A96="",$H96&lt;&gt;"Ausgabe",M96=""),0,IF(M96="x",-$E96/(COUNTIF($J96:$Q96,"x")+1),-$E96*N(M96)))</f>
        <v/>
      </c>
      <c r="AB96" s="34">
        <f>IF(OR($A96="",$H96&lt;&gt;"Ausgabe",N96=""),0,IF(N96="x",-$E96/(COUNTIF($J96:$Q96,"x")+1),-$E96*N(N96)))</f>
        <v/>
      </c>
      <c r="AC96" s="34">
        <f>IF(OR($A96="",$H96&lt;&gt;"Ausgabe",O96=""),0,IF(O96="x",-$E96/(COUNTIF($J96:$Q96,"x")+1),-$E96*N(O96)))</f>
        <v/>
      </c>
      <c r="AD96" s="34">
        <f>IF(OR($A96="",$H96&lt;&gt;"Ausgabe",P96=""),0,IF(P96="x",-$E96/(COUNTIF($J96:$Q96,"x")+1),-$E96*N(P96)))</f>
        <v/>
      </c>
      <c r="AE96" s="34">
        <f>IF(OR($A96="",$H96&lt;&gt;"Ausgabe",Q96=""),0,IF(Q96="x",-$E96/(COUNTIF($J96:$Q96,"x")+1),-$E96*N(Q96)))</f>
        <v/>
      </c>
    </row>
    <row r="97">
      <c r="A97" s="30" t="n"/>
      <c r="E97" s="31" t="n"/>
      <c r="J97" s="32" t="n"/>
      <c r="K97" s="32" t="n"/>
      <c r="L97" s="32" t="n"/>
      <c r="M97" s="32" t="n"/>
      <c r="N97" s="32" t="n"/>
      <c r="O97" s="32" t="n"/>
      <c r="P97" s="32" t="n"/>
      <c r="Q97" s="32" t="n"/>
      <c r="U97" s="31">
        <f>IF($A97="","",SUM(X97:AE97))</f>
        <v/>
      </c>
      <c r="V97" s="31">
        <f>IF($A97="","",IF($H97&lt;&gt;"Ausgabe",0,-$E97-$U97))</f>
        <v/>
      </c>
      <c r="W97" s="33">
        <f>IF($A97="","",DATE(YEAR($A97),MONTH($A97),1))</f>
        <v/>
      </c>
      <c r="X97" s="34">
        <f>IF(OR($A97="",$H97&lt;&gt;"Ausgabe",J97=""),0,IF(J97="x",-$E97/(COUNTIF($J97:$Q97,"x")+1),-$E97*N(J97)))</f>
        <v/>
      </c>
      <c r="Y97" s="34">
        <f>IF(OR($A97="",$H97&lt;&gt;"Ausgabe",K97=""),0,IF(K97="x",-$E97/(COUNTIF($J97:$Q97,"x")+1),-$E97*N(K97)))</f>
        <v/>
      </c>
      <c r="Z97" s="34">
        <f>IF(OR($A97="",$H97&lt;&gt;"Ausgabe",L97=""),0,IF(L97="x",-$E97/(COUNTIF($J97:$Q97,"x")+1),-$E97*N(L97)))</f>
        <v/>
      </c>
      <c r="AA97" s="34">
        <f>IF(OR($A97="",$H97&lt;&gt;"Ausgabe",M97=""),0,IF(M97="x",-$E97/(COUNTIF($J97:$Q97,"x")+1),-$E97*N(M97)))</f>
        <v/>
      </c>
      <c r="AB97" s="34">
        <f>IF(OR($A97="",$H97&lt;&gt;"Ausgabe",N97=""),0,IF(N97="x",-$E97/(COUNTIF($J97:$Q97,"x")+1),-$E97*N(N97)))</f>
        <v/>
      </c>
      <c r="AC97" s="34">
        <f>IF(OR($A97="",$H97&lt;&gt;"Ausgabe",O97=""),0,IF(O97="x",-$E97/(COUNTIF($J97:$Q97,"x")+1),-$E97*N(O97)))</f>
        <v/>
      </c>
      <c r="AD97" s="34">
        <f>IF(OR($A97="",$H97&lt;&gt;"Ausgabe",P97=""),0,IF(P97="x",-$E97/(COUNTIF($J97:$Q97,"x")+1),-$E97*N(P97)))</f>
        <v/>
      </c>
      <c r="AE97" s="34">
        <f>IF(OR($A97="",$H97&lt;&gt;"Ausgabe",Q97=""),0,IF(Q97="x",-$E97/(COUNTIF($J97:$Q97,"x")+1),-$E97*N(Q97)))</f>
        <v/>
      </c>
    </row>
    <row r="98">
      <c r="A98" s="30" t="n"/>
      <c r="E98" s="31" t="n"/>
      <c r="J98" s="32" t="n"/>
      <c r="K98" s="32" t="n"/>
      <c r="L98" s="32" t="n"/>
      <c r="M98" s="32" t="n"/>
      <c r="N98" s="32" t="n"/>
      <c r="O98" s="32" t="n"/>
      <c r="P98" s="32" t="n"/>
      <c r="Q98" s="32" t="n"/>
      <c r="U98" s="31">
        <f>IF($A98="","",SUM(X98:AE98))</f>
        <v/>
      </c>
      <c r="V98" s="31">
        <f>IF($A98="","",IF($H98&lt;&gt;"Ausgabe",0,-$E98-$U98))</f>
        <v/>
      </c>
      <c r="W98" s="33">
        <f>IF($A98="","",DATE(YEAR($A98),MONTH($A98),1))</f>
        <v/>
      </c>
      <c r="X98" s="34">
        <f>IF(OR($A98="",$H98&lt;&gt;"Ausgabe",J98=""),0,IF(J98="x",-$E98/(COUNTIF($J98:$Q98,"x")+1),-$E98*N(J98)))</f>
        <v/>
      </c>
      <c r="Y98" s="34">
        <f>IF(OR($A98="",$H98&lt;&gt;"Ausgabe",K98=""),0,IF(K98="x",-$E98/(COUNTIF($J98:$Q98,"x")+1),-$E98*N(K98)))</f>
        <v/>
      </c>
      <c r="Z98" s="34">
        <f>IF(OR($A98="",$H98&lt;&gt;"Ausgabe",L98=""),0,IF(L98="x",-$E98/(COUNTIF($J98:$Q98,"x")+1),-$E98*N(L98)))</f>
        <v/>
      </c>
      <c r="AA98" s="34">
        <f>IF(OR($A98="",$H98&lt;&gt;"Ausgabe",M98=""),0,IF(M98="x",-$E98/(COUNTIF($J98:$Q98,"x")+1),-$E98*N(M98)))</f>
        <v/>
      </c>
      <c r="AB98" s="34">
        <f>IF(OR($A98="",$H98&lt;&gt;"Ausgabe",N98=""),0,IF(N98="x",-$E98/(COUNTIF($J98:$Q98,"x")+1),-$E98*N(N98)))</f>
        <v/>
      </c>
      <c r="AC98" s="34">
        <f>IF(OR($A98="",$H98&lt;&gt;"Ausgabe",O98=""),0,IF(O98="x",-$E98/(COUNTIF($J98:$Q98,"x")+1),-$E98*N(O98)))</f>
        <v/>
      </c>
      <c r="AD98" s="34">
        <f>IF(OR($A98="",$H98&lt;&gt;"Ausgabe",P98=""),0,IF(P98="x",-$E98/(COUNTIF($J98:$Q98,"x")+1),-$E98*N(P98)))</f>
        <v/>
      </c>
      <c r="AE98" s="34">
        <f>IF(OR($A98="",$H98&lt;&gt;"Ausgabe",Q98=""),0,IF(Q98="x",-$E98/(COUNTIF($J98:$Q98,"x")+1),-$E98*N(Q98)))</f>
        <v/>
      </c>
    </row>
    <row r="99">
      <c r="A99" s="30" t="n"/>
      <c r="E99" s="31" t="n"/>
      <c r="J99" s="32" t="n"/>
      <c r="K99" s="32" t="n"/>
      <c r="L99" s="32" t="n"/>
      <c r="M99" s="32" t="n"/>
      <c r="N99" s="32" t="n"/>
      <c r="O99" s="32" t="n"/>
      <c r="P99" s="32" t="n"/>
      <c r="Q99" s="32" t="n"/>
      <c r="U99" s="31">
        <f>IF($A99="","",SUM(X99:AE99))</f>
        <v/>
      </c>
      <c r="V99" s="31">
        <f>IF($A99="","",IF($H99&lt;&gt;"Ausgabe",0,-$E99-$U99))</f>
        <v/>
      </c>
      <c r="W99" s="33">
        <f>IF($A99="","",DATE(YEAR($A99),MONTH($A99),1))</f>
        <v/>
      </c>
      <c r="X99" s="34">
        <f>IF(OR($A99="",$H99&lt;&gt;"Ausgabe",J99=""),0,IF(J99="x",-$E99/(COUNTIF($J99:$Q99,"x")+1),-$E99*N(J99)))</f>
        <v/>
      </c>
      <c r="Y99" s="34">
        <f>IF(OR($A99="",$H99&lt;&gt;"Ausgabe",K99=""),0,IF(K99="x",-$E99/(COUNTIF($J99:$Q99,"x")+1),-$E99*N(K99)))</f>
        <v/>
      </c>
      <c r="Z99" s="34">
        <f>IF(OR($A99="",$H99&lt;&gt;"Ausgabe",L99=""),0,IF(L99="x",-$E99/(COUNTIF($J99:$Q99,"x")+1),-$E99*N(L99)))</f>
        <v/>
      </c>
      <c r="AA99" s="34">
        <f>IF(OR($A99="",$H99&lt;&gt;"Ausgabe",M99=""),0,IF(M99="x",-$E99/(COUNTIF($J99:$Q99,"x")+1),-$E99*N(M99)))</f>
        <v/>
      </c>
      <c r="AB99" s="34">
        <f>IF(OR($A99="",$H99&lt;&gt;"Ausgabe",N99=""),0,IF(N99="x",-$E99/(COUNTIF($J99:$Q99,"x")+1),-$E99*N(N99)))</f>
        <v/>
      </c>
      <c r="AC99" s="34">
        <f>IF(OR($A99="",$H99&lt;&gt;"Ausgabe",O99=""),0,IF(O99="x",-$E99/(COUNTIF($J99:$Q99,"x")+1),-$E99*N(O99)))</f>
        <v/>
      </c>
      <c r="AD99" s="34">
        <f>IF(OR($A99="",$H99&lt;&gt;"Ausgabe",P99=""),0,IF(P99="x",-$E99/(COUNTIF($J99:$Q99,"x")+1),-$E99*N(P99)))</f>
        <v/>
      </c>
      <c r="AE99" s="34">
        <f>IF(OR($A99="",$H99&lt;&gt;"Ausgabe",Q99=""),0,IF(Q99="x",-$E99/(COUNTIF($J99:$Q99,"x")+1),-$E99*N(Q99)))</f>
        <v/>
      </c>
    </row>
    <row r="100">
      <c r="A100" s="30" t="n"/>
      <c r="E100" s="31" t="n"/>
      <c r="J100" s="32" t="n"/>
      <c r="K100" s="32" t="n"/>
      <c r="L100" s="32" t="n"/>
      <c r="M100" s="32" t="n"/>
      <c r="N100" s="32" t="n"/>
      <c r="O100" s="32" t="n"/>
      <c r="P100" s="32" t="n"/>
      <c r="Q100" s="32" t="n"/>
      <c r="U100" s="31">
        <f>IF($A100="","",SUM(X100:AE100))</f>
        <v/>
      </c>
      <c r="V100" s="31">
        <f>IF($A100="","",IF($H100&lt;&gt;"Ausgabe",0,-$E100-$U100))</f>
        <v/>
      </c>
      <c r="W100" s="33">
        <f>IF($A100="","",DATE(YEAR($A100),MONTH($A100),1))</f>
        <v/>
      </c>
      <c r="X100" s="34">
        <f>IF(OR($A100="",$H100&lt;&gt;"Ausgabe",J100=""),0,IF(J100="x",-$E100/(COUNTIF($J100:$Q100,"x")+1),-$E100*N(J100)))</f>
        <v/>
      </c>
      <c r="Y100" s="34">
        <f>IF(OR($A100="",$H100&lt;&gt;"Ausgabe",K100=""),0,IF(K100="x",-$E100/(COUNTIF($J100:$Q100,"x")+1),-$E100*N(K100)))</f>
        <v/>
      </c>
      <c r="Z100" s="34">
        <f>IF(OR($A100="",$H100&lt;&gt;"Ausgabe",L100=""),0,IF(L100="x",-$E100/(COUNTIF($J100:$Q100,"x")+1),-$E100*N(L100)))</f>
        <v/>
      </c>
      <c r="AA100" s="34">
        <f>IF(OR($A100="",$H100&lt;&gt;"Ausgabe",M100=""),0,IF(M100="x",-$E100/(COUNTIF($J100:$Q100,"x")+1),-$E100*N(M100)))</f>
        <v/>
      </c>
      <c r="AB100" s="34">
        <f>IF(OR($A100="",$H100&lt;&gt;"Ausgabe",N100=""),0,IF(N100="x",-$E100/(COUNTIF($J100:$Q100,"x")+1),-$E100*N(N100)))</f>
        <v/>
      </c>
      <c r="AC100" s="34">
        <f>IF(OR($A100="",$H100&lt;&gt;"Ausgabe",O100=""),0,IF(O100="x",-$E100/(COUNTIF($J100:$Q100,"x")+1),-$E100*N(O100)))</f>
        <v/>
      </c>
      <c r="AD100" s="34">
        <f>IF(OR($A100="",$H100&lt;&gt;"Ausgabe",P100=""),0,IF(P100="x",-$E100/(COUNTIF($J100:$Q100,"x")+1),-$E100*N(P100)))</f>
        <v/>
      </c>
      <c r="AE100" s="34">
        <f>IF(OR($A100="",$H100&lt;&gt;"Ausgabe",Q100=""),0,IF(Q100="x",-$E100/(COUNTIF($J100:$Q100,"x")+1),-$E100*N(Q100)))</f>
        <v/>
      </c>
    </row>
    <row r="101">
      <c r="A101" s="30" t="n"/>
      <c r="E101" s="31" t="n"/>
      <c r="J101" s="32" t="n"/>
      <c r="K101" s="32" t="n"/>
      <c r="L101" s="32" t="n"/>
      <c r="M101" s="32" t="n"/>
      <c r="N101" s="32" t="n"/>
      <c r="O101" s="32" t="n"/>
      <c r="P101" s="32" t="n"/>
      <c r="Q101" s="32" t="n"/>
      <c r="U101" s="31">
        <f>IF($A101="","",SUM(X101:AE101))</f>
        <v/>
      </c>
      <c r="V101" s="31">
        <f>IF($A101="","",IF($H101&lt;&gt;"Ausgabe",0,-$E101-$U101))</f>
        <v/>
      </c>
      <c r="W101" s="33">
        <f>IF($A101="","",DATE(YEAR($A101),MONTH($A101),1))</f>
        <v/>
      </c>
      <c r="X101" s="34">
        <f>IF(OR($A101="",$H101&lt;&gt;"Ausgabe",J101=""),0,IF(J101="x",-$E101/(COUNTIF($J101:$Q101,"x")+1),-$E101*N(J101)))</f>
        <v/>
      </c>
      <c r="Y101" s="34">
        <f>IF(OR($A101="",$H101&lt;&gt;"Ausgabe",K101=""),0,IF(K101="x",-$E101/(COUNTIF($J101:$Q101,"x")+1),-$E101*N(K101)))</f>
        <v/>
      </c>
      <c r="Z101" s="34">
        <f>IF(OR($A101="",$H101&lt;&gt;"Ausgabe",L101=""),0,IF(L101="x",-$E101/(COUNTIF($J101:$Q101,"x")+1),-$E101*N(L101)))</f>
        <v/>
      </c>
      <c r="AA101" s="34">
        <f>IF(OR($A101="",$H101&lt;&gt;"Ausgabe",M101=""),0,IF(M101="x",-$E101/(COUNTIF($J101:$Q101,"x")+1),-$E101*N(M101)))</f>
        <v/>
      </c>
      <c r="AB101" s="34">
        <f>IF(OR($A101="",$H101&lt;&gt;"Ausgabe",N101=""),0,IF(N101="x",-$E101/(COUNTIF($J101:$Q101,"x")+1),-$E101*N(N101)))</f>
        <v/>
      </c>
      <c r="AC101" s="34">
        <f>IF(OR($A101="",$H101&lt;&gt;"Ausgabe",O101=""),0,IF(O101="x",-$E101/(COUNTIF($J101:$Q101,"x")+1),-$E101*N(O101)))</f>
        <v/>
      </c>
      <c r="AD101" s="34">
        <f>IF(OR($A101="",$H101&lt;&gt;"Ausgabe",P101=""),0,IF(P101="x",-$E101/(COUNTIF($J101:$Q101,"x")+1),-$E101*N(P101)))</f>
        <v/>
      </c>
      <c r="AE101" s="34">
        <f>IF(OR($A101="",$H101&lt;&gt;"Ausgabe",Q101=""),0,IF(Q101="x",-$E101/(COUNTIF($J101:$Q101,"x")+1),-$E101*N(Q101)))</f>
        <v/>
      </c>
    </row>
    <row r="102">
      <c r="A102" s="30" t="n"/>
      <c r="E102" s="31" t="n"/>
      <c r="J102" s="32" t="n"/>
      <c r="K102" s="32" t="n"/>
      <c r="L102" s="32" t="n"/>
      <c r="M102" s="32" t="n"/>
      <c r="N102" s="32" t="n"/>
      <c r="O102" s="32" t="n"/>
      <c r="P102" s="32" t="n"/>
      <c r="Q102" s="32" t="n"/>
      <c r="U102" s="31">
        <f>IF($A102="","",SUM(X102:AE102))</f>
        <v/>
      </c>
      <c r="V102" s="31">
        <f>IF($A102="","",IF($H102&lt;&gt;"Ausgabe",0,-$E102-$U102))</f>
        <v/>
      </c>
      <c r="W102" s="33">
        <f>IF($A102="","",DATE(YEAR($A102),MONTH($A102),1))</f>
        <v/>
      </c>
      <c r="X102" s="34">
        <f>IF(OR($A102="",$H102&lt;&gt;"Ausgabe",J102=""),0,IF(J102="x",-$E102/(COUNTIF($J102:$Q102,"x")+1),-$E102*N(J102)))</f>
        <v/>
      </c>
      <c r="Y102" s="34">
        <f>IF(OR($A102="",$H102&lt;&gt;"Ausgabe",K102=""),0,IF(K102="x",-$E102/(COUNTIF($J102:$Q102,"x")+1),-$E102*N(K102)))</f>
        <v/>
      </c>
      <c r="Z102" s="34">
        <f>IF(OR($A102="",$H102&lt;&gt;"Ausgabe",L102=""),0,IF(L102="x",-$E102/(COUNTIF($J102:$Q102,"x")+1),-$E102*N(L102)))</f>
        <v/>
      </c>
      <c r="AA102" s="34">
        <f>IF(OR($A102="",$H102&lt;&gt;"Ausgabe",M102=""),0,IF(M102="x",-$E102/(COUNTIF($J102:$Q102,"x")+1),-$E102*N(M102)))</f>
        <v/>
      </c>
      <c r="AB102" s="34">
        <f>IF(OR($A102="",$H102&lt;&gt;"Ausgabe",N102=""),0,IF(N102="x",-$E102/(COUNTIF($J102:$Q102,"x")+1),-$E102*N(N102)))</f>
        <v/>
      </c>
      <c r="AC102" s="34">
        <f>IF(OR($A102="",$H102&lt;&gt;"Ausgabe",O102=""),0,IF(O102="x",-$E102/(COUNTIF($J102:$Q102,"x")+1),-$E102*N(O102)))</f>
        <v/>
      </c>
      <c r="AD102" s="34">
        <f>IF(OR($A102="",$H102&lt;&gt;"Ausgabe",P102=""),0,IF(P102="x",-$E102/(COUNTIF($J102:$Q102,"x")+1),-$E102*N(P102)))</f>
        <v/>
      </c>
      <c r="AE102" s="34">
        <f>IF(OR($A102="",$H102&lt;&gt;"Ausgabe",Q102=""),0,IF(Q102="x",-$E102/(COUNTIF($J102:$Q102,"x")+1),-$E102*N(Q102)))</f>
        <v/>
      </c>
    </row>
    <row r="103">
      <c r="A103" s="30" t="n"/>
      <c r="E103" s="31" t="n"/>
      <c r="J103" s="32" t="n"/>
      <c r="K103" s="32" t="n"/>
      <c r="L103" s="32" t="n"/>
      <c r="M103" s="32" t="n"/>
      <c r="N103" s="32" t="n"/>
      <c r="O103" s="32" t="n"/>
      <c r="P103" s="32" t="n"/>
      <c r="Q103" s="32" t="n"/>
      <c r="U103" s="31">
        <f>IF($A103="","",SUM(X103:AE103))</f>
        <v/>
      </c>
      <c r="V103" s="31">
        <f>IF($A103="","",IF($H103&lt;&gt;"Ausgabe",0,-$E103-$U103))</f>
        <v/>
      </c>
      <c r="W103" s="33">
        <f>IF($A103="","",DATE(YEAR($A103),MONTH($A103),1))</f>
        <v/>
      </c>
      <c r="X103" s="34">
        <f>IF(OR($A103="",$H103&lt;&gt;"Ausgabe",J103=""),0,IF(J103="x",-$E103/(COUNTIF($J103:$Q103,"x")+1),-$E103*N(J103)))</f>
        <v/>
      </c>
      <c r="Y103" s="34">
        <f>IF(OR($A103="",$H103&lt;&gt;"Ausgabe",K103=""),0,IF(K103="x",-$E103/(COUNTIF($J103:$Q103,"x")+1),-$E103*N(K103)))</f>
        <v/>
      </c>
      <c r="Z103" s="34">
        <f>IF(OR($A103="",$H103&lt;&gt;"Ausgabe",L103=""),0,IF(L103="x",-$E103/(COUNTIF($J103:$Q103,"x")+1),-$E103*N(L103)))</f>
        <v/>
      </c>
      <c r="AA103" s="34">
        <f>IF(OR($A103="",$H103&lt;&gt;"Ausgabe",M103=""),0,IF(M103="x",-$E103/(COUNTIF($J103:$Q103,"x")+1),-$E103*N(M103)))</f>
        <v/>
      </c>
      <c r="AB103" s="34">
        <f>IF(OR($A103="",$H103&lt;&gt;"Ausgabe",N103=""),0,IF(N103="x",-$E103/(COUNTIF($J103:$Q103,"x")+1),-$E103*N(N103)))</f>
        <v/>
      </c>
      <c r="AC103" s="34">
        <f>IF(OR($A103="",$H103&lt;&gt;"Ausgabe",O103=""),0,IF(O103="x",-$E103/(COUNTIF($J103:$Q103,"x")+1),-$E103*N(O103)))</f>
        <v/>
      </c>
      <c r="AD103" s="34">
        <f>IF(OR($A103="",$H103&lt;&gt;"Ausgabe",P103=""),0,IF(P103="x",-$E103/(COUNTIF($J103:$Q103,"x")+1),-$E103*N(P103)))</f>
        <v/>
      </c>
      <c r="AE103" s="34">
        <f>IF(OR($A103="",$H103&lt;&gt;"Ausgabe",Q103=""),0,IF(Q103="x",-$E103/(COUNTIF($J103:$Q103,"x")+1),-$E103*N(Q103)))</f>
        <v/>
      </c>
    </row>
    <row r="104">
      <c r="A104" s="30" t="n"/>
      <c r="E104" s="31" t="n"/>
      <c r="J104" s="32" t="n"/>
      <c r="K104" s="32" t="n"/>
      <c r="L104" s="32" t="n"/>
      <c r="M104" s="32" t="n"/>
      <c r="N104" s="32" t="n"/>
      <c r="O104" s="32" t="n"/>
      <c r="P104" s="32" t="n"/>
      <c r="Q104" s="32" t="n"/>
      <c r="U104" s="31">
        <f>IF($A104="","",SUM(X104:AE104))</f>
        <v/>
      </c>
      <c r="V104" s="31">
        <f>IF($A104="","",IF($H104&lt;&gt;"Ausgabe",0,-$E104-$U104))</f>
        <v/>
      </c>
      <c r="W104" s="33">
        <f>IF($A104="","",DATE(YEAR($A104),MONTH($A104),1))</f>
        <v/>
      </c>
      <c r="X104" s="34">
        <f>IF(OR($A104="",$H104&lt;&gt;"Ausgabe",J104=""),0,IF(J104="x",-$E104/(COUNTIF($J104:$Q104,"x")+1),-$E104*N(J104)))</f>
        <v/>
      </c>
      <c r="Y104" s="34">
        <f>IF(OR($A104="",$H104&lt;&gt;"Ausgabe",K104=""),0,IF(K104="x",-$E104/(COUNTIF($J104:$Q104,"x")+1),-$E104*N(K104)))</f>
        <v/>
      </c>
      <c r="Z104" s="34">
        <f>IF(OR($A104="",$H104&lt;&gt;"Ausgabe",L104=""),0,IF(L104="x",-$E104/(COUNTIF($J104:$Q104,"x")+1),-$E104*N(L104)))</f>
        <v/>
      </c>
      <c r="AA104" s="34">
        <f>IF(OR($A104="",$H104&lt;&gt;"Ausgabe",M104=""),0,IF(M104="x",-$E104/(COUNTIF($J104:$Q104,"x")+1),-$E104*N(M104)))</f>
        <v/>
      </c>
      <c r="AB104" s="34">
        <f>IF(OR($A104="",$H104&lt;&gt;"Ausgabe",N104=""),0,IF(N104="x",-$E104/(COUNTIF($J104:$Q104,"x")+1),-$E104*N(N104)))</f>
        <v/>
      </c>
      <c r="AC104" s="34">
        <f>IF(OR($A104="",$H104&lt;&gt;"Ausgabe",O104=""),0,IF(O104="x",-$E104/(COUNTIF($J104:$Q104,"x")+1),-$E104*N(O104)))</f>
        <v/>
      </c>
      <c r="AD104" s="34">
        <f>IF(OR($A104="",$H104&lt;&gt;"Ausgabe",P104=""),0,IF(P104="x",-$E104/(COUNTIF($J104:$Q104,"x")+1),-$E104*N(P104)))</f>
        <v/>
      </c>
      <c r="AE104" s="34">
        <f>IF(OR($A104="",$H104&lt;&gt;"Ausgabe",Q104=""),0,IF(Q104="x",-$E104/(COUNTIF($J104:$Q104,"x")+1),-$E104*N(Q104)))</f>
        <v/>
      </c>
    </row>
    <row r="105">
      <c r="A105" s="30" t="n"/>
      <c r="E105" s="31" t="n"/>
      <c r="J105" s="32" t="n"/>
      <c r="K105" s="32" t="n"/>
      <c r="L105" s="32" t="n"/>
      <c r="M105" s="32" t="n"/>
      <c r="N105" s="32" t="n"/>
      <c r="O105" s="32" t="n"/>
      <c r="P105" s="32" t="n"/>
      <c r="Q105" s="32" t="n"/>
      <c r="U105" s="31">
        <f>IF($A105="","",SUM(X105:AE105))</f>
        <v/>
      </c>
      <c r="V105" s="31">
        <f>IF($A105="","",IF($H105&lt;&gt;"Ausgabe",0,-$E105-$U105))</f>
        <v/>
      </c>
      <c r="W105" s="33">
        <f>IF($A105="","",DATE(YEAR($A105),MONTH($A105),1))</f>
        <v/>
      </c>
      <c r="X105" s="34">
        <f>IF(OR($A105="",$H105&lt;&gt;"Ausgabe",J105=""),0,IF(J105="x",-$E105/(COUNTIF($J105:$Q105,"x")+1),-$E105*N(J105)))</f>
        <v/>
      </c>
      <c r="Y105" s="34">
        <f>IF(OR($A105="",$H105&lt;&gt;"Ausgabe",K105=""),0,IF(K105="x",-$E105/(COUNTIF($J105:$Q105,"x")+1),-$E105*N(K105)))</f>
        <v/>
      </c>
      <c r="Z105" s="34">
        <f>IF(OR($A105="",$H105&lt;&gt;"Ausgabe",L105=""),0,IF(L105="x",-$E105/(COUNTIF($J105:$Q105,"x")+1),-$E105*N(L105)))</f>
        <v/>
      </c>
      <c r="AA105" s="34">
        <f>IF(OR($A105="",$H105&lt;&gt;"Ausgabe",M105=""),0,IF(M105="x",-$E105/(COUNTIF($J105:$Q105,"x")+1),-$E105*N(M105)))</f>
        <v/>
      </c>
      <c r="AB105" s="34">
        <f>IF(OR($A105="",$H105&lt;&gt;"Ausgabe",N105=""),0,IF(N105="x",-$E105/(COUNTIF($J105:$Q105,"x")+1),-$E105*N(N105)))</f>
        <v/>
      </c>
      <c r="AC105" s="34">
        <f>IF(OR($A105="",$H105&lt;&gt;"Ausgabe",O105=""),0,IF(O105="x",-$E105/(COUNTIF($J105:$Q105,"x")+1),-$E105*N(O105)))</f>
        <v/>
      </c>
      <c r="AD105" s="34">
        <f>IF(OR($A105="",$H105&lt;&gt;"Ausgabe",P105=""),0,IF(P105="x",-$E105/(COUNTIF($J105:$Q105,"x")+1),-$E105*N(P105)))</f>
        <v/>
      </c>
      <c r="AE105" s="34">
        <f>IF(OR($A105="",$H105&lt;&gt;"Ausgabe",Q105=""),0,IF(Q105="x",-$E105/(COUNTIF($J105:$Q105,"x")+1),-$E105*N(Q105)))</f>
        <v/>
      </c>
    </row>
    <row r="106">
      <c r="A106" s="30" t="n"/>
      <c r="E106" s="31" t="n"/>
      <c r="J106" s="32" t="n"/>
      <c r="K106" s="32" t="n"/>
      <c r="L106" s="32" t="n"/>
      <c r="M106" s="32" t="n"/>
      <c r="N106" s="32" t="n"/>
      <c r="O106" s="32" t="n"/>
      <c r="P106" s="32" t="n"/>
      <c r="Q106" s="32" t="n"/>
      <c r="U106" s="31">
        <f>IF($A106="","",SUM(X106:AE106))</f>
        <v/>
      </c>
      <c r="V106" s="31">
        <f>IF($A106="","",IF($H106&lt;&gt;"Ausgabe",0,-$E106-$U106))</f>
        <v/>
      </c>
      <c r="W106" s="33">
        <f>IF($A106="","",DATE(YEAR($A106),MONTH($A106),1))</f>
        <v/>
      </c>
      <c r="X106" s="34">
        <f>IF(OR($A106="",$H106&lt;&gt;"Ausgabe",J106=""),0,IF(J106="x",-$E106/(COUNTIF($J106:$Q106,"x")+1),-$E106*N(J106)))</f>
        <v/>
      </c>
      <c r="Y106" s="34">
        <f>IF(OR($A106="",$H106&lt;&gt;"Ausgabe",K106=""),0,IF(K106="x",-$E106/(COUNTIF($J106:$Q106,"x")+1),-$E106*N(K106)))</f>
        <v/>
      </c>
      <c r="Z106" s="34">
        <f>IF(OR($A106="",$H106&lt;&gt;"Ausgabe",L106=""),0,IF(L106="x",-$E106/(COUNTIF($J106:$Q106,"x")+1),-$E106*N(L106)))</f>
        <v/>
      </c>
      <c r="AA106" s="34">
        <f>IF(OR($A106="",$H106&lt;&gt;"Ausgabe",M106=""),0,IF(M106="x",-$E106/(COUNTIF($J106:$Q106,"x")+1),-$E106*N(M106)))</f>
        <v/>
      </c>
      <c r="AB106" s="34">
        <f>IF(OR($A106="",$H106&lt;&gt;"Ausgabe",N106=""),0,IF(N106="x",-$E106/(COUNTIF($J106:$Q106,"x")+1),-$E106*N(N106)))</f>
        <v/>
      </c>
      <c r="AC106" s="34">
        <f>IF(OR($A106="",$H106&lt;&gt;"Ausgabe",O106=""),0,IF(O106="x",-$E106/(COUNTIF($J106:$Q106,"x")+1),-$E106*N(O106)))</f>
        <v/>
      </c>
      <c r="AD106" s="34">
        <f>IF(OR($A106="",$H106&lt;&gt;"Ausgabe",P106=""),0,IF(P106="x",-$E106/(COUNTIF($J106:$Q106,"x")+1),-$E106*N(P106)))</f>
        <v/>
      </c>
      <c r="AE106" s="34">
        <f>IF(OR($A106="",$H106&lt;&gt;"Ausgabe",Q106=""),0,IF(Q106="x",-$E106/(COUNTIF($J106:$Q106,"x")+1),-$E106*N(Q106)))</f>
        <v/>
      </c>
    </row>
    <row r="107">
      <c r="A107" s="30" t="n"/>
      <c r="E107" s="31" t="n"/>
      <c r="J107" s="32" t="n"/>
      <c r="K107" s="32" t="n"/>
      <c r="L107" s="32" t="n"/>
      <c r="M107" s="32" t="n"/>
      <c r="N107" s="32" t="n"/>
      <c r="O107" s="32" t="n"/>
      <c r="P107" s="32" t="n"/>
      <c r="Q107" s="32" t="n"/>
      <c r="U107" s="31">
        <f>IF($A107="","",SUM(X107:AE107))</f>
        <v/>
      </c>
      <c r="V107" s="31">
        <f>IF($A107="","",IF($H107&lt;&gt;"Ausgabe",0,-$E107-$U107))</f>
        <v/>
      </c>
      <c r="W107" s="33">
        <f>IF($A107="","",DATE(YEAR($A107),MONTH($A107),1))</f>
        <v/>
      </c>
      <c r="X107" s="34">
        <f>IF(OR($A107="",$H107&lt;&gt;"Ausgabe",J107=""),0,IF(J107="x",-$E107/(COUNTIF($J107:$Q107,"x")+1),-$E107*N(J107)))</f>
        <v/>
      </c>
      <c r="Y107" s="34">
        <f>IF(OR($A107="",$H107&lt;&gt;"Ausgabe",K107=""),0,IF(K107="x",-$E107/(COUNTIF($J107:$Q107,"x")+1),-$E107*N(K107)))</f>
        <v/>
      </c>
      <c r="Z107" s="34">
        <f>IF(OR($A107="",$H107&lt;&gt;"Ausgabe",L107=""),0,IF(L107="x",-$E107/(COUNTIF($J107:$Q107,"x")+1),-$E107*N(L107)))</f>
        <v/>
      </c>
      <c r="AA107" s="34">
        <f>IF(OR($A107="",$H107&lt;&gt;"Ausgabe",M107=""),0,IF(M107="x",-$E107/(COUNTIF($J107:$Q107,"x")+1),-$E107*N(M107)))</f>
        <v/>
      </c>
      <c r="AB107" s="34">
        <f>IF(OR($A107="",$H107&lt;&gt;"Ausgabe",N107=""),0,IF(N107="x",-$E107/(COUNTIF($J107:$Q107,"x")+1),-$E107*N(N107)))</f>
        <v/>
      </c>
      <c r="AC107" s="34">
        <f>IF(OR($A107="",$H107&lt;&gt;"Ausgabe",O107=""),0,IF(O107="x",-$E107/(COUNTIF($J107:$Q107,"x")+1),-$E107*N(O107)))</f>
        <v/>
      </c>
      <c r="AD107" s="34">
        <f>IF(OR($A107="",$H107&lt;&gt;"Ausgabe",P107=""),0,IF(P107="x",-$E107/(COUNTIF($J107:$Q107,"x")+1),-$E107*N(P107)))</f>
        <v/>
      </c>
      <c r="AE107" s="34">
        <f>IF(OR($A107="",$H107&lt;&gt;"Ausgabe",Q107=""),0,IF(Q107="x",-$E107/(COUNTIF($J107:$Q107,"x")+1),-$E107*N(Q107)))</f>
        <v/>
      </c>
    </row>
    <row r="108">
      <c r="A108" s="30" t="n"/>
      <c r="E108" s="31" t="n"/>
      <c r="J108" s="32" t="n"/>
      <c r="K108" s="32" t="n"/>
      <c r="L108" s="32" t="n"/>
      <c r="M108" s="32" t="n"/>
      <c r="N108" s="32" t="n"/>
      <c r="O108" s="32" t="n"/>
      <c r="P108" s="32" t="n"/>
      <c r="Q108" s="32" t="n"/>
      <c r="U108" s="31">
        <f>IF($A108="","",SUM(X108:AE108))</f>
        <v/>
      </c>
      <c r="V108" s="31">
        <f>IF($A108="","",IF($H108&lt;&gt;"Ausgabe",0,-$E108-$U108))</f>
        <v/>
      </c>
      <c r="W108" s="33">
        <f>IF($A108="","",DATE(YEAR($A108),MONTH($A108),1))</f>
        <v/>
      </c>
      <c r="X108" s="34">
        <f>IF(OR($A108="",$H108&lt;&gt;"Ausgabe",J108=""),0,IF(J108="x",-$E108/(COUNTIF($J108:$Q108,"x")+1),-$E108*N(J108)))</f>
        <v/>
      </c>
      <c r="Y108" s="34">
        <f>IF(OR($A108="",$H108&lt;&gt;"Ausgabe",K108=""),0,IF(K108="x",-$E108/(COUNTIF($J108:$Q108,"x")+1),-$E108*N(K108)))</f>
        <v/>
      </c>
      <c r="Z108" s="34">
        <f>IF(OR($A108="",$H108&lt;&gt;"Ausgabe",L108=""),0,IF(L108="x",-$E108/(COUNTIF($J108:$Q108,"x")+1),-$E108*N(L108)))</f>
        <v/>
      </c>
      <c r="AA108" s="34">
        <f>IF(OR($A108="",$H108&lt;&gt;"Ausgabe",M108=""),0,IF(M108="x",-$E108/(COUNTIF($J108:$Q108,"x")+1),-$E108*N(M108)))</f>
        <v/>
      </c>
      <c r="AB108" s="34">
        <f>IF(OR($A108="",$H108&lt;&gt;"Ausgabe",N108=""),0,IF(N108="x",-$E108/(COUNTIF($J108:$Q108,"x")+1),-$E108*N(N108)))</f>
        <v/>
      </c>
      <c r="AC108" s="34">
        <f>IF(OR($A108="",$H108&lt;&gt;"Ausgabe",O108=""),0,IF(O108="x",-$E108/(COUNTIF($J108:$Q108,"x")+1),-$E108*N(O108)))</f>
        <v/>
      </c>
      <c r="AD108" s="34">
        <f>IF(OR($A108="",$H108&lt;&gt;"Ausgabe",P108=""),0,IF(P108="x",-$E108/(COUNTIF($J108:$Q108,"x")+1),-$E108*N(P108)))</f>
        <v/>
      </c>
      <c r="AE108" s="34">
        <f>IF(OR($A108="",$H108&lt;&gt;"Ausgabe",Q108=""),0,IF(Q108="x",-$E108/(COUNTIF($J108:$Q108,"x")+1),-$E108*N(Q108)))</f>
        <v/>
      </c>
    </row>
    <row r="109">
      <c r="A109" s="30" t="n"/>
      <c r="E109" s="31" t="n"/>
      <c r="J109" s="32" t="n"/>
      <c r="K109" s="32" t="n"/>
      <c r="L109" s="32" t="n"/>
      <c r="M109" s="32" t="n"/>
      <c r="N109" s="32" t="n"/>
      <c r="O109" s="32" t="n"/>
      <c r="P109" s="32" t="n"/>
      <c r="Q109" s="32" t="n"/>
      <c r="U109" s="31">
        <f>IF($A109="","",SUM(X109:AE109))</f>
        <v/>
      </c>
      <c r="V109" s="31">
        <f>IF($A109="","",IF($H109&lt;&gt;"Ausgabe",0,-$E109-$U109))</f>
        <v/>
      </c>
      <c r="W109" s="33">
        <f>IF($A109="","",DATE(YEAR($A109),MONTH($A109),1))</f>
        <v/>
      </c>
      <c r="X109" s="34">
        <f>IF(OR($A109="",$H109&lt;&gt;"Ausgabe",J109=""),0,IF(J109="x",-$E109/(COUNTIF($J109:$Q109,"x")+1),-$E109*N(J109)))</f>
        <v/>
      </c>
      <c r="Y109" s="34">
        <f>IF(OR($A109="",$H109&lt;&gt;"Ausgabe",K109=""),0,IF(K109="x",-$E109/(COUNTIF($J109:$Q109,"x")+1),-$E109*N(K109)))</f>
        <v/>
      </c>
      <c r="Z109" s="34">
        <f>IF(OR($A109="",$H109&lt;&gt;"Ausgabe",L109=""),0,IF(L109="x",-$E109/(COUNTIF($J109:$Q109,"x")+1),-$E109*N(L109)))</f>
        <v/>
      </c>
      <c r="AA109" s="34">
        <f>IF(OR($A109="",$H109&lt;&gt;"Ausgabe",M109=""),0,IF(M109="x",-$E109/(COUNTIF($J109:$Q109,"x")+1),-$E109*N(M109)))</f>
        <v/>
      </c>
      <c r="AB109" s="34">
        <f>IF(OR($A109="",$H109&lt;&gt;"Ausgabe",N109=""),0,IF(N109="x",-$E109/(COUNTIF($J109:$Q109,"x")+1),-$E109*N(N109)))</f>
        <v/>
      </c>
      <c r="AC109" s="34">
        <f>IF(OR($A109="",$H109&lt;&gt;"Ausgabe",O109=""),0,IF(O109="x",-$E109/(COUNTIF($J109:$Q109,"x")+1),-$E109*N(O109)))</f>
        <v/>
      </c>
      <c r="AD109" s="34">
        <f>IF(OR($A109="",$H109&lt;&gt;"Ausgabe",P109=""),0,IF(P109="x",-$E109/(COUNTIF($J109:$Q109,"x")+1),-$E109*N(P109)))</f>
        <v/>
      </c>
      <c r="AE109" s="34">
        <f>IF(OR($A109="",$H109&lt;&gt;"Ausgabe",Q109=""),0,IF(Q109="x",-$E109/(COUNTIF($J109:$Q109,"x")+1),-$E109*N(Q109)))</f>
        <v/>
      </c>
    </row>
    <row r="110">
      <c r="A110" s="30" t="n"/>
      <c r="E110" s="31" t="n"/>
      <c r="J110" s="32" t="n"/>
      <c r="K110" s="32" t="n"/>
      <c r="L110" s="32" t="n"/>
      <c r="M110" s="32" t="n"/>
      <c r="N110" s="32" t="n"/>
      <c r="O110" s="32" t="n"/>
      <c r="P110" s="32" t="n"/>
      <c r="Q110" s="32" t="n"/>
      <c r="U110" s="31">
        <f>IF($A110="","",SUM(X110:AE110))</f>
        <v/>
      </c>
      <c r="V110" s="31">
        <f>IF($A110="","",IF($H110&lt;&gt;"Ausgabe",0,-$E110-$U110))</f>
        <v/>
      </c>
      <c r="W110" s="33">
        <f>IF($A110="","",DATE(YEAR($A110),MONTH($A110),1))</f>
        <v/>
      </c>
      <c r="X110" s="34">
        <f>IF(OR($A110="",$H110&lt;&gt;"Ausgabe",J110=""),0,IF(J110="x",-$E110/(COUNTIF($J110:$Q110,"x")+1),-$E110*N(J110)))</f>
        <v/>
      </c>
      <c r="Y110" s="34">
        <f>IF(OR($A110="",$H110&lt;&gt;"Ausgabe",K110=""),0,IF(K110="x",-$E110/(COUNTIF($J110:$Q110,"x")+1),-$E110*N(K110)))</f>
        <v/>
      </c>
      <c r="Z110" s="34">
        <f>IF(OR($A110="",$H110&lt;&gt;"Ausgabe",L110=""),0,IF(L110="x",-$E110/(COUNTIF($J110:$Q110,"x")+1),-$E110*N(L110)))</f>
        <v/>
      </c>
      <c r="AA110" s="34">
        <f>IF(OR($A110="",$H110&lt;&gt;"Ausgabe",M110=""),0,IF(M110="x",-$E110/(COUNTIF($J110:$Q110,"x")+1),-$E110*N(M110)))</f>
        <v/>
      </c>
      <c r="AB110" s="34">
        <f>IF(OR($A110="",$H110&lt;&gt;"Ausgabe",N110=""),0,IF(N110="x",-$E110/(COUNTIF($J110:$Q110,"x")+1),-$E110*N(N110)))</f>
        <v/>
      </c>
      <c r="AC110" s="34">
        <f>IF(OR($A110="",$H110&lt;&gt;"Ausgabe",O110=""),0,IF(O110="x",-$E110/(COUNTIF($J110:$Q110,"x")+1),-$E110*N(O110)))</f>
        <v/>
      </c>
      <c r="AD110" s="34">
        <f>IF(OR($A110="",$H110&lt;&gt;"Ausgabe",P110=""),0,IF(P110="x",-$E110/(COUNTIF($J110:$Q110,"x")+1),-$E110*N(P110)))</f>
        <v/>
      </c>
      <c r="AE110" s="34">
        <f>IF(OR($A110="",$H110&lt;&gt;"Ausgabe",Q110=""),0,IF(Q110="x",-$E110/(COUNTIF($J110:$Q110,"x")+1),-$E110*N(Q110)))</f>
        <v/>
      </c>
    </row>
    <row r="111">
      <c r="A111" s="30" t="n"/>
      <c r="E111" s="31" t="n"/>
      <c r="J111" s="32" t="n"/>
      <c r="K111" s="32" t="n"/>
      <c r="L111" s="32" t="n"/>
      <c r="M111" s="32" t="n"/>
      <c r="N111" s="32" t="n"/>
      <c r="O111" s="32" t="n"/>
      <c r="P111" s="32" t="n"/>
      <c r="Q111" s="32" t="n"/>
      <c r="U111" s="31">
        <f>IF($A111="","",SUM(X111:AE111))</f>
        <v/>
      </c>
      <c r="V111" s="31">
        <f>IF($A111="","",IF($H111&lt;&gt;"Ausgabe",0,-$E111-$U111))</f>
        <v/>
      </c>
      <c r="W111" s="33">
        <f>IF($A111="","",DATE(YEAR($A111),MONTH($A111),1))</f>
        <v/>
      </c>
      <c r="X111" s="34">
        <f>IF(OR($A111="",$H111&lt;&gt;"Ausgabe",J111=""),0,IF(J111="x",-$E111/(COUNTIF($J111:$Q111,"x")+1),-$E111*N(J111)))</f>
        <v/>
      </c>
      <c r="Y111" s="34">
        <f>IF(OR($A111="",$H111&lt;&gt;"Ausgabe",K111=""),0,IF(K111="x",-$E111/(COUNTIF($J111:$Q111,"x")+1),-$E111*N(K111)))</f>
        <v/>
      </c>
      <c r="Z111" s="34">
        <f>IF(OR($A111="",$H111&lt;&gt;"Ausgabe",L111=""),0,IF(L111="x",-$E111/(COUNTIF($J111:$Q111,"x")+1),-$E111*N(L111)))</f>
        <v/>
      </c>
      <c r="AA111" s="34">
        <f>IF(OR($A111="",$H111&lt;&gt;"Ausgabe",M111=""),0,IF(M111="x",-$E111/(COUNTIF($J111:$Q111,"x")+1),-$E111*N(M111)))</f>
        <v/>
      </c>
      <c r="AB111" s="34">
        <f>IF(OR($A111="",$H111&lt;&gt;"Ausgabe",N111=""),0,IF(N111="x",-$E111/(COUNTIF($J111:$Q111,"x")+1),-$E111*N(N111)))</f>
        <v/>
      </c>
      <c r="AC111" s="34">
        <f>IF(OR($A111="",$H111&lt;&gt;"Ausgabe",O111=""),0,IF(O111="x",-$E111/(COUNTIF($J111:$Q111,"x")+1),-$E111*N(O111)))</f>
        <v/>
      </c>
      <c r="AD111" s="34">
        <f>IF(OR($A111="",$H111&lt;&gt;"Ausgabe",P111=""),0,IF(P111="x",-$E111/(COUNTIF($J111:$Q111,"x")+1),-$E111*N(P111)))</f>
        <v/>
      </c>
      <c r="AE111" s="34">
        <f>IF(OR($A111="",$H111&lt;&gt;"Ausgabe",Q111=""),0,IF(Q111="x",-$E111/(COUNTIF($J111:$Q111,"x")+1),-$E111*N(Q111)))</f>
        <v/>
      </c>
    </row>
    <row r="112">
      <c r="A112" s="30" t="n"/>
      <c r="E112" s="31" t="n"/>
      <c r="J112" s="32" t="n"/>
      <c r="K112" s="32" t="n"/>
      <c r="L112" s="32" t="n"/>
      <c r="M112" s="32" t="n"/>
      <c r="N112" s="32" t="n"/>
      <c r="O112" s="32" t="n"/>
      <c r="P112" s="32" t="n"/>
      <c r="Q112" s="32" t="n"/>
      <c r="U112" s="31">
        <f>IF($A112="","",SUM(X112:AE112))</f>
        <v/>
      </c>
      <c r="V112" s="31">
        <f>IF($A112="","",IF($H112&lt;&gt;"Ausgabe",0,-$E112-$U112))</f>
        <v/>
      </c>
      <c r="W112" s="33">
        <f>IF($A112="","",DATE(YEAR($A112),MONTH($A112),1))</f>
        <v/>
      </c>
      <c r="X112" s="34">
        <f>IF(OR($A112="",$H112&lt;&gt;"Ausgabe",J112=""),0,IF(J112="x",-$E112/(COUNTIF($J112:$Q112,"x")+1),-$E112*N(J112)))</f>
        <v/>
      </c>
      <c r="Y112" s="34">
        <f>IF(OR($A112="",$H112&lt;&gt;"Ausgabe",K112=""),0,IF(K112="x",-$E112/(COUNTIF($J112:$Q112,"x")+1),-$E112*N(K112)))</f>
        <v/>
      </c>
      <c r="Z112" s="34">
        <f>IF(OR($A112="",$H112&lt;&gt;"Ausgabe",L112=""),0,IF(L112="x",-$E112/(COUNTIF($J112:$Q112,"x")+1),-$E112*N(L112)))</f>
        <v/>
      </c>
      <c r="AA112" s="34">
        <f>IF(OR($A112="",$H112&lt;&gt;"Ausgabe",M112=""),0,IF(M112="x",-$E112/(COUNTIF($J112:$Q112,"x")+1),-$E112*N(M112)))</f>
        <v/>
      </c>
      <c r="AB112" s="34">
        <f>IF(OR($A112="",$H112&lt;&gt;"Ausgabe",N112=""),0,IF(N112="x",-$E112/(COUNTIF($J112:$Q112,"x")+1),-$E112*N(N112)))</f>
        <v/>
      </c>
      <c r="AC112" s="34">
        <f>IF(OR($A112="",$H112&lt;&gt;"Ausgabe",O112=""),0,IF(O112="x",-$E112/(COUNTIF($J112:$Q112,"x")+1),-$E112*N(O112)))</f>
        <v/>
      </c>
      <c r="AD112" s="34">
        <f>IF(OR($A112="",$H112&lt;&gt;"Ausgabe",P112=""),0,IF(P112="x",-$E112/(COUNTIF($J112:$Q112,"x")+1),-$E112*N(P112)))</f>
        <v/>
      </c>
      <c r="AE112" s="34">
        <f>IF(OR($A112="",$H112&lt;&gt;"Ausgabe",Q112=""),0,IF(Q112="x",-$E112/(COUNTIF($J112:$Q112,"x")+1),-$E112*N(Q112)))</f>
        <v/>
      </c>
    </row>
    <row r="113">
      <c r="A113" s="30" t="n"/>
      <c r="E113" s="31" t="n"/>
      <c r="J113" s="32" t="n"/>
      <c r="K113" s="32" t="n"/>
      <c r="L113" s="32" t="n"/>
      <c r="M113" s="32" t="n"/>
      <c r="N113" s="32" t="n"/>
      <c r="O113" s="32" t="n"/>
      <c r="P113" s="32" t="n"/>
      <c r="Q113" s="32" t="n"/>
      <c r="U113" s="31">
        <f>IF($A113="","",SUM(X113:AE113))</f>
        <v/>
      </c>
      <c r="V113" s="31">
        <f>IF($A113="","",IF($H113&lt;&gt;"Ausgabe",0,-$E113-$U113))</f>
        <v/>
      </c>
      <c r="W113" s="33">
        <f>IF($A113="","",DATE(YEAR($A113),MONTH($A113),1))</f>
        <v/>
      </c>
      <c r="X113" s="34">
        <f>IF(OR($A113="",$H113&lt;&gt;"Ausgabe",J113=""),0,IF(J113="x",-$E113/(COUNTIF($J113:$Q113,"x")+1),-$E113*N(J113)))</f>
        <v/>
      </c>
      <c r="Y113" s="34">
        <f>IF(OR($A113="",$H113&lt;&gt;"Ausgabe",K113=""),0,IF(K113="x",-$E113/(COUNTIF($J113:$Q113,"x")+1),-$E113*N(K113)))</f>
        <v/>
      </c>
      <c r="Z113" s="34">
        <f>IF(OR($A113="",$H113&lt;&gt;"Ausgabe",L113=""),0,IF(L113="x",-$E113/(COUNTIF($J113:$Q113,"x")+1),-$E113*N(L113)))</f>
        <v/>
      </c>
      <c r="AA113" s="34">
        <f>IF(OR($A113="",$H113&lt;&gt;"Ausgabe",M113=""),0,IF(M113="x",-$E113/(COUNTIF($J113:$Q113,"x")+1),-$E113*N(M113)))</f>
        <v/>
      </c>
      <c r="AB113" s="34">
        <f>IF(OR($A113="",$H113&lt;&gt;"Ausgabe",N113=""),0,IF(N113="x",-$E113/(COUNTIF($J113:$Q113,"x")+1),-$E113*N(N113)))</f>
        <v/>
      </c>
      <c r="AC113" s="34">
        <f>IF(OR($A113="",$H113&lt;&gt;"Ausgabe",O113=""),0,IF(O113="x",-$E113/(COUNTIF($J113:$Q113,"x")+1),-$E113*N(O113)))</f>
        <v/>
      </c>
      <c r="AD113" s="34">
        <f>IF(OR($A113="",$H113&lt;&gt;"Ausgabe",P113=""),0,IF(P113="x",-$E113/(COUNTIF($J113:$Q113,"x")+1),-$E113*N(P113)))</f>
        <v/>
      </c>
      <c r="AE113" s="34">
        <f>IF(OR($A113="",$H113&lt;&gt;"Ausgabe",Q113=""),0,IF(Q113="x",-$E113/(COUNTIF($J113:$Q113,"x")+1),-$E113*N(Q113)))</f>
        <v/>
      </c>
    </row>
    <row r="114">
      <c r="A114" s="30" t="n"/>
      <c r="E114" s="31" t="n"/>
      <c r="J114" s="32" t="n"/>
      <c r="K114" s="32" t="n"/>
      <c r="L114" s="32" t="n"/>
      <c r="M114" s="32" t="n"/>
      <c r="N114" s="32" t="n"/>
      <c r="O114" s="32" t="n"/>
      <c r="P114" s="32" t="n"/>
      <c r="Q114" s="32" t="n"/>
      <c r="U114" s="31">
        <f>IF($A114="","",SUM(X114:AE114))</f>
        <v/>
      </c>
      <c r="V114" s="31">
        <f>IF($A114="","",IF($H114&lt;&gt;"Ausgabe",0,-$E114-$U114))</f>
        <v/>
      </c>
      <c r="W114" s="33">
        <f>IF($A114="","",DATE(YEAR($A114),MONTH($A114),1))</f>
        <v/>
      </c>
      <c r="X114" s="34">
        <f>IF(OR($A114="",$H114&lt;&gt;"Ausgabe",J114=""),0,IF(J114="x",-$E114/(COUNTIF($J114:$Q114,"x")+1),-$E114*N(J114)))</f>
        <v/>
      </c>
      <c r="Y114" s="34">
        <f>IF(OR($A114="",$H114&lt;&gt;"Ausgabe",K114=""),0,IF(K114="x",-$E114/(COUNTIF($J114:$Q114,"x")+1),-$E114*N(K114)))</f>
        <v/>
      </c>
      <c r="Z114" s="34">
        <f>IF(OR($A114="",$H114&lt;&gt;"Ausgabe",L114=""),0,IF(L114="x",-$E114/(COUNTIF($J114:$Q114,"x")+1),-$E114*N(L114)))</f>
        <v/>
      </c>
      <c r="AA114" s="34">
        <f>IF(OR($A114="",$H114&lt;&gt;"Ausgabe",M114=""),0,IF(M114="x",-$E114/(COUNTIF($J114:$Q114,"x")+1),-$E114*N(M114)))</f>
        <v/>
      </c>
      <c r="AB114" s="34">
        <f>IF(OR($A114="",$H114&lt;&gt;"Ausgabe",N114=""),0,IF(N114="x",-$E114/(COUNTIF($J114:$Q114,"x")+1),-$E114*N(N114)))</f>
        <v/>
      </c>
      <c r="AC114" s="34">
        <f>IF(OR($A114="",$H114&lt;&gt;"Ausgabe",O114=""),0,IF(O114="x",-$E114/(COUNTIF($J114:$Q114,"x")+1),-$E114*N(O114)))</f>
        <v/>
      </c>
      <c r="AD114" s="34">
        <f>IF(OR($A114="",$H114&lt;&gt;"Ausgabe",P114=""),0,IF(P114="x",-$E114/(COUNTIF($J114:$Q114,"x")+1),-$E114*N(P114)))</f>
        <v/>
      </c>
      <c r="AE114" s="34">
        <f>IF(OR($A114="",$H114&lt;&gt;"Ausgabe",Q114=""),0,IF(Q114="x",-$E114/(COUNTIF($J114:$Q114,"x")+1),-$E114*N(Q114)))</f>
        <v/>
      </c>
    </row>
    <row r="115">
      <c r="A115" s="30" t="n"/>
      <c r="E115" s="31" t="n"/>
      <c r="J115" s="32" t="n"/>
      <c r="K115" s="32" t="n"/>
      <c r="L115" s="32" t="n"/>
      <c r="M115" s="32" t="n"/>
      <c r="N115" s="32" t="n"/>
      <c r="O115" s="32" t="n"/>
      <c r="P115" s="32" t="n"/>
      <c r="Q115" s="32" t="n"/>
      <c r="U115" s="31">
        <f>IF($A115="","",SUM(X115:AE115))</f>
        <v/>
      </c>
      <c r="V115" s="31">
        <f>IF($A115="","",IF($H115&lt;&gt;"Ausgabe",0,-$E115-$U115))</f>
        <v/>
      </c>
      <c r="W115" s="33">
        <f>IF($A115="","",DATE(YEAR($A115),MONTH($A115),1))</f>
        <v/>
      </c>
      <c r="X115" s="34">
        <f>IF(OR($A115="",$H115&lt;&gt;"Ausgabe",J115=""),0,IF(J115="x",-$E115/(COUNTIF($J115:$Q115,"x")+1),-$E115*N(J115)))</f>
        <v/>
      </c>
      <c r="Y115" s="34">
        <f>IF(OR($A115="",$H115&lt;&gt;"Ausgabe",K115=""),0,IF(K115="x",-$E115/(COUNTIF($J115:$Q115,"x")+1),-$E115*N(K115)))</f>
        <v/>
      </c>
      <c r="Z115" s="34">
        <f>IF(OR($A115="",$H115&lt;&gt;"Ausgabe",L115=""),0,IF(L115="x",-$E115/(COUNTIF($J115:$Q115,"x")+1),-$E115*N(L115)))</f>
        <v/>
      </c>
      <c r="AA115" s="34">
        <f>IF(OR($A115="",$H115&lt;&gt;"Ausgabe",M115=""),0,IF(M115="x",-$E115/(COUNTIF($J115:$Q115,"x")+1),-$E115*N(M115)))</f>
        <v/>
      </c>
      <c r="AB115" s="34">
        <f>IF(OR($A115="",$H115&lt;&gt;"Ausgabe",N115=""),0,IF(N115="x",-$E115/(COUNTIF($J115:$Q115,"x")+1),-$E115*N(N115)))</f>
        <v/>
      </c>
      <c r="AC115" s="34">
        <f>IF(OR($A115="",$H115&lt;&gt;"Ausgabe",O115=""),0,IF(O115="x",-$E115/(COUNTIF($J115:$Q115,"x")+1),-$E115*N(O115)))</f>
        <v/>
      </c>
      <c r="AD115" s="34">
        <f>IF(OR($A115="",$H115&lt;&gt;"Ausgabe",P115=""),0,IF(P115="x",-$E115/(COUNTIF($J115:$Q115,"x")+1),-$E115*N(P115)))</f>
        <v/>
      </c>
      <c r="AE115" s="34">
        <f>IF(OR($A115="",$H115&lt;&gt;"Ausgabe",Q115=""),0,IF(Q115="x",-$E115/(COUNTIF($J115:$Q115,"x")+1),-$E115*N(Q115)))</f>
        <v/>
      </c>
    </row>
    <row r="116">
      <c r="A116" s="30" t="n"/>
      <c r="E116" s="31" t="n"/>
      <c r="J116" s="32" t="n"/>
      <c r="K116" s="32" t="n"/>
      <c r="L116" s="32" t="n"/>
      <c r="M116" s="32" t="n"/>
      <c r="N116" s="32" t="n"/>
      <c r="O116" s="32" t="n"/>
      <c r="P116" s="32" t="n"/>
      <c r="Q116" s="32" t="n"/>
      <c r="U116" s="31">
        <f>IF($A116="","",SUM(X116:AE116))</f>
        <v/>
      </c>
      <c r="V116" s="31">
        <f>IF($A116="","",IF($H116&lt;&gt;"Ausgabe",0,-$E116-$U116))</f>
        <v/>
      </c>
      <c r="W116" s="33">
        <f>IF($A116="","",DATE(YEAR($A116),MONTH($A116),1))</f>
        <v/>
      </c>
      <c r="X116" s="34">
        <f>IF(OR($A116="",$H116&lt;&gt;"Ausgabe",J116=""),0,IF(J116="x",-$E116/(COUNTIF($J116:$Q116,"x")+1),-$E116*N(J116)))</f>
        <v/>
      </c>
      <c r="Y116" s="34">
        <f>IF(OR($A116="",$H116&lt;&gt;"Ausgabe",K116=""),0,IF(K116="x",-$E116/(COUNTIF($J116:$Q116,"x")+1),-$E116*N(K116)))</f>
        <v/>
      </c>
      <c r="Z116" s="34">
        <f>IF(OR($A116="",$H116&lt;&gt;"Ausgabe",L116=""),0,IF(L116="x",-$E116/(COUNTIF($J116:$Q116,"x")+1),-$E116*N(L116)))</f>
        <v/>
      </c>
      <c r="AA116" s="34">
        <f>IF(OR($A116="",$H116&lt;&gt;"Ausgabe",M116=""),0,IF(M116="x",-$E116/(COUNTIF($J116:$Q116,"x")+1),-$E116*N(M116)))</f>
        <v/>
      </c>
      <c r="AB116" s="34">
        <f>IF(OR($A116="",$H116&lt;&gt;"Ausgabe",N116=""),0,IF(N116="x",-$E116/(COUNTIF($J116:$Q116,"x")+1),-$E116*N(N116)))</f>
        <v/>
      </c>
      <c r="AC116" s="34">
        <f>IF(OR($A116="",$H116&lt;&gt;"Ausgabe",O116=""),0,IF(O116="x",-$E116/(COUNTIF($J116:$Q116,"x")+1),-$E116*N(O116)))</f>
        <v/>
      </c>
      <c r="AD116" s="34">
        <f>IF(OR($A116="",$H116&lt;&gt;"Ausgabe",P116=""),0,IF(P116="x",-$E116/(COUNTIF($J116:$Q116,"x")+1),-$E116*N(P116)))</f>
        <v/>
      </c>
      <c r="AE116" s="34">
        <f>IF(OR($A116="",$H116&lt;&gt;"Ausgabe",Q116=""),0,IF(Q116="x",-$E116/(COUNTIF($J116:$Q116,"x")+1),-$E116*N(Q116)))</f>
        <v/>
      </c>
    </row>
    <row r="117">
      <c r="A117" s="30" t="n"/>
      <c r="E117" s="31" t="n"/>
      <c r="J117" s="32" t="n"/>
      <c r="K117" s="32" t="n"/>
      <c r="L117" s="32" t="n"/>
      <c r="M117" s="32" t="n"/>
      <c r="N117" s="32" t="n"/>
      <c r="O117" s="32" t="n"/>
      <c r="P117" s="32" t="n"/>
      <c r="Q117" s="32" t="n"/>
      <c r="U117" s="31">
        <f>IF($A117="","",SUM(X117:AE117))</f>
        <v/>
      </c>
      <c r="V117" s="31">
        <f>IF($A117="","",IF($H117&lt;&gt;"Ausgabe",0,-$E117-$U117))</f>
        <v/>
      </c>
      <c r="W117" s="33">
        <f>IF($A117="","",DATE(YEAR($A117),MONTH($A117),1))</f>
        <v/>
      </c>
      <c r="X117" s="34">
        <f>IF(OR($A117="",$H117&lt;&gt;"Ausgabe",J117=""),0,IF(J117="x",-$E117/(COUNTIF($J117:$Q117,"x")+1),-$E117*N(J117)))</f>
        <v/>
      </c>
      <c r="Y117" s="34">
        <f>IF(OR($A117="",$H117&lt;&gt;"Ausgabe",K117=""),0,IF(K117="x",-$E117/(COUNTIF($J117:$Q117,"x")+1),-$E117*N(K117)))</f>
        <v/>
      </c>
      <c r="Z117" s="34">
        <f>IF(OR($A117="",$H117&lt;&gt;"Ausgabe",L117=""),0,IF(L117="x",-$E117/(COUNTIF($J117:$Q117,"x")+1),-$E117*N(L117)))</f>
        <v/>
      </c>
      <c r="AA117" s="34">
        <f>IF(OR($A117="",$H117&lt;&gt;"Ausgabe",M117=""),0,IF(M117="x",-$E117/(COUNTIF($J117:$Q117,"x")+1),-$E117*N(M117)))</f>
        <v/>
      </c>
      <c r="AB117" s="34">
        <f>IF(OR($A117="",$H117&lt;&gt;"Ausgabe",N117=""),0,IF(N117="x",-$E117/(COUNTIF($J117:$Q117,"x")+1),-$E117*N(N117)))</f>
        <v/>
      </c>
      <c r="AC117" s="34">
        <f>IF(OR($A117="",$H117&lt;&gt;"Ausgabe",O117=""),0,IF(O117="x",-$E117/(COUNTIF($J117:$Q117,"x")+1),-$E117*N(O117)))</f>
        <v/>
      </c>
      <c r="AD117" s="34">
        <f>IF(OR($A117="",$H117&lt;&gt;"Ausgabe",P117=""),0,IF(P117="x",-$E117/(COUNTIF($J117:$Q117,"x")+1),-$E117*N(P117)))</f>
        <v/>
      </c>
      <c r="AE117" s="34">
        <f>IF(OR($A117="",$H117&lt;&gt;"Ausgabe",Q117=""),0,IF(Q117="x",-$E117/(COUNTIF($J117:$Q117,"x")+1),-$E117*N(Q117)))</f>
        <v/>
      </c>
    </row>
    <row r="118">
      <c r="A118" s="30" t="n"/>
      <c r="E118" s="31" t="n"/>
      <c r="J118" s="32" t="n"/>
      <c r="K118" s="32" t="n"/>
      <c r="L118" s="32" t="n"/>
      <c r="M118" s="32" t="n"/>
      <c r="N118" s="32" t="n"/>
      <c r="O118" s="32" t="n"/>
      <c r="P118" s="32" t="n"/>
      <c r="Q118" s="32" t="n"/>
      <c r="U118" s="31">
        <f>IF($A118="","",SUM(X118:AE118))</f>
        <v/>
      </c>
      <c r="V118" s="31">
        <f>IF($A118="","",IF($H118&lt;&gt;"Ausgabe",0,-$E118-$U118))</f>
        <v/>
      </c>
      <c r="W118" s="33">
        <f>IF($A118="","",DATE(YEAR($A118),MONTH($A118),1))</f>
        <v/>
      </c>
      <c r="X118" s="34">
        <f>IF(OR($A118="",$H118&lt;&gt;"Ausgabe",J118=""),0,IF(J118="x",-$E118/(COUNTIF($J118:$Q118,"x")+1),-$E118*N(J118)))</f>
        <v/>
      </c>
      <c r="Y118" s="34">
        <f>IF(OR($A118="",$H118&lt;&gt;"Ausgabe",K118=""),0,IF(K118="x",-$E118/(COUNTIF($J118:$Q118,"x")+1),-$E118*N(K118)))</f>
        <v/>
      </c>
      <c r="Z118" s="34">
        <f>IF(OR($A118="",$H118&lt;&gt;"Ausgabe",L118=""),0,IF(L118="x",-$E118/(COUNTIF($J118:$Q118,"x")+1),-$E118*N(L118)))</f>
        <v/>
      </c>
      <c r="AA118" s="34">
        <f>IF(OR($A118="",$H118&lt;&gt;"Ausgabe",M118=""),0,IF(M118="x",-$E118/(COUNTIF($J118:$Q118,"x")+1),-$E118*N(M118)))</f>
        <v/>
      </c>
      <c r="AB118" s="34">
        <f>IF(OR($A118="",$H118&lt;&gt;"Ausgabe",N118=""),0,IF(N118="x",-$E118/(COUNTIF($J118:$Q118,"x")+1),-$E118*N(N118)))</f>
        <v/>
      </c>
      <c r="AC118" s="34">
        <f>IF(OR($A118="",$H118&lt;&gt;"Ausgabe",O118=""),0,IF(O118="x",-$E118/(COUNTIF($J118:$Q118,"x")+1),-$E118*N(O118)))</f>
        <v/>
      </c>
      <c r="AD118" s="34">
        <f>IF(OR($A118="",$H118&lt;&gt;"Ausgabe",P118=""),0,IF(P118="x",-$E118/(COUNTIF($J118:$Q118,"x")+1),-$E118*N(P118)))</f>
        <v/>
      </c>
      <c r="AE118" s="34">
        <f>IF(OR($A118="",$H118&lt;&gt;"Ausgabe",Q118=""),0,IF(Q118="x",-$E118/(COUNTIF($J118:$Q118,"x")+1),-$E118*N(Q118)))</f>
        <v/>
      </c>
    </row>
    <row r="119">
      <c r="A119" s="30" t="n"/>
      <c r="E119" s="31" t="n"/>
      <c r="J119" s="32" t="n"/>
      <c r="K119" s="32" t="n"/>
      <c r="L119" s="32" t="n"/>
      <c r="M119" s="32" t="n"/>
      <c r="N119" s="32" t="n"/>
      <c r="O119" s="32" t="n"/>
      <c r="P119" s="32" t="n"/>
      <c r="Q119" s="32" t="n"/>
      <c r="U119" s="31">
        <f>IF($A119="","",SUM(X119:AE119))</f>
        <v/>
      </c>
      <c r="V119" s="31">
        <f>IF($A119="","",IF($H119&lt;&gt;"Ausgabe",0,-$E119-$U119))</f>
        <v/>
      </c>
      <c r="W119" s="33">
        <f>IF($A119="","",DATE(YEAR($A119),MONTH($A119),1))</f>
        <v/>
      </c>
      <c r="X119" s="34">
        <f>IF(OR($A119="",$H119&lt;&gt;"Ausgabe",J119=""),0,IF(J119="x",-$E119/(COUNTIF($J119:$Q119,"x")+1),-$E119*N(J119)))</f>
        <v/>
      </c>
      <c r="Y119" s="34">
        <f>IF(OR($A119="",$H119&lt;&gt;"Ausgabe",K119=""),0,IF(K119="x",-$E119/(COUNTIF($J119:$Q119,"x")+1),-$E119*N(K119)))</f>
        <v/>
      </c>
      <c r="Z119" s="34">
        <f>IF(OR($A119="",$H119&lt;&gt;"Ausgabe",L119=""),0,IF(L119="x",-$E119/(COUNTIF($J119:$Q119,"x")+1),-$E119*N(L119)))</f>
        <v/>
      </c>
      <c r="AA119" s="34">
        <f>IF(OR($A119="",$H119&lt;&gt;"Ausgabe",M119=""),0,IF(M119="x",-$E119/(COUNTIF($J119:$Q119,"x")+1),-$E119*N(M119)))</f>
        <v/>
      </c>
      <c r="AB119" s="34">
        <f>IF(OR($A119="",$H119&lt;&gt;"Ausgabe",N119=""),0,IF(N119="x",-$E119/(COUNTIF($J119:$Q119,"x")+1),-$E119*N(N119)))</f>
        <v/>
      </c>
      <c r="AC119" s="34">
        <f>IF(OR($A119="",$H119&lt;&gt;"Ausgabe",O119=""),0,IF(O119="x",-$E119/(COUNTIF($J119:$Q119,"x")+1),-$E119*N(O119)))</f>
        <v/>
      </c>
      <c r="AD119" s="34">
        <f>IF(OR($A119="",$H119&lt;&gt;"Ausgabe",P119=""),0,IF(P119="x",-$E119/(COUNTIF($J119:$Q119,"x")+1),-$E119*N(P119)))</f>
        <v/>
      </c>
      <c r="AE119" s="34">
        <f>IF(OR($A119="",$H119&lt;&gt;"Ausgabe",Q119=""),0,IF(Q119="x",-$E119/(COUNTIF($J119:$Q119,"x")+1),-$E119*N(Q119)))</f>
        <v/>
      </c>
    </row>
    <row r="120">
      <c r="A120" s="30" t="n"/>
      <c r="E120" s="31" t="n"/>
      <c r="J120" s="32" t="n"/>
      <c r="K120" s="32" t="n"/>
      <c r="L120" s="32" t="n"/>
      <c r="M120" s="32" t="n"/>
      <c r="N120" s="32" t="n"/>
      <c r="O120" s="32" t="n"/>
      <c r="P120" s="32" t="n"/>
      <c r="Q120" s="32" t="n"/>
      <c r="U120" s="31">
        <f>IF($A120="","",SUM(X120:AE120))</f>
        <v/>
      </c>
      <c r="V120" s="31">
        <f>IF($A120="","",IF($H120&lt;&gt;"Ausgabe",0,-$E120-$U120))</f>
        <v/>
      </c>
      <c r="W120" s="33">
        <f>IF($A120="","",DATE(YEAR($A120),MONTH($A120),1))</f>
        <v/>
      </c>
      <c r="X120" s="34">
        <f>IF(OR($A120="",$H120&lt;&gt;"Ausgabe",J120=""),0,IF(J120="x",-$E120/(COUNTIF($J120:$Q120,"x")+1),-$E120*N(J120)))</f>
        <v/>
      </c>
      <c r="Y120" s="34">
        <f>IF(OR($A120="",$H120&lt;&gt;"Ausgabe",K120=""),0,IF(K120="x",-$E120/(COUNTIF($J120:$Q120,"x")+1),-$E120*N(K120)))</f>
        <v/>
      </c>
      <c r="Z120" s="34">
        <f>IF(OR($A120="",$H120&lt;&gt;"Ausgabe",L120=""),0,IF(L120="x",-$E120/(COUNTIF($J120:$Q120,"x")+1),-$E120*N(L120)))</f>
        <v/>
      </c>
      <c r="AA120" s="34">
        <f>IF(OR($A120="",$H120&lt;&gt;"Ausgabe",M120=""),0,IF(M120="x",-$E120/(COUNTIF($J120:$Q120,"x")+1),-$E120*N(M120)))</f>
        <v/>
      </c>
      <c r="AB120" s="34">
        <f>IF(OR($A120="",$H120&lt;&gt;"Ausgabe",N120=""),0,IF(N120="x",-$E120/(COUNTIF($J120:$Q120,"x")+1),-$E120*N(N120)))</f>
        <v/>
      </c>
      <c r="AC120" s="34">
        <f>IF(OR($A120="",$H120&lt;&gt;"Ausgabe",O120=""),0,IF(O120="x",-$E120/(COUNTIF($J120:$Q120,"x")+1),-$E120*N(O120)))</f>
        <v/>
      </c>
      <c r="AD120" s="34">
        <f>IF(OR($A120="",$H120&lt;&gt;"Ausgabe",P120=""),0,IF(P120="x",-$E120/(COUNTIF($J120:$Q120,"x")+1),-$E120*N(P120)))</f>
        <v/>
      </c>
      <c r="AE120" s="34">
        <f>IF(OR($A120="",$H120&lt;&gt;"Ausgabe",Q120=""),0,IF(Q120="x",-$E120/(COUNTIF($J120:$Q120,"x")+1),-$E120*N(Q120)))</f>
        <v/>
      </c>
    </row>
    <row r="121">
      <c r="A121" s="30" t="n"/>
      <c r="E121" s="31" t="n"/>
      <c r="J121" s="32" t="n"/>
      <c r="K121" s="32" t="n"/>
      <c r="L121" s="32" t="n"/>
      <c r="M121" s="32" t="n"/>
      <c r="N121" s="32" t="n"/>
      <c r="O121" s="32" t="n"/>
      <c r="P121" s="32" t="n"/>
      <c r="Q121" s="32" t="n"/>
      <c r="U121" s="31">
        <f>IF($A121="","",SUM(X121:AE121))</f>
        <v/>
      </c>
      <c r="V121" s="31">
        <f>IF($A121="","",IF($H121&lt;&gt;"Ausgabe",0,-$E121-$U121))</f>
        <v/>
      </c>
      <c r="W121" s="33">
        <f>IF($A121="","",DATE(YEAR($A121),MONTH($A121),1))</f>
        <v/>
      </c>
      <c r="X121" s="34">
        <f>IF(OR($A121="",$H121&lt;&gt;"Ausgabe",J121=""),0,IF(J121="x",-$E121/(COUNTIF($J121:$Q121,"x")+1),-$E121*N(J121)))</f>
        <v/>
      </c>
      <c r="Y121" s="34">
        <f>IF(OR($A121="",$H121&lt;&gt;"Ausgabe",K121=""),0,IF(K121="x",-$E121/(COUNTIF($J121:$Q121,"x")+1),-$E121*N(K121)))</f>
        <v/>
      </c>
      <c r="Z121" s="34">
        <f>IF(OR($A121="",$H121&lt;&gt;"Ausgabe",L121=""),0,IF(L121="x",-$E121/(COUNTIF($J121:$Q121,"x")+1),-$E121*N(L121)))</f>
        <v/>
      </c>
      <c r="AA121" s="34">
        <f>IF(OR($A121="",$H121&lt;&gt;"Ausgabe",M121=""),0,IF(M121="x",-$E121/(COUNTIF($J121:$Q121,"x")+1),-$E121*N(M121)))</f>
        <v/>
      </c>
      <c r="AB121" s="34">
        <f>IF(OR($A121="",$H121&lt;&gt;"Ausgabe",N121=""),0,IF(N121="x",-$E121/(COUNTIF($J121:$Q121,"x")+1),-$E121*N(N121)))</f>
        <v/>
      </c>
      <c r="AC121" s="34">
        <f>IF(OR($A121="",$H121&lt;&gt;"Ausgabe",O121=""),0,IF(O121="x",-$E121/(COUNTIF($J121:$Q121,"x")+1),-$E121*N(O121)))</f>
        <v/>
      </c>
      <c r="AD121" s="34">
        <f>IF(OR($A121="",$H121&lt;&gt;"Ausgabe",P121=""),0,IF(P121="x",-$E121/(COUNTIF($J121:$Q121,"x")+1),-$E121*N(P121)))</f>
        <v/>
      </c>
      <c r="AE121" s="34">
        <f>IF(OR($A121="",$H121&lt;&gt;"Ausgabe",Q121=""),0,IF(Q121="x",-$E121/(COUNTIF($J121:$Q121,"x")+1),-$E121*N(Q121)))</f>
        <v/>
      </c>
    </row>
    <row r="122">
      <c r="A122" s="30" t="n"/>
      <c r="E122" s="31" t="n"/>
      <c r="J122" s="32" t="n"/>
      <c r="K122" s="32" t="n"/>
      <c r="L122" s="32" t="n"/>
      <c r="M122" s="32" t="n"/>
      <c r="N122" s="32" t="n"/>
      <c r="O122" s="32" t="n"/>
      <c r="P122" s="32" t="n"/>
      <c r="Q122" s="32" t="n"/>
      <c r="U122" s="31">
        <f>IF($A122="","",SUM(X122:AE122))</f>
        <v/>
      </c>
      <c r="V122" s="31">
        <f>IF($A122="","",IF($H122&lt;&gt;"Ausgabe",0,-$E122-$U122))</f>
        <v/>
      </c>
      <c r="W122" s="33">
        <f>IF($A122="","",DATE(YEAR($A122),MONTH($A122),1))</f>
        <v/>
      </c>
      <c r="X122" s="34">
        <f>IF(OR($A122="",$H122&lt;&gt;"Ausgabe",J122=""),0,IF(J122="x",-$E122/(COUNTIF($J122:$Q122,"x")+1),-$E122*N(J122)))</f>
        <v/>
      </c>
      <c r="Y122" s="34">
        <f>IF(OR($A122="",$H122&lt;&gt;"Ausgabe",K122=""),0,IF(K122="x",-$E122/(COUNTIF($J122:$Q122,"x")+1),-$E122*N(K122)))</f>
        <v/>
      </c>
      <c r="Z122" s="34">
        <f>IF(OR($A122="",$H122&lt;&gt;"Ausgabe",L122=""),0,IF(L122="x",-$E122/(COUNTIF($J122:$Q122,"x")+1),-$E122*N(L122)))</f>
        <v/>
      </c>
      <c r="AA122" s="34">
        <f>IF(OR($A122="",$H122&lt;&gt;"Ausgabe",M122=""),0,IF(M122="x",-$E122/(COUNTIF($J122:$Q122,"x")+1),-$E122*N(M122)))</f>
        <v/>
      </c>
      <c r="AB122" s="34">
        <f>IF(OR($A122="",$H122&lt;&gt;"Ausgabe",N122=""),0,IF(N122="x",-$E122/(COUNTIF($J122:$Q122,"x")+1),-$E122*N(N122)))</f>
        <v/>
      </c>
      <c r="AC122" s="34">
        <f>IF(OR($A122="",$H122&lt;&gt;"Ausgabe",O122=""),0,IF(O122="x",-$E122/(COUNTIF($J122:$Q122,"x")+1),-$E122*N(O122)))</f>
        <v/>
      </c>
      <c r="AD122" s="34">
        <f>IF(OR($A122="",$H122&lt;&gt;"Ausgabe",P122=""),0,IF(P122="x",-$E122/(COUNTIF($J122:$Q122,"x")+1),-$E122*N(P122)))</f>
        <v/>
      </c>
      <c r="AE122" s="34">
        <f>IF(OR($A122="",$H122&lt;&gt;"Ausgabe",Q122=""),0,IF(Q122="x",-$E122/(COUNTIF($J122:$Q122,"x")+1),-$E122*N(Q122)))</f>
        <v/>
      </c>
    </row>
    <row r="123">
      <c r="A123" s="30" t="n"/>
      <c r="E123" s="31" t="n"/>
      <c r="J123" s="32" t="n"/>
      <c r="K123" s="32" t="n"/>
      <c r="L123" s="32" t="n"/>
      <c r="M123" s="32" t="n"/>
      <c r="N123" s="32" t="n"/>
      <c r="O123" s="32" t="n"/>
      <c r="P123" s="32" t="n"/>
      <c r="Q123" s="32" t="n"/>
      <c r="U123" s="31">
        <f>IF($A123="","",SUM(X123:AE123))</f>
        <v/>
      </c>
      <c r="V123" s="31">
        <f>IF($A123="","",IF($H123&lt;&gt;"Ausgabe",0,-$E123-$U123))</f>
        <v/>
      </c>
      <c r="W123" s="33">
        <f>IF($A123="","",DATE(YEAR($A123),MONTH($A123),1))</f>
        <v/>
      </c>
      <c r="X123" s="34">
        <f>IF(OR($A123="",$H123&lt;&gt;"Ausgabe",J123=""),0,IF(J123="x",-$E123/(COUNTIF($J123:$Q123,"x")+1),-$E123*N(J123)))</f>
        <v/>
      </c>
      <c r="Y123" s="34">
        <f>IF(OR($A123="",$H123&lt;&gt;"Ausgabe",K123=""),0,IF(K123="x",-$E123/(COUNTIF($J123:$Q123,"x")+1),-$E123*N(K123)))</f>
        <v/>
      </c>
      <c r="Z123" s="34">
        <f>IF(OR($A123="",$H123&lt;&gt;"Ausgabe",L123=""),0,IF(L123="x",-$E123/(COUNTIF($J123:$Q123,"x")+1),-$E123*N(L123)))</f>
        <v/>
      </c>
      <c r="AA123" s="34">
        <f>IF(OR($A123="",$H123&lt;&gt;"Ausgabe",M123=""),0,IF(M123="x",-$E123/(COUNTIF($J123:$Q123,"x")+1),-$E123*N(M123)))</f>
        <v/>
      </c>
      <c r="AB123" s="34">
        <f>IF(OR($A123="",$H123&lt;&gt;"Ausgabe",N123=""),0,IF(N123="x",-$E123/(COUNTIF($J123:$Q123,"x")+1),-$E123*N(N123)))</f>
        <v/>
      </c>
      <c r="AC123" s="34">
        <f>IF(OR($A123="",$H123&lt;&gt;"Ausgabe",O123=""),0,IF(O123="x",-$E123/(COUNTIF($J123:$Q123,"x")+1),-$E123*N(O123)))</f>
        <v/>
      </c>
      <c r="AD123" s="34">
        <f>IF(OR($A123="",$H123&lt;&gt;"Ausgabe",P123=""),0,IF(P123="x",-$E123/(COUNTIF($J123:$Q123,"x")+1),-$E123*N(P123)))</f>
        <v/>
      </c>
      <c r="AE123" s="34">
        <f>IF(OR($A123="",$H123&lt;&gt;"Ausgabe",Q123=""),0,IF(Q123="x",-$E123/(COUNTIF($J123:$Q123,"x")+1),-$E123*N(Q123)))</f>
        <v/>
      </c>
    </row>
    <row r="124">
      <c r="A124" s="30" t="n"/>
      <c r="E124" s="31" t="n"/>
      <c r="J124" s="32" t="n"/>
      <c r="K124" s="32" t="n"/>
      <c r="L124" s="32" t="n"/>
      <c r="M124" s="32" t="n"/>
      <c r="N124" s="32" t="n"/>
      <c r="O124" s="32" t="n"/>
      <c r="P124" s="32" t="n"/>
      <c r="Q124" s="32" t="n"/>
      <c r="U124" s="31">
        <f>IF($A124="","",SUM(X124:AE124))</f>
        <v/>
      </c>
      <c r="V124" s="31">
        <f>IF($A124="","",IF($H124&lt;&gt;"Ausgabe",0,-$E124-$U124))</f>
        <v/>
      </c>
      <c r="W124" s="33">
        <f>IF($A124="","",DATE(YEAR($A124),MONTH($A124),1))</f>
        <v/>
      </c>
      <c r="X124" s="34">
        <f>IF(OR($A124="",$H124&lt;&gt;"Ausgabe",J124=""),0,IF(J124="x",-$E124/(COUNTIF($J124:$Q124,"x")+1),-$E124*N(J124)))</f>
        <v/>
      </c>
      <c r="Y124" s="34">
        <f>IF(OR($A124="",$H124&lt;&gt;"Ausgabe",K124=""),0,IF(K124="x",-$E124/(COUNTIF($J124:$Q124,"x")+1),-$E124*N(K124)))</f>
        <v/>
      </c>
      <c r="Z124" s="34">
        <f>IF(OR($A124="",$H124&lt;&gt;"Ausgabe",L124=""),0,IF(L124="x",-$E124/(COUNTIF($J124:$Q124,"x")+1),-$E124*N(L124)))</f>
        <v/>
      </c>
      <c r="AA124" s="34">
        <f>IF(OR($A124="",$H124&lt;&gt;"Ausgabe",M124=""),0,IF(M124="x",-$E124/(COUNTIF($J124:$Q124,"x")+1),-$E124*N(M124)))</f>
        <v/>
      </c>
      <c r="AB124" s="34">
        <f>IF(OR($A124="",$H124&lt;&gt;"Ausgabe",N124=""),0,IF(N124="x",-$E124/(COUNTIF($J124:$Q124,"x")+1),-$E124*N(N124)))</f>
        <v/>
      </c>
      <c r="AC124" s="34">
        <f>IF(OR($A124="",$H124&lt;&gt;"Ausgabe",O124=""),0,IF(O124="x",-$E124/(COUNTIF($J124:$Q124,"x")+1),-$E124*N(O124)))</f>
        <v/>
      </c>
      <c r="AD124" s="34">
        <f>IF(OR($A124="",$H124&lt;&gt;"Ausgabe",P124=""),0,IF(P124="x",-$E124/(COUNTIF($J124:$Q124,"x")+1),-$E124*N(P124)))</f>
        <v/>
      </c>
      <c r="AE124" s="34">
        <f>IF(OR($A124="",$H124&lt;&gt;"Ausgabe",Q124=""),0,IF(Q124="x",-$E124/(COUNTIF($J124:$Q124,"x")+1),-$E124*N(Q124)))</f>
        <v/>
      </c>
    </row>
    <row r="125">
      <c r="A125" s="30" t="n"/>
      <c r="E125" s="31" t="n"/>
      <c r="J125" s="32" t="n"/>
      <c r="K125" s="32" t="n"/>
      <c r="L125" s="32" t="n"/>
      <c r="M125" s="32" t="n"/>
      <c r="N125" s="32" t="n"/>
      <c r="O125" s="32" t="n"/>
      <c r="P125" s="32" t="n"/>
      <c r="Q125" s="32" t="n"/>
      <c r="U125" s="31">
        <f>IF($A125="","",SUM(X125:AE125))</f>
        <v/>
      </c>
      <c r="V125" s="31">
        <f>IF($A125="","",IF($H125&lt;&gt;"Ausgabe",0,-$E125-$U125))</f>
        <v/>
      </c>
      <c r="W125" s="33">
        <f>IF($A125="","",DATE(YEAR($A125),MONTH($A125),1))</f>
        <v/>
      </c>
      <c r="X125" s="34">
        <f>IF(OR($A125="",$H125&lt;&gt;"Ausgabe",J125=""),0,IF(J125="x",-$E125/(COUNTIF($J125:$Q125,"x")+1),-$E125*N(J125)))</f>
        <v/>
      </c>
      <c r="Y125" s="34">
        <f>IF(OR($A125="",$H125&lt;&gt;"Ausgabe",K125=""),0,IF(K125="x",-$E125/(COUNTIF($J125:$Q125,"x")+1),-$E125*N(K125)))</f>
        <v/>
      </c>
      <c r="Z125" s="34">
        <f>IF(OR($A125="",$H125&lt;&gt;"Ausgabe",L125=""),0,IF(L125="x",-$E125/(COUNTIF($J125:$Q125,"x")+1),-$E125*N(L125)))</f>
        <v/>
      </c>
      <c r="AA125" s="34">
        <f>IF(OR($A125="",$H125&lt;&gt;"Ausgabe",M125=""),0,IF(M125="x",-$E125/(COUNTIF($J125:$Q125,"x")+1),-$E125*N(M125)))</f>
        <v/>
      </c>
      <c r="AB125" s="34">
        <f>IF(OR($A125="",$H125&lt;&gt;"Ausgabe",N125=""),0,IF(N125="x",-$E125/(COUNTIF($J125:$Q125,"x")+1),-$E125*N(N125)))</f>
        <v/>
      </c>
      <c r="AC125" s="34">
        <f>IF(OR($A125="",$H125&lt;&gt;"Ausgabe",O125=""),0,IF(O125="x",-$E125/(COUNTIF($J125:$Q125,"x")+1),-$E125*N(O125)))</f>
        <v/>
      </c>
      <c r="AD125" s="34">
        <f>IF(OR($A125="",$H125&lt;&gt;"Ausgabe",P125=""),0,IF(P125="x",-$E125/(COUNTIF($J125:$Q125,"x")+1),-$E125*N(P125)))</f>
        <v/>
      </c>
      <c r="AE125" s="34">
        <f>IF(OR($A125="",$H125&lt;&gt;"Ausgabe",Q125=""),0,IF(Q125="x",-$E125/(COUNTIF($J125:$Q125,"x")+1),-$E125*N(Q125)))</f>
        <v/>
      </c>
    </row>
    <row r="126">
      <c r="A126" s="30" t="n"/>
      <c r="E126" s="31" t="n"/>
      <c r="J126" s="32" t="n"/>
      <c r="K126" s="32" t="n"/>
      <c r="L126" s="32" t="n"/>
      <c r="M126" s="32" t="n"/>
      <c r="N126" s="32" t="n"/>
      <c r="O126" s="32" t="n"/>
      <c r="P126" s="32" t="n"/>
      <c r="Q126" s="32" t="n"/>
      <c r="U126" s="31">
        <f>IF($A126="","",SUM(X126:AE126))</f>
        <v/>
      </c>
      <c r="V126" s="31">
        <f>IF($A126="","",IF($H126&lt;&gt;"Ausgabe",0,-$E126-$U126))</f>
        <v/>
      </c>
      <c r="W126" s="33">
        <f>IF($A126="","",DATE(YEAR($A126),MONTH($A126),1))</f>
        <v/>
      </c>
      <c r="X126" s="34">
        <f>IF(OR($A126="",$H126&lt;&gt;"Ausgabe",J126=""),0,IF(J126="x",-$E126/(COUNTIF($J126:$Q126,"x")+1),-$E126*N(J126)))</f>
        <v/>
      </c>
      <c r="Y126" s="34">
        <f>IF(OR($A126="",$H126&lt;&gt;"Ausgabe",K126=""),0,IF(K126="x",-$E126/(COUNTIF($J126:$Q126,"x")+1),-$E126*N(K126)))</f>
        <v/>
      </c>
      <c r="Z126" s="34">
        <f>IF(OR($A126="",$H126&lt;&gt;"Ausgabe",L126=""),0,IF(L126="x",-$E126/(COUNTIF($J126:$Q126,"x")+1),-$E126*N(L126)))</f>
        <v/>
      </c>
      <c r="AA126" s="34">
        <f>IF(OR($A126="",$H126&lt;&gt;"Ausgabe",M126=""),0,IF(M126="x",-$E126/(COUNTIF($J126:$Q126,"x")+1),-$E126*N(M126)))</f>
        <v/>
      </c>
      <c r="AB126" s="34">
        <f>IF(OR($A126="",$H126&lt;&gt;"Ausgabe",N126=""),0,IF(N126="x",-$E126/(COUNTIF($J126:$Q126,"x")+1),-$E126*N(N126)))</f>
        <v/>
      </c>
      <c r="AC126" s="34">
        <f>IF(OR($A126="",$H126&lt;&gt;"Ausgabe",O126=""),0,IF(O126="x",-$E126/(COUNTIF($J126:$Q126,"x")+1),-$E126*N(O126)))</f>
        <v/>
      </c>
      <c r="AD126" s="34">
        <f>IF(OR($A126="",$H126&lt;&gt;"Ausgabe",P126=""),0,IF(P126="x",-$E126/(COUNTIF($J126:$Q126,"x")+1),-$E126*N(P126)))</f>
        <v/>
      </c>
      <c r="AE126" s="34">
        <f>IF(OR($A126="",$H126&lt;&gt;"Ausgabe",Q126=""),0,IF(Q126="x",-$E126/(COUNTIF($J126:$Q126,"x")+1),-$E126*N(Q126)))</f>
        <v/>
      </c>
    </row>
    <row r="127">
      <c r="A127" s="30" t="n"/>
      <c r="E127" s="31" t="n"/>
      <c r="J127" s="32" t="n"/>
      <c r="K127" s="32" t="n"/>
      <c r="L127" s="32" t="n"/>
      <c r="M127" s="32" t="n"/>
      <c r="N127" s="32" t="n"/>
      <c r="O127" s="32" t="n"/>
      <c r="P127" s="32" t="n"/>
      <c r="Q127" s="32" t="n"/>
      <c r="U127" s="31">
        <f>IF($A127="","",SUM(X127:AE127))</f>
        <v/>
      </c>
      <c r="V127" s="31">
        <f>IF($A127="","",IF($H127&lt;&gt;"Ausgabe",0,-$E127-$U127))</f>
        <v/>
      </c>
      <c r="W127" s="33">
        <f>IF($A127="","",DATE(YEAR($A127),MONTH($A127),1))</f>
        <v/>
      </c>
      <c r="X127" s="34">
        <f>IF(OR($A127="",$H127&lt;&gt;"Ausgabe",J127=""),0,IF(J127="x",-$E127/(COUNTIF($J127:$Q127,"x")+1),-$E127*N(J127)))</f>
        <v/>
      </c>
      <c r="Y127" s="34">
        <f>IF(OR($A127="",$H127&lt;&gt;"Ausgabe",K127=""),0,IF(K127="x",-$E127/(COUNTIF($J127:$Q127,"x")+1),-$E127*N(K127)))</f>
        <v/>
      </c>
      <c r="Z127" s="34">
        <f>IF(OR($A127="",$H127&lt;&gt;"Ausgabe",L127=""),0,IF(L127="x",-$E127/(COUNTIF($J127:$Q127,"x")+1),-$E127*N(L127)))</f>
        <v/>
      </c>
      <c r="AA127" s="34">
        <f>IF(OR($A127="",$H127&lt;&gt;"Ausgabe",M127=""),0,IF(M127="x",-$E127/(COUNTIF($J127:$Q127,"x")+1),-$E127*N(M127)))</f>
        <v/>
      </c>
      <c r="AB127" s="34">
        <f>IF(OR($A127="",$H127&lt;&gt;"Ausgabe",N127=""),0,IF(N127="x",-$E127/(COUNTIF($J127:$Q127,"x")+1),-$E127*N(N127)))</f>
        <v/>
      </c>
      <c r="AC127" s="34">
        <f>IF(OR($A127="",$H127&lt;&gt;"Ausgabe",O127=""),0,IF(O127="x",-$E127/(COUNTIF($J127:$Q127,"x")+1),-$E127*N(O127)))</f>
        <v/>
      </c>
      <c r="AD127" s="34">
        <f>IF(OR($A127="",$H127&lt;&gt;"Ausgabe",P127=""),0,IF(P127="x",-$E127/(COUNTIF($J127:$Q127,"x")+1),-$E127*N(P127)))</f>
        <v/>
      </c>
      <c r="AE127" s="34">
        <f>IF(OR($A127="",$H127&lt;&gt;"Ausgabe",Q127=""),0,IF(Q127="x",-$E127/(COUNTIF($J127:$Q127,"x")+1),-$E127*N(Q127)))</f>
        <v/>
      </c>
    </row>
    <row r="128">
      <c r="A128" s="30" t="n"/>
      <c r="E128" s="31" t="n"/>
      <c r="J128" s="32" t="n"/>
      <c r="K128" s="32" t="n"/>
      <c r="L128" s="32" t="n"/>
      <c r="M128" s="32" t="n"/>
      <c r="N128" s="32" t="n"/>
      <c r="O128" s="32" t="n"/>
      <c r="P128" s="32" t="n"/>
      <c r="Q128" s="32" t="n"/>
      <c r="U128" s="31">
        <f>IF($A128="","",SUM(X128:AE128))</f>
        <v/>
      </c>
      <c r="V128" s="31">
        <f>IF($A128="","",IF($H128&lt;&gt;"Ausgabe",0,-$E128-$U128))</f>
        <v/>
      </c>
      <c r="W128" s="33">
        <f>IF($A128="","",DATE(YEAR($A128),MONTH($A128),1))</f>
        <v/>
      </c>
      <c r="X128" s="34">
        <f>IF(OR($A128="",$H128&lt;&gt;"Ausgabe",J128=""),0,IF(J128="x",-$E128/(COUNTIF($J128:$Q128,"x")+1),-$E128*N(J128)))</f>
        <v/>
      </c>
      <c r="Y128" s="34">
        <f>IF(OR($A128="",$H128&lt;&gt;"Ausgabe",K128=""),0,IF(K128="x",-$E128/(COUNTIF($J128:$Q128,"x")+1),-$E128*N(K128)))</f>
        <v/>
      </c>
      <c r="Z128" s="34">
        <f>IF(OR($A128="",$H128&lt;&gt;"Ausgabe",L128=""),0,IF(L128="x",-$E128/(COUNTIF($J128:$Q128,"x")+1),-$E128*N(L128)))</f>
        <v/>
      </c>
      <c r="AA128" s="34">
        <f>IF(OR($A128="",$H128&lt;&gt;"Ausgabe",M128=""),0,IF(M128="x",-$E128/(COUNTIF($J128:$Q128,"x")+1),-$E128*N(M128)))</f>
        <v/>
      </c>
      <c r="AB128" s="34">
        <f>IF(OR($A128="",$H128&lt;&gt;"Ausgabe",N128=""),0,IF(N128="x",-$E128/(COUNTIF($J128:$Q128,"x")+1),-$E128*N(N128)))</f>
        <v/>
      </c>
      <c r="AC128" s="34">
        <f>IF(OR($A128="",$H128&lt;&gt;"Ausgabe",O128=""),0,IF(O128="x",-$E128/(COUNTIF($J128:$Q128,"x")+1),-$E128*N(O128)))</f>
        <v/>
      </c>
      <c r="AD128" s="34">
        <f>IF(OR($A128="",$H128&lt;&gt;"Ausgabe",P128=""),0,IF(P128="x",-$E128/(COUNTIF($J128:$Q128,"x")+1),-$E128*N(P128)))</f>
        <v/>
      </c>
      <c r="AE128" s="34">
        <f>IF(OR($A128="",$H128&lt;&gt;"Ausgabe",Q128=""),0,IF(Q128="x",-$E128/(COUNTIF($J128:$Q128,"x")+1),-$E128*N(Q128)))</f>
        <v/>
      </c>
    </row>
    <row r="129">
      <c r="A129" s="30" t="n"/>
      <c r="E129" s="31" t="n"/>
      <c r="J129" s="32" t="n"/>
      <c r="K129" s="32" t="n"/>
      <c r="L129" s="32" t="n"/>
      <c r="M129" s="32" t="n"/>
      <c r="N129" s="32" t="n"/>
      <c r="O129" s="32" t="n"/>
      <c r="P129" s="32" t="n"/>
      <c r="Q129" s="32" t="n"/>
      <c r="U129" s="31">
        <f>IF($A129="","",SUM(X129:AE129))</f>
        <v/>
      </c>
      <c r="V129" s="31">
        <f>IF($A129="","",IF($H129&lt;&gt;"Ausgabe",0,-$E129-$U129))</f>
        <v/>
      </c>
      <c r="W129" s="33">
        <f>IF($A129="","",DATE(YEAR($A129),MONTH($A129),1))</f>
        <v/>
      </c>
      <c r="X129" s="34">
        <f>IF(OR($A129="",$H129&lt;&gt;"Ausgabe",J129=""),0,IF(J129="x",-$E129/(COUNTIF($J129:$Q129,"x")+1),-$E129*N(J129)))</f>
        <v/>
      </c>
      <c r="Y129" s="34">
        <f>IF(OR($A129="",$H129&lt;&gt;"Ausgabe",K129=""),0,IF(K129="x",-$E129/(COUNTIF($J129:$Q129,"x")+1),-$E129*N(K129)))</f>
        <v/>
      </c>
      <c r="Z129" s="34">
        <f>IF(OR($A129="",$H129&lt;&gt;"Ausgabe",L129=""),0,IF(L129="x",-$E129/(COUNTIF($J129:$Q129,"x")+1),-$E129*N(L129)))</f>
        <v/>
      </c>
      <c r="AA129" s="34">
        <f>IF(OR($A129="",$H129&lt;&gt;"Ausgabe",M129=""),0,IF(M129="x",-$E129/(COUNTIF($J129:$Q129,"x")+1),-$E129*N(M129)))</f>
        <v/>
      </c>
      <c r="AB129" s="34">
        <f>IF(OR($A129="",$H129&lt;&gt;"Ausgabe",N129=""),0,IF(N129="x",-$E129/(COUNTIF($J129:$Q129,"x")+1),-$E129*N(N129)))</f>
        <v/>
      </c>
      <c r="AC129" s="34">
        <f>IF(OR($A129="",$H129&lt;&gt;"Ausgabe",O129=""),0,IF(O129="x",-$E129/(COUNTIF($J129:$Q129,"x")+1),-$E129*N(O129)))</f>
        <v/>
      </c>
      <c r="AD129" s="34">
        <f>IF(OR($A129="",$H129&lt;&gt;"Ausgabe",P129=""),0,IF(P129="x",-$E129/(COUNTIF($J129:$Q129,"x")+1),-$E129*N(P129)))</f>
        <v/>
      </c>
      <c r="AE129" s="34">
        <f>IF(OR($A129="",$H129&lt;&gt;"Ausgabe",Q129=""),0,IF(Q129="x",-$E129/(COUNTIF($J129:$Q129,"x")+1),-$E129*N(Q129)))</f>
        <v/>
      </c>
    </row>
    <row r="130">
      <c r="A130" s="30" t="n"/>
      <c r="E130" s="31" t="n"/>
      <c r="J130" s="32" t="n"/>
      <c r="K130" s="32" t="n"/>
      <c r="L130" s="32" t="n"/>
      <c r="M130" s="32" t="n"/>
      <c r="N130" s="32" t="n"/>
      <c r="O130" s="32" t="n"/>
      <c r="P130" s="32" t="n"/>
      <c r="Q130" s="32" t="n"/>
      <c r="U130" s="31">
        <f>IF($A130="","",SUM(X130:AE130))</f>
        <v/>
      </c>
      <c r="V130" s="31">
        <f>IF($A130="","",IF($H130&lt;&gt;"Ausgabe",0,-$E130-$U130))</f>
        <v/>
      </c>
      <c r="W130" s="33">
        <f>IF($A130="","",DATE(YEAR($A130),MONTH($A130),1))</f>
        <v/>
      </c>
      <c r="X130" s="34">
        <f>IF(OR($A130="",$H130&lt;&gt;"Ausgabe",J130=""),0,IF(J130="x",-$E130/(COUNTIF($J130:$Q130,"x")+1),-$E130*N(J130)))</f>
        <v/>
      </c>
      <c r="Y130" s="34">
        <f>IF(OR($A130="",$H130&lt;&gt;"Ausgabe",K130=""),0,IF(K130="x",-$E130/(COUNTIF($J130:$Q130,"x")+1),-$E130*N(K130)))</f>
        <v/>
      </c>
      <c r="Z130" s="34">
        <f>IF(OR($A130="",$H130&lt;&gt;"Ausgabe",L130=""),0,IF(L130="x",-$E130/(COUNTIF($J130:$Q130,"x")+1),-$E130*N(L130)))</f>
        <v/>
      </c>
      <c r="AA130" s="34">
        <f>IF(OR($A130="",$H130&lt;&gt;"Ausgabe",M130=""),0,IF(M130="x",-$E130/(COUNTIF($J130:$Q130,"x")+1),-$E130*N(M130)))</f>
        <v/>
      </c>
      <c r="AB130" s="34">
        <f>IF(OR($A130="",$H130&lt;&gt;"Ausgabe",N130=""),0,IF(N130="x",-$E130/(COUNTIF($J130:$Q130,"x")+1),-$E130*N(N130)))</f>
        <v/>
      </c>
      <c r="AC130" s="34">
        <f>IF(OR($A130="",$H130&lt;&gt;"Ausgabe",O130=""),0,IF(O130="x",-$E130/(COUNTIF($J130:$Q130,"x")+1),-$E130*N(O130)))</f>
        <v/>
      </c>
      <c r="AD130" s="34">
        <f>IF(OR($A130="",$H130&lt;&gt;"Ausgabe",P130=""),0,IF(P130="x",-$E130/(COUNTIF($J130:$Q130,"x")+1),-$E130*N(P130)))</f>
        <v/>
      </c>
      <c r="AE130" s="34">
        <f>IF(OR($A130="",$H130&lt;&gt;"Ausgabe",Q130=""),0,IF(Q130="x",-$E130/(COUNTIF($J130:$Q130,"x")+1),-$E130*N(Q130)))</f>
        <v/>
      </c>
    </row>
    <row r="131">
      <c r="A131" s="30" t="n"/>
      <c r="E131" s="31" t="n"/>
      <c r="J131" s="32" t="n"/>
      <c r="K131" s="32" t="n"/>
      <c r="L131" s="32" t="n"/>
      <c r="M131" s="32" t="n"/>
      <c r="N131" s="32" t="n"/>
      <c r="O131" s="32" t="n"/>
      <c r="P131" s="32" t="n"/>
      <c r="Q131" s="32" t="n"/>
      <c r="U131" s="31">
        <f>IF($A131="","",SUM(X131:AE131))</f>
        <v/>
      </c>
      <c r="V131" s="31">
        <f>IF($A131="","",IF($H131&lt;&gt;"Ausgabe",0,-$E131-$U131))</f>
        <v/>
      </c>
      <c r="W131" s="33">
        <f>IF($A131="","",DATE(YEAR($A131),MONTH($A131),1))</f>
        <v/>
      </c>
      <c r="X131" s="34">
        <f>IF(OR($A131="",$H131&lt;&gt;"Ausgabe",J131=""),0,IF(J131="x",-$E131/(COUNTIF($J131:$Q131,"x")+1),-$E131*N(J131)))</f>
        <v/>
      </c>
      <c r="Y131" s="34">
        <f>IF(OR($A131="",$H131&lt;&gt;"Ausgabe",K131=""),0,IF(K131="x",-$E131/(COUNTIF($J131:$Q131,"x")+1),-$E131*N(K131)))</f>
        <v/>
      </c>
      <c r="Z131" s="34">
        <f>IF(OR($A131="",$H131&lt;&gt;"Ausgabe",L131=""),0,IF(L131="x",-$E131/(COUNTIF($J131:$Q131,"x")+1),-$E131*N(L131)))</f>
        <v/>
      </c>
      <c r="AA131" s="34">
        <f>IF(OR($A131="",$H131&lt;&gt;"Ausgabe",M131=""),0,IF(M131="x",-$E131/(COUNTIF($J131:$Q131,"x")+1),-$E131*N(M131)))</f>
        <v/>
      </c>
      <c r="AB131" s="34">
        <f>IF(OR($A131="",$H131&lt;&gt;"Ausgabe",N131=""),0,IF(N131="x",-$E131/(COUNTIF($J131:$Q131,"x")+1),-$E131*N(N131)))</f>
        <v/>
      </c>
      <c r="AC131" s="34">
        <f>IF(OR($A131="",$H131&lt;&gt;"Ausgabe",O131=""),0,IF(O131="x",-$E131/(COUNTIF($J131:$Q131,"x")+1),-$E131*N(O131)))</f>
        <v/>
      </c>
      <c r="AD131" s="34">
        <f>IF(OR($A131="",$H131&lt;&gt;"Ausgabe",P131=""),0,IF(P131="x",-$E131/(COUNTIF($J131:$Q131,"x")+1),-$E131*N(P131)))</f>
        <v/>
      </c>
      <c r="AE131" s="34">
        <f>IF(OR($A131="",$H131&lt;&gt;"Ausgabe",Q131=""),0,IF(Q131="x",-$E131/(COUNTIF($J131:$Q131,"x")+1),-$E131*N(Q131)))</f>
        <v/>
      </c>
    </row>
    <row r="132">
      <c r="A132" s="30" t="n"/>
      <c r="E132" s="31" t="n"/>
      <c r="J132" s="32" t="n"/>
      <c r="K132" s="32" t="n"/>
      <c r="L132" s="32" t="n"/>
      <c r="M132" s="32" t="n"/>
      <c r="N132" s="32" t="n"/>
      <c r="O132" s="32" t="n"/>
      <c r="P132" s="32" t="n"/>
      <c r="Q132" s="32" t="n"/>
      <c r="U132" s="31">
        <f>IF($A132="","",SUM(X132:AE132))</f>
        <v/>
      </c>
      <c r="V132" s="31">
        <f>IF($A132="","",IF($H132&lt;&gt;"Ausgabe",0,-$E132-$U132))</f>
        <v/>
      </c>
      <c r="W132" s="33">
        <f>IF($A132="","",DATE(YEAR($A132),MONTH($A132),1))</f>
        <v/>
      </c>
      <c r="X132" s="34">
        <f>IF(OR($A132="",$H132&lt;&gt;"Ausgabe",J132=""),0,IF(J132="x",-$E132/(COUNTIF($J132:$Q132,"x")+1),-$E132*N(J132)))</f>
        <v/>
      </c>
      <c r="Y132" s="34">
        <f>IF(OR($A132="",$H132&lt;&gt;"Ausgabe",K132=""),0,IF(K132="x",-$E132/(COUNTIF($J132:$Q132,"x")+1),-$E132*N(K132)))</f>
        <v/>
      </c>
      <c r="Z132" s="34">
        <f>IF(OR($A132="",$H132&lt;&gt;"Ausgabe",L132=""),0,IF(L132="x",-$E132/(COUNTIF($J132:$Q132,"x")+1),-$E132*N(L132)))</f>
        <v/>
      </c>
      <c r="AA132" s="34">
        <f>IF(OR($A132="",$H132&lt;&gt;"Ausgabe",M132=""),0,IF(M132="x",-$E132/(COUNTIF($J132:$Q132,"x")+1),-$E132*N(M132)))</f>
        <v/>
      </c>
      <c r="AB132" s="34">
        <f>IF(OR($A132="",$H132&lt;&gt;"Ausgabe",N132=""),0,IF(N132="x",-$E132/(COUNTIF($J132:$Q132,"x")+1),-$E132*N(N132)))</f>
        <v/>
      </c>
      <c r="AC132" s="34">
        <f>IF(OR($A132="",$H132&lt;&gt;"Ausgabe",O132=""),0,IF(O132="x",-$E132/(COUNTIF($J132:$Q132,"x")+1),-$E132*N(O132)))</f>
        <v/>
      </c>
      <c r="AD132" s="34">
        <f>IF(OR($A132="",$H132&lt;&gt;"Ausgabe",P132=""),0,IF(P132="x",-$E132/(COUNTIF($J132:$Q132,"x")+1),-$E132*N(P132)))</f>
        <v/>
      </c>
      <c r="AE132" s="34">
        <f>IF(OR($A132="",$H132&lt;&gt;"Ausgabe",Q132=""),0,IF(Q132="x",-$E132/(COUNTIF($J132:$Q132,"x")+1),-$E132*N(Q132)))</f>
        <v/>
      </c>
    </row>
    <row r="133">
      <c r="A133" s="30" t="n"/>
      <c r="E133" s="31" t="n"/>
      <c r="J133" s="32" t="n"/>
      <c r="K133" s="32" t="n"/>
      <c r="L133" s="32" t="n"/>
      <c r="M133" s="32" t="n"/>
      <c r="N133" s="32" t="n"/>
      <c r="O133" s="32" t="n"/>
      <c r="P133" s="32" t="n"/>
      <c r="Q133" s="32" t="n"/>
      <c r="U133" s="31">
        <f>IF($A133="","",SUM(X133:AE133))</f>
        <v/>
      </c>
      <c r="V133" s="31">
        <f>IF($A133="","",IF($H133&lt;&gt;"Ausgabe",0,-$E133-$U133))</f>
        <v/>
      </c>
      <c r="W133" s="33">
        <f>IF($A133="","",DATE(YEAR($A133),MONTH($A133),1))</f>
        <v/>
      </c>
      <c r="X133" s="34">
        <f>IF(OR($A133="",$H133&lt;&gt;"Ausgabe",J133=""),0,IF(J133="x",-$E133/(COUNTIF($J133:$Q133,"x")+1),-$E133*N(J133)))</f>
        <v/>
      </c>
      <c r="Y133" s="34">
        <f>IF(OR($A133="",$H133&lt;&gt;"Ausgabe",K133=""),0,IF(K133="x",-$E133/(COUNTIF($J133:$Q133,"x")+1),-$E133*N(K133)))</f>
        <v/>
      </c>
      <c r="Z133" s="34">
        <f>IF(OR($A133="",$H133&lt;&gt;"Ausgabe",L133=""),0,IF(L133="x",-$E133/(COUNTIF($J133:$Q133,"x")+1),-$E133*N(L133)))</f>
        <v/>
      </c>
      <c r="AA133" s="34">
        <f>IF(OR($A133="",$H133&lt;&gt;"Ausgabe",M133=""),0,IF(M133="x",-$E133/(COUNTIF($J133:$Q133,"x")+1),-$E133*N(M133)))</f>
        <v/>
      </c>
      <c r="AB133" s="34">
        <f>IF(OR($A133="",$H133&lt;&gt;"Ausgabe",N133=""),0,IF(N133="x",-$E133/(COUNTIF($J133:$Q133,"x")+1),-$E133*N(N133)))</f>
        <v/>
      </c>
      <c r="AC133" s="34">
        <f>IF(OR($A133="",$H133&lt;&gt;"Ausgabe",O133=""),0,IF(O133="x",-$E133/(COUNTIF($J133:$Q133,"x")+1),-$E133*N(O133)))</f>
        <v/>
      </c>
      <c r="AD133" s="34">
        <f>IF(OR($A133="",$H133&lt;&gt;"Ausgabe",P133=""),0,IF(P133="x",-$E133/(COUNTIF($J133:$Q133,"x")+1),-$E133*N(P133)))</f>
        <v/>
      </c>
      <c r="AE133" s="34">
        <f>IF(OR($A133="",$H133&lt;&gt;"Ausgabe",Q133=""),0,IF(Q133="x",-$E133/(COUNTIF($J133:$Q133,"x")+1),-$E133*N(Q133)))</f>
        <v/>
      </c>
    </row>
    <row r="134">
      <c r="A134" s="30" t="n"/>
      <c r="E134" s="31" t="n"/>
      <c r="J134" s="32" t="n"/>
      <c r="K134" s="32" t="n"/>
      <c r="L134" s="32" t="n"/>
      <c r="M134" s="32" t="n"/>
      <c r="N134" s="32" t="n"/>
      <c r="O134" s="32" t="n"/>
      <c r="P134" s="32" t="n"/>
      <c r="Q134" s="32" t="n"/>
      <c r="U134" s="31">
        <f>IF($A134="","",SUM(X134:AE134))</f>
        <v/>
      </c>
      <c r="V134" s="31">
        <f>IF($A134="","",IF($H134&lt;&gt;"Ausgabe",0,-$E134-$U134))</f>
        <v/>
      </c>
      <c r="W134" s="33">
        <f>IF($A134="","",DATE(YEAR($A134),MONTH($A134),1))</f>
        <v/>
      </c>
      <c r="X134" s="34">
        <f>IF(OR($A134="",$H134&lt;&gt;"Ausgabe",J134=""),0,IF(J134="x",-$E134/(COUNTIF($J134:$Q134,"x")+1),-$E134*N(J134)))</f>
        <v/>
      </c>
      <c r="Y134" s="34">
        <f>IF(OR($A134="",$H134&lt;&gt;"Ausgabe",K134=""),0,IF(K134="x",-$E134/(COUNTIF($J134:$Q134,"x")+1),-$E134*N(K134)))</f>
        <v/>
      </c>
      <c r="Z134" s="34">
        <f>IF(OR($A134="",$H134&lt;&gt;"Ausgabe",L134=""),0,IF(L134="x",-$E134/(COUNTIF($J134:$Q134,"x")+1),-$E134*N(L134)))</f>
        <v/>
      </c>
      <c r="AA134" s="34">
        <f>IF(OR($A134="",$H134&lt;&gt;"Ausgabe",M134=""),0,IF(M134="x",-$E134/(COUNTIF($J134:$Q134,"x")+1),-$E134*N(M134)))</f>
        <v/>
      </c>
      <c r="AB134" s="34">
        <f>IF(OR($A134="",$H134&lt;&gt;"Ausgabe",N134=""),0,IF(N134="x",-$E134/(COUNTIF($J134:$Q134,"x")+1),-$E134*N(N134)))</f>
        <v/>
      </c>
      <c r="AC134" s="34">
        <f>IF(OR($A134="",$H134&lt;&gt;"Ausgabe",O134=""),0,IF(O134="x",-$E134/(COUNTIF($J134:$Q134,"x")+1),-$E134*N(O134)))</f>
        <v/>
      </c>
      <c r="AD134" s="34">
        <f>IF(OR($A134="",$H134&lt;&gt;"Ausgabe",P134=""),0,IF(P134="x",-$E134/(COUNTIF($J134:$Q134,"x")+1),-$E134*N(P134)))</f>
        <v/>
      </c>
      <c r="AE134" s="34">
        <f>IF(OR($A134="",$H134&lt;&gt;"Ausgabe",Q134=""),0,IF(Q134="x",-$E134/(COUNTIF($J134:$Q134,"x")+1),-$E134*N(Q134)))</f>
        <v/>
      </c>
    </row>
    <row r="135">
      <c r="A135" s="30" t="n"/>
      <c r="E135" s="31" t="n"/>
      <c r="J135" s="32" t="n"/>
      <c r="K135" s="32" t="n"/>
      <c r="L135" s="32" t="n"/>
      <c r="M135" s="32" t="n"/>
      <c r="N135" s="32" t="n"/>
      <c r="O135" s="32" t="n"/>
      <c r="P135" s="32" t="n"/>
      <c r="Q135" s="32" t="n"/>
      <c r="U135" s="31">
        <f>IF($A135="","",SUM(X135:AE135))</f>
        <v/>
      </c>
      <c r="V135" s="31">
        <f>IF($A135="","",IF($H135&lt;&gt;"Ausgabe",0,-$E135-$U135))</f>
        <v/>
      </c>
      <c r="W135" s="33">
        <f>IF($A135="","",DATE(YEAR($A135),MONTH($A135),1))</f>
        <v/>
      </c>
      <c r="X135" s="34">
        <f>IF(OR($A135="",$H135&lt;&gt;"Ausgabe",J135=""),0,IF(J135="x",-$E135/(COUNTIF($J135:$Q135,"x")+1),-$E135*N(J135)))</f>
        <v/>
      </c>
      <c r="Y135" s="34">
        <f>IF(OR($A135="",$H135&lt;&gt;"Ausgabe",K135=""),0,IF(K135="x",-$E135/(COUNTIF($J135:$Q135,"x")+1),-$E135*N(K135)))</f>
        <v/>
      </c>
      <c r="Z135" s="34">
        <f>IF(OR($A135="",$H135&lt;&gt;"Ausgabe",L135=""),0,IF(L135="x",-$E135/(COUNTIF($J135:$Q135,"x")+1),-$E135*N(L135)))</f>
        <v/>
      </c>
      <c r="AA135" s="34">
        <f>IF(OR($A135="",$H135&lt;&gt;"Ausgabe",M135=""),0,IF(M135="x",-$E135/(COUNTIF($J135:$Q135,"x")+1),-$E135*N(M135)))</f>
        <v/>
      </c>
      <c r="AB135" s="34">
        <f>IF(OR($A135="",$H135&lt;&gt;"Ausgabe",N135=""),0,IF(N135="x",-$E135/(COUNTIF($J135:$Q135,"x")+1),-$E135*N(N135)))</f>
        <v/>
      </c>
      <c r="AC135" s="34">
        <f>IF(OR($A135="",$H135&lt;&gt;"Ausgabe",O135=""),0,IF(O135="x",-$E135/(COUNTIF($J135:$Q135,"x")+1),-$E135*N(O135)))</f>
        <v/>
      </c>
      <c r="AD135" s="34">
        <f>IF(OR($A135="",$H135&lt;&gt;"Ausgabe",P135=""),0,IF(P135="x",-$E135/(COUNTIF($J135:$Q135,"x")+1),-$E135*N(P135)))</f>
        <v/>
      </c>
      <c r="AE135" s="34">
        <f>IF(OR($A135="",$H135&lt;&gt;"Ausgabe",Q135=""),0,IF(Q135="x",-$E135/(COUNTIF($J135:$Q135,"x")+1),-$E135*N(Q135)))</f>
        <v/>
      </c>
    </row>
    <row r="136">
      <c r="A136" s="30" t="n"/>
      <c r="E136" s="31" t="n"/>
      <c r="J136" s="32" t="n"/>
      <c r="K136" s="32" t="n"/>
      <c r="L136" s="32" t="n"/>
      <c r="M136" s="32" t="n"/>
      <c r="N136" s="32" t="n"/>
      <c r="O136" s="32" t="n"/>
      <c r="P136" s="32" t="n"/>
      <c r="Q136" s="32" t="n"/>
      <c r="U136" s="31">
        <f>IF($A136="","",SUM(X136:AE136))</f>
        <v/>
      </c>
      <c r="V136" s="31">
        <f>IF($A136="","",IF($H136&lt;&gt;"Ausgabe",0,-$E136-$U136))</f>
        <v/>
      </c>
      <c r="W136" s="33">
        <f>IF($A136="","",DATE(YEAR($A136),MONTH($A136),1))</f>
        <v/>
      </c>
      <c r="X136" s="34">
        <f>IF(OR($A136="",$H136&lt;&gt;"Ausgabe",J136=""),0,IF(J136="x",-$E136/(COUNTIF($J136:$Q136,"x")+1),-$E136*N(J136)))</f>
        <v/>
      </c>
      <c r="Y136" s="34">
        <f>IF(OR($A136="",$H136&lt;&gt;"Ausgabe",K136=""),0,IF(K136="x",-$E136/(COUNTIF($J136:$Q136,"x")+1),-$E136*N(K136)))</f>
        <v/>
      </c>
      <c r="Z136" s="34">
        <f>IF(OR($A136="",$H136&lt;&gt;"Ausgabe",L136=""),0,IF(L136="x",-$E136/(COUNTIF($J136:$Q136,"x")+1),-$E136*N(L136)))</f>
        <v/>
      </c>
      <c r="AA136" s="34">
        <f>IF(OR($A136="",$H136&lt;&gt;"Ausgabe",M136=""),0,IF(M136="x",-$E136/(COUNTIF($J136:$Q136,"x")+1),-$E136*N(M136)))</f>
        <v/>
      </c>
      <c r="AB136" s="34">
        <f>IF(OR($A136="",$H136&lt;&gt;"Ausgabe",N136=""),0,IF(N136="x",-$E136/(COUNTIF($J136:$Q136,"x")+1),-$E136*N(N136)))</f>
        <v/>
      </c>
      <c r="AC136" s="34">
        <f>IF(OR($A136="",$H136&lt;&gt;"Ausgabe",O136=""),0,IF(O136="x",-$E136/(COUNTIF($J136:$Q136,"x")+1),-$E136*N(O136)))</f>
        <v/>
      </c>
      <c r="AD136" s="34">
        <f>IF(OR($A136="",$H136&lt;&gt;"Ausgabe",P136=""),0,IF(P136="x",-$E136/(COUNTIF($J136:$Q136,"x")+1),-$E136*N(P136)))</f>
        <v/>
      </c>
      <c r="AE136" s="34">
        <f>IF(OR($A136="",$H136&lt;&gt;"Ausgabe",Q136=""),0,IF(Q136="x",-$E136/(COUNTIF($J136:$Q136,"x")+1),-$E136*N(Q136)))</f>
        <v/>
      </c>
    </row>
    <row r="137">
      <c r="A137" s="30" t="n"/>
      <c r="E137" s="31" t="n"/>
      <c r="J137" s="32" t="n"/>
      <c r="K137" s="32" t="n"/>
      <c r="L137" s="32" t="n"/>
      <c r="M137" s="32" t="n"/>
      <c r="N137" s="32" t="n"/>
      <c r="O137" s="32" t="n"/>
      <c r="P137" s="32" t="n"/>
      <c r="Q137" s="32" t="n"/>
      <c r="U137" s="31">
        <f>IF($A137="","",SUM(X137:AE137))</f>
        <v/>
      </c>
      <c r="V137" s="31">
        <f>IF($A137="","",IF($H137&lt;&gt;"Ausgabe",0,-$E137-$U137))</f>
        <v/>
      </c>
      <c r="W137" s="33">
        <f>IF($A137="","",DATE(YEAR($A137),MONTH($A137),1))</f>
        <v/>
      </c>
      <c r="X137" s="34">
        <f>IF(OR($A137="",$H137&lt;&gt;"Ausgabe",J137=""),0,IF(J137="x",-$E137/(COUNTIF($J137:$Q137,"x")+1),-$E137*N(J137)))</f>
        <v/>
      </c>
      <c r="Y137" s="34">
        <f>IF(OR($A137="",$H137&lt;&gt;"Ausgabe",K137=""),0,IF(K137="x",-$E137/(COUNTIF($J137:$Q137,"x")+1),-$E137*N(K137)))</f>
        <v/>
      </c>
      <c r="Z137" s="34">
        <f>IF(OR($A137="",$H137&lt;&gt;"Ausgabe",L137=""),0,IF(L137="x",-$E137/(COUNTIF($J137:$Q137,"x")+1),-$E137*N(L137)))</f>
        <v/>
      </c>
      <c r="AA137" s="34">
        <f>IF(OR($A137="",$H137&lt;&gt;"Ausgabe",M137=""),0,IF(M137="x",-$E137/(COUNTIF($J137:$Q137,"x")+1),-$E137*N(M137)))</f>
        <v/>
      </c>
      <c r="AB137" s="34">
        <f>IF(OR($A137="",$H137&lt;&gt;"Ausgabe",N137=""),0,IF(N137="x",-$E137/(COUNTIF($J137:$Q137,"x")+1),-$E137*N(N137)))</f>
        <v/>
      </c>
      <c r="AC137" s="34">
        <f>IF(OR($A137="",$H137&lt;&gt;"Ausgabe",O137=""),0,IF(O137="x",-$E137/(COUNTIF($J137:$Q137,"x")+1),-$E137*N(O137)))</f>
        <v/>
      </c>
      <c r="AD137" s="34">
        <f>IF(OR($A137="",$H137&lt;&gt;"Ausgabe",P137=""),0,IF(P137="x",-$E137/(COUNTIF($J137:$Q137,"x")+1),-$E137*N(P137)))</f>
        <v/>
      </c>
      <c r="AE137" s="34">
        <f>IF(OR($A137="",$H137&lt;&gt;"Ausgabe",Q137=""),0,IF(Q137="x",-$E137/(COUNTIF($J137:$Q137,"x")+1),-$E137*N(Q137)))</f>
        <v/>
      </c>
    </row>
    <row r="138">
      <c r="A138" s="30" t="n"/>
      <c r="E138" s="31" t="n"/>
      <c r="J138" s="32" t="n"/>
      <c r="K138" s="32" t="n"/>
      <c r="L138" s="32" t="n"/>
      <c r="M138" s="32" t="n"/>
      <c r="N138" s="32" t="n"/>
      <c r="O138" s="32" t="n"/>
      <c r="P138" s="32" t="n"/>
      <c r="Q138" s="32" t="n"/>
      <c r="U138" s="31">
        <f>IF($A138="","",SUM(X138:AE138))</f>
        <v/>
      </c>
      <c r="V138" s="31">
        <f>IF($A138="","",IF($H138&lt;&gt;"Ausgabe",0,-$E138-$U138))</f>
        <v/>
      </c>
      <c r="W138" s="33">
        <f>IF($A138="","",DATE(YEAR($A138),MONTH($A138),1))</f>
        <v/>
      </c>
      <c r="X138" s="34">
        <f>IF(OR($A138="",$H138&lt;&gt;"Ausgabe",J138=""),0,IF(J138="x",-$E138/(COUNTIF($J138:$Q138,"x")+1),-$E138*N(J138)))</f>
        <v/>
      </c>
      <c r="Y138" s="34">
        <f>IF(OR($A138="",$H138&lt;&gt;"Ausgabe",K138=""),0,IF(K138="x",-$E138/(COUNTIF($J138:$Q138,"x")+1),-$E138*N(K138)))</f>
        <v/>
      </c>
      <c r="Z138" s="34">
        <f>IF(OR($A138="",$H138&lt;&gt;"Ausgabe",L138=""),0,IF(L138="x",-$E138/(COUNTIF($J138:$Q138,"x")+1),-$E138*N(L138)))</f>
        <v/>
      </c>
      <c r="AA138" s="34">
        <f>IF(OR($A138="",$H138&lt;&gt;"Ausgabe",M138=""),0,IF(M138="x",-$E138/(COUNTIF($J138:$Q138,"x")+1),-$E138*N(M138)))</f>
        <v/>
      </c>
      <c r="AB138" s="34">
        <f>IF(OR($A138="",$H138&lt;&gt;"Ausgabe",N138=""),0,IF(N138="x",-$E138/(COUNTIF($J138:$Q138,"x")+1),-$E138*N(N138)))</f>
        <v/>
      </c>
      <c r="AC138" s="34">
        <f>IF(OR($A138="",$H138&lt;&gt;"Ausgabe",O138=""),0,IF(O138="x",-$E138/(COUNTIF($J138:$Q138,"x")+1),-$E138*N(O138)))</f>
        <v/>
      </c>
      <c r="AD138" s="34">
        <f>IF(OR($A138="",$H138&lt;&gt;"Ausgabe",P138=""),0,IF(P138="x",-$E138/(COUNTIF($J138:$Q138,"x")+1),-$E138*N(P138)))</f>
        <v/>
      </c>
      <c r="AE138" s="34">
        <f>IF(OR($A138="",$H138&lt;&gt;"Ausgabe",Q138=""),0,IF(Q138="x",-$E138/(COUNTIF($J138:$Q138,"x")+1),-$E138*N(Q138)))</f>
        <v/>
      </c>
    </row>
    <row r="139">
      <c r="A139" s="30" t="n"/>
      <c r="E139" s="31" t="n"/>
      <c r="J139" s="32" t="n"/>
      <c r="K139" s="32" t="n"/>
      <c r="L139" s="32" t="n"/>
      <c r="M139" s="32" t="n"/>
      <c r="N139" s="32" t="n"/>
      <c r="O139" s="32" t="n"/>
      <c r="P139" s="32" t="n"/>
      <c r="Q139" s="32" t="n"/>
      <c r="U139" s="31">
        <f>IF($A139="","",SUM(X139:AE139))</f>
        <v/>
      </c>
      <c r="V139" s="31">
        <f>IF($A139="","",IF($H139&lt;&gt;"Ausgabe",0,-$E139-$U139))</f>
        <v/>
      </c>
      <c r="W139" s="33">
        <f>IF($A139="","",DATE(YEAR($A139),MONTH($A139),1))</f>
        <v/>
      </c>
      <c r="X139" s="34">
        <f>IF(OR($A139="",$H139&lt;&gt;"Ausgabe",J139=""),0,IF(J139="x",-$E139/(COUNTIF($J139:$Q139,"x")+1),-$E139*N(J139)))</f>
        <v/>
      </c>
      <c r="Y139" s="34">
        <f>IF(OR($A139="",$H139&lt;&gt;"Ausgabe",K139=""),0,IF(K139="x",-$E139/(COUNTIF($J139:$Q139,"x")+1),-$E139*N(K139)))</f>
        <v/>
      </c>
      <c r="Z139" s="34">
        <f>IF(OR($A139="",$H139&lt;&gt;"Ausgabe",L139=""),0,IF(L139="x",-$E139/(COUNTIF($J139:$Q139,"x")+1),-$E139*N(L139)))</f>
        <v/>
      </c>
      <c r="AA139" s="34">
        <f>IF(OR($A139="",$H139&lt;&gt;"Ausgabe",M139=""),0,IF(M139="x",-$E139/(COUNTIF($J139:$Q139,"x")+1),-$E139*N(M139)))</f>
        <v/>
      </c>
      <c r="AB139" s="34">
        <f>IF(OR($A139="",$H139&lt;&gt;"Ausgabe",N139=""),0,IF(N139="x",-$E139/(COUNTIF($J139:$Q139,"x")+1),-$E139*N(N139)))</f>
        <v/>
      </c>
      <c r="AC139" s="34">
        <f>IF(OR($A139="",$H139&lt;&gt;"Ausgabe",O139=""),0,IF(O139="x",-$E139/(COUNTIF($J139:$Q139,"x")+1),-$E139*N(O139)))</f>
        <v/>
      </c>
      <c r="AD139" s="34">
        <f>IF(OR($A139="",$H139&lt;&gt;"Ausgabe",P139=""),0,IF(P139="x",-$E139/(COUNTIF($J139:$Q139,"x")+1),-$E139*N(P139)))</f>
        <v/>
      </c>
      <c r="AE139" s="34">
        <f>IF(OR($A139="",$H139&lt;&gt;"Ausgabe",Q139=""),0,IF(Q139="x",-$E139/(COUNTIF($J139:$Q139,"x")+1),-$E139*N(Q139)))</f>
        <v/>
      </c>
    </row>
    <row r="140">
      <c r="A140" s="30" t="n"/>
      <c r="E140" s="31" t="n"/>
      <c r="J140" s="32" t="n"/>
      <c r="K140" s="32" t="n"/>
      <c r="L140" s="32" t="n"/>
      <c r="M140" s="32" t="n"/>
      <c r="N140" s="32" t="n"/>
      <c r="O140" s="32" t="n"/>
      <c r="P140" s="32" t="n"/>
      <c r="Q140" s="32" t="n"/>
      <c r="U140" s="31">
        <f>IF($A140="","",SUM(X140:AE140))</f>
        <v/>
      </c>
      <c r="V140" s="31">
        <f>IF($A140="","",IF($H140&lt;&gt;"Ausgabe",0,-$E140-$U140))</f>
        <v/>
      </c>
      <c r="W140" s="33">
        <f>IF($A140="","",DATE(YEAR($A140),MONTH($A140),1))</f>
        <v/>
      </c>
      <c r="X140" s="34">
        <f>IF(OR($A140="",$H140&lt;&gt;"Ausgabe",J140=""),0,IF(J140="x",-$E140/(COUNTIF($J140:$Q140,"x")+1),-$E140*N(J140)))</f>
        <v/>
      </c>
      <c r="Y140" s="34">
        <f>IF(OR($A140="",$H140&lt;&gt;"Ausgabe",K140=""),0,IF(K140="x",-$E140/(COUNTIF($J140:$Q140,"x")+1),-$E140*N(K140)))</f>
        <v/>
      </c>
      <c r="Z140" s="34">
        <f>IF(OR($A140="",$H140&lt;&gt;"Ausgabe",L140=""),0,IF(L140="x",-$E140/(COUNTIF($J140:$Q140,"x")+1),-$E140*N(L140)))</f>
        <v/>
      </c>
      <c r="AA140" s="34">
        <f>IF(OR($A140="",$H140&lt;&gt;"Ausgabe",M140=""),0,IF(M140="x",-$E140/(COUNTIF($J140:$Q140,"x")+1),-$E140*N(M140)))</f>
        <v/>
      </c>
      <c r="AB140" s="34">
        <f>IF(OR($A140="",$H140&lt;&gt;"Ausgabe",N140=""),0,IF(N140="x",-$E140/(COUNTIF($J140:$Q140,"x")+1),-$E140*N(N140)))</f>
        <v/>
      </c>
      <c r="AC140" s="34">
        <f>IF(OR($A140="",$H140&lt;&gt;"Ausgabe",O140=""),0,IF(O140="x",-$E140/(COUNTIF($J140:$Q140,"x")+1),-$E140*N(O140)))</f>
        <v/>
      </c>
      <c r="AD140" s="34">
        <f>IF(OR($A140="",$H140&lt;&gt;"Ausgabe",P140=""),0,IF(P140="x",-$E140/(COUNTIF($J140:$Q140,"x")+1),-$E140*N(P140)))</f>
        <v/>
      </c>
      <c r="AE140" s="34">
        <f>IF(OR($A140="",$H140&lt;&gt;"Ausgabe",Q140=""),0,IF(Q140="x",-$E140/(COUNTIF($J140:$Q140,"x")+1),-$E140*N(Q140)))</f>
        <v/>
      </c>
    </row>
    <row r="141">
      <c r="A141" s="30" t="n"/>
      <c r="E141" s="31" t="n"/>
      <c r="J141" s="32" t="n"/>
      <c r="K141" s="32" t="n"/>
      <c r="L141" s="32" t="n"/>
      <c r="M141" s="32" t="n"/>
      <c r="N141" s="32" t="n"/>
      <c r="O141" s="32" t="n"/>
      <c r="P141" s="32" t="n"/>
      <c r="Q141" s="32" t="n"/>
      <c r="U141" s="31">
        <f>IF($A141="","",SUM(X141:AE141))</f>
        <v/>
      </c>
      <c r="V141" s="31">
        <f>IF($A141="","",IF($H141&lt;&gt;"Ausgabe",0,-$E141-$U141))</f>
        <v/>
      </c>
      <c r="W141" s="33">
        <f>IF($A141="","",DATE(YEAR($A141),MONTH($A141),1))</f>
        <v/>
      </c>
      <c r="X141" s="34">
        <f>IF(OR($A141="",$H141&lt;&gt;"Ausgabe",J141=""),0,IF(J141="x",-$E141/(COUNTIF($J141:$Q141,"x")+1),-$E141*N(J141)))</f>
        <v/>
      </c>
      <c r="Y141" s="34">
        <f>IF(OR($A141="",$H141&lt;&gt;"Ausgabe",K141=""),0,IF(K141="x",-$E141/(COUNTIF($J141:$Q141,"x")+1),-$E141*N(K141)))</f>
        <v/>
      </c>
      <c r="Z141" s="34">
        <f>IF(OR($A141="",$H141&lt;&gt;"Ausgabe",L141=""),0,IF(L141="x",-$E141/(COUNTIF($J141:$Q141,"x")+1),-$E141*N(L141)))</f>
        <v/>
      </c>
      <c r="AA141" s="34">
        <f>IF(OR($A141="",$H141&lt;&gt;"Ausgabe",M141=""),0,IF(M141="x",-$E141/(COUNTIF($J141:$Q141,"x")+1),-$E141*N(M141)))</f>
        <v/>
      </c>
      <c r="AB141" s="34">
        <f>IF(OR($A141="",$H141&lt;&gt;"Ausgabe",N141=""),0,IF(N141="x",-$E141/(COUNTIF($J141:$Q141,"x")+1),-$E141*N(N141)))</f>
        <v/>
      </c>
      <c r="AC141" s="34">
        <f>IF(OR($A141="",$H141&lt;&gt;"Ausgabe",O141=""),0,IF(O141="x",-$E141/(COUNTIF($J141:$Q141,"x")+1),-$E141*N(O141)))</f>
        <v/>
      </c>
      <c r="AD141" s="34">
        <f>IF(OR($A141="",$H141&lt;&gt;"Ausgabe",P141=""),0,IF(P141="x",-$E141/(COUNTIF($J141:$Q141,"x")+1),-$E141*N(P141)))</f>
        <v/>
      </c>
      <c r="AE141" s="34">
        <f>IF(OR($A141="",$H141&lt;&gt;"Ausgabe",Q141=""),0,IF(Q141="x",-$E141/(COUNTIF($J141:$Q141,"x")+1),-$E141*N(Q141)))</f>
        <v/>
      </c>
    </row>
    <row r="142">
      <c r="A142" s="30" t="n"/>
      <c r="E142" s="31" t="n"/>
      <c r="J142" s="32" t="n"/>
      <c r="K142" s="32" t="n"/>
      <c r="L142" s="32" t="n"/>
      <c r="M142" s="32" t="n"/>
      <c r="N142" s="32" t="n"/>
      <c r="O142" s="32" t="n"/>
      <c r="P142" s="32" t="n"/>
      <c r="Q142" s="32" t="n"/>
      <c r="U142" s="31">
        <f>IF($A142="","",SUM(X142:AE142))</f>
        <v/>
      </c>
      <c r="V142" s="31">
        <f>IF($A142="","",IF($H142&lt;&gt;"Ausgabe",0,-$E142-$U142))</f>
        <v/>
      </c>
      <c r="W142" s="33">
        <f>IF($A142="","",DATE(YEAR($A142),MONTH($A142),1))</f>
        <v/>
      </c>
      <c r="X142" s="34">
        <f>IF(OR($A142="",$H142&lt;&gt;"Ausgabe",J142=""),0,IF(J142="x",-$E142/(COUNTIF($J142:$Q142,"x")+1),-$E142*N(J142)))</f>
        <v/>
      </c>
      <c r="Y142" s="34">
        <f>IF(OR($A142="",$H142&lt;&gt;"Ausgabe",K142=""),0,IF(K142="x",-$E142/(COUNTIF($J142:$Q142,"x")+1),-$E142*N(K142)))</f>
        <v/>
      </c>
      <c r="Z142" s="34">
        <f>IF(OR($A142="",$H142&lt;&gt;"Ausgabe",L142=""),0,IF(L142="x",-$E142/(COUNTIF($J142:$Q142,"x")+1),-$E142*N(L142)))</f>
        <v/>
      </c>
      <c r="AA142" s="34">
        <f>IF(OR($A142="",$H142&lt;&gt;"Ausgabe",M142=""),0,IF(M142="x",-$E142/(COUNTIF($J142:$Q142,"x")+1),-$E142*N(M142)))</f>
        <v/>
      </c>
      <c r="AB142" s="34">
        <f>IF(OR($A142="",$H142&lt;&gt;"Ausgabe",N142=""),0,IF(N142="x",-$E142/(COUNTIF($J142:$Q142,"x")+1),-$E142*N(N142)))</f>
        <v/>
      </c>
      <c r="AC142" s="34">
        <f>IF(OR($A142="",$H142&lt;&gt;"Ausgabe",O142=""),0,IF(O142="x",-$E142/(COUNTIF($J142:$Q142,"x")+1),-$E142*N(O142)))</f>
        <v/>
      </c>
      <c r="AD142" s="34">
        <f>IF(OR($A142="",$H142&lt;&gt;"Ausgabe",P142=""),0,IF(P142="x",-$E142/(COUNTIF($J142:$Q142,"x")+1),-$E142*N(P142)))</f>
        <v/>
      </c>
      <c r="AE142" s="34">
        <f>IF(OR($A142="",$H142&lt;&gt;"Ausgabe",Q142=""),0,IF(Q142="x",-$E142/(COUNTIF($J142:$Q142,"x")+1),-$E142*N(Q142)))</f>
        <v/>
      </c>
    </row>
    <row r="143">
      <c r="A143" s="30" t="n"/>
      <c r="E143" s="31" t="n"/>
      <c r="J143" s="32" t="n"/>
      <c r="K143" s="32" t="n"/>
      <c r="L143" s="32" t="n"/>
      <c r="M143" s="32" t="n"/>
      <c r="N143" s="32" t="n"/>
      <c r="O143" s="32" t="n"/>
      <c r="P143" s="32" t="n"/>
      <c r="Q143" s="32" t="n"/>
      <c r="U143" s="31">
        <f>IF($A143="","",SUM(X143:AE143))</f>
        <v/>
      </c>
      <c r="V143" s="31">
        <f>IF($A143="","",IF($H143&lt;&gt;"Ausgabe",0,-$E143-$U143))</f>
        <v/>
      </c>
      <c r="W143" s="33">
        <f>IF($A143="","",DATE(YEAR($A143),MONTH($A143),1))</f>
        <v/>
      </c>
      <c r="X143" s="34">
        <f>IF(OR($A143="",$H143&lt;&gt;"Ausgabe",J143=""),0,IF(J143="x",-$E143/(COUNTIF($J143:$Q143,"x")+1),-$E143*N(J143)))</f>
        <v/>
      </c>
      <c r="Y143" s="34">
        <f>IF(OR($A143="",$H143&lt;&gt;"Ausgabe",K143=""),0,IF(K143="x",-$E143/(COUNTIF($J143:$Q143,"x")+1),-$E143*N(K143)))</f>
        <v/>
      </c>
      <c r="Z143" s="34">
        <f>IF(OR($A143="",$H143&lt;&gt;"Ausgabe",L143=""),0,IF(L143="x",-$E143/(COUNTIF($J143:$Q143,"x")+1),-$E143*N(L143)))</f>
        <v/>
      </c>
      <c r="AA143" s="34">
        <f>IF(OR($A143="",$H143&lt;&gt;"Ausgabe",M143=""),0,IF(M143="x",-$E143/(COUNTIF($J143:$Q143,"x")+1),-$E143*N(M143)))</f>
        <v/>
      </c>
      <c r="AB143" s="34">
        <f>IF(OR($A143="",$H143&lt;&gt;"Ausgabe",N143=""),0,IF(N143="x",-$E143/(COUNTIF($J143:$Q143,"x")+1),-$E143*N(N143)))</f>
        <v/>
      </c>
      <c r="AC143" s="34">
        <f>IF(OR($A143="",$H143&lt;&gt;"Ausgabe",O143=""),0,IF(O143="x",-$E143/(COUNTIF($J143:$Q143,"x")+1),-$E143*N(O143)))</f>
        <v/>
      </c>
      <c r="AD143" s="34">
        <f>IF(OR($A143="",$H143&lt;&gt;"Ausgabe",P143=""),0,IF(P143="x",-$E143/(COUNTIF($J143:$Q143,"x")+1),-$E143*N(P143)))</f>
        <v/>
      </c>
      <c r="AE143" s="34">
        <f>IF(OR($A143="",$H143&lt;&gt;"Ausgabe",Q143=""),0,IF(Q143="x",-$E143/(COUNTIF($J143:$Q143,"x")+1),-$E143*N(Q143)))</f>
        <v/>
      </c>
    </row>
    <row r="144">
      <c r="A144" s="30" t="n"/>
      <c r="E144" s="31" t="n"/>
      <c r="J144" s="32" t="n"/>
      <c r="K144" s="32" t="n"/>
      <c r="L144" s="32" t="n"/>
      <c r="M144" s="32" t="n"/>
      <c r="N144" s="32" t="n"/>
      <c r="O144" s="32" t="n"/>
      <c r="P144" s="32" t="n"/>
      <c r="Q144" s="32" t="n"/>
      <c r="U144" s="31">
        <f>IF($A144="","",SUM(X144:AE144))</f>
        <v/>
      </c>
      <c r="V144" s="31">
        <f>IF($A144="","",IF($H144&lt;&gt;"Ausgabe",0,-$E144-$U144))</f>
        <v/>
      </c>
      <c r="W144" s="33">
        <f>IF($A144="","",DATE(YEAR($A144),MONTH($A144),1))</f>
        <v/>
      </c>
      <c r="X144" s="34">
        <f>IF(OR($A144="",$H144&lt;&gt;"Ausgabe",J144=""),0,IF(J144="x",-$E144/(COUNTIF($J144:$Q144,"x")+1),-$E144*N(J144)))</f>
        <v/>
      </c>
      <c r="Y144" s="34">
        <f>IF(OR($A144="",$H144&lt;&gt;"Ausgabe",K144=""),0,IF(K144="x",-$E144/(COUNTIF($J144:$Q144,"x")+1),-$E144*N(K144)))</f>
        <v/>
      </c>
      <c r="Z144" s="34">
        <f>IF(OR($A144="",$H144&lt;&gt;"Ausgabe",L144=""),0,IF(L144="x",-$E144/(COUNTIF($J144:$Q144,"x")+1),-$E144*N(L144)))</f>
        <v/>
      </c>
      <c r="AA144" s="34">
        <f>IF(OR($A144="",$H144&lt;&gt;"Ausgabe",M144=""),0,IF(M144="x",-$E144/(COUNTIF($J144:$Q144,"x")+1),-$E144*N(M144)))</f>
        <v/>
      </c>
      <c r="AB144" s="34">
        <f>IF(OR($A144="",$H144&lt;&gt;"Ausgabe",N144=""),0,IF(N144="x",-$E144/(COUNTIF($J144:$Q144,"x")+1),-$E144*N(N144)))</f>
        <v/>
      </c>
      <c r="AC144" s="34">
        <f>IF(OR($A144="",$H144&lt;&gt;"Ausgabe",O144=""),0,IF(O144="x",-$E144/(COUNTIF($J144:$Q144,"x")+1),-$E144*N(O144)))</f>
        <v/>
      </c>
      <c r="AD144" s="34">
        <f>IF(OR($A144="",$H144&lt;&gt;"Ausgabe",P144=""),0,IF(P144="x",-$E144/(COUNTIF($J144:$Q144,"x")+1),-$E144*N(P144)))</f>
        <v/>
      </c>
      <c r="AE144" s="34">
        <f>IF(OR($A144="",$H144&lt;&gt;"Ausgabe",Q144=""),0,IF(Q144="x",-$E144/(COUNTIF($J144:$Q144,"x")+1),-$E144*N(Q144)))</f>
        <v/>
      </c>
    </row>
    <row r="145">
      <c r="A145" s="30" t="n"/>
      <c r="E145" s="31" t="n"/>
      <c r="J145" s="32" t="n"/>
      <c r="K145" s="32" t="n"/>
      <c r="L145" s="32" t="n"/>
      <c r="M145" s="32" t="n"/>
      <c r="N145" s="32" t="n"/>
      <c r="O145" s="32" t="n"/>
      <c r="P145" s="32" t="n"/>
      <c r="Q145" s="32" t="n"/>
      <c r="U145" s="31">
        <f>IF($A145="","",SUM(X145:AE145))</f>
        <v/>
      </c>
      <c r="V145" s="31">
        <f>IF($A145="","",IF($H145&lt;&gt;"Ausgabe",0,-$E145-$U145))</f>
        <v/>
      </c>
      <c r="W145" s="33">
        <f>IF($A145="","",DATE(YEAR($A145),MONTH($A145),1))</f>
        <v/>
      </c>
      <c r="X145" s="34">
        <f>IF(OR($A145="",$H145&lt;&gt;"Ausgabe",J145=""),0,IF(J145="x",-$E145/(COUNTIF($J145:$Q145,"x")+1),-$E145*N(J145)))</f>
        <v/>
      </c>
      <c r="Y145" s="34">
        <f>IF(OR($A145="",$H145&lt;&gt;"Ausgabe",K145=""),0,IF(K145="x",-$E145/(COUNTIF($J145:$Q145,"x")+1),-$E145*N(K145)))</f>
        <v/>
      </c>
      <c r="Z145" s="34">
        <f>IF(OR($A145="",$H145&lt;&gt;"Ausgabe",L145=""),0,IF(L145="x",-$E145/(COUNTIF($J145:$Q145,"x")+1),-$E145*N(L145)))</f>
        <v/>
      </c>
      <c r="AA145" s="34">
        <f>IF(OR($A145="",$H145&lt;&gt;"Ausgabe",M145=""),0,IF(M145="x",-$E145/(COUNTIF($J145:$Q145,"x")+1),-$E145*N(M145)))</f>
        <v/>
      </c>
      <c r="AB145" s="34">
        <f>IF(OR($A145="",$H145&lt;&gt;"Ausgabe",N145=""),0,IF(N145="x",-$E145/(COUNTIF($J145:$Q145,"x")+1),-$E145*N(N145)))</f>
        <v/>
      </c>
      <c r="AC145" s="34">
        <f>IF(OR($A145="",$H145&lt;&gt;"Ausgabe",O145=""),0,IF(O145="x",-$E145/(COUNTIF($J145:$Q145,"x")+1),-$E145*N(O145)))</f>
        <v/>
      </c>
      <c r="AD145" s="34">
        <f>IF(OR($A145="",$H145&lt;&gt;"Ausgabe",P145=""),0,IF(P145="x",-$E145/(COUNTIF($J145:$Q145,"x")+1),-$E145*N(P145)))</f>
        <v/>
      </c>
      <c r="AE145" s="34">
        <f>IF(OR($A145="",$H145&lt;&gt;"Ausgabe",Q145=""),0,IF(Q145="x",-$E145/(COUNTIF($J145:$Q145,"x")+1),-$E145*N(Q145)))</f>
        <v/>
      </c>
    </row>
    <row r="146">
      <c r="A146" s="30" t="n"/>
      <c r="E146" s="31" t="n"/>
      <c r="J146" s="32" t="n"/>
      <c r="K146" s="32" t="n"/>
      <c r="L146" s="32" t="n"/>
      <c r="M146" s="32" t="n"/>
      <c r="N146" s="32" t="n"/>
      <c r="O146" s="32" t="n"/>
      <c r="P146" s="32" t="n"/>
      <c r="Q146" s="32" t="n"/>
      <c r="U146" s="31">
        <f>IF($A146="","",SUM(X146:AE146))</f>
        <v/>
      </c>
      <c r="V146" s="31">
        <f>IF($A146="","",IF($H146&lt;&gt;"Ausgabe",0,-$E146-$U146))</f>
        <v/>
      </c>
      <c r="W146" s="33">
        <f>IF($A146="","",DATE(YEAR($A146),MONTH($A146),1))</f>
        <v/>
      </c>
      <c r="X146" s="34">
        <f>IF(OR($A146="",$H146&lt;&gt;"Ausgabe",J146=""),0,IF(J146="x",-$E146/(COUNTIF($J146:$Q146,"x")+1),-$E146*N(J146)))</f>
        <v/>
      </c>
      <c r="Y146" s="34">
        <f>IF(OR($A146="",$H146&lt;&gt;"Ausgabe",K146=""),0,IF(K146="x",-$E146/(COUNTIF($J146:$Q146,"x")+1),-$E146*N(K146)))</f>
        <v/>
      </c>
      <c r="Z146" s="34">
        <f>IF(OR($A146="",$H146&lt;&gt;"Ausgabe",L146=""),0,IF(L146="x",-$E146/(COUNTIF($J146:$Q146,"x")+1),-$E146*N(L146)))</f>
        <v/>
      </c>
      <c r="AA146" s="34">
        <f>IF(OR($A146="",$H146&lt;&gt;"Ausgabe",M146=""),0,IF(M146="x",-$E146/(COUNTIF($J146:$Q146,"x")+1),-$E146*N(M146)))</f>
        <v/>
      </c>
      <c r="AB146" s="34">
        <f>IF(OR($A146="",$H146&lt;&gt;"Ausgabe",N146=""),0,IF(N146="x",-$E146/(COUNTIF($J146:$Q146,"x")+1),-$E146*N(N146)))</f>
        <v/>
      </c>
      <c r="AC146" s="34">
        <f>IF(OR($A146="",$H146&lt;&gt;"Ausgabe",O146=""),0,IF(O146="x",-$E146/(COUNTIF($J146:$Q146,"x")+1),-$E146*N(O146)))</f>
        <v/>
      </c>
      <c r="AD146" s="34">
        <f>IF(OR($A146="",$H146&lt;&gt;"Ausgabe",P146=""),0,IF(P146="x",-$E146/(COUNTIF($J146:$Q146,"x")+1),-$E146*N(P146)))</f>
        <v/>
      </c>
      <c r="AE146" s="34">
        <f>IF(OR($A146="",$H146&lt;&gt;"Ausgabe",Q146=""),0,IF(Q146="x",-$E146/(COUNTIF($J146:$Q146,"x")+1),-$E146*N(Q146)))</f>
        <v/>
      </c>
    </row>
    <row r="147">
      <c r="A147" s="30" t="n"/>
      <c r="E147" s="31" t="n"/>
      <c r="J147" s="32" t="n"/>
      <c r="K147" s="32" t="n"/>
      <c r="L147" s="32" t="n"/>
      <c r="M147" s="32" t="n"/>
      <c r="N147" s="32" t="n"/>
      <c r="O147" s="32" t="n"/>
      <c r="P147" s="32" t="n"/>
      <c r="Q147" s="32" t="n"/>
      <c r="U147" s="31">
        <f>IF($A147="","",SUM(X147:AE147))</f>
        <v/>
      </c>
      <c r="V147" s="31">
        <f>IF($A147="","",IF($H147&lt;&gt;"Ausgabe",0,-$E147-$U147))</f>
        <v/>
      </c>
      <c r="W147" s="33">
        <f>IF($A147="","",DATE(YEAR($A147),MONTH($A147),1))</f>
        <v/>
      </c>
      <c r="X147" s="34">
        <f>IF(OR($A147="",$H147&lt;&gt;"Ausgabe",J147=""),0,IF(J147="x",-$E147/(COUNTIF($J147:$Q147,"x")+1),-$E147*N(J147)))</f>
        <v/>
      </c>
      <c r="Y147" s="34">
        <f>IF(OR($A147="",$H147&lt;&gt;"Ausgabe",K147=""),0,IF(K147="x",-$E147/(COUNTIF($J147:$Q147,"x")+1),-$E147*N(K147)))</f>
        <v/>
      </c>
      <c r="Z147" s="34">
        <f>IF(OR($A147="",$H147&lt;&gt;"Ausgabe",L147=""),0,IF(L147="x",-$E147/(COUNTIF($J147:$Q147,"x")+1),-$E147*N(L147)))</f>
        <v/>
      </c>
      <c r="AA147" s="34">
        <f>IF(OR($A147="",$H147&lt;&gt;"Ausgabe",M147=""),0,IF(M147="x",-$E147/(COUNTIF($J147:$Q147,"x")+1),-$E147*N(M147)))</f>
        <v/>
      </c>
      <c r="AB147" s="34">
        <f>IF(OR($A147="",$H147&lt;&gt;"Ausgabe",N147=""),0,IF(N147="x",-$E147/(COUNTIF($J147:$Q147,"x")+1),-$E147*N(N147)))</f>
        <v/>
      </c>
      <c r="AC147" s="34">
        <f>IF(OR($A147="",$H147&lt;&gt;"Ausgabe",O147=""),0,IF(O147="x",-$E147/(COUNTIF($J147:$Q147,"x")+1),-$E147*N(O147)))</f>
        <v/>
      </c>
      <c r="AD147" s="34">
        <f>IF(OR($A147="",$H147&lt;&gt;"Ausgabe",P147=""),0,IF(P147="x",-$E147/(COUNTIF($J147:$Q147,"x")+1),-$E147*N(P147)))</f>
        <v/>
      </c>
      <c r="AE147" s="34">
        <f>IF(OR($A147="",$H147&lt;&gt;"Ausgabe",Q147=""),0,IF(Q147="x",-$E147/(COUNTIF($J147:$Q147,"x")+1),-$E147*N(Q147)))</f>
        <v/>
      </c>
    </row>
    <row r="148">
      <c r="A148" s="30" t="n"/>
      <c r="E148" s="31" t="n"/>
      <c r="J148" s="32" t="n"/>
      <c r="K148" s="32" t="n"/>
      <c r="L148" s="32" t="n"/>
      <c r="M148" s="32" t="n"/>
      <c r="N148" s="32" t="n"/>
      <c r="O148" s="32" t="n"/>
      <c r="P148" s="32" t="n"/>
      <c r="Q148" s="32" t="n"/>
      <c r="U148" s="31">
        <f>IF($A148="","",SUM(X148:AE148))</f>
        <v/>
      </c>
      <c r="V148" s="31">
        <f>IF($A148="","",IF($H148&lt;&gt;"Ausgabe",0,-$E148-$U148))</f>
        <v/>
      </c>
      <c r="W148" s="33">
        <f>IF($A148="","",DATE(YEAR($A148),MONTH($A148),1))</f>
        <v/>
      </c>
      <c r="X148" s="34">
        <f>IF(OR($A148="",$H148&lt;&gt;"Ausgabe",J148=""),0,IF(J148="x",-$E148/(COUNTIF($J148:$Q148,"x")+1),-$E148*N(J148)))</f>
        <v/>
      </c>
      <c r="Y148" s="34">
        <f>IF(OR($A148="",$H148&lt;&gt;"Ausgabe",K148=""),0,IF(K148="x",-$E148/(COUNTIF($J148:$Q148,"x")+1),-$E148*N(K148)))</f>
        <v/>
      </c>
      <c r="Z148" s="34">
        <f>IF(OR($A148="",$H148&lt;&gt;"Ausgabe",L148=""),0,IF(L148="x",-$E148/(COUNTIF($J148:$Q148,"x")+1),-$E148*N(L148)))</f>
        <v/>
      </c>
      <c r="AA148" s="34">
        <f>IF(OR($A148="",$H148&lt;&gt;"Ausgabe",M148=""),0,IF(M148="x",-$E148/(COUNTIF($J148:$Q148,"x")+1),-$E148*N(M148)))</f>
        <v/>
      </c>
      <c r="AB148" s="34">
        <f>IF(OR($A148="",$H148&lt;&gt;"Ausgabe",N148=""),0,IF(N148="x",-$E148/(COUNTIF($J148:$Q148,"x")+1),-$E148*N(N148)))</f>
        <v/>
      </c>
      <c r="AC148" s="34">
        <f>IF(OR($A148="",$H148&lt;&gt;"Ausgabe",O148=""),0,IF(O148="x",-$E148/(COUNTIF($J148:$Q148,"x")+1),-$E148*N(O148)))</f>
        <v/>
      </c>
      <c r="AD148" s="34">
        <f>IF(OR($A148="",$H148&lt;&gt;"Ausgabe",P148=""),0,IF(P148="x",-$E148/(COUNTIF($J148:$Q148,"x")+1),-$E148*N(P148)))</f>
        <v/>
      </c>
      <c r="AE148" s="34">
        <f>IF(OR($A148="",$H148&lt;&gt;"Ausgabe",Q148=""),0,IF(Q148="x",-$E148/(COUNTIF($J148:$Q148,"x")+1),-$E148*N(Q148)))</f>
        <v/>
      </c>
    </row>
    <row r="149">
      <c r="A149" s="30" t="n"/>
      <c r="E149" s="31" t="n"/>
      <c r="J149" s="32" t="n"/>
      <c r="K149" s="32" t="n"/>
      <c r="L149" s="32" t="n"/>
      <c r="M149" s="32" t="n"/>
      <c r="N149" s="32" t="n"/>
      <c r="O149" s="32" t="n"/>
      <c r="P149" s="32" t="n"/>
      <c r="Q149" s="32" t="n"/>
      <c r="U149" s="31">
        <f>IF($A149="","",SUM(X149:AE149))</f>
        <v/>
      </c>
      <c r="V149" s="31">
        <f>IF($A149="","",IF($H149&lt;&gt;"Ausgabe",0,-$E149-$U149))</f>
        <v/>
      </c>
      <c r="W149" s="33">
        <f>IF($A149="","",DATE(YEAR($A149),MONTH($A149),1))</f>
        <v/>
      </c>
      <c r="X149" s="34">
        <f>IF(OR($A149="",$H149&lt;&gt;"Ausgabe",J149=""),0,IF(J149="x",-$E149/(COUNTIF($J149:$Q149,"x")+1),-$E149*N(J149)))</f>
        <v/>
      </c>
      <c r="Y149" s="34">
        <f>IF(OR($A149="",$H149&lt;&gt;"Ausgabe",K149=""),0,IF(K149="x",-$E149/(COUNTIF($J149:$Q149,"x")+1),-$E149*N(K149)))</f>
        <v/>
      </c>
      <c r="Z149" s="34">
        <f>IF(OR($A149="",$H149&lt;&gt;"Ausgabe",L149=""),0,IF(L149="x",-$E149/(COUNTIF($J149:$Q149,"x")+1),-$E149*N(L149)))</f>
        <v/>
      </c>
      <c r="AA149" s="34">
        <f>IF(OR($A149="",$H149&lt;&gt;"Ausgabe",M149=""),0,IF(M149="x",-$E149/(COUNTIF($J149:$Q149,"x")+1),-$E149*N(M149)))</f>
        <v/>
      </c>
      <c r="AB149" s="34">
        <f>IF(OR($A149="",$H149&lt;&gt;"Ausgabe",N149=""),0,IF(N149="x",-$E149/(COUNTIF($J149:$Q149,"x")+1),-$E149*N(N149)))</f>
        <v/>
      </c>
      <c r="AC149" s="34">
        <f>IF(OR($A149="",$H149&lt;&gt;"Ausgabe",O149=""),0,IF(O149="x",-$E149/(COUNTIF($J149:$Q149,"x")+1),-$E149*N(O149)))</f>
        <v/>
      </c>
      <c r="AD149" s="34">
        <f>IF(OR($A149="",$H149&lt;&gt;"Ausgabe",P149=""),0,IF(P149="x",-$E149/(COUNTIF($J149:$Q149,"x")+1),-$E149*N(P149)))</f>
        <v/>
      </c>
      <c r="AE149" s="34">
        <f>IF(OR($A149="",$H149&lt;&gt;"Ausgabe",Q149=""),0,IF(Q149="x",-$E149/(COUNTIF($J149:$Q149,"x")+1),-$E149*N(Q149)))</f>
        <v/>
      </c>
    </row>
    <row r="150">
      <c r="A150" s="30" t="n"/>
      <c r="E150" s="31" t="n"/>
      <c r="J150" s="32" t="n"/>
      <c r="K150" s="32" t="n"/>
      <c r="L150" s="32" t="n"/>
      <c r="M150" s="32" t="n"/>
      <c r="N150" s="32" t="n"/>
      <c r="O150" s="32" t="n"/>
      <c r="P150" s="32" t="n"/>
      <c r="Q150" s="32" t="n"/>
      <c r="U150" s="31">
        <f>IF($A150="","",SUM(X150:AE150))</f>
        <v/>
      </c>
      <c r="V150" s="31">
        <f>IF($A150="","",IF($H150&lt;&gt;"Ausgabe",0,-$E150-$U150))</f>
        <v/>
      </c>
      <c r="W150" s="33">
        <f>IF($A150="","",DATE(YEAR($A150),MONTH($A150),1))</f>
        <v/>
      </c>
      <c r="X150" s="34">
        <f>IF(OR($A150="",$H150&lt;&gt;"Ausgabe",J150=""),0,IF(J150="x",-$E150/(COUNTIF($J150:$Q150,"x")+1),-$E150*N(J150)))</f>
        <v/>
      </c>
      <c r="Y150" s="34">
        <f>IF(OR($A150="",$H150&lt;&gt;"Ausgabe",K150=""),0,IF(K150="x",-$E150/(COUNTIF($J150:$Q150,"x")+1),-$E150*N(K150)))</f>
        <v/>
      </c>
      <c r="Z150" s="34">
        <f>IF(OR($A150="",$H150&lt;&gt;"Ausgabe",L150=""),0,IF(L150="x",-$E150/(COUNTIF($J150:$Q150,"x")+1),-$E150*N(L150)))</f>
        <v/>
      </c>
      <c r="AA150" s="34">
        <f>IF(OR($A150="",$H150&lt;&gt;"Ausgabe",M150=""),0,IF(M150="x",-$E150/(COUNTIF($J150:$Q150,"x")+1),-$E150*N(M150)))</f>
        <v/>
      </c>
      <c r="AB150" s="34">
        <f>IF(OR($A150="",$H150&lt;&gt;"Ausgabe",N150=""),0,IF(N150="x",-$E150/(COUNTIF($J150:$Q150,"x")+1),-$E150*N(N150)))</f>
        <v/>
      </c>
      <c r="AC150" s="34">
        <f>IF(OR($A150="",$H150&lt;&gt;"Ausgabe",O150=""),0,IF(O150="x",-$E150/(COUNTIF($J150:$Q150,"x")+1),-$E150*N(O150)))</f>
        <v/>
      </c>
      <c r="AD150" s="34">
        <f>IF(OR($A150="",$H150&lt;&gt;"Ausgabe",P150=""),0,IF(P150="x",-$E150/(COUNTIF($J150:$Q150,"x")+1),-$E150*N(P150)))</f>
        <v/>
      </c>
      <c r="AE150" s="34">
        <f>IF(OR($A150="",$H150&lt;&gt;"Ausgabe",Q150=""),0,IF(Q150="x",-$E150/(COUNTIF($J150:$Q150,"x")+1),-$E150*N(Q150)))</f>
        <v/>
      </c>
    </row>
    <row r="151">
      <c r="A151" s="30" t="n"/>
      <c r="E151" s="31" t="n"/>
      <c r="J151" s="32" t="n"/>
      <c r="K151" s="32" t="n"/>
      <c r="L151" s="32" t="n"/>
      <c r="M151" s="32" t="n"/>
      <c r="N151" s="32" t="n"/>
      <c r="O151" s="32" t="n"/>
      <c r="P151" s="32" t="n"/>
      <c r="Q151" s="32" t="n"/>
      <c r="U151" s="31">
        <f>IF($A151="","",SUM(X151:AE151))</f>
        <v/>
      </c>
      <c r="V151" s="31">
        <f>IF($A151="","",IF($H151&lt;&gt;"Ausgabe",0,-$E151-$U151))</f>
        <v/>
      </c>
      <c r="W151" s="33">
        <f>IF($A151="","",DATE(YEAR($A151),MONTH($A151),1))</f>
        <v/>
      </c>
      <c r="X151" s="34">
        <f>IF(OR($A151="",$H151&lt;&gt;"Ausgabe",J151=""),0,IF(J151="x",-$E151/(COUNTIF($J151:$Q151,"x")+1),-$E151*N(J151)))</f>
        <v/>
      </c>
      <c r="Y151" s="34">
        <f>IF(OR($A151="",$H151&lt;&gt;"Ausgabe",K151=""),0,IF(K151="x",-$E151/(COUNTIF($J151:$Q151,"x")+1),-$E151*N(K151)))</f>
        <v/>
      </c>
      <c r="Z151" s="34">
        <f>IF(OR($A151="",$H151&lt;&gt;"Ausgabe",L151=""),0,IF(L151="x",-$E151/(COUNTIF($J151:$Q151,"x")+1),-$E151*N(L151)))</f>
        <v/>
      </c>
      <c r="AA151" s="34">
        <f>IF(OR($A151="",$H151&lt;&gt;"Ausgabe",M151=""),0,IF(M151="x",-$E151/(COUNTIF($J151:$Q151,"x")+1),-$E151*N(M151)))</f>
        <v/>
      </c>
      <c r="AB151" s="34">
        <f>IF(OR($A151="",$H151&lt;&gt;"Ausgabe",N151=""),0,IF(N151="x",-$E151/(COUNTIF($J151:$Q151,"x")+1),-$E151*N(N151)))</f>
        <v/>
      </c>
      <c r="AC151" s="34">
        <f>IF(OR($A151="",$H151&lt;&gt;"Ausgabe",O151=""),0,IF(O151="x",-$E151/(COUNTIF($J151:$Q151,"x")+1),-$E151*N(O151)))</f>
        <v/>
      </c>
      <c r="AD151" s="34">
        <f>IF(OR($A151="",$H151&lt;&gt;"Ausgabe",P151=""),0,IF(P151="x",-$E151/(COUNTIF($J151:$Q151,"x")+1),-$E151*N(P151)))</f>
        <v/>
      </c>
      <c r="AE151" s="34">
        <f>IF(OR($A151="",$H151&lt;&gt;"Ausgabe",Q151=""),0,IF(Q151="x",-$E151/(COUNTIF($J151:$Q151,"x")+1),-$E151*N(Q151)))</f>
        <v/>
      </c>
    </row>
    <row r="152">
      <c r="A152" s="30" t="n"/>
      <c r="E152" s="31" t="n"/>
      <c r="J152" s="32" t="n"/>
      <c r="K152" s="32" t="n"/>
      <c r="L152" s="32" t="n"/>
      <c r="M152" s="32" t="n"/>
      <c r="N152" s="32" t="n"/>
      <c r="O152" s="32" t="n"/>
      <c r="P152" s="32" t="n"/>
      <c r="Q152" s="32" t="n"/>
      <c r="U152" s="31">
        <f>IF($A152="","",SUM(X152:AE152))</f>
        <v/>
      </c>
      <c r="V152" s="31">
        <f>IF($A152="","",IF($H152&lt;&gt;"Ausgabe",0,-$E152-$U152))</f>
        <v/>
      </c>
      <c r="W152" s="33">
        <f>IF($A152="","",DATE(YEAR($A152),MONTH($A152),1))</f>
        <v/>
      </c>
      <c r="X152" s="34">
        <f>IF(OR($A152="",$H152&lt;&gt;"Ausgabe",J152=""),0,IF(J152="x",-$E152/(COUNTIF($J152:$Q152,"x")+1),-$E152*N(J152)))</f>
        <v/>
      </c>
      <c r="Y152" s="34">
        <f>IF(OR($A152="",$H152&lt;&gt;"Ausgabe",K152=""),0,IF(K152="x",-$E152/(COUNTIF($J152:$Q152,"x")+1),-$E152*N(K152)))</f>
        <v/>
      </c>
      <c r="Z152" s="34">
        <f>IF(OR($A152="",$H152&lt;&gt;"Ausgabe",L152=""),0,IF(L152="x",-$E152/(COUNTIF($J152:$Q152,"x")+1),-$E152*N(L152)))</f>
        <v/>
      </c>
      <c r="AA152" s="34">
        <f>IF(OR($A152="",$H152&lt;&gt;"Ausgabe",M152=""),0,IF(M152="x",-$E152/(COUNTIF($J152:$Q152,"x")+1),-$E152*N(M152)))</f>
        <v/>
      </c>
      <c r="AB152" s="34">
        <f>IF(OR($A152="",$H152&lt;&gt;"Ausgabe",N152=""),0,IF(N152="x",-$E152/(COUNTIF($J152:$Q152,"x")+1),-$E152*N(N152)))</f>
        <v/>
      </c>
      <c r="AC152" s="34">
        <f>IF(OR($A152="",$H152&lt;&gt;"Ausgabe",O152=""),0,IF(O152="x",-$E152/(COUNTIF($J152:$Q152,"x")+1),-$E152*N(O152)))</f>
        <v/>
      </c>
      <c r="AD152" s="34">
        <f>IF(OR($A152="",$H152&lt;&gt;"Ausgabe",P152=""),0,IF(P152="x",-$E152/(COUNTIF($J152:$Q152,"x")+1),-$E152*N(P152)))</f>
        <v/>
      </c>
      <c r="AE152" s="34">
        <f>IF(OR($A152="",$H152&lt;&gt;"Ausgabe",Q152=""),0,IF(Q152="x",-$E152/(COUNTIF($J152:$Q152,"x")+1),-$E152*N(Q152)))</f>
        <v/>
      </c>
    </row>
    <row r="153">
      <c r="A153" s="30" t="n"/>
      <c r="E153" s="31" t="n"/>
      <c r="J153" s="32" t="n"/>
      <c r="K153" s="32" t="n"/>
      <c r="L153" s="32" t="n"/>
      <c r="M153" s="32" t="n"/>
      <c r="N153" s="32" t="n"/>
      <c r="O153" s="32" t="n"/>
      <c r="P153" s="32" t="n"/>
      <c r="Q153" s="32" t="n"/>
      <c r="U153" s="31">
        <f>IF($A153="","",SUM(X153:AE153))</f>
        <v/>
      </c>
      <c r="V153" s="31">
        <f>IF($A153="","",IF($H153&lt;&gt;"Ausgabe",0,-$E153-$U153))</f>
        <v/>
      </c>
      <c r="W153" s="33">
        <f>IF($A153="","",DATE(YEAR($A153),MONTH($A153),1))</f>
        <v/>
      </c>
      <c r="X153" s="34">
        <f>IF(OR($A153="",$H153&lt;&gt;"Ausgabe",J153=""),0,IF(J153="x",-$E153/(COUNTIF($J153:$Q153,"x")+1),-$E153*N(J153)))</f>
        <v/>
      </c>
      <c r="Y153" s="34">
        <f>IF(OR($A153="",$H153&lt;&gt;"Ausgabe",K153=""),0,IF(K153="x",-$E153/(COUNTIF($J153:$Q153,"x")+1),-$E153*N(K153)))</f>
        <v/>
      </c>
      <c r="Z153" s="34">
        <f>IF(OR($A153="",$H153&lt;&gt;"Ausgabe",L153=""),0,IF(L153="x",-$E153/(COUNTIF($J153:$Q153,"x")+1),-$E153*N(L153)))</f>
        <v/>
      </c>
      <c r="AA153" s="34">
        <f>IF(OR($A153="",$H153&lt;&gt;"Ausgabe",M153=""),0,IF(M153="x",-$E153/(COUNTIF($J153:$Q153,"x")+1),-$E153*N(M153)))</f>
        <v/>
      </c>
      <c r="AB153" s="34">
        <f>IF(OR($A153="",$H153&lt;&gt;"Ausgabe",N153=""),0,IF(N153="x",-$E153/(COUNTIF($J153:$Q153,"x")+1),-$E153*N(N153)))</f>
        <v/>
      </c>
      <c r="AC153" s="34">
        <f>IF(OR($A153="",$H153&lt;&gt;"Ausgabe",O153=""),0,IF(O153="x",-$E153/(COUNTIF($J153:$Q153,"x")+1),-$E153*N(O153)))</f>
        <v/>
      </c>
      <c r="AD153" s="34">
        <f>IF(OR($A153="",$H153&lt;&gt;"Ausgabe",P153=""),0,IF(P153="x",-$E153/(COUNTIF($J153:$Q153,"x")+1),-$E153*N(P153)))</f>
        <v/>
      </c>
      <c r="AE153" s="34">
        <f>IF(OR($A153="",$H153&lt;&gt;"Ausgabe",Q153=""),0,IF(Q153="x",-$E153/(COUNTIF($J153:$Q153,"x")+1),-$E153*N(Q153)))</f>
        <v/>
      </c>
    </row>
    <row r="154">
      <c r="A154" s="30" t="n"/>
      <c r="E154" s="31" t="n"/>
      <c r="J154" s="32" t="n"/>
      <c r="K154" s="32" t="n"/>
      <c r="L154" s="32" t="n"/>
      <c r="M154" s="32" t="n"/>
      <c r="N154" s="32" t="n"/>
      <c r="O154" s="32" t="n"/>
      <c r="P154" s="32" t="n"/>
      <c r="Q154" s="32" t="n"/>
      <c r="U154" s="31">
        <f>IF($A154="","",SUM(X154:AE154))</f>
        <v/>
      </c>
      <c r="V154" s="31">
        <f>IF($A154="","",IF($H154&lt;&gt;"Ausgabe",0,-$E154-$U154))</f>
        <v/>
      </c>
      <c r="W154" s="33">
        <f>IF($A154="","",DATE(YEAR($A154),MONTH($A154),1))</f>
        <v/>
      </c>
      <c r="X154" s="34">
        <f>IF(OR($A154="",$H154&lt;&gt;"Ausgabe",J154=""),0,IF(J154="x",-$E154/(COUNTIF($J154:$Q154,"x")+1),-$E154*N(J154)))</f>
        <v/>
      </c>
      <c r="Y154" s="34">
        <f>IF(OR($A154="",$H154&lt;&gt;"Ausgabe",K154=""),0,IF(K154="x",-$E154/(COUNTIF($J154:$Q154,"x")+1),-$E154*N(K154)))</f>
        <v/>
      </c>
      <c r="Z154" s="34">
        <f>IF(OR($A154="",$H154&lt;&gt;"Ausgabe",L154=""),0,IF(L154="x",-$E154/(COUNTIF($J154:$Q154,"x")+1),-$E154*N(L154)))</f>
        <v/>
      </c>
      <c r="AA154" s="34">
        <f>IF(OR($A154="",$H154&lt;&gt;"Ausgabe",M154=""),0,IF(M154="x",-$E154/(COUNTIF($J154:$Q154,"x")+1),-$E154*N(M154)))</f>
        <v/>
      </c>
      <c r="AB154" s="34">
        <f>IF(OR($A154="",$H154&lt;&gt;"Ausgabe",N154=""),0,IF(N154="x",-$E154/(COUNTIF($J154:$Q154,"x")+1),-$E154*N(N154)))</f>
        <v/>
      </c>
      <c r="AC154" s="34">
        <f>IF(OR($A154="",$H154&lt;&gt;"Ausgabe",O154=""),0,IF(O154="x",-$E154/(COUNTIF($J154:$Q154,"x")+1),-$E154*N(O154)))</f>
        <v/>
      </c>
      <c r="AD154" s="34">
        <f>IF(OR($A154="",$H154&lt;&gt;"Ausgabe",P154=""),0,IF(P154="x",-$E154/(COUNTIF($J154:$Q154,"x")+1),-$E154*N(P154)))</f>
        <v/>
      </c>
      <c r="AE154" s="34">
        <f>IF(OR($A154="",$H154&lt;&gt;"Ausgabe",Q154=""),0,IF(Q154="x",-$E154/(COUNTIF($J154:$Q154,"x")+1),-$E154*N(Q154)))</f>
        <v/>
      </c>
    </row>
    <row r="155">
      <c r="A155" s="30" t="n"/>
      <c r="E155" s="31" t="n"/>
      <c r="J155" s="32" t="n"/>
      <c r="K155" s="32" t="n"/>
      <c r="L155" s="32" t="n"/>
      <c r="M155" s="32" t="n"/>
      <c r="N155" s="32" t="n"/>
      <c r="O155" s="32" t="n"/>
      <c r="P155" s="32" t="n"/>
      <c r="Q155" s="32" t="n"/>
      <c r="U155" s="31">
        <f>IF($A155="","",SUM(X155:AE155))</f>
        <v/>
      </c>
      <c r="V155" s="31">
        <f>IF($A155="","",IF($H155&lt;&gt;"Ausgabe",0,-$E155-$U155))</f>
        <v/>
      </c>
      <c r="W155" s="33">
        <f>IF($A155="","",DATE(YEAR($A155),MONTH($A155),1))</f>
        <v/>
      </c>
      <c r="X155" s="34">
        <f>IF(OR($A155="",$H155&lt;&gt;"Ausgabe",J155=""),0,IF(J155="x",-$E155/(COUNTIF($J155:$Q155,"x")+1),-$E155*N(J155)))</f>
        <v/>
      </c>
      <c r="Y155" s="34">
        <f>IF(OR($A155="",$H155&lt;&gt;"Ausgabe",K155=""),0,IF(K155="x",-$E155/(COUNTIF($J155:$Q155,"x")+1),-$E155*N(K155)))</f>
        <v/>
      </c>
      <c r="Z155" s="34">
        <f>IF(OR($A155="",$H155&lt;&gt;"Ausgabe",L155=""),0,IF(L155="x",-$E155/(COUNTIF($J155:$Q155,"x")+1),-$E155*N(L155)))</f>
        <v/>
      </c>
      <c r="AA155" s="34">
        <f>IF(OR($A155="",$H155&lt;&gt;"Ausgabe",M155=""),0,IF(M155="x",-$E155/(COUNTIF($J155:$Q155,"x")+1),-$E155*N(M155)))</f>
        <v/>
      </c>
      <c r="AB155" s="34">
        <f>IF(OR($A155="",$H155&lt;&gt;"Ausgabe",N155=""),0,IF(N155="x",-$E155/(COUNTIF($J155:$Q155,"x")+1),-$E155*N(N155)))</f>
        <v/>
      </c>
      <c r="AC155" s="34">
        <f>IF(OR($A155="",$H155&lt;&gt;"Ausgabe",O155=""),0,IF(O155="x",-$E155/(COUNTIF($J155:$Q155,"x")+1),-$E155*N(O155)))</f>
        <v/>
      </c>
      <c r="AD155" s="34">
        <f>IF(OR($A155="",$H155&lt;&gt;"Ausgabe",P155=""),0,IF(P155="x",-$E155/(COUNTIF($J155:$Q155,"x")+1),-$E155*N(P155)))</f>
        <v/>
      </c>
      <c r="AE155" s="34">
        <f>IF(OR($A155="",$H155&lt;&gt;"Ausgabe",Q155=""),0,IF(Q155="x",-$E155/(COUNTIF($J155:$Q155,"x")+1),-$E155*N(Q155)))</f>
        <v/>
      </c>
    </row>
    <row r="156">
      <c r="A156" s="30" t="n"/>
      <c r="E156" s="31" t="n"/>
      <c r="J156" s="32" t="n"/>
      <c r="K156" s="32" t="n"/>
      <c r="L156" s="32" t="n"/>
      <c r="M156" s="32" t="n"/>
      <c r="N156" s="32" t="n"/>
      <c r="O156" s="32" t="n"/>
      <c r="P156" s="32" t="n"/>
      <c r="Q156" s="32" t="n"/>
      <c r="U156" s="31">
        <f>IF($A156="","",SUM(X156:AE156))</f>
        <v/>
      </c>
      <c r="V156" s="31">
        <f>IF($A156="","",IF($H156&lt;&gt;"Ausgabe",0,-$E156-$U156))</f>
        <v/>
      </c>
      <c r="W156" s="33">
        <f>IF($A156="","",DATE(YEAR($A156),MONTH($A156),1))</f>
        <v/>
      </c>
      <c r="X156" s="34">
        <f>IF(OR($A156="",$H156&lt;&gt;"Ausgabe",J156=""),0,IF(J156="x",-$E156/(COUNTIF($J156:$Q156,"x")+1),-$E156*N(J156)))</f>
        <v/>
      </c>
      <c r="Y156" s="34">
        <f>IF(OR($A156="",$H156&lt;&gt;"Ausgabe",K156=""),0,IF(K156="x",-$E156/(COUNTIF($J156:$Q156,"x")+1),-$E156*N(K156)))</f>
        <v/>
      </c>
      <c r="Z156" s="34">
        <f>IF(OR($A156="",$H156&lt;&gt;"Ausgabe",L156=""),0,IF(L156="x",-$E156/(COUNTIF($J156:$Q156,"x")+1),-$E156*N(L156)))</f>
        <v/>
      </c>
      <c r="AA156" s="34">
        <f>IF(OR($A156="",$H156&lt;&gt;"Ausgabe",M156=""),0,IF(M156="x",-$E156/(COUNTIF($J156:$Q156,"x")+1),-$E156*N(M156)))</f>
        <v/>
      </c>
      <c r="AB156" s="34">
        <f>IF(OR($A156="",$H156&lt;&gt;"Ausgabe",N156=""),0,IF(N156="x",-$E156/(COUNTIF($J156:$Q156,"x")+1),-$E156*N(N156)))</f>
        <v/>
      </c>
      <c r="AC156" s="34">
        <f>IF(OR($A156="",$H156&lt;&gt;"Ausgabe",O156=""),0,IF(O156="x",-$E156/(COUNTIF($J156:$Q156,"x")+1),-$E156*N(O156)))</f>
        <v/>
      </c>
      <c r="AD156" s="34">
        <f>IF(OR($A156="",$H156&lt;&gt;"Ausgabe",P156=""),0,IF(P156="x",-$E156/(COUNTIF($J156:$Q156,"x")+1),-$E156*N(P156)))</f>
        <v/>
      </c>
      <c r="AE156" s="34">
        <f>IF(OR($A156="",$H156&lt;&gt;"Ausgabe",Q156=""),0,IF(Q156="x",-$E156/(COUNTIF($J156:$Q156,"x")+1),-$E156*N(Q156)))</f>
        <v/>
      </c>
    </row>
    <row r="157">
      <c r="A157" s="30" t="n"/>
      <c r="E157" s="31" t="n"/>
      <c r="J157" s="32" t="n"/>
      <c r="K157" s="32" t="n"/>
      <c r="L157" s="32" t="n"/>
      <c r="M157" s="32" t="n"/>
      <c r="N157" s="32" t="n"/>
      <c r="O157" s="32" t="n"/>
      <c r="P157" s="32" t="n"/>
      <c r="Q157" s="32" t="n"/>
      <c r="U157" s="31">
        <f>IF($A157="","",SUM(X157:AE157))</f>
        <v/>
      </c>
      <c r="V157" s="31">
        <f>IF($A157="","",IF($H157&lt;&gt;"Ausgabe",0,-$E157-$U157))</f>
        <v/>
      </c>
      <c r="W157" s="33">
        <f>IF($A157="","",DATE(YEAR($A157),MONTH($A157),1))</f>
        <v/>
      </c>
      <c r="X157" s="34">
        <f>IF(OR($A157="",$H157&lt;&gt;"Ausgabe",J157=""),0,IF(J157="x",-$E157/(COUNTIF($J157:$Q157,"x")+1),-$E157*N(J157)))</f>
        <v/>
      </c>
      <c r="Y157" s="34">
        <f>IF(OR($A157="",$H157&lt;&gt;"Ausgabe",K157=""),0,IF(K157="x",-$E157/(COUNTIF($J157:$Q157,"x")+1),-$E157*N(K157)))</f>
        <v/>
      </c>
      <c r="Z157" s="34">
        <f>IF(OR($A157="",$H157&lt;&gt;"Ausgabe",L157=""),0,IF(L157="x",-$E157/(COUNTIF($J157:$Q157,"x")+1),-$E157*N(L157)))</f>
        <v/>
      </c>
      <c r="AA157" s="34">
        <f>IF(OR($A157="",$H157&lt;&gt;"Ausgabe",M157=""),0,IF(M157="x",-$E157/(COUNTIF($J157:$Q157,"x")+1),-$E157*N(M157)))</f>
        <v/>
      </c>
      <c r="AB157" s="34">
        <f>IF(OR($A157="",$H157&lt;&gt;"Ausgabe",N157=""),0,IF(N157="x",-$E157/(COUNTIF($J157:$Q157,"x")+1),-$E157*N(N157)))</f>
        <v/>
      </c>
      <c r="AC157" s="34">
        <f>IF(OR($A157="",$H157&lt;&gt;"Ausgabe",O157=""),0,IF(O157="x",-$E157/(COUNTIF($J157:$Q157,"x")+1),-$E157*N(O157)))</f>
        <v/>
      </c>
      <c r="AD157" s="34">
        <f>IF(OR($A157="",$H157&lt;&gt;"Ausgabe",P157=""),0,IF(P157="x",-$E157/(COUNTIF($J157:$Q157,"x")+1),-$E157*N(P157)))</f>
        <v/>
      </c>
      <c r="AE157" s="34">
        <f>IF(OR($A157="",$H157&lt;&gt;"Ausgabe",Q157=""),0,IF(Q157="x",-$E157/(COUNTIF($J157:$Q157,"x")+1),-$E157*N(Q157)))</f>
        <v/>
      </c>
    </row>
    <row r="158">
      <c r="A158" s="30" t="n"/>
      <c r="E158" s="31" t="n"/>
      <c r="J158" s="32" t="n"/>
      <c r="K158" s="32" t="n"/>
      <c r="L158" s="32" t="n"/>
      <c r="M158" s="32" t="n"/>
      <c r="N158" s="32" t="n"/>
      <c r="O158" s="32" t="n"/>
      <c r="P158" s="32" t="n"/>
      <c r="Q158" s="32" t="n"/>
      <c r="U158" s="31">
        <f>IF($A158="","",SUM(X158:AE158))</f>
        <v/>
      </c>
      <c r="V158" s="31">
        <f>IF($A158="","",IF($H158&lt;&gt;"Ausgabe",0,-$E158-$U158))</f>
        <v/>
      </c>
      <c r="W158" s="33">
        <f>IF($A158="","",DATE(YEAR($A158),MONTH($A158),1))</f>
        <v/>
      </c>
      <c r="X158" s="34">
        <f>IF(OR($A158="",$H158&lt;&gt;"Ausgabe",J158=""),0,IF(J158="x",-$E158/(COUNTIF($J158:$Q158,"x")+1),-$E158*N(J158)))</f>
        <v/>
      </c>
      <c r="Y158" s="34">
        <f>IF(OR($A158="",$H158&lt;&gt;"Ausgabe",K158=""),0,IF(K158="x",-$E158/(COUNTIF($J158:$Q158,"x")+1),-$E158*N(K158)))</f>
        <v/>
      </c>
      <c r="Z158" s="34">
        <f>IF(OR($A158="",$H158&lt;&gt;"Ausgabe",L158=""),0,IF(L158="x",-$E158/(COUNTIF($J158:$Q158,"x")+1),-$E158*N(L158)))</f>
        <v/>
      </c>
      <c r="AA158" s="34">
        <f>IF(OR($A158="",$H158&lt;&gt;"Ausgabe",M158=""),0,IF(M158="x",-$E158/(COUNTIF($J158:$Q158,"x")+1),-$E158*N(M158)))</f>
        <v/>
      </c>
      <c r="AB158" s="34">
        <f>IF(OR($A158="",$H158&lt;&gt;"Ausgabe",N158=""),0,IF(N158="x",-$E158/(COUNTIF($J158:$Q158,"x")+1),-$E158*N(N158)))</f>
        <v/>
      </c>
      <c r="AC158" s="34">
        <f>IF(OR($A158="",$H158&lt;&gt;"Ausgabe",O158=""),0,IF(O158="x",-$E158/(COUNTIF($J158:$Q158,"x")+1),-$E158*N(O158)))</f>
        <v/>
      </c>
      <c r="AD158" s="34">
        <f>IF(OR($A158="",$H158&lt;&gt;"Ausgabe",P158=""),0,IF(P158="x",-$E158/(COUNTIF($J158:$Q158,"x")+1),-$E158*N(P158)))</f>
        <v/>
      </c>
      <c r="AE158" s="34">
        <f>IF(OR($A158="",$H158&lt;&gt;"Ausgabe",Q158=""),0,IF(Q158="x",-$E158/(COUNTIF($J158:$Q158,"x")+1),-$E158*N(Q158)))</f>
        <v/>
      </c>
    </row>
    <row r="159">
      <c r="A159" s="30" t="n"/>
      <c r="E159" s="31" t="n"/>
      <c r="J159" s="32" t="n"/>
      <c r="K159" s="32" t="n"/>
      <c r="L159" s="32" t="n"/>
      <c r="M159" s="32" t="n"/>
      <c r="N159" s="32" t="n"/>
      <c r="O159" s="32" t="n"/>
      <c r="P159" s="32" t="n"/>
      <c r="Q159" s="32" t="n"/>
      <c r="U159" s="31">
        <f>IF($A159="","",SUM(X159:AE159))</f>
        <v/>
      </c>
      <c r="V159" s="31">
        <f>IF($A159="","",IF($H159&lt;&gt;"Ausgabe",0,-$E159-$U159))</f>
        <v/>
      </c>
      <c r="W159" s="33">
        <f>IF($A159="","",DATE(YEAR($A159),MONTH($A159),1))</f>
        <v/>
      </c>
      <c r="X159" s="34">
        <f>IF(OR($A159="",$H159&lt;&gt;"Ausgabe",J159=""),0,IF(J159="x",-$E159/(COUNTIF($J159:$Q159,"x")+1),-$E159*N(J159)))</f>
        <v/>
      </c>
      <c r="Y159" s="34">
        <f>IF(OR($A159="",$H159&lt;&gt;"Ausgabe",K159=""),0,IF(K159="x",-$E159/(COUNTIF($J159:$Q159,"x")+1),-$E159*N(K159)))</f>
        <v/>
      </c>
      <c r="Z159" s="34">
        <f>IF(OR($A159="",$H159&lt;&gt;"Ausgabe",L159=""),0,IF(L159="x",-$E159/(COUNTIF($J159:$Q159,"x")+1),-$E159*N(L159)))</f>
        <v/>
      </c>
      <c r="AA159" s="34">
        <f>IF(OR($A159="",$H159&lt;&gt;"Ausgabe",M159=""),0,IF(M159="x",-$E159/(COUNTIF($J159:$Q159,"x")+1),-$E159*N(M159)))</f>
        <v/>
      </c>
      <c r="AB159" s="34">
        <f>IF(OR($A159="",$H159&lt;&gt;"Ausgabe",N159=""),0,IF(N159="x",-$E159/(COUNTIF($J159:$Q159,"x")+1),-$E159*N(N159)))</f>
        <v/>
      </c>
      <c r="AC159" s="34">
        <f>IF(OR($A159="",$H159&lt;&gt;"Ausgabe",O159=""),0,IF(O159="x",-$E159/(COUNTIF($J159:$Q159,"x")+1),-$E159*N(O159)))</f>
        <v/>
      </c>
      <c r="AD159" s="34">
        <f>IF(OR($A159="",$H159&lt;&gt;"Ausgabe",P159=""),0,IF(P159="x",-$E159/(COUNTIF($J159:$Q159,"x")+1),-$E159*N(P159)))</f>
        <v/>
      </c>
      <c r="AE159" s="34">
        <f>IF(OR($A159="",$H159&lt;&gt;"Ausgabe",Q159=""),0,IF(Q159="x",-$E159/(COUNTIF($J159:$Q159,"x")+1),-$E159*N(Q159)))</f>
        <v/>
      </c>
    </row>
    <row r="160">
      <c r="A160" s="30" t="n"/>
      <c r="E160" s="31" t="n"/>
      <c r="J160" s="32" t="n"/>
      <c r="K160" s="32" t="n"/>
      <c r="L160" s="32" t="n"/>
      <c r="M160" s="32" t="n"/>
      <c r="N160" s="32" t="n"/>
      <c r="O160" s="32" t="n"/>
      <c r="P160" s="32" t="n"/>
      <c r="Q160" s="32" t="n"/>
      <c r="U160" s="31">
        <f>IF($A160="","",SUM(X160:AE160))</f>
        <v/>
      </c>
      <c r="V160" s="31">
        <f>IF($A160="","",IF($H160&lt;&gt;"Ausgabe",0,-$E160-$U160))</f>
        <v/>
      </c>
      <c r="W160" s="33">
        <f>IF($A160="","",DATE(YEAR($A160),MONTH($A160),1))</f>
        <v/>
      </c>
      <c r="X160" s="34">
        <f>IF(OR($A160="",$H160&lt;&gt;"Ausgabe",J160=""),0,IF(J160="x",-$E160/(COUNTIF($J160:$Q160,"x")+1),-$E160*N(J160)))</f>
        <v/>
      </c>
      <c r="Y160" s="34">
        <f>IF(OR($A160="",$H160&lt;&gt;"Ausgabe",K160=""),0,IF(K160="x",-$E160/(COUNTIF($J160:$Q160,"x")+1),-$E160*N(K160)))</f>
        <v/>
      </c>
      <c r="Z160" s="34">
        <f>IF(OR($A160="",$H160&lt;&gt;"Ausgabe",L160=""),0,IF(L160="x",-$E160/(COUNTIF($J160:$Q160,"x")+1),-$E160*N(L160)))</f>
        <v/>
      </c>
      <c r="AA160" s="34">
        <f>IF(OR($A160="",$H160&lt;&gt;"Ausgabe",M160=""),0,IF(M160="x",-$E160/(COUNTIF($J160:$Q160,"x")+1),-$E160*N(M160)))</f>
        <v/>
      </c>
      <c r="AB160" s="34">
        <f>IF(OR($A160="",$H160&lt;&gt;"Ausgabe",N160=""),0,IF(N160="x",-$E160/(COUNTIF($J160:$Q160,"x")+1),-$E160*N(N160)))</f>
        <v/>
      </c>
      <c r="AC160" s="34">
        <f>IF(OR($A160="",$H160&lt;&gt;"Ausgabe",O160=""),0,IF(O160="x",-$E160/(COUNTIF($J160:$Q160,"x")+1),-$E160*N(O160)))</f>
        <v/>
      </c>
      <c r="AD160" s="34">
        <f>IF(OR($A160="",$H160&lt;&gt;"Ausgabe",P160=""),0,IF(P160="x",-$E160/(COUNTIF($J160:$Q160,"x")+1),-$E160*N(P160)))</f>
        <v/>
      </c>
      <c r="AE160" s="34">
        <f>IF(OR($A160="",$H160&lt;&gt;"Ausgabe",Q160=""),0,IF(Q160="x",-$E160/(COUNTIF($J160:$Q160,"x")+1),-$E160*N(Q160)))</f>
        <v/>
      </c>
    </row>
    <row r="161">
      <c r="A161" s="30" t="n"/>
      <c r="E161" s="31" t="n"/>
      <c r="J161" s="32" t="n"/>
      <c r="K161" s="32" t="n"/>
      <c r="L161" s="32" t="n"/>
      <c r="M161" s="32" t="n"/>
      <c r="N161" s="32" t="n"/>
      <c r="O161" s="32" t="n"/>
      <c r="P161" s="32" t="n"/>
      <c r="Q161" s="32" t="n"/>
      <c r="U161" s="31">
        <f>IF($A161="","",SUM(X161:AE161))</f>
        <v/>
      </c>
      <c r="V161" s="31">
        <f>IF($A161="","",IF($H161&lt;&gt;"Ausgabe",0,-$E161-$U161))</f>
        <v/>
      </c>
      <c r="W161" s="33">
        <f>IF($A161="","",DATE(YEAR($A161),MONTH($A161),1))</f>
        <v/>
      </c>
      <c r="X161" s="34">
        <f>IF(OR($A161="",$H161&lt;&gt;"Ausgabe",J161=""),0,IF(J161="x",-$E161/(COUNTIF($J161:$Q161,"x")+1),-$E161*N(J161)))</f>
        <v/>
      </c>
      <c r="Y161" s="34">
        <f>IF(OR($A161="",$H161&lt;&gt;"Ausgabe",K161=""),0,IF(K161="x",-$E161/(COUNTIF($J161:$Q161,"x")+1),-$E161*N(K161)))</f>
        <v/>
      </c>
      <c r="Z161" s="34">
        <f>IF(OR($A161="",$H161&lt;&gt;"Ausgabe",L161=""),0,IF(L161="x",-$E161/(COUNTIF($J161:$Q161,"x")+1),-$E161*N(L161)))</f>
        <v/>
      </c>
      <c r="AA161" s="34">
        <f>IF(OR($A161="",$H161&lt;&gt;"Ausgabe",M161=""),0,IF(M161="x",-$E161/(COUNTIF($J161:$Q161,"x")+1),-$E161*N(M161)))</f>
        <v/>
      </c>
      <c r="AB161" s="34">
        <f>IF(OR($A161="",$H161&lt;&gt;"Ausgabe",N161=""),0,IF(N161="x",-$E161/(COUNTIF($J161:$Q161,"x")+1),-$E161*N(N161)))</f>
        <v/>
      </c>
      <c r="AC161" s="34">
        <f>IF(OR($A161="",$H161&lt;&gt;"Ausgabe",O161=""),0,IF(O161="x",-$E161/(COUNTIF($J161:$Q161,"x")+1),-$E161*N(O161)))</f>
        <v/>
      </c>
      <c r="AD161" s="34">
        <f>IF(OR($A161="",$H161&lt;&gt;"Ausgabe",P161=""),0,IF(P161="x",-$E161/(COUNTIF($J161:$Q161,"x")+1),-$E161*N(P161)))</f>
        <v/>
      </c>
      <c r="AE161" s="34">
        <f>IF(OR($A161="",$H161&lt;&gt;"Ausgabe",Q161=""),0,IF(Q161="x",-$E161/(COUNTIF($J161:$Q161,"x")+1),-$E161*N(Q161)))</f>
        <v/>
      </c>
    </row>
    <row r="162">
      <c r="A162" s="30" t="n"/>
      <c r="E162" s="31" t="n"/>
      <c r="J162" s="32" t="n"/>
      <c r="K162" s="32" t="n"/>
      <c r="L162" s="32" t="n"/>
      <c r="M162" s="32" t="n"/>
      <c r="N162" s="32" t="n"/>
      <c r="O162" s="32" t="n"/>
      <c r="P162" s="32" t="n"/>
      <c r="Q162" s="32" t="n"/>
      <c r="U162" s="31">
        <f>IF($A162="","",SUM(X162:AE162))</f>
        <v/>
      </c>
      <c r="V162" s="31">
        <f>IF($A162="","",IF($H162&lt;&gt;"Ausgabe",0,-$E162-$U162))</f>
        <v/>
      </c>
      <c r="W162" s="33">
        <f>IF($A162="","",DATE(YEAR($A162),MONTH($A162),1))</f>
        <v/>
      </c>
      <c r="X162" s="34">
        <f>IF(OR($A162="",$H162&lt;&gt;"Ausgabe",J162=""),0,IF(J162="x",-$E162/(COUNTIF($J162:$Q162,"x")+1),-$E162*N(J162)))</f>
        <v/>
      </c>
      <c r="Y162" s="34">
        <f>IF(OR($A162="",$H162&lt;&gt;"Ausgabe",K162=""),0,IF(K162="x",-$E162/(COUNTIF($J162:$Q162,"x")+1),-$E162*N(K162)))</f>
        <v/>
      </c>
      <c r="Z162" s="34">
        <f>IF(OR($A162="",$H162&lt;&gt;"Ausgabe",L162=""),0,IF(L162="x",-$E162/(COUNTIF($J162:$Q162,"x")+1),-$E162*N(L162)))</f>
        <v/>
      </c>
      <c r="AA162" s="34">
        <f>IF(OR($A162="",$H162&lt;&gt;"Ausgabe",M162=""),0,IF(M162="x",-$E162/(COUNTIF($J162:$Q162,"x")+1),-$E162*N(M162)))</f>
        <v/>
      </c>
      <c r="AB162" s="34">
        <f>IF(OR($A162="",$H162&lt;&gt;"Ausgabe",N162=""),0,IF(N162="x",-$E162/(COUNTIF($J162:$Q162,"x")+1),-$E162*N(N162)))</f>
        <v/>
      </c>
      <c r="AC162" s="34">
        <f>IF(OR($A162="",$H162&lt;&gt;"Ausgabe",O162=""),0,IF(O162="x",-$E162/(COUNTIF($J162:$Q162,"x")+1),-$E162*N(O162)))</f>
        <v/>
      </c>
      <c r="AD162" s="34">
        <f>IF(OR($A162="",$H162&lt;&gt;"Ausgabe",P162=""),0,IF(P162="x",-$E162/(COUNTIF($J162:$Q162,"x")+1),-$E162*N(P162)))</f>
        <v/>
      </c>
      <c r="AE162" s="34">
        <f>IF(OR($A162="",$H162&lt;&gt;"Ausgabe",Q162=""),0,IF(Q162="x",-$E162/(COUNTIF($J162:$Q162,"x")+1),-$E162*N(Q162)))</f>
        <v/>
      </c>
    </row>
    <row r="163">
      <c r="A163" s="30" t="n"/>
      <c r="E163" s="31" t="n"/>
      <c r="J163" s="32" t="n"/>
      <c r="K163" s="32" t="n"/>
      <c r="L163" s="32" t="n"/>
      <c r="M163" s="32" t="n"/>
      <c r="N163" s="32" t="n"/>
      <c r="O163" s="32" t="n"/>
      <c r="P163" s="32" t="n"/>
      <c r="Q163" s="32" t="n"/>
      <c r="U163" s="31">
        <f>IF($A163="","",SUM(X163:AE163))</f>
        <v/>
      </c>
      <c r="V163" s="31">
        <f>IF($A163="","",IF($H163&lt;&gt;"Ausgabe",0,-$E163-$U163))</f>
        <v/>
      </c>
      <c r="W163" s="33">
        <f>IF($A163="","",DATE(YEAR($A163),MONTH($A163),1))</f>
        <v/>
      </c>
      <c r="X163" s="34">
        <f>IF(OR($A163="",$H163&lt;&gt;"Ausgabe",J163=""),0,IF(J163="x",-$E163/(COUNTIF($J163:$Q163,"x")+1),-$E163*N(J163)))</f>
        <v/>
      </c>
      <c r="Y163" s="34">
        <f>IF(OR($A163="",$H163&lt;&gt;"Ausgabe",K163=""),0,IF(K163="x",-$E163/(COUNTIF($J163:$Q163,"x")+1),-$E163*N(K163)))</f>
        <v/>
      </c>
      <c r="Z163" s="34">
        <f>IF(OR($A163="",$H163&lt;&gt;"Ausgabe",L163=""),0,IF(L163="x",-$E163/(COUNTIF($J163:$Q163,"x")+1),-$E163*N(L163)))</f>
        <v/>
      </c>
      <c r="AA163" s="34">
        <f>IF(OR($A163="",$H163&lt;&gt;"Ausgabe",M163=""),0,IF(M163="x",-$E163/(COUNTIF($J163:$Q163,"x")+1),-$E163*N(M163)))</f>
        <v/>
      </c>
      <c r="AB163" s="34">
        <f>IF(OR($A163="",$H163&lt;&gt;"Ausgabe",N163=""),0,IF(N163="x",-$E163/(COUNTIF($J163:$Q163,"x")+1),-$E163*N(N163)))</f>
        <v/>
      </c>
      <c r="AC163" s="34">
        <f>IF(OR($A163="",$H163&lt;&gt;"Ausgabe",O163=""),0,IF(O163="x",-$E163/(COUNTIF($J163:$Q163,"x")+1),-$E163*N(O163)))</f>
        <v/>
      </c>
      <c r="AD163" s="34">
        <f>IF(OR($A163="",$H163&lt;&gt;"Ausgabe",P163=""),0,IF(P163="x",-$E163/(COUNTIF($J163:$Q163,"x")+1),-$E163*N(P163)))</f>
        <v/>
      </c>
      <c r="AE163" s="34">
        <f>IF(OR($A163="",$H163&lt;&gt;"Ausgabe",Q163=""),0,IF(Q163="x",-$E163/(COUNTIF($J163:$Q163,"x")+1),-$E163*N(Q163)))</f>
        <v/>
      </c>
    </row>
    <row r="164">
      <c r="A164" s="30" t="n"/>
      <c r="E164" s="31" t="n"/>
      <c r="J164" s="32" t="n"/>
      <c r="K164" s="32" t="n"/>
      <c r="L164" s="32" t="n"/>
      <c r="M164" s="32" t="n"/>
      <c r="N164" s="32" t="n"/>
      <c r="O164" s="32" t="n"/>
      <c r="P164" s="32" t="n"/>
      <c r="Q164" s="32" t="n"/>
      <c r="U164" s="31">
        <f>IF($A164="","",SUM(X164:AE164))</f>
        <v/>
      </c>
      <c r="V164" s="31">
        <f>IF($A164="","",IF($H164&lt;&gt;"Ausgabe",0,-$E164-$U164))</f>
        <v/>
      </c>
      <c r="W164" s="33">
        <f>IF($A164="","",DATE(YEAR($A164),MONTH($A164),1))</f>
        <v/>
      </c>
      <c r="X164" s="34">
        <f>IF(OR($A164="",$H164&lt;&gt;"Ausgabe",J164=""),0,IF(J164="x",-$E164/(COUNTIF($J164:$Q164,"x")+1),-$E164*N(J164)))</f>
        <v/>
      </c>
      <c r="Y164" s="34">
        <f>IF(OR($A164="",$H164&lt;&gt;"Ausgabe",K164=""),0,IF(K164="x",-$E164/(COUNTIF($J164:$Q164,"x")+1),-$E164*N(K164)))</f>
        <v/>
      </c>
      <c r="Z164" s="34">
        <f>IF(OR($A164="",$H164&lt;&gt;"Ausgabe",L164=""),0,IF(L164="x",-$E164/(COUNTIF($J164:$Q164,"x")+1),-$E164*N(L164)))</f>
        <v/>
      </c>
      <c r="AA164" s="34">
        <f>IF(OR($A164="",$H164&lt;&gt;"Ausgabe",M164=""),0,IF(M164="x",-$E164/(COUNTIF($J164:$Q164,"x")+1),-$E164*N(M164)))</f>
        <v/>
      </c>
      <c r="AB164" s="34">
        <f>IF(OR($A164="",$H164&lt;&gt;"Ausgabe",N164=""),0,IF(N164="x",-$E164/(COUNTIF($J164:$Q164,"x")+1),-$E164*N(N164)))</f>
        <v/>
      </c>
      <c r="AC164" s="34">
        <f>IF(OR($A164="",$H164&lt;&gt;"Ausgabe",O164=""),0,IF(O164="x",-$E164/(COUNTIF($J164:$Q164,"x")+1),-$E164*N(O164)))</f>
        <v/>
      </c>
      <c r="AD164" s="34">
        <f>IF(OR($A164="",$H164&lt;&gt;"Ausgabe",P164=""),0,IF(P164="x",-$E164/(COUNTIF($J164:$Q164,"x")+1),-$E164*N(P164)))</f>
        <v/>
      </c>
      <c r="AE164" s="34">
        <f>IF(OR($A164="",$H164&lt;&gt;"Ausgabe",Q164=""),0,IF(Q164="x",-$E164/(COUNTIF($J164:$Q164,"x")+1),-$E164*N(Q164)))</f>
        <v/>
      </c>
    </row>
    <row r="165">
      <c r="A165" s="30" t="n"/>
      <c r="E165" s="31" t="n"/>
      <c r="J165" s="32" t="n"/>
      <c r="K165" s="32" t="n"/>
      <c r="L165" s="32" t="n"/>
      <c r="M165" s="32" t="n"/>
      <c r="N165" s="32" t="n"/>
      <c r="O165" s="32" t="n"/>
      <c r="P165" s="32" t="n"/>
      <c r="Q165" s="32" t="n"/>
      <c r="U165" s="31">
        <f>IF($A165="","",SUM(X165:AE165))</f>
        <v/>
      </c>
      <c r="V165" s="31">
        <f>IF($A165="","",IF($H165&lt;&gt;"Ausgabe",0,-$E165-$U165))</f>
        <v/>
      </c>
      <c r="W165" s="33">
        <f>IF($A165="","",DATE(YEAR($A165),MONTH($A165),1))</f>
        <v/>
      </c>
      <c r="X165" s="34">
        <f>IF(OR($A165="",$H165&lt;&gt;"Ausgabe",J165=""),0,IF(J165="x",-$E165/(COUNTIF($J165:$Q165,"x")+1),-$E165*N(J165)))</f>
        <v/>
      </c>
      <c r="Y165" s="34">
        <f>IF(OR($A165="",$H165&lt;&gt;"Ausgabe",K165=""),0,IF(K165="x",-$E165/(COUNTIF($J165:$Q165,"x")+1),-$E165*N(K165)))</f>
        <v/>
      </c>
      <c r="Z165" s="34">
        <f>IF(OR($A165="",$H165&lt;&gt;"Ausgabe",L165=""),0,IF(L165="x",-$E165/(COUNTIF($J165:$Q165,"x")+1),-$E165*N(L165)))</f>
        <v/>
      </c>
      <c r="AA165" s="34">
        <f>IF(OR($A165="",$H165&lt;&gt;"Ausgabe",M165=""),0,IF(M165="x",-$E165/(COUNTIF($J165:$Q165,"x")+1),-$E165*N(M165)))</f>
        <v/>
      </c>
      <c r="AB165" s="34">
        <f>IF(OR($A165="",$H165&lt;&gt;"Ausgabe",N165=""),0,IF(N165="x",-$E165/(COUNTIF($J165:$Q165,"x")+1),-$E165*N(N165)))</f>
        <v/>
      </c>
      <c r="AC165" s="34">
        <f>IF(OR($A165="",$H165&lt;&gt;"Ausgabe",O165=""),0,IF(O165="x",-$E165/(COUNTIF($J165:$Q165,"x")+1),-$E165*N(O165)))</f>
        <v/>
      </c>
      <c r="AD165" s="34">
        <f>IF(OR($A165="",$H165&lt;&gt;"Ausgabe",P165=""),0,IF(P165="x",-$E165/(COUNTIF($J165:$Q165,"x")+1),-$E165*N(P165)))</f>
        <v/>
      </c>
      <c r="AE165" s="34">
        <f>IF(OR($A165="",$H165&lt;&gt;"Ausgabe",Q165=""),0,IF(Q165="x",-$E165/(COUNTIF($J165:$Q165,"x")+1),-$E165*N(Q165)))</f>
        <v/>
      </c>
    </row>
    <row r="166">
      <c r="A166" s="30" t="n"/>
      <c r="E166" s="31" t="n"/>
      <c r="J166" s="32" t="n"/>
      <c r="K166" s="32" t="n"/>
      <c r="L166" s="32" t="n"/>
      <c r="M166" s="32" t="n"/>
      <c r="N166" s="32" t="n"/>
      <c r="O166" s="32" t="n"/>
      <c r="P166" s="32" t="n"/>
      <c r="Q166" s="32" t="n"/>
      <c r="U166" s="31">
        <f>IF($A166="","",SUM(X166:AE166))</f>
        <v/>
      </c>
      <c r="V166" s="31">
        <f>IF($A166="","",IF($H166&lt;&gt;"Ausgabe",0,-$E166-$U166))</f>
        <v/>
      </c>
      <c r="W166" s="33">
        <f>IF($A166="","",DATE(YEAR($A166),MONTH($A166),1))</f>
        <v/>
      </c>
      <c r="X166" s="34">
        <f>IF(OR($A166="",$H166&lt;&gt;"Ausgabe",J166=""),0,IF(J166="x",-$E166/(COUNTIF($J166:$Q166,"x")+1),-$E166*N(J166)))</f>
        <v/>
      </c>
      <c r="Y166" s="34">
        <f>IF(OR($A166="",$H166&lt;&gt;"Ausgabe",K166=""),0,IF(K166="x",-$E166/(COUNTIF($J166:$Q166,"x")+1),-$E166*N(K166)))</f>
        <v/>
      </c>
      <c r="Z166" s="34">
        <f>IF(OR($A166="",$H166&lt;&gt;"Ausgabe",L166=""),0,IF(L166="x",-$E166/(COUNTIF($J166:$Q166,"x")+1),-$E166*N(L166)))</f>
        <v/>
      </c>
      <c r="AA166" s="34">
        <f>IF(OR($A166="",$H166&lt;&gt;"Ausgabe",M166=""),0,IF(M166="x",-$E166/(COUNTIF($J166:$Q166,"x")+1),-$E166*N(M166)))</f>
        <v/>
      </c>
      <c r="AB166" s="34">
        <f>IF(OR($A166="",$H166&lt;&gt;"Ausgabe",N166=""),0,IF(N166="x",-$E166/(COUNTIF($J166:$Q166,"x")+1),-$E166*N(N166)))</f>
        <v/>
      </c>
      <c r="AC166" s="34">
        <f>IF(OR($A166="",$H166&lt;&gt;"Ausgabe",O166=""),0,IF(O166="x",-$E166/(COUNTIF($J166:$Q166,"x")+1),-$E166*N(O166)))</f>
        <v/>
      </c>
      <c r="AD166" s="34">
        <f>IF(OR($A166="",$H166&lt;&gt;"Ausgabe",P166=""),0,IF(P166="x",-$E166/(COUNTIF($J166:$Q166,"x")+1),-$E166*N(P166)))</f>
        <v/>
      </c>
      <c r="AE166" s="34">
        <f>IF(OR($A166="",$H166&lt;&gt;"Ausgabe",Q166=""),0,IF(Q166="x",-$E166/(COUNTIF($J166:$Q166,"x")+1),-$E166*N(Q166)))</f>
        <v/>
      </c>
    </row>
    <row r="167">
      <c r="A167" s="30" t="n"/>
      <c r="E167" s="31" t="n"/>
      <c r="J167" s="32" t="n"/>
      <c r="K167" s="32" t="n"/>
      <c r="L167" s="32" t="n"/>
      <c r="M167" s="32" t="n"/>
      <c r="N167" s="32" t="n"/>
      <c r="O167" s="32" t="n"/>
      <c r="P167" s="32" t="n"/>
      <c r="Q167" s="32" t="n"/>
      <c r="U167" s="31">
        <f>IF($A167="","",SUM(X167:AE167))</f>
        <v/>
      </c>
      <c r="V167" s="31">
        <f>IF($A167="","",IF($H167&lt;&gt;"Ausgabe",0,-$E167-$U167))</f>
        <v/>
      </c>
      <c r="W167" s="33">
        <f>IF($A167="","",DATE(YEAR($A167),MONTH($A167),1))</f>
        <v/>
      </c>
      <c r="X167" s="34">
        <f>IF(OR($A167="",$H167&lt;&gt;"Ausgabe",J167=""),0,IF(J167="x",-$E167/(COUNTIF($J167:$Q167,"x")+1),-$E167*N(J167)))</f>
        <v/>
      </c>
      <c r="Y167" s="34">
        <f>IF(OR($A167="",$H167&lt;&gt;"Ausgabe",K167=""),0,IF(K167="x",-$E167/(COUNTIF($J167:$Q167,"x")+1),-$E167*N(K167)))</f>
        <v/>
      </c>
      <c r="Z167" s="34">
        <f>IF(OR($A167="",$H167&lt;&gt;"Ausgabe",L167=""),0,IF(L167="x",-$E167/(COUNTIF($J167:$Q167,"x")+1),-$E167*N(L167)))</f>
        <v/>
      </c>
      <c r="AA167" s="34">
        <f>IF(OR($A167="",$H167&lt;&gt;"Ausgabe",M167=""),0,IF(M167="x",-$E167/(COUNTIF($J167:$Q167,"x")+1),-$E167*N(M167)))</f>
        <v/>
      </c>
      <c r="AB167" s="34">
        <f>IF(OR($A167="",$H167&lt;&gt;"Ausgabe",N167=""),0,IF(N167="x",-$E167/(COUNTIF($J167:$Q167,"x")+1),-$E167*N(N167)))</f>
        <v/>
      </c>
      <c r="AC167" s="34">
        <f>IF(OR($A167="",$H167&lt;&gt;"Ausgabe",O167=""),0,IF(O167="x",-$E167/(COUNTIF($J167:$Q167,"x")+1),-$E167*N(O167)))</f>
        <v/>
      </c>
      <c r="AD167" s="34">
        <f>IF(OR($A167="",$H167&lt;&gt;"Ausgabe",P167=""),0,IF(P167="x",-$E167/(COUNTIF($J167:$Q167,"x")+1),-$E167*N(P167)))</f>
        <v/>
      </c>
      <c r="AE167" s="34">
        <f>IF(OR($A167="",$H167&lt;&gt;"Ausgabe",Q167=""),0,IF(Q167="x",-$E167/(COUNTIF($J167:$Q167,"x")+1),-$E167*N(Q167)))</f>
        <v/>
      </c>
    </row>
    <row r="168">
      <c r="A168" s="30" t="n"/>
      <c r="E168" s="31" t="n"/>
      <c r="J168" s="32" t="n"/>
      <c r="K168" s="32" t="n"/>
      <c r="L168" s="32" t="n"/>
      <c r="M168" s="32" t="n"/>
      <c r="N168" s="32" t="n"/>
      <c r="O168" s="32" t="n"/>
      <c r="P168" s="32" t="n"/>
      <c r="Q168" s="32" t="n"/>
      <c r="U168" s="31">
        <f>IF($A168="","",SUM(X168:AE168))</f>
        <v/>
      </c>
      <c r="V168" s="31">
        <f>IF($A168="","",IF($H168&lt;&gt;"Ausgabe",0,-$E168-$U168))</f>
        <v/>
      </c>
      <c r="W168" s="33">
        <f>IF($A168="","",DATE(YEAR($A168),MONTH($A168),1))</f>
        <v/>
      </c>
      <c r="X168" s="34">
        <f>IF(OR($A168="",$H168&lt;&gt;"Ausgabe",J168=""),0,IF(J168="x",-$E168/(COUNTIF($J168:$Q168,"x")+1),-$E168*N(J168)))</f>
        <v/>
      </c>
      <c r="Y168" s="34">
        <f>IF(OR($A168="",$H168&lt;&gt;"Ausgabe",K168=""),0,IF(K168="x",-$E168/(COUNTIF($J168:$Q168,"x")+1),-$E168*N(K168)))</f>
        <v/>
      </c>
      <c r="Z168" s="34">
        <f>IF(OR($A168="",$H168&lt;&gt;"Ausgabe",L168=""),0,IF(L168="x",-$E168/(COUNTIF($J168:$Q168,"x")+1),-$E168*N(L168)))</f>
        <v/>
      </c>
      <c r="AA168" s="34">
        <f>IF(OR($A168="",$H168&lt;&gt;"Ausgabe",M168=""),0,IF(M168="x",-$E168/(COUNTIF($J168:$Q168,"x")+1),-$E168*N(M168)))</f>
        <v/>
      </c>
      <c r="AB168" s="34">
        <f>IF(OR($A168="",$H168&lt;&gt;"Ausgabe",N168=""),0,IF(N168="x",-$E168/(COUNTIF($J168:$Q168,"x")+1),-$E168*N(N168)))</f>
        <v/>
      </c>
      <c r="AC168" s="34">
        <f>IF(OR($A168="",$H168&lt;&gt;"Ausgabe",O168=""),0,IF(O168="x",-$E168/(COUNTIF($J168:$Q168,"x")+1),-$E168*N(O168)))</f>
        <v/>
      </c>
      <c r="AD168" s="34">
        <f>IF(OR($A168="",$H168&lt;&gt;"Ausgabe",P168=""),0,IF(P168="x",-$E168/(COUNTIF($J168:$Q168,"x")+1),-$E168*N(P168)))</f>
        <v/>
      </c>
      <c r="AE168" s="34">
        <f>IF(OR($A168="",$H168&lt;&gt;"Ausgabe",Q168=""),0,IF(Q168="x",-$E168/(COUNTIF($J168:$Q168,"x")+1),-$E168*N(Q168)))</f>
        <v/>
      </c>
    </row>
    <row r="169">
      <c r="A169" s="30" t="n"/>
      <c r="E169" s="31" t="n"/>
      <c r="J169" s="32" t="n"/>
      <c r="K169" s="32" t="n"/>
      <c r="L169" s="32" t="n"/>
      <c r="M169" s="32" t="n"/>
      <c r="N169" s="32" t="n"/>
      <c r="O169" s="32" t="n"/>
      <c r="P169" s="32" t="n"/>
      <c r="Q169" s="32" t="n"/>
      <c r="U169" s="31">
        <f>IF($A169="","",SUM(X169:AE169))</f>
        <v/>
      </c>
      <c r="V169" s="31">
        <f>IF($A169="","",IF($H169&lt;&gt;"Ausgabe",0,-$E169-$U169))</f>
        <v/>
      </c>
      <c r="W169" s="33">
        <f>IF($A169="","",DATE(YEAR($A169),MONTH($A169),1))</f>
        <v/>
      </c>
      <c r="X169" s="34">
        <f>IF(OR($A169="",$H169&lt;&gt;"Ausgabe",J169=""),0,IF(J169="x",-$E169/(COUNTIF($J169:$Q169,"x")+1),-$E169*N(J169)))</f>
        <v/>
      </c>
      <c r="Y169" s="34">
        <f>IF(OR($A169="",$H169&lt;&gt;"Ausgabe",K169=""),0,IF(K169="x",-$E169/(COUNTIF($J169:$Q169,"x")+1),-$E169*N(K169)))</f>
        <v/>
      </c>
      <c r="Z169" s="34">
        <f>IF(OR($A169="",$H169&lt;&gt;"Ausgabe",L169=""),0,IF(L169="x",-$E169/(COUNTIF($J169:$Q169,"x")+1),-$E169*N(L169)))</f>
        <v/>
      </c>
      <c r="AA169" s="34">
        <f>IF(OR($A169="",$H169&lt;&gt;"Ausgabe",M169=""),0,IF(M169="x",-$E169/(COUNTIF($J169:$Q169,"x")+1),-$E169*N(M169)))</f>
        <v/>
      </c>
      <c r="AB169" s="34">
        <f>IF(OR($A169="",$H169&lt;&gt;"Ausgabe",N169=""),0,IF(N169="x",-$E169/(COUNTIF($J169:$Q169,"x")+1),-$E169*N(N169)))</f>
        <v/>
      </c>
      <c r="AC169" s="34">
        <f>IF(OR($A169="",$H169&lt;&gt;"Ausgabe",O169=""),0,IF(O169="x",-$E169/(COUNTIF($J169:$Q169,"x")+1),-$E169*N(O169)))</f>
        <v/>
      </c>
      <c r="AD169" s="34">
        <f>IF(OR($A169="",$H169&lt;&gt;"Ausgabe",P169=""),0,IF(P169="x",-$E169/(COUNTIF($J169:$Q169,"x")+1),-$E169*N(P169)))</f>
        <v/>
      </c>
      <c r="AE169" s="34">
        <f>IF(OR($A169="",$H169&lt;&gt;"Ausgabe",Q169=""),0,IF(Q169="x",-$E169/(COUNTIF($J169:$Q169,"x")+1),-$E169*N(Q169)))</f>
        <v/>
      </c>
    </row>
    <row r="170">
      <c r="A170" s="30" t="n"/>
      <c r="E170" s="31" t="n"/>
      <c r="J170" s="32" t="n"/>
      <c r="K170" s="32" t="n"/>
      <c r="L170" s="32" t="n"/>
      <c r="M170" s="32" t="n"/>
      <c r="N170" s="32" t="n"/>
      <c r="O170" s="32" t="n"/>
      <c r="P170" s="32" t="n"/>
      <c r="Q170" s="32" t="n"/>
      <c r="U170" s="31">
        <f>IF($A170="","",SUM(X170:AE170))</f>
        <v/>
      </c>
      <c r="V170" s="31">
        <f>IF($A170="","",IF($H170&lt;&gt;"Ausgabe",0,-$E170-$U170))</f>
        <v/>
      </c>
      <c r="W170" s="33">
        <f>IF($A170="","",DATE(YEAR($A170),MONTH($A170),1))</f>
        <v/>
      </c>
      <c r="X170" s="34">
        <f>IF(OR($A170="",$H170&lt;&gt;"Ausgabe",J170=""),0,IF(J170="x",-$E170/(COUNTIF($J170:$Q170,"x")+1),-$E170*N(J170)))</f>
        <v/>
      </c>
      <c r="Y170" s="34">
        <f>IF(OR($A170="",$H170&lt;&gt;"Ausgabe",K170=""),0,IF(K170="x",-$E170/(COUNTIF($J170:$Q170,"x")+1),-$E170*N(K170)))</f>
        <v/>
      </c>
      <c r="Z170" s="34">
        <f>IF(OR($A170="",$H170&lt;&gt;"Ausgabe",L170=""),0,IF(L170="x",-$E170/(COUNTIF($J170:$Q170,"x")+1),-$E170*N(L170)))</f>
        <v/>
      </c>
      <c r="AA170" s="34">
        <f>IF(OR($A170="",$H170&lt;&gt;"Ausgabe",M170=""),0,IF(M170="x",-$E170/(COUNTIF($J170:$Q170,"x")+1),-$E170*N(M170)))</f>
        <v/>
      </c>
      <c r="AB170" s="34">
        <f>IF(OR($A170="",$H170&lt;&gt;"Ausgabe",N170=""),0,IF(N170="x",-$E170/(COUNTIF($J170:$Q170,"x")+1),-$E170*N(N170)))</f>
        <v/>
      </c>
      <c r="AC170" s="34">
        <f>IF(OR($A170="",$H170&lt;&gt;"Ausgabe",O170=""),0,IF(O170="x",-$E170/(COUNTIF($J170:$Q170,"x")+1),-$E170*N(O170)))</f>
        <v/>
      </c>
      <c r="AD170" s="34">
        <f>IF(OR($A170="",$H170&lt;&gt;"Ausgabe",P170=""),0,IF(P170="x",-$E170/(COUNTIF($J170:$Q170,"x")+1),-$E170*N(P170)))</f>
        <v/>
      </c>
      <c r="AE170" s="34">
        <f>IF(OR($A170="",$H170&lt;&gt;"Ausgabe",Q170=""),0,IF(Q170="x",-$E170/(COUNTIF($J170:$Q170,"x")+1),-$E170*N(Q170)))</f>
        <v/>
      </c>
    </row>
    <row r="171">
      <c r="A171" s="30" t="n"/>
      <c r="E171" s="31" t="n"/>
      <c r="J171" s="32" t="n"/>
      <c r="K171" s="32" t="n"/>
      <c r="L171" s="32" t="n"/>
      <c r="M171" s="32" t="n"/>
      <c r="N171" s="32" t="n"/>
      <c r="O171" s="32" t="n"/>
      <c r="P171" s="32" t="n"/>
      <c r="Q171" s="32" t="n"/>
      <c r="U171" s="31">
        <f>IF($A171="","",SUM(X171:AE171))</f>
        <v/>
      </c>
      <c r="V171" s="31">
        <f>IF($A171="","",IF($H171&lt;&gt;"Ausgabe",0,-$E171-$U171))</f>
        <v/>
      </c>
      <c r="W171" s="33">
        <f>IF($A171="","",DATE(YEAR($A171),MONTH($A171),1))</f>
        <v/>
      </c>
      <c r="X171" s="34">
        <f>IF(OR($A171="",$H171&lt;&gt;"Ausgabe",J171=""),0,IF(J171="x",-$E171/(COUNTIF($J171:$Q171,"x")+1),-$E171*N(J171)))</f>
        <v/>
      </c>
      <c r="Y171" s="34">
        <f>IF(OR($A171="",$H171&lt;&gt;"Ausgabe",K171=""),0,IF(K171="x",-$E171/(COUNTIF($J171:$Q171,"x")+1),-$E171*N(K171)))</f>
        <v/>
      </c>
      <c r="Z171" s="34">
        <f>IF(OR($A171="",$H171&lt;&gt;"Ausgabe",L171=""),0,IF(L171="x",-$E171/(COUNTIF($J171:$Q171,"x")+1),-$E171*N(L171)))</f>
        <v/>
      </c>
      <c r="AA171" s="34">
        <f>IF(OR($A171="",$H171&lt;&gt;"Ausgabe",M171=""),0,IF(M171="x",-$E171/(COUNTIF($J171:$Q171,"x")+1),-$E171*N(M171)))</f>
        <v/>
      </c>
      <c r="AB171" s="34">
        <f>IF(OR($A171="",$H171&lt;&gt;"Ausgabe",N171=""),0,IF(N171="x",-$E171/(COUNTIF($J171:$Q171,"x")+1),-$E171*N(N171)))</f>
        <v/>
      </c>
      <c r="AC171" s="34">
        <f>IF(OR($A171="",$H171&lt;&gt;"Ausgabe",O171=""),0,IF(O171="x",-$E171/(COUNTIF($J171:$Q171,"x")+1),-$E171*N(O171)))</f>
        <v/>
      </c>
      <c r="AD171" s="34">
        <f>IF(OR($A171="",$H171&lt;&gt;"Ausgabe",P171=""),0,IF(P171="x",-$E171/(COUNTIF($J171:$Q171,"x")+1),-$E171*N(P171)))</f>
        <v/>
      </c>
      <c r="AE171" s="34">
        <f>IF(OR($A171="",$H171&lt;&gt;"Ausgabe",Q171=""),0,IF(Q171="x",-$E171/(COUNTIF($J171:$Q171,"x")+1),-$E171*N(Q171)))</f>
        <v/>
      </c>
    </row>
    <row r="172">
      <c r="A172" s="30" t="n"/>
      <c r="E172" s="31" t="n"/>
      <c r="J172" s="32" t="n"/>
      <c r="K172" s="32" t="n"/>
      <c r="L172" s="32" t="n"/>
      <c r="M172" s="32" t="n"/>
      <c r="N172" s="32" t="n"/>
      <c r="O172" s="32" t="n"/>
      <c r="P172" s="32" t="n"/>
      <c r="Q172" s="32" t="n"/>
      <c r="U172" s="31">
        <f>IF($A172="","",SUM(X172:AE172))</f>
        <v/>
      </c>
      <c r="V172" s="31">
        <f>IF($A172="","",IF($H172&lt;&gt;"Ausgabe",0,-$E172-$U172))</f>
        <v/>
      </c>
      <c r="W172" s="33">
        <f>IF($A172="","",DATE(YEAR($A172),MONTH($A172),1))</f>
        <v/>
      </c>
      <c r="X172" s="34">
        <f>IF(OR($A172="",$H172&lt;&gt;"Ausgabe",J172=""),0,IF(J172="x",-$E172/(COUNTIF($J172:$Q172,"x")+1),-$E172*N(J172)))</f>
        <v/>
      </c>
      <c r="Y172" s="34">
        <f>IF(OR($A172="",$H172&lt;&gt;"Ausgabe",K172=""),0,IF(K172="x",-$E172/(COUNTIF($J172:$Q172,"x")+1),-$E172*N(K172)))</f>
        <v/>
      </c>
      <c r="Z172" s="34">
        <f>IF(OR($A172="",$H172&lt;&gt;"Ausgabe",L172=""),0,IF(L172="x",-$E172/(COUNTIF($J172:$Q172,"x")+1),-$E172*N(L172)))</f>
        <v/>
      </c>
      <c r="AA172" s="34">
        <f>IF(OR($A172="",$H172&lt;&gt;"Ausgabe",M172=""),0,IF(M172="x",-$E172/(COUNTIF($J172:$Q172,"x")+1),-$E172*N(M172)))</f>
        <v/>
      </c>
      <c r="AB172" s="34">
        <f>IF(OR($A172="",$H172&lt;&gt;"Ausgabe",N172=""),0,IF(N172="x",-$E172/(COUNTIF($J172:$Q172,"x")+1),-$E172*N(N172)))</f>
        <v/>
      </c>
      <c r="AC172" s="34">
        <f>IF(OR($A172="",$H172&lt;&gt;"Ausgabe",O172=""),0,IF(O172="x",-$E172/(COUNTIF($J172:$Q172,"x")+1),-$E172*N(O172)))</f>
        <v/>
      </c>
      <c r="AD172" s="34">
        <f>IF(OR($A172="",$H172&lt;&gt;"Ausgabe",P172=""),0,IF(P172="x",-$E172/(COUNTIF($J172:$Q172,"x")+1),-$E172*N(P172)))</f>
        <v/>
      </c>
      <c r="AE172" s="34">
        <f>IF(OR($A172="",$H172&lt;&gt;"Ausgabe",Q172=""),0,IF(Q172="x",-$E172/(COUNTIF($J172:$Q172,"x")+1),-$E172*N(Q172)))</f>
        <v/>
      </c>
    </row>
    <row r="173">
      <c r="A173" s="30" t="n"/>
      <c r="E173" s="31" t="n"/>
      <c r="J173" s="32" t="n"/>
      <c r="K173" s="32" t="n"/>
      <c r="L173" s="32" t="n"/>
      <c r="M173" s="32" t="n"/>
      <c r="N173" s="32" t="n"/>
      <c r="O173" s="32" t="n"/>
      <c r="P173" s="32" t="n"/>
      <c r="Q173" s="32" t="n"/>
      <c r="U173" s="31">
        <f>IF($A173="","",SUM(X173:AE173))</f>
        <v/>
      </c>
      <c r="V173" s="31">
        <f>IF($A173="","",IF($H173&lt;&gt;"Ausgabe",0,-$E173-$U173))</f>
        <v/>
      </c>
      <c r="W173" s="33">
        <f>IF($A173="","",DATE(YEAR($A173),MONTH($A173),1))</f>
        <v/>
      </c>
      <c r="X173" s="34">
        <f>IF(OR($A173="",$H173&lt;&gt;"Ausgabe",J173=""),0,IF(J173="x",-$E173/(COUNTIF($J173:$Q173,"x")+1),-$E173*N(J173)))</f>
        <v/>
      </c>
      <c r="Y173" s="34">
        <f>IF(OR($A173="",$H173&lt;&gt;"Ausgabe",K173=""),0,IF(K173="x",-$E173/(COUNTIF($J173:$Q173,"x")+1),-$E173*N(K173)))</f>
        <v/>
      </c>
      <c r="Z173" s="34">
        <f>IF(OR($A173="",$H173&lt;&gt;"Ausgabe",L173=""),0,IF(L173="x",-$E173/(COUNTIF($J173:$Q173,"x")+1),-$E173*N(L173)))</f>
        <v/>
      </c>
      <c r="AA173" s="34">
        <f>IF(OR($A173="",$H173&lt;&gt;"Ausgabe",M173=""),0,IF(M173="x",-$E173/(COUNTIF($J173:$Q173,"x")+1),-$E173*N(M173)))</f>
        <v/>
      </c>
      <c r="AB173" s="34">
        <f>IF(OR($A173="",$H173&lt;&gt;"Ausgabe",N173=""),0,IF(N173="x",-$E173/(COUNTIF($J173:$Q173,"x")+1),-$E173*N(N173)))</f>
        <v/>
      </c>
      <c r="AC173" s="34">
        <f>IF(OR($A173="",$H173&lt;&gt;"Ausgabe",O173=""),0,IF(O173="x",-$E173/(COUNTIF($J173:$Q173,"x")+1),-$E173*N(O173)))</f>
        <v/>
      </c>
      <c r="AD173" s="34">
        <f>IF(OR($A173="",$H173&lt;&gt;"Ausgabe",P173=""),0,IF(P173="x",-$E173/(COUNTIF($J173:$Q173,"x")+1),-$E173*N(P173)))</f>
        <v/>
      </c>
      <c r="AE173" s="34">
        <f>IF(OR($A173="",$H173&lt;&gt;"Ausgabe",Q173=""),0,IF(Q173="x",-$E173/(COUNTIF($J173:$Q173,"x")+1),-$E173*N(Q173)))</f>
        <v/>
      </c>
    </row>
    <row r="174">
      <c r="A174" s="30" t="n"/>
      <c r="E174" s="31" t="n"/>
      <c r="J174" s="32" t="n"/>
      <c r="K174" s="32" t="n"/>
      <c r="L174" s="32" t="n"/>
      <c r="M174" s="32" t="n"/>
      <c r="N174" s="32" t="n"/>
      <c r="O174" s="32" t="n"/>
      <c r="P174" s="32" t="n"/>
      <c r="Q174" s="32" t="n"/>
      <c r="U174" s="31">
        <f>IF($A174="","",SUM(X174:AE174))</f>
        <v/>
      </c>
      <c r="V174" s="31">
        <f>IF($A174="","",IF($H174&lt;&gt;"Ausgabe",0,-$E174-$U174))</f>
        <v/>
      </c>
      <c r="W174" s="33">
        <f>IF($A174="","",DATE(YEAR($A174),MONTH($A174),1))</f>
        <v/>
      </c>
      <c r="X174" s="34">
        <f>IF(OR($A174="",$H174&lt;&gt;"Ausgabe",J174=""),0,IF(J174="x",-$E174/(COUNTIF($J174:$Q174,"x")+1),-$E174*N(J174)))</f>
        <v/>
      </c>
      <c r="Y174" s="34">
        <f>IF(OR($A174="",$H174&lt;&gt;"Ausgabe",K174=""),0,IF(K174="x",-$E174/(COUNTIF($J174:$Q174,"x")+1),-$E174*N(K174)))</f>
        <v/>
      </c>
      <c r="Z174" s="34">
        <f>IF(OR($A174="",$H174&lt;&gt;"Ausgabe",L174=""),0,IF(L174="x",-$E174/(COUNTIF($J174:$Q174,"x")+1),-$E174*N(L174)))</f>
        <v/>
      </c>
      <c r="AA174" s="34">
        <f>IF(OR($A174="",$H174&lt;&gt;"Ausgabe",M174=""),0,IF(M174="x",-$E174/(COUNTIF($J174:$Q174,"x")+1),-$E174*N(M174)))</f>
        <v/>
      </c>
      <c r="AB174" s="34">
        <f>IF(OR($A174="",$H174&lt;&gt;"Ausgabe",N174=""),0,IF(N174="x",-$E174/(COUNTIF($J174:$Q174,"x")+1),-$E174*N(N174)))</f>
        <v/>
      </c>
      <c r="AC174" s="34">
        <f>IF(OR($A174="",$H174&lt;&gt;"Ausgabe",O174=""),0,IF(O174="x",-$E174/(COUNTIF($J174:$Q174,"x")+1),-$E174*N(O174)))</f>
        <v/>
      </c>
      <c r="AD174" s="34">
        <f>IF(OR($A174="",$H174&lt;&gt;"Ausgabe",P174=""),0,IF(P174="x",-$E174/(COUNTIF($J174:$Q174,"x")+1),-$E174*N(P174)))</f>
        <v/>
      </c>
      <c r="AE174" s="34">
        <f>IF(OR($A174="",$H174&lt;&gt;"Ausgabe",Q174=""),0,IF(Q174="x",-$E174/(COUNTIF($J174:$Q174,"x")+1),-$E174*N(Q174)))</f>
        <v/>
      </c>
    </row>
    <row r="175">
      <c r="A175" s="30" t="n"/>
      <c r="E175" s="31" t="n"/>
      <c r="J175" s="32" t="n"/>
      <c r="K175" s="32" t="n"/>
      <c r="L175" s="32" t="n"/>
      <c r="M175" s="32" t="n"/>
      <c r="N175" s="32" t="n"/>
      <c r="O175" s="32" t="n"/>
      <c r="P175" s="32" t="n"/>
      <c r="Q175" s="32" t="n"/>
      <c r="U175" s="31">
        <f>IF($A175="","",SUM(X175:AE175))</f>
        <v/>
      </c>
      <c r="V175" s="31">
        <f>IF($A175="","",IF($H175&lt;&gt;"Ausgabe",0,-$E175-$U175))</f>
        <v/>
      </c>
      <c r="W175" s="33">
        <f>IF($A175="","",DATE(YEAR($A175),MONTH($A175),1))</f>
        <v/>
      </c>
      <c r="X175" s="34">
        <f>IF(OR($A175="",$H175&lt;&gt;"Ausgabe",J175=""),0,IF(J175="x",-$E175/(COUNTIF($J175:$Q175,"x")+1),-$E175*N(J175)))</f>
        <v/>
      </c>
      <c r="Y175" s="34">
        <f>IF(OR($A175="",$H175&lt;&gt;"Ausgabe",K175=""),0,IF(K175="x",-$E175/(COUNTIF($J175:$Q175,"x")+1),-$E175*N(K175)))</f>
        <v/>
      </c>
      <c r="Z175" s="34">
        <f>IF(OR($A175="",$H175&lt;&gt;"Ausgabe",L175=""),0,IF(L175="x",-$E175/(COUNTIF($J175:$Q175,"x")+1),-$E175*N(L175)))</f>
        <v/>
      </c>
      <c r="AA175" s="34">
        <f>IF(OR($A175="",$H175&lt;&gt;"Ausgabe",M175=""),0,IF(M175="x",-$E175/(COUNTIF($J175:$Q175,"x")+1),-$E175*N(M175)))</f>
        <v/>
      </c>
      <c r="AB175" s="34">
        <f>IF(OR($A175="",$H175&lt;&gt;"Ausgabe",N175=""),0,IF(N175="x",-$E175/(COUNTIF($J175:$Q175,"x")+1),-$E175*N(N175)))</f>
        <v/>
      </c>
      <c r="AC175" s="34">
        <f>IF(OR($A175="",$H175&lt;&gt;"Ausgabe",O175=""),0,IF(O175="x",-$E175/(COUNTIF($J175:$Q175,"x")+1),-$E175*N(O175)))</f>
        <v/>
      </c>
      <c r="AD175" s="34">
        <f>IF(OR($A175="",$H175&lt;&gt;"Ausgabe",P175=""),0,IF(P175="x",-$E175/(COUNTIF($J175:$Q175,"x")+1),-$E175*N(P175)))</f>
        <v/>
      </c>
      <c r="AE175" s="34">
        <f>IF(OR($A175="",$H175&lt;&gt;"Ausgabe",Q175=""),0,IF(Q175="x",-$E175/(COUNTIF($J175:$Q175,"x")+1),-$E175*N(Q175)))</f>
        <v/>
      </c>
    </row>
    <row r="176">
      <c r="A176" s="30" t="n"/>
      <c r="E176" s="31" t="n"/>
      <c r="J176" s="32" t="n"/>
      <c r="K176" s="32" t="n"/>
      <c r="L176" s="32" t="n"/>
      <c r="M176" s="32" t="n"/>
      <c r="N176" s="32" t="n"/>
      <c r="O176" s="32" t="n"/>
      <c r="P176" s="32" t="n"/>
      <c r="Q176" s="32" t="n"/>
      <c r="U176" s="31">
        <f>IF($A176="","",SUM(X176:AE176))</f>
        <v/>
      </c>
      <c r="V176" s="31">
        <f>IF($A176="","",IF($H176&lt;&gt;"Ausgabe",0,-$E176-$U176))</f>
        <v/>
      </c>
      <c r="W176" s="33">
        <f>IF($A176="","",DATE(YEAR($A176),MONTH($A176),1))</f>
        <v/>
      </c>
      <c r="X176" s="34">
        <f>IF(OR($A176="",$H176&lt;&gt;"Ausgabe",J176=""),0,IF(J176="x",-$E176/(COUNTIF($J176:$Q176,"x")+1),-$E176*N(J176)))</f>
        <v/>
      </c>
      <c r="Y176" s="34">
        <f>IF(OR($A176="",$H176&lt;&gt;"Ausgabe",K176=""),0,IF(K176="x",-$E176/(COUNTIF($J176:$Q176,"x")+1),-$E176*N(K176)))</f>
        <v/>
      </c>
      <c r="Z176" s="34">
        <f>IF(OR($A176="",$H176&lt;&gt;"Ausgabe",L176=""),0,IF(L176="x",-$E176/(COUNTIF($J176:$Q176,"x")+1),-$E176*N(L176)))</f>
        <v/>
      </c>
      <c r="AA176" s="34">
        <f>IF(OR($A176="",$H176&lt;&gt;"Ausgabe",M176=""),0,IF(M176="x",-$E176/(COUNTIF($J176:$Q176,"x")+1),-$E176*N(M176)))</f>
        <v/>
      </c>
      <c r="AB176" s="34">
        <f>IF(OR($A176="",$H176&lt;&gt;"Ausgabe",N176=""),0,IF(N176="x",-$E176/(COUNTIF($J176:$Q176,"x")+1),-$E176*N(N176)))</f>
        <v/>
      </c>
      <c r="AC176" s="34">
        <f>IF(OR($A176="",$H176&lt;&gt;"Ausgabe",O176=""),0,IF(O176="x",-$E176/(COUNTIF($J176:$Q176,"x")+1),-$E176*N(O176)))</f>
        <v/>
      </c>
      <c r="AD176" s="34">
        <f>IF(OR($A176="",$H176&lt;&gt;"Ausgabe",P176=""),0,IF(P176="x",-$E176/(COUNTIF($J176:$Q176,"x")+1),-$E176*N(P176)))</f>
        <v/>
      </c>
      <c r="AE176" s="34">
        <f>IF(OR($A176="",$H176&lt;&gt;"Ausgabe",Q176=""),0,IF(Q176="x",-$E176/(COUNTIF($J176:$Q176,"x")+1),-$E176*N(Q176)))</f>
        <v/>
      </c>
    </row>
    <row r="177">
      <c r="A177" s="30" t="n"/>
      <c r="E177" s="31" t="n"/>
      <c r="J177" s="32" t="n"/>
      <c r="K177" s="32" t="n"/>
      <c r="L177" s="32" t="n"/>
      <c r="M177" s="32" t="n"/>
      <c r="N177" s="32" t="n"/>
      <c r="O177" s="32" t="n"/>
      <c r="P177" s="32" t="n"/>
      <c r="Q177" s="32" t="n"/>
      <c r="U177" s="31">
        <f>IF($A177="","",SUM(X177:AE177))</f>
        <v/>
      </c>
      <c r="V177" s="31">
        <f>IF($A177="","",IF($H177&lt;&gt;"Ausgabe",0,-$E177-$U177))</f>
        <v/>
      </c>
      <c r="W177" s="33">
        <f>IF($A177="","",DATE(YEAR($A177),MONTH($A177),1))</f>
        <v/>
      </c>
      <c r="X177" s="34">
        <f>IF(OR($A177="",$H177&lt;&gt;"Ausgabe",J177=""),0,IF(J177="x",-$E177/(COUNTIF($J177:$Q177,"x")+1),-$E177*N(J177)))</f>
        <v/>
      </c>
      <c r="Y177" s="34">
        <f>IF(OR($A177="",$H177&lt;&gt;"Ausgabe",K177=""),0,IF(K177="x",-$E177/(COUNTIF($J177:$Q177,"x")+1),-$E177*N(K177)))</f>
        <v/>
      </c>
      <c r="Z177" s="34">
        <f>IF(OR($A177="",$H177&lt;&gt;"Ausgabe",L177=""),0,IF(L177="x",-$E177/(COUNTIF($J177:$Q177,"x")+1),-$E177*N(L177)))</f>
        <v/>
      </c>
      <c r="AA177" s="34">
        <f>IF(OR($A177="",$H177&lt;&gt;"Ausgabe",M177=""),0,IF(M177="x",-$E177/(COUNTIF($J177:$Q177,"x")+1),-$E177*N(M177)))</f>
        <v/>
      </c>
      <c r="AB177" s="34">
        <f>IF(OR($A177="",$H177&lt;&gt;"Ausgabe",N177=""),0,IF(N177="x",-$E177/(COUNTIF($J177:$Q177,"x")+1),-$E177*N(N177)))</f>
        <v/>
      </c>
      <c r="AC177" s="34">
        <f>IF(OR($A177="",$H177&lt;&gt;"Ausgabe",O177=""),0,IF(O177="x",-$E177/(COUNTIF($J177:$Q177,"x")+1),-$E177*N(O177)))</f>
        <v/>
      </c>
      <c r="AD177" s="34">
        <f>IF(OR($A177="",$H177&lt;&gt;"Ausgabe",P177=""),0,IF(P177="x",-$E177/(COUNTIF($J177:$Q177,"x")+1),-$E177*N(P177)))</f>
        <v/>
      </c>
      <c r="AE177" s="34">
        <f>IF(OR($A177="",$H177&lt;&gt;"Ausgabe",Q177=""),0,IF(Q177="x",-$E177/(COUNTIF($J177:$Q177,"x")+1),-$E177*N(Q177)))</f>
        <v/>
      </c>
    </row>
    <row r="178">
      <c r="A178" s="30" t="n"/>
      <c r="E178" s="31" t="n"/>
      <c r="J178" s="32" t="n"/>
      <c r="K178" s="32" t="n"/>
      <c r="L178" s="32" t="n"/>
      <c r="M178" s="32" t="n"/>
      <c r="N178" s="32" t="n"/>
      <c r="O178" s="32" t="n"/>
      <c r="P178" s="32" t="n"/>
      <c r="Q178" s="32" t="n"/>
      <c r="U178" s="31">
        <f>IF($A178="","",SUM(X178:AE178))</f>
        <v/>
      </c>
      <c r="V178" s="31">
        <f>IF($A178="","",IF($H178&lt;&gt;"Ausgabe",0,-$E178-$U178))</f>
        <v/>
      </c>
      <c r="W178" s="33">
        <f>IF($A178="","",DATE(YEAR($A178),MONTH($A178),1))</f>
        <v/>
      </c>
      <c r="X178" s="34">
        <f>IF(OR($A178="",$H178&lt;&gt;"Ausgabe",J178=""),0,IF(J178="x",-$E178/(COUNTIF($J178:$Q178,"x")+1),-$E178*N(J178)))</f>
        <v/>
      </c>
      <c r="Y178" s="34">
        <f>IF(OR($A178="",$H178&lt;&gt;"Ausgabe",K178=""),0,IF(K178="x",-$E178/(COUNTIF($J178:$Q178,"x")+1),-$E178*N(K178)))</f>
        <v/>
      </c>
      <c r="Z178" s="34">
        <f>IF(OR($A178="",$H178&lt;&gt;"Ausgabe",L178=""),0,IF(L178="x",-$E178/(COUNTIF($J178:$Q178,"x")+1),-$E178*N(L178)))</f>
        <v/>
      </c>
      <c r="AA178" s="34">
        <f>IF(OR($A178="",$H178&lt;&gt;"Ausgabe",M178=""),0,IF(M178="x",-$E178/(COUNTIF($J178:$Q178,"x")+1),-$E178*N(M178)))</f>
        <v/>
      </c>
      <c r="AB178" s="34">
        <f>IF(OR($A178="",$H178&lt;&gt;"Ausgabe",N178=""),0,IF(N178="x",-$E178/(COUNTIF($J178:$Q178,"x")+1),-$E178*N(N178)))</f>
        <v/>
      </c>
      <c r="AC178" s="34">
        <f>IF(OR($A178="",$H178&lt;&gt;"Ausgabe",O178=""),0,IF(O178="x",-$E178/(COUNTIF($J178:$Q178,"x")+1),-$E178*N(O178)))</f>
        <v/>
      </c>
      <c r="AD178" s="34">
        <f>IF(OR($A178="",$H178&lt;&gt;"Ausgabe",P178=""),0,IF(P178="x",-$E178/(COUNTIF($J178:$Q178,"x")+1),-$E178*N(P178)))</f>
        <v/>
      </c>
      <c r="AE178" s="34">
        <f>IF(OR($A178="",$H178&lt;&gt;"Ausgabe",Q178=""),0,IF(Q178="x",-$E178/(COUNTIF($J178:$Q178,"x")+1),-$E178*N(Q178)))</f>
        <v/>
      </c>
    </row>
    <row r="179">
      <c r="A179" s="30" t="n"/>
      <c r="E179" s="31" t="n"/>
      <c r="J179" s="32" t="n"/>
      <c r="K179" s="32" t="n"/>
      <c r="L179" s="32" t="n"/>
      <c r="M179" s="32" t="n"/>
      <c r="N179" s="32" t="n"/>
      <c r="O179" s="32" t="n"/>
      <c r="P179" s="32" t="n"/>
      <c r="Q179" s="32" t="n"/>
      <c r="U179" s="31">
        <f>IF($A179="","",SUM(X179:AE179))</f>
        <v/>
      </c>
      <c r="V179" s="31">
        <f>IF($A179="","",IF($H179&lt;&gt;"Ausgabe",0,-$E179-$U179))</f>
        <v/>
      </c>
      <c r="W179" s="33">
        <f>IF($A179="","",DATE(YEAR($A179),MONTH($A179),1))</f>
        <v/>
      </c>
      <c r="X179" s="34">
        <f>IF(OR($A179="",$H179&lt;&gt;"Ausgabe",J179=""),0,IF(J179="x",-$E179/(COUNTIF($J179:$Q179,"x")+1),-$E179*N(J179)))</f>
        <v/>
      </c>
      <c r="Y179" s="34">
        <f>IF(OR($A179="",$H179&lt;&gt;"Ausgabe",K179=""),0,IF(K179="x",-$E179/(COUNTIF($J179:$Q179,"x")+1),-$E179*N(K179)))</f>
        <v/>
      </c>
      <c r="Z179" s="34">
        <f>IF(OR($A179="",$H179&lt;&gt;"Ausgabe",L179=""),0,IF(L179="x",-$E179/(COUNTIF($J179:$Q179,"x")+1),-$E179*N(L179)))</f>
        <v/>
      </c>
      <c r="AA179" s="34">
        <f>IF(OR($A179="",$H179&lt;&gt;"Ausgabe",M179=""),0,IF(M179="x",-$E179/(COUNTIF($J179:$Q179,"x")+1),-$E179*N(M179)))</f>
        <v/>
      </c>
      <c r="AB179" s="34">
        <f>IF(OR($A179="",$H179&lt;&gt;"Ausgabe",N179=""),0,IF(N179="x",-$E179/(COUNTIF($J179:$Q179,"x")+1),-$E179*N(N179)))</f>
        <v/>
      </c>
      <c r="AC179" s="34">
        <f>IF(OR($A179="",$H179&lt;&gt;"Ausgabe",O179=""),0,IF(O179="x",-$E179/(COUNTIF($J179:$Q179,"x")+1),-$E179*N(O179)))</f>
        <v/>
      </c>
      <c r="AD179" s="34">
        <f>IF(OR($A179="",$H179&lt;&gt;"Ausgabe",P179=""),0,IF(P179="x",-$E179/(COUNTIF($J179:$Q179,"x")+1),-$E179*N(P179)))</f>
        <v/>
      </c>
      <c r="AE179" s="34">
        <f>IF(OR($A179="",$H179&lt;&gt;"Ausgabe",Q179=""),0,IF(Q179="x",-$E179/(COUNTIF($J179:$Q179,"x")+1),-$E179*N(Q179)))</f>
        <v/>
      </c>
    </row>
    <row r="180">
      <c r="A180" s="30" t="n"/>
      <c r="E180" s="31" t="n"/>
      <c r="J180" s="32" t="n"/>
      <c r="K180" s="32" t="n"/>
      <c r="L180" s="32" t="n"/>
      <c r="M180" s="32" t="n"/>
      <c r="N180" s="32" t="n"/>
      <c r="O180" s="32" t="n"/>
      <c r="P180" s="32" t="n"/>
      <c r="Q180" s="32" t="n"/>
      <c r="U180" s="31">
        <f>IF($A180="","",SUM(X180:AE180))</f>
        <v/>
      </c>
      <c r="V180" s="31">
        <f>IF($A180="","",IF($H180&lt;&gt;"Ausgabe",0,-$E180-$U180))</f>
        <v/>
      </c>
      <c r="W180" s="33">
        <f>IF($A180="","",DATE(YEAR($A180),MONTH($A180),1))</f>
        <v/>
      </c>
      <c r="X180" s="34">
        <f>IF(OR($A180="",$H180&lt;&gt;"Ausgabe",J180=""),0,IF(J180="x",-$E180/(COUNTIF($J180:$Q180,"x")+1),-$E180*N(J180)))</f>
        <v/>
      </c>
      <c r="Y180" s="34">
        <f>IF(OR($A180="",$H180&lt;&gt;"Ausgabe",K180=""),0,IF(K180="x",-$E180/(COUNTIF($J180:$Q180,"x")+1),-$E180*N(K180)))</f>
        <v/>
      </c>
      <c r="Z180" s="34">
        <f>IF(OR($A180="",$H180&lt;&gt;"Ausgabe",L180=""),0,IF(L180="x",-$E180/(COUNTIF($J180:$Q180,"x")+1),-$E180*N(L180)))</f>
        <v/>
      </c>
      <c r="AA180" s="34">
        <f>IF(OR($A180="",$H180&lt;&gt;"Ausgabe",M180=""),0,IF(M180="x",-$E180/(COUNTIF($J180:$Q180,"x")+1),-$E180*N(M180)))</f>
        <v/>
      </c>
      <c r="AB180" s="34">
        <f>IF(OR($A180="",$H180&lt;&gt;"Ausgabe",N180=""),0,IF(N180="x",-$E180/(COUNTIF($J180:$Q180,"x")+1),-$E180*N(N180)))</f>
        <v/>
      </c>
      <c r="AC180" s="34">
        <f>IF(OR($A180="",$H180&lt;&gt;"Ausgabe",O180=""),0,IF(O180="x",-$E180/(COUNTIF($J180:$Q180,"x")+1),-$E180*N(O180)))</f>
        <v/>
      </c>
      <c r="AD180" s="34">
        <f>IF(OR($A180="",$H180&lt;&gt;"Ausgabe",P180=""),0,IF(P180="x",-$E180/(COUNTIF($J180:$Q180,"x")+1),-$E180*N(P180)))</f>
        <v/>
      </c>
      <c r="AE180" s="34">
        <f>IF(OR($A180="",$H180&lt;&gt;"Ausgabe",Q180=""),0,IF(Q180="x",-$E180/(COUNTIF($J180:$Q180,"x")+1),-$E180*N(Q180)))</f>
        <v/>
      </c>
    </row>
    <row r="181">
      <c r="A181" s="30" t="n"/>
      <c r="E181" s="31" t="n"/>
      <c r="J181" s="32" t="n"/>
      <c r="K181" s="32" t="n"/>
      <c r="L181" s="32" t="n"/>
      <c r="M181" s="32" t="n"/>
      <c r="N181" s="32" t="n"/>
      <c r="O181" s="32" t="n"/>
      <c r="P181" s="32" t="n"/>
      <c r="Q181" s="32" t="n"/>
      <c r="U181" s="31">
        <f>IF($A181="","",SUM(X181:AE181))</f>
        <v/>
      </c>
      <c r="V181" s="31">
        <f>IF($A181="","",IF($H181&lt;&gt;"Ausgabe",0,-$E181-$U181))</f>
        <v/>
      </c>
      <c r="W181" s="33">
        <f>IF($A181="","",DATE(YEAR($A181),MONTH($A181),1))</f>
        <v/>
      </c>
      <c r="X181" s="34">
        <f>IF(OR($A181="",$H181&lt;&gt;"Ausgabe",J181=""),0,IF(J181="x",-$E181/(COUNTIF($J181:$Q181,"x")+1),-$E181*N(J181)))</f>
        <v/>
      </c>
      <c r="Y181" s="34">
        <f>IF(OR($A181="",$H181&lt;&gt;"Ausgabe",K181=""),0,IF(K181="x",-$E181/(COUNTIF($J181:$Q181,"x")+1),-$E181*N(K181)))</f>
        <v/>
      </c>
      <c r="Z181" s="34">
        <f>IF(OR($A181="",$H181&lt;&gt;"Ausgabe",L181=""),0,IF(L181="x",-$E181/(COUNTIF($J181:$Q181,"x")+1),-$E181*N(L181)))</f>
        <v/>
      </c>
      <c r="AA181" s="34">
        <f>IF(OR($A181="",$H181&lt;&gt;"Ausgabe",M181=""),0,IF(M181="x",-$E181/(COUNTIF($J181:$Q181,"x")+1),-$E181*N(M181)))</f>
        <v/>
      </c>
      <c r="AB181" s="34">
        <f>IF(OR($A181="",$H181&lt;&gt;"Ausgabe",N181=""),0,IF(N181="x",-$E181/(COUNTIF($J181:$Q181,"x")+1),-$E181*N(N181)))</f>
        <v/>
      </c>
      <c r="AC181" s="34">
        <f>IF(OR($A181="",$H181&lt;&gt;"Ausgabe",O181=""),0,IF(O181="x",-$E181/(COUNTIF($J181:$Q181,"x")+1),-$E181*N(O181)))</f>
        <v/>
      </c>
      <c r="AD181" s="34">
        <f>IF(OR($A181="",$H181&lt;&gt;"Ausgabe",P181=""),0,IF(P181="x",-$E181/(COUNTIF($J181:$Q181,"x")+1),-$E181*N(P181)))</f>
        <v/>
      </c>
      <c r="AE181" s="34">
        <f>IF(OR($A181="",$H181&lt;&gt;"Ausgabe",Q181=""),0,IF(Q181="x",-$E181/(COUNTIF($J181:$Q181,"x")+1),-$E181*N(Q181)))</f>
        <v/>
      </c>
    </row>
    <row r="182">
      <c r="A182" s="30" t="n"/>
      <c r="E182" s="31" t="n"/>
      <c r="J182" s="32" t="n"/>
      <c r="K182" s="32" t="n"/>
      <c r="L182" s="32" t="n"/>
      <c r="M182" s="32" t="n"/>
      <c r="N182" s="32" t="n"/>
      <c r="O182" s="32" t="n"/>
      <c r="P182" s="32" t="n"/>
      <c r="Q182" s="32" t="n"/>
      <c r="U182" s="31">
        <f>IF($A182="","",SUM(X182:AE182))</f>
        <v/>
      </c>
      <c r="V182" s="31">
        <f>IF($A182="","",IF($H182&lt;&gt;"Ausgabe",0,-$E182-$U182))</f>
        <v/>
      </c>
      <c r="W182" s="33">
        <f>IF($A182="","",DATE(YEAR($A182),MONTH($A182),1))</f>
        <v/>
      </c>
      <c r="X182" s="34">
        <f>IF(OR($A182="",$H182&lt;&gt;"Ausgabe",J182=""),0,IF(J182="x",-$E182/(COUNTIF($J182:$Q182,"x")+1),-$E182*N(J182)))</f>
        <v/>
      </c>
      <c r="Y182" s="34">
        <f>IF(OR($A182="",$H182&lt;&gt;"Ausgabe",K182=""),0,IF(K182="x",-$E182/(COUNTIF($J182:$Q182,"x")+1),-$E182*N(K182)))</f>
        <v/>
      </c>
      <c r="Z182" s="34">
        <f>IF(OR($A182="",$H182&lt;&gt;"Ausgabe",L182=""),0,IF(L182="x",-$E182/(COUNTIF($J182:$Q182,"x")+1),-$E182*N(L182)))</f>
        <v/>
      </c>
      <c r="AA182" s="34">
        <f>IF(OR($A182="",$H182&lt;&gt;"Ausgabe",M182=""),0,IF(M182="x",-$E182/(COUNTIF($J182:$Q182,"x")+1),-$E182*N(M182)))</f>
        <v/>
      </c>
      <c r="AB182" s="34">
        <f>IF(OR($A182="",$H182&lt;&gt;"Ausgabe",N182=""),0,IF(N182="x",-$E182/(COUNTIF($J182:$Q182,"x")+1),-$E182*N(N182)))</f>
        <v/>
      </c>
      <c r="AC182" s="34">
        <f>IF(OR($A182="",$H182&lt;&gt;"Ausgabe",O182=""),0,IF(O182="x",-$E182/(COUNTIF($J182:$Q182,"x")+1),-$E182*N(O182)))</f>
        <v/>
      </c>
      <c r="AD182" s="34">
        <f>IF(OR($A182="",$H182&lt;&gt;"Ausgabe",P182=""),0,IF(P182="x",-$E182/(COUNTIF($J182:$Q182,"x")+1),-$E182*N(P182)))</f>
        <v/>
      </c>
      <c r="AE182" s="34">
        <f>IF(OR($A182="",$H182&lt;&gt;"Ausgabe",Q182=""),0,IF(Q182="x",-$E182/(COUNTIF($J182:$Q182,"x")+1),-$E182*N(Q182)))</f>
        <v/>
      </c>
    </row>
    <row r="183">
      <c r="A183" s="30" t="n"/>
      <c r="E183" s="31" t="n"/>
      <c r="J183" s="32" t="n"/>
      <c r="K183" s="32" t="n"/>
      <c r="L183" s="32" t="n"/>
      <c r="M183" s="32" t="n"/>
      <c r="N183" s="32" t="n"/>
      <c r="O183" s="32" t="n"/>
      <c r="P183" s="32" t="n"/>
      <c r="Q183" s="32" t="n"/>
      <c r="U183" s="31">
        <f>IF($A183="","",SUM(X183:AE183))</f>
        <v/>
      </c>
      <c r="V183" s="31">
        <f>IF($A183="","",IF($H183&lt;&gt;"Ausgabe",0,-$E183-$U183))</f>
        <v/>
      </c>
      <c r="W183" s="33">
        <f>IF($A183="","",DATE(YEAR($A183),MONTH($A183),1))</f>
        <v/>
      </c>
      <c r="X183" s="34">
        <f>IF(OR($A183="",$H183&lt;&gt;"Ausgabe",J183=""),0,IF(J183="x",-$E183/(COUNTIF($J183:$Q183,"x")+1),-$E183*N(J183)))</f>
        <v/>
      </c>
      <c r="Y183" s="34">
        <f>IF(OR($A183="",$H183&lt;&gt;"Ausgabe",K183=""),0,IF(K183="x",-$E183/(COUNTIF($J183:$Q183,"x")+1),-$E183*N(K183)))</f>
        <v/>
      </c>
      <c r="Z183" s="34">
        <f>IF(OR($A183="",$H183&lt;&gt;"Ausgabe",L183=""),0,IF(L183="x",-$E183/(COUNTIF($J183:$Q183,"x")+1),-$E183*N(L183)))</f>
        <v/>
      </c>
      <c r="AA183" s="34">
        <f>IF(OR($A183="",$H183&lt;&gt;"Ausgabe",M183=""),0,IF(M183="x",-$E183/(COUNTIF($J183:$Q183,"x")+1),-$E183*N(M183)))</f>
        <v/>
      </c>
      <c r="AB183" s="34">
        <f>IF(OR($A183="",$H183&lt;&gt;"Ausgabe",N183=""),0,IF(N183="x",-$E183/(COUNTIF($J183:$Q183,"x")+1),-$E183*N(N183)))</f>
        <v/>
      </c>
      <c r="AC183" s="34">
        <f>IF(OR($A183="",$H183&lt;&gt;"Ausgabe",O183=""),0,IF(O183="x",-$E183/(COUNTIF($J183:$Q183,"x")+1),-$E183*N(O183)))</f>
        <v/>
      </c>
      <c r="AD183" s="34">
        <f>IF(OR($A183="",$H183&lt;&gt;"Ausgabe",P183=""),0,IF(P183="x",-$E183/(COUNTIF($J183:$Q183,"x")+1),-$E183*N(P183)))</f>
        <v/>
      </c>
      <c r="AE183" s="34">
        <f>IF(OR($A183="",$H183&lt;&gt;"Ausgabe",Q183=""),0,IF(Q183="x",-$E183/(COUNTIF($J183:$Q183,"x")+1),-$E183*N(Q183)))</f>
        <v/>
      </c>
    </row>
    <row r="184">
      <c r="A184" s="30" t="n"/>
      <c r="E184" s="31" t="n"/>
      <c r="J184" s="32" t="n"/>
      <c r="K184" s="32" t="n"/>
      <c r="L184" s="32" t="n"/>
      <c r="M184" s="32" t="n"/>
      <c r="N184" s="32" t="n"/>
      <c r="O184" s="32" t="n"/>
      <c r="P184" s="32" t="n"/>
      <c r="Q184" s="32" t="n"/>
      <c r="U184" s="31">
        <f>IF($A184="","",SUM(X184:AE184))</f>
        <v/>
      </c>
      <c r="V184" s="31">
        <f>IF($A184="","",IF($H184&lt;&gt;"Ausgabe",0,-$E184-$U184))</f>
        <v/>
      </c>
      <c r="W184" s="33">
        <f>IF($A184="","",DATE(YEAR($A184),MONTH($A184),1))</f>
        <v/>
      </c>
      <c r="X184" s="34">
        <f>IF(OR($A184="",$H184&lt;&gt;"Ausgabe",J184=""),0,IF(J184="x",-$E184/(COUNTIF($J184:$Q184,"x")+1),-$E184*N(J184)))</f>
        <v/>
      </c>
      <c r="Y184" s="34">
        <f>IF(OR($A184="",$H184&lt;&gt;"Ausgabe",K184=""),0,IF(K184="x",-$E184/(COUNTIF($J184:$Q184,"x")+1),-$E184*N(K184)))</f>
        <v/>
      </c>
      <c r="Z184" s="34">
        <f>IF(OR($A184="",$H184&lt;&gt;"Ausgabe",L184=""),0,IF(L184="x",-$E184/(COUNTIF($J184:$Q184,"x")+1),-$E184*N(L184)))</f>
        <v/>
      </c>
      <c r="AA184" s="34">
        <f>IF(OR($A184="",$H184&lt;&gt;"Ausgabe",M184=""),0,IF(M184="x",-$E184/(COUNTIF($J184:$Q184,"x")+1),-$E184*N(M184)))</f>
        <v/>
      </c>
      <c r="AB184" s="34">
        <f>IF(OR($A184="",$H184&lt;&gt;"Ausgabe",N184=""),0,IF(N184="x",-$E184/(COUNTIF($J184:$Q184,"x")+1),-$E184*N(N184)))</f>
        <v/>
      </c>
      <c r="AC184" s="34">
        <f>IF(OR($A184="",$H184&lt;&gt;"Ausgabe",O184=""),0,IF(O184="x",-$E184/(COUNTIF($J184:$Q184,"x")+1),-$E184*N(O184)))</f>
        <v/>
      </c>
      <c r="AD184" s="34">
        <f>IF(OR($A184="",$H184&lt;&gt;"Ausgabe",P184=""),0,IF(P184="x",-$E184/(COUNTIF($J184:$Q184,"x")+1),-$E184*N(P184)))</f>
        <v/>
      </c>
      <c r="AE184" s="34">
        <f>IF(OR($A184="",$H184&lt;&gt;"Ausgabe",Q184=""),0,IF(Q184="x",-$E184/(COUNTIF($J184:$Q184,"x")+1),-$E184*N(Q184)))</f>
        <v/>
      </c>
    </row>
    <row r="185">
      <c r="A185" s="30" t="n"/>
      <c r="E185" s="31" t="n"/>
      <c r="J185" s="32" t="n"/>
      <c r="K185" s="32" t="n"/>
      <c r="L185" s="32" t="n"/>
      <c r="M185" s="32" t="n"/>
      <c r="N185" s="32" t="n"/>
      <c r="O185" s="32" t="n"/>
      <c r="P185" s="32" t="n"/>
      <c r="Q185" s="32" t="n"/>
      <c r="U185" s="31">
        <f>IF($A185="","",SUM(X185:AE185))</f>
        <v/>
      </c>
      <c r="V185" s="31">
        <f>IF($A185="","",IF($H185&lt;&gt;"Ausgabe",0,-$E185-$U185))</f>
        <v/>
      </c>
      <c r="W185" s="33">
        <f>IF($A185="","",DATE(YEAR($A185),MONTH($A185),1))</f>
        <v/>
      </c>
      <c r="X185" s="34">
        <f>IF(OR($A185="",$H185&lt;&gt;"Ausgabe",J185=""),0,IF(J185="x",-$E185/(COUNTIF($J185:$Q185,"x")+1),-$E185*N(J185)))</f>
        <v/>
      </c>
      <c r="Y185" s="34">
        <f>IF(OR($A185="",$H185&lt;&gt;"Ausgabe",K185=""),0,IF(K185="x",-$E185/(COUNTIF($J185:$Q185,"x")+1),-$E185*N(K185)))</f>
        <v/>
      </c>
      <c r="Z185" s="34">
        <f>IF(OR($A185="",$H185&lt;&gt;"Ausgabe",L185=""),0,IF(L185="x",-$E185/(COUNTIF($J185:$Q185,"x")+1),-$E185*N(L185)))</f>
        <v/>
      </c>
      <c r="AA185" s="34">
        <f>IF(OR($A185="",$H185&lt;&gt;"Ausgabe",M185=""),0,IF(M185="x",-$E185/(COUNTIF($J185:$Q185,"x")+1),-$E185*N(M185)))</f>
        <v/>
      </c>
      <c r="AB185" s="34">
        <f>IF(OR($A185="",$H185&lt;&gt;"Ausgabe",N185=""),0,IF(N185="x",-$E185/(COUNTIF($J185:$Q185,"x")+1),-$E185*N(N185)))</f>
        <v/>
      </c>
      <c r="AC185" s="34">
        <f>IF(OR($A185="",$H185&lt;&gt;"Ausgabe",O185=""),0,IF(O185="x",-$E185/(COUNTIF($J185:$Q185,"x")+1),-$E185*N(O185)))</f>
        <v/>
      </c>
      <c r="AD185" s="34">
        <f>IF(OR($A185="",$H185&lt;&gt;"Ausgabe",P185=""),0,IF(P185="x",-$E185/(COUNTIF($J185:$Q185,"x")+1),-$E185*N(P185)))</f>
        <v/>
      </c>
      <c r="AE185" s="34">
        <f>IF(OR($A185="",$H185&lt;&gt;"Ausgabe",Q185=""),0,IF(Q185="x",-$E185/(COUNTIF($J185:$Q185,"x")+1),-$E185*N(Q185)))</f>
        <v/>
      </c>
    </row>
    <row r="186">
      <c r="A186" s="30" t="n"/>
      <c r="E186" s="31" t="n"/>
      <c r="J186" s="32" t="n"/>
      <c r="K186" s="32" t="n"/>
      <c r="L186" s="32" t="n"/>
      <c r="M186" s="32" t="n"/>
      <c r="N186" s="32" t="n"/>
      <c r="O186" s="32" t="n"/>
      <c r="P186" s="32" t="n"/>
      <c r="Q186" s="32" t="n"/>
      <c r="U186" s="31">
        <f>IF($A186="","",SUM(X186:AE186))</f>
        <v/>
      </c>
      <c r="V186" s="31">
        <f>IF($A186="","",IF($H186&lt;&gt;"Ausgabe",0,-$E186-$U186))</f>
        <v/>
      </c>
      <c r="W186" s="33">
        <f>IF($A186="","",DATE(YEAR($A186),MONTH($A186),1))</f>
        <v/>
      </c>
      <c r="X186" s="34">
        <f>IF(OR($A186="",$H186&lt;&gt;"Ausgabe",J186=""),0,IF(J186="x",-$E186/(COUNTIF($J186:$Q186,"x")+1),-$E186*N(J186)))</f>
        <v/>
      </c>
      <c r="Y186" s="34">
        <f>IF(OR($A186="",$H186&lt;&gt;"Ausgabe",K186=""),0,IF(K186="x",-$E186/(COUNTIF($J186:$Q186,"x")+1),-$E186*N(K186)))</f>
        <v/>
      </c>
      <c r="Z186" s="34">
        <f>IF(OR($A186="",$H186&lt;&gt;"Ausgabe",L186=""),0,IF(L186="x",-$E186/(COUNTIF($J186:$Q186,"x")+1),-$E186*N(L186)))</f>
        <v/>
      </c>
      <c r="AA186" s="34">
        <f>IF(OR($A186="",$H186&lt;&gt;"Ausgabe",M186=""),0,IF(M186="x",-$E186/(COUNTIF($J186:$Q186,"x")+1),-$E186*N(M186)))</f>
        <v/>
      </c>
      <c r="AB186" s="34">
        <f>IF(OR($A186="",$H186&lt;&gt;"Ausgabe",N186=""),0,IF(N186="x",-$E186/(COUNTIF($J186:$Q186,"x")+1),-$E186*N(N186)))</f>
        <v/>
      </c>
      <c r="AC186" s="34">
        <f>IF(OR($A186="",$H186&lt;&gt;"Ausgabe",O186=""),0,IF(O186="x",-$E186/(COUNTIF($J186:$Q186,"x")+1),-$E186*N(O186)))</f>
        <v/>
      </c>
      <c r="AD186" s="34">
        <f>IF(OR($A186="",$H186&lt;&gt;"Ausgabe",P186=""),0,IF(P186="x",-$E186/(COUNTIF($J186:$Q186,"x")+1),-$E186*N(P186)))</f>
        <v/>
      </c>
      <c r="AE186" s="34">
        <f>IF(OR($A186="",$H186&lt;&gt;"Ausgabe",Q186=""),0,IF(Q186="x",-$E186/(COUNTIF($J186:$Q186,"x")+1),-$E186*N(Q186)))</f>
        <v/>
      </c>
    </row>
    <row r="187">
      <c r="A187" s="30" t="n"/>
      <c r="E187" s="31" t="n"/>
      <c r="J187" s="32" t="n"/>
      <c r="K187" s="32" t="n"/>
      <c r="L187" s="32" t="n"/>
      <c r="M187" s="32" t="n"/>
      <c r="N187" s="32" t="n"/>
      <c r="O187" s="32" t="n"/>
      <c r="P187" s="32" t="n"/>
      <c r="Q187" s="32" t="n"/>
      <c r="U187" s="31">
        <f>IF($A187="","",SUM(X187:AE187))</f>
        <v/>
      </c>
      <c r="V187" s="31">
        <f>IF($A187="","",IF($H187&lt;&gt;"Ausgabe",0,-$E187-$U187))</f>
        <v/>
      </c>
      <c r="W187" s="33">
        <f>IF($A187="","",DATE(YEAR($A187),MONTH($A187),1))</f>
        <v/>
      </c>
      <c r="X187" s="34">
        <f>IF(OR($A187="",$H187&lt;&gt;"Ausgabe",J187=""),0,IF(J187="x",-$E187/(COUNTIF($J187:$Q187,"x")+1),-$E187*N(J187)))</f>
        <v/>
      </c>
      <c r="Y187" s="34">
        <f>IF(OR($A187="",$H187&lt;&gt;"Ausgabe",K187=""),0,IF(K187="x",-$E187/(COUNTIF($J187:$Q187,"x")+1),-$E187*N(K187)))</f>
        <v/>
      </c>
      <c r="Z187" s="34">
        <f>IF(OR($A187="",$H187&lt;&gt;"Ausgabe",L187=""),0,IF(L187="x",-$E187/(COUNTIF($J187:$Q187,"x")+1),-$E187*N(L187)))</f>
        <v/>
      </c>
      <c r="AA187" s="34">
        <f>IF(OR($A187="",$H187&lt;&gt;"Ausgabe",M187=""),0,IF(M187="x",-$E187/(COUNTIF($J187:$Q187,"x")+1),-$E187*N(M187)))</f>
        <v/>
      </c>
      <c r="AB187" s="34">
        <f>IF(OR($A187="",$H187&lt;&gt;"Ausgabe",N187=""),0,IF(N187="x",-$E187/(COUNTIF($J187:$Q187,"x")+1),-$E187*N(N187)))</f>
        <v/>
      </c>
      <c r="AC187" s="34">
        <f>IF(OR($A187="",$H187&lt;&gt;"Ausgabe",O187=""),0,IF(O187="x",-$E187/(COUNTIF($J187:$Q187,"x")+1),-$E187*N(O187)))</f>
        <v/>
      </c>
      <c r="AD187" s="34">
        <f>IF(OR($A187="",$H187&lt;&gt;"Ausgabe",P187=""),0,IF(P187="x",-$E187/(COUNTIF($J187:$Q187,"x")+1),-$E187*N(P187)))</f>
        <v/>
      </c>
      <c r="AE187" s="34">
        <f>IF(OR($A187="",$H187&lt;&gt;"Ausgabe",Q187=""),0,IF(Q187="x",-$E187/(COUNTIF($J187:$Q187,"x")+1),-$E187*N(Q187)))</f>
        <v/>
      </c>
    </row>
    <row r="188">
      <c r="A188" s="30" t="n"/>
      <c r="E188" s="31" t="n"/>
      <c r="J188" s="32" t="n"/>
      <c r="K188" s="32" t="n"/>
      <c r="L188" s="32" t="n"/>
      <c r="M188" s="32" t="n"/>
      <c r="N188" s="32" t="n"/>
      <c r="O188" s="32" t="n"/>
      <c r="P188" s="32" t="n"/>
      <c r="Q188" s="32" t="n"/>
      <c r="U188" s="31">
        <f>IF($A188="","",SUM(X188:AE188))</f>
        <v/>
      </c>
      <c r="V188" s="31">
        <f>IF($A188="","",IF($H188&lt;&gt;"Ausgabe",0,-$E188-$U188))</f>
        <v/>
      </c>
      <c r="W188" s="33">
        <f>IF($A188="","",DATE(YEAR($A188),MONTH($A188),1))</f>
        <v/>
      </c>
      <c r="X188" s="34">
        <f>IF(OR($A188="",$H188&lt;&gt;"Ausgabe",J188=""),0,IF(J188="x",-$E188/(COUNTIF($J188:$Q188,"x")+1),-$E188*N(J188)))</f>
        <v/>
      </c>
      <c r="Y188" s="34">
        <f>IF(OR($A188="",$H188&lt;&gt;"Ausgabe",K188=""),0,IF(K188="x",-$E188/(COUNTIF($J188:$Q188,"x")+1),-$E188*N(K188)))</f>
        <v/>
      </c>
      <c r="Z188" s="34">
        <f>IF(OR($A188="",$H188&lt;&gt;"Ausgabe",L188=""),0,IF(L188="x",-$E188/(COUNTIF($J188:$Q188,"x")+1),-$E188*N(L188)))</f>
        <v/>
      </c>
      <c r="AA188" s="34">
        <f>IF(OR($A188="",$H188&lt;&gt;"Ausgabe",M188=""),0,IF(M188="x",-$E188/(COUNTIF($J188:$Q188,"x")+1),-$E188*N(M188)))</f>
        <v/>
      </c>
      <c r="AB188" s="34">
        <f>IF(OR($A188="",$H188&lt;&gt;"Ausgabe",N188=""),0,IF(N188="x",-$E188/(COUNTIF($J188:$Q188,"x")+1),-$E188*N(N188)))</f>
        <v/>
      </c>
      <c r="AC188" s="34">
        <f>IF(OR($A188="",$H188&lt;&gt;"Ausgabe",O188=""),0,IF(O188="x",-$E188/(COUNTIF($J188:$Q188,"x")+1),-$E188*N(O188)))</f>
        <v/>
      </c>
      <c r="AD188" s="34">
        <f>IF(OR($A188="",$H188&lt;&gt;"Ausgabe",P188=""),0,IF(P188="x",-$E188/(COUNTIF($J188:$Q188,"x")+1),-$E188*N(P188)))</f>
        <v/>
      </c>
      <c r="AE188" s="34">
        <f>IF(OR($A188="",$H188&lt;&gt;"Ausgabe",Q188=""),0,IF(Q188="x",-$E188/(COUNTIF($J188:$Q188,"x")+1),-$E188*N(Q188)))</f>
        <v/>
      </c>
    </row>
    <row r="189">
      <c r="A189" s="30" t="n"/>
      <c r="E189" s="31" t="n"/>
      <c r="J189" s="32" t="n"/>
      <c r="K189" s="32" t="n"/>
      <c r="L189" s="32" t="n"/>
      <c r="M189" s="32" t="n"/>
      <c r="N189" s="32" t="n"/>
      <c r="O189" s="32" t="n"/>
      <c r="P189" s="32" t="n"/>
      <c r="Q189" s="32" t="n"/>
      <c r="U189" s="31">
        <f>IF($A189="","",SUM(X189:AE189))</f>
        <v/>
      </c>
      <c r="V189" s="31">
        <f>IF($A189="","",IF($H189&lt;&gt;"Ausgabe",0,-$E189-$U189))</f>
        <v/>
      </c>
      <c r="W189" s="33">
        <f>IF($A189="","",DATE(YEAR($A189),MONTH($A189),1))</f>
        <v/>
      </c>
      <c r="X189" s="34">
        <f>IF(OR($A189="",$H189&lt;&gt;"Ausgabe",J189=""),0,IF(J189="x",-$E189/(COUNTIF($J189:$Q189,"x")+1),-$E189*N(J189)))</f>
        <v/>
      </c>
      <c r="Y189" s="34">
        <f>IF(OR($A189="",$H189&lt;&gt;"Ausgabe",K189=""),0,IF(K189="x",-$E189/(COUNTIF($J189:$Q189,"x")+1),-$E189*N(K189)))</f>
        <v/>
      </c>
      <c r="Z189" s="34">
        <f>IF(OR($A189="",$H189&lt;&gt;"Ausgabe",L189=""),0,IF(L189="x",-$E189/(COUNTIF($J189:$Q189,"x")+1),-$E189*N(L189)))</f>
        <v/>
      </c>
      <c r="AA189" s="34">
        <f>IF(OR($A189="",$H189&lt;&gt;"Ausgabe",M189=""),0,IF(M189="x",-$E189/(COUNTIF($J189:$Q189,"x")+1),-$E189*N(M189)))</f>
        <v/>
      </c>
      <c r="AB189" s="34">
        <f>IF(OR($A189="",$H189&lt;&gt;"Ausgabe",N189=""),0,IF(N189="x",-$E189/(COUNTIF($J189:$Q189,"x")+1),-$E189*N(N189)))</f>
        <v/>
      </c>
      <c r="AC189" s="34">
        <f>IF(OR($A189="",$H189&lt;&gt;"Ausgabe",O189=""),0,IF(O189="x",-$E189/(COUNTIF($J189:$Q189,"x")+1),-$E189*N(O189)))</f>
        <v/>
      </c>
      <c r="AD189" s="34">
        <f>IF(OR($A189="",$H189&lt;&gt;"Ausgabe",P189=""),0,IF(P189="x",-$E189/(COUNTIF($J189:$Q189,"x")+1),-$E189*N(P189)))</f>
        <v/>
      </c>
      <c r="AE189" s="34">
        <f>IF(OR($A189="",$H189&lt;&gt;"Ausgabe",Q189=""),0,IF(Q189="x",-$E189/(COUNTIF($J189:$Q189,"x")+1),-$E189*N(Q189)))</f>
        <v/>
      </c>
    </row>
    <row r="190">
      <c r="A190" s="30" t="n"/>
      <c r="E190" s="31" t="n"/>
      <c r="J190" s="32" t="n"/>
      <c r="K190" s="32" t="n"/>
      <c r="L190" s="32" t="n"/>
      <c r="M190" s="32" t="n"/>
      <c r="N190" s="32" t="n"/>
      <c r="O190" s="32" t="n"/>
      <c r="P190" s="32" t="n"/>
      <c r="Q190" s="32" t="n"/>
      <c r="U190" s="31">
        <f>IF($A190="","",SUM(X190:AE190))</f>
        <v/>
      </c>
      <c r="V190" s="31">
        <f>IF($A190="","",IF($H190&lt;&gt;"Ausgabe",0,-$E190-$U190))</f>
        <v/>
      </c>
      <c r="W190" s="33">
        <f>IF($A190="","",DATE(YEAR($A190),MONTH($A190),1))</f>
        <v/>
      </c>
      <c r="X190" s="34">
        <f>IF(OR($A190="",$H190&lt;&gt;"Ausgabe",J190=""),0,IF(J190="x",-$E190/(COUNTIF($J190:$Q190,"x")+1),-$E190*N(J190)))</f>
        <v/>
      </c>
      <c r="Y190" s="34">
        <f>IF(OR($A190="",$H190&lt;&gt;"Ausgabe",K190=""),0,IF(K190="x",-$E190/(COUNTIF($J190:$Q190,"x")+1),-$E190*N(K190)))</f>
        <v/>
      </c>
      <c r="Z190" s="34">
        <f>IF(OR($A190="",$H190&lt;&gt;"Ausgabe",L190=""),0,IF(L190="x",-$E190/(COUNTIF($J190:$Q190,"x")+1),-$E190*N(L190)))</f>
        <v/>
      </c>
      <c r="AA190" s="34">
        <f>IF(OR($A190="",$H190&lt;&gt;"Ausgabe",M190=""),0,IF(M190="x",-$E190/(COUNTIF($J190:$Q190,"x")+1),-$E190*N(M190)))</f>
        <v/>
      </c>
      <c r="AB190" s="34">
        <f>IF(OR($A190="",$H190&lt;&gt;"Ausgabe",N190=""),0,IF(N190="x",-$E190/(COUNTIF($J190:$Q190,"x")+1),-$E190*N(N190)))</f>
        <v/>
      </c>
      <c r="AC190" s="34">
        <f>IF(OR($A190="",$H190&lt;&gt;"Ausgabe",O190=""),0,IF(O190="x",-$E190/(COUNTIF($J190:$Q190,"x")+1),-$E190*N(O190)))</f>
        <v/>
      </c>
      <c r="AD190" s="34">
        <f>IF(OR($A190="",$H190&lt;&gt;"Ausgabe",P190=""),0,IF(P190="x",-$E190/(COUNTIF($J190:$Q190,"x")+1),-$E190*N(P190)))</f>
        <v/>
      </c>
      <c r="AE190" s="34">
        <f>IF(OR($A190="",$H190&lt;&gt;"Ausgabe",Q190=""),0,IF(Q190="x",-$E190/(COUNTIF($J190:$Q190,"x")+1),-$E190*N(Q190)))</f>
        <v/>
      </c>
    </row>
    <row r="191">
      <c r="A191" s="30" t="n"/>
      <c r="E191" s="31" t="n"/>
      <c r="J191" s="32" t="n"/>
      <c r="K191" s="32" t="n"/>
      <c r="L191" s="32" t="n"/>
      <c r="M191" s="32" t="n"/>
      <c r="N191" s="32" t="n"/>
      <c r="O191" s="32" t="n"/>
      <c r="P191" s="32" t="n"/>
      <c r="Q191" s="32" t="n"/>
      <c r="U191" s="31">
        <f>IF($A191="","",SUM(X191:AE191))</f>
        <v/>
      </c>
      <c r="V191" s="31">
        <f>IF($A191="","",IF($H191&lt;&gt;"Ausgabe",0,-$E191-$U191))</f>
        <v/>
      </c>
      <c r="W191" s="33">
        <f>IF($A191="","",DATE(YEAR($A191),MONTH($A191),1))</f>
        <v/>
      </c>
      <c r="X191" s="34">
        <f>IF(OR($A191="",$H191&lt;&gt;"Ausgabe",J191=""),0,IF(J191="x",-$E191/(COUNTIF($J191:$Q191,"x")+1),-$E191*N(J191)))</f>
        <v/>
      </c>
      <c r="Y191" s="34">
        <f>IF(OR($A191="",$H191&lt;&gt;"Ausgabe",K191=""),0,IF(K191="x",-$E191/(COUNTIF($J191:$Q191,"x")+1),-$E191*N(K191)))</f>
        <v/>
      </c>
      <c r="Z191" s="34">
        <f>IF(OR($A191="",$H191&lt;&gt;"Ausgabe",L191=""),0,IF(L191="x",-$E191/(COUNTIF($J191:$Q191,"x")+1),-$E191*N(L191)))</f>
        <v/>
      </c>
      <c r="AA191" s="34">
        <f>IF(OR($A191="",$H191&lt;&gt;"Ausgabe",M191=""),0,IF(M191="x",-$E191/(COUNTIF($J191:$Q191,"x")+1),-$E191*N(M191)))</f>
        <v/>
      </c>
      <c r="AB191" s="34">
        <f>IF(OR($A191="",$H191&lt;&gt;"Ausgabe",N191=""),0,IF(N191="x",-$E191/(COUNTIF($J191:$Q191,"x")+1),-$E191*N(N191)))</f>
        <v/>
      </c>
      <c r="AC191" s="34">
        <f>IF(OR($A191="",$H191&lt;&gt;"Ausgabe",O191=""),0,IF(O191="x",-$E191/(COUNTIF($J191:$Q191,"x")+1),-$E191*N(O191)))</f>
        <v/>
      </c>
      <c r="AD191" s="34">
        <f>IF(OR($A191="",$H191&lt;&gt;"Ausgabe",P191=""),0,IF(P191="x",-$E191/(COUNTIF($J191:$Q191,"x")+1),-$E191*N(P191)))</f>
        <v/>
      </c>
      <c r="AE191" s="34">
        <f>IF(OR($A191="",$H191&lt;&gt;"Ausgabe",Q191=""),0,IF(Q191="x",-$E191/(COUNTIF($J191:$Q191,"x")+1),-$E191*N(Q191)))</f>
        <v/>
      </c>
    </row>
    <row r="192">
      <c r="A192" s="30" t="n"/>
      <c r="E192" s="31" t="n"/>
      <c r="J192" s="32" t="n"/>
      <c r="K192" s="32" t="n"/>
      <c r="L192" s="32" t="n"/>
      <c r="M192" s="32" t="n"/>
      <c r="N192" s="32" t="n"/>
      <c r="O192" s="32" t="n"/>
      <c r="P192" s="32" t="n"/>
      <c r="Q192" s="32" t="n"/>
      <c r="U192" s="31">
        <f>IF($A192="","",SUM(X192:AE192))</f>
        <v/>
      </c>
      <c r="V192" s="31">
        <f>IF($A192="","",IF($H192&lt;&gt;"Ausgabe",0,-$E192-$U192))</f>
        <v/>
      </c>
      <c r="W192" s="33">
        <f>IF($A192="","",DATE(YEAR($A192),MONTH($A192),1))</f>
        <v/>
      </c>
      <c r="X192" s="34">
        <f>IF(OR($A192="",$H192&lt;&gt;"Ausgabe",J192=""),0,IF(J192="x",-$E192/(COUNTIF($J192:$Q192,"x")+1),-$E192*N(J192)))</f>
        <v/>
      </c>
      <c r="Y192" s="34">
        <f>IF(OR($A192="",$H192&lt;&gt;"Ausgabe",K192=""),0,IF(K192="x",-$E192/(COUNTIF($J192:$Q192,"x")+1),-$E192*N(K192)))</f>
        <v/>
      </c>
      <c r="Z192" s="34">
        <f>IF(OR($A192="",$H192&lt;&gt;"Ausgabe",L192=""),0,IF(L192="x",-$E192/(COUNTIF($J192:$Q192,"x")+1),-$E192*N(L192)))</f>
        <v/>
      </c>
      <c r="AA192" s="34">
        <f>IF(OR($A192="",$H192&lt;&gt;"Ausgabe",M192=""),0,IF(M192="x",-$E192/(COUNTIF($J192:$Q192,"x")+1),-$E192*N(M192)))</f>
        <v/>
      </c>
      <c r="AB192" s="34">
        <f>IF(OR($A192="",$H192&lt;&gt;"Ausgabe",N192=""),0,IF(N192="x",-$E192/(COUNTIF($J192:$Q192,"x")+1),-$E192*N(N192)))</f>
        <v/>
      </c>
      <c r="AC192" s="34">
        <f>IF(OR($A192="",$H192&lt;&gt;"Ausgabe",O192=""),0,IF(O192="x",-$E192/(COUNTIF($J192:$Q192,"x")+1),-$E192*N(O192)))</f>
        <v/>
      </c>
      <c r="AD192" s="34">
        <f>IF(OR($A192="",$H192&lt;&gt;"Ausgabe",P192=""),0,IF(P192="x",-$E192/(COUNTIF($J192:$Q192,"x")+1),-$E192*N(P192)))</f>
        <v/>
      </c>
      <c r="AE192" s="34">
        <f>IF(OR($A192="",$H192&lt;&gt;"Ausgabe",Q192=""),0,IF(Q192="x",-$E192/(COUNTIF($J192:$Q192,"x")+1),-$E192*N(Q192)))</f>
        <v/>
      </c>
    </row>
    <row r="193">
      <c r="A193" s="30" t="n"/>
      <c r="E193" s="31" t="n"/>
      <c r="J193" s="32" t="n"/>
      <c r="K193" s="32" t="n"/>
      <c r="L193" s="32" t="n"/>
      <c r="M193" s="32" t="n"/>
      <c r="N193" s="32" t="n"/>
      <c r="O193" s="32" t="n"/>
      <c r="P193" s="32" t="n"/>
      <c r="Q193" s="32" t="n"/>
      <c r="U193" s="31">
        <f>IF($A193="","",SUM(X193:AE193))</f>
        <v/>
      </c>
      <c r="V193" s="31">
        <f>IF($A193="","",IF($H193&lt;&gt;"Ausgabe",0,-$E193-$U193))</f>
        <v/>
      </c>
      <c r="W193" s="33">
        <f>IF($A193="","",DATE(YEAR($A193),MONTH($A193),1))</f>
        <v/>
      </c>
      <c r="X193" s="34">
        <f>IF(OR($A193="",$H193&lt;&gt;"Ausgabe",J193=""),0,IF(J193="x",-$E193/(COUNTIF($J193:$Q193,"x")+1),-$E193*N(J193)))</f>
        <v/>
      </c>
      <c r="Y193" s="34">
        <f>IF(OR($A193="",$H193&lt;&gt;"Ausgabe",K193=""),0,IF(K193="x",-$E193/(COUNTIF($J193:$Q193,"x")+1),-$E193*N(K193)))</f>
        <v/>
      </c>
      <c r="Z193" s="34">
        <f>IF(OR($A193="",$H193&lt;&gt;"Ausgabe",L193=""),0,IF(L193="x",-$E193/(COUNTIF($J193:$Q193,"x")+1),-$E193*N(L193)))</f>
        <v/>
      </c>
      <c r="AA193" s="34">
        <f>IF(OR($A193="",$H193&lt;&gt;"Ausgabe",M193=""),0,IF(M193="x",-$E193/(COUNTIF($J193:$Q193,"x")+1),-$E193*N(M193)))</f>
        <v/>
      </c>
      <c r="AB193" s="34">
        <f>IF(OR($A193="",$H193&lt;&gt;"Ausgabe",N193=""),0,IF(N193="x",-$E193/(COUNTIF($J193:$Q193,"x")+1),-$E193*N(N193)))</f>
        <v/>
      </c>
      <c r="AC193" s="34">
        <f>IF(OR($A193="",$H193&lt;&gt;"Ausgabe",O193=""),0,IF(O193="x",-$E193/(COUNTIF($J193:$Q193,"x")+1),-$E193*N(O193)))</f>
        <v/>
      </c>
      <c r="AD193" s="34">
        <f>IF(OR($A193="",$H193&lt;&gt;"Ausgabe",P193=""),0,IF(P193="x",-$E193/(COUNTIF($J193:$Q193,"x")+1),-$E193*N(P193)))</f>
        <v/>
      </c>
      <c r="AE193" s="34">
        <f>IF(OR($A193="",$H193&lt;&gt;"Ausgabe",Q193=""),0,IF(Q193="x",-$E193/(COUNTIF($J193:$Q193,"x")+1),-$E193*N(Q193)))</f>
        <v/>
      </c>
    </row>
    <row r="194">
      <c r="A194" s="30" t="n"/>
      <c r="E194" s="31" t="n"/>
      <c r="J194" s="32" t="n"/>
      <c r="K194" s="32" t="n"/>
      <c r="L194" s="32" t="n"/>
      <c r="M194" s="32" t="n"/>
      <c r="N194" s="32" t="n"/>
      <c r="O194" s="32" t="n"/>
      <c r="P194" s="32" t="n"/>
      <c r="Q194" s="32" t="n"/>
      <c r="U194" s="31">
        <f>IF($A194="","",SUM(X194:AE194))</f>
        <v/>
      </c>
      <c r="V194" s="31">
        <f>IF($A194="","",IF($H194&lt;&gt;"Ausgabe",0,-$E194-$U194))</f>
        <v/>
      </c>
      <c r="W194" s="33">
        <f>IF($A194="","",DATE(YEAR($A194),MONTH($A194),1))</f>
        <v/>
      </c>
      <c r="X194" s="34">
        <f>IF(OR($A194="",$H194&lt;&gt;"Ausgabe",J194=""),0,IF(J194="x",-$E194/(COUNTIF($J194:$Q194,"x")+1),-$E194*N(J194)))</f>
        <v/>
      </c>
      <c r="Y194" s="34">
        <f>IF(OR($A194="",$H194&lt;&gt;"Ausgabe",K194=""),0,IF(K194="x",-$E194/(COUNTIF($J194:$Q194,"x")+1),-$E194*N(K194)))</f>
        <v/>
      </c>
      <c r="Z194" s="34">
        <f>IF(OR($A194="",$H194&lt;&gt;"Ausgabe",L194=""),0,IF(L194="x",-$E194/(COUNTIF($J194:$Q194,"x")+1),-$E194*N(L194)))</f>
        <v/>
      </c>
      <c r="AA194" s="34">
        <f>IF(OR($A194="",$H194&lt;&gt;"Ausgabe",M194=""),0,IF(M194="x",-$E194/(COUNTIF($J194:$Q194,"x")+1),-$E194*N(M194)))</f>
        <v/>
      </c>
      <c r="AB194" s="34">
        <f>IF(OR($A194="",$H194&lt;&gt;"Ausgabe",N194=""),0,IF(N194="x",-$E194/(COUNTIF($J194:$Q194,"x")+1),-$E194*N(N194)))</f>
        <v/>
      </c>
      <c r="AC194" s="34">
        <f>IF(OR($A194="",$H194&lt;&gt;"Ausgabe",O194=""),0,IF(O194="x",-$E194/(COUNTIF($J194:$Q194,"x")+1),-$E194*N(O194)))</f>
        <v/>
      </c>
      <c r="AD194" s="34">
        <f>IF(OR($A194="",$H194&lt;&gt;"Ausgabe",P194=""),0,IF(P194="x",-$E194/(COUNTIF($J194:$Q194,"x")+1),-$E194*N(P194)))</f>
        <v/>
      </c>
      <c r="AE194" s="34">
        <f>IF(OR($A194="",$H194&lt;&gt;"Ausgabe",Q194=""),0,IF(Q194="x",-$E194/(COUNTIF($J194:$Q194,"x")+1),-$E194*N(Q194)))</f>
        <v/>
      </c>
    </row>
    <row r="195">
      <c r="A195" s="30" t="n"/>
      <c r="E195" s="31" t="n"/>
      <c r="J195" s="32" t="n"/>
      <c r="K195" s="32" t="n"/>
      <c r="L195" s="32" t="n"/>
      <c r="M195" s="32" t="n"/>
      <c r="N195" s="32" t="n"/>
      <c r="O195" s="32" t="n"/>
      <c r="P195" s="32" t="n"/>
      <c r="Q195" s="32" t="n"/>
      <c r="U195" s="31">
        <f>IF($A195="","",SUM(X195:AE195))</f>
        <v/>
      </c>
      <c r="V195" s="31">
        <f>IF($A195="","",IF($H195&lt;&gt;"Ausgabe",0,-$E195-$U195))</f>
        <v/>
      </c>
      <c r="W195" s="33">
        <f>IF($A195="","",DATE(YEAR($A195),MONTH($A195),1))</f>
        <v/>
      </c>
      <c r="X195" s="34">
        <f>IF(OR($A195="",$H195&lt;&gt;"Ausgabe",J195=""),0,IF(J195="x",-$E195/(COUNTIF($J195:$Q195,"x")+1),-$E195*N(J195)))</f>
        <v/>
      </c>
      <c r="Y195" s="34">
        <f>IF(OR($A195="",$H195&lt;&gt;"Ausgabe",K195=""),0,IF(K195="x",-$E195/(COUNTIF($J195:$Q195,"x")+1),-$E195*N(K195)))</f>
        <v/>
      </c>
      <c r="Z195" s="34">
        <f>IF(OR($A195="",$H195&lt;&gt;"Ausgabe",L195=""),0,IF(L195="x",-$E195/(COUNTIF($J195:$Q195,"x")+1),-$E195*N(L195)))</f>
        <v/>
      </c>
      <c r="AA195" s="34">
        <f>IF(OR($A195="",$H195&lt;&gt;"Ausgabe",M195=""),0,IF(M195="x",-$E195/(COUNTIF($J195:$Q195,"x")+1),-$E195*N(M195)))</f>
        <v/>
      </c>
      <c r="AB195" s="34">
        <f>IF(OR($A195="",$H195&lt;&gt;"Ausgabe",N195=""),0,IF(N195="x",-$E195/(COUNTIF($J195:$Q195,"x")+1),-$E195*N(N195)))</f>
        <v/>
      </c>
      <c r="AC195" s="34">
        <f>IF(OR($A195="",$H195&lt;&gt;"Ausgabe",O195=""),0,IF(O195="x",-$E195/(COUNTIF($J195:$Q195,"x")+1),-$E195*N(O195)))</f>
        <v/>
      </c>
      <c r="AD195" s="34">
        <f>IF(OR($A195="",$H195&lt;&gt;"Ausgabe",P195=""),0,IF(P195="x",-$E195/(COUNTIF($J195:$Q195,"x")+1),-$E195*N(P195)))</f>
        <v/>
      </c>
      <c r="AE195" s="34">
        <f>IF(OR($A195="",$H195&lt;&gt;"Ausgabe",Q195=""),0,IF(Q195="x",-$E195/(COUNTIF($J195:$Q195,"x")+1),-$E195*N(Q195)))</f>
        <v/>
      </c>
    </row>
    <row r="196">
      <c r="A196" s="30" t="n"/>
      <c r="E196" s="31" t="n"/>
      <c r="J196" s="32" t="n"/>
      <c r="K196" s="32" t="n"/>
      <c r="L196" s="32" t="n"/>
      <c r="M196" s="32" t="n"/>
      <c r="N196" s="32" t="n"/>
      <c r="O196" s="32" t="n"/>
      <c r="P196" s="32" t="n"/>
      <c r="Q196" s="32" t="n"/>
      <c r="U196" s="31">
        <f>IF($A196="","",SUM(X196:AE196))</f>
        <v/>
      </c>
      <c r="V196" s="31">
        <f>IF($A196="","",IF($H196&lt;&gt;"Ausgabe",0,-$E196-$U196))</f>
        <v/>
      </c>
      <c r="W196" s="33">
        <f>IF($A196="","",DATE(YEAR($A196),MONTH($A196),1))</f>
        <v/>
      </c>
      <c r="X196" s="34">
        <f>IF(OR($A196="",$H196&lt;&gt;"Ausgabe",J196=""),0,IF(J196="x",-$E196/(COUNTIF($J196:$Q196,"x")+1),-$E196*N(J196)))</f>
        <v/>
      </c>
      <c r="Y196" s="34">
        <f>IF(OR($A196="",$H196&lt;&gt;"Ausgabe",K196=""),0,IF(K196="x",-$E196/(COUNTIF($J196:$Q196,"x")+1),-$E196*N(K196)))</f>
        <v/>
      </c>
      <c r="Z196" s="34">
        <f>IF(OR($A196="",$H196&lt;&gt;"Ausgabe",L196=""),0,IF(L196="x",-$E196/(COUNTIF($J196:$Q196,"x")+1),-$E196*N(L196)))</f>
        <v/>
      </c>
      <c r="AA196" s="34">
        <f>IF(OR($A196="",$H196&lt;&gt;"Ausgabe",M196=""),0,IF(M196="x",-$E196/(COUNTIF($J196:$Q196,"x")+1),-$E196*N(M196)))</f>
        <v/>
      </c>
      <c r="AB196" s="34">
        <f>IF(OR($A196="",$H196&lt;&gt;"Ausgabe",N196=""),0,IF(N196="x",-$E196/(COUNTIF($J196:$Q196,"x")+1),-$E196*N(N196)))</f>
        <v/>
      </c>
      <c r="AC196" s="34">
        <f>IF(OR($A196="",$H196&lt;&gt;"Ausgabe",O196=""),0,IF(O196="x",-$E196/(COUNTIF($J196:$Q196,"x")+1),-$E196*N(O196)))</f>
        <v/>
      </c>
      <c r="AD196" s="34">
        <f>IF(OR($A196="",$H196&lt;&gt;"Ausgabe",P196=""),0,IF(P196="x",-$E196/(COUNTIF($J196:$Q196,"x")+1),-$E196*N(P196)))</f>
        <v/>
      </c>
      <c r="AE196" s="34">
        <f>IF(OR($A196="",$H196&lt;&gt;"Ausgabe",Q196=""),0,IF(Q196="x",-$E196/(COUNTIF($J196:$Q196,"x")+1),-$E196*N(Q196)))</f>
        <v/>
      </c>
    </row>
    <row r="197">
      <c r="A197" s="30" t="n"/>
      <c r="E197" s="31" t="n"/>
      <c r="J197" s="32" t="n"/>
      <c r="K197" s="32" t="n"/>
      <c r="L197" s="32" t="n"/>
      <c r="M197" s="32" t="n"/>
      <c r="N197" s="32" t="n"/>
      <c r="O197" s="32" t="n"/>
      <c r="P197" s="32" t="n"/>
      <c r="Q197" s="32" t="n"/>
      <c r="U197" s="31">
        <f>IF($A197="","",SUM(X197:AE197))</f>
        <v/>
      </c>
      <c r="V197" s="31">
        <f>IF($A197="","",IF($H197&lt;&gt;"Ausgabe",0,-$E197-$U197))</f>
        <v/>
      </c>
      <c r="W197" s="33">
        <f>IF($A197="","",DATE(YEAR($A197),MONTH($A197),1))</f>
        <v/>
      </c>
      <c r="X197" s="34">
        <f>IF(OR($A197="",$H197&lt;&gt;"Ausgabe",J197=""),0,IF(J197="x",-$E197/(COUNTIF($J197:$Q197,"x")+1),-$E197*N(J197)))</f>
        <v/>
      </c>
      <c r="Y197" s="34">
        <f>IF(OR($A197="",$H197&lt;&gt;"Ausgabe",K197=""),0,IF(K197="x",-$E197/(COUNTIF($J197:$Q197,"x")+1),-$E197*N(K197)))</f>
        <v/>
      </c>
      <c r="Z197" s="34">
        <f>IF(OR($A197="",$H197&lt;&gt;"Ausgabe",L197=""),0,IF(L197="x",-$E197/(COUNTIF($J197:$Q197,"x")+1),-$E197*N(L197)))</f>
        <v/>
      </c>
      <c r="AA197" s="34">
        <f>IF(OR($A197="",$H197&lt;&gt;"Ausgabe",M197=""),0,IF(M197="x",-$E197/(COUNTIF($J197:$Q197,"x")+1),-$E197*N(M197)))</f>
        <v/>
      </c>
      <c r="AB197" s="34">
        <f>IF(OR($A197="",$H197&lt;&gt;"Ausgabe",N197=""),0,IF(N197="x",-$E197/(COUNTIF($J197:$Q197,"x")+1),-$E197*N(N197)))</f>
        <v/>
      </c>
      <c r="AC197" s="34">
        <f>IF(OR($A197="",$H197&lt;&gt;"Ausgabe",O197=""),0,IF(O197="x",-$E197/(COUNTIF($J197:$Q197,"x")+1),-$E197*N(O197)))</f>
        <v/>
      </c>
      <c r="AD197" s="34">
        <f>IF(OR($A197="",$H197&lt;&gt;"Ausgabe",P197=""),0,IF(P197="x",-$E197/(COUNTIF($J197:$Q197,"x")+1),-$E197*N(P197)))</f>
        <v/>
      </c>
      <c r="AE197" s="34">
        <f>IF(OR($A197="",$H197&lt;&gt;"Ausgabe",Q197=""),0,IF(Q197="x",-$E197/(COUNTIF($J197:$Q197,"x")+1),-$E197*N(Q197)))</f>
        <v/>
      </c>
    </row>
    <row r="198">
      <c r="A198" s="30" t="n"/>
      <c r="E198" s="31" t="n"/>
      <c r="J198" s="32" t="n"/>
      <c r="K198" s="32" t="n"/>
      <c r="L198" s="32" t="n"/>
      <c r="M198" s="32" t="n"/>
      <c r="N198" s="32" t="n"/>
      <c r="O198" s="32" t="n"/>
      <c r="P198" s="32" t="n"/>
      <c r="Q198" s="32" t="n"/>
      <c r="U198" s="31">
        <f>IF($A198="","",SUM(X198:AE198))</f>
        <v/>
      </c>
      <c r="V198" s="31">
        <f>IF($A198="","",IF($H198&lt;&gt;"Ausgabe",0,-$E198-$U198))</f>
        <v/>
      </c>
      <c r="W198" s="33">
        <f>IF($A198="","",DATE(YEAR($A198),MONTH($A198),1))</f>
        <v/>
      </c>
      <c r="X198" s="34">
        <f>IF(OR($A198="",$H198&lt;&gt;"Ausgabe",J198=""),0,IF(J198="x",-$E198/(COUNTIF($J198:$Q198,"x")+1),-$E198*N(J198)))</f>
        <v/>
      </c>
      <c r="Y198" s="34">
        <f>IF(OR($A198="",$H198&lt;&gt;"Ausgabe",K198=""),0,IF(K198="x",-$E198/(COUNTIF($J198:$Q198,"x")+1),-$E198*N(K198)))</f>
        <v/>
      </c>
      <c r="Z198" s="34">
        <f>IF(OR($A198="",$H198&lt;&gt;"Ausgabe",L198=""),0,IF(L198="x",-$E198/(COUNTIF($J198:$Q198,"x")+1),-$E198*N(L198)))</f>
        <v/>
      </c>
      <c r="AA198" s="34">
        <f>IF(OR($A198="",$H198&lt;&gt;"Ausgabe",M198=""),0,IF(M198="x",-$E198/(COUNTIF($J198:$Q198,"x")+1),-$E198*N(M198)))</f>
        <v/>
      </c>
      <c r="AB198" s="34">
        <f>IF(OR($A198="",$H198&lt;&gt;"Ausgabe",N198=""),0,IF(N198="x",-$E198/(COUNTIF($J198:$Q198,"x")+1),-$E198*N(N198)))</f>
        <v/>
      </c>
      <c r="AC198" s="34">
        <f>IF(OR($A198="",$H198&lt;&gt;"Ausgabe",O198=""),0,IF(O198="x",-$E198/(COUNTIF($J198:$Q198,"x")+1),-$E198*N(O198)))</f>
        <v/>
      </c>
      <c r="AD198" s="34">
        <f>IF(OR($A198="",$H198&lt;&gt;"Ausgabe",P198=""),0,IF(P198="x",-$E198/(COUNTIF($J198:$Q198,"x")+1),-$E198*N(P198)))</f>
        <v/>
      </c>
      <c r="AE198" s="34">
        <f>IF(OR($A198="",$H198&lt;&gt;"Ausgabe",Q198=""),0,IF(Q198="x",-$E198/(COUNTIF($J198:$Q198,"x")+1),-$E198*N(Q198)))</f>
        <v/>
      </c>
    </row>
    <row r="199">
      <c r="A199" s="30" t="n"/>
      <c r="E199" s="31" t="n"/>
      <c r="J199" s="32" t="n"/>
      <c r="K199" s="32" t="n"/>
      <c r="L199" s="32" t="n"/>
      <c r="M199" s="32" t="n"/>
      <c r="N199" s="32" t="n"/>
      <c r="O199" s="32" t="n"/>
      <c r="P199" s="32" t="n"/>
      <c r="Q199" s="32" t="n"/>
      <c r="U199" s="31">
        <f>IF($A199="","",SUM(X199:AE199))</f>
        <v/>
      </c>
      <c r="V199" s="31">
        <f>IF($A199="","",IF($H199&lt;&gt;"Ausgabe",0,-$E199-$U199))</f>
        <v/>
      </c>
      <c r="W199" s="33">
        <f>IF($A199="","",DATE(YEAR($A199),MONTH($A199),1))</f>
        <v/>
      </c>
      <c r="X199" s="34">
        <f>IF(OR($A199="",$H199&lt;&gt;"Ausgabe",J199=""),0,IF(J199="x",-$E199/(COUNTIF($J199:$Q199,"x")+1),-$E199*N(J199)))</f>
        <v/>
      </c>
      <c r="Y199" s="34">
        <f>IF(OR($A199="",$H199&lt;&gt;"Ausgabe",K199=""),0,IF(K199="x",-$E199/(COUNTIF($J199:$Q199,"x")+1),-$E199*N(K199)))</f>
        <v/>
      </c>
      <c r="Z199" s="34">
        <f>IF(OR($A199="",$H199&lt;&gt;"Ausgabe",L199=""),0,IF(L199="x",-$E199/(COUNTIF($J199:$Q199,"x")+1),-$E199*N(L199)))</f>
        <v/>
      </c>
      <c r="AA199" s="34">
        <f>IF(OR($A199="",$H199&lt;&gt;"Ausgabe",M199=""),0,IF(M199="x",-$E199/(COUNTIF($J199:$Q199,"x")+1),-$E199*N(M199)))</f>
        <v/>
      </c>
      <c r="AB199" s="34">
        <f>IF(OR($A199="",$H199&lt;&gt;"Ausgabe",N199=""),0,IF(N199="x",-$E199/(COUNTIF($J199:$Q199,"x")+1),-$E199*N(N199)))</f>
        <v/>
      </c>
      <c r="AC199" s="34">
        <f>IF(OR($A199="",$H199&lt;&gt;"Ausgabe",O199=""),0,IF(O199="x",-$E199/(COUNTIF($J199:$Q199,"x")+1),-$E199*N(O199)))</f>
        <v/>
      </c>
      <c r="AD199" s="34">
        <f>IF(OR($A199="",$H199&lt;&gt;"Ausgabe",P199=""),0,IF(P199="x",-$E199/(COUNTIF($J199:$Q199,"x")+1),-$E199*N(P199)))</f>
        <v/>
      </c>
      <c r="AE199" s="34">
        <f>IF(OR($A199="",$H199&lt;&gt;"Ausgabe",Q199=""),0,IF(Q199="x",-$E199/(COUNTIF($J199:$Q199,"x")+1),-$E199*N(Q199)))</f>
        <v/>
      </c>
    </row>
    <row r="200">
      <c r="A200" s="30" t="n"/>
      <c r="E200" s="31" t="n"/>
      <c r="J200" s="32" t="n"/>
      <c r="K200" s="32" t="n"/>
      <c r="L200" s="32" t="n"/>
      <c r="M200" s="32" t="n"/>
      <c r="N200" s="32" t="n"/>
      <c r="O200" s="32" t="n"/>
      <c r="P200" s="32" t="n"/>
      <c r="Q200" s="32" t="n"/>
      <c r="U200" s="31">
        <f>IF($A200="","",SUM(X200:AE200))</f>
        <v/>
      </c>
      <c r="V200" s="31">
        <f>IF($A200="","",IF($H200&lt;&gt;"Ausgabe",0,-$E200-$U200))</f>
        <v/>
      </c>
      <c r="W200" s="33">
        <f>IF($A200="","",DATE(YEAR($A200),MONTH($A200),1))</f>
        <v/>
      </c>
      <c r="X200" s="34">
        <f>IF(OR($A200="",$H200&lt;&gt;"Ausgabe",J200=""),0,IF(J200="x",-$E200/(COUNTIF($J200:$Q200,"x")+1),-$E200*N(J200)))</f>
        <v/>
      </c>
      <c r="Y200" s="34">
        <f>IF(OR($A200="",$H200&lt;&gt;"Ausgabe",K200=""),0,IF(K200="x",-$E200/(COUNTIF($J200:$Q200,"x")+1),-$E200*N(K200)))</f>
        <v/>
      </c>
      <c r="Z200" s="34">
        <f>IF(OR($A200="",$H200&lt;&gt;"Ausgabe",L200=""),0,IF(L200="x",-$E200/(COUNTIF($J200:$Q200,"x")+1),-$E200*N(L200)))</f>
        <v/>
      </c>
      <c r="AA200" s="34">
        <f>IF(OR($A200="",$H200&lt;&gt;"Ausgabe",M200=""),0,IF(M200="x",-$E200/(COUNTIF($J200:$Q200,"x")+1),-$E200*N(M200)))</f>
        <v/>
      </c>
      <c r="AB200" s="34">
        <f>IF(OR($A200="",$H200&lt;&gt;"Ausgabe",N200=""),0,IF(N200="x",-$E200/(COUNTIF($J200:$Q200,"x")+1),-$E200*N(N200)))</f>
        <v/>
      </c>
      <c r="AC200" s="34">
        <f>IF(OR($A200="",$H200&lt;&gt;"Ausgabe",O200=""),0,IF(O200="x",-$E200/(COUNTIF($J200:$Q200,"x")+1),-$E200*N(O200)))</f>
        <v/>
      </c>
      <c r="AD200" s="34">
        <f>IF(OR($A200="",$H200&lt;&gt;"Ausgabe",P200=""),0,IF(P200="x",-$E200/(COUNTIF($J200:$Q200,"x")+1),-$E200*N(P200)))</f>
        <v/>
      </c>
      <c r="AE200" s="34">
        <f>IF(OR($A200="",$H200&lt;&gt;"Ausgabe",Q200=""),0,IF(Q200="x",-$E200/(COUNTIF($J200:$Q200,"x")+1),-$E200*N(Q200)))</f>
        <v/>
      </c>
    </row>
    <row r="201">
      <c r="A201" s="30" t="n"/>
      <c r="E201" s="31" t="n"/>
      <c r="J201" s="32" t="n"/>
      <c r="K201" s="32" t="n"/>
      <c r="L201" s="32" t="n"/>
      <c r="M201" s="32" t="n"/>
      <c r="N201" s="32" t="n"/>
      <c r="O201" s="32" t="n"/>
      <c r="P201" s="32" t="n"/>
      <c r="Q201" s="32" t="n"/>
      <c r="U201" s="31">
        <f>IF($A201="","",SUM(X201:AE201))</f>
        <v/>
      </c>
      <c r="V201" s="31">
        <f>IF($A201="","",IF($H201&lt;&gt;"Ausgabe",0,-$E201-$U201))</f>
        <v/>
      </c>
      <c r="W201" s="33">
        <f>IF($A201="","",DATE(YEAR($A201),MONTH($A201),1))</f>
        <v/>
      </c>
      <c r="X201" s="34">
        <f>IF(OR($A201="",$H201&lt;&gt;"Ausgabe",J201=""),0,IF(J201="x",-$E201/(COUNTIF($J201:$Q201,"x")+1),-$E201*N(J201)))</f>
        <v/>
      </c>
      <c r="Y201" s="34">
        <f>IF(OR($A201="",$H201&lt;&gt;"Ausgabe",K201=""),0,IF(K201="x",-$E201/(COUNTIF($J201:$Q201,"x")+1),-$E201*N(K201)))</f>
        <v/>
      </c>
      <c r="Z201" s="34">
        <f>IF(OR($A201="",$H201&lt;&gt;"Ausgabe",L201=""),0,IF(L201="x",-$E201/(COUNTIF($J201:$Q201,"x")+1),-$E201*N(L201)))</f>
        <v/>
      </c>
      <c r="AA201" s="34">
        <f>IF(OR($A201="",$H201&lt;&gt;"Ausgabe",M201=""),0,IF(M201="x",-$E201/(COUNTIF($J201:$Q201,"x")+1),-$E201*N(M201)))</f>
        <v/>
      </c>
      <c r="AB201" s="34">
        <f>IF(OR($A201="",$H201&lt;&gt;"Ausgabe",N201=""),0,IF(N201="x",-$E201/(COUNTIF($J201:$Q201,"x")+1),-$E201*N(N201)))</f>
        <v/>
      </c>
      <c r="AC201" s="34">
        <f>IF(OR($A201="",$H201&lt;&gt;"Ausgabe",O201=""),0,IF(O201="x",-$E201/(COUNTIF($J201:$Q201,"x")+1),-$E201*N(O201)))</f>
        <v/>
      </c>
      <c r="AD201" s="34">
        <f>IF(OR($A201="",$H201&lt;&gt;"Ausgabe",P201=""),0,IF(P201="x",-$E201/(COUNTIF($J201:$Q201,"x")+1),-$E201*N(P201)))</f>
        <v/>
      </c>
      <c r="AE201" s="34">
        <f>IF(OR($A201="",$H201&lt;&gt;"Ausgabe",Q201=""),0,IF(Q201="x",-$E201/(COUNTIF($J201:$Q201,"x")+1),-$E201*N(Q201)))</f>
        <v/>
      </c>
    </row>
    <row r="202">
      <c r="A202" s="30" t="n"/>
      <c r="E202" s="31" t="n"/>
      <c r="J202" s="32" t="n"/>
      <c r="K202" s="32" t="n"/>
      <c r="L202" s="32" t="n"/>
      <c r="M202" s="32" t="n"/>
      <c r="N202" s="32" t="n"/>
      <c r="O202" s="32" t="n"/>
      <c r="P202" s="32" t="n"/>
      <c r="Q202" s="32" t="n"/>
      <c r="U202" s="31">
        <f>IF($A202="","",SUM(X202:AE202))</f>
        <v/>
      </c>
      <c r="V202" s="31">
        <f>IF($A202="","",IF($H202&lt;&gt;"Ausgabe",0,-$E202-$U202))</f>
        <v/>
      </c>
      <c r="W202" s="33">
        <f>IF($A202="","",DATE(YEAR($A202),MONTH($A202),1))</f>
        <v/>
      </c>
      <c r="X202" s="34">
        <f>IF(OR($A202="",$H202&lt;&gt;"Ausgabe",J202=""),0,IF(J202="x",-$E202/(COUNTIF($J202:$Q202,"x")+1),-$E202*N(J202)))</f>
        <v/>
      </c>
      <c r="Y202" s="34">
        <f>IF(OR($A202="",$H202&lt;&gt;"Ausgabe",K202=""),0,IF(K202="x",-$E202/(COUNTIF($J202:$Q202,"x")+1),-$E202*N(K202)))</f>
        <v/>
      </c>
      <c r="Z202" s="34">
        <f>IF(OR($A202="",$H202&lt;&gt;"Ausgabe",L202=""),0,IF(L202="x",-$E202/(COUNTIF($J202:$Q202,"x")+1),-$E202*N(L202)))</f>
        <v/>
      </c>
      <c r="AA202" s="34">
        <f>IF(OR($A202="",$H202&lt;&gt;"Ausgabe",M202=""),0,IF(M202="x",-$E202/(COUNTIF($J202:$Q202,"x")+1),-$E202*N(M202)))</f>
        <v/>
      </c>
      <c r="AB202" s="34">
        <f>IF(OR($A202="",$H202&lt;&gt;"Ausgabe",N202=""),0,IF(N202="x",-$E202/(COUNTIF($J202:$Q202,"x")+1),-$E202*N(N202)))</f>
        <v/>
      </c>
      <c r="AC202" s="34">
        <f>IF(OR($A202="",$H202&lt;&gt;"Ausgabe",O202=""),0,IF(O202="x",-$E202/(COUNTIF($J202:$Q202,"x")+1),-$E202*N(O202)))</f>
        <v/>
      </c>
      <c r="AD202" s="34">
        <f>IF(OR($A202="",$H202&lt;&gt;"Ausgabe",P202=""),0,IF(P202="x",-$E202/(COUNTIF($J202:$Q202,"x")+1),-$E202*N(P202)))</f>
        <v/>
      </c>
      <c r="AE202" s="34">
        <f>IF(OR($A202="",$H202&lt;&gt;"Ausgabe",Q202=""),0,IF(Q202="x",-$E202/(COUNTIF($J202:$Q202,"x")+1),-$E202*N(Q202)))</f>
        <v/>
      </c>
    </row>
    <row r="203">
      <c r="A203" s="30" t="n"/>
      <c r="E203" s="31" t="n"/>
      <c r="J203" s="32" t="n"/>
      <c r="K203" s="32" t="n"/>
      <c r="L203" s="32" t="n"/>
      <c r="M203" s="32" t="n"/>
      <c r="N203" s="32" t="n"/>
      <c r="O203" s="32" t="n"/>
      <c r="P203" s="32" t="n"/>
      <c r="Q203" s="32" t="n"/>
      <c r="U203" s="31">
        <f>IF($A203="","",SUM(X203:AE203))</f>
        <v/>
      </c>
      <c r="V203" s="31">
        <f>IF($A203="","",IF($H203&lt;&gt;"Ausgabe",0,-$E203-$U203))</f>
        <v/>
      </c>
      <c r="W203" s="33">
        <f>IF($A203="","",DATE(YEAR($A203),MONTH($A203),1))</f>
        <v/>
      </c>
      <c r="X203" s="34">
        <f>IF(OR($A203="",$H203&lt;&gt;"Ausgabe",J203=""),0,IF(J203="x",-$E203/(COUNTIF($J203:$Q203,"x")+1),-$E203*N(J203)))</f>
        <v/>
      </c>
      <c r="Y203" s="34">
        <f>IF(OR($A203="",$H203&lt;&gt;"Ausgabe",K203=""),0,IF(K203="x",-$E203/(COUNTIF($J203:$Q203,"x")+1),-$E203*N(K203)))</f>
        <v/>
      </c>
      <c r="Z203" s="34">
        <f>IF(OR($A203="",$H203&lt;&gt;"Ausgabe",L203=""),0,IF(L203="x",-$E203/(COUNTIF($J203:$Q203,"x")+1),-$E203*N(L203)))</f>
        <v/>
      </c>
      <c r="AA203" s="34">
        <f>IF(OR($A203="",$H203&lt;&gt;"Ausgabe",M203=""),0,IF(M203="x",-$E203/(COUNTIF($J203:$Q203,"x")+1),-$E203*N(M203)))</f>
        <v/>
      </c>
      <c r="AB203" s="34">
        <f>IF(OR($A203="",$H203&lt;&gt;"Ausgabe",N203=""),0,IF(N203="x",-$E203/(COUNTIF($J203:$Q203,"x")+1),-$E203*N(N203)))</f>
        <v/>
      </c>
      <c r="AC203" s="34">
        <f>IF(OR($A203="",$H203&lt;&gt;"Ausgabe",O203=""),0,IF(O203="x",-$E203/(COUNTIF($J203:$Q203,"x")+1),-$E203*N(O203)))</f>
        <v/>
      </c>
      <c r="AD203" s="34">
        <f>IF(OR($A203="",$H203&lt;&gt;"Ausgabe",P203=""),0,IF(P203="x",-$E203/(COUNTIF($J203:$Q203,"x")+1),-$E203*N(P203)))</f>
        <v/>
      </c>
      <c r="AE203" s="34">
        <f>IF(OR($A203="",$H203&lt;&gt;"Ausgabe",Q203=""),0,IF(Q203="x",-$E203/(COUNTIF($J203:$Q203,"x")+1),-$E203*N(Q203)))</f>
        <v/>
      </c>
    </row>
    <row r="204">
      <c r="A204" s="30" t="n"/>
      <c r="E204" s="31" t="n"/>
      <c r="J204" s="32" t="n"/>
      <c r="K204" s="32" t="n"/>
      <c r="L204" s="32" t="n"/>
      <c r="M204" s="32" t="n"/>
      <c r="N204" s="32" t="n"/>
      <c r="O204" s="32" t="n"/>
      <c r="P204" s="32" t="n"/>
      <c r="Q204" s="32" t="n"/>
      <c r="U204" s="31">
        <f>IF($A204="","",SUM(X204:AE204))</f>
        <v/>
      </c>
      <c r="V204" s="31">
        <f>IF($A204="","",IF($H204&lt;&gt;"Ausgabe",0,-$E204-$U204))</f>
        <v/>
      </c>
      <c r="W204" s="33">
        <f>IF($A204="","",DATE(YEAR($A204),MONTH($A204),1))</f>
        <v/>
      </c>
      <c r="X204" s="34">
        <f>IF(OR($A204="",$H204&lt;&gt;"Ausgabe",J204=""),0,IF(J204="x",-$E204/(COUNTIF($J204:$Q204,"x")+1),-$E204*N(J204)))</f>
        <v/>
      </c>
      <c r="Y204" s="34">
        <f>IF(OR($A204="",$H204&lt;&gt;"Ausgabe",K204=""),0,IF(K204="x",-$E204/(COUNTIF($J204:$Q204,"x")+1),-$E204*N(K204)))</f>
        <v/>
      </c>
      <c r="Z204" s="34">
        <f>IF(OR($A204="",$H204&lt;&gt;"Ausgabe",L204=""),0,IF(L204="x",-$E204/(COUNTIF($J204:$Q204,"x")+1),-$E204*N(L204)))</f>
        <v/>
      </c>
      <c r="AA204" s="34">
        <f>IF(OR($A204="",$H204&lt;&gt;"Ausgabe",M204=""),0,IF(M204="x",-$E204/(COUNTIF($J204:$Q204,"x")+1),-$E204*N(M204)))</f>
        <v/>
      </c>
      <c r="AB204" s="34">
        <f>IF(OR($A204="",$H204&lt;&gt;"Ausgabe",N204=""),0,IF(N204="x",-$E204/(COUNTIF($J204:$Q204,"x")+1),-$E204*N(N204)))</f>
        <v/>
      </c>
      <c r="AC204" s="34">
        <f>IF(OR($A204="",$H204&lt;&gt;"Ausgabe",O204=""),0,IF(O204="x",-$E204/(COUNTIF($J204:$Q204,"x")+1),-$E204*N(O204)))</f>
        <v/>
      </c>
      <c r="AD204" s="34">
        <f>IF(OR($A204="",$H204&lt;&gt;"Ausgabe",P204=""),0,IF(P204="x",-$E204/(COUNTIF($J204:$Q204,"x")+1),-$E204*N(P204)))</f>
        <v/>
      </c>
      <c r="AE204" s="34">
        <f>IF(OR($A204="",$H204&lt;&gt;"Ausgabe",Q204=""),0,IF(Q204="x",-$E204/(COUNTIF($J204:$Q204,"x")+1),-$E204*N(Q204)))</f>
        <v/>
      </c>
    </row>
    <row r="205">
      <c r="A205" s="30" t="n"/>
      <c r="E205" s="31" t="n"/>
      <c r="J205" s="32" t="n"/>
      <c r="K205" s="32" t="n"/>
      <c r="L205" s="32" t="n"/>
      <c r="M205" s="32" t="n"/>
      <c r="N205" s="32" t="n"/>
      <c r="O205" s="32" t="n"/>
      <c r="P205" s="32" t="n"/>
      <c r="Q205" s="32" t="n"/>
      <c r="U205" s="31">
        <f>IF($A205="","",SUM(X205:AE205))</f>
        <v/>
      </c>
      <c r="V205" s="31">
        <f>IF($A205="","",IF($H205&lt;&gt;"Ausgabe",0,-$E205-$U205))</f>
        <v/>
      </c>
      <c r="W205" s="33">
        <f>IF($A205="","",DATE(YEAR($A205),MONTH($A205),1))</f>
        <v/>
      </c>
      <c r="X205" s="34">
        <f>IF(OR($A205="",$H205&lt;&gt;"Ausgabe",J205=""),0,IF(J205="x",-$E205/(COUNTIF($J205:$Q205,"x")+1),-$E205*N(J205)))</f>
        <v/>
      </c>
      <c r="Y205" s="34">
        <f>IF(OR($A205="",$H205&lt;&gt;"Ausgabe",K205=""),0,IF(K205="x",-$E205/(COUNTIF($J205:$Q205,"x")+1),-$E205*N(K205)))</f>
        <v/>
      </c>
      <c r="Z205" s="34">
        <f>IF(OR($A205="",$H205&lt;&gt;"Ausgabe",L205=""),0,IF(L205="x",-$E205/(COUNTIF($J205:$Q205,"x")+1),-$E205*N(L205)))</f>
        <v/>
      </c>
      <c r="AA205" s="34">
        <f>IF(OR($A205="",$H205&lt;&gt;"Ausgabe",M205=""),0,IF(M205="x",-$E205/(COUNTIF($J205:$Q205,"x")+1),-$E205*N(M205)))</f>
        <v/>
      </c>
      <c r="AB205" s="34">
        <f>IF(OR($A205="",$H205&lt;&gt;"Ausgabe",N205=""),0,IF(N205="x",-$E205/(COUNTIF($J205:$Q205,"x")+1),-$E205*N(N205)))</f>
        <v/>
      </c>
      <c r="AC205" s="34">
        <f>IF(OR($A205="",$H205&lt;&gt;"Ausgabe",O205=""),0,IF(O205="x",-$E205/(COUNTIF($J205:$Q205,"x")+1),-$E205*N(O205)))</f>
        <v/>
      </c>
      <c r="AD205" s="34">
        <f>IF(OR($A205="",$H205&lt;&gt;"Ausgabe",P205=""),0,IF(P205="x",-$E205/(COUNTIF($J205:$Q205,"x")+1),-$E205*N(P205)))</f>
        <v/>
      </c>
      <c r="AE205" s="34">
        <f>IF(OR($A205="",$H205&lt;&gt;"Ausgabe",Q205=""),0,IF(Q205="x",-$E205/(COUNTIF($J205:$Q205,"x")+1),-$E205*N(Q205)))</f>
        <v/>
      </c>
    </row>
    <row r="206">
      <c r="A206" s="30" t="n"/>
      <c r="E206" s="31" t="n"/>
      <c r="J206" s="32" t="n"/>
      <c r="K206" s="32" t="n"/>
      <c r="L206" s="32" t="n"/>
      <c r="M206" s="32" t="n"/>
      <c r="N206" s="32" t="n"/>
      <c r="O206" s="32" t="n"/>
      <c r="P206" s="32" t="n"/>
      <c r="Q206" s="32" t="n"/>
      <c r="U206" s="31">
        <f>IF($A206="","",SUM(X206:AE206))</f>
        <v/>
      </c>
      <c r="V206" s="31">
        <f>IF($A206="","",IF($H206&lt;&gt;"Ausgabe",0,-$E206-$U206))</f>
        <v/>
      </c>
      <c r="W206" s="33">
        <f>IF($A206="","",DATE(YEAR($A206),MONTH($A206),1))</f>
        <v/>
      </c>
      <c r="X206" s="34">
        <f>IF(OR($A206="",$H206&lt;&gt;"Ausgabe",J206=""),0,IF(J206="x",-$E206/(COUNTIF($J206:$Q206,"x")+1),-$E206*N(J206)))</f>
        <v/>
      </c>
      <c r="Y206" s="34">
        <f>IF(OR($A206="",$H206&lt;&gt;"Ausgabe",K206=""),0,IF(K206="x",-$E206/(COUNTIF($J206:$Q206,"x")+1),-$E206*N(K206)))</f>
        <v/>
      </c>
      <c r="Z206" s="34">
        <f>IF(OR($A206="",$H206&lt;&gt;"Ausgabe",L206=""),0,IF(L206="x",-$E206/(COUNTIF($J206:$Q206,"x")+1),-$E206*N(L206)))</f>
        <v/>
      </c>
      <c r="AA206" s="34">
        <f>IF(OR($A206="",$H206&lt;&gt;"Ausgabe",M206=""),0,IF(M206="x",-$E206/(COUNTIF($J206:$Q206,"x")+1),-$E206*N(M206)))</f>
        <v/>
      </c>
      <c r="AB206" s="34">
        <f>IF(OR($A206="",$H206&lt;&gt;"Ausgabe",N206=""),0,IF(N206="x",-$E206/(COUNTIF($J206:$Q206,"x")+1),-$E206*N(N206)))</f>
        <v/>
      </c>
      <c r="AC206" s="34">
        <f>IF(OR($A206="",$H206&lt;&gt;"Ausgabe",O206=""),0,IF(O206="x",-$E206/(COUNTIF($J206:$Q206,"x")+1),-$E206*N(O206)))</f>
        <v/>
      </c>
      <c r="AD206" s="34">
        <f>IF(OR($A206="",$H206&lt;&gt;"Ausgabe",P206=""),0,IF(P206="x",-$E206/(COUNTIF($J206:$Q206,"x")+1),-$E206*N(P206)))</f>
        <v/>
      </c>
      <c r="AE206" s="34">
        <f>IF(OR($A206="",$H206&lt;&gt;"Ausgabe",Q206=""),0,IF(Q206="x",-$E206/(COUNTIF($J206:$Q206,"x")+1),-$E206*N(Q206)))</f>
        <v/>
      </c>
    </row>
    <row r="207">
      <c r="A207" s="30" t="n"/>
      <c r="E207" s="31" t="n"/>
      <c r="J207" s="32" t="n"/>
      <c r="K207" s="32" t="n"/>
      <c r="L207" s="32" t="n"/>
      <c r="M207" s="32" t="n"/>
      <c r="N207" s="32" t="n"/>
      <c r="O207" s="32" t="n"/>
      <c r="P207" s="32" t="n"/>
      <c r="Q207" s="32" t="n"/>
      <c r="U207" s="31">
        <f>IF($A207="","",SUM(X207:AE207))</f>
        <v/>
      </c>
      <c r="V207" s="31">
        <f>IF($A207="","",IF($H207&lt;&gt;"Ausgabe",0,-$E207-$U207))</f>
        <v/>
      </c>
      <c r="W207" s="33">
        <f>IF($A207="","",DATE(YEAR($A207),MONTH($A207),1))</f>
        <v/>
      </c>
      <c r="X207" s="34">
        <f>IF(OR($A207="",$H207&lt;&gt;"Ausgabe",J207=""),0,IF(J207="x",-$E207/(COUNTIF($J207:$Q207,"x")+1),-$E207*N(J207)))</f>
        <v/>
      </c>
      <c r="Y207" s="34">
        <f>IF(OR($A207="",$H207&lt;&gt;"Ausgabe",K207=""),0,IF(K207="x",-$E207/(COUNTIF($J207:$Q207,"x")+1),-$E207*N(K207)))</f>
        <v/>
      </c>
      <c r="Z207" s="34">
        <f>IF(OR($A207="",$H207&lt;&gt;"Ausgabe",L207=""),0,IF(L207="x",-$E207/(COUNTIF($J207:$Q207,"x")+1),-$E207*N(L207)))</f>
        <v/>
      </c>
      <c r="AA207" s="34">
        <f>IF(OR($A207="",$H207&lt;&gt;"Ausgabe",M207=""),0,IF(M207="x",-$E207/(COUNTIF($J207:$Q207,"x")+1),-$E207*N(M207)))</f>
        <v/>
      </c>
      <c r="AB207" s="34">
        <f>IF(OR($A207="",$H207&lt;&gt;"Ausgabe",N207=""),0,IF(N207="x",-$E207/(COUNTIF($J207:$Q207,"x")+1),-$E207*N(N207)))</f>
        <v/>
      </c>
      <c r="AC207" s="34">
        <f>IF(OR($A207="",$H207&lt;&gt;"Ausgabe",O207=""),0,IF(O207="x",-$E207/(COUNTIF($J207:$Q207,"x")+1),-$E207*N(O207)))</f>
        <v/>
      </c>
      <c r="AD207" s="34">
        <f>IF(OR($A207="",$H207&lt;&gt;"Ausgabe",P207=""),0,IF(P207="x",-$E207/(COUNTIF($J207:$Q207,"x")+1),-$E207*N(P207)))</f>
        <v/>
      </c>
      <c r="AE207" s="34">
        <f>IF(OR($A207="",$H207&lt;&gt;"Ausgabe",Q207=""),0,IF(Q207="x",-$E207/(COUNTIF($J207:$Q207,"x")+1),-$E207*N(Q207)))</f>
        <v/>
      </c>
    </row>
    <row r="208">
      <c r="A208" s="30" t="n"/>
      <c r="E208" s="31" t="n"/>
      <c r="J208" s="32" t="n"/>
      <c r="K208" s="32" t="n"/>
      <c r="L208" s="32" t="n"/>
      <c r="M208" s="32" t="n"/>
      <c r="N208" s="32" t="n"/>
      <c r="O208" s="32" t="n"/>
      <c r="P208" s="32" t="n"/>
      <c r="Q208" s="32" t="n"/>
      <c r="U208" s="31">
        <f>IF($A208="","",SUM(X208:AE208))</f>
        <v/>
      </c>
      <c r="V208" s="31">
        <f>IF($A208="","",IF($H208&lt;&gt;"Ausgabe",0,-$E208-$U208))</f>
        <v/>
      </c>
      <c r="W208" s="33">
        <f>IF($A208="","",DATE(YEAR($A208),MONTH($A208),1))</f>
        <v/>
      </c>
      <c r="X208" s="34">
        <f>IF(OR($A208="",$H208&lt;&gt;"Ausgabe",J208=""),0,IF(J208="x",-$E208/(COUNTIF($J208:$Q208,"x")+1),-$E208*N(J208)))</f>
        <v/>
      </c>
      <c r="Y208" s="34">
        <f>IF(OR($A208="",$H208&lt;&gt;"Ausgabe",K208=""),0,IF(K208="x",-$E208/(COUNTIF($J208:$Q208,"x")+1),-$E208*N(K208)))</f>
        <v/>
      </c>
      <c r="Z208" s="34">
        <f>IF(OR($A208="",$H208&lt;&gt;"Ausgabe",L208=""),0,IF(L208="x",-$E208/(COUNTIF($J208:$Q208,"x")+1),-$E208*N(L208)))</f>
        <v/>
      </c>
      <c r="AA208" s="34">
        <f>IF(OR($A208="",$H208&lt;&gt;"Ausgabe",M208=""),0,IF(M208="x",-$E208/(COUNTIF($J208:$Q208,"x")+1),-$E208*N(M208)))</f>
        <v/>
      </c>
      <c r="AB208" s="34">
        <f>IF(OR($A208="",$H208&lt;&gt;"Ausgabe",N208=""),0,IF(N208="x",-$E208/(COUNTIF($J208:$Q208,"x")+1),-$E208*N(N208)))</f>
        <v/>
      </c>
      <c r="AC208" s="34">
        <f>IF(OR($A208="",$H208&lt;&gt;"Ausgabe",O208=""),0,IF(O208="x",-$E208/(COUNTIF($J208:$Q208,"x")+1),-$E208*N(O208)))</f>
        <v/>
      </c>
      <c r="AD208" s="34">
        <f>IF(OR($A208="",$H208&lt;&gt;"Ausgabe",P208=""),0,IF(P208="x",-$E208/(COUNTIF($J208:$Q208,"x")+1),-$E208*N(P208)))</f>
        <v/>
      </c>
      <c r="AE208" s="34">
        <f>IF(OR($A208="",$H208&lt;&gt;"Ausgabe",Q208=""),0,IF(Q208="x",-$E208/(COUNTIF($J208:$Q208,"x")+1),-$E208*N(Q208)))</f>
        <v/>
      </c>
    </row>
    <row r="209">
      <c r="A209" s="30" t="n"/>
      <c r="E209" s="31" t="n"/>
      <c r="J209" s="32" t="n"/>
      <c r="K209" s="32" t="n"/>
      <c r="L209" s="32" t="n"/>
      <c r="M209" s="32" t="n"/>
      <c r="N209" s="32" t="n"/>
      <c r="O209" s="32" t="n"/>
      <c r="P209" s="32" t="n"/>
      <c r="Q209" s="32" t="n"/>
      <c r="U209" s="31">
        <f>IF($A209="","",SUM(X209:AE209))</f>
        <v/>
      </c>
      <c r="V209" s="31">
        <f>IF($A209="","",IF($H209&lt;&gt;"Ausgabe",0,-$E209-$U209))</f>
        <v/>
      </c>
      <c r="W209" s="33">
        <f>IF($A209="","",DATE(YEAR($A209),MONTH($A209),1))</f>
        <v/>
      </c>
      <c r="X209" s="34">
        <f>IF(OR($A209="",$H209&lt;&gt;"Ausgabe",J209=""),0,IF(J209="x",-$E209/(COUNTIF($J209:$Q209,"x")+1),-$E209*N(J209)))</f>
        <v/>
      </c>
      <c r="Y209" s="34">
        <f>IF(OR($A209="",$H209&lt;&gt;"Ausgabe",K209=""),0,IF(K209="x",-$E209/(COUNTIF($J209:$Q209,"x")+1),-$E209*N(K209)))</f>
        <v/>
      </c>
      <c r="Z209" s="34">
        <f>IF(OR($A209="",$H209&lt;&gt;"Ausgabe",L209=""),0,IF(L209="x",-$E209/(COUNTIF($J209:$Q209,"x")+1),-$E209*N(L209)))</f>
        <v/>
      </c>
      <c r="AA209" s="34">
        <f>IF(OR($A209="",$H209&lt;&gt;"Ausgabe",M209=""),0,IF(M209="x",-$E209/(COUNTIF($J209:$Q209,"x")+1),-$E209*N(M209)))</f>
        <v/>
      </c>
      <c r="AB209" s="34">
        <f>IF(OR($A209="",$H209&lt;&gt;"Ausgabe",N209=""),0,IF(N209="x",-$E209/(COUNTIF($J209:$Q209,"x")+1),-$E209*N(N209)))</f>
        <v/>
      </c>
      <c r="AC209" s="34">
        <f>IF(OR($A209="",$H209&lt;&gt;"Ausgabe",O209=""),0,IF(O209="x",-$E209/(COUNTIF($J209:$Q209,"x")+1),-$E209*N(O209)))</f>
        <v/>
      </c>
      <c r="AD209" s="34">
        <f>IF(OR($A209="",$H209&lt;&gt;"Ausgabe",P209=""),0,IF(P209="x",-$E209/(COUNTIF($J209:$Q209,"x")+1),-$E209*N(P209)))</f>
        <v/>
      </c>
      <c r="AE209" s="34">
        <f>IF(OR($A209="",$H209&lt;&gt;"Ausgabe",Q209=""),0,IF(Q209="x",-$E209/(COUNTIF($J209:$Q209,"x")+1),-$E209*N(Q209)))</f>
        <v/>
      </c>
    </row>
    <row r="210">
      <c r="A210" s="30" t="n"/>
      <c r="E210" s="31" t="n"/>
      <c r="J210" s="32" t="n"/>
      <c r="K210" s="32" t="n"/>
      <c r="L210" s="32" t="n"/>
      <c r="M210" s="32" t="n"/>
      <c r="N210" s="32" t="n"/>
      <c r="O210" s="32" t="n"/>
      <c r="P210" s="32" t="n"/>
      <c r="Q210" s="32" t="n"/>
      <c r="U210" s="31">
        <f>IF($A210="","",SUM(X210:AE210))</f>
        <v/>
      </c>
      <c r="V210" s="31">
        <f>IF($A210="","",IF($H210&lt;&gt;"Ausgabe",0,-$E210-$U210))</f>
        <v/>
      </c>
      <c r="W210" s="33">
        <f>IF($A210="","",DATE(YEAR($A210),MONTH($A210),1))</f>
        <v/>
      </c>
      <c r="X210" s="34">
        <f>IF(OR($A210="",$H210&lt;&gt;"Ausgabe",J210=""),0,IF(J210="x",-$E210/(COUNTIF($J210:$Q210,"x")+1),-$E210*N(J210)))</f>
        <v/>
      </c>
      <c r="Y210" s="34">
        <f>IF(OR($A210="",$H210&lt;&gt;"Ausgabe",K210=""),0,IF(K210="x",-$E210/(COUNTIF($J210:$Q210,"x")+1),-$E210*N(K210)))</f>
        <v/>
      </c>
      <c r="Z210" s="34">
        <f>IF(OR($A210="",$H210&lt;&gt;"Ausgabe",L210=""),0,IF(L210="x",-$E210/(COUNTIF($J210:$Q210,"x")+1),-$E210*N(L210)))</f>
        <v/>
      </c>
      <c r="AA210" s="34">
        <f>IF(OR($A210="",$H210&lt;&gt;"Ausgabe",M210=""),0,IF(M210="x",-$E210/(COUNTIF($J210:$Q210,"x")+1),-$E210*N(M210)))</f>
        <v/>
      </c>
      <c r="AB210" s="34">
        <f>IF(OR($A210="",$H210&lt;&gt;"Ausgabe",N210=""),0,IF(N210="x",-$E210/(COUNTIF($J210:$Q210,"x")+1),-$E210*N(N210)))</f>
        <v/>
      </c>
      <c r="AC210" s="34">
        <f>IF(OR($A210="",$H210&lt;&gt;"Ausgabe",O210=""),0,IF(O210="x",-$E210/(COUNTIF($J210:$Q210,"x")+1),-$E210*N(O210)))</f>
        <v/>
      </c>
      <c r="AD210" s="34">
        <f>IF(OR($A210="",$H210&lt;&gt;"Ausgabe",P210=""),0,IF(P210="x",-$E210/(COUNTIF($J210:$Q210,"x")+1),-$E210*N(P210)))</f>
        <v/>
      </c>
      <c r="AE210" s="34">
        <f>IF(OR($A210="",$H210&lt;&gt;"Ausgabe",Q210=""),0,IF(Q210="x",-$E210/(COUNTIF($J210:$Q210,"x")+1),-$E210*N(Q210)))</f>
        <v/>
      </c>
    </row>
    <row r="211">
      <c r="A211" s="30" t="n"/>
      <c r="E211" s="31" t="n"/>
      <c r="J211" s="32" t="n"/>
      <c r="K211" s="32" t="n"/>
      <c r="L211" s="32" t="n"/>
      <c r="M211" s="32" t="n"/>
      <c r="N211" s="32" t="n"/>
      <c r="O211" s="32" t="n"/>
      <c r="P211" s="32" t="n"/>
      <c r="Q211" s="32" t="n"/>
      <c r="U211" s="31">
        <f>IF($A211="","",SUM(X211:AE211))</f>
        <v/>
      </c>
      <c r="V211" s="31">
        <f>IF($A211="","",IF($H211&lt;&gt;"Ausgabe",0,-$E211-$U211))</f>
        <v/>
      </c>
      <c r="W211" s="33">
        <f>IF($A211="","",DATE(YEAR($A211),MONTH($A211),1))</f>
        <v/>
      </c>
      <c r="X211" s="34">
        <f>IF(OR($A211="",$H211&lt;&gt;"Ausgabe",J211=""),0,IF(J211="x",-$E211/(COUNTIF($J211:$Q211,"x")+1),-$E211*N(J211)))</f>
        <v/>
      </c>
      <c r="Y211" s="34">
        <f>IF(OR($A211="",$H211&lt;&gt;"Ausgabe",K211=""),0,IF(K211="x",-$E211/(COUNTIF($J211:$Q211,"x")+1),-$E211*N(K211)))</f>
        <v/>
      </c>
      <c r="Z211" s="34">
        <f>IF(OR($A211="",$H211&lt;&gt;"Ausgabe",L211=""),0,IF(L211="x",-$E211/(COUNTIF($J211:$Q211,"x")+1),-$E211*N(L211)))</f>
        <v/>
      </c>
      <c r="AA211" s="34">
        <f>IF(OR($A211="",$H211&lt;&gt;"Ausgabe",M211=""),0,IF(M211="x",-$E211/(COUNTIF($J211:$Q211,"x")+1),-$E211*N(M211)))</f>
        <v/>
      </c>
      <c r="AB211" s="34">
        <f>IF(OR($A211="",$H211&lt;&gt;"Ausgabe",N211=""),0,IF(N211="x",-$E211/(COUNTIF($J211:$Q211,"x")+1),-$E211*N(N211)))</f>
        <v/>
      </c>
      <c r="AC211" s="34">
        <f>IF(OR($A211="",$H211&lt;&gt;"Ausgabe",O211=""),0,IF(O211="x",-$E211/(COUNTIF($J211:$Q211,"x")+1),-$E211*N(O211)))</f>
        <v/>
      </c>
      <c r="AD211" s="34">
        <f>IF(OR($A211="",$H211&lt;&gt;"Ausgabe",P211=""),0,IF(P211="x",-$E211/(COUNTIF($J211:$Q211,"x")+1),-$E211*N(P211)))</f>
        <v/>
      </c>
      <c r="AE211" s="34">
        <f>IF(OR($A211="",$H211&lt;&gt;"Ausgabe",Q211=""),0,IF(Q211="x",-$E211/(COUNTIF($J211:$Q211,"x")+1),-$E211*N(Q211)))</f>
        <v/>
      </c>
    </row>
    <row r="212">
      <c r="A212" s="30" t="n"/>
      <c r="E212" s="31" t="n"/>
      <c r="J212" s="32" t="n"/>
      <c r="K212" s="32" t="n"/>
      <c r="L212" s="32" t="n"/>
      <c r="M212" s="32" t="n"/>
      <c r="N212" s="32" t="n"/>
      <c r="O212" s="32" t="n"/>
      <c r="P212" s="32" t="n"/>
      <c r="Q212" s="32" t="n"/>
      <c r="U212" s="31">
        <f>IF($A212="","",SUM(X212:AE212))</f>
        <v/>
      </c>
      <c r="V212" s="31">
        <f>IF($A212="","",IF($H212&lt;&gt;"Ausgabe",0,-$E212-$U212))</f>
        <v/>
      </c>
      <c r="W212" s="33">
        <f>IF($A212="","",DATE(YEAR($A212),MONTH($A212),1))</f>
        <v/>
      </c>
      <c r="X212" s="34">
        <f>IF(OR($A212="",$H212&lt;&gt;"Ausgabe",J212=""),0,IF(J212="x",-$E212/(COUNTIF($J212:$Q212,"x")+1),-$E212*N(J212)))</f>
        <v/>
      </c>
      <c r="Y212" s="34">
        <f>IF(OR($A212="",$H212&lt;&gt;"Ausgabe",K212=""),0,IF(K212="x",-$E212/(COUNTIF($J212:$Q212,"x")+1),-$E212*N(K212)))</f>
        <v/>
      </c>
      <c r="Z212" s="34">
        <f>IF(OR($A212="",$H212&lt;&gt;"Ausgabe",L212=""),0,IF(L212="x",-$E212/(COUNTIF($J212:$Q212,"x")+1),-$E212*N(L212)))</f>
        <v/>
      </c>
      <c r="AA212" s="34">
        <f>IF(OR($A212="",$H212&lt;&gt;"Ausgabe",M212=""),0,IF(M212="x",-$E212/(COUNTIF($J212:$Q212,"x")+1),-$E212*N(M212)))</f>
        <v/>
      </c>
      <c r="AB212" s="34">
        <f>IF(OR($A212="",$H212&lt;&gt;"Ausgabe",N212=""),0,IF(N212="x",-$E212/(COUNTIF($J212:$Q212,"x")+1),-$E212*N(N212)))</f>
        <v/>
      </c>
      <c r="AC212" s="34">
        <f>IF(OR($A212="",$H212&lt;&gt;"Ausgabe",O212=""),0,IF(O212="x",-$E212/(COUNTIF($J212:$Q212,"x")+1),-$E212*N(O212)))</f>
        <v/>
      </c>
      <c r="AD212" s="34">
        <f>IF(OR($A212="",$H212&lt;&gt;"Ausgabe",P212=""),0,IF(P212="x",-$E212/(COUNTIF($J212:$Q212,"x")+1),-$E212*N(P212)))</f>
        <v/>
      </c>
      <c r="AE212" s="34">
        <f>IF(OR($A212="",$H212&lt;&gt;"Ausgabe",Q212=""),0,IF(Q212="x",-$E212/(COUNTIF($J212:$Q212,"x")+1),-$E212*N(Q212)))</f>
        <v/>
      </c>
    </row>
    <row r="213">
      <c r="A213" s="30" t="n"/>
      <c r="E213" s="31" t="n"/>
      <c r="J213" s="32" t="n"/>
      <c r="K213" s="32" t="n"/>
      <c r="L213" s="32" t="n"/>
      <c r="M213" s="32" t="n"/>
      <c r="N213" s="32" t="n"/>
      <c r="O213" s="32" t="n"/>
      <c r="P213" s="32" t="n"/>
      <c r="Q213" s="32" t="n"/>
      <c r="U213" s="31">
        <f>IF($A213="","",SUM(X213:AE213))</f>
        <v/>
      </c>
      <c r="V213" s="31">
        <f>IF($A213="","",IF($H213&lt;&gt;"Ausgabe",0,-$E213-$U213))</f>
        <v/>
      </c>
      <c r="W213" s="33">
        <f>IF($A213="","",DATE(YEAR($A213),MONTH($A213),1))</f>
        <v/>
      </c>
      <c r="X213" s="34">
        <f>IF(OR($A213="",$H213&lt;&gt;"Ausgabe",J213=""),0,IF(J213="x",-$E213/(COUNTIF($J213:$Q213,"x")+1),-$E213*N(J213)))</f>
        <v/>
      </c>
      <c r="Y213" s="34">
        <f>IF(OR($A213="",$H213&lt;&gt;"Ausgabe",K213=""),0,IF(K213="x",-$E213/(COUNTIF($J213:$Q213,"x")+1),-$E213*N(K213)))</f>
        <v/>
      </c>
      <c r="Z213" s="34">
        <f>IF(OR($A213="",$H213&lt;&gt;"Ausgabe",L213=""),0,IF(L213="x",-$E213/(COUNTIF($J213:$Q213,"x")+1),-$E213*N(L213)))</f>
        <v/>
      </c>
      <c r="AA213" s="34">
        <f>IF(OR($A213="",$H213&lt;&gt;"Ausgabe",M213=""),0,IF(M213="x",-$E213/(COUNTIF($J213:$Q213,"x")+1),-$E213*N(M213)))</f>
        <v/>
      </c>
      <c r="AB213" s="34">
        <f>IF(OR($A213="",$H213&lt;&gt;"Ausgabe",N213=""),0,IF(N213="x",-$E213/(COUNTIF($J213:$Q213,"x")+1),-$E213*N(N213)))</f>
        <v/>
      </c>
      <c r="AC213" s="34">
        <f>IF(OR($A213="",$H213&lt;&gt;"Ausgabe",O213=""),0,IF(O213="x",-$E213/(COUNTIF($J213:$Q213,"x")+1),-$E213*N(O213)))</f>
        <v/>
      </c>
      <c r="AD213" s="34">
        <f>IF(OR($A213="",$H213&lt;&gt;"Ausgabe",P213=""),0,IF(P213="x",-$E213/(COUNTIF($J213:$Q213,"x")+1),-$E213*N(P213)))</f>
        <v/>
      </c>
      <c r="AE213" s="34">
        <f>IF(OR($A213="",$H213&lt;&gt;"Ausgabe",Q213=""),0,IF(Q213="x",-$E213/(COUNTIF($J213:$Q213,"x")+1),-$E213*N(Q213)))</f>
        <v/>
      </c>
    </row>
    <row r="214">
      <c r="A214" s="30" t="n"/>
      <c r="E214" s="31" t="n"/>
      <c r="J214" s="32" t="n"/>
      <c r="K214" s="32" t="n"/>
      <c r="L214" s="32" t="n"/>
      <c r="M214" s="32" t="n"/>
      <c r="N214" s="32" t="n"/>
      <c r="O214" s="32" t="n"/>
      <c r="P214" s="32" t="n"/>
      <c r="Q214" s="32" t="n"/>
      <c r="U214" s="31">
        <f>IF($A214="","",SUM(X214:AE214))</f>
        <v/>
      </c>
      <c r="V214" s="31">
        <f>IF($A214="","",IF($H214&lt;&gt;"Ausgabe",0,-$E214-$U214))</f>
        <v/>
      </c>
      <c r="W214" s="33">
        <f>IF($A214="","",DATE(YEAR($A214),MONTH($A214),1))</f>
        <v/>
      </c>
      <c r="X214" s="34">
        <f>IF(OR($A214="",$H214&lt;&gt;"Ausgabe",J214=""),0,IF(J214="x",-$E214/(COUNTIF($J214:$Q214,"x")+1),-$E214*N(J214)))</f>
        <v/>
      </c>
      <c r="Y214" s="34">
        <f>IF(OR($A214="",$H214&lt;&gt;"Ausgabe",K214=""),0,IF(K214="x",-$E214/(COUNTIF($J214:$Q214,"x")+1),-$E214*N(K214)))</f>
        <v/>
      </c>
      <c r="Z214" s="34">
        <f>IF(OR($A214="",$H214&lt;&gt;"Ausgabe",L214=""),0,IF(L214="x",-$E214/(COUNTIF($J214:$Q214,"x")+1),-$E214*N(L214)))</f>
        <v/>
      </c>
      <c r="AA214" s="34">
        <f>IF(OR($A214="",$H214&lt;&gt;"Ausgabe",M214=""),0,IF(M214="x",-$E214/(COUNTIF($J214:$Q214,"x")+1),-$E214*N(M214)))</f>
        <v/>
      </c>
      <c r="AB214" s="34">
        <f>IF(OR($A214="",$H214&lt;&gt;"Ausgabe",N214=""),0,IF(N214="x",-$E214/(COUNTIF($J214:$Q214,"x")+1),-$E214*N(N214)))</f>
        <v/>
      </c>
      <c r="AC214" s="34">
        <f>IF(OR($A214="",$H214&lt;&gt;"Ausgabe",O214=""),0,IF(O214="x",-$E214/(COUNTIF($J214:$Q214,"x")+1),-$E214*N(O214)))</f>
        <v/>
      </c>
      <c r="AD214" s="34">
        <f>IF(OR($A214="",$H214&lt;&gt;"Ausgabe",P214=""),0,IF(P214="x",-$E214/(COUNTIF($J214:$Q214,"x")+1),-$E214*N(P214)))</f>
        <v/>
      </c>
      <c r="AE214" s="34">
        <f>IF(OR($A214="",$H214&lt;&gt;"Ausgabe",Q214=""),0,IF(Q214="x",-$E214/(COUNTIF($J214:$Q214,"x")+1),-$E214*N(Q214)))</f>
        <v/>
      </c>
    </row>
    <row r="215">
      <c r="A215" s="30" t="n"/>
      <c r="E215" s="31" t="n"/>
      <c r="J215" s="32" t="n"/>
      <c r="K215" s="32" t="n"/>
      <c r="L215" s="32" t="n"/>
      <c r="M215" s="32" t="n"/>
      <c r="N215" s="32" t="n"/>
      <c r="O215" s="32" t="n"/>
      <c r="P215" s="32" t="n"/>
      <c r="Q215" s="32" t="n"/>
      <c r="U215" s="31">
        <f>IF($A215="","",SUM(X215:AE215))</f>
        <v/>
      </c>
      <c r="V215" s="31">
        <f>IF($A215="","",IF($H215&lt;&gt;"Ausgabe",0,-$E215-$U215))</f>
        <v/>
      </c>
      <c r="W215" s="33">
        <f>IF($A215="","",DATE(YEAR($A215),MONTH($A215),1))</f>
        <v/>
      </c>
      <c r="X215" s="34">
        <f>IF(OR($A215="",$H215&lt;&gt;"Ausgabe",J215=""),0,IF(J215="x",-$E215/(COUNTIF($J215:$Q215,"x")+1),-$E215*N(J215)))</f>
        <v/>
      </c>
      <c r="Y215" s="34">
        <f>IF(OR($A215="",$H215&lt;&gt;"Ausgabe",K215=""),0,IF(K215="x",-$E215/(COUNTIF($J215:$Q215,"x")+1),-$E215*N(K215)))</f>
        <v/>
      </c>
      <c r="Z215" s="34">
        <f>IF(OR($A215="",$H215&lt;&gt;"Ausgabe",L215=""),0,IF(L215="x",-$E215/(COUNTIF($J215:$Q215,"x")+1),-$E215*N(L215)))</f>
        <v/>
      </c>
      <c r="AA215" s="34">
        <f>IF(OR($A215="",$H215&lt;&gt;"Ausgabe",M215=""),0,IF(M215="x",-$E215/(COUNTIF($J215:$Q215,"x")+1),-$E215*N(M215)))</f>
        <v/>
      </c>
      <c r="AB215" s="34">
        <f>IF(OR($A215="",$H215&lt;&gt;"Ausgabe",N215=""),0,IF(N215="x",-$E215/(COUNTIF($J215:$Q215,"x")+1),-$E215*N(N215)))</f>
        <v/>
      </c>
      <c r="AC215" s="34">
        <f>IF(OR($A215="",$H215&lt;&gt;"Ausgabe",O215=""),0,IF(O215="x",-$E215/(COUNTIF($J215:$Q215,"x")+1),-$E215*N(O215)))</f>
        <v/>
      </c>
      <c r="AD215" s="34">
        <f>IF(OR($A215="",$H215&lt;&gt;"Ausgabe",P215=""),0,IF(P215="x",-$E215/(COUNTIF($J215:$Q215,"x")+1),-$E215*N(P215)))</f>
        <v/>
      </c>
      <c r="AE215" s="34">
        <f>IF(OR($A215="",$H215&lt;&gt;"Ausgabe",Q215=""),0,IF(Q215="x",-$E215/(COUNTIF($J215:$Q215,"x")+1),-$E215*N(Q215)))</f>
        <v/>
      </c>
    </row>
    <row r="216">
      <c r="A216" s="30" t="n"/>
      <c r="E216" s="31" t="n"/>
      <c r="J216" s="32" t="n"/>
      <c r="K216" s="32" t="n"/>
      <c r="L216" s="32" t="n"/>
      <c r="M216" s="32" t="n"/>
      <c r="N216" s="32" t="n"/>
      <c r="O216" s="32" t="n"/>
      <c r="P216" s="32" t="n"/>
      <c r="Q216" s="32" t="n"/>
      <c r="U216" s="31">
        <f>IF($A216="","",SUM(X216:AE216))</f>
        <v/>
      </c>
      <c r="V216" s="31">
        <f>IF($A216="","",IF($H216&lt;&gt;"Ausgabe",0,-$E216-$U216))</f>
        <v/>
      </c>
      <c r="W216" s="33">
        <f>IF($A216="","",DATE(YEAR($A216),MONTH($A216),1))</f>
        <v/>
      </c>
      <c r="X216" s="34">
        <f>IF(OR($A216="",$H216&lt;&gt;"Ausgabe",J216=""),0,IF(J216="x",-$E216/(COUNTIF($J216:$Q216,"x")+1),-$E216*N(J216)))</f>
        <v/>
      </c>
      <c r="Y216" s="34">
        <f>IF(OR($A216="",$H216&lt;&gt;"Ausgabe",K216=""),0,IF(K216="x",-$E216/(COUNTIF($J216:$Q216,"x")+1),-$E216*N(K216)))</f>
        <v/>
      </c>
      <c r="Z216" s="34">
        <f>IF(OR($A216="",$H216&lt;&gt;"Ausgabe",L216=""),0,IF(L216="x",-$E216/(COUNTIF($J216:$Q216,"x")+1),-$E216*N(L216)))</f>
        <v/>
      </c>
      <c r="AA216" s="34">
        <f>IF(OR($A216="",$H216&lt;&gt;"Ausgabe",M216=""),0,IF(M216="x",-$E216/(COUNTIF($J216:$Q216,"x")+1),-$E216*N(M216)))</f>
        <v/>
      </c>
      <c r="AB216" s="34">
        <f>IF(OR($A216="",$H216&lt;&gt;"Ausgabe",N216=""),0,IF(N216="x",-$E216/(COUNTIF($J216:$Q216,"x")+1),-$E216*N(N216)))</f>
        <v/>
      </c>
      <c r="AC216" s="34">
        <f>IF(OR($A216="",$H216&lt;&gt;"Ausgabe",O216=""),0,IF(O216="x",-$E216/(COUNTIF($J216:$Q216,"x")+1),-$E216*N(O216)))</f>
        <v/>
      </c>
      <c r="AD216" s="34">
        <f>IF(OR($A216="",$H216&lt;&gt;"Ausgabe",P216=""),0,IF(P216="x",-$E216/(COUNTIF($J216:$Q216,"x")+1),-$E216*N(P216)))</f>
        <v/>
      </c>
      <c r="AE216" s="34">
        <f>IF(OR($A216="",$H216&lt;&gt;"Ausgabe",Q216=""),0,IF(Q216="x",-$E216/(COUNTIF($J216:$Q216,"x")+1),-$E216*N(Q216)))</f>
        <v/>
      </c>
    </row>
    <row r="217">
      <c r="A217" s="30" t="n"/>
      <c r="E217" s="31" t="n"/>
      <c r="J217" s="32" t="n"/>
      <c r="K217" s="32" t="n"/>
      <c r="L217" s="32" t="n"/>
      <c r="M217" s="32" t="n"/>
      <c r="N217" s="32" t="n"/>
      <c r="O217" s="32" t="n"/>
      <c r="P217" s="32" t="n"/>
      <c r="Q217" s="32" t="n"/>
      <c r="U217" s="31">
        <f>IF($A217="","",SUM(X217:AE217))</f>
        <v/>
      </c>
      <c r="V217" s="31">
        <f>IF($A217="","",IF($H217&lt;&gt;"Ausgabe",0,-$E217-$U217))</f>
        <v/>
      </c>
      <c r="W217" s="33">
        <f>IF($A217="","",DATE(YEAR($A217),MONTH($A217),1))</f>
        <v/>
      </c>
      <c r="X217" s="34">
        <f>IF(OR($A217="",$H217&lt;&gt;"Ausgabe",J217=""),0,IF(J217="x",-$E217/(COUNTIF($J217:$Q217,"x")+1),-$E217*N(J217)))</f>
        <v/>
      </c>
      <c r="Y217" s="34">
        <f>IF(OR($A217="",$H217&lt;&gt;"Ausgabe",K217=""),0,IF(K217="x",-$E217/(COUNTIF($J217:$Q217,"x")+1),-$E217*N(K217)))</f>
        <v/>
      </c>
      <c r="Z217" s="34">
        <f>IF(OR($A217="",$H217&lt;&gt;"Ausgabe",L217=""),0,IF(L217="x",-$E217/(COUNTIF($J217:$Q217,"x")+1),-$E217*N(L217)))</f>
        <v/>
      </c>
      <c r="AA217" s="34">
        <f>IF(OR($A217="",$H217&lt;&gt;"Ausgabe",M217=""),0,IF(M217="x",-$E217/(COUNTIF($J217:$Q217,"x")+1),-$E217*N(M217)))</f>
        <v/>
      </c>
      <c r="AB217" s="34">
        <f>IF(OR($A217="",$H217&lt;&gt;"Ausgabe",N217=""),0,IF(N217="x",-$E217/(COUNTIF($J217:$Q217,"x")+1),-$E217*N(N217)))</f>
        <v/>
      </c>
      <c r="AC217" s="34">
        <f>IF(OR($A217="",$H217&lt;&gt;"Ausgabe",O217=""),0,IF(O217="x",-$E217/(COUNTIF($J217:$Q217,"x")+1),-$E217*N(O217)))</f>
        <v/>
      </c>
      <c r="AD217" s="34">
        <f>IF(OR($A217="",$H217&lt;&gt;"Ausgabe",P217=""),0,IF(P217="x",-$E217/(COUNTIF($J217:$Q217,"x")+1),-$E217*N(P217)))</f>
        <v/>
      </c>
      <c r="AE217" s="34">
        <f>IF(OR($A217="",$H217&lt;&gt;"Ausgabe",Q217=""),0,IF(Q217="x",-$E217/(COUNTIF($J217:$Q217,"x")+1),-$E217*N(Q217)))</f>
        <v/>
      </c>
    </row>
    <row r="218">
      <c r="A218" s="30" t="n"/>
      <c r="E218" s="31" t="n"/>
      <c r="J218" s="32" t="n"/>
      <c r="K218" s="32" t="n"/>
      <c r="L218" s="32" t="n"/>
      <c r="M218" s="32" t="n"/>
      <c r="N218" s="32" t="n"/>
      <c r="O218" s="32" t="n"/>
      <c r="P218" s="32" t="n"/>
      <c r="Q218" s="32" t="n"/>
      <c r="U218" s="31">
        <f>IF($A218="","",SUM(X218:AE218))</f>
        <v/>
      </c>
      <c r="V218" s="31">
        <f>IF($A218="","",IF($H218&lt;&gt;"Ausgabe",0,-$E218-$U218))</f>
        <v/>
      </c>
      <c r="W218" s="33">
        <f>IF($A218="","",DATE(YEAR($A218),MONTH($A218),1))</f>
        <v/>
      </c>
      <c r="X218" s="34">
        <f>IF(OR($A218="",$H218&lt;&gt;"Ausgabe",J218=""),0,IF(J218="x",-$E218/(COUNTIF($J218:$Q218,"x")+1),-$E218*N(J218)))</f>
        <v/>
      </c>
      <c r="Y218" s="34">
        <f>IF(OR($A218="",$H218&lt;&gt;"Ausgabe",K218=""),0,IF(K218="x",-$E218/(COUNTIF($J218:$Q218,"x")+1),-$E218*N(K218)))</f>
        <v/>
      </c>
      <c r="Z218" s="34">
        <f>IF(OR($A218="",$H218&lt;&gt;"Ausgabe",L218=""),0,IF(L218="x",-$E218/(COUNTIF($J218:$Q218,"x")+1),-$E218*N(L218)))</f>
        <v/>
      </c>
      <c r="AA218" s="34">
        <f>IF(OR($A218="",$H218&lt;&gt;"Ausgabe",M218=""),0,IF(M218="x",-$E218/(COUNTIF($J218:$Q218,"x")+1),-$E218*N(M218)))</f>
        <v/>
      </c>
      <c r="AB218" s="34">
        <f>IF(OR($A218="",$H218&lt;&gt;"Ausgabe",N218=""),0,IF(N218="x",-$E218/(COUNTIF($J218:$Q218,"x")+1),-$E218*N(N218)))</f>
        <v/>
      </c>
      <c r="AC218" s="34">
        <f>IF(OR($A218="",$H218&lt;&gt;"Ausgabe",O218=""),0,IF(O218="x",-$E218/(COUNTIF($J218:$Q218,"x")+1),-$E218*N(O218)))</f>
        <v/>
      </c>
      <c r="AD218" s="34">
        <f>IF(OR($A218="",$H218&lt;&gt;"Ausgabe",P218=""),0,IF(P218="x",-$E218/(COUNTIF($J218:$Q218,"x")+1),-$E218*N(P218)))</f>
        <v/>
      </c>
      <c r="AE218" s="34">
        <f>IF(OR($A218="",$H218&lt;&gt;"Ausgabe",Q218=""),0,IF(Q218="x",-$E218/(COUNTIF($J218:$Q218,"x")+1),-$E218*N(Q218)))</f>
        <v/>
      </c>
    </row>
    <row r="219">
      <c r="A219" s="30" t="n"/>
      <c r="E219" s="31" t="n"/>
      <c r="J219" s="32" t="n"/>
      <c r="K219" s="32" t="n"/>
      <c r="L219" s="32" t="n"/>
      <c r="M219" s="32" t="n"/>
      <c r="N219" s="32" t="n"/>
      <c r="O219" s="32" t="n"/>
      <c r="P219" s="32" t="n"/>
      <c r="Q219" s="32" t="n"/>
      <c r="U219" s="31">
        <f>IF($A219="","",SUM(X219:AE219))</f>
        <v/>
      </c>
      <c r="V219" s="31">
        <f>IF($A219="","",IF($H219&lt;&gt;"Ausgabe",0,-$E219-$U219))</f>
        <v/>
      </c>
      <c r="W219" s="33">
        <f>IF($A219="","",DATE(YEAR($A219),MONTH($A219),1))</f>
        <v/>
      </c>
      <c r="X219" s="34">
        <f>IF(OR($A219="",$H219&lt;&gt;"Ausgabe",J219=""),0,IF(J219="x",-$E219/(COUNTIF($J219:$Q219,"x")+1),-$E219*N(J219)))</f>
        <v/>
      </c>
      <c r="Y219" s="34">
        <f>IF(OR($A219="",$H219&lt;&gt;"Ausgabe",K219=""),0,IF(K219="x",-$E219/(COUNTIF($J219:$Q219,"x")+1),-$E219*N(K219)))</f>
        <v/>
      </c>
      <c r="Z219" s="34">
        <f>IF(OR($A219="",$H219&lt;&gt;"Ausgabe",L219=""),0,IF(L219="x",-$E219/(COUNTIF($J219:$Q219,"x")+1),-$E219*N(L219)))</f>
        <v/>
      </c>
      <c r="AA219" s="34">
        <f>IF(OR($A219="",$H219&lt;&gt;"Ausgabe",M219=""),0,IF(M219="x",-$E219/(COUNTIF($J219:$Q219,"x")+1),-$E219*N(M219)))</f>
        <v/>
      </c>
      <c r="AB219" s="34">
        <f>IF(OR($A219="",$H219&lt;&gt;"Ausgabe",N219=""),0,IF(N219="x",-$E219/(COUNTIF($J219:$Q219,"x")+1),-$E219*N(N219)))</f>
        <v/>
      </c>
      <c r="AC219" s="34">
        <f>IF(OR($A219="",$H219&lt;&gt;"Ausgabe",O219=""),0,IF(O219="x",-$E219/(COUNTIF($J219:$Q219,"x")+1),-$E219*N(O219)))</f>
        <v/>
      </c>
      <c r="AD219" s="34">
        <f>IF(OR($A219="",$H219&lt;&gt;"Ausgabe",P219=""),0,IF(P219="x",-$E219/(COUNTIF($J219:$Q219,"x")+1),-$E219*N(P219)))</f>
        <v/>
      </c>
      <c r="AE219" s="34">
        <f>IF(OR($A219="",$H219&lt;&gt;"Ausgabe",Q219=""),0,IF(Q219="x",-$E219/(COUNTIF($J219:$Q219,"x")+1),-$E219*N(Q219)))</f>
        <v/>
      </c>
    </row>
    <row r="220">
      <c r="A220" s="30" t="n"/>
      <c r="E220" s="31" t="n"/>
      <c r="J220" s="32" t="n"/>
      <c r="K220" s="32" t="n"/>
      <c r="L220" s="32" t="n"/>
      <c r="M220" s="32" t="n"/>
      <c r="N220" s="32" t="n"/>
      <c r="O220" s="32" t="n"/>
      <c r="P220" s="32" t="n"/>
      <c r="Q220" s="32" t="n"/>
      <c r="U220" s="31">
        <f>IF($A220="","",SUM(X220:AE220))</f>
        <v/>
      </c>
      <c r="V220" s="31">
        <f>IF($A220="","",IF($H220&lt;&gt;"Ausgabe",0,-$E220-$U220))</f>
        <v/>
      </c>
      <c r="W220" s="33">
        <f>IF($A220="","",DATE(YEAR($A220),MONTH($A220),1))</f>
        <v/>
      </c>
      <c r="X220" s="34">
        <f>IF(OR($A220="",$H220&lt;&gt;"Ausgabe",J220=""),0,IF(J220="x",-$E220/(COUNTIF($J220:$Q220,"x")+1),-$E220*N(J220)))</f>
        <v/>
      </c>
      <c r="Y220" s="34">
        <f>IF(OR($A220="",$H220&lt;&gt;"Ausgabe",K220=""),0,IF(K220="x",-$E220/(COUNTIF($J220:$Q220,"x")+1),-$E220*N(K220)))</f>
        <v/>
      </c>
      <c r="Z220" s="34">
        <f>IF(OR($A220="",$H220&lt;&gt;"Ausgabe",L220=""),0,IF(L220="x",-$E220/(COUNTIF($J220:$Q220,"x")+1),-$E220*N(L220)))</f>
        <v/>
      </c>
      <c r="AA220" s="34">
        <f>IF(OR($A220="",$H220&lt;&gt;"Ausgabe",M220=""),0,IF(M220="x",-$E220/(COUNTIF($J220:$Q220,"x")+1),-$E220*N(M220)))</f>
        <v/>
      </c>
      <c r="AB220" s="34">
        <f>IF(OR($A220="",$H220&lt;&gt;"Ausgabe",N220=""),0,IF(N220="x",-$E220/(COUNTIF($J220:$Q220,"x")+1),-$E220*N(N220)))</f>
        <v/>
      </c>
      <c r="AC220" s="34">
        <f>IF(OR($A220="",$H220&lt;&gt;"Ausgabe",O220=""),0,IF(O220="x",-$E220/(COUNTIF($J220:$Q220,"x")+1),-$E220*N(O220)))</f>
        <v/>
      </c>
      <c r="AD220" s="34">
        <f>IF(OR($A220="",$H220&lt;&gt;"Ausgabe",P220=""),0,IF(P220="x",-$E220/(COUNTIF($J220:$Q220,"x")+1),-$E220*N(P220)))</f>
        <v/>
      </c>
      <c r="AE220" s="34">
        <f>IF(OR($A220="",$H220&lt;&gt;"Ausgabe",Q220=""),0,IF(Q220="x",-$E220/(COUNTIF($J220:$Q220,"x")+1),-$E220*N(Q220)))</f>
        <v/>
      </c>
    </row>
    <row r="221">
      <c r="A221" s="30" t="n"/>
      <c r="E221" s="31" t="n"/>
      <c r="J221" s="32" t="n"/>
      <c r="K221" s="32" t="n"/>
      <c r="L221" s="32" t="n"/>
      <c r="M221" s="32" t="n"/>
      <c r="N221" s="32" t="n"/>
      <c r="O221" s="32" t="n"/>
      <c r="P221" s="32" t="n"/>
      <c r="Q221" s="32" t="n"/>
      <c r="U221" s="31">
        <f>IF($A221="","",SUM(X221:AE221))</f>
        <v/>
      </c>
      <c r="V221" s="31">
        <f>IF($A221="","",IF($H221&lt;&gt;"Ausgabe",0,-$E221-$U221))</f>
        <v/>
      </c>
      <c r="W221" s="33">
        <f>IF($A221="","",DATE(YEAR($A221),MONTH($A221),1))</f>
        <v/>
      </c>
      <c r="X221" s="34">
        <f>IF(OR($A221="",$H221&lt;&gt;"Ausgabe",J221=""),0,IF(J221="x",-$E221/(COUNTIF($J221:$Q221,"x")+1),-$E221*N(J221)))</f>
        <v/>
      </c>
      <c r="Y221" s="34">
        <f>IF(OR($A221="",$H221&lt;&gt;"Ausgabe",K221=""),0,IF(K221="x",-$E221/(COUNTIF($J221:$Q221,"x")+1),-$E221*N(K221)))</f>
        <v/>
      </c>
      <c r="Z221" s="34">
        <f>IF(OR($A221="",$H221&lt;&gt;"Ausgabe",L221=""),0,IF(L221="x",-$E221/(COUNTIF($J221:$Q221,"x")+1),-$E221*N(L221)))</f>
        <v/>
      </c>
      <c r="AA221" s="34">
        <f>IF(OR($A221="",$H221&lt;&gt;"Ausgabe",M221=""),0,IF(M221="x",-$E221/(COUNTIF($J221:$Q221,"x")+1),-$E221*N(M221)))</f>
        <v/>
      </c>
      <c r="AB221" s="34">
        <f>IF(OR($A221="",$H221&lt;&gt;"Ausgabe",N221=""),0,IF(N221="x",-$E221/(COUNTIF($J221:$Q221,"x")+1),-$E221*N(N221)))</f>
        <v/>
      </c>
      <c r="AC221" s="34">
        <f>IF(OR($A221="",$H221&lt;&gt;"Ausgabe",O221=""),0,IF(O221="x",-$E221/(COUNTIF($J221:$Q221,"x")+1),-$E221*N(O221)))</f>
        <v/>
      </c>
      <c r="AD221" s="34">
        <f>IF(OR($A221="",$H221&lt;&gt;"Ausgabe",P221=""),0,IF(P221="x",-$E221/(COUNTIF($J221:$Q221,"x")+1),-$E221*N(P221)))</f>
        <v/>
      </c>
      <c r="AE221" s="34">
        <f>IF(OR($A221="",$H221&lt;&gt;"Ausgabe",Q221=""),0,IF(Q221="x",-$E221/(COUNTIF($J221:$Q221,"x")+1),-$E221*N(Q221)))</f>
        <v/>
      </c>
    </row>
    <row r="222">
      <c r="A222" s="30" t="n"/>
      <c r="E222" s="31" t="n"/>
      <c r="J222" s="32" t="n"/>
      <c r="K222" s="32" t="n"/>
      <c r="L222" s="32" t="n"/>
      <c r="M222" s="32" t="n"/>
      <c r="N222" s="32" t="n"/>
      <c r="O222" s="32" t="n"/>
      <c r="P222" s="32" t="n"/>
      <c r="Q222" s="32" t="n"/>
      <c r="U222" s="31">
        <f>IF($A222="","",SUM(X222:AE222))</f>
        <v/>
      </c>
      <c r="V222" s="31">
        <f>IF($A222="","",IF($H222&lt;&gt;"Ausgabe",0,-$E222-$U222))</f>
        <v/>
      </c>
      <c r="W222" s="33">
        <f>IF($A222="","",DATE(YEAR($A222),MONTH($A222),1))</f>
        <v/>
      </c>
      <c r="X222" s="34">
        <f>IF(OR($A222="",$H222&lt;&gt;"Ausgabe",J222=""),0,IF(J222="x",-$E222/(COUNTIF($J222:$Q222,"x")+1),-$E222*N(J222)))</f>
        <v/>
      </c>
      <c r="Y222" s="34">
        <f>IF(OR($A222="",$H222&lt;&gt;"Ausgabe",K222=""),0,IF(K222="x",-$E222/(COUNTIF($J222:$Q222,"x")+1),-$E222*N(K222)))</f>
        <v/>
      </c>
      <c r="Z222" s="34">
        <f>IF(OR($A222="",$H222&lt;&gt;"Ausgabe",L222=""),0,IF(L222="x",-$E222/(COUNTIF($J222:$Q222,"x")+1),-$E222*N(L222)))</f>
        <v/>
      </c>
      <c r="AA222" s="34">
        <f>IF(OR($A222="",$H222&lt;&gt;"Ausgabe",M222=""),0,IF(M222="x",-$E222/(COUNTIF($J222:$Q222,"x")+1),-$E222*N(M222)))</f>
        <v/>
      </c>
      <c r="AB222" s="34">
        <f>IF(OR($A222="",$H222&lt;&gt;"Ausgabe",N222=""),0,IF(N222="x",-$E222/(COUNTIF($J222:$Q222,"x")+1),-$E222*N(N222)))</f>
        <v/>
      </c>
      <c r="AC222" s="34">
        <f>IF(OR($A222="",$H222&lt;&gt;"Ausgabe",O222=""),0,IF(O222="x",-$E222/(COUNTIF($J222:$Q222,"x")+1),-$E222*N(O222)))</f>
        <v/>
      </c>
      <c r="AD222" s="34">
        <f>IF(OR($A222="",$H222&lt;&gt;"Ausgabe",P222=""),0,IF(P222="x",-$E222/(COUNTIF($J222:$Q222,"x")+1),-$E222*N(P222)))</f>
        <v/>
      </c>
      <c r="AE222" s="34">
        <f>IF(OR($A222="",$H222&lt;&gt;"Ausgabe",Q222=""),0,IF(Q222="x",-$E222/(COUNTIF($J222:$Q222,"x")+1),-$E222*N(Q222)))</f>
        <v/>
      </c>
    </row>
    <row r="223">
      <c r="A223" s="30" t="n"/>
      <c r="E223" s="31" t="n"/>
      <c r="J223" s="32" t="n"/>
      <c r="K223" s="32" t="n"/>
      <c r="L223" s="32" t="n"/>
      <c r="M223" s="32" t="n"/>
      <c r="N223" s="32" t="n"/>
      <c r="O223" s="32" t="n"/>
      <c r="P223" s="32" t="n"/>
      <c r="Q223" s="32" t="n"/>
      <c r="U223" s="31">
        <f>IF($A223="","",SUM(X223:AE223))</f>
        <v/>
      </c>
      <c r="V223" s="31">
        <f>IF($A223="","",IF($H223&lt;&gt;"Ausgabe",0,-$E223-$U223))</f>
        <v/>
      </c>
      <c r="W223" s="33">
        <f>IF($A223="","",DATE(YEAR($A223),MONTH($A223),1))</f>
        <v/>
      </c>
      <c r="X223" s="34">
        <f>IF(OR($A223="",$H223&lt;&gt;"Ausgabe",J223=""),0,IF(J223="x",-$E223/(COUNTIF($J223:$Q223,"x")+1),-$E223*N(J223)))</f>
        <v/>
      </c>
      <c r="Y223" s="34">
        <f>IF(OR($A223="",$H223&lt;&gt;"Ausgabe",K223=""),0,IF(K223="x",-$E223/(COUNTIF($J223:$Q223,"x")+1),-$E223*N(K223)))</f>
        <v/>
      </c>
      <c r="Z223" s="34">
        <f>IF(OR($A223="",$H223&lt;&gt;"Ausgabe",L223=""),0,IF(L223="x",-$E223/(COUNTIF($J223:$Q223,"x")+1),-$E223*N(L223)))</f>
        <v/>
      </c>
      <c r="AA223" s="34">
        <f>IF(OR($A223="",$H223&lt;&gt;"Ausgabe",M223=""),0,IF(M223="x",-$E223/(COUNTIF($J223:$Q223,"x")+1),-$E223*N(M223)))</f>
        <v/>
      </c>
      <c r="AB223" s="34">
        <f>IF(OR($A223="",$H223&lt;&gt;"Ausgabe",N223=""),0,IF(N223="x",-$E223/(COUNTIF($J223:$Q223,"x")+1),-$E223*N(N223)))</f>
        <v/>
      </c>
      <c r="AC223" s="34">
        <f>IF(OR($A223="",$H223&lt;&gt;"Ausgabe",O223=""),0,IF(O223="x",-$E223/(COUNTIF($J223:$Q223,"x")+1),-$E223*N(O223)))</f>
        <v/>
      </c>
      <c r="AD223" s="34">
        <f>IF(OR($A223="",$H223&lt;&gt;"Ausgabe",P223=""),0,IF(P223="x",-$E223/(COUNTIF($J223:$Q223,"x")+1),-$E223*N(P223)))</f>
        <v/>
      </c>
      <c r="AE223" s="34">
        <f>IF(OR($A223="",$H223&lt;&gt;"Ausgabe",Q223=""),0,IF(Q223="x",-$E223/(COUNTIF($J223:$Q223,"x")+1),-$E223*N(Q223)))</f>
        <v/>
      </c>
    </row>
    <row r="224">
      <c r="A224" s="30" t="n"/>
      <c r="E224" s="31" t="n"/>
      <c r="J224" s="32" t="n"/>
      <c r="K224" s="32" t="n"/>
      <c r="L224" s="32" t="n"/>
      <c r="M224" s="32" t="n"/>
      <c r="N224" s="32" t="n"/>
      <c r="O224" s="32" t="n"/>
      <c r="P224" s="32" t="n"/>
      <c r="Q224" s="32" t="n"/>
      <c r="U224" s="31">
        <f>IF($A224="","",SUM(X224:AE224))</f>
        <v/>
      </c>
      <c r="V224" s="31">
        <f>IF($A224="","",IF($H224&lt;&gt;"Ausgabe",0,-$E224-$U224))</f>
        <v/>
      </c>
      <c r="W224" s="33">
        <f>IF($A224="","",DATE(YEAR($A224),MONTH($A224),1))</f>
        <v/>
      </c>
      <c r="X224" s="34">
        <f>IF(OR($A224="",$H224&lt;&gt;"Ausgabe",J224=""),0,IF(J224="x",-$E224/(COUNTIF($J224:$Q224,"x")+1),-$E224*N(J224)))</f>
        <v/>
      </c>
      <c r="Y224" s="34">
        <f>IF(OR($A224="",$H224&lt;&gt;"Ausgabe",K224=""),0,IF(K224="x",-$E224/(COUNTIF($J224:$Q224,"x")+1),-$E224*N(K224)))</f>
        <v/>
      </c>
      <c r="Z224" s="34">
        <f>IF(OR($A224="",$H224&lt;&gt;"Ausgabe",L224=""),0,IF(L224="x",-$E224/(COUNTIF($J224:$Q224,"x")+1),-$E224*N(L224)))</f>
        <v/>
      </c>
      <c r="AA224" s="34">
        <f>IF(OR($A224="",$H224&lt;&gt;"Ausgabe",M224=""),0,IF(M224="x",-$E224/(COUNTIF($J224:$Q224,"x")+1),-$E224*N(M224)))</f>
        <v/>
      </c>
      <c r="AB224" s="34">
        <f>IF(OR($A224="",$H224&lt;&gt;"Ausgabe",N224=""),0,IF(N224="x",-$E224/(COUNTIF($J224:$Q224,"x")+1),-$E224*N(N224)))</f>
        <v/>
      </c>
      <c r="AC224" s="34">
        <f>IF(OR($A224="",$H224&lt;&gt;"Ausgabe",O224=""),0,IF(O224="x",-$E224/(COUNTIF($J224:$Q224,"x")+1),-$E224*N(O224)))</f>
        <v/>
      </c>
      <c r="AD224" s="34">
        <f>IF(OR($A224="",$H224&lt;&gt;"Ausgabe",P224=""),0,IF(P224="x",-$E224/(COUNTIF($J224:$Q224,"x")+1),-$E224*N(P224)))</f>
        <v/>
      </c>
      <c r="AE224" s="34">
        <f>IF(OR($A224="",$H224&lt;&gt;"Ausgabe",Q224=""),0,IF(Q224="x",-$E224/(COUNTIF($J224:$Q224,"x")+1),-$E224*N(Q224)))</f>
        <v/>
      </c>
    </row>
    <row r="225">
      <c r="A225" s="30" t="n"/>
      <c r="E225" s="31" t="n"/>
      <c r="J225" s="32" t="n"/>
      <c r="K225" s="32" t="n"/>
      <c r="L225" s="32" t="n"/>
      <c r="M225" s="32" t="n"/>
      <c r="N225" s="32" t="n"/>
      <c r="O225" s="32" t="n"/>
      <c r="P225" s="32" t="n"/>
      <c r="Q225" s="32" t="n"/>
      <c r="U225" s="31">
        <f>IF($A225="","",SUM(X225:AE225))</f>
        <v/>
      </c>
      <c r="V225" s="31">
        <f>IF($A225="","",IF($H225&lt;&gt;"Ausgabe",0,-$E225-$U225))</f>
        <v/>
      </c>
      <c r="W225" s="33">
        <f>IF($A225="","",DATE(YEAR($A225),MONTH($A225),1))</f>
        <v/>
      </c>
      <c r="X225" s="34">
        <f>IF(OR($A225="",$H225&lt;&gt;"Ausgabe",J225=""),0,IF(J225="x",-$E225/(COUNTIF($J225:$Q225,"x")+1),-$E225*N(J225)))</f>
        <v/>
      </c>
      <c r="Y225" s="34">
        <f>IF(OR($A225="",$H225&lt;&gt;"Ausgabe",K225=""),0,IF(K225="x",-$E225/(COUNTIF($J225:$Q225,"x")+1),-$E225*N(K225)))</f>
        <v/>
      </c>
      <c r="Z225" s="34">
        <f>IF(OR($A225="",$H225&lt;&gt;"Ausgabe",L225=""),0,IF(L225="x",-$E225/(COUNTIF($J225:$Q225,"x")+1),-$E225*N(L225)))</f>
        <v/>
      </c>
      <c r="AA225" s="34">
        <f>IF(OR($A225="",$H225&lt;&gt;"Ausgabe",M225=""),0,IF(M225="x",-$E225/(COUNTIF($J225:$Q225,"x")+1),-$E225*N(M225)))</f>
        <v/>
      </c>
      <c r="AB225" s="34">
        <f>IF(OR($A225="",$H225&lt;&gt;"Ausgabe",N225=""),0,IF(N225="x",-$E225/(COUNTIF($J225:$Q225,"x")+1),-$E225*N(N225)))</f>
        <v/>
      </c>
      <c r="AC225" s="34">
        <f>IF(OR($A225="",$H225&lt;&gt;"Ausgabe",O225=""),0,IF(O225="x",-$E225/(COUNTIF($J225:$Q225,"x")+1),-$E225*N(O225)))</f>
        <v/>
      </c>
      <c r="AD225" s="34">
        <f>IF(OR($A225="",$H225&lt;&gt;"Ausgabe",P225=""),0,IF(P225="x",-$E225/(COUNTIF($J225:$Q225,"x")+1),-$E225*N(P225)))</f>
        <v/>
      </c>
      <c r="AE225" s="34">
        <f>IF(OR($A225="",$H225&lt;&gt;"Ausgabe",Q225=""),0,IF(Q225="x",-$E225/(COUNTIF($J225:$Q225,"x")+1),-$E225*N(Q225)))</f>
        <v/>
      </c>
    </row>
    <row r="226">
      <c r="A226" s="30" t="n"/>
      <c r="E226" s="31" t="n"/>
      <c r="J226" s="32" t="n"/>
      <c r="K226" s="32" t="n"/>
      <c r="L226" s="32" t="n"/>
      <c r="M226" s="32" t="n"/>
      <c r="N226" s="32" t="n"/>
      <c r="O226" s="32" t="n"/>
      <c r="P226" s="32" t="n"/>
      <c r="Q226" s="32" t="n"/>
      <c r="U226" s="31">
        <f>IF($A226="","",SUM(X226:AE226))</f>
        <v/>
      </c>
      <c r="V226" s="31">
        <f>IF($A226="","",IF($H226&lt;&gt;"Ausgabe",0,-$E226-$U226))</f>
        <v/>
      </c>
      <c r="W226" s="33">
        <f>IF($A226="","",DATE(YEAR($A226),MONTH($A226),1))</f>
        <v/>
      </c>
      <c r="X226" s="34">
        <f>IF(OR($A226="",$H226&lt;&gt;"Ausgabe",J226=""),0,IF(J226="x",-$E226/(COUNTIF($J226:$Q226,"x")+1),-$E226*N(J226)))</f>
        <v/>
      </c>
      <c r="Y226" s="34">
        <f>IF(OR($A226="",$H226&lt;&gt;"Ausgabe",K226=""),0,IF(K226="x",-$E226/(COUNTIF($J226:$Q226,"x")+1),-$E226*N(K226)))</f>
        <v/>
      </c>
      <c r="Z226" s="34">
        <f>IF(OR($A226="",$H226&lt;&gt;"Ausgabe",L226=""),0,IF(L226="x",-$E226/(COUNTIF($J226:$Q226,"x")+1),-$E226*N(L226)))</f>
        <v/>
      </c>
      <c r="AA226" s="34">
        <f>IF(OR($A226="",$H226&lt;&gt;"Ausgabe",M226=""),0,IF(M226="x",-$E226/(COUNTIF($J226:$Q226,"x")+1),-$E226*N(M226)))</f>
        <v/>
      </c>
      <c r="AB226" s="34">
        <f>IF(OR($A226="",$H226&lt;&gt;"Ausgabe",N226=""),0,IF(N226="x",-$E226/(COUNTIF($J226:$Q226,"x")+1),-$E226*N(N226)))</f>
        <v/>
      </c>
      <c r="AC226" s="34">
        <f>IF(OR($A226="",$H226&lt;&gt;"Ausgabe",O226=""),0,IF(O226="x",-$E226/(COUNTIF($J226:$Q226,"x")+1),-$E226*N(O226)))</f>
        <v/>
      </c>
      <c r="AD226" s="34">
        <f>IF(OR($A226="",$H226&lt;&gt;"Ausgabe",P226=""),0,IF(P226="x",-$E226/(COUNTIF($J226:$Q226,"x")+1),-$E226*N(P226)))</f>
        <v/>
      </c>
      <c r="AE226" s="34">
        <f>IF(OR($A226="",$H226&lt;&gt;"Ausgabe",Q226=""),0,IF(Q226="x",-$E226/(COUNTIF($J226:$Q226,"x")+1),-$E226*N(Q226)))</f>
        <v/>
      </c>
    </row>
    <row r="227">
      <c r="A227" s="30" t="n"/>
      <c r="E227" s="31" t="n"/>
      <c r="J227" s="32" t="n"/>
      <c r="K227" s="32" t="n"/>
      <c r="L227" s="32" t="n"/>
      <c r="M227" s="32" t="n"/>
      <c r="N227" s="32" t="n"/>
      <c r="O227" s="32" t="n"/>
      <c r="P227" s="32" t="n"/>
      <c r="Q227" s="32" t="n"/>
      <c r="U227" s="31">
        <f>IF($A227="","",SUM(X227:AE227))</f>
        <v/>
      </c>
      <c r="V227" s="31">
        <f>IF($A227="","",IF($H227&lt;&gt;"Ausgabe",0,-$E227-$U227))</f>
        <v/>
      </c>
      <c r="W227" s="33">
        <f>IF($A227="","",DATE(YEAR($A227),MONTH($A227),1))</f>
        <v/>
      </c>
      <c r="X227" s="34">
        <f>IF(OR($A227="",$H227&lt;&gt;"Ausgabe",J227=""),0,IF(J227="x",-$E227/(COUNTIF($J227:$Q227,"x")+1),-$E227*N(J227)))</f>
        <v/>
      </c>
      <c r="Y227" s="34">
        <f>IF(OR($A227="",$H227&lt;&gt;"Ausgabe",K227=""),0,IF(K227="x",-$E227/(COUNTIF($J227:$Q227,"x")+1),-$E227*N(K227)))</f>
        <v/>
      </c>
      <c r="Z227" s="34">
        <f>IF(OR($A227="",$H227&lt;&gt;"Ausgabe",L227=""),0,IF(L227="x",-$E227/(COUNTIF($J227:$Q227,"x")+1),-$E227*N(L227)))</f>
        <v/>
      </c>
      <c r="AA227" s="34">
        <f>IF(OR($A227="",$H227&lt;&gt;"Ausgabe",M227=""),0,IF(M227="x",-$E227/(COUNTIF($J227:$Q227,"x")+1),-$E227*N(M227)))</f>
        <v/>
      </c>
      <c r="AB227" s="34">
        <f>IF(OR($A227="",$H227&lt;&gt;"Ausgabe",N227=""),0,IF(N227="x",-$E227/(COUNTIF($J227:$Q227,"x")+1),-$E227*N(N227)))</f>
        <v/>
      </c>
      <c r="AC227" s="34">
        <f>IF(OR($A227="",$H227&lt;&gt;"Ausgabe",O227=""),0,IF(O227="x",-$E227/(COUNTIF($J227:$Q227,"x")+1),-$E227*N(O227)))</f>
        <v/>
      </c>
      <c r="AD227" s="34">
        <f>IF(OR($A227="",$H227&lt;&gt;"Ausgabe",P227=""),0,IF(P227="x",-$E227/(COUNTIF($J227:$Q227,"x")+1),-$E227*N(P227)))</f>
        <v/>
      </c>
      <c r="AE227" s="34">
        <f>IF(OR($A227="",$H227&lt;&gt;"Ausgabe",Q227=""),0,IF(Q227="x",-$E227/(COUNTIF($J227:$Q227,"x")+1),-$E227*N(Q227)))</f>
        <v/>
      </c>
    </row>
    <row r="228">
      <c r="A228" s="30" t="n"/>
      <c r="E228" s="31" t="n"/>
      <c r="J228" s="32" t="n"/>
      <c r="K228" s="32" t="n"/>
      <c r="L228" s="32" t="n"/>
      <c r="M228" s="32" t="n"/>
      <c r="N228" s="32" t="n"/>
      <c r="O228" s="32" t="n"/>
      <c r="P228" s="32" t="n"/>
      <c r="Q228" s="32" t="n"/>
      <c r="U228" s="31">
        <f>IF($A228="","",SUM(X228:AE228))</f>
        <v/>
      </c>
      <c r="V228" s="31">
        <f>IF($A228="","",IF($H228&lt;&gt;"Ausgabe",0,-$E228-$U228))</f>
        <v/>
      </c>
      <c r="W228" s="33">
        <f>IF($A228="","",DATE(YEAR($A228),MONTH($A228),1))</f>
        <v/>
      </c>
      <c r="X228" s="34">
        <f>IF(OR($A228="",$H228&lt;&gt;"Ausgabe",J228=""),0,IF(J228="x",-$E228/(COUNTIF($J228:$Q228,"x")+1),-$E228*N(J228)))</f>
        <v/>
      </c>
      <c r="Y228" s="34">
        <f>IF(OR($A228="",$H228&lt;&gt;"Ausgabe",K228=""),0,IF(K228="x",-$E228/(COUNTIF($J228:$Q228,"x")+1),-$E228*N(K228)))</f>
        <v/>
      </c>
      <c r="Z228" s="34">
        <f>IF(OR($A228="",$H228&lt;&gt;"Ausgabe",L228=""),0,IF(L228="x",-$E228/(COUNTIF($J228:$Q228,"x")+1),-$E228*N(L228)))</f>
        <v/>
      </c>
      <c r="AA228" s="34">
        <f>IF(OR($A228="",$H228&lt;&gt;"Ausgabe",M228=""),0,IF(M228="x",-$E228/(COUNTIF($J228:$Q228,"x")+1),-$E228*N(M228)))</f>
        <v/>
      </c>
      <c r="AB228" s="34">
        <f>IF(OR($A228="",$H228&lt;&gt;"Ausgabe",N228=""),0,IF(N228="x",-$E228/(COUNTIF($J228:$Q228,"x")+1),-$E228*N(N228)))</f>
        <v/>
      </c>
      <c r="AC228" s="34">
        <f>IF(OR($A228="",$H228&lt;&gt;"Ausgabe",O228=""),0,IF(O228="x",-$E228/(COUNTIF($J228:$Q228,"x")+1),-$E228*N(O228)))</f>
        <v/>
      </c>
      <c r="AD228" s="34">
        <f>IF(OR($A228="",$H228&lt;&gt;"Ausgabe",P228=""),0,IF(P228="x",-$E228/(COUNTIF($J228:$Q228,"x")+1),-$E228*N(P228)))</f>
        <v/>
      </c>
      <c r="AE228" s="34">
        <f>IF(OR($A228="",$H228&lt;&gt;"Ausgabe",Q228=""),0,IF(Q228="x",-$E228/(COUNTIF($J228:$Q228,"x")+1),-$E228*N(Q228)))</f>
        <v/>
      </c>
    </row>
    <row r="229">
      <c r="A229" s="30" t="n"/>
      <c r="E229" s="31" t="n"/>
      <c r="J229" s="32" t="n"/>
      <c r="K229" s="32" t="n"/>
      <c r="L229" s="32" t="n"/>
      <c r="M229" s="32" t="n"/>
      <c r="N229" s="32" t="n"/>
      <c r="O229" s="32" t="n"/>
      <c r="P229" s="32" t="n"/>
      <c r="Q229" s="32" t="n"/>
      <c r="U229" s="31">
        <f>IF($A229="","",SUM(X229:AE229))</f>
        <v/>
      </c>
      <c r="V229" s="31">
        <f>IF($A229="","",IF($H229&lt;&gt;"Ausgabe",0,-$E229-$U229))</f>
        <v/>
      </c>
      <c r="W229" s="33">
        <f>IF($A229="","",DATE(YEAR($A229),MONTH($A229),1))</f>
        <v/>
      </c>
      <c r="X229" s="34">
        <f>IF(OR($A229="",$H229&lt;&gt;"Ausgabe",J229=""),0,IF(J229="x",-$E229/(COUNTIF($J229:$Q229,"x")+1),-$E229*N(J229)))</f>
        <v/>
      </c>
      <c r="Y229" s="34">
        <f>IF(OR($A229="",$H229&lt;&gt;"Ausgabe",K229=""),0,IF(K229="x",-$E229/(COUNTIF($J229:$Q229,"x")+1),-$E229*N(K229)))</f>
        <v/>
      </c>
      <c r="Z229" s="34">
        <f>IF(OR($A229="",$H229&lt;&gt;"Ausgabe",L229=""),0,IF(L229="x",-$E229/(COUNTIF($J229:$Q229,"x")+1),-$E229*N(L229)))</f>
        <v/>
      </c>
      <c r="AA229" s="34">
        <f>IF(OR($A229="",$H229&lt;&gt;"Ausgabe",M229=""),0,IF(M229="x",-$E229/(COUNTIF($J229:$Q229,"x")+1),-$E229*N(M229)))</f>
        <v/>
      </c>
      <c r="AB229" s="34">
        <f>IF(OR($A229="",$H229&lt;&gt;"Ausgabe",N229=""),0,IF(N229="x",-$E229/(COUNTIF($J229:$Q229,"x")+1),-$E229*N(N229)))</f>
        <v/>
      </c>
      <c r="AC229" s="34">
        <f>IF(OR($A229="",$H229&lt;&gt;"Ausgabe",O229=""),0,IF(O229="x",-$E229/(COUNTIF($J229:$Q229,"x")+1),-$E229*N(O229)))</f>
        <v/>
      </c>
      <c r="AD229" s="34">
        <f>IF(OR($A229="",$H229&lt;&gt;"Ausgabe",P229=""),0,IF(P229="x",-$E229/(COUNTIF($J229:$Q229,"x")+1),-$E229*N(P229)))</f>
        <v/>
      </c>
      <c r="AE229" s="34">
        <f>IF(OR($A229="",$H229&lt;&gt;"Ausgabe",Q229=""),0,IF(Q229="x",-$E229/(COUNTIF($J229:$Q229,"x")+1),-$E229*N(Q229)))</f>
        <v/>
      </c>
    </row>
    <row r="230">
      <c r="A230" s="30" t="n"/>
      <c r="E230" s="31" t="n"/>
      <c r="J230" s="32" t="n"/>
      <c r="K230" s="32" t="n"/>
      <c r="L230" s="32" t="n"/>
      <c r="M230" s="32" t="n"/>
      <c r="N230" s="32" t="n"/>
      <c r="O230" s="32" t="n"/>
      <c r="P230" s="32" t="n"/>
      <c r="Q230" s="32" t="n"/>
      <c r="U230" s="31">
        <f>IF($A230="","",SUM(X230:AE230))</f>
        <v/>
      </c>
      <c r="V230" s="31">
        <f>IF($A230="","",IF($H230&lt;&gt;"Ausgabe",0,-$E230-$U230))</f>
        <v/>
      </c>
      <c r="W230" s="33">
        <f>IF($A230="","",DATE(YEAR($A230),MONTH($A230),1))</f>
        <v/>
      </c>
      <c r="X230" s="34">
        <f>IF(OR($A230="",$H230&lt;&gt;"Ausgabe",J230=""),0,IF(J230="x",-$E230/(COUNTIF($J230:$Q230,"x")+1),-$E230*N(J230)))</f>
        <v/>
      </c>
      <c r="Y230" s="34">
        <f>IF(OR($A230="",$H230&lt;&gt;"Ausgabe",K230=""),0,IF(K230="x",-$E230/(COUNTIF($J230:$Q230,"x")+1),-$E230*N(K230)))</f>
        <v/>
      </c>
      <c r="Z230" s="34">
        <f>IF(OR($A230="",$H230&lt;&gt;"Ausgabe",L230=""),0,IF(L230="x",-$E230/(COUNTIF($J230:$Q230,"x")+1),-$E230*N(L230)))</f>
        <v/>
      </c>
      <c r="AA230" s="34">
        <f>IF(OR($A230="",$H230&lt;&gt;"Ausgabe",M230=""),0,IF(M230="x",-$E230/(COUNTIF($J230:$Q230,"x")+1),-$E230*N(M230)))</f>
        <v/>
      </c>
      <c r="AB230" s="34">
        <f>IF(OR($A230="",$H230&lt;&gt;"Ausgabe",N230=""),0,IF(N230="x",-$E230/(COUNTIF($J230:$Q230,"x")+1),-$E230*N(N230)))</f>
        <v/>
      </c>
      <c r="AC230" s="34">
        <f>IF(OR($A230="",$H230&lt;&gt;"Ausgabe",O230=""),0,IF(O230="x",-$E230/(COUNTIF($J230:$Q230,"x")+1),-$E230*N(O230)))</f>
        <v/>
      </c>
      <c r="AD230" s="34">
        <f>IF(OR($A230="",$H230&lt;&gt;"Ausgabe",P230=""),0,IF(P230="x",-$E230/(COUNTIF($J230:$Q230,"x")+1),-$E230*N(P230)))</f>
        <v/>
      </c>
      <c r="AE230" s="34">
        <f>IF(OR($A230="",$H230&lt;&gt;"Ausgabe",Q230=""),0,IF(Q230="x",-$E230/(COUNTIF($J230:$Q230,"x")+1),-$E230*N(Q230)))</f>
        <v/>
      </c>
    </row>
    <row r="231">
      <c r="A231" s="30" t="n"/>
      <c r="E231" s="31" t="n"/>
      <c r="J231" s="32" t="n"/>
      <c r="K231" s="32" t="n"/>
      <c r="L231" s="32" t="n"/>
      <c r="M231" s="32" t="n"/>
      <c r="N231" s="32" t="n"/>
      <c r="O231" s="32" t="n"/>
      <c r="P231" s="32" t="n"/>
      <c r="Q231" s="32" t="n"/>
      <c r="U231" s="31">
        <f>IF($A231="","",SUM(X231:AE231))</f>
        <v/>
      </c>
      <c r="V231" s="31">
        <f>IF($A231="","",IF($H231&lt;&gt;"Ausgabe",0,-$E231-$U231))</f>
        <v/>
      </c>
      <c r="W231" s="33">
        <f>IF($A231="","",DATE(YEAR($A231),MONTH($A231),1))</f>
        <v/>
      </c>
      <c r="X231" s="34">
        <f>IF(OR($A231="",$H231&lt;&gt;"Ausgabe",J231=""),0,IF(J231="x",-$E231/(COUNTIF($J231:$Q231,"x")+1),-$E231*N(J231)))</f>
        <v/>
      </c>
      <c r="Y231" s="34">
        <f>IF(OR($A231="",$H231&lt;&gt;"Ausgabe",K231=""),0,IF(K231="x",-$E231/(COUNTIF($J231:$Q231,"x")+1),-$E231*N(K231)))</f>
        <v/>
      </c>
      <c r="Z231" s="34">
        <f>IF(OR($A231="",$H231&lt;&gt;"Ausgabe",L231=""),0,IF(L231="x",-$E231/(COUNTIF($J231:$Q231,"x")+1),-$E231*N(L231)))</f>
        <v/>
      </c>
      <c r="AA231" s="34">
        <f>IF(OR($A231="",$H231&lt;&gt;"Ausgabe",M231=""),0,IF(M231="x",-$E231/(COUNTIF($J231:$Q231,"x")+1),-$E231*N(M231)))</f>
        <v/>
      </c>
      <c r="AB231" s="34">
        <f>IF(OR($A231="",$H231&lt;&gt;"Ausgabe",N231=""),0,IF(N231="x",-$E231/(COUNTIF($J231:$Q231,"x")+1),-$E231*N(N231)))</f>
        <v/>
      </c>
      <c r="AC231" s="34">
        <f>IF(OR($A231="",$H231&lt;&gt;"Ausgabe",O231=""),0,IF(O231="x",-$E231/(COUNTIF($J231:$Q231,"x")+1),-$E231*N(O231)))</f>
        <v/>
      </c>
      <c r="AD231" s="34">
        <f>IF(OR($A231="",$H231&lt;&gt;"Ausgabe",P231=""),0,IF(P231="x",-$E231/(COUNTIF($J231:$Q231,"x")+1),-$E231*N(P231)))</f>
        <v/>
      </c>
      <c r="AE231" s="34">
        <f>IF(OR($A231="",$H231&lt;&gt;"Ausgabe",Q231=""),0,IF(Q231="x",-$E231/(COUNTIF($J231:$Q231,"x")+1),-$E231*N(Q231)))</f>
        <v/>
      </c>
    </row>
    <row r="232">
      <c r="A232" s="30" t="n"/>
      <c r="E232" s="31" t="n"/>
      <c r="J232" s="32" t="n"/>
      <c r="K232" s="32" t="n"/>
      <c r="L232" s="32" t="n"/>
      <c r="M232" s="32" t="n"/>
      <c r="N232" s="32" t="n"/>
      <c r="O232" s="32" t="n"/>
      <c r="P232" s="32" t="n"/>
      <c r="Q232" s="32" t="n"/>
      <c r="U232" s="31">
        <f>IF($A232="","",SUM(X232:AE232))</f>
        <v/>
      </c>
      <c r="V232" s="31">
        <f>IF($A232="","",IF($H232&lt;&gt;"Ausgabe",0,-$E232-$U232))</f>
        <v/>
      </c>
      <c r="W232" s="33">
        <f>IF($A232="","",DATE(YEAR($A232),MONTH($A232),1))</f>
        <v/>
      </c>
      <c r="X232" s="34">
        <f>IF(OR($A232="",$H232&lt;&gt;"Ausgabe",J232=""),0,IF(J232="x",-$E232/(COUNTIF($J232:$Q232,"x")+1),-$E232*N(J232)))</f>
        <v/>
      </c>
      <c r="Y232" s="34">
        <f>IF(OR($A232="",$H232&lt;&gt;"Ausgabe",K232=""),0,IF(K232="x",-$E232/(COUNTIF($J232:$Q232,"x")+1),-$E232*N(K232)))</f>
        <v/>
      </c>
      <c r="Z232" s="34">
        <f>IF(OR($A232="",$H232&lt;&gt;"Ausgabe",L232=""),0,IF(L232="x",-$E232/(COUNTIF($J232:$Q232,"x")+1),-$E232*N(L232)))</f>
        <v/>
      </c>
      <c r="AA232" s="34">
        <f>IF(OR($A232="",$H232&lt;&gt;"Ausgabe",M232=""),0,IF(M232="x",-$E232/(COUNTIF($J232:$Q232,"x")+1),-$E232*N(M232)))</f>
        <v/>
      </c>
      <c r="AB232" s="34">
        <f>IF(OR($A232="",$H232&lt;&gt;"Ausgabe",N232=""),0,IF(N232="x",-$E232/(COUNTIF($J232:$Q232,"x")+1),-$E232*N(N232)))</f>
        <v/>
      </c>
      <c r="AC232" s="34">
        <f>IF(OR($A232="",$H232&lt;&gt;"Ausgabe",O232=""),0,IF(O232="x",-$E232/(COUNTIF($J232:$Q232,"x")+1),-$E232*N(O232)))</f>
        <v/>
      </c>
      <c r="AD232" s="34">
        <f>IF(OR($A232="",$H232&lt;&gt;"Ausgabe",P232=""),0,IF(P232="x",-$E232/(COUNTIF($J232:$Q232,"x")+1),-$E232*N(P232)))</f>
        <v/>
      </c>
      <c r="AE232" s="34">
        <f>IF(OR($A232="",$H232&lt;&gt;"Ausgabe",Q232=""),0,IF(Q232="x",-$E232/(COUNTIF($J232:$Q232,"x")+1),-$E232*N(Q232)))</f>
        <v/>
      </c>
    </row>
    <row r="233">
      <c r="A233" s="30" t="n"/>
      <c r="E233" s="31" t="n"/>
      <c r="J233" s="32" t="n"/>
      <c r="K233" s="32" t="n"/>
      <c r="L233" s="32" t="n"/>
      <c r="M233" s="32" t="n"/>
      <c r="N233" s="32" t="n"/>
      <c r="O233" s="32" t="n"/>
      <c r="P233" s="32" t="n"/>
      <c r="Q233" s="32" t="n"/>
      <c r="U233" s="31">
        <f>IF($A233="","",SUM(X233:AE233))</f>
        <v/>
      </c>
      <c r="V233" s="31">
        <f>IF($A233="","",IF($H233&lt;&gt;"Ausgabe",0,-$E233-$U233))</f>
        <v/>
      </c>
      <c r="W233" s="33">
        <f>IF($A233="","",DATE(YEAR($A233),MONTH($A233),1))</f>
        <v/>
      </c>
      <c r="X233" s="34">
        <f>IF(OR($A233="",$H233&lt;&gt;"Ausgabe",J233=""),0,IF(J233="x",-$E233/(COUNTIF($J233:$Q233,"x")+1),-$E233*N(J233)))</f>
        <v/>
      </c>
      <c r="Y233" s="34">
        <f>IF(OR($A233="",$H233&lt;&gt;"Ausgabe",K233=""),0,IF(K233="x",-$E233/(COUNTIF($J233:$Q233,"x")+1),-$E233*N(K233)))</f>
        <v/>
      </c>
      <c r="Z233" s="34">
        <f>IF(OR($A233="",$H233&lt;&gt;"Ausgabe",L233=""),0,IF(L233="x",-$E233/(COUNTIF($J233:$Q233,"x")+1),-$E233*N(L233)))</f>
        <v/>
      </c>
      <c r="AA233" s="34">
        <f>IF(OR($A233="",$H233&lt;&gt;"Ausgabe",M233=""),0,IF(M233="x",-$E233/(COUNTIF($J233:$Q233,"x")+1),-$E233*N(M233)))</f>
        <v/>
      </c>
      <c r="AB233" s="34">
        <f>IF(OR($A233="",$H233&lt;&gt;"Ausgabe",N233=""),0,IF(N233="x",-$E233/(COUNTIF($J233:$Q233,"x")+1),-$E233*N(N233)))</f>
        <v/>
      </c>
      <c r="AC233" s="34">
        <f>IF(OR($A233="",$H233&lt;&gt;"Ausgabe",O233=""),0,IF(O233="x",-$E233/(COUNTIF($J233:$Q233,"x")+1),-$E233*N(O233)))</f>
        <v/>
      </c>
      <c r="AD233" s="34">
        <f>IF(OR($A233="",$H233&lt;&gt;"Ausgabe",P233=""),0,IF(P233="x",-$E233/(COUNTIF($J233:$Q233,"x")+1),-$E233*N(P233)))</f>
        <v/>
      </c>
      <c r="AE233" s="34">
        <f>IF(OR($A233="",$H233&lt;&gt;"Ausgabe",Q233=""),0,IF(Q233="x",-$E233/(COUNTIF($J233:$Q233,"x")+1),-$E233*N(Q233)))</f>
        <v/>
      </c>
    </row>
    <row r="234">
      <c r="A234" s="30" t="n"/>
      <c r="E234" s="31" t="n"/>
      <c r="J234" s="32" t="n"/>
      <c r="K234" s="32" t="n"/>
      <c r="L234" s="32" t="n"/>
      <c r="M234" s="32" t="n"/>
      <c r="N234" s="32" t="n"/>
      <c r="O234" s="32" t="n"/>
      <c r="P234" s="32" t="n"/>
      <c r="Q234" s="32" t="n"/>
      <c r="U234" s="31">
        <f>IF($A234="","",SUM(X234:AE234))</f>
        <v/>
      </c>
      <c r="V234" s="31">
        <f>IF($A234="","",IF($H234&lt;&gt;"Ausgabe",0,-$E234-$U234))</f>
        <v/>
      </c>
      <c r="W234" s="33">
        <f>IF($A234="","",DATE(YEAR($A234),MONTH($A234),1))</f>
        <v/>
      </c>
      <c r="X234" s="34">
        <f>IF(OR($A234="",$H234&lt;&gt;"Ausgabe",J234=""),0,IF(J234="x",-$E234/(COUNTIF($J234:$Q234,"x")+1),-$E234*N(J234)))</f>
        <v/>
      </c>
      <c r="Y234" s="34">
        <f>IF(OR($A234="",$H234&lt;&gt;"Ausgabe",K234=""),0,IF(K234="x",-$E234/(COUNTIF($J234:$Q234,"x")+1),-$E234*N(K234)))</f>
        <v/>
      </c>
      <c r="Z234" s="34">
        <f>IF(OR($A234="",$H234&lt;&gt;"Ausgabe",L234=""),0,IF(L234="x",-$E234/(COUNTIF($J234:$Q234,"x")+1),-$E234*N(L234)))</f>
        <v/>
      </c>
      <c r="AA234" s="34">
        <f>IF(OR($A234="",$H234&lt;&gt;"Ausgabe",M234=""),0,IF(M234="x",-$E234/(COUNTIF($J234:$Q234,"x")+1),-$E234*N(M234)))</f>
        <v/>
      </c>
      <c r="AB234" s="34">
        <f>IF(OR($A234="",$H234&lt;&gt;"Ausgabe",N234=""),0,IF(N234="x",-$E234/(COUNTIF($J234:$Q234,"x")+1),-$E234*N(N234)))</f>
        <v/>
      </c>
      <c r="AC234" s="34">
        <f>IF(OR($A234="",$H234&lt;&gt;"Ausgabe",O234=""),0,IF(O234="x",-$E234/(COUNTIF($J234:$Q234,"x")+1),-$E234*N(O234)))</f>
        <v/>
      </c>
      <c r="AD234" s="34">
        <f>IF(OR($A234="",$H234&lt;&gt;"Ausgabe",P234=""),0,IF(P234="x",-$E234/(COUNTIF($J234:$Q234,"x")+1),-$E234*N(P234)))</f>
        <v/>
      </c>
      <c r="AE234" s="34">
        <f>IF(OR($A234="",$H234&lt;&gt;"Ausgabe",Q234=""),0,IF(Q234="x",-$E234/(COUNTIF($J234:$Q234,"x")+1),-$E234*N(Q234)))</f>
        <v/>
      </c>
    </row>
    <row r="235">
      <c r="A235" s="30" t="n"/>
      <c r="E235" s="31" t="n"/>
      <c r="J235" s="32" t="n"/>
      <c r="K235" s="32" t="n"/>
      <c r="L235" s="32" t="n"/>
      <c r="M235" s="32" t="n"/>
      <c r="N235" s="32" t="n"/>
      <c r="O235" s="32" t="n"/>
      <c r="P235" s="32" t="n"/>
      <c r="Q235" s="32" t="n"/>
      <c r="U235" s="31">
        <f>IF($A235="","",SUM(X235:AE235))</f>
        <v/>
      </c>
      <c r="V235" s="31">
        <f>IF($A235="","",IF($H235&lt;&gt;"Ausgabe",0,-$E235-$U235))</f>
        <v/>
      </c>
      <c r="W235" s="33">
        <f>IF($A235="","",DATE(YEAR($A235),MONTH($A235),1))</f>
        <v/>
      </c>
      <c r="X235" s="34">
        <f>IF(OR($A235="",$H235&lt;&gt;"Ausgabe",J235=""),0,IF(J235="x",-$E235/(COUNTIF($J235:$Q235,"x")+1),-$E235*N(J235)))</f>
        <v/>
      </c>
      <c r="Y235" s="34">
        <f>IF(OR($A235="",$H235&lt;&gt;"Ausgabe",K235=""),0,IF(K235="x",-$E235/(COUNTIF($J235:$Q235,"x")+1),-$E235*N(K235)))</f>
        <v/>
      </c>
      <c r="Z235" s="34">
        <f>IF(OR($A235="",$H235&lt;&gt;"Ausgabe",L235=""),0,IF(L235="x",-$E235/(COUNTIF($J235:$Q235,"x")+1),-$E235*N(L235)))</f>
        <v/>
      </c>
      <c r="AA235" s="34">
        <f>IF(OR($A235="",$H235&lt;&gt;"Ausgabe",M235=""),0,IF(M235="x",-$E235/(COUNTIF($J235:$Q235,"x")+1),-$E235*N(M235)))</f>
        <v/>
      </c>
      <c r="AB235" s="34">
        <f>IF(OR($A235="",$H235&lt;&gt;"Ausgabe",N235=""),0,IF(N235="x",-$E235/(COUNTIF($J235:$Q235,"x")+1),-$E235*N(N235)))</f>
        <v/>
      </c>
      <c r="AC235" s="34">
        <f>IF(OR($A235="",$H235&lt;&gt;"Ausgabe",O235=""),0,IF(O235="x",-$E235/(COUNTIF($J235:$Q235,"x")+1),-$E235*N(O235)))</f>
        <v/>
      </c>
      <c r="AD235" s="34">
        <f>IF(OR($A235="",$H235&lt;&gt;"Ausgabe",P235=""),0,IF(P235="x",-$E235/(COUNTIF($J235:$Q235,"x")+1),-$E235*N(P235)))</f>
        <v/>
      </c>
      <c r="AE235" s="34">
        <f>IF(OR($A235="",$H235&lt;&gt;"Ausgabe",Q235=""),0,IF(Q235="x",-$E235/(COUNTIF($J235:$Q235,"x")+1),-$E235*N(Q235)))</f>
        <v/>
      </c>
    </row>
    <row r="236">
      <c r="A236" s="30" t="n"/>
      <c r="E236" s="31" t="n"/>
      <c r="J236" s="32" t="n"/>
      <c r="K236" s="32" t="n"/>
      <c r="L236" s="32" t="n"/>
      <c r="M236" s="32" t="n"/>
      <c r="N236" s="32" t="n"/>
      <c r="O236" s="32" t="n"/>
      <c r="P236" s="32" t="n"/>
      <c r="Q236" s="32" t="n"/>
      <c r="U236" s="31">
        <f>IF($A236="","",SUM(X236:AE236))</f>
        <v/>
      </c>
      <c r="V236" s="31">
        <f>IF($A236="","",IF($H236&lt;&gt;"Ausgabe",0,-$E236-$U236))</f>
        <v/>
      </c>
      <c r="W236" s="33">
        <f>IF($A236="","",DATE(YEAR($A236),MONTH($A236),1))</f>
        <v/>
      </c>
      <c r="X236" s="34">
        <f>IF(OR($A236="",$H236&lt;&gt;"Ausgabe",J236=""),0,IF(J236="x",-$E236/(COUNTIF($J236:$Q236,"x")+1),-$E236*N(J236)))</f>
        <v/>
      </c>
      <c r="Y236" s="34">
        <f>IF(OR($A236="",$H236&lt;&gt;"Ausgabe",K236=""),0,IF(K236="x",-$E236/(COUNTIF($J236:$Q236,"x")+1),-$E236*N(K236)))</f>
        <v/>
      </c>
      <c r="Z236" s="34">
        <f>IF(OR($A236="",$H236&lt;&gt;"Ausgabe",L236=""),0,IF(L236="x",-$E236/(COUNTIF($J236:$Q236,"x")+1),-$E236*N(L236)))</f>
        <v/>
      </c>
      <c r="AA236" s="34">
        <f>IF(OR($A236="",$H236&lt;&gt;"Ausgabe",M236=""),0,IF(M236="x",-$E236/(COUNTIF($J236:$Q236,"x")+1),-$E236*N(M236)))</f>
        <v/>
      </c>
      <c r="AB236" s="34">
        <f>IF(OR($A236="",$H236&lt;&gt;"Ausgabe",N236=""),0,IF(N236="x",-$E236/(COUNTIF($J236:$Q236,"x")+1),-$E236*N(N236)))</f>
        <v/>
      </c>
      <c r="AC236" s="34">
        <f>IF(OR($A236="",$H236&lt;&gt;"Ausgabe",O236=""),0,IF(O236="x",-$E236/(COUNTIF($J236:$Q236,"x")+1),-$E236*N(O236)))</f>
        <v/>
      </c>
      <c r="AD236" s="34">
        <f>IF(OR($A236="",$H236&lt;&gt;"Ausgabe",P236=""),0,IF(P236="x",-$E236/(COUNTIF($J236:$Q236,"x")+1),-$E236*N(P236)))</f>
        <v/>
      </c>
      <c r="AE236" s="34">
        <f>IF(OR($A236="",$H236&lt;&gt;"Ausgabe",Q236=""),0,IF(Q236="x",-$E236/(COUNTIF($J236:$Q236,"x")+1),-$E236*N(Q236)))</f>
        <v/>
      </c>
    </row>
    <row r="237">
      <c r="A237" s="30" t="n"/>
      <c r="E237" s="31" t="n"/>
      <c r="J237" s="32" t="n"/>
      <c r="K237" s="32" t="n"/>
      <c r="L237" s="32" t="n"/>
      <c r="M237" s="32" t="n"/>
      <c r="N237" s="32" t="n"/>
      <c r="O237" s="32" t="n"/>
      <c r="P237" s="32" t="n"/>
      <c r="Q237" s="32" t="n"/>
      <c r="U237" s="31">
        <f>IF($A237="","",SUM(X237:AE237))</f>
        <v/>
      </c>
      <c r="V237" s="31">
        <f>IF($A237="","",IF($H237&lt;&gt;"Ausgabe",0,-$E237-$U237))</f>
        <v/>
      </c>
      <c r="W237" s="33">
        <f>IF($A237="","",DATE(YEAR($A237),MONTH($A237),1))</f>
        <v/>
      </c>
      <c r="X237" s="34">
        <f>IF(OR($A237="",$H237&lt;&gt;"Ausgabe",J237=""),0,IF(J237="x",-$E237/(COUNTIF($J237:$Q237,"x")+1),-$E237*N(J237)))</f>
        <v/>
      </c>
      <c r="Y237" s="34">
        <f>IF(OR($A237="",$H237&lt;&gt;"Ausgabe",K237=""),0,IF(K237="x",-$E237/(COUNTIF($J237:$Q237,"x")+1),-$E237*N(K237)))</f>
        <v/>
      </c>
      <c r="Z237" s="34">
        <f>IF(OR($A237="",$H237&lt;&gt;"Ausgabe",L237=""),0,IF(L237="x",-$E237/(COUNTIF($J237:$Q237,"x")+1),-$E237*N(L237)))</f>
        <v/>
      </c>
      <c r="AA237" s="34">
        <f>IF(OR($A237="",$H237&lt;&gt;"Ausgabe",M237=""),0,IF(M237="x",-$E237/(COUNTIF($J237:$Q237,"x")+1),-$E237*N(M237)))</f>
        <v/>
      </c>
      <c r="AB237" s="34">
        <f>IF(OR($A237="",$H237&lt;&gt;"Ausgabe",N237=""),0,IF(N237="x",-$E237/(COUNTIF($J237:$Q237,"x")+1),-$E237*N(N237)))</f>
        <v/>
      </c>
      <c r="AC237" s="34">
        <f>IF(OR($A237="",$H237&lt;&gt;"Ausgabe",O237=""),0,IF(O237="x",-$E237/(COUNTIF($J237:$Q237,"x")+1),-$E237*N(O237)))</f>
        <v/>
      </c>
      <c r="AD237" s="34">
        <f>IF(OR($A237="",$H237&lt;&gt;"Ausgabe",P237=""),0,IF(P237="x",-$E237/(COUNTIF($J237:$Q237,"x")+1),-$E237*N(P237)))</f>
        <v/>
      </c>
      <c r="AE237" s="34">
        <f>IF(OR($A237="",$H237&lt;&gt;"Ausgabe",Q237=""),0,IF(Q237="x",-$E237/(COUNTIF($J237:$Q237,"x")+1),-$E237*N(Q237)))</f>
        <v/>
      </c>
    </row>
    <row r="238">
      <c r="A238" s="30" t="n"/>
      <c r="E238" s="31" t="n"/>
      <c r="J238" s="32" t="n"/>
      <c r="K238" s="32" t="n"/>
      <c r="L238" s="32" t="n"/>
      <c r="M238" s="32" t="n"/>
      <c r="N238" s="32" t="n"/>
      <c r="O238" s="32" t="n"/>
      <c r="P238" s="32" t="n"/>
      <c r="Q238" s="32" t="n"/>
      <c r="U238" s="31">
        <f>IF($A238="","",SUM(X238:AE238))</f>
        <v/>
      </c>
      <c r="V238" s="31">
        <f>IF($A238="","",IF($H238&lt;&gt;"Ausgabe",0,-$E238-$U238))</f>
        <v/>
      </c>
      <c r="W238" s="33">
        <f>IF($A238="","",DATE(YEAR($A238),MONTH($A238),1))</f>
        <v/>
      </c>
      <c r="X238" s="34">
        <f>IF(OR($A238="",$H238&lt;&gt;"Ausgabe",J238=""),0,IF(J238="x",-$E238/(COUNTIF($J238:$Q238,"x")+1),-$E238*N(J238)))</f>
        <v/>
      </c>
      <c r="Y238" s="34">
        <f>IF(OR($A238="",$H238&lt;&gt;"Ausgabe",K238=""),0,IF(K238="x",-$E238/(COUNTIF($J238:$Q238,"x")+1),-$E238*N(K238)))</f>
        <v/>
      </c>
      <c r="Z238" s="34">
        <f>IF(OR($A238="",$H238&lt;&gt;"Ausgabe",L238=""),0,IF(L238="x",-$E238/(COUNTIF($J238:$Q238,"x")+1),-$E238*N(L238)))</f>
        <v/>
      </c>
      <c r="AA238" s="34">
        <f>IF(OR($A238="",$H238&lt;&gt;"Ausgabe",M238=""),0,IF(M238="x",-$E238/(COUNTIF($J238:$Q238,"x")+1),-$E238*N(M238)))</f>
        <v/>
      </c>
      <c r="AB238" s="34">
        <f>IF(OR($A238="",$H238&lt;&gt;"Ausgabe",N238=""),0,IF(N238="x",-$E238/(COUNTIF($J238:$Q238,"x")+1),-$E238*N(N238)))</f>
        <v/>
      </c>
      <c r="AC238" s="34">
        <f>IF(OR($A238="",$H238&lt;&gt;"Ausgabe",O238=""),0,IF(O238="x",-$E238/(COUNTIF($J238:$Q238,"x")+1),-$E238*N(O238)))</f>
        <v/>
      </c>
      <c r="AD238" s="34">
        <f>IF(OR($A238="",$H238&lt;&gt;"Ausgabe",P238=""),0,IF(P238="x",-$E238/(COUNTIF($J238:$Q238,"x")+1),-$E238*N(P238)))</f>
        <v/>
      </c>
      <c r="AE238" s="34">
        <f>IF(OR($A238="",$H238&lt;&gt;"Ausgabe",Q238=""),0,IF(Q238="x",-$E238/(COUNTIF($J238:$Q238,"x")+1),-$E238*N(Q238)))</f>
        <v/>
      </c>
    </row>
    <row r="239">
      <c r="A239" s="30" t="n"/>
      <c r="E239" s="31" t="n"/>
      <c r="J239" s="32" t="n"/>
      <c r="K239" s="32" t="n"/>
      <c r="L239" s="32" t="n"/>
      <c r="M239" s="32" t="n"/>
      <c r="N239" s="32" t="n"/>
      <c r="O239" s="32" t="n"/>
      <c r="P239" s="32" t="n"/>
      <c r="Q239" s="32" t="n"/>
      <c r="U239" s="31">
        <f>IF($A239="","",SUM(X239:AE239))</f>
        <v/>
      </c>
      <c r="V239" s="31">
        <f>IF($A239="","",IF($H239&lt;&gt;"Ausgabe",0,-$E239-$U239))</f>
        <v/>
      </c>
      <c r="W239" s="33">
        <f>IF($A239="","",DATE(YEAR($A239),MONTH($A239),1))</f>
        <v/>
      </c>
      <c r="X239" s="34">
        <f>IF(OR($A239="",$H239&lt;&gt;"Ausgabe",J239=""),0,IF(J239="x",-$E239/(COUNTIF($J239:$Q239,"x")+1),-$E239*N(J239)))</f>
        <v/>
      </c>
      <c r="Y239" s="34">
        <f>IF(OR($A239="",$H239&lt;&gt;"Ausgabe",K239=""),0,IF(K239="x",-$E239/(COUNTIF($J239:$Q239,"x")+1),-$E239*N(K239)))</f>
        <v/>
      </c>
      <c r="Z239" s="34">
        <f>IF(OR($A239="",$H239&lt;&gt;"Ausgabe",L239=""),0,IF(L239="x",-$E239/(COUNTIF($J239:$Q239,"x")+1),-$E239*N(L239)))</f>
        <v/>
      </c>
      <c r="AA239" s="34">
        <f>IF(OR($A239="",$H239&lt;&gt;"Ausgabe",M239=""),0,IF(M239="x",-$E239/(COUNTIF($J239:$Q239,"x")+1),-$E239*N(M239)))</f>
        <v/>
      </c>
      <c r="AB239" s="34">
        <f>IF(OR($A239="",$H239&lt;&gt;"Ausgabe",N239=""),0,IF(N239="x",-$E239/(COUNTIF($J239:$Q239,"x")+1),-$E239*N(N239)))</f>
        <v/>
      </c>
      <c r="AC239" s="34">
        <f>IF(OR($A239="",$H239&lt;&gt;"Ausgabe",O239=""),0,IF(O239="x",-$E239/(COUNTIF($J239:$Q239,"x")+1),-$E239*N(O239)))</f>
        <v/>
      </c>
      <c r="AD239" s="34">
        <f>IF(OR($A239="",$H239&lt;&gt;"Ausgabe",P239=""),0,IF(P239="x",-$E239/(COUNTIF($J239:$Q239,"x")+1),-$E239*N(P239)))</f>
        <v/>
      </c>
      <c r="AE239" s="34">
        <f>IF(OR($A239="",$H239&lt;&gt;"Ausgabe",Q239=""),0,IF(Q239="x",-$E239/(COUNTIF($J239:$Q239,"x")+1),-$E239*N(Q239)))</f>
        <v/>
      </c>
    </row>
    <row r="240">
      <c r="A240" s="30" t="n"/>
      <c r="E240" s="31" t="n"/>
      <c r="J240" s="32" t="n"/>
      <c r="K240" s="32" t="n"/>
      <c r="L240" s="32" t="n"/>
      <c r="M240" s="32" t="n"/>
      <c r="N240" s="32" t="n"/>
      <c r="O240" s="32" t="n"/>
      <c r="P240" s="32" t="n"/>
      <c r="Q240" s="32" t="n"/>
      <c r="U240" s="31">
        <f>IF($A240="","",SUM(X240:AE240))</f>
        <v/>
      </c>
      <c r="V240" s="31">
        <f>IF($A240="","",IF($H240&lt;&gt;"Ausgabe",0,-$E240-$U240))</f>
        <v/>
      </c>
      <c r="W240" s="33">
        <f>IF($A240="","",DATE(YEAR($A240),MONTH($A240),1))</f>
        <v/>
      </c>
      <c r="X240" s="34">
        <f>IF(OR($A240="",$H240&lt;&gt;"Ausgabe",J240=""),0,IF(J240="x",-$E240/(COUNTIF($J240:$Q240,"x")+1),-$E240*N(J240)))</f>
        <v/>
      </c>
      <c r="Y240" s="34">
        <f>IF(OR($A240="",$H240&lt;&gt;"Ausgabe",K240=""),0,IF(K240="x",-$E240/(COUNTIF($J240:$Q240,"x")+1),-$E240*N(K240)))</f>
        <v/>
      </c>
      <c r="Z240" s="34">
        <f>IF(OR($A240="",$H240&lt;&gt;"Ausgabe",L240=""),0,IF(L240="x",-$E240/(COUNTIF($J240:$Q240,"x")+1),-$E240*N(L240)))</f>
        <v/>
      </c>
      <c r="AA240" s="34">
        <f>IF(OR($A240="",$H240&lt;&gt;"Ausgabe",M240=""),0,IF(M240="x",-$E240/(COUNTIF($J240:$Q240,"x")+1),-$E240*N(M240)))</f>
        <v/>
      </c>
      <c r="AB240" s="34">
        <f>IF(OR($A240="",$H240&lt;&gt;"Ausgabe",N240=""),0,IF(N240="x",-$E240/(COUNTIF($J240:$Q240,"x")+1),-$E240*N(N240)))</f>
        <v/>
      </c>
      <c r="AC240" s="34">
        <f>IF(OR($A240="",$H240&lt;&gt;"Ausgabe",O240=""),0,IF(O240="x",-$E240/(COUNTIF($J240:$Q240,"x")+1),-$E240*N(O240)))</f>
        <v/>
      </c>
      <c r="AD240" s="34">
        <f>IF(OR($A240="",$H240&lt;&gt;"Ausgabe",P240=""),0,IF(P240="x",-$E240/(COUNTIF($J240:$Q240,"x")+1),-$E240*N(P240)))</f>
        <v/>
      </c>
      <c r="AE240" s="34">
        <f>IF(OR($A240="",$H240&lt;&gt;"Ausgabe",Q240=""),0,IF(Q240="x",-$E240/(COUNTIF($J240:$Q240,"x")+1),-$E240*N(Q240)))</f>
        <v/>
      </c>
    </row>
    <row r="241">
      <c r="A241" s="30" t="n"/>
      <c r="E241" s="31" t="n"/>
      <c r="J241" s="32" t="n"/>
      <c r="K241" s="32" t="n"/>
      <c r="L241" s="32" t="n"/>
      <c r="M241" s="32" t="n"/>
      <c r="N241" s="32" t="n"/>
      <c r="O241" s="32" t="n"/>
      <c r="P241" s="32" t="n"/>
      <c r="Q241" s="32" t="n"/>
      <c r="U241" s="31">
        <f>IF($A241="","",SUM(X241:AE241))</f>
        <v/>
      </c>
      <c r="V241" s="31">
        <f>IF($A241="","",IF($H241&lt;&gt;"Ausgabe",0,-$E241-$U241))</f>
        <v/>
      </c>
      <c r="W241" s="33">
        <f>IF($A241="","",DATE(YEAR($A241),MONTH($A241),1))</f>
        <v/>
      </c>
      <c r="X241" s="34">
        <f>IF(OR($A241="",$H241&lt;&gt;"Ausgabe",J241=""),0,IF(J241="x",-$E241/(COUNTIF($J241:$Q241,"x")+1),-$E241*N(J241)))</f>
        <v/>
      </c>
      <c r="Y241" s="34">
        <f>IF(OR($A241="",$H241&lt;&gt;"Ausgabe",K241=""),0,IF(K241="x",-$E241/(COUNTIF($J241:$Q241,"x")+1),-$E241*N(K241)))</f>
        <v/>
      </c>
      <c r="Z241" s="34">
        <f>IF(OR($A241="",$H241&lt;&gt;"Ausgabe",L241=""),0,IF(L241="x",-$E241/(COUNTIF($J241:$Q241,"x")+1),-$E241*N(L241)))</f>
        <v/>
      </c>
      <c r="AA241" s="34">
        <f>IF(OR($A241="",$H241&lt;&gt;"Ausgabe",M241=""),0,IF(M241="x",-$E241/(COUNTIF($J241:$Q241,"x")+1),-$E241*N(M241)))</f>
        <v/>
      </c>
      <c r="AB241" s="34">
        <f>IF(OR($A241="",$H241&lt;&gt;"Ausgabe",N241=""),0,IF(N241="x",-$E241/(COUNTIF($J241:$Q241,"x")+1),-$E241*N(N241)))</f>
        <v/>
      </c>
      <c r="AC241" s="34">
        <f>IF(OR($A241="",$H241&lt;&gt;"Ausgabe",O241=""),0,IF(O241="x",-$E241/(COUNTIF($J241:$Q241,"x")+1),-$E241*N(O241)))</f>
        <v/>
      </c>
      <c r="AD241" s="34">
        <f>IF(OR($A241="",$H241&lt;&gt;"Ausgabe",P241=""),0,IF(P241="x",-$E241/(COUNTIF($J241:$Q241,"x")+1),-$E241*N(P241)))</f>
        <v/>
      </c>
      <c r="AE241" s="34">
        <f>IF(OR($A241="",$H241&lt;&gt;"Ausgabe",Q241=""),0,IF(Q241="x",-$E241/(COUNTIF($J241:$Q241,"x")+1),-$E241*N(Q241)))</f>
        <v/>
      </c>
    </row>
    <row r="242">
      <c r="A242" s="30" t="n"/>
      <c r="E242" s="31" t="n"/>
      <c r="J242" s="32" t="n"/>
      <c r="K242" s="32" t="n"/>
      <c r="L242" s="32" t="n"/>
      <c r="M242" s="32" t="n"/>
      <c r="N242" s="32" t="n"/>
      <c r="O242" s="32" t="n"/>
      <c r="P242" s="32" t="n"/>
      <c r="Q242" s="32" t="n"/>
      <c r="U242" s="31">
        <f>IF($A242="","",SUM(X242:AE242))</f>
        <v/>
      </c>
      <c r="V242" s="31">
        <f>IF($A242="","",IF($H242&lt;&gt;"Ausgabe",0,-$E242-$U242))</f>
        <v/>
      </c>
      <c r="W242" s="33">
        <f>IF($A242="","",DATE(YEAR($A242),MONTH($A242),1))</f>
        <v/>
      </c>
      <c r="X242" s="34">
        <f>IF(OR($A242="",$H242&lt;&gt;"Ausgabe",J242=""),0,IF(J242="x",-$E242/(COUNTIF($J242:$Q242,"x")+1),-$E242*N(J242)))</f>
        <v/>
      </c>
      <c r="Y242" s="34">
        <f>IF(OR($A242="",$H242&lt;&gt;"Ausgabe",K242=""),0,IF(K242="x",-$E242/(COUNTIF($J242:$Q242,"x")+1),-$E242*N(K242)))</f>
        <v/>
      </c>
      <c r="Z242" s="34">
        <f>IF(OR($A242="",$H242&lt;&gt;"Ausgabe",L242=""),0,IF(L242="x",-$E242/(COUNTIF($J242:$Q242,"x")+1),-$E242*N(L242)))</f>
        <v/>
      </c>
      <c r="AA242" s="34">
        <f>IF(OR($A242="",$H242&lt;&gt;"Ausgabe",M242=""),0,IF(M242="x",-$E242/(COUNTIF($J242:$Q242,"x")+1),-$E242*N(M242)))</f>
        <v/>
      </c>
      <c r="AB242" s="34">
        <f>IF(OR($A242="",$H242&lt;&gt;"Ausgabe",N242=""),0,IF(N242="x",-$E242/(COUNTIF($J242:$Q242,"x")+1),-$E242*N(N242)))</f>
        <v/>
      </c>
      <c r="AC242" s="34">
        <f>IF(OR($A242="",$H242&lt;&gt;"Ausgabe",O242=""),0,IF(O242="x",-$E242/(COUNTIF($J242:$Q242,"x")+1),-$E242*N(O242)))</f>
        <v/>
      </c>
      <c r="AD242" s="34">
        <f>IF(OR($A242="",$H242&lt;&gt;"Ausgabe",P242=""),0,IF(P242="x",-$E242/(COUNTIF($J242:$Q242,"x")+1),-$E242*N(P242)))</f>
        <v/>
      </c>
      <c r="AE242" s="34">
        <f>IF(OR($A242="",$H242&lt;&gt;"Ausgabe",Q242=""),0,IF(Q242="x",-$E242/(COUNTIF($J242:$Q242,"x")+1),-$E242*N(Q242)))</f>
        <v/>
      </c>
    </row>
    <row r="243">
      <c r="A243" s="30" t="n"/>
      <c r="E243" s="31" t="n"/>
      <c r="J243" s="32" t="n"/>
      <c r="K243" s="32" t="n"/>
      <c r="L243" s="32" t="n"/>
      <c r="M243" s="32" t="n"/>
      <c r="N243" s="32" t="n"/>
      <c r="O243" s="32" t="n"/>
      <c r="P243" s="32" t="n"/>
      <c r="Q243" s="32" t="n"/>
      <c r="U243" s="31">
        <f>IF($A243="","",SUM(X243:AE243))</f>
        <v/>
      </c>
      <c r="V243" s="31">
        <f>IF($A243="","",IF($H243&lt;&gt;"Ausgabe",0,-$E243-$U243))</f>
        <v/>
      </c>
      <c r="W243" s="33">
        <f>IF($A243="","",DATE(YEAR($A243),MONTH($A243),1))</f>
        <v/>
      </c>
      <c r="X243" s="34">
        <f>IF(OR($A243="",$H243&lt;&gt;"Ausgabe",J243=""),0,IF(J243="x",-$E243/(COUNTIF($J243:$Q243,"x")+1),-$E243*N(J243)))</f>
        <v/>
      </c>
      <c r="Y243" s="34">
        <f>IF(OR($A243="",$H243&lt;&gt;"Ausgabe",K243=""),0,IF(K243="x",-$E243/(COUNTIF($J243:$Q243,"x")+1),-$E243*N(K243)))</f>
        <v/>
      </c>
      <c r="Z243" s="34">
        <f>IF(OR($A243="",$H243&lt;&gt;"Ausgabe",L243=""),0,IF(L243="x",-$E243/(COUNTIF($J243:$Q243,"x")+1),-$E243*N(L243)))</f>
        <v/>
      </c>
      <c r="AA243" s="34">
        <f>IF(OR($A243="",$H243&lt;&gt;"Ausgabe",M243=""),0,IF(M243="x",-$E243/(COUNTIF($J243:$Q243,"x")+1),-$E243*N(M243)))</f>
        <v/>
      </c>
      <c r="AB243" s="34">
        <f>IF(OR($A243="",$H243&lt;&gt;"Ausgabe",N243=""),0,IF(N243="x",-$E243/(COUNTIF($J243:$Q243,"x")+1),-$E243*N(N243)))</f>
        <v/>
      </c>
      <c r="AC243" s="34">
        <f>IF(OR($A243="",$H243&lt;&gt;"Ausgabe",O243=""),0,IF(O243="x",-$E243/(COUNTIF($J243:$Q243,"x")+1),-$E243*N(O243)))</f>
        <v/>
      </c>
      <c r="AD243" s="34">
        <f>IF(OR($A243="",$H243&lt;&gt;"Ausgabe",P243=""),0,IF(P243="x",-$E243/(COUNTIF($J243:$Q243,"x")+1),-$E243*N(P243)))</f>
        <v/>
      </c>
      <c r="AE243" s="34">
        <f>IF(OR($A243="",$H243&lt;&gt;"Ausgabe",Q243=""),0,IF(Q243="x",-$E243/(COUNTIF($J243:$Q243,"x")+1),-$E243*N(Q243)))</f>
        <v/>
      </c>
    </row>
    <row r="244">
      <c r="A244" s="30" t="n"/>
      <c r="E244" s="31" t="n"/>
      <c r="J244" s="32" t="n"/>
      <c r="K244" s="32" t="n"/>
      <c r="L244" s="32" t="n"/>
      <c r="M244" s="32" t="n"/>
      <c r="N244" s="32" t="n"/>
      <c r="O244" s="32" t="n"/>
      <c r="P244" s="32" t="n"/>
      <c r="Q244" s="32" t="n"/>
      <c r="U244" s="31">
        <f>IF($A244="","",SUM(X244:AE244))</f>
        <v/>
      </c>
      <c r="V244" s="31">
        <f>IF($A244="","",IF($H244&lt;&gt;"Ausgabe",0,-$E244-$U244))</f>
        <v/>
      </c>
      <c r="W244" s="33">
        <f>IF($A244="","",DATE(YEAR($A244),MONTH($A244),1))</f>
        <v/>
      </c>
      <c r="X244" s="34">
        <f>IF(OR($A244="",$H244&lt;&gt;"Ausgabe",J244=""),0,IF(J244="x",-$E244/(COUNTIF($J244:$Q244,"x")+1),-$E244*N(J244)))</f>
        <v/>
      </c>
      <c r="Y244" s="34">
        <f>IF(OR($A244="",$H244&lt;&gt;"Ausgabe",K244=""),0,IF(K244="x",-$E244/(COUNTIF($J244:$Q244,"x")+1),-$E244*N(K244)))</f>
        <v/>
      </c>
      <c r="Z244" s="34">
        <f>IF(OR($A244="",$H244&lt;&gt;"Ausgabe",L244=""),0,IF(L244="x",-$E244/(COUNTIF($J244:$Q244,"x")+1),-$E244*N(L244)))</f>
        <v/>
      </c>
      <c r="AA244" s="34">
        <f>IF(OR($A244="",$H244&lt;&gt;"Ausgabe",M244=""),0,IF(M244="x",-$E244/(COUNTIF($J244:$Q244,"x")+1),-$E244*N(M244)))</f>
        <v/>
      </c>
      <c r="AB244" s="34">
        <f>IF(OR($A244="",$H244&lt;&gt;"Ausgabe",N244=""),0,IF(N244="x",-$E244/(COUNTIF($J244:$Q244,"x")+1),-$E244*N(N244)))</f>
        <v/>
      </c>
      <c r="AC244" s="34">
        <f>IF(OR($A244="",$H244&lt;&gt;"Ausgabe",O244=""),0,IF(O244="x",-$E244/(COUNTIF($J244:$Q244,"x")+1),-$E244*N(O244)))</f>
        <v/>
      </c>
      <c r="AD244" s="34">
        <f>IF(OR($A244="",$H244&lt;&gt;"Ausgabe",P244=""),0,IF(P244="x",-$E244/(COUNTIF($J244:$Q244,"x")+1),-$E244*N(P244)))</f>
        <v/>
      </c>
      <c r="AE244" s="34">
        <f>IF(OR($A244="",$H244&lt;&gt;"Ausgabe",Q244=""),0,IF(Q244="x",-$E244/(COUNTIF($J244:$Q244,"x")+1),-$E244*N(Q244)))</f>
        <v/>
      </c>
    </row>
    <row r="245">
      <c r="A245" s="30" t="n"/>
      <c r="E245" s="31" t="n"/>
      <c r="J245" s="32" t="n"/>
      <c r="K245" s="32" t="n"/>
      <c r="L245" s="32" t="n"/>
      <c r="M245" s="32" t="n"/>
      <c r="N245" s="32" t="n"/>
      <c r="O245" s="32" t="n"/>
      <c r="P245" s="32" t="n"/>
      <c r="Q245" s="32" t="n"/>
      <c r="U245" s="31">
        <f>IF($A245="","",SUM(X245:AE245))</f>
        <v/>
      </c>
      <c r="V245" s="31">
        <f>IF($A245="","",IF($H245&lt;&gt;"Ausgabe",0,-$E245-$U245))</f>
        <v/>
      </c>
      <c r="W245" s="33">
        <f>IF($A245="","",DATE(YEAR($A245),MONTH($A245),1))</f>
        <v/>
      </c>
      <c r="X245" s="34">
        <f>IF(OR($A245="",$H245&lt;&gt;"Ausgabe",J245=""),0,IF(J245="x",-$E245/(COUNTIF($J245:$Q245,"x")+1),-$E245*N(J245)))</f>
        <v/>
      </c>
      <c r="Y245" s="34">
        <f>IF(OR($A245="",$H245&lt;&gt;"Ausgabe",K245=""),0,IF(K245="x",-$E245/(COUNTIF($J245:$Q245,"x")+1),-$E245*N(K245)))</f>
        <v/>
      </c>
      <c r="Z245" s="34">
        <f>IF(OR($A245="",$H245&lt;&gt;"Ausgabe",L245=""),0,IF(L245="x",-$E245/(COUNTIF($J245:$Q245,"x")+1),-$E245*N(L245)))</f>
        <v/>
      </c>
      <c r="AA245" s="34">
        <f>IF(OR($A245="",$H245&lt;&gt;"Ausgabe",M245=""),0,IF(M245="x",-$E245/(COUNTIF($J245:$Q245,"x")+1),-$E245*N(M245)))</f>
        <v/>
      </c>
      <c r="AB245" s="34">
        <f>IF(OR($A245="",$H245&lt;&gt;"Ausgabe",N245=""),0,IF(N245="x",-$E245/(COUNTIF($J245:$Q245,"x")+1),-$E245*N(N245)))</f>
        <v/>
      </c>
      <c r="AC245" s="34">
        <f>IF(OR($A245="",$H245&lt;&gt;"Ausgabe",O245=""),0,IF(O245="x",-$E245/(COUNTIF($J245:$Q245,"x")+1),-$E245*N(O245)))</f>
        <v/>
      </c>
      <c r="AD245" s="34">
        <f>IF(OR($A245="",$H245&lt;&gt;"Ausgabe",P245=""),0,IF(P245="x",-$E245/(COUNTIF($J245:$Q245,"x")+1),-$E245*N(P245)))</f>
        <v/>
      </c>
      <c r="AE245" s="34">
        <f>IF(OR($A245="",$H245&lt;&gt;"Ausgabe",Q245=""),0,IF(Q245="x",-$E245/(COUNTIF($J245:$Q245,"x")+1),-$E245*N(Q245)))</f>
        <v/>
      </c>
    </row>
    <row r="246">
      <c r="A246" s="30" t="n"/>
      <c r="E246" s="31" t="n"/>
      <c r="J246" s="32" t="n"/>
      <c r="K246" s="32" t="n"/>
      <c r="L246" s="32" t="n"/>
      <c r="M246" s="32" t="n"/>
      <c r="N246" s="32" t="n"/>
      <c r="O246" s="32" t="n"/>
      <c r="P246" s="32" t="n"/>
      <c r="Q246" s="32" t="n"/>
      <c r="U246" s="31">
        <f>IF($A246="","",SUM(X246:AE246))</f>
        <v/>
      </c>
      <c r="V246" s="31">
        <f>IF($A246="","",IF($H246&lt;&gt;"Ausgabe",0,-$E246-$U246))</f>
        <v/>
      </c>
      <c r="W246" s="33">
        <f>IF($A246="","",DATE(YEAR($A246),MONTH($A246),1))</f>
        <v/>
      </c>
      <c r="X246" s="34">
        <f>IF(OR($A246="",$H246&lt;&gt;"Ausgabe",J246=""),0,IF(J246="x",-$E246/(COUNTIF($J246:$Q246,"x")+1),-$E246*N(J246)))</f>
        <v/>
      </c>
      <c r="Y246" s="34">
        <f>IF(OR($A246="",$H246&lt;&gt;"Ausgabe",K246=""),0,IF(K246="x",-$E246/(COUNTIF($J246:$Q246,"x")+1),-$E246*N(K246)))</f>
        <v/>
      </c>
      <c r="Z246" s="34">
        <f>IF(OR($A246="",$H246&lt;&gt;"Ausgabe",L246=""),0,IF(L246="x",-$E246/(COUNTIF($J246:$Q246,"x")+1),-$E246*N(L246)))</f>
        <v/>
      </c>
      <c r="AA246" s="34">
        <f>IF(OR($A246="",$H246&lt;&gt;"Ausgabe",M246=""),0,IF(M246="x",-$E246/(COUNTIF($J246:$Q246,"x")+1),-$E246*N(M246)))</f>
        <v/>
      </c>
      <c r="AB246" s="34">
        <f>IF(OR($A246="",$H246&lt;&gt;"Ausgabe",N246=""),0,IF(N246="x",-$E246/(COUNTIF($J246:$Q246,"x")+1),-$E246*N(N246)))</f>
        <v/>
      </c>
      <c r="AC246" s="34">
        <f>IF(OR($A246="",$H246&lt;&gt;"Ausgabe",O246=""),0,IF(O246="x",-$E246/(COUNTIF($J246:$Q246,"x")+1),-$E246*N(O246)))</f>
        <v/>
      </c>
      <c r="AD246" s="34">
        <f>IF(OR($A246="",$H246&lt;&gt;"Ausgabe",P246=""),0,IF(P246="x",-$E246/(COUNTIF($J246:$Q246,"x")+1),-$E246*N(P246)))</f>
        <v/>
      </c>
      <c r="AE246" s="34">
        <f>IF(OR($A246="",$H246&lt;&gt;"Ausgabe",Q246=""),0,IF(Q246="x",-$E246/(COUNTIF($J246:$Q246,"x")+1),-$E246*N(Q246)))</f>
        <v/>
      </c>
    </row>
    <row r="247">
      <c r="A247" s="30" t="n"/>
      <c r="E247" s="31" t="n"/>
      <c r="J247" s="32" t="n"/>
      <c r="K247" s="32" t="n"/>
      <c r="L247" s="32" t="n"/>
      <c r="M247" s="32" t="n"/>
      <c r="N247" s="32" t="n"/>
      <c r="O247" s="32" t="n"/>
      <c r="P247" s="32" t="n"/>
      <c r="Q247" s="32" t="n"/>
      <c r="U247" s="31">
        <f>IF($A247="","",SUM(X247:AE247))</f>
        <v/>
      </c>
      <c r="V247" s="31">
        <f>IF($A247="","",IF($H247&lt;&gt;"Ausgabe",0,-$E247-$U247))</f>
        <v/>
      </c>
      <c r="W247" s="33">
        <f>IF($A247="","",DATE(YEAR($A247),MONTH($A247),1))</f>
        <v/>
      </c>
      <c r="X247" s="34">
        <f>IF(OR($A247="",$H247&lt;&gt;"Ausgabe",J247=""),0,IF(J247="x",-$E247/(COUNTIF($J247:$Q247,"x")+1),-$E247*N(J247)))</f>
        <v/>
      </c>
      <c r="Y247" s="34">
        <f>IF(OR($A247="",$H247&lt;&gt;"Ausgabe",K247=""),0,IF(K247="x",-$E247/(COUNTIF($J247:$Q247,"x")+1),-$E247*N(K247)))</f>
        <v/>
      </c>
      <c r="Z247" s="34">
        <f>IF(OR($A247="",$H247&lt;&gt;"Ausgabe",L247=""),0,IF(L247="x",-$E247/(COUNTIF($J247:$Q247,"x")+1),-$E247*N(L247)))</f>
        <v/>
      </c>
      <c r="AA247" s="34">
        <f>IF(OR($A247="",$H247&lt;&gt;"Ausgabe",M247=""),0,IF(M247="x",-$E247/(COUNTIF($J247:$Q247,"x")+1),-$E247*N(M247)))</f>
        <v/>
      </c>
      <c r="AB247" s="34">
        <f>IF(OR($A247="",$H247&lt;&gt;"Ausgabe",N247=""),0,IF(N247="x",-$E247/(COUNTIF($J247:$Q247,"x")+1),-$E247*N(N247)))</f>
        <v/>
      </c>
      <c r="AC247" s="34">
        <f>IF(OR($A247="",$H247&lt;&gt;"Ausgabe",O247=""),0,IF(O247="x",-$E247/(COUNTIF($J247:$Q247,"x")+1),-$E247*N(O247)))</f>
        <v/>
      </c>
      <c r="AD247" s="34">
        <f>IF(OR($A247="",$H247&lt;&gt;"Ausgabe",P247=""),0,IF(P247="x",-$E247/(COUNTIF($J247:$Q247,"x")+1),-$E247*N(P247)))</f>
        <v/>
      </c>
      <c r="AE247" s="34">
        <f>IF(OR($A247="",$H247&lt;&gt;"Ausgabe",Q247=""),0,IF(Q247="x",-$E247/(COUNTIF($J247:$Q247,"x")+1),-$E247*N(Q247)))</f>
        <v/>
      </c>
    </row>
    <row r="248">
      <c r="A248" s="30" t="n"/>
      <c r="E248" s="31" t="n"/>
      <c r="J248" s="32" t="n"/>
      <c r="K248" s="32" t="n"/>
      <c r="L248" s="32" t="n"/>
      <c r="M248" s="32" t="n"/>
      <c r="N248" s="32" t="n"/>
      <c r="O248" s="32" t="n"/>
      <c r="P248" s="32" t="n"/>
      <c r="Q248" s="32" t="n"/>
      <c r="U248" s="31">
        <f>IF($A248="","",SUM(X248:AE248))</f>
        <v/>
      </c>
      <c r="V248" s="31">
        <f>IF($A248="","",IF($H248&lt;&gt;"Ausgabe",0,-$E248-$U248))</f>
        <v/>
      </c>
      <c r="W248" s="33">
        <f>IF($A248="","",DATE(YEAR($A248),MONTH($A248),1))</f>
        <v/>
      </c>
      <c r="X248" s="34">
        <f>IF(OR($A248="",$H248&lt;&gt;"Ausgabe",J248=""),0,IF(J248="x",-$E248/(COUNTIF($J248:$Q248,"x")+1),-$E248*N(J248)))</f>
        <v/>
      </c>
      <c r="Y248" s="34">
        <f>IF(OR($A248="",$H248&lt;&gt;"Ausgabe",K248=""),0,IF(K248="x",-$E248/(COUNTIF($J248:$Q248,"x")+1),-$E248*N(K248)))</f>
        <v/>
      </c>
      <c r="Z248" s="34">
        <f>IF(OR($A248="",$H248&lt;&gt;"Ausgabe",L248=""),0,IF(L248="x",-$E248/(COUNTIF($J248:$Q248,"x")+1),-$E248*N(L248)))</f>
        <v/>
      </c>
      <c r="AA248" s="34">
        <f>IF(OR($A248="",$H248&lt;&gt;"Ausgabe",M248=""),0,IF(M248="x",-$E248/(COUNTIF($J248:$Q248,"x")+1),-$E248*N(M248)))</f>
        <v/>
      </c>
      <c r="AB248" s="34">
        <f>IF(OR($A248="",$H248&lt;&gt;"Ausgabe",N248=""),0,IF(N248="x",-$E248/(COUNTIF($J248:$Q248,"x")+1),-$E248*N(N248)))</f>
        <v/>
      </c>
      <c r="AC248" s="34">
        <f>IF(OR($A248="",$H248&lt;&gt;"Ausgabe",O248=""),0,IF(O248="x",-$E248/(COUNTIF($J248:$Q248,"x")+1),-$E248*N(O248)))</f>
        <v/>
      </c>
      <c r="AD248" s="34">
        <f>IF(OR($A248="",$H248&lt;&gt;"Ausgabe",P248=""),0,IF(P248="x",-$E248/(COUNTIF($J248:$Q248,"x")+1),-$E248*N(P248)))</f>
        <v/>
      </c>
      <c r="AE248" s="34">
        <f>IF(OR($A248="",$H248&lt;&gt;"Ausgabe",Q248=""),0,IF(Q248="x",-$E248/(COUNTIF($J248:$Q248,"x")+1),-$E248*N(Q248)))</f>
        <v/>
      </c>
    </row>
    <row r="249">
      <c r="A249" s="30" t="n"/>
      <c r="E249" s="31" t="n"/>
      <c r="J249" s="32" t="n"/>
      <c r="K249" s="32" t="n"/>
      <c r="L249" s="32" t="n"/>
      <c r="M249" s="32" t="n"/>
      <c r="N249" s="32" t="n"/>
      <c r="O249" s="32" t="n"/>
      <c r="P249" s="32" t="n"/>
      <c r="Q249" s="32" t="n"/>
      <c r="U249" s="31">
        <f>IF($A249="","",SUM(X249:AE249))</f>
        <v/>
      </c>
      <c r="V249" s="31">
        <f>IF($A249="","",IF($H249&lt;&gt;"Ausgabe",0,-$E249-$U249))</f>
        <v/>
      </c>
      <c r="W249" s="33">
        <f>IF($A249="","",DATE(YEAR($A249),MONTH($A249),1))</f>
        <v/>
      </c>
      <c r="X249" s="34">
        <f>IF(OR($A249="",$H249&lt;&gt;"Ausgabe",J249=""),0,IF(J249="x",-$E249/(COUNTIF($J249:$Q249,"x")+1),-$E249*N(J249)))</f>
        <v/>
      </c>
      <c r="Y249" s="34">
        <f>IF(OR($A249="",$H249&lt;&gt;"Ausgabe",K249=""),0,IF(K249="x",-$E249/(COUNTIF($J249:$Q249,"x")+1),-$E249*N(K249)))</f>
        <v/>
      </c>
      <c r="Z249" s="34">
        <f>IF(OR($A249="",$H249&lt;&gt;"Ausgabe",L249=""),0,IF(L249="x",-$E249/(COUNTIF($J249:$Q249,"x")+1),-$E249*N(L249)))</f>
        <v/>
      </c>
      <c r="AA249" s="34">
        <f>IF(OR($A249="",$H249&lt;&gt;"Ausgabe",M249=""),0,IF(M249="x",-$E249/(COUNTIF($J249:$Q249,"x")+1),-$E249*N(M249)))</f>
        <v/>
      </c>
      <c r="AB249" s="34">
        <f>IF(OR($A249="",$H249&lt;&gt;"Ausgabe",N249=""),0,IF(N249="x",-$E249/(COUNTIF($J249:$Q249,"x")+1),-$E249*N(N249)))</f>
        <v/>
      </c>
      <c r="AC249" s="34">
        <f>IF(OR($A249="",$H249&lt;&gt;"Ausgabe",O249=""),0,IF(O249="x",-$E249/(COUNTIF($J249:$Q249,"x")+1),-$E249*N(O249)))</f>
        <v/>
      </c>
      <c r="AD249" s="34">
        <f>IF(OR($A249="",$H249&lt;&gt;"Ausgabe",P249=""),0,IF(P249="x",-$E249/(COUNTIF($J249:$Q249,"x")+1),-$E249*N(P249)))</f>
        <v/>
      </c>
      <c r="AE249" s="34">
        <f>IF(OR($A249="",$H249&lt;&gt;"Ausgabe",Q249=""),0,IF(Q249="x",-$E249/(COUNTIF($J249:$Q249,"x")+1),-$E249*N(Q249)))</f>
        <v/>
      </c>
    </row>
    <row r="250">
      <c r="A250" s="30" t="n"/>
      <c r="E250" s="31" t="n"/>
      <c r="J250" s="32" t="n"/>
      <c r="K250" s="32" t="n"/>
      <c r="L250" s="32" t="n"/>
      <c r="M250" s="32" t="n"/>
      <c r="N250" s="32" t="n"/>
      <c r="O250" s="32" t="n"/>
      <c r="P250" s="32" t="n"/>
      <c r="Q250" s="32" t="n"/>
      <c r="U250" s="31">
        <f>IF($A250="","",SUM(X250:AE250))</f>
        <v/>
      </c>
      <c r="V250" s="31">
        <f>IF($A250="","",IF($H250&lt;&gt;"Ausgabe",0,-$E250-$U250))</f>
        <v/>
      </c>
      <c r="W250" s="33">
        <f>IF($A250="","",DATE(YEAR($A250),MONTH($A250),1))</f>
        <v/>
      </c>
      <c r="X250" s="34">
        <f>IF(OR($A250="",$H250&lt;&gt;"Ausgabe",J250=""),0,IF(J250="x",-$E250/(COUNTIF($J250:$Q250,"x")+1),-$E250*N(J250)))</f>
        <v/>
      </c>
      <c r="Y250" s="34">
        <f>IF(OR($A250="",$H250&lt;&gt;"Ausgabe",K250=""),0,IF(K250="x",-$E250/(COUNTIF($J250:$Q250,"x")+1),-$E250*N(K250)))</f>
        <v/>
      </c>
      <c r="Z250" s="34">
        <f>IF(OR($A250="",$H250&lt;&gt;"Ausgabe",L250=""),0,IF(L250="x",-$E250/(COUNTIF($J250:$Q250,"x")+1),-$E250*N(L250)))</f>
        <v/>
      </c>
      <c r="AA250" s="34">
        <f>IF(OR($A250="",$H250&lt;&gt;"Ausgabe",M250=""),0,IF(M250="x",-$E250/(COUNTIF($J250:$Q250,"x")+1),-$E250*N(M250)))</f>
        <v/>
      </c>
      <c r="AB250" s="34">
        <f>IF(OR($A250="",$H250&lt;&gt;"Ausgabe",N250=""),0,IF(N250="x",-$E250/(COUNTIF($J250:$Q250,"x")+1),-$E250*N(N250)))</f>
        <v/>
      </c>
      <c r="AC250" s="34">
        <f>IF(OR($A250="",$H250&lt;&gt;"Ausgabe",O250=""),0,IF(O250="x",-$E250/(COUNTIF($J250:$Q250,"x")+1),-$E250*N(O250)))</f>
        <v/>
      </c>
      <c r="AD250" s="34">
        <f>IF(OR($A250="",$H250&lt;&gt;"Ausgabe",P250=""),0,IF(P250="x",-$E250/(COUNTIF($J250:$Q250,"x")+1),-$E250*N(P250)))</f>
        <v/>
      </c>
      <c r="AE250" s="34">
        <f>IF(OR($A250="",$H250&lt;&gt;"Ausgabe",Q250=""),0,IF(Q250="x",-$E250/(COUNTIF($J250:$Q250,"x")+1),-$E250*N(Q250)))</f>
        <v/>
      </c>
    </row>
    <row r="251">
      <c r="A251" s="30" t="n"/>
      <c r="E251" s="31" t="n"/>
      <c r="J251" s="32" t="n"/>
      <c r="K251" s="32" t="n"/>
      <c r="L251" s="32" t="n"/>
      <c r="M251" s="32" t="n"/>
      <c r="N251" s="32" t="n"/>
      <c r="O251" s="32" t="n"/>
      <c r="P251" s="32" t="n"/>
      <c r="Q251" s="32" t="n"/>
      <c r="U251" s="31">
        <f>IF($A251="","",SUM(X251:AE251))</f>
        <v/>
      </c>
      <c r="V251" s="31">
        <f>IF($A251="","",IF($H251&lt;&gt;"Ausgabe",0,-$E251-$U251))</f>
        <v/>
      </c>
      <c r="W251" s="33">
        <f>IF($A251="","",DATE(YEAR($A251),MONTH($A251),1))</f>
        <v/>
      </c>
      <c r="X251" s="34">
        <f>IF(OR($A251="",$H251&lt;&gt;"Ausgabe",J251=""),0,IF(J251="x",-$E251/(COUNTIF($J251:$Q251,"x")+1),-$E251*N(J251)))</f>
        <v/>
      </c>
      <c r="Y251" s="34">
        <f>IF(OR($A251="",$H251&lt;&gt;"Ausgabe",K251=""),0,IF(K251="x",-$E251/(COUNTIF($J251:$Q251,"x")+1),-$E251*N(K251)))</f>
        <v/>
      </c>
      <c r="Z251" s="34">
        <f>IF(OR($A251="",$H251&lt;&gt;"Ausgabe",L251=""),0,IF(L251="x",-$E251/(COUNTIF($J251:$Q251,"x")+1),-$E251*N(L251)))</f>
        <v/>
      </c>
      <c r="AA251" s="34">
        <f>IF(OR($A251="",$H251&lt;&gt;"Ausgabe",M251=""),0,IF(M251="x",-$E251/(COUNTIF($J251:$Q251,"x")+1),-$E251*N(M251)))</f>
        <v/>
      </c>
      <c r="AB251" s="34">
        <f>IF(OR($A251="",$H251&lt;&gt;"Ausgabe",N251=""),0,IF(N251="x",-$E251/(COUNTIF($J251:$Q251,"x")+1),-$E251*N(N251)))</f>
        <v/>
      </c>
      <c r="AC251" s="34">
        <f>IF(OR($A251="",$H251&lt;&gt;"Ausgabe",O251=""),0,IF(O251="x",-$E251/(COUNTIF($J251:$Q251,"x")+1),-$E251*N(O251)))</f>
        <v/>
      </c>
      <c r="AD251" s="34">
        <f>IF(OR($A251="",$H251&lt;&gt;"Ausgabe",P251=""),0,IF(P251="x",-$E251/(COUNTIF($J251:$Q251,"x")+1),-$E251*N(P251)))</f>
        <v/>
      </c>
      <c r="AE251" s="34">
        <f>IF(OR($A251="",$H251&lt;&gt;"Ausgabe",Q251=""),0,IF(Q251="x",-$E251/(COUNTIF($J251:$Q251,"x")+1),-$E251*N(Q251)))</f>
        <v/>
      </c>
    </row>
    <row r="252">
      <c r="A252" s="30" t="n"/>
      <c r="E252" s="31" t="n"/>
      <c r="J252" s="32" t="n"/>
      <c r="K252" s="32" t="n"/>
      <c r="L252" s="32" t="n"/>
      <c r="M252" s="32" t="n"/>
      <c r="N252" s="32" t="n"/>
      <c r="O252" s="32" t="n"/>
      <c r="P252" s="32" t="n"/>
      <c r="Q252" s="32" t="n"/>
      <c r="U252" s="31">
        <f>IF($A252="","",SUM(X252:AE252))</f>
        <v/>
      </c>
      <c r="V252" s="31">
        <f>IF($A252="","",IF($H252&lt;&gt;"Ausgabe",0,-$E252-$U252))</f>
        <v/>
      </c>
      <c r="W252" s="33">
        <f>IF($A252="","",DATE(YEAR($A252),MONTH($A252),1))</f>
        <v/>
      </c>
      <c r="X252" s="34">
        <f>IF(OR($A252="",$H252&lt;&gt;"Ausgabe",J252=""),0,IF(J252="x",-$E252/(COUNTIF($J252:$Q252,"x")+1),-$E252*N(J252)))</f>
        <v/>
      </c>
      <c r="Y252" s="34">
        <f>IF(OR($A252="",$H252&lt;&gt;"Ausgabe",K252=""),0,IF(K252="x",-$E252/(COUNTIF($J252:$Q252,"x")+1),-$E252*N(K252)))</f>
        <v/>
      </c>
      <c r="Z252" s="34">
        <f>IF(OR($A252="",$H252&lt;&gt;"Ausgabe",L252=""),0,IF(L252="x",-$E252/(COUNTIF($J252:$Q252,"x")+1),-$E252*N(L252)))</f>
        <v/>
      </c>
      <c r="AA252" s="34">
        <f>IF(OR($A252="",$H252&lt;&gt;"Ausgabe",M252=""),0,IF(M252="x",-$E252/(COUNTIF($J252:$Q252,"x")+1),-$E252*N(M252)))</f>
        <v/>
      </c>
      <c r="AB252" s="34">
        <f>IF(OR($A252="",$H252&lt;&gt;"Ausgabe",N252=""),0,IF(N252="x",-$E252/(COUNTIF($J252:$Q252,"x")+1),-$E252*N(N252)))</f>
        <v/>
      </c>
      <c r="AC252" s="34">
        <f>IF(OR($A252="",$H252&lt;&gt;"Ausgabe",O252=""),0,IF(O252="x",-$E252/(COUNTIF($J252:$Q252,"x")+1),-$E252*N(O252)))</f>
        <v/>
      </c>
      <c r="AD252" s="34">
        <f>IF(OR($A252="",$H252&lt;&gt;"Ausgabe",P252=""),0,IF(P252="x",-$E252/(COUNTIF($J252:$Q252,"x")+1),-$E252*N(P252)))</f>
        <v/>
      </c>
      <c r="AE252" s="34">
        <f>IF(OR($A252="",$H252&lt;&gt;"Ausgabe",Q252=""),0,IF(Q252="x",-$E252/(COUNTIF($J252:$Q252,"x")+1),-$E252*N(Q252)))</f>
        <v/>
      </c>
    </row>
    <row r="253">
      <c r="A253" s="30" t="n"/>
      <c r="E253" s="31" t="n"/>
      <c r="J253" s="32" t="n"/>
      <c r="K253" s="32" t="n"/>
      <c r="L253" s="32" t="n"/>
      <c r="M253" s="32" t="n"/>
      <c r="N253" s="32" t="n"/>
      <c r="O253" s="32" t="n"/>
      <c r="P253" s="32" t="n"/>
      <c r="Q253" s="32" t="n"/>
      <c r="U253" s="31">
        <f>IF($A253="","",SUM(X253:AE253))</f>
        <v/>
      </c>
      <c r="V253" s="31">
        <f>IF($A253="","",IF($H253&lt;&gt;"Ausgabe",0,-$E253-$U253))</f>
        <v/>
      </c>
      <c r="W253" s="33">
        <f>IF($A253="","",DATE(YEAR($A253),MONTH($A253),1))</f>
        <v/>
      </c>
      <c r="X253" s="34">
        <f>IF(OR($A253="",$H253&lt;&gt;"Ausgabe",J253=""),0,IF(J253="x",-$E253/(COUNTIF($J253:$Q253,"x")+1),-$E253*N(J253)))</f>
        <v/>
      </c>
      <c r="Y253" s="34">
        <f>IF(OR($A253="",$H253&lt;&gt;"Ausgabe",K253=""),0,IF(K253="x",-$E253/(COUNTIF($J253:$Q253,"x")+1),-$E253*N(K253)))</f>
        <v/>
      </c>
      <c r="Z253" s="34">
        <f>IF(OR($A253="",$H253&lt;&gt;"Ausgabe",L253=""),0,IF(L253="x",-$E253/(COUNTIF($J253:$Q253,"x")+1),-$E253*N(L253)))</f>
        <v/>
      </c>
      <c r="AA253" s="34">
        <f>IF(OR($A253="",$H253&lt;&gt;"Ausgabe",M253=""),0,IF(M253="x",-$E253/(COUNTIF($J253:$Q253,"x")+1),-$E253*N(M253)))</f>
        <v/>
      </c>
      <c r="AB253" s="34">
        <f>IF(OR($A253="",$H253&lt;&gt;"Ausgabe",N253=""),0,IF(N253="x",-$E253/(COUNTIF($J253:$Q253,"x")+1),-$E253*N(N253)))</f>
        <v/>
      </c>
      <c r="AC253" s="34">
        <f>IF(OR($A253="",$H253&lt;&gt;"Ausgabe",O253=""),0,IF(O253="x",-$E253/(COUNTIF($J253:$Q253,"x")+1),-$E253*N(O253)))</f>
        <v/>
      </c>
      <c r="AD253" s="34">
        <f>IF(OR($A253="",$H253&lt;&gt;"Ausgabe",P253=""),0,IF(P253="x",-$E253/(COUNTIF($J253:$Q253,"x")+1),-$E253*N(P253)))</f>
        <v/>
      </c>
      <c r="AE253" s="34">
        <f>IF(OR($A253="",$H253&lt;&gt;"Ausgabe",Q253=""),0,IF(Q253="x",-$E253/(COUNTIF($J253:$Q253,"x")+1),-$E253*N(Q253)))</f>
        <v/>
      </c>
    </row>
    <row r="254">
      <c r="A254" s="30" t="n"/>
      <c r="E254" s="31" t="n"/>
      <c r="J254" s="32" t="n"/>
      <c r="K254" s="32" t="n"/>
      <c r="L254" s="32" t="n"/>
      <c r="M254" s="32" t="n"/>
      <c r="N254" s="32" t="n"/>
      <c r="O254" s="32" t="n"/>
      <c r="P254" s="32" t="n"/>
      <c r="Q254" s="32" t="n"/>
      <c r="U254" s="31">
        <f>IF($A254="","",SUM(X254:AE254))</f>
        <v/>
      </c>
      <c r="V254" s="31">
        <f>IF($A254="","",IF($H254&lt;&gt;"Ausgabe",0,-$E254-$U254))</f>
        <v/>
      </c>
      <c r="W254" s="33">
        <f>IF($A254="","",DATE(YEAR($A254),MONTH($A254),1))</f>
        <v/>
      </c>
      <c r="X254" s="34">
        <f>IF(OR($A254="",$H254&lt;&gt;"Ausgabe",J254=""),0,IF(J254="x",-$E254/(COUNTIF($J254:$Q254,"x")+1),-$E254*N(J254)))</f>
        <v/>
      </c>
      <c r="Y254" s="34">
        <f>IF(OR($A254="",$H254&lt;&gt;"Ausgabe",K254=""),0,IF(K254="x",-$E254/(COUNTIF($J254:$Q254,"x")+1),-$E254*N(K254)))</f>
        <v/>
      </c>
      <c r="Z254" s="34">
        <f>IF(OR($A254="",$H254&lt;&gt;"Ausgabe",L254=""),0,IF(L254="x",-$E254/(COUNTIF($J254:$Q254,"x")+1),-$E254*N(L254)))</f>
        <v/>
      </c>
      <c r="AA254" s="34">
        <f>IF(OR($A254="",$H254&lt;&gt;"Ausgabe",M254=""),0,IF(M254="x",-$E254/(COUNTIF($J254:$Q254,"x")+1),-$E254*N(M254)))</f>
        <v/>
      </c>
      <c r="AB254" s="34">
        <f>IF(OR($A254="",$H254&lt;&gt;"Ausgabe",N254=""),0,IF(N254="x",-$E254/(COUNTIF($J254:$Q254,"x")+1),-$E254*N(N254)))</f>
        <v/>
      </c>
      <c r="AC254" s="34">
        <f>IF(OR($A254="",$H254&lt;&gt;"Ausgabe",O254=""),0,IF(O254="x",-$E254/(COUNTIF($J254:$Q254,"x")+1),-$E254*N(O254)))</f>
        <v/>
      </c>
      <c r="AD254" s="34">
        <f>IF(OR($A254="",$H254&lt;&gt;"Ausgabe",P254=""),0,IF(P254="x",-$E254/(COUNTIF($J254:$Q254,"x")+1),-$E254*N(P254)))</f>
        <v/>
      </c>
      <c r="AE254" s="34">
        <f>IF(OR($A254="",$H254&lt;&gt;"Ausgabe",Q254=""),0,IF(Q254="x",-$E254/(COUNTIF($J254:$Q254,"x")+1),-$E254*N(Q254)))</f>
        <v/>
      </c>
    </row>
    <row r="255">
      <c r="A255" s="30" t="n"/>
      <c r="E255" s="31" t="n"/>
      <c r="J255" s="32" t="n"/>
      <c r="K255" s="32" t="n"/>
      <c r="L255" s="32" t="n"/>
      <c r="M255" s="32" t="n"/>
      <c r="N255" s="32" t="n"/>
      <c r="O255" s="32" t="n"/>
      <c r="P255" s="32" t="n"/>
      <c r="Q255" s="32" t="n"/>
      <c r="U255" s="31">
        <f>IF($A255="","",SUM(X255:AE255))</f>
        <v/>
      </c>
      <c r="V255" s="31">
        <f>IF($A255="","",IF($H255&lt;&gt;"Ausgabe",0,-$E255-$U255))</f>
        <v/>
      </c>
      <c r="W255" s="33">
        <f>IF($A255="","",DATE(YEAR($A255),MONTH($A255),1))</f>
        <v/>
      </c>
      <c r="X255" s="34">
        <f>IF(OR($A255="",$H255&lt;&gt;"Ausgabe",J255=""),0,IF(J255="x",-$E255/(COUNTIF($J255:$Q255,"x")+1),-$E255*N(J255)))</f>
        <v/>
      </c>
      <c r="Y255" s="34">
        <f>IF(OR($A255="",$H255&lt;&gt;"Ausgabe",K255=""),0,IF(K255="x",-$E255/(COUNTIF($J255:$Q255,"x")+1),-$E255*N(K255)))</f>
        <v/>
      </c>
      <c r="Z255" s="34">
        <f>IF(OR($A255="",$H255&lt;&gt;"Ausgabe",L255=""),0,IF(L255="x",-$E255/(COUNTIF($J255:$Q255,"x")+1),-$E255*N(L255)))</f>
        <v/>
      </c>
      <c r="AA255" s="34">
        <f>IF(OR($A255="",$H255&lt;&gt;"Ausgabe",M255=""),0,IF(M255="x",-$E255/(COUNTIF($J255:$Q255,"x")+1),-$E255*N(M255)))</f>
        <v/>
      </c>
      <c r="AB255" s="34">
        <f>IF(OR($A255="",$H255&lt;&gt;"Ausgabe",N255=""),0,IF(N255="x",-$E255/(COUNTIF($J255:$Q255,"x")+1),-$E255*N(N255)))</f>
        <v/>
      </c>
      <c r="AC255" s="34">
        <f>IF(OR($A255="",$H255&lt;&gt;"Ausgabe",O255=""),0,IF(O255="x",-$E255/(COUNTIF($J255:$Q255,"x")+1),-$E255*N(O255)))</f>
        <v/>
      </c>
      <c r="AD255" s="34">
        <f>IF(OR($A255="",$H255&lt;&gt;"Ausgabe",P255=""),0,IF(P255="x",-$E255/(COUNTIF($J255:$Q255,"x")+1),-$E255*N(P255)))</f>
        <v/>
      </c>
      <c r="AE255" s="34">
        <f>IF(OR($A255="",$H255&lt;&gt;"Ausgabe",Q255=""),0,IF(Q255="x",-$E255/(COUNTIF($J255:$Q255,"x")+1),-$E255*N(Q255)))</f>
        <v/>
      </c>
    </row>
    <row r="256">
      <c r="A256" s="30" t="n"/>
      <c r="E256" s="31" t="n"/>
      <c r="J256" s="32" t="n"/>
      <c r="K256" s="32" t="n"/>
      <c r="L256" s="32" t="n"/>
      <c r="M256" s="32" t="n"/>
      <c r="N256" s="32" t="n"/>
      <c r="O256" s="32" t="n"/>
      <c r="P256" s="32" t="n"/>
      <c r="Q256" s="32" t="n"/>
      <c r="U256" s="31">
        <f>IF($A256="","",SUM(X256:AE256))</f>
        <v/>
      </c>
      <c r="V256" s="31">
        <f>IF($A256="","",IF($H256&lt;&gt;"Ausgabe",0,-$E256-$U256))</f>
        <v/>
      </c>
      <c r="W256" s="33">
        <f>IF($A256="","",DATE(YEAR($A256),MONTH($A256),1))</f>
        <v/>
      </c>
      <c r="X256" s="34">
        <f>IF(OR($A256="",$H256&lt;&gt;"Ausgabe",J256=""),0,IF(J256="x",-$E256/(COUNTIF($J256:$Q256,"x")+1),-$E256*N(J256)))</f>
        <v/>
      </c>
      <c r="Y256" s="34">
        <f>IF(OR($A256="",$H256&lt;&gt;"Ausgabe",K256=""),0,IF(K256="x",-$E256/(COUNTIF($J256:$Q256,"x")+1),-$E256*N(K256)))</f>
        <v/>
      </c>
      <c r="Z256" s="34">
        <f>IF(OR($A256="",$H256&lt;&gt;"Ausgabe",L256=""),0,IF(L256="x",-$E256/(COUNTIF($J256:$Q256,"x")+1),-$E256*N(L256)))</f>
        <v/>
      </c>
      <c r="AA256" s="34">
        <f>IF(OR($A256="",$H256&lt;&gt;"Ausgabe",M256=""),0,IF(M256="x",-$E256/(COUNTIF($J256:$Q256,"x")+1),-$E256*N(M256)))</f>
        <v/>
      </c>
      <c r="AB256" s="34">
        <f>IF(OR($A256="",$H256&lt;&gt;"Ausgabe",N256=""),0,IF(N256="x",-$E256/(COUNTIF($J256:$Q256,"x")+1),-$E256*N(N256)))</f>
        <v/>
      </c>
      <c r="AC256" s="34">
        <f>IF(OR($A256="",$H256&lt;&gt;"Ausgabe",O256=""),0,IF(O256="x",-$E256/(COUNTIF($J256:$Q256,"x")+1),-$E256*N(O256)))</f>
        <v/>
      </c>
      <c r="AD256" s="34">
        <f>IF(OR($A256="",$H256&lt;&gt;"Ausgabe",P256=""),0,IF(P256="x",-$E256/(COUNTIF($J256:$Q256,"x")+1),-$E256*N(P256)))</f>
        <v/>
      </c>
      <c r="AE256" s="34">
        <f>IF(OR($A256="",$H256&lt;&gt;"Ausgabe",Q256=""),0,IF(Q256="x",-$E256/(COUNTIF($J256:$Q256,"x")+1),-$E256*N(Q256)))</f>
        <v/>
      </c>
    </row>
    <row r="257">
      <c r="A257" s="30" t="n"/>
      <c r="E257" s="31" t="n"/>
      <c r="J257" s="32" t="n"/>
      <c r="K257" s="32" t="n"/>
      <c r="L257" s="32" t="n"/>
      <c r="M257" s="32" t="n"/>
      <c r="N257" s="32" t="n"/>
      <c r="O257" s="32" t="n"/>
      <c r="P257" s="32" t="n"/>
      <c r="Q257" s="32" t="n"/>
      <c r="U257" s="31">
        <f>IF($A257="","",SUM(X257:AE257))</f>
        <v/>
      </c>
      <c r="V257" s="31">
        <f>IF($A257="","",IF($H257&lt;&gt;"Ausgabe",0,-$E257-$U257))</f>
        <v/>
      </c>
      <c r="W257" s="33">
        <f>IF($A257="","",DATE(YEAR($A257),MONTH($A257),1))</f>
        <v/>
      </c>
      <c r="X257" s="34">
        <f>IF(OR($A257="",$H257&lt;&gt;"Ausgabe",J257=""),0,IF(J257="x",-$E257/(COUNTIF($J257:$Q257,"x")+1),-$E257*N(J257)))</f>
        <v/>
      </c>
      <c r="Y257" s="34">
        <f>IF(OR($A257="",$H257&lt;&gt;"Ausgabe",K257=""),0,IF(K257="x",-$E257/(COUNTIF($J257:$Q257,"x")+1),-$E257*N(K257)))</f>
        <v/>
      </c>
      <c r="Z257" s="34">
        <f>IF(OR($A257="",$H257&lt;&gt;"Ausgabe",L257=""),0,IF(L257="x",-$E257/(COUNTIF($J257:$Q257,"x")+1),-$E257*N(L257)))</f>
        <v/>
      </c>
      <c r="AA257" s="34">
        <f>IF(OR($A257="",$H257&lt;&gt;"Ausgabe",M257=""),0,IF(M257="x",-$E257/(COUNTIF($J257:$Q257,"x")+1),-$E257*N(M257)))</f>
        <v/>
      </c>
      <c r="AB257" s="34">
        <f>IF(OR($A257="",$H257&lt;&gt;"Ausgabe",N257=""),0,IF(N257="x",-$E257/(COUNTIF($J257:$Q257,"x")+1),-$E257*N(N257)))</f>
        <v/>
      </c>
      <c r="AC257" s="34">
        <f>IF(OR($A257="",$H257&lt;&gt;"Ausgabe",O257=""),0,IF(O257="x",-$E257/(COUNTIF($J257:$Q257,"x")+1),-$E257*N(O257)))</f>
        <v/>
      </c>
      <c r="AD257" s="34">
        <f>IF(OR($A257="",$H257&lt;&gt;"Ausgabe",P257=""),0,IF(P257="x",-$E257/(COUNTIF($J257:$Q257,"x")+1),-$E257*N(P257)))</f>
        <v/>
      </c>
      <c r="AE257" s="34">
        <f>IF(OR($A257="",$H257&lt;&gt;"Ausgabe",Q257=""),0,IF(Q257="x",-$E257/(COUNTIF($J257:$Q257,"x")+1),-$E257*N(Q257)))</f>
        <v/>
      </c>
    </row>
    <row r="258">
      <c r="A258" s="30" t="n"/>
      <c r="E258" s="31" t="n"/>
      <c r="J258" s="32" t="n"/>
      <c r="K258" s="32" t="n"/>
      <c r="L258" s="32" t="n"/>
      <c r="M258" s="32" t="n"/>
      <c r="N258" s="32" t="n"/>
      <c r="O258" s="32" t="n"/>
      <c r="P258" s="32" t="n"/>
      <c r="Q258" s="32" t="n"/>
      <c r="U258" s="31">
        <f>IF($A258="","",SUM(X258:AE258))</f>
        <v/>
      </c>
      <c r="V258" s="31">
        <f>IF($A258="","",IF($H258&lt;&gt;"Ausgabe",0,-$E258-$U258))</f>
        <v/>
      </c>
      <c r="W258" s="33">
        <f>IF($A258="","",DATE(YEAR($A258),MONTH($A258),1))</f>
        <v/>
      </c>
      <c r="X258" s="34">
        <f>IF(OR($A258="",$H258&lt;&gt;"Ausgabe",J258=""),0,IF(J258="x",-$E258/(COUNTIF($J258:$Q258,"x")+1),-$E258*N(J258)))</f>
        <v/>
      </c>
      <c r="Y258" s="34">
        <f>IF(OR($A258="",$H258&lt;&gt;"Ausgabe",K258=""),0,IF(K258="x",-$E258/(COUNTIF($J258:$Q258,"x")+1),-$E258*N(K258)))</f>
        <v/>
      </c>
      <c r="Z258" s="34">
        <f>IF(OR($A258="",$H258&lt;&gt;"Ausgabe",L258=""),0,IF(L258="x",-$E258/(COUNTIF($J258:$Q258,"x")+1),-$E258*N(L258)))</f>
        <v/>
      </c>
      <c r="AA258" s="34">
        <f>IF(OR($A258="",$H258&lt;&gt;"Ausgabe",M258=""),0,IF(M258="x",-$E258/(COUNTIF($J258:$Q258,"x")+1),-$E258*N(M258)))</f>
        <v/>
      </c>
      <c r="AB258" s="34">
        <f>IF(OR($A258="",$H258&lt;&gt;"Ausgabe",N258=""),0,IF(N258="x",-$E258/(COUNTIF($J258:$Q258,"x")+1),-$E258*N(N258)))</f>
        <v/>
      </c>
      <c r="AC258" s="34">
        <f>IF(OR($A258="",$H258&lt;&gt;"Ausgabe",O258=""),0,IF(O258="x",-$E258/(COUNTIF($J258:$Q258,"x")+1),-$E258*N(O258)))</f>
        <v/>
      </c>
      <c r="AD258" s="34">
        <f>IF(OR($A258="",$H258&lt;&gt;"Ausgabe",P258=""),0,IF(P258="x",-$E258/(COUNTIF($J258:$Q258,"x")+1),-$E258*N(P258)))</f>
        <v/>
      </c>
      <c r="AE258" s="34">
        <f>IF(OR($A258="",$H258&lt;&gt;"Ausgabe",Q258=""),0,IF(Q258="x",-$E258/(COUNTIF($J258:$Q258,"x")+1),-$E258*N(Q258)))</f>
        <v/>
      </c>
    </row>
    <row r="259">
      <c r="A259" s="30" t="n"/>
      <c r="E259" s="31" t="n"/>
      <c r="J259" s="32" t="n"/>
      <c r="K259" s="32" t="n"/>
      <c r="L259" s="32" t="n"/>
      <c r="M259" s="32" t="n"/>
      <c r="N259" s="32" t="n"/>
      <c r="O259" s="32" t="n"/>
      <c r="P259" s="32" t="n"/>
      <c r="Q259" s="32" t="n"/>
      <c r="U259" s="31">
        <f>IF($A259="","",SUM(X259:AE259))</f>
        <v/>
      </c>
      <c r="V259" s="31">
        <f>IF($A259="","",IF($H259&lt;&gt;"Ausgabe",0,-$E259-$U259))</f>
        <v/>
      </c>
      <c r="W259" s="33">
        <f>IF($A259="","",DATE(YEAR($A259),MONTH($A259),1))</f>
        <v/>
      </c>
      <c r="X259" s="34">
        <f>IF(OR($A259="",$H259&lt;&gt;"Ausgabe",J259=""),0,IF(J259="x",-$E259/(COUNTIF($J259:$Q259,"x")+1),-$E259*N(J259)))</f>
        <v/>
      </c>
      <c r="Y259" s="34">
        <f>IF(OR($A259="",$H259&lt;&gt;"Ausgabe",K259=""),0,IF(K259="x",-$E259/(COUNTIF($J259:$Q259,"x")+1),-$E259*N(K259)))</f>
        <v/>
      </c>
      <c r="Z259" s="34">
        <f>IF(OR($A259="",$H259&lt;&gt;"Ausgabe",L259=""),0,IF(L259="x",-$E259/(COUNTIF($J259:$Q259,"x")+1),-$E259*N(L259)))</f>
        <v/>
      </c>
      <c r="AA259" s="34">
        <f>IF(OR($A259="",$H259&lt;&gt;"Ausgabe",M259=""),0,IF(M259="x",-$E259/(COUNTIF($J259:$Q259,"x")+1),-$E259*N(M259)))</f>
        <v/>
      </c>
      <c r="AB259" s="34">
        <f>IF(OR($A259="",$H259&lt;&gt;"Ausgabe",N259=""),0,IF(N259="x",-$E259/(COUNTIF($J259:$Q259,"x")+1),-$E259*N(N259)))</f>
        <v/>
      </c>
      <c r="AC259" s="34">
        <f>IF(OR($A259="",$H259&lt;&gt;"Ausgabe",O259=""),0,IF(O259="x",-$E259/(COUNTIF($J259:$Q259,"x")+1),-$E259*N(O259)))</f>
        <v/>
      </c>
      <c r="AD259" s="34">
        <f>IF(OR($A259="",$H259&lt;&gt;"Ausgabe",P259=""),0,IF(P259="x",-$E259/(COUNTIF($J259:$Q259,"x")+1),-$E259*N(P259)))</f>
        <v/>
      </c>
      <c r="AE259" s="34">
        <f>IF(OR($A259="",$H259&lt;&gt;"Ausgabe",Q259=""),0,IF(Q259="x",-$E259/(COUNTIF($J259:$Q259,"x")+1),-$E259*N(Q259)))</f>
        <v/>
      </c>
    </row>
    <row r="260">
      <c r="A260" s="30" t="n"/>
      <c r="E260" s="31" t="n"/>
      <c r="J260" s="32" t="n"/>
      <c r="K260" s="32" t="n"/>
      <c r="L260" s="32" t="n"/>
      <c r="M260" s="32" t="n"/>
      <c r="N260" s="32" t="n"/>
      <c r="O260" s="32" t="n"/>
      <c r="P260" s="32" t="n"/>
      <c r="Q260" s="32" t="n"/>
      <c r="U260" s="31">
        <f>IF($A260="","",SUM(X260:AE260))</f>
        <v/>
      </c>
      <c r="V260" s="31">
        <f>IF($A260="","",IF($H260&lt;&gt;"Ausgabe",0,-$E260-$U260))</f>
        <v/>
      </c>
      <c r="W260" s="33">
        <f>IF($A260="","",DATE(YEAR($A260),MONTH($A260),1))</f>
        <v/>
      </c>
      <c r="X260" s="34">
        <f>IF(OR($A260="",$H260&lt;&gt;"Ausgabe",J260=""),0,IF(J260="x",-$E260/(COUNTIF($J260:$Q260,"x")+1),-$E260*N(J260)))</f>
        <v/>
      </c>
      <c r="Y260" s="34">
        <f>IF(OR($A260="",$H260&lt;&gt;"Ausgabe",K260=""),0,IF(K260="x",-$E260/(COUNTIF($J260:$Q260,"x")+1),-$E260*N(K260)))</f>
        <v/>
      </c>
      <c r="Z260" s="34">
        <f>IF(OR($A260="",$H260&lt;&gt;"Ausgabe",L260=""),0,IF(L260="x",-$E260/(COUNTIF($J260:$Q260,"x")+1),-$E260*N(L260)))</f>
        <v/>
      </c>
      <c r="AA260" s="34">
        <f>IF(OR($A260="",$H260&lt;&gt;"Ausgabe",M260=""),0,IF(M260="x",-$E260/(COUNTIF($J260:$Q260,"x")+1),-$E260*N(M260)))</f>
        <v/>
      </c>
      <c r="AB260" s="34">
        <f>IF(OR($A260="",$H260&lt;&gt;"Ausgabe",N260=""),0,IF(N260="x",-$E260/(COUNTIF($J260:$Q260,"x")+1),-$E260*N(N260)))</f>
        <v/>
      </c>
      <c r="AC260" s="34">
        <f>IF(OR($A260="",$H260&lt;&gt;"Ausgabe",O260=""),0,IF(O260="x",-$E260/(COUNTIF($J260:$Q260,"x")+1),-$E260*N(O260)))</f>
        <v/>
      </c>
      <c r="AD260" s="34">
        <f>IF(OR($A260="",$H260&lt;&gt;"Ausgabe",P260=""),0,IF(P260="x",-$E260/(COUNTIF($J260:$Q260,"x")+1),-$E260*N(P260)))</f>
        <v/>
      </c>
      <c r="AE260" s="34">
        <f>IF(OR($A260="",$H260&lt;&gt;"Ausgabe",Q260=""),0,IF(Q260="x",-$E260/(COUNTIF($J260:$Q260,"x")+1),-$E260*N(Q260)))</f>
        <v/>
      </c>
    </row>
    <row r="261">
      <c r="A261" s="30" t="n"/>
      <c r="E261" s="31" t="n"/>
      <c r="J261" s="32" t="n"/>
      <c r="K261" s="32" t="n"/>
      <c r="L261" s="32" t="n"/>
      <c r="M261" s="32" t="n"/>
      <c r="N261" s="32" t="n"/>
      <c r="O261" s="32" t="n"/>
      <c r="P261" s="32" t="n"/>
      <c r="Q261" s="32" t="n"/>
      <c r="U261" s="31">
        <f>IF($A261="","",SUM(X261:AE261))</f>
        <v/>
      </c>
      <c r="V261" s="31">
        <f>IF($A261="","",IF($H261&lt;&gt;"Ausgabe",0,-$E261-$U261))</f>
        <v/>
      </c>
      <c r="W261" s="33">
        <f>IF($A261="","",DATE(YEAR($A261),MONTH($A261),1))</f>
        <v/>
      </c>
      <c r="X261" s="34">
        <f>IF(OR($A261="",$H261&lt;&gt;"Ausgabe",J261=""),0,IF(J261="x",-$E261/(COUNTIF($J261:$Q261,"x")+1),-$E261*N(J261)))</f>
        <v/>
      </c>
      <c r="Y261" s="34">
        <f>IF(OR($A261="",$H261&lt;&gt;"Ausgabe",K261=""),0,IF(K261="x",-$E261/(COUNTIF($J261:$Q261,"x")+1),-$E261*N(K261)))</f>
        <v/>
      </c>
      <c r="Z261" s="34">
        <f>IF(OR($A261="",$H261&lt;&gt;"Ausgabe",L261=""),0,IF(L261="x",-$E261/(COUNTIF($J261:$Q261,"x")+1),-$E261*N(L261)))</f>
        <v/>
      </c>
      <c r="AA261" s="34">
        <f>IF(OR($A261="",$H261&lt;&gt;"Ausgabe",M261=""),0,IF(M261="x",-$E261/(COUNTIF($J261:$Q261,"x")+1),-$E261*N(M261)))</f>
        <v/>
      </c>
      <c r="AB261" s="34">
        <f>IF(OR($A261="",$H261&lt;&gt;"Ausgabe",N261=""),0,IF(N261="x",-$E261/(COUNTIF($J261:$Q261,"x")+1),-$E261*N(N261)))</f>
        <v/>
      </c>
      <c r="AC261" s="34">
        <f>IF(OR($A261="",$H261&lt;&gt;"Ausgabe",O261=""),0,IF(O261="x",-$E261/(COUNTIF($J261:$Q261,"x")+1),-$E261*N(O261)))</f>
        <v/>
      </c>
      <c r="AD261" s="34">
        <f>IF(OR($A261="",$H261&lt;&gt;"Ausgabe",P261=""),0,IF(P261="x",-$E261/(COUNTIF($J261:$Q261,"x")+1),-$E261*N(P261)))</f>
        <v/>
      </c>
      <c r="AE261" s="34">
        <f>IF(OR($A261="",$H261&lt;&gt;"Ausgabe",Q261=""),0,IF(Q261="x",-$E261/(COUNTIF($J261:$Q261,"x")+1),-$E261*N(Q261)))</f>
        <v/>
      </c>
    </row>
    <row r="262">
      <c r="A262" s="30" t="n"/>
      <c r="E262" s="31" t="n"/>
      <c r="J262" s="32" t="n"/>
      <c r="K262" s="32" t="n"/>
      <c r="L262" s="32" t="n"/>
      <c r="M262" s="32" t="n"/>
      <c r="N262" s="32" t="n"/>
      <c r="O262" s="32" t="n"/>
      <c r="P262" s="32" t="n"/>
      <c r="Q262" s="32" t="n"/>
      <c r="U262" s="31">
        <f>IF($A262="","",SUM(X262:AE262))</f>
        <v/>
      </c>
      <c r="V262" s="31">
        <f>IF($A262="","",IF($H262&lt;&gt;"Ausgabe",0,-$E262-$U262))</f>
        <v/>
      </c>
      <c r="W262" s="33">
        <f>IF($A262="","",DATE(YEAR($A262),MONTH($A262),1))</f>
        <v/>
      </c>
      <c r="X262" s="34">
        <f>IF(OR($A262="",$H262&lt;&gt;"Ausgabe",J262=""),0,IF(J262="x",-$E262/(COUNTIF($J262:$Q262,"x")+1),-$E262*N(J262)))</f>
        <v/>
      </c>
      <c r="Y262" s="34">
        <f>IF(OR($A262="",$H262&lt;&gt;"Ausgabe",K262=""),0,IF(K262="x",-$E262/(COUNTIF($J262:$Q262,"x")+1),-$E262*N(K262)))</f>
        <v/>
      </c>
      <c r="Z262" s="34">
        <f>IF(OR($A262="",$H262&lt;&gt;"Ausgabe",L262=""),0,IF(L262="x",-$E262/(COUNTIF($J262:$Q262,"x")+1),-$E262*N(L262)))</f>
        <v/>
      </c>
      <c r="AA262" s="34">
        <f>IF(OR($A262="",$H262&lt;&gt;"Ausgabe",M262=""),0,IF(M262="x",-$E262/(COUNTIF($J262:$Q262,"x")+1),-$E262*N(M262)))</f>
        <v/>
      </c>
      <c r="AB262" s="34">
        <f>IF(OR($A262="",$H262&lt;&gt;"Ausgabe",N262=""),0,IF(N262="x",-$E262/(COUNTIF($J262:$Q262,"x")+1),-$E262*N(N262)))</f>
        <v/>
      </c>
      <c r="AC262" s="34">
        <f>IF(OR($A262="",$H262&lt;&gt;"Ausgabe",O262=""),0,IF(O262="x",-$E262/(COUNTIF($J262:$Q262,"x")+1),-$E262*N(O262)))</f>
        <v/>
      </c>
      <c r="AD262" s="34">
        <f>IF(OR($A262="",$H262&lt;&gt;"Ausgabe",P262=""),0,IF(P262="x",-$E262/(COUNTIF($J262:$Q262,"x")+1),-$E262*N(P262)))</f>
        <v/>
      </c>
      <c r="AE262" s="34">
        <f>IF(OR($A262="",$H262&lt;&gt;"Ausgabe",Q262=""),0,IF(Q262="x",-$E262/(COUNTIF($J262:$Q262,"x")+1),-$E262*N(Q262)))</f>
        <v/>
      </c>
    </row>
    <row r="263">
      <c r="A263" s="30" t="n"/>
      <c r="E263" s="31" t="n"/>
      <c r="J263" s="32" t="n"/>
      <c r="K263" s="32" t="n"/>
      <c r="L263" s="32" t="n"/>
      <c r="M263" s="32" t="n"/>
      <c r="N263" s="32" t="n"/>
      <c r="O263" s="32" t="n"/>
      <c r="P263" s="32" t="n"/>
      <c r="Q263" s="32" t="n"/>
      <c r="U263" s="31">
        <f>IF($A263="","",SUM(X263:AE263))</f>
        <v/>
      </c>
      <c r="V263" s="31">
        <f>IF($A263="","",IF($H263&lt;&gt;"Ausgabe",0,-$E263-$U263))</f>
        <v/>
      </c>
      <c r="W263" s="33">
        <f>IF($A263="","",DATE(YEAR($A263),MONTH($A263),1))</f>
        <v/>
      </c>
      <c r="X263" s="34">
        <f>IF(OR($A263="",$H263&lt;&gt;"Ausgabe",J263=""),0,IF(J263="x",-$E263/(COUNTIF($J263:$Q263,"x")+1),-$E263*N(J263)))</f>
        <v/>
      </c>
      <c r="Y263" s="34">
        <f>IF(OR($A263="",$H263&lt;&gt;"Ausgabe",K263=""),0,IF(K263="x",-$E263/(COUNTIF($J263:$Q263,"x")+1),-$E263*N(K263)))</f>
        <v/>
      </c>
      <c r="Z263" s="34">
        <f>IF(OR($A263="",$H263&lt;&gt;"Ausgabe",L263=""),0,IF(L263="x",-$E263/(COUNTIF($J263:$Q263,"x")+1),-$E263*N(L263)))</f>
        <v/>
      </c>
      <c r="AA263" s="34">
        <f>IF(OR($A263="",$H263&lt;&gt;"Ausgabe",M263=""),0,IF(M263="x",-$E263/(COUNTIF($J263:$Q263,"x")+1),-$E263*N(M263)))</f>
        <v/>
      </c>
      <c r="AB263" s="34">
        <f>IF(OR($A263="",$H263&lt;&gt;"Ausgabe",N263=""),0,IF(N263="x",-$E263/(COUNTIF($J263:$Q263,"x")+1),-$E263*N(N263)))</f>
        <v/>
      </c>
      <c r="AC263" s="34">
        <f>IF(OR($A263="",$H263&lt;&gt;"Ausgabe",O263=""),0,IF(O263="x",-$E263/(COUNTIF($J263:$Q263,"x")+1),-$E263*N(O263)))</f>
        <v/>
      </c>
      <c r="AD263" s="34">
        <f>IF(OR($A263="",$H263&lt;&gt;"Ausgabe",P263=""),0,IF(P263="x",-$E263/(COUNTIF($J263:$Q263,"x")+1),-$E263*N(P263)))</f>
        <v/>
      </c>
      <c r="AE263" s="34">
        <f>IF(OR($A263="",$H263&lt;&gt;"Ausgabe",Q263=""),0,IF(Q263="x",-$E263/(COUNTIF($J263:$Q263,"x")+1),-$E263*N(Q263)))</f>
        <v/>
      </c>
    </row>
    <row r="264">
      <c r="A264" s="30" t="n"/>
      <c r="E264" s="31" t="n"/>
      <c r="J264" s="32" t="n"/>
      <c r="K264" s="32" t="n"/>
      <c r="L264" s="32" t="n"/>
      <c r="M264" s="32" t="n"/>
      <c r="N264" s="32" t="n"/>
      <c r="O264" s="32" t="n"/>
      <c r="P264" s="32" t="n"/>
      <c r="Q264" s="32" t="n"/>
      <c r="U264" s="31">
        <f>IF($A264="","",SUM(X264:AE264))</f>
        <v/>
      </c>
      <c r="V264" s="31">
        <f>IF($A264="","",IF($H264&lt;&gt;"Ausgabe",0,-$E264-$U264))</f>
        <v/>
      </c>
      <c r="W264" s="33">
        <f>IF($A264="","",DATE(YEAR($A264),MONTH($A264),1))</f>
        <v/>
      </c>
      <c r="X264" s="34">
        <f>IF(OR($A264="",$H264&lt;&gt;"Ausgabe",J264=""),0,IF(J264="x",-$E264/(COUNTIF($J264:$Q264,"x")+1),-$E264*N(J264)))</f>
        <v/>
      </c>
      <c r="Y264" s="34">
        <f>IF(OR($A264="",$H264&lt;&gt;"Ausgabe",K264=""),0,IF(K264="x",-$E264/(COUNTIF($J264:$Q264,"x")+1),-$E264*N(K264)))</f>
        <v/>
      </c>
      <c r="Z264" s="34">
        <f>IF(OR($A264="",$H264&lt;&gt;"Ausgabe",L264=""),0,IF(L264="x",-$E264/(COUNTIF($J264:$Q264,"x")+1),-$E264*N(L264)))</f>
        <v/>
      </c>
      <c r="AA264" s="34">
        <f>IF(OR($A264="",$H264&lt;&gt;"Ausgabe",M264=""),0,IF(M264="x",-$E264/(COUNTIF($J264:$Q264,"x")+1),-$E264*N(M264)))</f>
        <v/>
      </c>
      <c r="AB264" s="34">
        <f>IF(OR($A264="",$H264&lt;&gt;"Ausgabe",N264=""),0,IF(N264="x",-$E264/(COUNTIF($J264:$Q264,"x")+1),-$E264*N(N264)))</f>
        <v/>
      </c>
      <c r="AC264" s="34">
        <f>IF(OR($A264="",$H264&lt;&gt;"Ausgabe",O264=""),0,IF(O264="x",-$E264/(COUNTIF($J264:$Q264,"x")+1),-$E264*N(O264)))</f>
        <v/>
      </c>
      <c r="AD264" s="34">
        <f>IF(OR($A264="",$H264&lt;&gt;"Ausgabe",P264=""),0,IF(P264="x",-$E264/(COUNTIF($J264:$Q264,"x")+1),-$E264*N(P264)))</f>
        <v/>
      </c>
      <c r="AE264" s="34">
        <f>IF(OR($A264="",$H264&lt;&gt;"Ausgabe",Q264=""),0,IF(Q264="x",-$E264/(COUNTIF($J264:$Q264,"x")+1),-$E264*N(Q264)))</f>
        <v/>
      </c>
    </row>
    <row r="265">
      <c r="A265" s="30" t="n"/>
      <c r="E265" s="31" t="n"/>
      <c r="J265" s="32" t="n"/>
      <c r="K265" s="32" t="n"/>
      <c r="L265" s="32" t="n"/>
      <c r="M265" s="32" t="n"/>
      <c r="N265" s="32" t="n"/>
      <c r="O265" s="32" t="n"/>
      <c r="P265" s="32" t="n"/>
      <c r="Q265" s="32" t="n"/>
      <c r="U265" s="31">
        <f>IF($A265="","",SUM(X265:AE265))</f>
        <v/>
      </c>
      <c r="V265" s="31">
        <f>IF($A265="","",IF($H265&lt;&gt;"Ausgabe",0,-$E265-$U265))</f>
        <v/>
      </c>
      <c r="W265" s="33">
        <f>IF($A265="","",DATE(YEAR($A265),MONTH($A265),1))</f>
        <v/>
      </c>
      <c r="X265" s="34">
        <f>IF(OR($A265="",$H265&lt;&gt;"Ausgabe",J265=""),0,IF(J265="x",-$E265/(COUNTIF($J265:$Q265,"x")+1),-$E265*N(J265)))</f>
        <v/>
      </c>
      <c r="Y265" s="34">
        <f>IF(OR($A265="",$H265&lt;&gt;"Ausgabe",K265=""),0,IF(K265="x",-$E265/(COUNTIF($J265:$Q265,"x")+1),-$E265*N(K265)))</f>
        <v/>
      </c>
      <c r="Z265" s="34">
        <f>IF(OR($A265="",$H265&lt;&gt;"Ausgabe",L265=""),0,IF(L265="x",-$E265/(COUNTIF($J265:$Q265,"x")+1),-$E265*N(L265)))</f>
        <v/>
      </c>
      <c r="AA265" s="34">
        <f>IF(OR($A265="",$H265&lt;&gt;"Ausgabe",M265=""),0,IF(M265="x",-$E265/(COUNTIF($J265:$Q265,"x")+1),-$E265*N(M265)))</f>
        <v/>
      </c>
      <c r="AB265" s="34">
        <f>IF(OR($A265="",$H265&lt;&gt;"Ausgabe",N265=""),0,IF(N265="x",-$E265/(COUNTIF($J265:$Q265,"x")+1),-$E265*N(N265)))</f>
        <v/>
      </c>
      <c r="AC265" s="34">
        <f>IF(OR($A265="",$H265&lt;&gt;"Ausgabe",O265=""),0,IF(O265="x",-$E265/(COUNTIF($J265:$Q265,"x")+1),-$E265*N(O265)))</f>
        <v/>
      </c>
      <c r="AD265" s="34">
        <f>IF(OR($A265="",$H265&lt;&gt;"Ausgabe",P265=""),0,IF(P265="x",-$E265/(COUNTIF($J265:$Q265,"x")+1),-$E265*N(P265)))</f>
        <v/>
      </c>
      <c r="AE265" s="34">
        <f>IF(OR($A265="",$H265&lt;&gt;"Ausgabe",Q265=""),0,IF(Q265="x",-$E265/(COUNTIF($J265:$Q265,"x")+1),-$E265*N(Q265)))</f>
        <v/>
      </c>
    </row>
    <row r="266">
      <c r="A266" s="30" t="n"/>
      <c r="E266" s="31" t="n"/>
      <c r="J266" s="32" t="n"/>
      <c r="K266" s="32" t="n"/>
      <c r="L266" s="32" t="n"/>
      <c r="M266" s="32" t="n"/>
      <c r="N266" s="32" t="n"/>
      <c r="O266" s="32" t="n"/>
      <c r="P266" s="32" t="n"/>
      <c r="Q266" s="32" t="n"/>
      <c r="U266" s="31">
        <f>IF($A266="","",SUM(X266:AE266))</f>
        <v/>
      </c>
      <c r="V266" s="31">
        <f>IF($A266="","",IF($H266&lt;&gt;"Ausgabe",0,-$E266-$U266))</f>
        <v/>
      </c>
      <c r="W266" s="33">
        <f>IF($A266="","",DATE(YEAR($A266),MONTH($A266),1))</f>
        <v/>
      </c>
      <c r="X266" s="34">
        <f>IF(OR($A266="",$H266&lt;&gt;"Ausgabe",J266=""),0,IF(J266="x",-$E266/(COUNTIF($J266:$Q266,"x")+1),-$E266*N(J266)))</f>
        <v/>
      </c>
      <c r="Y266" s="34">
        <f>IF(OR($A266="",$H266&lt;&gt;"Ausgabe",K266=""),0,IF(K266="x",-$E266/(COUNTIF($J266:$Q266,"x")+1),-$E266*N(K266)))</f>
        <v/>
      </c>
      <c r="Z266" s="34">
        <f>IF(OR($A266="",$H266&lt;&gt;"Ausgabe",L266=""),0,IF(L266="x",-$E266/(COUNTIF($J266:$Q266,"x")+1),-$E266*N(L266)))</f>
        <v/>
      </c>
      <c r="AA266" s="34">
        <f>IF(OR($A266="",$H266&lt;&gt;"Ausgabe",M266=""),0,IF(M266="x",-$E266/(COUNTIF($J266:$Q266,"x")+1),-$E266*N(M266)))</f>
        <v/>
      </c>
      <c r="AB266" s="34">
        <f>IF(OR($A266="",$H266&lt;&gt;"Ausgabe",N266=""),0,IF(N266="x",-$E266/(COUNTIF($J266:$Q266,"x")+1),-$E266*N(N266)))</f>
        <v/>
      </c>
      <c r="AC266" s="34">
        <f>IF(OR($A266="",$H266&lt;&gt;"Ausgabe",O266=""),0,IF(O266="x",-$E266/(COUNTIF($J266:$Q266,"x")+1),-$E266*N(O266)))</f>
        <v/>
      </c>
      <c r="AD266" s="34">
        <f>IF(OR($A266="",$H266&lt;&gt;"Ausgabe",P266=""),0,IF(P266="x",-$E266/(COUNTIF($J266:$Q266,"x")+1),-$E266*N(P266)))</f>
        <v/>
      </c>
      <c r="AE266" s="34">
        <f>IF(OR($A266="",$H266&lt;&gt;"Ausgabe",Q266=""),0,IF(Q266="x",-$E266/(COUNTIF($J266:$Q266,"x")+1),-$E266*N(Q266)))</f>
        <v/>
      </c>
    </row>
    <row r="267">
      <c r="A267" s="30" t="n"/>
      <c r="E267" s="31" t="n"/>
      <c r="J267" s="32" t="n"/>
      <c r="K267" s="32" t="n"/>
      <c r="L267" s="32" t="n"/>
      <c r="M267" s="32" t="n"/>
      <c r="N267" s="32" t="n"/>
      <c r="O267" s="32" t="n"/>
      <c r="P267" s="32" t="n"/>
      <c r="Q267" s="32" t="n"/>
      <c r="U267" s="31">
        <f>IF($A267="","",SUM(X267:AE267))</f>
        <v/>
      </c>
      <c r="V267" s="31">
        <f>IF($A267="","",IF($H267&lt;&gt;"Ausgabe",0,-$E267-$U267))</f>
        <v/>
      </c>
      <c r="W267" s="33">
        <f>IF($A267="","",DATE(YEAR($A267),MONTH($A267),1))</f>
        <v/>
      </c>
      <c r="X267" s="34">
        <f>IF(OR($A267="",$H267&lt;&gt;"Ausgabe",J267=""),0,IF(J267="x",-$E267/(COUNTIF($J267:$Q267,"x")+1),-$E267*N(J267)))</f>
        <v/>
      </c>
      <c r="Y267" s="34">
        <f>IF(OR($A267="",$H267&lt;&gt;"Ausgabe",K267=""),0,IF(K267="x",-$E267/(COUNTIF($J267:$Q267,"x")+1),-$E267*N(K267)))</f>
        <v/>
      </c>
      <c r="Z267" s="34">
        <f>IF(OR($A267="",$H267&lt;&gt;"Ausgabe",L267=""),0,IF(L267="x",-$E267/(COUNTIF($J267:$Q267,"x")+1),-$E267*N(L267)))</f>
        <v/>
      </c>
      <c r="AA267" s="34">
        <f>IF(OR($A267="",$H267&lt;&gt;"Ausgabe",M267=""),0,IF(M267="x",-$E267/(COUNTIF($J267:$Q267,"x")+1),-$E267*N(M267)))</f>
        <v/>
      </c>
      <c r="AB267" s="34">
        <f>IF(OR($A267="",$H267&lt;&gt;"Ausgabe",N267=""),0,IF(N267="x",-$E267/(COUNTIF($J267:$Q267,"x")+1),-$E267*N(N267)))</f>
        <v/>
      </c>
      <c r="AC267" s="34">
        <f>IF(OR($A267="",$H267&lt;&gt;"Ausgabe",O267=""),0,IF(O267="x",-$E267/(COUNTIF($J267:$Q267,"x")+1),-$E267*N(O267)))</f>
        <v/>
      </c>
      <c r="AD267" s="34">
        <f>IF(OR($A267="",$H267&lt;&gt;"Ausgabe",P267=""),0,IF(P267="x",-$E267/(COUNTIF($J267:$Q267,"x")+1),-$E267*N(P267)))</f>
        <v/>
      </c>
      <c r="AE267" s="34">
        <f>IF(OR($A267="",$H267&lt;&gt;"Ausgabe",Q267=""),0,IF(Q267="x",-$E267/(COUNTIF($J267:$Q267,"x")+1),-$E267*N(Q267)))</f>
        <v/>
      </c>
    </row>
    <row r="268">
      <c r="A268" s="30" t="n"/>
      <c r="E268" s="31" t="n"/>
      <c r="J268" s="32" t="n"/>
      <c r="K268" s="32" t="n"/>
      <c r="L268" s="32" t="n"/>
      <c r="M268" s="32" t="n"/>
      <c r="N268" s="32" t="n"/>
      <c r="O268" s="32" t="n"/>
      <c r="P268" s="32" t="n"/>
      <c r="Q268" s="32" t="n"/>
      <c r="U268" s="31">
        <f>IF($A268="","",SUM(X268:AE268))</f>
        <v/>
      </c>
      <c r="V268" s="31">
        <f>IF($A268="","",IF($H268&lt;&gt;"Ausgabe",0,-$E268-$U268))</f>
        <v/>
      </c>
      <c r="W268" s="33">
        <f>IF($A268="","",DATE(YEAR($A268),MONTH($A268),1))</f>
        <v/>
      </c>
      <c r="X268" s="34">
        <f>IF(OR($A268="",$H268&lt;&gt;"Ausgabe",J268=""),0,IF(J268="x",-$E268/(COUNTIF($J268:$Q268,"x")+1),-$E268*N(J268)))</f>
        <v/>
      </c>
      <c r="Y268" s="34">
        <f>IF(OR($A268="",$H268&lt;&gt;"Ausgabe",K268=""),0,IF(K268="x",-$E268/(COUNTIF($J268:$Q268,"x")+1),-$E268*N(K268)))</f>
        <v/>
      </c>
      <c r="Z268" s="34">
        <f>IF(OR($A268="",$H268&lt;&gt;"Ausgabe",L268=""),0,IF(L268="x",-$E268/(COUNTIF($J268:$Q268,"x")+1),-$E268*N(L268)))</f>
        <v/>
      </c>
      <c r="AA268" s="34">
        <f>IF(OR($A268="",$H268&lt;&gt;"Ausgabe",M268=""),0,IF(M268="x",-$E268/(COUNTIF($J268:$Q268,"x")+1),-$E268*N(M268)))</f>
        <v/>
      </c>
      <c r="AB268" s="34">
        <f>IF(OR($A268="",$H268&lt;&gt;"Ausgabe",N268=""),0,IF(N268="x",-$E268/(COUNTIF($J268:$Q268,"x")+1),-$E268*N(N268)))</f>
        <v/>
      </c>
      <c r="AC268" s="34">
        <f>IF(OR($A268="",$H268&lt;&gt;"Ausgabe",O268=""),0,IF(O268="x",-$E268/(COUNTIF($J268:$Q268,"x")+1),-$E268*N(O268)))</f>
        <v/>
      </c>
      <c r="AD268" s="34">
        <f>IF(OR($A268="",$H268&lt;&gt;"Ausgabe",P268=""),0,IF(P268="x",-$E268/(COUNTIF($J268:$Q268,"x")+1),-$E268*N(P268)))</f>
        <v/>
      </c>
      <c r="AE268" s="34">
        <f>IF(OR($A268="",$H268&lt;&gt;"Ausgabe",Q268=""),0,IF(Q268="x",-$E268/(COUNTIF($J268:$Q268,"x")+1),-$E268*N(Q268)))</f>
        <v/>
      </c>
    </row>
    <row r="269">
      <c r="A269" s="30" t="n"/>
      <c r="E269" s="31" t="n"/>
      <c r="J269" s="32" t="n"/>
      <c r="K269" s="32" t="n"/>
      <c r="L269" s="32" t="n"/>
      <c r="M269" s="32" t="n"/>
      <c r="N269" s="32" t="n"/>
      <c r="O269" s="32" t="n"/>
      <c r="P269" s="32" t="n"/>
      <c r="Q269" s="32" t="n"/>
      <c r="U269" s="31">
        <f>IF($A269="","",SUM(X269:AE269))</f>
        <v/>
      </c>
      <c r="V269" s="31">
        <f>IF($A269="","",IF($H269&lt;&gt;"Ausgabe",0,-$E269-$U269))</f>
        <v/>
      </c>
      <c r="W269" s="33">
        <f>IF($A269="","",DATE(YEAR($A269),MONTH($A269),1))</f>
        <v/>
      </c>
      <c r="X269" s="34">
        <f>IF(OR($A269="",$H269&lt;&gt;"Ausgabe",J269=""),0,IF(J269="x",-$E269/(COUNTIF($J269:$Q269,"x")+1),-$E269*N(J269)))</f>
        <v/>
      </c>
      <c r="Y269" s="34">
        <f>IF(OR($A269="",$H269&lt;&gt;"Ausgabe",K269=""),0,IF(K269="x",-$E269/(COUNTIF($J269:$Q269,"x")+1),-$E269*N(K269)))</f>
        <v/>
      </c>
      <c r="Z269" s="34">
        <f>IF(OR($A269="",$H269&lt;&gt;"Ausgabe",L269=""),0,IF(L269="x",-$E269/(COUNTIF($J269:$Q269,"x")+1),-$E269*N(L269)))</f>
        <v/>
      </c>
      <c r="AA269" s="34">
        <f>IF(OR($A269="",$H269&lt;&gt;"Ausgabe",M269=""),0,IF(M269="x",-$E269/(COUNTIF($J269:$Q269,"x")+1),-$E269*N(M269)))</f>
        <v/>
      </c>
      <c r="AB269" s="34">
        <f>IF(OR($A269="",$H269&lt;&gt;"Ausgabe",N269=""),0,IF(N269="x",-$E269/(COUNTIF($J269:$Q269,"x")+1),-$E269*N(N269)))</f>
        <v/>
      </c>
      <c r="AC269" s="34">
        <f>IF(OR($A269="",$H269&lt;&gt;"Ausgabe",O269=""),0,IF(O269="x",-$E269/(COUNTIF($J269:$Q269,"x")+1),-$E269*N(O269)))</f>
        <v/>
      </c>
      <c r="AD269" s="34">
        <f>IF(OR($A269="",$H269&lt;&gt;"Ausgabe",P269=""),0,IF(P269="x",-$E269/(COUNTIF($J269:$Q269,"x")+1),-$E269*N(P269)))</f>
        <v/>
      </c>
      <c r="AE269" s="34">
        <f>IF(OR($A269="",$H269&lt;&gt;"Ausgabe",Q269=""),0,IF(Q269="x",-$E269/(COUNTIF($J269:$Q269,"x")+1),-$E269*N(Q269)))</f>
        <v/>
      </c>
    </row>
    <row r="270">
      <c r="A270" s="30" t="n"/>
      <c r="E270" s="31" t="n"/>
      <c r="J270" s="32" t="n"/>
      <c r="K270" s="32" t="n"/>
      <c r="L270" s="32" t="n"/>
      <c r="M270" s="32" t="n"/>
      <c r="N270" s="32" t="n"/>
      <c r="O270" s="32" t="n"/>
      <c r="P270" s="32" t="n"/>
      <c r="Q270" s="32" t="n"/>
      <c r="U270" s="31">
        <f>IF($A270="","",SUM(X270:AE270))</f>
        <v/>
      </c>
      <c r="V270" s="31">
        <f>IF($A270="","",IF($H270&lt;&gt;"Ausgabe",0,-$E270-$U270))</f>
        <v/>
      </c>
      <c r="W270" s="33">
        <f>IF($A270="","",DATE(YEAR($A270),MONTH($A270),1))</f>
        <v/>
      </c>
      <c r="X270" s="34">
        <f>IF(OR($A270="",$H270&lt;&gt;"Ausgabe",J270=""),0,IF(J270="x",-$E270/(COUNTIF($J270:$Q270,"x")+1),-$E270*N(J270)))</f>
        <v/>
      </c>
      <c r="Y270" s="34">
        <f>IF(OR($A270="",$H270&lt;&gt;"Ausgabe",K270=""),0,IF(K270="x",-$E270/(COUNTIF($J270:$Q270,"x")+1),-$E270*N(K270)))</f>
        <v/>
      </c>
      <c r="Z270" s="34">
        <f>IF(OR($A270="",$H270&lt;&gt;"Ausgabe",L270=""),0,IF(L270="x",-$E270/(COUNTIF($J270:$Q270,"x")+1),-$E270*N(L270)))</f>
        <v/>
      </c>
      <c r="AA270" s="34">
        <f>IF(OR($A270="",$H270&lt;&gt;"Ausgabe",M270=""),0,IF(M270="x",-$E270/(COUNTIF($J270:$Q270,"x")+1),-$E270*N(M270)))</f>
        <v/>
      </c>
      <c r="AB270" s="34">
        <f>IF(OR($A270="",$H270&lt;&gt;"Ausgabe",N270=""),0,IF(N270="x",-$E270/(COUNTIF($J270:$Q270,"x")+1),-$E270*N(N270)))</f>
        <v/>
      </c>
      <c r="AC270" s="34">
        <f>IF(OR($A270="",$H270&lt;&gt;"Ausgabe",O270=""),0,IF(O270="x",-$E270/(COUNTIF($J270:$Q270,"x")+1),-$E270*N(O270)))</f>
        <v/>
      </c>
      <c r="AD270" s="34">
        <f>IF(OR($A270="",$H270&lt;&gt;"Ausgabe",P270=""),0,IF(P270="x",-$E270/(COUNTIF($J270:$Q270,"x")+1),-$E270*N(P270)))</f>
        <v/>
      </c>
      <c r="AE270" s="34">
        <f>IF(OR($A270="",$H270&lt;&gt;"Ausgabe",Q270=""),0,IF(Q270="x",-$E270/(COUNTIF($J270:$Q270,"x")+1),-$E270*N(Q270)))</f>
        <v/>
      </c>
    </row>
    <row r="271">
      <c r="A271" s="30" t="n"/>
      <c r="E271" s="31" t="n"/>
      <c r="J271" s="32" t="n"/>
      <c r="K271" s="32" t="n"/>
      <c r="L271" s="32" t="n"/>
      <c r="M271" s="32" t="n"/>
      <c r="N271" s="32" t="n"/>
      <c r="O271" s="32" t="n"/>
      <c r="P271" s="32" t="n"/>
      <c r="Q271" s="32" t="n"/>
      <c r="U271" s="31">
        <f>IF($A271="","",SUM(X271:AE271))</f>
        <v/>
      </c>
      <c r="V271" s="31">
        <f>IF($A271="","",IF($H271&lt;&gt;"Ausgabe",0,-$E271-$U271))</f>
        <v/>
      </c>
      <c r="W271" s="33">
        <f>IF($A271="","",DATE(YEAR($A271),MONTH($A271),1))</f>
        <v/>
      </c>
      <c r="X271" s="34">
        <f>IF(OR($A271="",$H271&lt;&gt;"Ausgabe",J271=""),0,IF(J271="x",-$E271/(COUNTIF($J271:$Q271,"x")+1),-$E271*N(J271)))</f>
        <v/>
      </c>
      <c r="Y271" s="34">
        <f>IF(OR($A271="",$H271&lt;&gt;"Ausgabe",K271=""),0,IF(K271="x",-$E271/(COUNTIF($J271:$Q271,"x")+1),-$E271*N(K271)))</f>
        <v/>
      </c>
      <c r="Z271" s="34">
        <f>IF(OR($A271="",$H271&lt;&gt;"Ausgabe",L271=""),0,IF(L271="x",-$E271/(COUNTIF($J271:$Q271,"x")+1),-$E271*N(L271)))</f>
        <v/>
      </c>
      <c r="AA271" s="34">
        <f>IF(OR($A271="",$H271&lt;&gt;"Ausgabe",M271=""),0,IF(M271="x",-$E271/(COUNTIF($J271:$Q271,"x")+1),-$E271*N(M271)))</f>
        <v/>
      </c>
      <c r="AB271" s="34">
        <f>IF(OR($A271="",$H271&lt;&gt;"Ausgabe",N271=""),0,IF(N271="x",-$E271/(COUNTIF($J271:$Q271,"x")+1),-$E271*N(N271)))</f>
        <v/>
      </c>
      <c r="AC271" s="34">
        <f>IF(OR($A271="",$H271&lt;&gt;"Ausgabe",O271=""),0,IF(O271="x",-$E271/(COUNTIF($J271:$Q271,"x")+1),-$E271*N(O271)))</f>
        <v/>
      </c>
      <c r="AD271" s="34">
        <f>IF(OR($A271="",$H271&lt;&gt;"Ausgabe",P271=""),0,IF(P271="x",-$E271/(COUNTIF($J271:$Q271,"x")+1),-$E271*N(P271)))</f>
        <v/>
      </c>
      <c r="AE271" s="34">
        <f>IF(OR($A271="",$H271&lt;&gt;"Ausgabe",Q271=""),0,IF(Q271="x",-$E271/(COUNTIF($J271:$Q271,"x")+1),-$E271*N(Q271)))</f>
        <v/>
      </c>
    </row>
    <row r="272">
      <c r="A272" s="30" t="n"/>
      <c r="E272" s="31" t="n"/>
      <c r="J272" s="32" t="n"/>
      <c r="K272" s="32" t="n"/>
      <c r="L272" s="32" t="n"/>
      <c r="M272" s="32" t="n"/>
      <c r="N272" s="32" t="n"/>
      <c r="O272" s="32" t="n"/>
      <c r="P272" s="32" t="n"/>
      <c r="Q272" s="32" t="n"/>
      <c r="U272" s="31">
        <f>IF($A272="","",SUM(X272:AE272))</f>
        <v/>
      </c>
      <c r="V272" s="31">
        <f>IF($A272="","",IF($H272&lt;&gt;"Ausgabe",0,-$E272-$U272))</f>
        <v/>
      </c>
      <c r="W272" s="33">
        <f>IF($A272="","",DATE(YEAR($A272),MONTH($A272),1))</f>
        <v/>
      </c>
      <c r="X272" s="34">
        <f>IF(OR($A272="",$H272&lt;&gt;"Ausgabe",J272=""),0,IF(J272="x",-$E272/(COUNTIF($J272:$Q272,"x")+1),-$E272*N(J272)))</f>
        <v/>
      </c>
      <c r="Y272" s="34">
        <f>IF(OR($A272="",$H272&lt;&gt;"Ausgabe",K272=""),0,IF(K272="x",-$E272/(COUNTIF($J272:$Q272,"x")+1),-$E272*N(K272)))</f>
        <v/>
      </c>
      <c r="Z272" s="34">
        <f>IF(OR($A272="",$H272&lt;&gt;"Ausgabe",L272=""),0,IF(L272="x",-$E272/(COUNTIF($J272:$Q272,"x")+1),-$E272*N(L272)))</f>
        <v/>
      </c>
      <c r="AA272" s="34">
        <f>IF(OR($A272="",$H272&lt;&gt;"Ausgabe",M272=""),0,IF(M272="x",-$E272/(COUNTIF($J272:$Q272,"x")+1),-$E272*N(M272)))</f>
        <v/>
      </c>
      <c r="AB272" s="34">
        <f>IF(OR($A272="",$H272&lt;&gt;"Ausgabe",N272=""),0,IF(N272="x",-$E272/(COUNTIF($J272:$Q272,"x")+1),-$E272*N(N272)))</f>
        <v/>
      </c>
      <c r="AC272" s="34">
        <f>IF(OR($A272="",$H272&lt;&gt;"Ausgabe",O272=""),0,IF(O272="x",-$E272/(COUNTIF($J272:$Q272,"x")+1),-$E272*N(O272)))</f>
        <v/>
      </c>
      <c r="AD272" s="34">
        <f>IF(OR($A272="",$H272&lt;&gt;"Ausgabe",P272=""),0,IF(P272="x",-$E272/(COUNTIF($J272:$Q272,"x")+1),-$E272*N(P272)))</f>
        <v/>
      </c>
      <c r="AE272" s="34">
        <f>IF(OR($A272="",$H272&lt;&gt;"Ausgabe",Q272=""),0,IF(Q272="x",-$E272/(COUNTIF($J272:$Q272,"x")+1),-$E272*N(Q272)))</f>
        <v/>
      </c>
    </row>
    <row r="273">
      <c r="A273" s="30" t="n"/>
      <c r="E273" s="31" t="n"/>
      <c r="J273" s="32" t="n"/>
      <c r="K273" s="32" t="n"/>
      <c r="L273" s="32" t="n"/>
      <c r="M273" s="32" t="n"/>
      <c r="N273" s="32" t="n"/>
      <c r="O273" s="32" t="n"/>
      <c r="P273" s="32" t="n"/>
      <c r="Q273" s="32" t="n"/>
      <c r="U273" s="31">
        <f>IF($A273="","",SUM(X273:AE273))</f>
        <v/>
      </c>
      <c r="V273" s="31">
        <f>IF($A273="","",IF($H273&lt;&gt;"Ausgabe",0,-$E273-$U273))</f>
        <v/>
      </c>
      <c r="W273" s="33">
        <f>IF($A273="","",DATE(YEAR($A273),MONTH($A273),1))</f>
        <v/>
      </c>
      <c r="X273" s="34">
        <f>IF(OR($A273="",$H273&lt;&gt;"Ausgabe",J273=""),0,IF(J273="x",-$E273/(COUNTIF($J273:$Q273,"x")+1),-$E273*N(J273)))</f>
        <v/>
      </c>
      <c r="Y273" s="34">
        <f>IF(OR($A273="",$H273&lt;&gt;"Ausgabe",K273=""),0,IF(K273="x",-$E273/(COUNTIF($J273:$Q273,"x")+1),-$E273*N(K273)))</f>
        <v/>
      </c>
      <c r="Z273" s="34">
        <f>IF(OR($A273="",$H273&lt;&gt;"Ausgabe",L273=""),0,IF(L273="x",-$E273/(COUNTIF($J273:$Q273,"x")+1),-$E273*N(L273)))</f>
        <v/>
      </c>
      <c r="AA273" s="34">
        <f>IF(OR($A273="",$H273&lt;&gt;"Ausgabe",M273=""),0,IF(M273="x",-$E273/(COUNTIF($J273:$Q273,"x")+1),-$E273*N(M273)))</f>
        <v/>
      </c>
      <c r="AB273" s="34">
        <f>IF(OR($A273="",$H273&lt;&gt;"Ausgabe",N273=""),0,IF(N273="x",-$E273/(COUNTIF($J273:$Q273,"x")+1),-$E273*N(N273)))</f>
        <v/>
      </c>
      <c r="AC273" s="34">
        <f>IF(OR($A273="",$H273&lt;&gt;"Ausgabe",O273=""),0,IF(O273="x",-$E273/(COUNTIF($J273:$Q273,"x")+1),-$E273*N(O273)))</f>
        <v/>
      </c>
      <c r="AD273" s="34">
        <f>IF(OR($A273="",$H273&lt;&gt;"Ausgabe",P273=""),0,IF(P273="x",-$E273/(COUNTIF($J273:$Q273,"x")+1),-$E273*N(P273)))</f>
        <v/>
      </c>
      <c r="AE273" s="34">
        <f>IF(OR($A273="",$H273&lt;&gt;"Ausgabe",Q273=""),0,IF(Q273="x",-$E273/(COUNTIF($J273:$Q273,"x")+1),-$E273*N(Q273)))</f>
        <v/>
      </c>
    </row>
    <row r="274">
      <c r="A274" s="30" t="n"/>
      <c r="E274" s="31" t="n"/>
      <c r="J274" s="32" t="n"/>
      <c r="K274" s="32" t="n"/>
      <c r="L274" s="32" t="n"/>
      <c r="M274" s="32" t="n"/>
      <c r="N274" s="32" t="n"/>
      <c r="O274" s="32" t="n"/>
      <c r="P274" s="32" t="n"/>
      <c r="Q274" s="32" t="n"/>
      <c r="U274" s="31">
        <f>IF($A274="","",SUM(X274:AE274))</f>
        <v/>
      </c>
      <c r="V274" s="31">
        <f>IF($A274="","",IF($H274&lt;&gt;"Ausgabe",0,-$E274-$U274))</f>
        <v/>
      </c>
      <c r="W274" s="33">
        <f>IF($A274="","",DATE(YEAR($A274),MONTH($A274),1))</f>
        <v/>
      </c>
      <c r="X274" s="34">
        <f>IF(OR($A274="",$H274&lt;&gt;"Ausgabe",J274=""),0,IF(J274="x",-$E274/(COUNTIF($J274:$Q274,"x")+1),-$E274*N(J274)))</f>
        <v/>
      </c>
      <c r="Y274" s="34">
        <f>IF(OR($A274="",$H274&lt;&gt;"Ausgabe",K274=""),0,IF(K274="x",-$E274/(COUNTIF($J274:$Q274,"x")+1),-$E274*N(K274)))</f>
        <v/>
      </c>
      <c r="Z274" s="34">
        <f>IF(OR($A274="",$H274&lt;&gt;"Ausgabe",L274=""),0,IF(L274="x",-$E274/(COUNTIF($J274:$Q274,"x")+1),-$E274*N(L274)))</f>
        <v/>
      </c>
      <c r="AA274" s="34">
        <f>IF(OR($A274="",$H274&lt;&gt;"Ausgabe",M274=""),0,IF(M274="x",-$E274/(COUNTIF($J274:$Q274,"x")+1),-$E274*N(M274)))</f>
        <v/>
      </c>
      <c r="AB274" s="34">
        <f>IF(OR($A274="",$H274&lt;&gt;"Ausgabe",N274=""),0,IF(N274="x",-$E274/(COUNTIF($J274:$Q274,"x")+1),-$E274*N(N274)))</f>
        <v/>
      </c>
      <c r="AC274" s="34">
        <f>IF(OR($A274="",$H274&lt;&gt;"Ausgabe",O274=""),0,IF(O274="x",-$E274/(COUNTIF($J274:$Q274,"x")+1),-$E274*N(O274)))</f>
        <v/>
      </c>
      <c r="AD274" s="34">
        <f>IF(OR($A274="",$H274&lt;&gt;"Ausgabe",P274=""),0,IF(P274="x",-$E274/(COUNTIF($J274:$Q274,"x")+1),-$E274*N(P274)))</f>
        <v/>
      </c>
      <c r="AE274" s="34">
        <f>IF(OR($A274="",$H274&lt;&gt;"Ausgabe",Q274=""),0,IF(Q274="x",-$E274/(COUNTIF($J274:$Q274,"x")+1),-$E274*N(Q274)))</f>
        <v/>
      </c>
    </row>
    <row r="275">
      <c r="A275" s="30" t="n"/>
      <c r="E275" s="31" t="n"/>
      <c r="J275" s="32" t="n"/>
      <c r="K275" s="32" t="n"/>
      <c r="L275" s="32" t="n"/>
      <c r="M275" s="32" t="n"/>
      <c r="N275" s="32" t="n"/>
      <c r="O275" s="32" t="n"/>
      <c r="P275" s="32" t="n"/>
      <c r="Q275" s="32" t="n"/>
      <c r="U275" s="31">
        <f>IF($A275="","",SUM(X275:AE275))</f>
        <v/>
      </c>
      <c r="V275" s="31">
        <f>IF($A275="","",IF($H275&lt;&gt;"Ausgabe",0,-$E275-$U275))</f>
        <v/>
      </c>
      <c r="W275" s="33">
        <f>IF($A275="","",DATE(YEAR($A275),MONTH($A275),1))</f>
        <v/>
      </c>
      <c r="X275" s="34">
        <f>IF(OR($A275="",$H275&lt;&gt;"Ausgabe",J275=""),0,IF(J275="x",-$E275/(COUNTIF($J275:$Q275,"x")+1),-$E275*N(J275)))</f>
        <v/>
      </c>
      <c r="Y275" s="34">
        <f>IF(OR($A275="",$H275&lt;&gt;"Ausgabe",K275=""),0,IF(K275="x",-$E275/(COUNTIF($J275:$Q275,"x")+1),-$E275*N(K275)))</f>
        <v/>
      </c>
      <c r="Z275" s="34">
        <f>IF(OR($A275="",$H275&lt;&gt;"Ausgabe",L275=""),0,IF(L275="x",-$E275/(COUNTIF($J275:$Q275,"x")+1),-$E275*N(L275)))</f>
        <v/>
      </c>
      <c r="AA275" s="34">
        <f>IF(OR($A275="",$H275&lt;&gt;"Ausgabe",M275=""),0,IF(M275="x",-$E275/(COUNTIF($J275:$Q275,"x")+1),-$E275*N(M275)))</f>
        <v/>
      </c>
      <c r="AB275" s="34">
        <f>IF(OR($A275="",$H275&lt;&gt;"Ausgabe",N275=""),0,IF(N275="x",-$E275/(COUNTIF($J275:$Q275,"x")+1),-$E275*N(N275)))</f>
        <v/>
      </c>
      <c r="AC275" s="34">
        <f>IF(OR($A275="",$H275&lt;&gt;"Ausgabe",O275=""),0,IF(O275="x",-$E275/(COUNTIF($J275:$Q275,"x")+1),-$E275*N(O275)))</f>
        <v/>
      </c>
      <c r="AD275" s="34">
        <f>IF(OR($A275="",$H275&lt;&gt;"Ausgabe",P275=""),0,IF(P275="x",-$E275/(COUNTIF($J275:$Q275,"x")+1),-$E275*N(P275)))</f>
        <v/>
      </c>
      <c r="AE275" s="34">
        <f>IF(OR($A275="",$H275&lt;&gt;"Ausgabe",Q275=""),0,IF(Q275="x",-$E275/(COUNTIF($J275:$Q275,"x")+1),-$E275*N(Q275)))</f>
        <v/>
      </c>
    </row>
    <row r="276">
      <c r="A276" s="30" t="n"/>
      <c r="E276" s="31" t="n"/>
      <c r="J276" s="32" t="n"/>
      <c r="K276" s="32" t="n"/>
      <c r="L276" s="32" t="n"/>
      <c r="M276" s="32" t="n"/>
      <c r="N276" s="32" t="n"/>
      <c r="O276" s="32" t="n"/>
      <c r="P276" s="32" t="n"/>
      <c r="Q276" s="32" t="n"/>
      <c r="U276" s="31">
        <f>IF($A276="","",SUM(X276:AE276))</f>
        <v/>
      </c>
      <c r="V276" s="31">
        <f>IF($A276="","",IF($H276&lt;&gt;"Ausgabe",0,-$E276-$U276))</f>
        <v/>
      </c>
      <c r="W276" s="33">
        <f>IF($A276="","",DATE(YEAR($A276),MONTH($A276),1))</f>
        <v/>
      </c>
      <c r="X276" s="34">
        <f>IF(OR($A276="",$H276&lt;&gt;"Ausgabe",J276=""),0,IF(J276="x",-$E276/(COUNTIF($J276:$Q276,"x")+1),-$E276*N(J276)))</f>
        <v/>
      </c>
      <c r="Y276" s="34">
        <f>IF(OR($A276="",$H276&lt;&gt;"Ausgabe",K276=""),0,IF(K276="x",-$E276/(COUNTIF($J276:$Q276,"x")+1),-$E276*N(K276)))</f>
        <v/>
      </c>
      <c r="Z276" s="34">
        <f>IF(OR($A276="",$H276&lt;&gt;"Ausgabe",L276=""),0,IF(L276="x",-$E276/(COUNTIF($J276:$Q276,"x")+1),-$E276*N(L276)))</f>
        <v/>
      </c>
      <c r="AA276" s="34">
        <f>IF(OR($A276="",$H276&lt;&gt;"Ausgabe",M276=""),0,IF(M276="x",-$E276/(COUNTIF($J276:$Q276,"x")+1),-$E276*N(M276)))</f>
        <v/>
      </c>
      <c r="AB276" s="34">
        <f>IF(OR($A276="",$H276&lt;&gt;"Ausgabe",N276=""),0,IF(N276="x",-$E276/(COUNTIF($J276:$Q276,"x")+1),-$E276*N(N276)))</f>
        <v/>
      </c>
      <c r="AC276" s="34">
        <f>IF(OR($A276="",$H276&lt;&gt;"Ausgabe",O276=""),0,IF(O276="x",-$E276/(COUNTIF($J276:$Q276,"x")+1),-$E276*N(O276)))</f>
        <v/>
      </c>
      <c r="AD276" s="34">
        <f>IF(OR($A276="",$H276&lt;&gt;"Ausgabe",P276=""),0,IF(P276="x",-$E276/(COUNTIF($J276:$Q276,"x")+1),-$E276*N(P276)))</f>
        <v/>
      </c>
      <c r="AE276" s="34">
        <f>IF(OR($A276="",$H276&lt;&gt;"Ausgabe",Q276=""),0,IF(Q276="x",-$E276/(COUNTIF($J276:$Q276,"x")+1),-$E276*N(Q276)))</f>
        <v/>
      </c>
    </row>
    <row r="277">
      <c r="A277" s="30" t="n"/>
      <c r="E277" s="31" t="n"/>
      <c r="J277" s="32" t="n"/>
      <c r="K277" s="32" t="n"/>
      <c r="L277" s="32" t="n"/>
      <c r="M277" s="32" t="n"/>
      <c r="N277" s="32" t="n"/>
      <c r="O277" s="32" t="n"/>
      <c r="P277" s="32" t="n"/>
      <c r="Q277" s="32" t="n"/>
      <c r="U277" s="31">
        <f>IF($A277="","",SUM(X277:AE277))</f>
        <v/>
      </c>
      <c r="V277" s="31">
        <f>IF($A277="","",IF($H277&lt;&gt;"Ausgabe",0,-$E277-$U277))</f>
        <v/>
      </c>
      <c r="W277" s="33">
        <f>IF($A277="","",DATE(YEAR($A277),MONTH($A277),1))</f>
        <v/>
      </c>
      <c r="X277" s="34">
        <f>IF(OR($A277="",$H277&lt;&gt;"Ausgabe",J277=""),0,IF(J277="x",-$E277/(COUNTIF($J277:$Q277,"x")+1),-$E277*N(J277)))</f>
        <v/>
      </c>
      <c r="Y277" s="34">
        <f>IF(OR($A277="",$H277&lt;&gt;"Ausgabe",K277=""),0,IF(K277="x",-$E277/(COUNTIF($J277:$Q277,"x")+1),-$E277*N(K277)))</f>
        <v/>
      </c>
      <c r="Z277" s="34">
        <f>IF(OR($A277="",$H277&lt;&gt;"Ausgabe",L277=""),0,IF(L277="x",-$E277/(COUNTIF($J277:$Q277,"x")+1),-$E277*N(L277)))</f>
        <v/>
      </c>
      <c r="AA277" s="34">
        <f>IF(OR($A277="",$H277&lt;&gt;"Ausgabe",M277=""),0,IF(M277="x",-$E277/(COUNTIF($J277:$Q277,"x")+1),-$E277*N(M277)))</f>
        <v/>
      </c>
      <c r="AB277" s="34">
        <f>IF(OR($A277="",$H277&lt;&gt;"Ausgabe",N277=""),0,IF(N277="x",-$E277/(COUNTIF($J277:$Q277,"x")+1),-$E277*N(N277)))</f>
        <v/>
      </c>
      <c r="AC277" s="34">
        <f>IF(OR($A277="",$H277&lt;&gt;"Ausgabe",O277=""),0,IF(O277="x",-$E277/(COUNTIF($J277:$Q277,"x")+1),-$E277*N(O277)))</f>
        <v/>
      </c>
      <c r="AD277" s="34">
        <f>IF(OR($A277="",$H277&lt;&gt;"Ausgabe",P277=""),0,IF(P277="x",-$E277/(COUNTIF($J277:$Q277,"x")+1),-$E277*N(P277)))</f>
        <v/>
      </c>
      <c r="AE277" s="34">
        <f>IF(OR($A277="",$H277&lt;&gt;"Ausgabe",Q277=""),0,IF(Q277="x",-$E277/(COUNTIF($J277:$Q277,"x")+1),-$E277*N(Q277)))</f>
        <v/>
      </c>
    </row>
    <row r="278">
      <c r="A278" s="30" t="n"/>
      <c r="E278" s="31" t="n"/>
      <c r="J278" s="32" t="n"/>
      <c r="K278" s="32" t="n"/>
      <c r="L278" s="32" t="n"/>
      <c r="M278" s="32" t="n"/>
      <c r="N278" s="32" t="n"/>
      <c r="O278" s="32" t="n"/>
      <c r="P278" s="32" t="n"/>
      <c r="Q278" s="32" t="n"/>
      <c r="U278" s="31">
        <f>IF($A278="","",SUM(X278:AE278))</f>
        <v/>
      </c>
      <c r="V278" s="31">
        <f>IF($A278="","",IF($H278&lt;&gt;"Ausgabe",0,-$E278-$U278))</f>
        <v/>
      </c>
      <c r="W278" s="33">
        <f>IF($A278="","",DATE(YEAR($A278),MONTH($A278),1))</f>
        <v/>
      </c>
      <c r="X278" s="34">
        <f>IF(OR($A278="",$H278&lt;&gt;"Ausgabe",J278=""),0,IF(J278="x",-$E278/(COUNTIF($J278:$Q278,"x")+1),-$E278*N(J278)))</f>
        <v/>
      </c>
      <c r="Y278" s="34">
        <f>IF(OR($A278="",$H278&lt;&gt;"Ausgabe",K278=""),0,IF(K278="x",-$E278/(COUNTIF($J278:$Q278,"x")+1),-$E278*N(K278)))</f>
        <v/>
      </c>
      <c r="Z278" s="34">
        <f>IF(OR($A278="",$H278&lt;&gt;"Ausgabe",L278=""),0,IF(L278="x",-$E278/(COUNTIF($J278:$Q278,"x")+1),-$E278*N(L278)))</f>
        <v/>
      </c>
      <c r="AA278" s="34">
        <f>IF(OR($A278="",$H278&lt;&gt;"Ausgabe",M278=""),0,IF(M278="x",-$E278/(COUNTIF($J278:$Q278,"x")+1),-$E278*N(M278)))</f>
        <v/>
      </c>
      <c r="AB278" s="34">
        <f>IF(OR($A278="",$H278&lt;&gt;"Ausgabe",N278=""),0,IF(N278="x",-$E278/(COUNTIF($J278:$Q278,"x")+1),-$E278*N(N278)))</f>
        <v/>
      </c>
      <c r="AC278" s="34">
        <f>IF(OR($A278="",$H278&lt;&gt;"Ausgabe",O278=""),0,IF(O278="x",-$E278/(COUNTIF($J278:$Q278,"x")+1),-$E278*N(O278)))</f>
        <v/>
      </c>
      <c r="AD278" s="34">
        <f>IF(OR($A278="",$H278&lt;&gt;"Ausgabe",P278=""),0,IF(P278="x",-$E278/(COUNTIF($J278:$Q278,"x")+1),-$E278*N(P278)))</f>
        <v/>
      </c>
      <c r="AE278" s="34">
        <f>IF(OR($A278="",$H278&lt;&gt;"Ausgabe",Q278=""),0,IF(Q278="x",-$E278/(COUNTIF($J278:$Q278,"x")+1),-$E278*N(Q278)))</f>
        <v/>
      </c>
    </row>
    <row r="279">
      <c r="A279" s="30" t="n"/>
      <c r="E279" s="31" t="n"/>
      <c r="J279" s="32" t="n"/>
      <c r="K279" s="32" t="n"/>
      <c r="L279" s="32" t="n"/>
      <c r="M279" s="32" t="n"/>
      <c r="N279" s="32" t="n"/>
      <c r="O279" s="32" t="n"/>
      <c r="P279" s="32" t="n"/>
      <c r="Q279" s="32" t="n"/>
      <c r="U279" s="31">
        <f>IF($A279="","",SUM(X279:AE279))</f>
        <v/>
      </c>
      <c r="V279" s="31">
        <f>IF($A279="","",IF($H279&lt;&gt;"Ausgabe",0,-$E279-$U279))</f>
        <v/>
      </c>
      <c r="W279" s="33">
        <f>IF($A279="","",DATE(YEAR($A279),MONTH($A279),1))</f>
        <v/>
      </c>
      <c r="X279" s="34">
        <f>IF(OR($A279="",$H279&lt;&gt;"Ausgabe",J279=""),0,IF(J279="x",-$E279/(COUNTIF($J279:$Q279,"x")+1),-$E279*N(J279)))</f>
        <v/>
      </c>
      <c r="Y279" s="34">
        <f>IF(OR($A279="",$H279&lt;&gt;"Ausgabe",K279=""),0,IF(K279="x",-$E279/(COUNTIF($J279:$Q279,"x")+1),-$E279*N(K279)))</f>
        <v/>
      </c>
      <c r="Z279" s="34">
        <f>IF(OR($A279="",$H279&lt;&gt;"Ausgabe",L279=""),0,IF(L279="x",-$E279/(COUNTIF($J279:$Q279,"x")+1),-$E279*N(L279)))</f>
        <v/>
      </c>
      <c r="AA279" s="34">
        <f>IF(OR($A279="",$H279&lt;&gt;"Ausgabe",M279=""),0,IF(M279="x",-$E279/(COUNTIF($J279:$Q279,"x")+1),-$E279*N(M279)))</f>
        <v/>
      </c>
      <c r="AB279" s="34">
        <f>IF(OR($A279="",$H279&lt;&gt;"Ausgabe",N279=""),0,IF(N279="x",-$E279/(COUNTIF($J279:$Q279,"x")+1),-$E279*N(N279)))</f>
        <v/>
      </c>
      <c r="AC279" s="34">
        <f>IF(OR($A279="",$H279&lt;&gt;"Ausgabe",O279=""),0,IF(O279="x",-$E279/(COUNTIF($J279:$Q279,"x")+1),-$E279*N(O279)))</f>
        <v/>
      </c>
      <c r="AD279" s="34">
        <f>IF(OR($A279="",$H279&lt;&gt;"Ausgabe",P279=""),0,IF(P279="x",-$E279/(COUNTIF($J279:$Q279,"x")+1),-$E279*N(P279)))</f>
        <v/>
      </c>
      <c r="AE279" s="34">
        <f>IF(OR($A279="",$H279&lt;&gt;"Ausgabe",Q279=""),0,IF(Q279="x",-$E279/(COUNTIF($J279:$Q279,"x")+1),-$E279*N(Q279)))</f>
        <v/>
      </c>
    </row>
    <row r="280">
      <c r="A280" s="30" t="n"/>
      <c r="E280" s="31" t="n"/>
      <c r="J280" s="32" t="n"/>
      <c r="K280" s="32" t="n"/>
      <c r="L280" s="32" t="n"/>
      <c r="M280" s="32" t="n"/>
      <c r="N280" s="32" t="n"/>
      <c r="O280" s="32" t="n"/>
      <c r="P280" s="32" t="n"/>
      <c r="Q280" s="32" t="n"/>
      <c r="U280" s="31">
        <f>IF($A280="","",SUM(X280:AE280))</f>
        <v/>
      </c>
      <c r="V280" s="31">
        <f>IF($A280="","",IF($H280&lt;&gt;"Ausgabe",0,-$E280-$U280))</f>
        <v/>
      </c>
      <c r="W280" s="33">
        <f>IF($A280="","",DATE(YEAR($A280),MONTH($A280),1))</f>
        <v/>
      </c>
      <c r="X280" s="34">
        <f>IF(OR($A280="",$H280&lt;&gt;"Ausgabe",J280=""),0,IF(J280="x",-$E280/(COUNTIF($J280:$Q280,"x")+1),-$E280*N(J280)))</f>
        <v/>
      </c>
      <c r="Y280" s="34">
        <f>IF(OR($A280="",$H280&lt;&gt;"Ausgabe",K280=""),0,IF(K280="x",-$E280/(COUNTIF($J280:$Q280,"x")+1),-$E280*N(K280)))</f>
        <v/>
      </c>
      <c r="Z280" s="34">
        <f>IF(OR($A280="",$H280&lt;&gt;"Ausgabe",L280=""),0,IF(L280="x",-$E280/(COUNTIF($J280:$Q280,"x")+1),-$E280*N(L280)))</f>
        <v/>
      </c>
      <c r="AA280" s="34">
        <f>IF(OR($A280="",$H280&lt;&gt;"Ausgabe",M280=""),0,IF(M280="x",-$E280/(COUNTIF($J280:$Q280,"x")+1),-$E280*N(M280)))</f>
        <v/>
      </c>
      <c r="AB280" s="34">
        <f>IF(OR($A280="",$H280&lt;&gt;"Ausgabe",N280=""),0,IF(N280="x",-$E280/(COUNTIF($J280:$Q280,"x")+1),-$E280*N(N280)))</f>
        <v/>
      </c>
      <c r="AC280" s="34">
        <f>IF(OR($A280="",$H280&lt;&gt;"Ausgabe",O280=""),0,IF(O280="x",-$E280/(COUNTIF($J280:$Q280,"x")+1),-$E280*N(O280)))</f>
        <v/>
      </c>
      <c r="AD280" s="34">
        <f>IF(OR($A280="",$H280&lt;&gt;"Ausgabe",P280=""),0,IF(P280="x",-$E280/(COUNTIF($J280:$Q280,"x")+1),-$E280*N(P280)))</f>
        <v/>
      </c>
      <c r="AE280" s="34">
        <f>IF(OR($A280="",$H280&lt;&gt;"Ausgabe",Q280=""),0,IF(Q280="x",-$E280/(COUNTIF($J280:$Q280,"x")+1),-$E280*N(Q280)))</f>
        <v/>
      </c>
    </row>
    <row r="281">
      <c r="A281" s="30" t="n"/>
      <c r="E281" s="31" t="n"/>
      <c r="J281" s="32" t="n"/>
      <c r="K281" s="32" t="n"/>
      <c r="L281" s="32" t="n"/>
      <c r="M281" s="32" t="n"/>
      <c r="N281" s="32" t="n"/>
      <c r="O281" s="32" t="n"/>
      <c r="P281" s="32" t="n"/>
      <c r="Q281" s="32" t="n"/>
      <c r="U281" s="31">
        <f>IF($A281="","",SUM(X281:AE281))</f>
        <v/>
      </c>
      <c r="V281" s="31">
        <f>IF($A281="","",IF($H281&lt;&gt;"Ausgabe",0,-$E281-$U281))</f>
        <v/>
      </c>
      <c r="W281" s="33">
        <f>IF($A281="","",DATE(YEAR($A281),MONTH($A281),1))</f>
        <v/>
      </c>
      <c r="X281" s="34">
        <f>IF(OR($A281="",$H281&lt;&gt;"Ausgabe",J281=""),0,IF(J281="x",-$E281/(COUNTIF($J281:$Q281,"x")+1),-$E281*N(J281)))</f>
        <v/>
      </c>
      <c r="Y281" s="34">
        <f>IF(OR($A281="",$H281&lt;&gt;"Ausgabe",K281=""),0,IF(K281="x",-$E281/(COUNTIF($J281:$Q281,"x")+1),-$E281*N(K281)))</f>
        <v/>
      </c>
      <c r="Z281" s="34">
        <f>IF(OR($A281="",$H281&lt;&gt;"Ausgabe",L281=""),0,IF(L281="x",-$E281/(COUNTIF($J281:$Q281,"x")+1),-$E281*N(L281)))</f>
        <v/>
      </c>
      <c r="AA281" s="34">
        <f>IF(OR($A281="",$H281&lt;&gt;"Ausgabe",M281=""),0,IF(M281="x",-$E281/(COUNTIF($J281:$Q281,"x")+1),-$E281*N(M281)))</f>
        <v/>
      </c>
      <c r="AB281" s="34">
        <f>IF(OR($A281="",$H281&lt;&gt;"Ausgabe",N281=""),0,IF(N281="x",-$E281/(COUNTIF($J281:$Q281,"x")+1),-$E281*N(N281)))</f>
        <v/>
      </c>
      <c r="AC281" s="34">
        <f>IF(OR($A281="",$H281&lt;&gt;"Ausgabe",O281=""),0,IF(O281="x",-$E281/(COUNTIF($J281:$Q281,"x")+1),-$E281*N(O281)))</f>
        <v/>
      </c>
      <c r="AD281" s="34">
        <f>IF(OR($A281="",$H281&lt;&gt;"Ausgabe",P281=""),0,IF(P281="x",-$E281/(COUNTIF($J281:$Q281,"x")+1),-$E281*N(P281)))</f>
        <v/>
      </c>
      <c r="AE281" s="34">
        <f>IF(OR($A281="",$H281&lt;&gt;"Ausgabe",Q281=""),0,IF(Q281="x",-$E281/(COUNTIF($J281:$Q281,"x")+1),-$E281*N(Q281)))</f>
        <v/>
      </c>
    </row>
    <row r="282">
      <c r="A282" s="30" t="n"/>
      <c r="E282" s="31" t="n"/>
      <c r="J282" s="32" t="n"/>
      <c r="K282" s="32" t="n"/>
      <c r="L282" s="32" t="n"/>
      <c r="M282" s="32" t="n"/>
      <c r="N282" s="32" t="n"/>
      <c r="O282" s="32" t="n"/>
      <c r="P282" s="32" t="n"/>
      <c r="Q282" s="32" t="n"/>
      <c r="U282" s="31">
        <f>IF($A282="","",SUM(X282:AE282))</f>
        <v/>
      </c>
      <c r="V282" s="31">
        <f>IF($A282="","",IF($H282&lt;&gt;"Ausgabe",0,-$E282-$U282))</f>
        <v/>
      </c>
      <c r="W282" s="33">
        <f>IF($A282="","",DATE(YEAR($A282),MONTH($A282),1))</f>
        <v/>
      </c>
      <c r="X282" s="34">
        <f>IF(OR($A282="",$H282&lt;&gt;"Ausgabe",J282=""),0,IF(J282="x",-$E282/(COUNTIF($J282:$Q282,"x")+1),-$E282*N(J282)))</f>
        <v/>
      </c>
      <c r="Y282" s="34">
        <f>IF(OR($A282="",$H282&lt;&gt;"Ausgabe",K282=""),0,IF(K282="x",-$E282/(COUNTIF($J282:$Q282,"x")+1),-$E282*N(K282)))</f>
        <v/>
      </c>
      <c r="Z282" s="34">
        <f>IF(OR($A282="",$H282&lt;&gt;"Ausgabe",L282=""),0,IF(L282="x",-$E282/(COUNTIF($J282:$Q282,"x")+1),-$E282*N(L282)))</f>
        <v/>
      </c>
      <c r="AA282" s="34">
        <f>IF(OR($A282="",$H282&lt;&gt;"Ausgabe",M282=""),0,IF(M282="x",-$E282/(COUNTIF($J282:$Q282,"x")+1),-$E282*N(M282)))</f>
        <v/>
      </c>
      <c r="AB282" s="34">
        <f>IF(OR($A282="",$H282&lt;&gt;"Ausgabe",N282=""),0,IF(N282="x",-$E282/(COUNTIF($J282:$Q282,"x")+1),-$E282*N(N282)))</f>
        <v/>
      </c>
      <c r="AC282" s="34">
        <f>IF(OR($A282="",$H282&lt;&gt;"Ausgabe",O282=""),0,IF(O282="x",-$E282/(COUNTIF($J282:$Q282,"x")+1),-$E282*N(O282)))</f>
        <v/>
      </c>
      <c r="AD282" s="34">
        <f>IF(OR($A282="",$H282&lt;&gt;"Ausgabe",P282=""),0,IF(P282="x",-$E282/(COUNTIF($J282:$Q282,"x")+1),-$E282*N(P282)))</f>
        <v/>
      </c>
      <c r="AE282" s="34">
        <f>IF(OR($A282="",$H282&lt;&gt;"Ausgabe",Q282=""),0,IF(Q282="x",-$E282/(COUNTIF($J282:$Q282,"x")+1),-$E282*N(Q282)))</f>
        <v/>
      </c>
    </row>
    <row r="283">
      <c r="A283" s="30" t="n"/>
      <c r="E283" s="31" t="n"/>
      <c r="J283" s="32" t="n"/>
      <c r="K283" s="32" t="n"/>
      <c r="L283" s="32" t="n"/>
      <c r="M283" s="32" t="n"/>
      <c r="N283" s="32" t="n"/>
      <c r="O283" s="32" t="n"/>
      <c r="P283" s="32" t="n"/>
      <c r="Q283" s="32" t="n"/>
      <c r="U283" s="31">
        <f>IF($A283="","",SUM(X283:AE283))</f>
        <v/>
      </c>
      <c r="V283" s="31">
        <f>IF($A283="","",IF($H283&lt;&gt;"Ausgabe",0,-$E283-$U283))</f>
        <v/>
      </c>
      <c r="W283" s="33">
        <f>IF($A283="","",DATE(YEAR($A283),MONTH($A283),1))</f>
        <v/>
      </c>
      <c r="X283" s="34">
        <f>IF(OR($A283="",$H283&lt;&gt;"Ausgabe",J283=""),0,IF(J283="x",-$E283/(COUNTIF($J283:$Q283,"x")+1),-$E283*N(J283)))</f>
        <v/>
      </c>
      <c r="Y283" s="34">
        <f>IF(OR($A283="",$H283&lt;&gt;"Ausgabe",K283=""),0,IF(K283="x",-$E283/(COUNTIF($J283:$Q283,"x")+1),-$E283*N(K283)))</f>
        <v/>
      </c>
      <c r="Z283" s="34">
        <f>IF(OR($A283="",$H283&lt;&gt;"Ausgabe",L283=""),0,IF(L283="x",-$E283/(COUNTIF($J283:$Q283,"x")+1),-$E283*N(L283)))</f>
        <v/>
      </c>
      <c r="AA283" s="34">
        <f>IF(OR($A283="",$H283&lt;&gt;"Ausgabe",M283=""),0,IF(M283="x",-$E283/(COUNTIF($J283:$Q283,"x")+1),-$E283*N(M283)))</f>
        <v/>
      </c>
      <c r="AB283" s="34">
        <f>IF(OR($A283="",$H283&lt;&gt;"Ausgabe",N283=""),0,IF(N283="x",-$E283/(COUNTIF($J283:$Q283,"x")+1),-$E283*N(N283)))</f>
        <v/>
      </c>
      <c r="AC283" s="34">
        <f>IF(OR($A283="",$H283&lt;&gt;"Ausgabe",O283=""),0,IF(O283="x",-$E283/(COUNTIF($J283:$Q283,"x")+1),-$E283*N(O283)))</f>
        <v/>
      </c>
      <c r="AD283" s="34">
        <f>IF(OR($A283="",$H283&lt;&gt;"Ausgabe",P283=""),0,IF(P283="x",-$E283/(COUNTIF($J283:$Q283,"x")+1),-$E283*N(P283)))</f>
        <v/>
      </c>
      <c r="AE283" s="34">
        <f>IF(OR($A283="",$H283&lt;&gt;"Ausgabe",Q283=""),0,IF(Q283="x",-$E283/(COUNTIF($J283:$Q283,"x")+1),-$E283*N(Q283)))</f>
        <v/>
      </c>
    </row>
    <row r="284">
      <c r="A284" s="30" t="n"/>
      <c r="E284" s="31" t="n"/>
      <c r="J284" s="32" t="n"/>
      <c r="K284" s="32" t="n"/>
      <c r="L284" s="32" t="n"/>
      <c r="M284" s="32" t="n"/>
      <c r="N284" s="32" t="n"/>
      <c r="O284" s="32" t="n"/>
      <c r="P284" s="32" t="n"/>
      <c r="Q284" s="32" t="n"/>
      <c r="U284" s="31">
        <f>IF($A284="","",SUM(X284:AE284))</f>
        <v/>
      </c>
      <c r="V284" s="31">
        <f>IF($A284="","",IF($H284&lt;&gt;"Ausgabe",0,-$E284-$U284))</f>
        <v/>
      </c>
      <c r="W284" s="33">
        <f>IF($A284="","",DATE(YEAR($A284),MONTH($A284),1))</f>
        <v/>
      </c>
      <c r="X284" s="34">
        <f>IF(OR($A284="",$H284&lt;&gt;"Ausgabe",J284=""),0,IF(J284="x",-$E284/(COUNTIF($J284:$Q284,"x")+1),-$E284*N(J284)))</f>
        <v/>
      </c>
      <c r="Y284" s="34">
        <f>IF(OR($A284="",$H284&lt;&gt;"Ausgabe",K284=""),0,IF(K284="x",-$E284/(COUNTIF($J284:$Q284,"x")+1),-$E284*N(K284)))</f>
        <v/>
      </c>
      <c r="Z284" s="34">
        <f>IF(OR($A284="",$H284&lt;&gt;"Ausgabe",L284=""),0,IF(L284="x",-$E284/(COUNTIF($J284:$Q284,"x")+1),-$E284*N(L284)))</f>
        <v/>
      </c>
      <c r="AA284" s="34">
        <f>IF(OR($A284="",$H284&lt;&gt;"Ausgabe",M284=""),0,IF(M284="x",-$E284/(COUNTIF($J284:$Q284,"x")+1),-$E284*N(M284)))</f>
        <v/>
      </c>
      <c r="AB284" s="34">
        <f>IF(OR($A284="",$H284&lt;&gt;"Ausgabe",N284=""),0,IF(N284="x",-$E284/(COUNTIF($J284:$Q284,"x")+1),-$E284*N(N284)))</f>
        <v/>
      </c>
      <c r="AC284" s="34">
        <f>IF(OR($A284="",$H284&lt;&gt;"Ausgabe",O284=""),0,IF(O284="x",-$E284/(COUNTIF($J284:$Q284,"x")+1),-$E284*N(O284)))</f>
        <v/>
      </c>
      <c r="AD284" s="34">
        <f>IF(OR($A284="",$H284&lt;&gt;"Ausgabe",P284=""),0,IF(P284="x",-$E284/(COUNTIF($J284:$Q284,"x")+1),-$E284*N(P284)))</f>
        <v/>
      </c>
      <c r="AE284" s="34">
        <f>IF(OR($A284="",$H284&lt;&gt;"Ausgabe",Q284=""),0,IF(Q284="x",-$E284/(COUNTIF($J284:$Q284,"x")+1),-$E284*N(Q284)))</f>
        <v/>
      </c>
    </row>
    <row r="285">
      <c r="A285" s="30" t="n"/>
      <c r="E285" s="31" t="n"/>
      <c r="J285" s="32" t="n"/>
      <c r="K285" s="32" t="n"/>
      <c r="L285" s="32" t="n"/>
      <c r="M285" s="32" t="n"/>
      <c r="N285" s="32" t="n"/>
      <c r="O285" s="32" t="n"/>
      <c r="P285" s="32" t="n"/>
      <c r="Q285" s="32" t="n"/>
      <c r="U285" s="31">
        <f>IF($A285="","",SUM(X285:AE285))</f>
        <v/>
      </c>
      <c r="V285" s="31">
        <f>IF($A285="","",IF($H285&lt;&gt;"Ausgabe",0,-$E285-$U285))</f>
        <v/>
      </c>
      <c r="W285" s="33">
        <f>IF($A285="","",DATE(YEAR($A285),MONTH($A285),1))</f>
        <v/>
      </c>
      <c r="X285" s="34">
        <f>IF(OR($A285="",$H285&lt;&gt;"Ausgabe",J285=""),0,IF(J285="x",-$E285/(COUNTIF($J285:$Q285,"x")+1),-$E285*N(J285)))</f>
        <v/>
      </c>
      <c r="Y285" s="34">
        <f>IF(OR($A285="",$H285&lt;&gt;"Ausgabe",K285=""),0,IF(K285="x",-$E285/(COUNTIF($J285:$Q285,"x")+1),-$E285*N(K285)))</f>
        <v/>
      </c>
      <c r="Z285" s="34">
        <f>IF(OR($A285="",$H285&lt;&gt;"Ausgabe",L285=""),0,IF(L285="x",-$E285/(COUNTIF($J285:$Q285,"x")+1),-$E285*N(L285)))</f>
        <v/>
      </c>
      <c r="AA285" s="34">
        <f>IF(OR($A285="",$H285&lt;&gt;"Ausgabe",M285=""),0,IF(M285="x",-$E285/(COUNTIF($J285:$Q285,"x")+1),-$E285*N(M285)))</f>
        <v/>
      </c>
      <c r="AB285" s="34">
        <f>IF(OR($A285="",$H285&lt;&gt;"Ausgabe",N285=""),0,IF(N285="x",-$E285/(COUNTIF($J285:$Q285,"x")+1),-$E285*N(N285)))</f>
        <v/>
      </c>
      <c r="AC285" s="34">
        <f>IF(OR($A285="",$H285&lt;&gt;"Ausgabe",O285=""),0,IF(O285="x",-$E285/(COUNTIF($J285:$Q285,"x")+1),-$E285*N(O285)))</f>
        <v/>
      </c>
      <c r="AD285" s="34">
        <f>IF(OR($A285="",$H285&lt;&gt;"Ausgabe",P285=""),0,IF(P285="x",-$E285/(COUNTIF($J285:$Q285,"x")+1),-$E285*N(P285)))</f>
        <v/>
      </c>
      <c r="AE285" s="34">
        <f>IF(OR($A285="",$H285&lt;&gt;"Ausgabe",Q285=""),0,IF(Q285="x",-$E285/(COUNTIF($J285:$Q285,"x")+1),-$E285*N(Q285)))</f>
        <v/>
      </c>
    </row>
    <row r="286">
      <c r="A286" s="30" t="n"/>
      <c r="E286" s="31" t="n"/>
      <c r="J286" s="32" t="n"/>
      <c r="K286" s="32" t="n"/>
      <c r="L286" s="32" t="n"/>
      <c r="M286" s="32" t="n"/>
      <c r="N286" s="32" t="n"/>
      <c r="O286" s="32" t="n"/>
      <c r="P286" s="32" t="n"/>
      <c r="Q286" s="32" t="n"/>
      <c r="U286" s="31">
        <f>IF($A286="","",SUM(X286:AE286))</f>
        <v/>
      </c>
      <c r="V286" s="31">
        <f>IF($A286="","",IF($H286&lt;&gt;"Ausgabe",0,-$E286-$U286))</f>
        <v/>
      </c>
      <c r="W286" s="33">
        <f>IF($A286="","",DATE(YEAR($A286),MONTH($A286),1))</f>
        <v/>
      </c>
      <c r="X286" s="34">
        <f>IF(OR($A286="",$H286&lt;&gt;"Ausgabe",J286=""),0,IF(J286="x",-$E286/(COUNTIF($J286:$Q286,"x")+1),-$E286*N(J286)))</f>
        <v/>
      </c>
      <c r="Y286" s="34">
        <f>IF(OR($A286="",$H286&lt;&gt;"Ausgabe",K286=""),0,IF(K286="x",-$E286/(COUNTIF($J286:$Q286,"x")+1),-$E286*N(K286)))</f>
        <v/>
      </c>
      <c r="Z286" s="34">
        <f>IF(OR($A286="",$H286&lt;&gt;"Ausgabe",L286=""),0,IF(L286="x",-$E286/(COUNTIF($J286:$Q286,"x")+1),-$E286*N(L286)))</f>
        <v/>
      </c>
      <c r="AA286" s="34">
        <f>IF(OR($A286="",$H286&lt;&gt;"Ausgabe",M286=""),0,IF(M286="x",-$E286/(COUNTIF($J286:$Q286,"x")+1),-$E286*N(M286)))</f>
        <v/>
      </c>
      <c r="AB286" s="34">
        <f>IF(OR($A286="",$H286&lt;&gt;"Ausgabe",N286=""),0,IF(N286="x",-$E286/(COUNTIF($J286:$Q286,"x")+1),-$E286*N(N286)))</f>
        <v/>
      </c>
      <c r="AC286" s="34">
        <f>IF(OR($A286="",$H286&lt;&gt;"Ausgabe",O286=""),0,IF(O286="x",-$E286/(COUNTIF($J286:$Q286,"x")+1),-$E286*N(O286)))</f>
        <v/>
      </c>
      <c r="AD286" s="34">
        <f>IF(OR($A286="",$H286&lt;&gt;"Ausgabe",P286=""),0,IF(P286="x",-$E286/(COUNTIF($J286:$Q286,"x")+1),-$E286*N(P286)))</f>
        <v/>
      </c>
      <c r="AE286" s="34">
        <f>IF(OR($A286="",$H286&lt;&gt;"Ausgabe",Q286=""),0,IF(Q286="x",-$E286/(COUNTIF($J286:$Q286,"x")+1),-$E286*N(Q286)))</f>
        <v/>
      </c>
    </row>
    <row r="287">
      <c r="A287" s="30" t="n"/>
      <c r="E287" s="31" t="n"/>
      <c r="J287" s="32" t="n"/>
      <c r="K287" s="32" t="n"/>
      <c r="L287" s="32" t="n"/>
      <c r="M287" s="32" t="n"/>
      <c r="N287" s="32" t="n"/>
      <c r="O287" s="32" t="n"/>
      <c r="P287" s="32" t="n"/>
      <c r="Q287" s="32" t="n"/>
      <c r="U287" s="31">
        <f>IF($A287="","",SUM(X287:AE287))</f>
        <v/>
      </c>
      <c r="V287" s="31">
        <f>IF($A287="","",IF($H287&lt;&gt;"Ausgabe",0,-$E287-$U287))</f>
        <v/>
      </c>
      <c r="W287" s="33">
        <f>IF($A287="","",DATE(YEAR($A287),MONTH($A287),1))</f>
        <v/>
      </c>
      <c r="X287" s="34">
        <f>IF(OR($A287="",$H287&lt;&gt;"Ausgabe",J287=""),0,IF(J287="x",-$E287/(COUNTIF($J287:$Q287,"x")+1),-$E287*N(J287)))</f>
        <v/>
      </c>
      <c r="Y287" s="34">
        <f>IF(OR($A287="",$H287&lt;&gt;"Ausgabe",K287=""),0,IF(K287="x",-$E287/(COUNTIF($J287:$Q287,"x")+1),-$E287*N(K287)))</f>
        <v/>
      </c>
      <c r="Z287" s="34">
        <f>IF(OR($A287="",$H287&lt;&gt;"Ausgabe",L287=""),0,IF(L287="x",-$E287/(COUNTIF($J287:$Q287,"x")+1),-$E287*N(L287)))</f>
        <v/>
      </c>
      <c r="AA287" s="34">
        <f>IF(OR($A287="",$H287&lt;&gt;"Ausgabe",M287=""),0,IF(M287="x",-$E287/(COUNTIF($J287:$Q287,"x")+1),-$E287*N(M287)))</f>
        <v/>
      </c>
      <c r="AB287" s="34">
        <f>IF(OR($A287="",$H287&lt;&gt;"Ausgabe",N287=""),0,IF(N287="x",-$E287/(COUNTIF($J287:$Q287,"x")+1),-$E287*N(N287)))</f>
        <v/>
      </c>
      <c r="AC287" s="34">
        <f>IF(OR($A287="",$H287&lt;&gt;"Ausgabe",O287=""),0,IF(O287="x",-$E287/(COUNTIF($J287:$Q287,"x")+1),-$E287*N(O287)))</f>
        <v/>
      </c>
      <c r="AD287" s="34">
        <f>IF(OR($A287="",$H287&lt;&gt;"Ausgabe",P287=""),0,IF(P287="x",-$E287/(COUNTIF($J287:$Q287,"x")+1),-$E287*N(P287)))</f>
        <v/>
      </c>
      <c r="AE287" s="34">
        <f>IF(OR($A287="",$H287&lt;&gt;"Ausgabe",Q287=""),0,IF(Q287="x",-$E287/(COUNTIF($J287:$Q287,"x")+1),-$E287*N(Q287)))</f>
        <v/>
      </c>
    </row>
    <row r="288">
      <c r="A288" s="30" t="n"/>
      <c r="E288" s="31" t="n"/>
      <c r="J288" s="32" t="n"/>
      <c r="K288" s="32" t="n"/>
      <c r="L288" s="32" t="n"/>
      <c r="M288" s="32" t="n"/>
      <c r="N288" s="32" t="n"/>
      <c r="O288" s="32" t="n"/>
      <c r="P288" s="32" t="n"/>
      <c r="Q288" s="32" t="n"/>
      <c r="U288" s="31">
        <f>IF($A288="","",SUM(X288:AE288))</f>
        <v/>
      </c>
      <c r="V288" s="31">
        <f>IF($A288="","",IF($H288&lt;&gt;"Ausgabe",0,-$E288-$U288))</f>
        <v/>
      </c>
      <c r="W288" s="33">
        <f>IF($A288="","",DATE(YEAR($A288),MONTH($A288),1))</f>
        <v/>
      </c>
      <c r="X288" s="34">
        <f>IF(OR($A288="",$H288&lt;&gt;"Ausgabe",J288=""),0,IF(J288="x",-$E288/(COUNTIF($J288:$Q288,"x")+1),-$E288*N(J288)))</f>
        <v/>
      </c>
      <c r="Y288" s="34">
        <f>IF(OR($A288="",$H288&lt;&gt;"Ausgabe",K288=""),0,IF(K288="x",-$E288/(COUNTIF($J288:$Q288,"x")+1),-$E288*N(K288)))</f>
        <v/>
      </c>
      <c r="Z288" s="34">
        <f>IF(OR($A288="",$H288&lt;&gt;"Ausgabe",L288=""),0,IF(L288="x",-$E288/(COUNTIF($J288:$Q288,"x")+1),-$E288*N(L288)))</f>
        <v/>
      </c>
      <c r="AA288" s="34">
        <f>IF(OR($A288="",$H288&lt;&gt;"Ausgabe",M288=""),0,IF(M288="x",-$E288/(COUNTIF($J288:$Q288,"x")+1),-$E288*N(M288)))</f>
        <v/>
      </c>
      <c r="AB288" s="34">
        <f>IF(OR($A288="",$H288&lt;&gt;"Ausgabe",N288=""),0,IF(N288="x",-$E288/(COUNTIF($J288:$Q288,"x")+1),-$E288*N(N288)))</f>
        <v/>
      </c>
      <c r="AC288" s="34">
        <f>IF(OR($A288="",$H288&lt;&gt;"Ausgabe",O288=""),0,IF(O288="x",-$E288/(COUNTIF($J288:$Q288,"x")+1),-$E288*N(O288)))</f>
        <v/>
      </c>
      <c r="AD288" s="34">
        <f>IF(OR($A288="",$H288&lt;&gt;"Ausgabe",P288=""),0,IF(P288="x",-$E288/(COUNTIF($J288:$Q288,"x")+1),-$E288*N(P288)))</f>
        <v/>
      </c>
      <c r="AE288" s="34">
        <f>IF(OR($A288="",$H288&lt;&gt;"Ausgabe",Q288=""),0,IF(Q288="x",-$E288/(COUNTIF($J288:$Q288,"x")+1),-$E288*N(Q288)))</f>
        <v/>
      </c>
    </row>
    <row r="289">
      <c r="A289" s="30" t="n"/>
      <c r="E289" s="31" t="n"/>
      <c r="J289" s="32" t="n"/>
      <c r="K289" s="32" t="n"/>
      <c r="L289" s="32" t="n"/>
      <c r="M289" s="32" t="n"/>
      <c r="N289" s="32" t="n"/>
      <c r="O289" s="32" t="n"/>
      <c r="P289" s="32" t="n"/>
      <c r="Q289" s="32" t="n"/>
      <c r="U289" s="31">
        <f>IF($A289="","",SUM(X289:AE289))</f>
        <v/>
      </c>
      <c r="V289" s="31">
        <f>IF($A289="","",IF($H289&lt;&gt;"Ausgabe",0,-$E289-$U289))</f>
        <v/>
      </c>
      <c r="W289" s="33">
        <f>IF($A289="","",DATE(YEAR($A289),MONTH($A289),1))</f>
        <v/>
      </c>
      <c r="X289" s="34">
        <f>IF(OR($A289="",$H289&lt;&gt;"Ausgabe",J289=""),0,IF(J289="x",-$E289/(COUNTIF($J289:$Q289,"x")+1),-$E289*N(J289)))</f>
        <v/>
      </c>
      <c r="Y289" s="34">
        <f>IF(OR($A289="",$H289&lt;&gt;"Ausgabe",K289=""),0,IF(K289="x",-$E289/(COUNTIF($J289:$Q289,"x")+1),-$E289*N(K289)))</f>
        <v/>
      </c>
      <c r="Z289" s="34">
        <f>IF(OR($A289="",$H289&lt;&gt;"Ausgabe",L289=""),0,IF(L289="x",-$E289/(COUNTIF($J289:$Q289,"x")+1),-$E289*N(L289)))</f>
        <v/>
      </c>
      <c r="AA289" s="34">
        <f>IF(OR($A289="",$H289&lt;&gt;"Ausgabe",M289=""),0,IF(M289="x",-$E289/(COUNTIF($J289:$Q289,"x")+1),-$E289*N(M289)))</f>
        <v/>
      </c>
      <c r="AB289" s="34">
        <f>IF(OR($A289="",$H289&lt;&gt;"Ausgabe",N289=""),0,IF(N289="x",-$E289/(COUNTIF($J289:$Q289,"x")+1),-$E289*N(N289)))</f>
        <v/>
      </c>
      <c r="AC289" s="34">
        <f>IF(OR($A289="",$H289&lt;&gt;"Ausgabe",O289=""),0,IF(O289="x",-$E289/(COUNTIF($J289:$Q289,"x")+1),-$E289*N(O289)))</f>
        <v/>
      </c>
      <c r="AD289" s="34">
        <f>IF(OR($A289="",$H289&lt;&gt;"Ausgabe",P289=""),0,IF(P289="x",-$E289/(COUNTIF($J289:$Q289,"x")+1),-$E289*N(P289)))</f>
        <v/>
      </c>
      <c r="AE289" s="34">
        <f>IF(OR($A289="",$H289&lt;&gt;"Ausgabe",Q289=""),0,IF(Q289="x",-$E289/(COUNTIF($J289:$Q289,"x")+1),-$E289*N(Q289)))</f>
        <v/>
      </c>
    </row>
    <row r="290">
      <c r="A290" s="30" t="n"/>
      <c r="E290" s="31" t="n"/>
      <c r="J290" s="32" t="n"/>
      <c r="K290" s="32" t="n"/>
      <c r="L290" s="32" t="n"/>
      <c r="M290" s="32" t="n"/>
      <c r="N290" s="32" t="n"/>
      <c r="O290" s="32" t="n"/>
      <c r="P290" s="32" t="n"/>
      <c r="Q290" s="32" t="n"/>
      <c r="U290" s="31">
        <f>IF($A290="","",SUM(X290:AE290))</f>
        <v/>
      </c>
      <c r="V290" s="31">
        <f>IF($A290="","",IF($H290&lt;&gt;"Ausgabe",0,-$E290-$U290))</f>
        <v/>
      </c>
      <c r="W290" s="33">
        <f>IF($A290="","",DATE(YEAR($A290),MONTH($A290),1))</f>
        <v/>
      </c>
      <c r="X290" s="34">
        <f>IF(OR($A290="",$H290&lt;&gt;"Ausgabe",J290=""),0,IF(J290="x",-$E290/(COUNTIF($J290:$Q290,"x")+1),-$E290*N(J290)))</f>
        <v/>
      </c>
      <c r="Y290" s="34">
        <f>IF(OR($A290="",$H290&lt;&gt;"Ausgabe",K290=""),0,IF(K290="x",-$E290/(COUNTIF($J290:$Q290,"x")+1),-$E290*N(K290)))</f>
        <v/>
      </c>
      <c r="Z290" s="34">
        <f>IF(OR($A290="",$H290&lt;&gt;"Ausgabe",L290=""),0,IF(L290="x",-$E290/(COUNTIF($J290:$Q290,"x")+1),-$E290*N(L290)))</f>
        <v/>
      </c>
      <c r="AA290" s="34">
        <f>IF(OR($A290="",$H290&lt;&gt;"Ausgabe",M290=""),0,IF(M290="x",-$E290/(COUNTIF($J290:$Q290,"x")+1),-$E290*N(M290)))</f>
        <v/>
      </c>
      <c r="AB290" s="34">
        <f>IF(OR($A290="",$H290&lt;&gt;"Ausgabe",N290=""),0,IF(N290="x",-$E290/(COUNTIF($J290:$Q290,"x")+1),-$E290*N(N290)))</f>
        <v/>
      </c>
      <c r="AC290" s="34">
        <f>IF(OR($A290="",$H290&lt;&gt;"Ausgabe",O290=""),0,IF(O290="x",-$E290/(COUNTIF($J290:$Q290,"x")+1),-$E290*N(O290)))</f>
        <v/>
      </c>
      <c r="AD290" s="34">
        <f>IF(OR($A290="",$H290&lt;&gt;"Ausgabe",P290=""),0,IF(P290="x",-$E290/(COUNTIF($J290:$Q290,"x")+1),-$E290*N(P290)))</f>
        <v/>
      </c>
      <c r="AE290" s="34">
        <f>IF(OR($A290="",$H290&lt;&gt;"Ausgabe",Q290=""),0,IF(Q290="x",-$E290/(COUNTIF($J290:$Q290,"x")+1),-$E290*N(Q290)))</f>
        <v/>
      </c>
    </row>
    <row r="291">
      <c r="A291" s="30" t="n"/>
      <c r="E291" s="31" t="n"/>
      <c r="J291" s="32" t="n"/>
      <c r="K291" s="32" t="n"/>
      <c r="L291" s="32" t="n"/>
      <c r="M291" s="32" t="n"/>
      <c r="N291" s="32" t="n"/>
      <c r="O291" s="32" t="n"/>
      <c r="P291" s="32" t="n"/>
      <c r="Q291" s="32" t="n"/>
      <c r="U291" s="31">
        <f>IF($A291="","",SUM(X291:AE291))</f>
        <v/>
      </c>
      <c r="V291" s="31">
        <f>IF($A291="","",IF($H291&lt;&gt;"Ausgabe",0,-$E291-$U291))</f>
        <v/>
      </c>
      <c r="W291" s="33">
        <f>IF($A291="","",DATE(YEAR($A291),MONTH($A291),1))</f>
        <v/>
      </c>
      <c r="X291" s="34">
        <f>IF(OR($A291="",$H291&lt;&gt;"Ausgabe",J291=""),0,IF(J291="x",-$E291/(COUNTIF($J291:$Q291,"x")+1),-$E291*N(J291)))</f>
        <v/>
      </c>
      <c r="Y291" s="34">
        <f>IF(OR($A291="",$H291&lt;&gt;"Ausgabe",K291=""),0,IF(K291="x",-$E291/(COUNTIF($J291:$Q291,"x")+1),-$E291*N(K291)))</f>
        <v/>
      </c>
      <c r="Z291" s="34">
        <f>IF(OR($A291="",$H291&lt;&gt;"Ausgabe",L291=""),0,IF(L291="x",-$E291/(COUNTIF($J291:$Q291,"x")+1),-$E291*N(L291)))</f>
        <v/>
      </c>
      <c r="AA291" s="34">
        <f>IF(OR($A291="",$H291&lt;&gt;"Ausgabe",M291=""),0,IF(M291="x",-$E291/(COUNTIF($J291:$Q291,"x")+1),-$E291*N(M291)))</f>
        <v/>
      </c>
      <c r="AB291" s="34">
        <f>IF(OR($A291="",$H291&lt;&gt;"Ausgabe",N291=""),0,IF(N291="x",-$E291/(COUNTIF($J291:$Q291,"x")+1),-$E291*N(N291)))</f>
        <v/>
      </c>
      <c r="AC291" s="34">
        <f>IF(OR($A291="",$H291&lt;&gt;"Ausgabe",O291=""),0,IF(O291="x",-$E291/(COUNTIF($J291:$Q291,"x")+1),-$E291*N(O291)))</f>
        <v/>
      </c>
      <c r="AD291" s="34">
        <f>IF(OR($A291="",$H291&lt;&gt;"Ausgabe",P291=""),0,IF(P291="x",-$E291/(COUNTIF($J291:$Q291,"x")+1),-$E291*N(P291)))</f>
        <v/>
      </c>
      <c r="AE291" s="34">
        <f>IF(OR($A291="",$H291&lt;&gt;"Ausgabe",Q291=""),0,IF(Q291="x",-$E291/(COUNTIF($J291:$Q291,"x")+1),-$E291*N(Q291)))</f>
        <v/>
      </c>
    </row>
    <row r="292">
      <c r="A292" s="30" t="n"/>
      <c r="E292" s="31" t="n"/>
      <c r="J292" s="32" t="n"/>
      <c r="K292" s="32" t="n"/>
      <c r="L292" s="32" t="n"/>
      <c r="M292" s="32" t="n"/>
      <c r="N292" s="32" t="n"/>
      <c r="O292" s="32" t="n"/>
      <c r="P292" s="32" t="n"/>
      <c r="Q292" s="32" t="n"/>
      <c r="U292" s="31">
        <f>IF($A292="","",SUM(X292:AE292))</f>
        <v/>
      </c>
      <c r="V292" s="31">
        <f>IF($A292="","",IF($H292&lt;&gt;"Ausgabe",0,-$E292-$U292))</f>
        <v/>
      </c>
      <c r="W292" s="33">
        <f>IF($A292="","",DATE(YEAR($A292),MONTH($A292),1))</f>
        <v/>
      </c>
      <c r="X292" s="34">
        <f>IF(OR($A292="",$H292&lt;&gt;"Ausgabe",J292=""),0,IF(J292="x",-$E292/(COUNTIF($J292:$Q292,"x")+1),-$E292*N(J292)))</f>
        <v/>
      </c>
      <c r="Y292" s="34">
        <f>IF(OR($A292="",$H292&lt;&gt;"Ausgabe",K292=""),0,IF(K292="x",-$E292/(COUNTIF($J292:$Q292,"x")+1),-$E292*N(K292)))</f>
        <v/>
      </c>
      <c r="Z292" s="34">
        <f>IF(OR($A292="",$H292&lt;&gt;"Ausgabe",L292=""),0,IF(L292="x",-$E292/(COUNTIF($J292:$Q292,"x")+1),-$E292*N(L292)))</f>
        <v/>
      </c>
      <c r="AA292" s="34">
        <f>IF(OR($A292="",$H292&lt;&gt;"Ausgabe",M292=""),0,IF(M292="x",-$E292/(COUNTIF($J292:$Q292,"x")+1),-$E292*N(M292)))</f>
        <v/>
      </c>
      <c r="AB292" s="34">
        <f>IF(OR($A292="",$H292&lt;&gt;"Ausgabe",N292=""),0,IF(N292="x",-$E292/(COUNTIF($J292:$Q292,"x")+1),-$E292*N(N292)))</f>
        <v/>
      </c>
      <c r="AC292" s="34">
        <f>IF(OR($A292="",$H292&lt;&gt;"Ausgabe",O292=""),0,IF(O292="x",-$E292/(COUNTIF($J292:$Q292,"x")+1),-$E292*N(O292)))</f>
        <v/>
      </c>
      <c r="AD292" s="34">
        <f>IF(OR($A292="",$H292&lt;&gt;"Ausgabe",P292=""),0,IF(P292="x",-$E292/(COUNTIF($J292:$Q292,"x")+1),-$E292*N(P292)))</f>
        <v/>
      </c>
      <c r="AE292" s="34">
        <f>IF(OR($A292="",$H292&lt;&gt;"Ausgabe",Q292=""),0,IF(Q292="x",-$E292/(COUNTIF($J292:$Q292,"x")+1),-$E292*N(Q292)))</f>
        <v/>
      </c>
    </row>
    <row r="293">
      <c r="A293" s="30" t="n"/>
      <c r="E293" s="31" t="n"/>
      <c r="J293" s="32" t="n"/>
      <c r="K293" s="32" t="n"/>
      <c r="L293" s="32" t="n"/>
      <c r="M293" s="32" t="n"/>
      <c r="N293" s="32" t="n"/>
      <c r="O293" s="32" t="n"/>
      <c r="P293" s="32" t="n"/>
      <c r="Q293" s="32" t="n"/>
      <c r="U293" s="31">
        <f>IF($A293="","",SUM(X293:AE293))</f>
        <v/>
      </c>
      <c r="V293" s="31">
        <f>IF($A293="","",IF($H293&lt;&gt;"Ausgabe",0,-$E293-$U293))</f>
        <v/>
      </c>
      <c r="W293" s="33">
        <f>IF($A293="","",DATE(YEAR($A293),MONTH($A293),1))</f>
        <v/>
      </c>
      <c r="X293" s="34">
        <f>IF(OR($A293="",$H293&lt;&gt;"Ausgabe",J293=""),0,IF(J293="x",-$E293/(COUNTIF($J293:$Q293,"x")+1),-$E293*N(J293)))</f>
        <v/>
      </c>
      <c r="Y293" s="34">
        <f>IF(OR($A293="",$H293&lt;&gt;"Ausgabe",K293=""),0,IF(K293="x",-$E293/(COUNTIF($J293:$Q293,"x")+1),-$E293*N(K293)))</f>
        <v/>
      </c>
      <c r="Z293" s="34">
        <f>IF(OR($A293="",$H293&lt;&gt;"Ausgabe",L293=""),0,IF(L293="x",-$E293/(COUNTIF($J293:$Q293,"x")+1),-$E293*N(L293)))</f>
        <v/>
      </c>
      <c r="AA293" s="34">
        <f>IF(OR($A293="",$H293&lt;&gt;"Ausgabe",M293=""),0,IF(M293="x",-$E293/(COUNTIF($J293:$Q293,"x")+1),-$E293*N(M293)))</f>
        <v/>
      </c>
      <c r="AB293" s="34">
        <f>IF(OR($A293="",$H293&lt;&gt;"Ausgabe",N293=""),0,IF(N293="x",-$E293/(COUNTIF($J293:$Q293,"x")+1),-$E293*N(N293)))</f>
        <v/>
      </c>
      <c r="AC293" s="34">
        <f>IF(OR($A293="",$H293&lt;&gt;"Ausgabe",O293=""),0,IF(O293="x",-$E293/(COUNTIF($J293:$Q293,"x")+1),-$E293*N(O293)))</f>
        <v/>
      </c>
      <c r="AD293" s="34">
        <f>IF(OR($A293="",$H293&lt;&gt;"Ausgabe",P293=""),0,IF(P293="x",-$E293/(COUNTIF($J293:$Q293,"x")+1),-$E293*N(P293)))</f>
        <v/>
      </c>
      <c r="AE293" s="34">
        <f>IF(OR($A293="",$H293&lt;&gt;"Ausgabe",Q293=""),0,IF(Q293="x",-$E293/(COUNTIF($J293:$Q293,"x")+1),-$E293*N(Q293)))</f>
        <v/>
      </c>
    </row>
    <row r="294">
      <c r="A294" s="30" t="n"/>
      <c r="E294" s="31" t="n"/>
      <c r="J294" s="32" t="n"/>
      <c r="K294" s="32" t="n"/>
      <c r="L294" s="32" t="n"/>
      <c r="M294" s="32" t="n"/>
      <c r="N294" s="32" t="n"/>
      <c r="O294" s="32" t="n"/>
      <c r="P294" s="32" t="n"/>
      <c r="Q294" s="32" t="n"/>
      <c r="U294" s="31">
        <f>IF($A294="","",SUM(X294:AE294))</f>
        <v/>
      </c>
      <c r="V294" s="31">
        <f>IF($A294="","",IF($H294&lt;&gt;"Ausgabe",0,-$E294-$U294))</f>
        <v/>
      </c>
      <c r="W294" s="33">
        <f>IF($A294="","",DATE(YEAR($A294),MONTH($A294),1))</f>
        <v/>
      </c>
      <c r="X294" s="34">
        <f>IF(OR($A294="",$H294&lt;&gt;"Ausgabe",J294=""),0,IF(J294="x",-$E294/(COUNTIF($J294:$Q294,"x")+1),-$E294*N(J294)))</f>
        <v/>
      </c>
      <c r="Y294" s="34">
        <f>IF(OR($A294="",$H294&lt;&gt;"Ausgabe",K294=""),0,IF(K294="x",-$E294/(COUNTIF($J294:$Q294,"x")+1),-$E294*N(K294)))</f>
        <v/>
      </c>
      <c r="Z294" s="34">
        <f>IF(OR($A294="",$H294&lt;&gt;"Ausgabe",L294=""),0,IF(L294="x",-$E294/(COUNTIF($J294:$Q294,"x")+1),-$E294*N(L294)))</f>
        <v/>
      </c>
      <c r="AA294" s="34">
        <f>IF(OR($A294="",$H294&lt;&gt;"Ausgabe",M294=""),0,IF(M294="x",-$E294/(COUNTIF($J294:$Q294,"x")+1),-$E294*N(M294)))</f>
        <v/>
      </c>
      <c r="AB294" s="34">
        <f>IF(OR($A294="",$H294&lt;&gt;"Ausgabe",N294=""),0,IF(N294="x",-$E294/(COUNTIF($J294:$Q294,"x")+1),-$E294*N(N294)))</f>
        <v/>
      </c>
      <c r="AC294" s="34">
        <f>IF(OR($A294="",$H294&lt;&gt;"Ausgabe",O294=""),0,IF(O294="x",-$E294/(COUNTIF($J294:$Q294,"x")+1),-$E294*N(O294)))</f>
        <v/>
      </c>
      <c r="AD294" s="34">
        <f>IF(OR($A294="",$H294&lt;&gt;"Ausgabe",P294=""),0,IF(P294="x",-$E294/(COUNTIF($J294:$Q294,"x")+1),-$E294*N(P294)))</f>
        <v/>
      </c>
      <c r="AE294" s="34">
        <f>IF(OR($A294="",$H294&lt;&gt;"Ausgabe",Q294=""),0,IF(Q294="x",-$E294/(COUNTIF($J294:$Q294,"x")+1),-$E294*N(Q294)))</f>
        <v/>
      </c>
    </row>
    <row r="295">
      <c r="A295" s="30" t="n"/>
      <c r="E295" s="31" t="n"/>
      <c r="J295" s="32" t="n"/>
      <c r="K295" s="32" t="n"/>
      <c r="L295" s="32" t="n"/>
      <c r="M295" s="32" t="n"/>
      <c r="N295" s="32" t="n"/>
      <c r="O295" s="32" t="n"/>
      <c r="P295" s="32" t="n"/>
      <c r="Q295" s="32" t="n"/>
      <c r="U295" s="31">
        <f>IF($A295="","",SUM(X295:AE295))</f>
        <v/>
      </c>
      <c r="V295" s="31">
        <f>IF($A295="","",IF($H295&lt;&gt;"Ausgabe",0,-$E295-$U295))</f>
        <v/>
      </c>
      <c r="W295" s="33">
        <f>IF($A295="","",DATE(YEAR($A295),MONTH($A295),1))</f>
        <v/>
      </c>
      <c r="X295" s="34">
        <f>IF(OR($A295="",$H295&lt;&gt;"Ausgabe",J295=""),0,IF(J295="x",-$E295/(COUNTIF($J295:$Q295,"x")+1),-$E295*N(J295)))</f>
        <v/>
      </c>
      <c r="Y295" s="34">
        <f>IF(OR($A295="",$H295&lt;&gt;"Ausgabe",K295=""),0,IF(K295="x",-$E295/(COUNTIF($J295:$Q295,"x")+1),-$E295*N(K295)))</f>
        <v/>
      </c>
      <c r="Z295" s="34">
        <f>IF(OR($A295="",$H295&lt;&gt;"Ausgabe",L295=""),0,IF(L295="x",-$E295/(COUNTIF($J295:$Q295,"x")+1),-$E295*N(L295)))</f>
        <v/>
      </c>
      <c r="AA295" s="34">
        <f>IF(OR($A295="",$H295&lt;&gt;"Ausgabe",M295=""),0,IF(M295="x",-$E295/(COUNTIF($J295:$Q295,"x")+1),-$E295*N(M295)))</f>
        <v/>
      </c>
      <c r="AB295" s="34">
        <f>IF(OR($A295="",$H295&lt;&gt;"Ausgabe",N295=""),0,IF(N295="x",-$E295/(COUNTIF($J295:$Q295,"x")+1),-$E295*N(N295)))</f>
        <v/>
      </c>
      <c r="AC295" s="34">
        <f>IF(OR($A295="",$H295&lt;&gt;"Ausgabe",O295=""),0,IF(O295="x",-$E295/(COUNTIF($J295:$Q295,"x")+1),-$E295*N(O295)))</f>
        <v/>
      </c>
      <c r="AD295" s="34">
        <f>IF(OR($A295="",$H295&lt;&gt;"Ausgabe",P295=""),0,IF(P295="x",-$E295/(COUNTIF($J295:$Q295,"x")+1),-$E295*N(P295)))</f>
        <v/>
      </c>
      <c r="AE295" s="34">
        <f>IF(OR($A295="",$H295&lt;&gt;"Ausgabe",Q295=""),0,IF(Q295="x",-$E295/(COUNTIF($J295:$Q295,"x")+1),-$E295*N(Q295)))</f>
        <v/>
      </c>
    </row>
    <row r="296">
      <c r="A296" s="30" t="n"/>
      <c r="E296" s="31" t="n"/>
      <c r="J296" s="32" t="n"/>
      <c r="K296" s="32" t="n"/>
      <c r="L296" s="32" t="n"/>
      <c r="M296" s="32" t="n"/>
      <c r="N296" s="32" t="n"/>
      <c r="O296" s="32" t="n"/>
      <c r="P296" s="32" t="n"/>
      <c r="Q296" s="32" t="n"/>
      <c r="U296" s="31">
        <f>IF($A296="","",SUM(X296:AE296))</f>
        <v/>
      </c>
      <c r="V296" s="31">
        <f>IF($A296="","",IF($H296&lt;&gt;"Ausgabe",0,-$E296-$U296))</f>
        <v/>
      </c>
      <c r="W296" s="33">
        <f>IF($A296="","",DATE(YEAR($A296),MONTH($A296),1))</f>
        <v/>
      </c>
      <c r="X296" s="34">
        <f>IF(OR($A296="",$H296&lt;&gt;"Ausgabe",J296=""),0,IF(J296="x",-$E296/(COUNTIF($J296:$Q296,"x")+1),-$E296*N(J296)))</f>
        <v/>
      </c>
      <c r="Y296" s="34">
        <f>IF(OR($A296="",$H296&lt;&gt;"Ausgabe",K296=""),0,IF(K296="x",-$E296/(COUNTIF($J296:$Q296,"x")+1),-$E296*N(K296)))</f>
        <v/>
      </c>
      <c r="Z296" s="34">
        <f>IF(OR($A296="",$H296&lt;&gt;"Ausgabe",L296=""),0,IF(L296="x",-$E296/(COUNTIF($J296:$Q296,"x")+1),-$E296*N(L296)))</f>
        <v/>
      </c>
      <c r="AA296" s="34">
        <f>IF(OR($A296="",$H296&lt;&gt;"Ausgabe",M296=""),0,IF(M296="x",-$E296/(COUNTIF($J296:$Q296,"x")+1),-$E296*N(M296)))</f>
        <v/>
      </c>
      <c r="AB296" s="34">
        <f>IF(OR($A296="",$H296&lt;&gt;"Ausgabe",N296=""),0,IF(N296="x",-$E296/(COUNTIF($J296:$Q296,"x")+1),-$E296*N(N296)))</f>
        <v/>
      </c>
      <c r="AC296" s="34">
        <f>IF(OR($A296="",$H296&lt;&gt;"Ausgabe",O296=""),0,IF(O296="x",-$E296/(COUNTIF($J296:$Q296,"x")+1),-$E296*N(O296)))</f>
        <v/>
      </c>
      <c r="AD296" s="34">
        <f>IF(OR($A296="",$H296&lt;&gt;"Ausgabe",P296=""),0,IF(P296="x",-$E296/(COUNTIF($J296:$Q296,"x")+1),-$E296*N(P296)))</f>
        <v/>
      </c>
      <c r="AE296" s="34">
        <f>IF(OR($A296="",$H296&lt;&gt;"Ausgabe",Q296=""),0,IF(Q296="x",-$E296/(COUNTIF($J296:$Q296,"x")+1),-$E296*N(Q296)))</f>
        <v/>
      </c>
    </row>
    <row r="297">
      <c r="A297" s="30" t="n"/>
      <c r="E297" s="31" t="n"/>
      <c r="J297" s="32" t="n"/>
      <c r="K297" s="32" t="n"/>
      <c r="L297" s="32" t="n"/>
      <c r="M297" s="32" t="n"/>
      <c r="N297" s="32" t="n"/>
      <c r="O297" s="32" t="n"/>
      <c r="P297" s="32" t="n"/>
      <c r="Q297" s="32" t="n"/>
      <c r="U297" s="31">
        <f>IF($A297="","",SUM(X297:AE297))</f>
        <v/>
      </c>
      <c r="V297" s="31">
        <f>IF($A297="","",IF($H297&lt;&gt;"Ausgabe",0,-$E297-$U297))</f>
        <v/>
      </c>
      <c r="W297" s="33">
        <f>IF($A297="","",DATE(YEAR($A297),MONTH($A297),1))</f>
        <v/>
      </c>
      <c r="X297" s="34">
        <f>IF(OR($A297="",$H297&lt;&gt;"Ausgabe",J297=""),0,IF(J297="x",-$E297/(COUNTIF($J297:$Q297,"x")+1),-$E297*N(J297)))</f>
        <v/>
      </c>
      <c r="Y297" s="34">
        <f>IF(OR($A297="",$H297&lt;&gt;"Ausgabe",K297=""),0,IF(K297="x",-$E297/(COUNTIF($J297:$Q297,"x")+1),-$E297*N(K297)))</f>
        <v/>
      </c>
      <c r="Z297" s="34">
        <f>IF(OR($A297="",$H297&lt;&gt;"Ausgabe",L297=""),0,IF(L297="x",-$E297/(COUNTIF($J297:$Q297,"x")+1),-$E297*N(L297)))</f>
        <v/>
      </c>
      <c r="AA297" s="34">
        <f>IF(OR($A297="",$H297&lt;&gt;"Ausgabe",M297=""),0,IF(M297="x",-$E297/(COUNTIF($J297:$Q297,"x")+1),-$E297*N(M297)))</f>
        <v/>
      </c>
      <c r="AB297" s="34">
        <f>IF(OR($A297="",$H297&lt;&gt;"Ausgabe",N297=""),0,IF(N297="x",-$E297/(COUNTIF($J297:$Q297,"x")+1),-$E297*N(N297)))</f>
        <v/>
      </c>
      <c r="AC297" s="34">
        <f>IF(OR($A297="",$H297&lt;&gt;"Ausgabe",O297=""),0,IF(O297="x",-$E297/(COUNTIF($J297:$Q297,"x")+1),-$E297*N(O297)))</f>
        <v/>
      </c>
      <c r="AD297" s="34">
        <f>IF(OR($A297="",$H297&lt;&gt;"Ausgabe",P297=""),0,IF(P297="x",-$E297/(COUNTIF($J297:$Q297,"x")+1),-$E297*N(P297)))</f>
        <v/>
      </c>
      <c r="AE297" s="34">
        <f>IF(OR($A297="",$H297&lt;&gt;"Ausgabe",Q297=""),0,IF(Q297="x",-$E297/(COUNTIF($J297:$Q297,"x")+1),-$E297*N(Q297)))</f>
        <v/>
      </c>
    </row>
    <row r="298">
      <c r="A298" s="30" t="n"/>
      <c r="E298" s="31" t="n"/>
      <c r="J298" s="32" t="n"/>
      <c r="K298" s="32" t="n"/>
      <c r="L298" s="32" t="n"/>
      <c r="M298" s="32" t="n"/>
      <c r="N298" s="32" t="n"/>
      <c r="O298" s="32" t="n"/>
      <c r="P298" s="32" t="n"/>
      <c r="Q298" s="32" t="n"/>
      <c r="U298" s="31">
        <f>IF($A298="","",SUM(X298:AE298))</f>
        <v/>
      </c>
      <c r="V298" s="31">
        <f>IF($A298="","",IF($H298&lt;&gt;"Ausgabe",0,-$E298-$U298))</f>
        <v/>
      </c>
      <c r="W298" s="33">
        <f>IF($A298="","",DATE(YEAR($A298),MONTH($A298),1))</f>
        <v/>
      </c>
      <c r="X298" s="34">
        <f>IF(OR($A298="",$H298&lt;&gt;"Ausgabe",J298=""),0,IF(J298="x",-$E298/(COUNTIF($J298:$Q298,"x")+1),-$E298*N(J298)))</f>
        <v/>
      </c>
      <c r="Y298" s="34">
        <f>IF(OR($A298="",$H298&lt;&gt;"Ausgabe",K298=""),0,IF(K298="x",-$E298/(COUNTIF($J298:$Q298,"x")+1),-$E298*N(K298)))</f>
        <v/>
      </c>
      <c r="Z298" s="34">
        <f>IF(OR($A298="",$H298&lt;&gt;"Ausgabe",L298=""),0,IF(L298="x",-$E298/(COUNTIF($J298:$Q298,"x")+1),-$E298*N(L298)))</f>
        <v/>
      </c>
      <c r="AA298" s="34">
        <f>IF(OR($A298="",$H298&lt;&gt;"Ausgabe",M298=""),0,IF(M298="x",-$E298/(COUNTIF($J298:$Q298,"x")+1),-$E298*N(M298)))</f>
        <v/>
      </c>
      <c r="AB298" s="34">
        <f>IF(OR($A298="",$H298&lt;&gt;"Ausgabe",N298=""),0,IF(N298="x",-$E298/(COUNTIF($J298:$Q298,"x")+1),-$E298*N(N298)))</f>
        <v/>
      </c>
      <c r="AC298" s="34">
        <f>IF(OR($A298="",$H298&lt;&gt;"Ausgabe",O298=""),0,IF(O298="x",-$E298/(COUNTIF($J298:$Q298,"x")+1),-$E298*N(O298)))</f>
        <v/>
      </c>
      <c r="AD298" s="34">
        <f>IF(OR($A298="",$H298&lt;&gt;"Ausgabe",P298=""),0,IF(P298="x",-$E298/(COUNTIF($J298:$Q298,"x")+1),-$E298*N(P298)))</f>
        <v/>
      </c>
      <c r="AE298" s="34">
        <f>IF(OR($A298="",$H298&lt;&gt;"Ausgabe",Q298=""),0,IF(Q298="x",-$E298/(COUNTIF($J298:$Q298,"x")+1),-$E298*N(Q298)))</f>
        <v/>
      </c>
    </row>
    <row r="299">
      <c r="A299" s="30" t="n"/>
      <c r="E299" s="31" t="n"/>
      <c r="J299" s="32" t="n"/>
      <c r="K299" s="32" t="n"/>
      <c r="L299" s="32" t="n"/>
      <c r="M299" s="32" t="n"/>
      <c r="N299" s="32" t="n"/>
      <c r="O299" s="32" t="n"/>
      <c r="P299" s="32" t="n"/>
      <c r="Q299" s="32" t="n"/>
      <c r="U299" s="31">
        <f>IF($A299="","",SUM(X299:AE299))</f>
        <v/>
      </c>
      <c r="V299" s="31">
        <f>IF($A299="","",IF($H299&lt;&gt;"Ausgabe",0,-$E299-$U299))</f>
        <v/>
      </c>
      <c r="W299" s="33">
        <f>IF($A299="","",DATE(YEAR($A299),MONTH($A299),1))</f>
        <v/>
      </c>
      <c r="X299" s="34">
        <f>IF(OR($A299="",$H299&lt;&gt;"Ausgabe",J299=""),0,IF(J299="x",-$E299/(COUNTIF($J299:$Q299,"x")+1),-$E299*N(J299)))</f>
        <v/>
      </c>
      <c r="Y299" s="34">
        <f>IF(OR($A299="",$H299&lt;&gt;"Ausgabe",K299=""),0,IF(K299="x",-$E299/(COUNTIF($J299:$Q299,"x")+1),-$E299*N(K299)))</f>
        <v/>
      </c>
      <c r="Z299" s="34">
        <f>IF(OR($A299="",$H299&lt;&gt;"Ausgabe",L299=""),0,IF(L299="x",-$E299/(COUNTIF($J299:$Q299,"x")+1),-$E299*N(L299)))</f>
        <v/>
      </c>
      <c r="AA299" s="34">
        <f>IF(OR($A299="",$H299&lt;&gt;"Ausgabe",M299=""),0,IF(M299="x",-$E299/(COUNTIF($J299:$Q299,"x")+1),-$E299*N(M299)))</f>
        <v/>
      </c>
      <c r="AB299" s="34">
        <f>IF(OR($A299="",$H299&lt;&gt;"Ausgabe",N299=""),0,IF(N299="x",-$E299/(COUNTIF($J299:$Q299,"x")+1),-$E299*N(N299)))</f>
        <v/>
      </c>
      <c r="AC299" s="34">
        <f>IF(OR($A299="",$H299&lt;&gt;"Ausgabe",O299=""),0,IF(O299="x",-$E299/(COUNTIF($J299:$Q299,"x")+1),-$E299*N(O299)))</f>
        <v/>
      </c>
      <c r="AD299" s="34">
        <f>IF(OR($A299="",$H299&lt;&gt;"Ausgabe",P299=""),0,IF(P299="x",-$E299/(COUNTIF($J299:$Q299,"x")+1),-$E299*N(P299)))</f>
        <v/>
      </c>
      <c r="AE299" s="34">
        <f>IF(OR($A299="",$H299&lt;&gt;"Ausgabe",Q299=""),0,IF(Q299="x",-$E299/(COUNTIF($J299:$Q299,"x")+1),-$E299*N(Q299)))</f>
        <v/>
      </c>
    </row>
    <row r="300">
      <c r="A300" s="30" t="n"/>
      <c r="E300" s="31" t="n"/>
      <c r="J300" s="32" t="n"/>
      <c r="K300" s="32" t="n"/>
      <c r="L300" s="32" t="n"/>
      <c r="M300" s="32" t="n"/>
      <c r="N300" s="32" t="n"/>
      <c r="O300" s="32" t="n"/>
      <c r="P300" s="32" t="n"/>
      <c r="Q300" s="32" t="n"/>
      <c r="U300" s="31">
        <f>IF($A300="","",SUM(X300:AE300))</f>
        <v/>
      </c>
      <c r="V300" s="31">
        <f>IF($A300="","",IF($H300&lt;&gt;"Ausgabe",0,-$E300-$U300))</f>
        <v/>
      </c>
      <c r="W300" s="33">
        <f>IF($A300="","",DATE(YEAR($A300),MONTH($A300),1))</f>
        <v/>
      </c>
      <c r="X300" s="34">
        <f>IF(OR($A300="",$H300&lt;&gt;"Ausgabe",J300=""),0,IF(J300="x",-$E300/(COUNTIF($J300:$Q300,"x")+1),-$E300*N(J300)))</f>
        <v/>
      </c>
      <c r="Y300" s="34">
        <f>IF(OR($A300="",$H300&lt;&gt;"Ausgabe",K300=""),0,IF(K300="x",-$E300/(COUNTIF($J300:$Q300,"x")+1),-$E300*N(K300)))</f>
        <v/>
      </c>
      <c r="Z300" s="34">
        <f>IF(OR($A300="",$H300&lt;&gt;"Ausgabe",L300=""),0,IF(L300="x",-$E300/(COUNTIF($J300:$Q300,"x")+1),-$E300*N(L300)))</f>
        <v/>
      </c>
      <c r="AA300" s="34">
        <f>IF(OR($A300="",$H300&lt;&gt;"Ausgabe",M300=""),0,IF(M300="x",-$E300/(COUNTIF($J300:$Q300,"x")+1),-$E300*N(M300)))</f>
        <v/>
      </c>
      <c r="AB300" s="34">
        <f>IF(OR($A300="",$H300&lt;&gt;"Ausgabe",N300=""),0,IF(N300="x",-$E300/(COUNTIF($J300:$Q300,"x")+1),-$E300*N(N300)))</f>
        <v/>
      </c>
      <c r="AC300" s="34">
        <f>IF(OR($A300="",$H300&lt;&gt;"Ausgabe",O300=""),0,IF(O300="x",-$E300/(COUNTIF($J300:$Q300,"x")+1),-$E300*N(O300)))</f>
        <v/>
      </c>
      <c r="AD300" s="34">
        <f>IF(OR($A300="",$H300&lt;&gt;"Ausgabe",P300=""),0,IF(P300="x",-$E300/(COUNTIF($J300:$Q300,"x")+1),-$E300*N(P300)))</f>
        <v/>
      </c>
      <c r="AE300" s="34">
        <f>IF(OR($A300="",$H300&lt;&gt;"Ausgabe",Q300=""),0,IF(Q300="x",-$E300/(COUNTIF($J300:$Q300,"x")+1),-$E300*N(Q300)))</f>
        <v/>
      </c>
    </row>
    <row r="301">
      <c r="A301" s="30" t="n"/>
      <c r="E301" s="31" t="n"/>
      <c r="J301" s="32" t="n"/>
      <c r="K301" s="32" t="n"/>
      <c r="L301" s="32" t="n"/>
      <c r="M301" s="32" t="n"/>
      <c r="N301" s="32" t="n"/>
      <c r="O301" s="32" t="n"/>
      <c r="P301" s="32" t="n"/>
      <c r="Q301" s="32" t="n"/>
      <c r="U301" s="31">
        <f>IF($A301="","",SUM(X301:AE301))</f>
        <v/>
      </c>
      <c r="V301" s="31">
        <f>IF($A301="","",IF($H301&lt;&gt;"Ausgabe",0,-$E301-$U301))</f>
        <v/>
      </c>
      <c r="W301" s="33">
        <f>IF($A301="","",DATE(YEAR($A301),MONTH($A301),1))</f>
        <v/>
      </c>
      <c r="X301" s="34">
        <f>IF(OR($A301="",$H301&lt;&gt;"Ausgabe",J301=""),0,IF(J301="x",-$E301/(COUNTIF($J301:$Q301,"x")+1),-$E301*N(J301)))</f>
        <v/>
      </c>
      <c r="Y301" s="34">
        <f>IF(OR($A301="",$H301&lt;&gt;"Ausgabe",K301=""),0,IF(K301="x",-$E301/(COUNTIF($J301:$Q301,"x")+1),-$E301*N(K301)))</f>
        <v/>
      </c>
      <c r="Z301" s="34">
        <f>IF(OR($A301="",$H301&lt;&gt;"Ausgabe",L301=""),0,IF(L301="x",-$E301/(COUNTIF($J301:$Q301,"x")+1),-$E301*N(L301)))</f>
        <v/>
      </c>
      <c r="AA301" s="34">
        <f>IF(OR($A301="",$H301&lt;&gt;"Ausgabe",M301=""),0,IF(M301="x",-$E301/(COUNTIF($J301:$Q301,"x")+1),-$E301*N(M301)))</f>
        <v/>
      </c>
      <c r="AB301" s="34">
        <f>IF(OR($A301="",$H301&lt;&gt;"Ausgabe",N301=""),0,IF(N301="x",-$E301/(COUNTIF($J301:$Q301,"x")+1),-$E301*N(N301)))</f>
        <v/>
      </c>
      <c r="AC301" s="34">
        <f>IF(OR($A301="",$H301&lt;&gt;"Ausgabe",O301=""),0,IF(O301="x",-$E301/(COUNTIF($J301:$Q301,"x")+1),-$E301*N(O301)))</f>
        <v/>
      </c>
      <c r="AD301" s="34">
        <f>IF(OR($A301="",$H301&lt;&gt;"Ausgabe",P301=""),0,IF(P301="x",-$E301/(COUNTIF($J301:$Q301,"x")+1),-$E301*N(P301)))</f>
        <v/>
      </c>
      <c r="AE301" s="34">
        <f>IF(OR($A301="",$H301&lt;&gt;"Ausgabe",Q301=""),0,IF(Q301="x",-$E301/(COUNTIF($J301:$Q301,"x")+1),-$E301*N(Q301)))</f>
        <v/>
      </c>
    </row>
    <row r="302">
      <c r="A302" s="30" t="n"/>
      <c r="E302" s="31" t="n"/>
      <c r="J302" s="32" t="n"/>
      <c r="K302" s="32" t="n"/>
      <c r="L302" s="32" t="n"/>
      <c r="M302" s="32" t="n"/>
      <c r="N302" s="32" t="n"/>
      <c r="O302" s="32" t="n"/>
      <c r="P302" s="32" t="n"/>
      <c r="Q302" s="32" t="n"/>
      <c r="U302" s="31">
        <f>IF($A302="","",SUM(X302:AE302))</f>
        <v/>
      </c>
      <c r="V302" s="31">
        <f>IF($A302="","",IF($H302&lt;&gt;"Ausgabe",0,-$E302-$U302))</f>
        <v/>
      </c>
      <c r="W302" s="33">
        <f>IF($A302="","",DATE(YEAR($A302),MONTH($A302),1))</f>
        <v/>
      </c>
      <c r="X302" s="34">
        <f>IF(OR($A302="",$H302&lt;&gt;"Ausgabe",J302=""),0,IF(J302="x",-$E302/(COUNTIF($J302:$Q302,"x")+1),-$E302*N(J302)))</f>
        <v/>
      </c>
      <c r="Y302" s="34">
        <f>IF(OR($A302="",$H302&lt;&gt;"Ausgabe",K302=""),0,IF(K302="x",-$E302/(COUNTIF($J302:$Q302,"x")+1),-$E302*N(K302)))</f>
        <v/>
      </c>
      <c r="Z302" s="34">
        <f>IF(OR($A302="",$H302&lt;&gt;"Ausgabe",L302=""),0,IF(L302="x",-$E302/(COUNTIF($J302:$Q302,"x")+1),-$E302*N(L302)))</f>
        <v/>
      </c>
      <c r="AA302" s="34">
        <f>IF(OR($A302="",$H302&lt;&gt;"Ausgabe",M302=""),0,IF(M302="x",-$E302/(COUNTIF($J302:$Q302,"x")+1),-$E302*N(M302)))</f>
        <v/>
      </c>
      <c r="AB302" s="34">
        <f>IF(OR($A302="",$H302&lt;&gt;"Ausgabe",N302=""),0,IF(N302="x",-$E302/(COUNTIF($J302:$Q302,"x")+1),-$E302*N(N302)))</f>
        <v/>
      </c>
      <c r="AC302" s="34">
        <f>IF(OR($A302="",$H302&lt;&gt;"Ausgabe",O302=""),0,IF(O302="x",-$E302/(COUNTIF($J302:$Q302,"x")+1),-$E302*N(O302)))</f>
        <v/>
      </c>
      <c r="AD302" s="34">
        <f>IF(OR($A302="",$H302&lt;&gt;"Ausgabe",P302=""),0,IF(P302="x",-$E302/(COUNTIF($J302:$Q302,"x")+1),-$E302*N(P302)))</f>
        <v/>
      </c>
      <c r="AE302" s="34">
        <f>IF(OR($A302="",$H302&lt;&gt;"Ausgabe",Q302=""),0,IF(Q302="x",-$E302/(COUNTIF($J302:$Q302,"x")+1),-$E302*N(Q302)))</f>
        <v/>
      </c>
    </row>
    <row r="303">
      <c r="A303" s="30" t="n"/>
      <c r="E303" s="31" t="n"/>
      <c r="J303" s="32" t="n"/>
      <c r="K303" s="32" t="n"/>
      <c r="L303" s="32" t="n"/>
      <c r="M303" s="32" t="n"/>
      <c r="N303" s="32" t="n"/>
      <c r="O303" s="32" t="n"/>
      <c r="P303" s="32" t="n"/>
      <c r="Q303" s="32" t="n"/>
      <c r="U303" s="31">
        <f>IF($A303="","",SUM(X303:AE303))</f>
        <v/>
      </c>
      <c r="V303" s="31">
        <f>IF($A303="","",IF($H303&lt;&gt;"Ausgabe",0,-$E303-$U303))</f>
        <v/>
      </c>
      <c r="W303" s="33">
        <f>IF($A303="","",DATE(YEAR($A303),MONTH($A303),1))</f>
        <v/>
      </c>
      <c r="X303" s="34">
        <f>IF(OR($A303="",$H303&lt;&gt;"Ausgabe",J303=""),0,IF(J303="x",-$E303/(COUNTIF($J303:$Q303,"x")+1),-$E303*N(J303)))</f>
        <v/>
      </c>
      <c r="Y303" s="34">
        <f>IF(OR($A303="",$H303&lt;&gt;"Ausgabe",K303=""),0,IF(K303="x",-$E303/(COUNTIF($J303:$Q303,"x")+1),-$E303*N(K303)))</f>
        <v/>
      </c>
      <c r="Z303" s="34">
        <f>IF(OR($A303="",$H303&lt;&gt;"Ausgabe",L303=""),0,IF(L303="x",-$E303/(COUNTIF($J303:$Q303,"x")+1),-$E303*N(L303)))</f>
        <v/>
      </c>
      <c r="AA303" s="34">
        <f>IF(OR($A303="",$H303&lt;&gt;"Ausgabe",M303=""),0,IF(M303="x",-$E303/(COUNTIF($J303:$Q303,"x")+1),-$E303*N(M303)))</f>
        <v/>
      </c>
      <c r="AB303" s="34">
        <f>IF(OR($A303="",$H303&lt;&gt;"Ausgabe",N303=""),0,IF(N303="x",-$E303/(COUNTIF($J303:$Q303,"x")+1),-$E303*N(N303)))</f>
        <v/>
      </c>
      <c r="AC303" s="34">
        <f>IF(OR($A303="",$H303&lt;&gt;"Ausgabe",O303=""),0,IF(O303="x",-$E303/(COUNTIF($J303:$Q303,"x")+1),-$E303*N(O303)))</f>
        <v/>
      </c>
      <c r="AD303" s="34">
        <f>IF(OR($A303="",$H303&lt;&gt;"Ausgabe",P303=""),0,IF(P303="x",-$E303/(COUNTIF($J303:$Q303,"x")+1),-$E303*N(P303)))</f>
        <v/>
      </c>
      <c r="AE303" s="34">
        <f>IF(OR($A303="",$H303&lt;&gt;"Ausgabe",Q303=""),0,IF(Q303="x",-$E303/(COUNTIF($J303:$Q303,"x")+1),-$E303*N(Q303)))</f>
        <v/>
      </c>
    </row>
    <row r="304">
      <c r="A304" s="30" t="n"/>
      <c r="E304" s="31" t="n"/>
      <c r="J304" s="32" t="n"/>
      <c r="K304" s="32" t="n"/>
      <c r="L304" s="32" t="n"/>
      <c r="M304" s="32" t="n"/>
      <c r="N304" s="32" t="n"/>
      <c r="O304" s="32" t="n"/>
      <c r="P304" s="32" t="n"/>
      <c r="Q304" s="32" t="n"/>
      <c r="U304" s="31">
        <f>IF($A304="","",SUM(X304:AE304))</f>
        <v/>
      </c>
      <c r="V304" s="31">
        <f>IF($A304="","",IF($H304&lt;&gt;"Ausgabe",0,-$E304-$U304))</f>
        <v/>
      </c>
      <c r="W304" s="33">
        <f>IF($A304="","",DATE(YEAR($A304),MONTH($A304),1))</f>
        <v/>
      </c>
      <c r="X304" s="34">
        <f>IF(OR($A304="",$H304&lt;&gt;"Ausgabe",J304=""),0,IF(J304="x",-$E304/(COUNTIF($J304:$Q304,"x")+1),-$E304*N(J304)))</f>
        <v/>
      </c>
      <c r="Y304" s="34">
        <f>IF(OR($A304="",$H304&lt;&gt;"Ausgabe",K304=""),0,IF(K304="x",-$E304/(COUNTIF($J304:$Q304,"x")+1),-$E304*N(K304)))</f>
        <v/>
      </c>
      <c r="Z304" s="34">
        <f>IF(OR($A304="",$H304&lt;&gt;"Ausgabe",L304=""),0,IF(L304="x",-$E304/(COUNTIF($J304:$Q304,"x")+1),-$E304*N(L304)))</f>
        <v/>
      </c>
      <c r="AA304" s="34">
        <f>IF(OR($A304="",$H304&lt;&gt;"Ausgabe",M304=""),0,IF(M304="x",-$E304/(COUNTIF($J304:$Q304,"x")+1),-$E304*N(M304)))</f>
        <v/>
      </c>
      <c r="AB304" s="34">
        <f>IF(OR($A304="",$H304&lt;&gt;"Ausgabe",N304=""),0,IF(N304="x",-$E304/(COUNTIF($J304:$Q304,"x")+1),-$E304*N(N304)))</f>
        <v/>
      </c>
      <c r="AC304" s="34">
        <f>IF(OR($A304="",$H304&lt;&gt;"Ausgabe",O304=""),0,IF(O304="x",-$E304/(COUNTIF($J304:$Q304,"x")+1),-$E304*N(O304)))</f>
        <v/>
      </c>
      <c r="AD304" s="34">
        <f>IF(OR($A304="",$H304&lt;&gt;"Ausgabe",P304=""),0,IF(P304="x",-$E304/(COUNTIF($J304:$Q304,"x")+1),-$E304*N(P304)))</f>
        <v/>
      </c>
      <c r="AE304" s="34">
        <f>IF(OR($A304="",$H304&lt;&gt;"Ausgabe",Q304=""),0,IF(Q304="x",-$E304/(COUNTIF($J304:$Q304,"x")+1),-$E304*N(Q304)))</f>
        <v/>
      </c>
    </row>
    <row r="305">
      <c r="A305" s="30" t="n"/>
      <c r="E305" s="31" t="n"/>
      <c r="J305" s="32" t="n"/>
      <c r="K305" s="32" t="n"/>
      <c r="L305" s="32" t="n"/>
      <c r="M305" s="32" t="n"/>
      <c r="N305" s="32" t="n"/>
      <c r="O305" s="32" t="n"/>
      <c r="P305" s="32" t="n"/>
      <c r="Q305" s="32" t="n"/>
      <c r="U305" s="31">
        <f>IF($A305="","",SUM(X305:AE305))</f>
        <v/>
      </c>
      <c r="V305" s="31">
        <f>IF($A305="","",IF($H305&lt;&gt;"Ausgabe",0,-$E305-$U305))</f>
        <v/>
      </c>
      <c r="W305" s="33">
        <f>IF($A305="","",DATE(YEAR($A305),MONTH($A305),1))</f>
        <v/>
      </c>
      <c r="X305" s="34">
        <f>IF(OR($A305="",$H305&lt;&gt;"Ausgabe",J305=""),0,IF(J305="x",-$E305/(COUNTIF($J305:$Q305,"x")+1),-$E305*N(J305)))</f>
        <v/>
      </c>
      <c r="Y305" s="34">
        <f>IF(OR($A305="",$H305&lt;&gt;"Ausgabe",K305=""),0,IF(K305="x",-$E305/(COUNTIF($J305:$Q305,"x")+1),-$E305*N(K305)))</f>
        <v/>
      </c>
      <c r="Z305" s="34">
        <f>IF(OR($A305="",$H305&lt;&gt;"Ausgabe",L305=""),0,IF(L305="x",-$E305/(COUNTIF($J305:$Q305,"x")+1),-$E305*N(L305)))</f>
        <v/>
      </c>
      <c r="AA305" s="34">
        <f>IF(OR($A305="",$H305&lt;&gt;"Ausgabe",M305=""),0,IF(M305="x",-$E305/(COUNTIF($J305:$Q305,"x")+1),-$E305*N(M305)))</f>
        <v/>
      </c>
      <c r="AB305" s="34">
        <f>IF(OR($A305="",$H305&lt;&gt;"Ausgabe",N305=""),0,IF(N305="x",-$E305/(COUNTIF($J305:$Q305,"x")+1),-$E305*N(N305)))</f>
        <v/>
      </c>
      <c r="AC305" s="34">
        <f>IF(OR($A305="",$H305&lt;&gt;"Ausgabe",O305=""),0,IF(O305="x",-$E305/(COUNTIF($J305:$Q305,"x")+1),-$E305*N(O305)))</f>
        <v/>
      </c>
      <c r="AD305" s="34">
        <f>IF(OR($A305="",$H305&lt;&gt;"Ausgabe",P305=""),0,IF(P305="x",-$E305/(COUNTIF($J305:$Q305,"x")+1),-$E305*N(P305)))</f>
        <v/>
      </c>
      <c r="AE305" s="34">
        <f>IF(OR($A305="",$H305&lt;&gt;"Ausgabe",Q305=""),0,IF(Q305="x",-$E305/(COUNTIF($J305:$Q305,"x")+1),-$E305*N(Q305)))</f>
        <v/>
      </c>
    </row>
    <row r="306">
      <c r="A306" s="30" t="n"/>
      <c r="E306" s="31" t="n"/>
      <c r="J306" s="32" t="n"/>
      <c r="K306" s="32" t="n"/>
      <c r="L306" s="32" t="n"/>
      <c r="M306" s="32" t="n"/>
      <c r="N306" s="32" t="n"/>
      <c r="O306" s="32" t="n"/>
      <c r="P306" s="32" t="n"/>
      <c r="Q306" s="32" t="n"/>
      <c r="U306" s="31">
        <f>IF($A306="","",SUM(X306:AE306))</f>
        <v/>
      </c>
      <c r="V306" s="31">
        <f>IF($A306="","",IF($H306&lt;&gt;"Ausgabe",0,-$E306-$U306))</f>
        <v/>
      </c>
      <c r="W306" s="33">
        <f>IF($A306="","",DATE(YEAR($A306),MONTH($A306),1))</f>
        <v/>
      </c>
      <c r="X306" s="34">
        <f>IF(OR($A306="",$H306&lt;&gt;"Ausgabe",J306=""),0,IF(J306="x",-$E306/(COUNTIF($J306:$Q306,"x")+1),-$E306*N(J306)))</f>
        <v/>
      </c>
      <c r="Y306" s="34">
        <f>IF(OR($A306="",$H306&lt;&gt;"Ausgabe",K306=""),0,IF(K306="x",-$E306/(COUNTIF($J306:$Q306,"x")+1),-$E306*N(K306)))</f>
        <v/>
      </c>
      <c r="Z306" s="34">
        <f>IF(OR($A306="",$H306&lt;&gt;"Ausgabe",L306=""),0,IF(L306="x",-$E306/(COUNTIF($J306:$Q306,"x")+1),-$E306*N(L306)))</f>
        <v/>
      </c>
      <c r="AA306" s="34">
        <f>IF(OR($A306="",$H306&lt;&gt;"Ausgabe",M306=""),0,IF(M306="x",-$E306/(COUNTIF($J306:$Q306,"x")+1),-$E306*N(M306)))</f>
        <v/>
      </c>
      <c r="AB306" s="34">
        <f>IF(OR($A306="",$H306&lt;&gt;"Ausgabe",N306=""),0,IF(N306="x",-$E306/(COUNTIF($J306:$Q306,"x")+1),-$E306*N(N306)))</f>
        <v/>
      </c>
      <c r="AC306" s="34">
        <f>IF(OR($A306="",$H306&lt;&gt;"Ausgabe",O306=""),0,IF(O306="x",-$E306/(COUNTIF($J306:$Q306,"x")+1),-$E306*N(O306)))</f>
        <v/>
      </c>
      <c r="AD306" s="34">
        <f>IF(OR($A306="",$H306&lt;&gt;"Ausgabe",P306=""),0,IF(P306="x",-$E306/(COUNTIF($J306:$Q306,"x")+1),-$E306*N(P306)))</f>
        <v/>
      </c>
      <c r="AE306" s="34">
        <f>IF(OR($A306="",$H306&lt;&gt;"Ausgabe",Q306=""),0,IF(Q306="x",-$E306/(COUNTIF($J306:$Q306,"x")+1),-$E306*N(Q306)))</f>
        <v/>
      </c>
    </row>
    <row r="307">
      <c r="A307" s="30" t="n"/>
      <c r="E307" s="31" t="n"/>
      <c r="J307" s="32" t="n"/>
      <c r="K307" s="32" t="n"/>
      <c r="L307" s="32" t="n"/>
      <c r="M307" s="32" t="n"/>
      <c r="N307" s="32" t="n"/>
      <c r="O307" s="32" t="n"/>
      <c r="P307" s="32" t="n"/>
      <c r="Q307" s="32" t="n"/>
      <c r="U307" s="31">
        <f>IF($A307="","",SUM(X307:AE307))</f>
        <v/>
      </c>
      <c r="V307" s="31">
        <f>IF($A307="","",IF($H307&lt;&gt;"Ausgabe",0,-$E307-$U307))</f>
        <v/>
      </c>
      <c r="W307" s="33">
        <f>IF($A307="","",DATE(YEAR($A307),MONTH($A307),1))</f>
        <v/>
      </c>
      <c r="X307" s="34">
        <f>IF(OR($A307="",$H307&lt;&gt;"Ausgabe",J307=""),0,IF(J307="x",-$E307/(COUNTIF($J307:$Q307,"x")+1),-$E307*N(J307)))</f>
        <v/>
      </c>
      <c r="Y307" s="34">
        <f>IF(OR($A307="",$H307&lt;&gt;"Ausgabe",K307=""),0,IF(K307="x",-$E307/(COUNTIF($J307:$Q307,"x")+1),-$E307*N(K307)))</f>
        <v/>
      </c>
      <c r="Z307" s="34">
        <f>IF(OR($A307="",$H307&lt;&gt;"Ausgabe",L307=""),0,IF(L307="x",-$E307/(COUNTIF($J307:$Q307,"x")+1),-$E307*N(L307)))</f>
        <v/>
      </c>
      <c r="AA307" s="34">
        <f>IF(OR($A307="",$H307&lt;&gt;"Ausgabe",M307=""),0,IF(M307="x",-$E307/(COUNTIF($J307:$Q307,"x")+1),-$E307*N(M307)))</f>
        <v/>
      </c>
      <c r="AB307" s="34">
        <f>IF(OR($A307="",$H307&lt;&gt;"Ausgabe",N307=""),0,IF(N307="x",-$E307/(COUNTIF($J307:$Q307,"x")+1),-$E307*N(N307)))</f>
        <v/>
      </c>
      <c r="AC307" s="34">
        <f>IF(OR($A307="",$H307&lt;&gt;"Ausgabe",O307=""),0,IF(O307="x",-$E307/(COUNTIF($J307:$Q307,"x")+1),-$E307*N(O307)))</f>
        <v/>
      </c>
      <c r="AD307" s="34">
        <f>IF(OR($A307="",$H307&lt;&gt;"Ausgabe",P307=""),0,IF(P307="x",-$E307/(COUNTIF($J307:$Q307,"x")+1),-$E307*N(P307)))</f>
        <v/>
      </c>
      <c r="AE307" s="34">
        <f>IF(OR($A307="",$H307&lt;&gt;"Ausgabe",Q307=""),0,IF(Q307="x",-$E307/(COUNTIF($J307:$Q307,"x")+1),-$E307*N(Q307)))</f>
        <v/>
      </c>
    </row>
    <row r="308">
      <c r="A308" s="30" t="n"/>
      <c r="E308" s="31" t="n"/>
      <c r="J308" s="32" t="n"/>
      <c r="K308" s="32" t="n"/>
      <c r="L308" s="32" t="n"/>
      <c r="M308" s="32" t="n"/>
      <c r="N308" s="32" t="n"/>
      <c r="O308" s="32" t="n"/>
      <c r="P308" s="32" t="n"/>
      <c r="Q308" s="32" t="n"/>
      <c r="U308" s="31">
        <f>IF($A308="","",SUM(X308:AE308))</f>
        <v/>
      </c>
      <c r="V308" s="31">
        <f>IF($A308="","",IF($H308&lt;&gt;"Ausgabe",0,-$E308-$U308))</f>
        <v/>
      </c>
      <c r="W308" s="33">
        <f>IF($A308="","",DATE(YEAR($A308),MONTH($A308),1))</f>
        <v/>
      </c>
      <c r="X308" s="34">
        <f>IF(OR($A308="",$H308&lt;&gt;"Ausgabe",J308=""),0,IF(J308="x",-$E308/(COUNTIF($J308:$Q308,"x")+1),-$E308*N(J308)))</f>
        <v/>
      </c>
      <c r="Y308" s="34">
        <f>IF(OR($A308="",$H308&lt;&gt;"Ausgabe",K308=""),0,IF(K308="x",-$E308/(COUNTIF($J308:$Q308,"x")+1),-$E308*N(K308)))</f>
        <v/>
      </c>
      <c r="Z308" s="34">
        <f>IF(OR($A308="",$H308&lt;&gt;"Ausgabe",L308=""),0,IF(L308="x",-$E308/(COUNTIF($J308:$Q308,"x")+1),-$E308*N(L308)))</f>
        <v/>
      </c>
      <c r="AA308" s="34">
        <f>IF(OR($A308="",$H308&lt;&gt;"Ausgabe",M308=""),0,IF(M308="x",-$E308/(COUNTIF($J308:$Q308,"x")+1),-$E308*N(M308)))</f>
        <v/>
      </c>
      <c r="AB308" s="34">
        <f>IF(OR($A308="",$H308&lt;&gt;"Ausgabe",N308=""),0,IF(N308="x",-$E308/(COUNTIF($J308:$Q308,"x")+1),-$E308*N(N308)))</f>
        <v/>
      </c>
      <c r="AC308" s="34">
        <f>IF(OR($A308="",$H308&lt;&gt;"Ausgabe",O308=""),0,IF(O308="x",-$E308/(COUNTIF($J308:$Q308,"x")+1),-$E308*N(O308)))</f>
        <v/>
      </c>
      <c r="AD308" s="34">
        <f>IF(OR($A308="",$H308&lt;&gt;"Ausgabe",P308=""),0,IF(P308="x",-$E308/(COUNTIF($J308:$Q308,"x")+1),-$E308*N(P308)))</f>
        <v/>
      </c>
      <c r="AE308" s="34">
        <f>IF(OR($A308="",$H308&lt;&gt;"Ausgabe",Q308=""),0,IF(Q308="x",-$E308/(COUNTIF($J308:$Q308,"x")+1),-$E308*N(Q308)))</f>
        <v/>
      </c>
    </row>
    <row r="309">
      <c r="A309" s="30" t="n"/>
      <c r="E309" s="31" t="n"/>
      <c r="J309" s="32" t="n"/>
      <c r="K309" s="32" t="n"/>
      <c r="L309" s="32" t="n"/>
      <c r="M309" s="32" t="n"/>
      <c r="N309" s="32" t="n"/>
      <c r="O309" s="32" t="n"/>
      <c r="P309" s="32" t="n"/>
      <c r="Q309" s="32" t="n"/>
      <c r="U309" s="31">
        <f>IF($A309="","",SUM(X309:AE309))</f>
        <v/>
      </c>
      <c r="V309" s="31">
        <f>IF($A309="","",IF($H309&lt;&gt;"Ausgabe",0,-$E309-$U309))</f>
        <v/>
      </c>
      <c r="W309" s="33">
        <f>IF($A309="","",DATE(YEAR($A309),MONTH($A309),1))</f>
        <v/>
      </c>
      <c r="X309" s="34">
        <f>IF(OR($A309="",$H309&lt;&gt;"Ausgabe",J309=""),0,IF(J309="x",-$E309/(COUNTIF($J309:$Q309,"x")+1),-$E309*N(J309)))</f>
        <v/>
      </c>
      <c r="Y309" s="34">
        <f>IF(OR($A309="",$H309&lt;&gt;"Ausgabe",K309=""),0,IF(K309="x",-$E309/(COUNTIF($J309:$Q309,"x")+1),-$E309*N(K309)))</f>
        <v/>
      </c>
      <c r="Z309" s="34">
        <f>IF(OR($A309="",$H309&lt;&gt;"Ausgabe",L309=""),0,IF(L309="x",-$E309/(COUNTIF($J309:$Q309,"x")+1),-$E309*N(L309)))</f>
        <v/>
      </c>
      <c r="AA309" s="34">
        <f>IF(OR($A309="",$H309&lt;&gt;"Ausgabe",M309=""),0,IF(M309="x",-$E309/(COUNTIF($J309:$Q309,"x")+1),-$E309*N(M309)))</f>
        <v/>
      </c>
      <c r="AB309" s="34">
        <f>IF(OR($A309="",$H309&lt;&gt;"Ausgabe",N309=""),0,IF(N309="x",-$E309/(COUNTIF($J309:$Q309,"x")+1),-$E309*N(N309)))</f>
        <v/>
      </c>
      <c r="AC309" s="34">
        <f>IF(OR($A309="",$H309&lt;&gt;"Ausgabe",O309=""),0,IF(O309="x",-$E309/(COUNTIF($J309:$Q309,"x")+1),-$E309*N(O309)))</f>
        <v/>
      </c>
      <c r="AD309" s="34">
        <f>IF(OR($A309="",$H309&lt;&gt;"Ausgabe",P309=""),0,IF(P309="x",-$E309/(COUNTIF($J309:$Q309,"x")+1),-$E309*N(P309)))</f>
        <v/>
      </c>
      <c r="AE309" s="34">
        <f>IF(OR($A309="",$H309&lt;&gt;"Ausgabe",Q309=""),0,IF(Q309="x",-$E309/(COUNTIF($J309:$Q309,"x")+1),-$E309*N(Q309)))</f>
        <v/>
      </c>
    </row>
    <row r="310">
      <c r="A310" s="30" t="n"/>
      <c r="E310" s="31" t="n"/>
      <c r="J310" s="32" t="n"/>
      <c r="K310" s="32" t="n"/>
      <c r="L310" s="32" t="n"/>
      <c r="M310" s="32" t="n"/>
      <c r="N310" s="32" t="n"/>
      <c r="O310" s="32" t="n"/>
      <c r="P310" s="32" t="n"/>
      <c r="Q310" s="32" t="n"/>
      <c r="U310" s="31">
        <f>IF($A310="","",SUM(X310:AE310))</f>
        <v/>
      </c>
      <c r="V310" s="31">
        <f>IF($A310="","",IF($H310&lt;&gt;"Ausgabe",0,-$E310-$U310))</f>
        <v/>
      </c>
      <c r="W310" s="33">
        <f>IF($A310="","",DATE(YEAR($A310),MONTH($A310),1))</f>
        <v/>
      </c>
      <c r="X310" s="34">
        <f>IF(OR($A310="",$H310&lt;&gt;"Ausgabe",J310=""),0,IF(J310="x",-$E310/(COUNTIF($J310:$Q310,"x")+1),-$E310*N(J310)))</f>
        <v/>
      </c>
      <c r="Y310" s="34">
        <f>IF(OR($A310="",$H310&lt;&gt;"Ausgabe",K310=""),0,IF(K310="x",-$E310/(COUNTIF($J310:$Q310,"x")+1),-$E310*N(K310)))</f>
        <v/>
      </c>
      <c r="Z310" s="34">
        <f>IF(OR($A310="",$H310&lt;&gt;"Ausgabe",L310=""),0,IF(L310="x",-$E310/(COUNTIF($J310:$Q310,"x")+1),-$E310*N(L310)))</f>
        <v/>
      </c>
      <c r="AA310" s="34">
        <f>IF(OR($A310="",$H310&lt;&gt;"Ausgabe",M310=""),0,IF(M310="x",-$E310/(COUNTIF($J310:$Q310,"x")+1),-$E310*N(M310)))</f>
        <v/>
      </c>
      <c r="AB310" s="34">
        <f>IF(OR($A310="",$H310&lt;&gt;"Ausgabe",N310=""),0,IF(N310="x",-$E310/(COUNTIF($J310:$Q310,"x")+1),-$E310*N(N310)))</f>
        <v/>
      </c>
      <c r="AC310" s="34">
        <f>IF(OR($A310="",$H310&lt;&gt;"Ausgabe",O310=""),0,IF(O310="x",-$E310/(COUNTIF($J310:$Q310,"x")+1),-$E310*N(O310)))</f>
        <v/>
      </c>
      <c r="AD310" s="34">
        <f>IF(OR($A310="",$H310&lt;&gt;"Ausgabe",P310=""),0,IF(P310="x",-$E310/(COUNTIF($J310:$Q310,"x")+1),-$E310*N(P310)))</f>
        <v/>
      </c>
      <c r="AE310" s="34">
        <f>IF(OR($A310="",$H310&lt;&gt;"Ausgabe",Q310=""),0,IF(Q310="x",-$E310/(COUNTIF($J310:$Q310,"x")+1),-$E310*N(Q310)))</f>
        <v/>
      </c>
    </row>
    <row r="311">
      <c r="A311" s="30" t="n"/>
      <c r="E311" s="31" t="n"/>
      <c r="J311" s="32" t="n"/>
      <c r="K311" s="32" t="n"/>
      <c r="L311" s="32" t="n"/>
      <c r="M311" s="32" t="n"/>
      <c r="N311" s="32" t="n"/>
      <c r="O311" s="32" t="n"/>
      <c r="P311" s="32" t="n"/>
      <c r="Q311" s="32" t="n"/>
      <c r="U311" s="31">
        <f>IF($A311="","",SUM(X311:AE311))</f>
        <v/>
      </c>
      <c r="V311" s="31">
        <f>IF($A311="","",IF($H311&lt;&gt;"Ausgabe",0,-$E311-$U311))</f>
        <v/>
      </c>
      <c r="W311" s="33">
        <f>IF($A311="","",DATE(YEAR($A311),MONTH($A311),1))</f>
        <v/>
      </c>
      <c r="X311" s="34">
        <f>IF(OR($A311="",$H311&lt;&gt;"Ausgabe",J311=""),0,IF(J311="x",-$E311/(COUNTIF($J311:$Q311,"x")+1),-$E311*N(J311)))</f>
        <v/>
      </c>
      <c r="Y311" s="34">
        <f>IF(OR($A311="",$H311&lt;&gt;"Ausgabe",K311=""),0,IF(K311="x",-$E311/(COUNTIF($J311:$Q311,"x")+1),-$E311*N(K311)))</f>
        <v/>
      </c>
      <c r="Z311" s="34">
        <f>IF(OR($A311="",$H311&lt;&gt;"Ausgabe",L311=""),0,IF(L311="x",-$E311/(COUNTIF($J311:$Q311,"x")+1),-$E311*N(L311)))</f>
        <v/>
      </c>
      <c r="AA311" s="34">
        <f>IF(OR($A311="",$H311&lt;&gt;"Ausgabe",M311=""),0,IF(M311="x",-$E311/(COUNTIF($J311:$Q311,"x")+1),-$E311*N(M311)))</f>
        <v/>
      </c>
      <c r="AB311" s="34">
        <f>IF(OR($A311="",$H311&lt;&gt;"Ausgabe",N311=""),0,IF(N311="x",-$E311/(COUNTIF($J311:$Q311,"x")+1),-$E311*N(N311)))</f>
        <v/>
      </c>
      <c r="AC311" s="34">
        <f>IF(OR($A311="",$H311&lt;&gt;"Ausgabe",O311=""),0,IF(O311="x",-$E311/(COUNTIF($J311:$Q311,"x")+1),-$E311*N(O311)))</f>
        <v/>
      </c>
      <c r="AD311" s="34">
        <f>IF(OR($A311="",$H311&lt;&gt;"Ausgabe",P311=""),0,IF(P311="x",-$E311/(COUNTIF($J311:$Q311,"x")+1),-$E311*N(P311)))</f>
        <v/>
      </c>
      <c r="AE311" s="34">
        <f>IF(OR($A311="",$H311&lt;&gt;"Ausgabe",Q311=""),0,IF(Q311="x",-$E311/(COUNTIF($J311:$Q311,"x")+1),-$E311*N(Q311)))</f>
        <v/>
      </c>
    </row>
    <row r="312">
      <c r="A312" s="30" t="n"/>
      <c r="E312" s="31" t="n"/>
      <c r="J312" s="32" t="n"/>
      <c r="K312" s="32" t="n"/>
      <c r="L312" s="32" t="n"/>
      <c r="M312" s="32" t="n"/>
      <c r="N312" s="32" t="n"/>
      <c r="O312" s="32" t="n"/>
      <c r="P312" s="32" t="n"/>
      <c r="Q312" s="32" t="n"/>
      <c r="U312" s="31">
        <f>IF($A312="","",SUM(X312:AE312))</f>
        <v/>
      </c>
      <c r="V312" s="31">
        <f>IF($A312="","",IF($H312&lt;&gt;"Ausgabe",0,-$E312-$U312))</f>
        <v/>
      </c>
      <c r="W312" s="33">
        <f>IF($A312="","",DATE(YEAR($A312),MONTH($A312),1))</f>
        <v/>
      </c>
      <c r="X312" s="34">
        <f>IF(OR($A312="",$H312&lt;&gt;"Ausgabe",J312=""),0,IF(J312="x",-$E312/(COUNTIF($J312:$Q312,"x")+1),-$E312*N(J312)))</f>
        <v/>
      </c>
      <c r="Y312" s="34">
        <f>IF(OR($A312="",$H312&lt;&gt;"Ausgabe",K312=""),0,IF(K312="x",-$E312/(COUNTIF($J312:$Q312,"x")+1),-$E312*N(K312)))</f>
        <v/>
      </c>
      <c r="Z312" s="34">
        <f>IF(OR($A312="",$H312&lt;&gt;"Ausgabe",L312=""),0,IF(L312="x",-$E312/(COUNTIF($J312:$Q312,"x")+1),-$E312*N(L312)))</f>
        <v/>
      </c>
      <c r="AA312" s="34">
        <f>IF(OR($A312="",$H312&lt;&gt;"Ausgabe",M312=""),0,IF(M312="x",-$E312/(COUNTIF($J312:$Q312,"x")+1),-$E312*N(M312)))</f>
        <v/>
      </c>
      <c r="AB312" s="34">
        <f>IF(OR($A312="",$H312&lt;&gt;"Ausgabe",N312=""),0,IF(N312="x",-$E312/(COUNTIF($J312:$Q312,"x")+1),-$E312*N(N312)))</f>
        <v/>
      </c>
      <c r="AC312" s="34">
        <f>IF(OR($A312="",$H312&lt;&gt;"Ausgabe",O312=""),0,IF(O312="x",-$E312/(COUNTIF($J312:$Q312,"x")+1),-$E312*N(O312)))</f>
        <v/>
      </c>
      <c r="AD312" s="34">
        <f>IF(OR($A312="",$H312&lt;&gt;"Ausgabe",P312=""),0,IF(P312="x",-$E312/(COUNTIF($J312:$Q312,"x")+1),-$E312*N(P312)))</f>
        <v/>
      </c>
      <c r="AE312" s="34">
        <f>IF(OR($A312="",$H312&lt;&gt;"Ausgabe",Q312=""),0,IF(Q312="x",-$E312/(COUNTIF($J312:$Q312,"x")+1),-$E312*N(Q312)))</f>
        <v/>
      </c>
    </row>
    <row r="313">
      <c r="A313" s="30" t="n"/>
      <c r="E313" s="31" t="n"/>
      <c r="J313" s="32" t="n"/>
      <c r="K313" s="32" t="n"/>
      <c r="L313" s="32" t="n"/>
      <c r="M313" s="32" t="n"/>
      <c r="N313" s="32" t="n"/>
      <c r="O313" s="32" t="n"/>
      <c r="P313" s="32" t="n"/>
      <c r="Q313" s="32" t="n"/>
      <c r="U313" s="31">
        <f>IF($A313="","",SUM(X313:AE313))</f>
        <v/>
      </c>
      <c r="V313" s="31">
        <f>IF($A313="","",IF($H313&lt;&gt;"Ausgabe",0,-$E313-$U313))</f>
        <v/>
      </c>
      <c r="W313" s="33">
        <f>IF($A313="","",DATE(YEAR($A313),MONTH($A313),1))</f>
        <v/>
      </c>
      <c r="X313" s="34">
        <f>IF(OR($A313="",$H313&lt;&gt;"Ausgabe",J313=""),0,IF(J313="x",-$E313/(COUNTIF($J313:$Q313,"x")+1),-$E313*N(J313)))</f>
        <v/>
      </c>
      <c r="Y313" s="34">
        <f>IF(OR($A313="",$H313&lt;&gt;"Ausgabe",K313=""),0,IF(K313="x",-$E313/(COUNTIF($J313:$Q313,"x")+1),-$E313*N(K313)))</f>
        <v/>
      </c>
      <c r="Z313" s="34">
        <f>IF(OR($A313="",$H313&lt;&gt;"Ausgabe",L313=""),0,IF(L313="x",-$E313/(COUNTIF($J313:$Q313,"x")+1),-$E313*N(L313)))</f>
        <v/>
      </c>
      <c r="AA313" s="34">
        <f>IF(OR($A313="",$H313&lt;&gt;"Ausgabe",M313=""),0,IF(M313="x",-$E313/(COUNTIF($J313:$Q313,"x")+1),-$E313*N(M313)))</f>
        <v/>
      </c>
      <c r="AB313" s="34">
        <f>IF(OR($A313="",$H313&lt;&gt;"Ausgabe",N313=""),0,IF(N313="x",-$E313/(COUNTIF($J313:$Q313,"x")+1),-$E313*N(N313)))</f>
        <v/>
      </c>
      <c r="AC313" s="34">
        <f>IF(OR($A313="",$H313&lt;&gt;"Ausgabe",O313=""),0,IF(O313="x",-$E313/(COUNTIF($J313:$Q313,"x")+1),-$E313*N(O313)))</f>
        <v/>
      </c>
      <c r="AD313" s="34">
        <f>IF(OR($A313="",$H313&lt;&gt;"Ausgabe",P313=""),0,IF(P313="x",-$E313/(COUNTIF($J313:$Q313,"x")+1),-$E313*N(P313)))</f>
        <v/>
      </c>
      <c r="AE313" s="34">
        <f>IF(OR($A313="",$H313&lt;&gt;"Ausgabe",Q313=""),0,IF(Q313="x",-$E313/(COUNTIF($J313:$Q313,"x")+1),-$E313*N(Q313)))</f>
        <v/>
      </c>
    </row>
    <row r="314">
      <c r="A314" s="30" t="n"/>
      <c r="E314" s="31" t="n"/>
      <c r="J314" s="32" t="n"/>
      <c r="K314" s="32" t="n"/>
      <c r="L314" s="32" t="n"/>
      <c r="M314" s="32" t="n"/>
      <c r="N314" s="32" t="n"/>
      <c r="O314" s="32" t="n"/>
      <c r="P314" s="32" t="n"/>
      <c r="Q314" s="32" t="n"/>
      <c r="U314" s="31">
        <f>IF($A314="","",SUM(X314:AE314))</f>
        <v/>
      </c>
      <c r="V314" s="31">
        <f>IF($A314="","",IF($H314&lt;&gt;"Ausgabe",0,-$E314-$U314))</f>
        <v/>
      </c>
      <c r="W314" s="33">
        <f>IF($A314="","",DATE(YEAR($A314),MONTH($A314),1))</f>
        <v/>
      </c>
      <c r="X314" s="34">
        <f>IF(OR($A314="",$H314&lt;&gt;"Ausgabe",J314=""),0,IF(J314="x",-$E314/(COUNTIF($J314:$Q314,"x")+1),-$E314*N(J314)))</f>
        <v/>
      </c>
      <c r="Y314" s="34">
        <f>IF(OR($A314="",$H314&lt;&gt;"Ausgabe",K314=""),0,IF(K314="x",-$E314/(COUNTIF($J314:$Q314,"x")+1),-$E314*N(K314)))</f>
        <v/>
      </c>
      <c r="Z314" s="34">
        <f>IF(OR($A314="",$H314&lt;&gt;"Ausgabe",L314=""),0,IF(L314="x",-$E314/(COUNTIF($J314:$Q314,"x")+1),-$E314*N(L314)))</f>
        <v/>
      </c>
      <c r="AA314" s="34">
        <f>IF(OR($A314="",$H314&lt;&gt;"Ausgabe",M314=""),0,IF(M314="x",-$E314/(COUNTIF($J314:$Q314,"x")+1),-$E314*N(M314)))</f>
        <v/>
      </c>
      <c r="AB314" s="34">
        <f>IF(OR($A314="",$H314&lt;&gt;"Ausgabe",N314=""),0,IF(N314="x",-$E314/(COUNTIF($J314:$Q314,"x")+1),-$E314*N(N314)))</f>
        <v/>
      </c>
      <c r="AC314" s="34">
        <f>IF(OR($A314="",$H314&lt;&gt;"Ausgabe",O314=""),0,IF(O314="x",-$E314/(COUNTIF($J314:$Q314,"x")+1),-$E314*N(O314)))</f>
        <v/>
      </c>
      <c r="AD314" s="34">
        <f>IF(OR($A314="",$H314&lt;&gt;"Ausgabe",P314=""),0,IF(P314="x",-$E314/(COUNTIF($J314:$Q314,"x")+1),-$E314*N(P314)))</f>
        <v/>
      </c>
      <c r="AE314" s="34">
        <f>IF(OR($A314="",$H314&lt;&gt;"Ausgabe",Q314=""),0,IF(Q314="x",-$E314/(COUNTIF($J314:$Q314,"x")+1),-$E314*N(Q314)))</f>
        <v/>
      </c>
    </row>
    <row r="315">
      <c r="A315" s="30" t="n"/>
      <c r="E315" s="31" t="n"/>
      <c r="J315" s="32" t="n"/>
      <c r="K315" s="32" t="n"/>
      <c r="L315" s="32" t="n"/>
      <c r="M315" s="32" t="n"/>
      <c r="N315" s="32" t="n"/>
      <c r="O315" s="32" t="n"/>
      <c r="P315" s="32" t="n"/>
      <c r="Q315" s="32" t="n"/>
      <c r="U315" s="31">
        <f>IF($A315="","",SUM(X315:AE315))</f>
        <v/>
      </c>
      <c r="V315" s="31">
        <f>IF($A315="","",IF($H315&lt;&gt;"Ausgabe",0,-$E315-$U315))</f>
        <v/>
      </c>
      <c r="W315" s="33">
        <f>IF($A315="","",DATE(YEAR($A315),MONTH($A315),1))</f>
        <v/>
      </c>
      <c r="X315" s="34">
        <f>IF(OR($A315="",$H315&lt;&gt;"Ausgabe",J315=""),0,IF(J315="x",-$E315/(COUNTIF($J315:$Q315,"x")+1),-$E315*N(J315)))</f>
        <v/>
      </c>
      <c r="Y315" s="34">
        <f>IF(OR($A315="",$H315&lt;&gt;"Ausgabe",K315=""),0,IF(K315="x",-$E315/(COUNTIF($J315:$Q315,"x")+1),-$E315*N(K315)))</f>
        <v/>
      </c>
      <c r="Z315" s="34">
        <f>IF(OR($A315="",$H315&lt;&gt;"Ausgabe",L315=""),0,IF(L315="x",-$E315/(COUNTIF($J315:$Q315,"x")+1),-$E315*N(L315)))</f>
        <v/>
      </c>
      <c r="AA315" s="34">
        <f>IF(OR($A315="",$H315&lt;&gt;"Ausgabe",M315=""),0,IF(M315="x",-$E315/(COUNTIF($J315:$Q315,"x")+1),-$E315*N(M315)))</f>
        <v/>
      </c>
      <c r="AB315" s="34">
        <f>IF(OR($A315="",$H315&lt;&gt;"Ausgabe",N315=""),0,IF(N315="x",-$E315/(COUNTIF($J315:$Q315,"x")+1),-$E315*N(N315)))</f>
        <v/>
      </c>
      <c r="AC315" s="34">
        <f>IF(OR($A315="",$H315&lt;&gt;"Ausgabe",O315=""),0,IF(O315="x",-$E315/(COUNTIF($J315:$Q315,"x")+1),-$E315*N(O315)))</f>
        <v/>
      </c>
      <c r="AD315" s="34">
        <f>IF(OR($A315="",$H315&lt;&gt;"Ausgabe",P315=""),0,IF(P315="x",-$E315/(COUNTIF($J315:$Q315,"x")+1),-$E315*N(P315)))</f>
        <v/>
      </c>
      <c r="AE315" s="34">
        <f>IF(OR($A315="",$H315&lt;&gt;"Ausgabe",Q315=""),0,IF(Q315="x",-$E315/(COUNTIF($J315:$Q315,"x")+1),-$E315*N(Q315)))</f>
        <v/>
      </c>
    </row>
    <row r="316">
      <c r="A316" s="30" t="n"/>
      <c r="E316" s="31" t="n"/>
      <c r="J316" s="32" t="n"/>
      <c r="K316" s="32" t="n"/>
      <c r="L316" s="32" t="n"/>
      <c r="M316" s="32" t="n"/>
      <c r="N316" s="32" t="n"/>
      <c r="O316" s="32" t="n"/>
      <c r="P316" s="32" t="n"/>
      <c r="Q316" s="32" t="n"/>
      <c r="U316" s="31">
        <f>IF($A316="","",SUM(X316:AE316))</f>
        <v/>
      </c>
      <c r="V316" s="31">
        <f>IF($A316="","",IF($H316&lt;&gt;"Ausgabe",0,-$E316-$U316))</f>
        <v/>
      </c>
      <c r="W316" s="33">
        <f>IF($A316="","",DATE(YEAR($A316),MONTH($A316),1))</f>
        <v/>
      </c>
      <c r="X316" s="34">
        <f>IF(OR($A316="",$H316&lt;&gt;"Ausgabe",J316=""),0,IF(J316="x",-$E316/(COUNTIF($J316:$Q316,"x")+1),-$E316*N(J316)))</f>
        <v/>
      </c>
      <c r="Y316" s="34">
        <f>IF(OR($A316="",$H316&lt;&gt;"Ausgabe",K316=""),0,IF(K316="x",-$E316/(COUNTIF($J316:$Q316,"x")+1),-$E316*N(K316)))</f>
        <v/>
      </c>
      <c r="Z316" s="34">
        <f>IF(OR($A316="",$H316&lt;&gt;"Ausgabe",L316=""),0,IF(L316="x",-$E316/(COUNTIF($J316:$Q316,"x")+1),-$E316*N(L316)))</f>
        <v/>
      </c>
      <c r="AA316" s="34">
        <f>IF(OR($A316="",$H316&lt;&gt;"Ausgabe",M316=""),0,IF(M316="x",-$E316/(COUNTIF($J316:$Q316,"x")+1),-$E316*N(M316)))</f>
        <v/>
      </c>
      <c r="AB316" s="34">
        <f>IF(OR($A316="",$H316&lt;&gt;"Ausgabe",N316=""),0,IF(N316="x",-$E316/(COUNTIF($J316:$Q316,"x")+1),-$E316*N(N316)))</f>
        <v/>
      </c>
      <c r="AC316" s="34">
        <f>IF(OR($A316="",$H316&lt;&gt;"Ausgabe",O316=""),0,IF(O316="x",-$E316/(COUNTIF($J316:$Q316,"x")+1),-$E316*N(O316)))</f>
        <v/>
      </c>
      <c r="AD316" s="34">
        <f>IF(OR($A316="",$H316&lt;&gt;"Ausgabe",P316=""),0,IF(P316="x",-$E316/(COUNTIF($J316:$Q316,"x")+1),-$E316*N(P316)))</f>
        <v/>
      </c>
      <c r="AE316" s="34">
        <f>IF(OR($A316="",$H316&lt;&gt;"Ausgabe",Q316=""),0,IF(Q316="x",-$E316/(COUNTIF($J316:$Q316,"x")+1),-$E316*N(Q316)))</f>
        <v/>
      </c>
    </row>
    <row r="317">
      <c r="A317" s="30" t="n"/>
      <c r="E317" s="31" t="n"/>
      <c r="J317" s="32" t="n"/>
      <c r="K317" s="32" t="n"/>
      <c r="L317" s="32" t="n"/>
      <c r="M317" s="32" t="n"/>
      <c r="N317" s="32" t="n"/>
      <c r="O317" s="32" t="n"/>
      <c r="P317" s="32" t="n"/>
      <c r="Q317" s="32" t="n"/>
      <c r="U317" s="31">
        <f>IF($A317="","",SUM(X317:AE317))</f>
        <v/>
      </c>
      <c r="V317" s="31">
        <f>IF($A317="","",IF($H317&lt;&gt;"Ausgabe",0,-$E317-$U317))</f>
        <v/>
      </c>
      <c r="W317" s="33">
        <f>IF($A317="","",DATE(YEAR($A317),MONTH($A317),1))</f>
        <v/>
      </c>
      <c r="X317" s="34">
        <f>IF(OR($A317="",$H317&lt;&gt;"Ausgabe",J317=""),0,IF(J317="x",-$E317/(COUNTIF($J317:$Q317,"x")+1),-$E317*N(J317)))</f>
        <v/>
      </c>
      <c r="Y317" s="34">
        <f>IF(OR($A317="",$H317&lt;&gt;"Ausgabe",K317=""),0,IF(K317="x",-$E317/(COUNTIF($J317:$Q317,"x")+1),-$E317*N(K317)))</f>
        <v/>
      </c>
      <c r="Z317" s="34">
        <f>IF(OR($A317="",$H317&lt;&gt;"Ausgabe",L317=""),0,IF(L317="x",-$E317/(COUNTIF($J317:$Q317,"x")+1),-$E317*N(L317)))</f>
        <v/>
      </c>
      <c r="AA317" s="34">
        <f>IF(OR($A317="",$H317&lt;&gt;"Ausgabe",M317=""),0,IF(M317="x",-$E317/(COUNTIF($J317:$Q317,"x")+1),-$E317*N(M317)))</f>
        <v/>
      </c>
      <c r="AB317" s="34">
        <f>IF(OR($A317="",$H317&lt;&gt;"Ausgabe",N317=""),0,IF(N317="x",-$E317/(COUNTIF($J317:$Q317,"x")+1),-$E317*N(N317)))</f>
        <v/>
      </c>
      <c r="AC317" s="34">
        <f>IF(OR($A317="",$H317&lt;&gt;"Ausgabe",O317=""),0,IF(O317="x",-$E317/(COUNTIF($J317:$Q317,"x")+1),-$E317*N(O317)))</f>
        <v/>
      </c>
      <c r="AD317" s="34">
        <f>IF(OR($A317="",$H317&lt;&gt;"Ausgabe",P317=""),0,IF(P317="x",-$E317/(COUNTIF($J317:$Q317,"x")+1),-$E317*N(P317)))</f>
        <v/>
      </c>
      <c r="AE317" s="34">
        <f>IF(OR($A317="",$H317&lt;&gt;"Ausgabe",Q317=""),0,IF(Q317="x",-$E317/(COUNTIF($J317:$Q317,"x")+1),-$E317*N(Q317)))</f>
        <v/>
      </c>
    </row>
    <row r="318">
      <c r="A318" s="30" t="n"/>
      <c r="E318" s="31" t="n"/>
      <c r="J318" s="32" t="n"/>
      <c r="K318" s="32" t="n"/>
      <c r="L318" s="32" t="n"/>
      <c r="M318" s="32" t="n"/>
      <c r="N318" s="32" t="n"/>
      <c r="O318" s="32" t="n"/>
      <c r="P318" s="32" t="n"/>
      <c r="Q318" s="32" t="n"/>
      <c r="U318" s="31">
        <f>IF($A318="","",SUM(X318:AE318))</f>
        <v/>
      </c>
      <c r="V318" s="31">
        <f>IF($A318="","",IF($H318&lt;&gt;"Ausgabe",0,-$E318-$U318))</f>
        <v/>
      </c>
      <c r="W318" s="33">
        <f>IF($A318="","",DATE(YEAR($A318),MONTH($A318),1))</f>
        <v/>
      </c>
      <c r="X318" s="34">
        <f>IF(OR($A318="",$H318&lt;&gt;"Ausgabe",J318=""),0,IF(J318="x",-$E318/(COUNTIF($J318:$Q318,"x")+1),-$E318*N(J318)))</f>
        <v/>
      </c>
      <c r="Y318" s="34">
        <f>IF(OR($A318="",$H318&lt;&gt;"Ausgabe",K318=""),0,IF(K318="x",-$E318/(COUNTIF($J318:$Q318,"x")+1),-$E318*N(K318)))</f>
        <v/>
      </c>
      <c r="Z318" s="34">
        <f>IF(OR($A318="",$H318&lt;&gt;"Ausgabe",L318=""),0,IF(L318="x",-$E318/(COUNTIF($J318:$Q318,"x")+1),-$E318*N(L318)))</f>
        <v/>
      </c>
      <c r="AA318" s="34">
        <f>IF(OR($A318="",$H318&lt;&gt;"Ausgabe",M318=""),0,IF(M318="x",-$E318/(COUNTIF($J318:$Q318,"x")+1),-$E318*N(M318)))</f>
        <v/>
      </c>
      <c r="AB318" s="34">
        <f>IF(OR($A318="",$H318&lt;&gt;"Ausgabe",N318=""),0,IF(N318="x",-$E318/(COUNTIF($J318:$Q318,"x")+1),-$E318*N(N318)))</f>
        <v/>
      </c>
      <c r="AC318" s="34">
        <f>IF(OR($A318="",$H318&lt;&gt;"Ausgabe",O318=""),0,IF(O318="x",-$E318/(COUNTIF($J318:$Q318,"x")+1),-$E318*N(O318)))</f>
        <v/>
      </c>
      <c r="AD318" s="34">
        <f>IF(OR($A318="",$H318&lt;&gt;"Ausgabe",P318=""),0,IF(P318="x",-$E318/(COUNTIF($J318:$Q318,"x")+1),-$E318*N(P318)))</f>
        <v/>
      </c>
      <c r="AE318" s="34">
        <f>IF(OR($A318="",$H318&lt;&gt;"Ausgabe",Q318=""),0,IF(Q318="x",-$E318/(COUNTIF($J318:$Q318,"x")+1),-$E318*N(Q318)))</f>
        <v/>
      </c>
    </row>
    <row r="319">
      <c r="A319" s="30" t="n"/>
      <c r="E319" s="31" t="n"/>
      <c r="J319" s="32" t="n"/>
      <c r="K319" s="32" t="n"/>
      <c r="L319" s="32" t="n"/>
      <c r="M319" s="32" t="n"/>
      <c r="N319" s="32" t="n"/>
      <c r="O319" s="32" t="n"/>
      <c r="P319" s="32" t="n"/>
      <c r="Q319" s="32" t="n"/>
      <c r="U319" s="31">
        <f>IF($A319="","",SUM(X319:AE319))</f>
        <v/>
      </c>
      <c r="V319" s="31">
        <f>IF($A319="","",IF($H319&lt;&gt;"Ausgabe",0,-$E319-$U319))</f>
        <v/>
      </c>
      <c r="W319" s="33">
        <f>IF($A319="","",DATE(YEAR($A319),MONTH($A319),1))</f>
        <v/>
      </c>
      <c r="X319" s="34">
        <f>IF(OR($A319="",$H319&lt;&gt;"Ausgabe",J319=""),0,IF(J319="x",-$E319/(COUNTIF($J319:$Q319,"x")+1),-$E319*N(J319)))</f>
        <v/>
      </c>
      <c r="Y319" s="34">
        <f>IF(OR($A319="",$H319&lt;&gt;"Ausgabe",K319=""),0,IF(K319="x",-$E319/(COUNTIF($J319:$Q319,"x")+1),-$E319*N(K319)))</f>
        <v/>
      </c>
      <c r="Z319" s="34">
        <f>IF(OR($A319="",$H319&lt;&gt;"Ausgabe",L319=""),0,IF(L319="x",-$E319/(COUNTIF($J319:$Q319,"x")+1),-$E319*N(L319)))</f>
        <v/>
      </c>
      <c r="AA319" s="34">
        <f>IF(OR($A319="",$H319&lt;&gt;"Ausgabe",M319=""),0,IF(M319="x",-$E319/(COUNTIF($J319:$Q319,"x")+1),-$E319*N(M319)))</f>
        <v/>
      </c>
      <c r="AB319" s="34">
        <f>IF(OR($A319="",$H319&lt;&gt;"Ausgabe",N319=""),0,IF(N319="x",-$E319/(COUNTIF($J319:$Q319,"x")+1),-$E319*N(N319)))</f>
        <v/>
      </c>
      <c r="AC319" s="34">
        <f>IF(OR($A319="",$H319&lt;&gt;"Ausgabe",O319=""),0,IF(O319="x",-$E319/(COUNTIF($J319:$Q319,"x")+1),-$E319*N(O319)))</f>
        <v/>
      </c>
      <c r="AD319" s="34">
        <f>IF(OR($A319="",$H319&lt;&gt;"Ausgabe",P319=""),0,IF(P319="x",-$E319/(COUNTIF($J319:$Q319,"x")+1),-$E319*N(P319)))</f>
        <v/>
      </c>
      <c r="AE319" s="34">
        <f>IF(OR($A319="",$H319&lt;&gt;"Ausgabe",Q319=""),0,IF(Q319="x",-$E319/(COUNTIF($J319:$Q319,"x")+1),-$E319*N(Q319)))</f>
        <v/>
      </c>
    </row>
    <row r="320">
      <c r="A320" s="30" t="n"/>
      <c r="E320" s="31" t="n"/>
      <c r="J320" s="32" t="n"/>
      <c r="K320" s="32" t="n"/>
      <c r="L320" s="32" t="n"/>
      <c r="M320" s="32" t="n"/>
      <c r="N320" s="32" t="n"/>
      <c r="O320" s="32" t="n"/>
      <c r="P320" s="32" t="n"/>
      <c r="Q320" s="32" t="n"/>
      <c r="U320" s="31">
        <f>IF($A320="","",SUM(X320:AE320))</f>
        <v/>
      </c>
      <c r="V320" s="31">
        <f>IF($A320="","",IF($H320&lt;&gt;"Ausgabe",0,-$E320-$U320))</f>
        <v/>
      </c>
      <c r="W320" s="33">
        <f>IF($A320="","",DATE(YEAR($A320),MONTH($A320),1))</f>
        <v/>
      </c>
      <c r="X320" s="34">
        <f>IF(OR($A320="",$H320&lt;&gt;"Ausgabe",J320=""),0,IF(J320="x",-$E320/(COUNTIF($J320:$Q320,"x")+1),-$E320*N(J320)))</f>
        <v/>
      </c>
      <c r="Y320" s="34">
        <f>IF(OR($A320="",$H320&lt;&gt;"Ausgabe",K320=""),0,IF(K320="x",-$E320/(COUNTIF($J320:$Q320,"x")+1),-$E320*N(K320)))</f>
        <v/>
      </c>
      <c r="Z320" s="34">
        <f>IF(OR($A320="",$H320&lt;&gt;"Ausgabe",L320=""),0,IF(L320="x",-$E320/(COUNTIF($J320:$Q320,"x")+1),-$E320*N(L320)))</f>
        <v/>
      </c>
      <c r="AA320" s="34">
        <f>IF(OR($A320="",$H320&lt;&gt;"Ausgabe",M320=""),0,IF(M320="x",-$E320/(COUNTIF($J320:$Q320,"x")+1),-$E320*N(M320)))</f>
        <v/>
      </c>
      <c r="AB320" s="34">
        <f>IF(OR($A320="",$H320&lt;&gt;"Ausgabe",N320=""),0,IF(N320="x",-$E320/(COUNTIF($J320:$Q320,"x")+1),-$E320*N(N320)))</f>
        <v/>
      </c>
      <c r="AC320" s="34">
        <f>IF(OR($A320="",$H320&lt;&gt;"Ausgabe",O320=""),0,IF(O320="x",-$E320/(COUNTIF($J320:$Q320,"x")+1),-$E320*N(O320)))</f>
        <v/>
      </c>
      <c r="AD320" s="34">
        <f>IF(OR($A320="",$H320&lt;&gt;"Ausgabe",P320=""),0,IF(P320="x",-$E320/(COUNTIF($J320:$Q320,"x")+1),-$E320*N(P320)))</f>
        <v/>
      </c>
      <c r="AE320" s="34">
        <f>IF(OR($A320="",$H320&lt;&gt;"Ausgabe",Q320=""),0,IF(Q320="x",-$E320/(COUNTIF($J320:$Q320,"x")+1),-$E320*N(Q320)))</f>
        <v/>
      </c>
    </row>
    <row r="321">
      <c r="A321" s="30" t="n"/>
      <c r="E321" s="31" t="n"/>
      <c r="J321" s="32" t="n"/>
      <c r="K321" s="32" t="n"/>
      <c r="L321" s="32" t="n"/>
      <c r="M321" s="32" t="n"/>
      <c r="N321" s="32" t="n"/>
      <c r="O321" s="32" t="n"/>
      <c r="P321" s="32" t="n"/>
      <c r="Q321" s="32" t="n"/>
      <c r="U321" s="31">
        <f>IF($A321="","",SUM(X321:AE321))</f>
        <v/>
      </c>
      <c r="V321" s="31">
        <f>IF($A321="","",IF($H321&lt;&gt;"Ausgabe",0,-$E321-$U321))</f>
        <v/>
      </c>
      <c r="W321" s="33">
        <f>IF($A321="","",DATE(YEAR($A321),MONTH($A321),1))</f>
        <v/>
      </c>
      <c r="X321" s="34">
        <f>IF(OR($A321="",$H321&lt;&gt;"Ausgabe",J321=""),0,IF(J321="x",-$E321/(COUNTIF($J321:$Q321,"x")+1),-$E321*N(J321)))</f>
        <v/>
      </c>
      <c r="Y321" s="34">
        <f>IF(OR($A321="",$H321&lt;&gt;"Ausgabe",K321=""),0,IF(K321="x",-$E321/(COUNTIF($J321:$Q321,"x")+1),-$E321*N(K321)))</f>
        <v/>
      </c>
      <c r="Z321" s="34">
        <f>IF(OR($A321="",$H321&lt;&gt;"Ausgabe",L321=""),0,IF(L321="x",-$E321/(COUNTIF($J321:$Q321,"x")+1),-$E321*N(L321)))</f>
        <v/>
      </c>
      <c r="AA321" s="34">
        <f>IF(OR($A321="",$H321&lt;&gt;"Ausgabe",M321=""),0,IF(M321="x",-$E321/(COUNTIF($J321:$Q321,"x")+1),-$E321*N(M321)))</f>
        <v/>
      </c>
      <c r="AB321" s="34">
        <f>IF(OR($A321="",$H321&lt;&gt;"Ausgabe",N321=""),0,IF(N321="x",-$E321/(COUNTIF($J321:$Q321,"x")+1),-$E321*N(N321)))</f>
        <v/>
      </c>
      <c r="AC321" s="34">
        <f>IF(OR($A321="",$H321&lt;&gt;"Ausgabe",O321=""),0,IF(O321="x",-$E321/(COUNTIF($J321:$Q321,"x")+1),-$E321*N(O321)))</f>
        <v/>
      </c>
      <c r="AD321" s="34">
        <f>IF(OR($A321="",$H321&lt;&gt;"Ausgabe",P321=""),0,IF(P321="x",-$E321/(COUNTIF($J321:$Q321,"x")+1),-$E321*N(P321)))</f>
        <v/>
      </c>
      <c r="AE321" s="34">
        <f>IF(OR($A321="",$H321&lt;&gt;"Ausgabe",Q321=""),0,IF(Q321="x",-$E321/(COUNTIF($J321:$Q321,"x")+1),-$E321*N(Q321)))</f>
        <v/>
      </c>
    </row>
    <row r="322">
      <c r="A322" s="30" t="n"/>
      <c r="E322" s="31" t="n"/>
      <c r="J322" s="32" t="n"/>
      <c r="K322" s="32" t="n"/>
      <c r="L322" s="32" t="n"/>
      <c r="M322" s="32" t="n"/>
      <c r="N322" s="32" t="n"/>
      <c r="O322" s="32" t="n"/>
      <c r="P322" s="32" t="n"/>
      <c r="Q322" s="32" t="n"/>
      <c r="U322" s="31">
        <f>IF($A322="","",SUM(X322:AE322))</f>
        <v/>
      </c>
      <c r="V322" s="31">
        <f>IF($A322="","",IF($H322&lt;&gt;"Ausgabe",0,-$E322-$U322))</f>
        <v/>
      </c>
      <c r="W322" s="33">
        <f>IF($A322="","",DATE(YEAR($A322),MONTH($A322),1))</f>
        <v/>
      </c>
      <c r="X322" s="34">
        <f>IF(OR($A322="",$H322&lt;&gt;"Ausgabe",J322=""),0,IF(J322="x",-$E322/(COUNTIF($J322:$Q322,"x")+1),-$E322*N(J322)))</f>
        <v/>
      </c>
      <c r="Y322" s="34">
        <f>IF(OR($A322="",$H322&lt;&gt;"Ausgabe",K322=""),0,IF(K322="x",-$E322/(COUNTIF($J322:$Q322,"x")+1),-$E322*N(K322)))</f>
        <v/>
      </c>
      <c r="Z322" s="34">
        <f>IF(OR($A322="",$H322&lt;&gt;"Ausgabe",L322=""),0,IF(L322="x",-$E322/(COUNTIF($J322:$Q322,"x")+1),-$E322*N(L322)))</f>
        <v/>
      </c>
      <c r="AA322" s="34">
        <f>IF(OR($A322="",$H322&lt;&gt;"Ausgabe",M322=""),0,IF(M322="x",-$E322/(COUNTIF($J322:$Q322,"x")+1),-$E322*N(M322)))</f>
        <v/>
      </c>
      <c r="AB322" s="34">
        <f>IF(OR($A322="",$H322&lt;&gt;"Ausgabe",N322=""),0,IF(N322="x",-$E322/(COUNTIF($J322:$Q322,"x")+1),-$E322*N(N322)))</f>
        <v/>
      </c>
      <c r="AC322" s="34">
        <f>IF(OR($A322="",$H322&lt;&gt;"Ausgabe",O322=""),0,IF(O322="x",-$E322/(COUNTIF($J322:$Q322,"x")+1),-$E322*N(O322)))</f>
        <v/>
      </c>
      <c r="AD322" s="34">
        <f>IF(OR($A322="",$H322&lt;&gt;"Ausgabe",P322=""),0,IF(P322="x",-$E322/(COUNTIF($J322:$Q322,"x")+1),-$E322*N(P322)))</f>
        <v/>
      </c>
      <c r="AE322" s="34">
        <f>IF(OR($A322="",$H322&lt;&gt;"Ausgabe",Q322=""),0,IF(Q322="x",-$E322/(COUNTIF($J322:$Q322,"x")+1),-$E322*N(Q322)))</f>
        <v/>
      </c>
    </row>
    <row r="323">
      <c r="A323" s="30" t="n"/>
      <c r="E323" s="31" t="n"/>
      <c r="J323" s="32" t="n"/>
      <c r="K323" s="32" t="n"/>
      <c r="L323" s="32" t="n"/>
      <c r="M323" s="32" t="n"/>
      <c r="N323" s="32" t="n"/>
      <c r="O323" s="32" t="n"/>
      <c r="P323" s="32" t="n"/>
      <c r="Q323" s="32" t="n"/>
      <c r="U323" s="31">
        <f>IF($A323="","",SUM(X323:AE323))</f>
        <v/>
      </c>
      <c r="V323" s="31">
        <f>IF($A323="","",IF($H323&lt;&gt;"Ausgabe",0,-$E323-$U323))</f>
        <v/>
      </c>
      <c r="W323" s="33">
        <f>IF($A323="","",DATE(YEAR($A323),MONTH($A323),1))</f>
        <v/>
      </c>
      <c r="X323" s="34">
        <f>IF(OR($A323="",$H323&lt;&gt;"Ausgabe",J323=""),0,IF(J323="x",-$E323/(COUNTIF($J323:$Q323,"x")+1),-$E323*N(J323)))</f>
        <v/>
      </c>
      <c r="Y323" s="34">
        <f>IF(OR($A323="",$H323&lt;&gt;"Ausgabe",K323=""),0,IF(K323="x",-$E323/(COUNTIF($J323:$Q323,"x")+1),-$E323*N(K323)))</f>
        <v/>
      </c>
      <c r="Z323" s="34">
        <f>IF(OR($A323="",$H323&lt;&gt;"Ausgabe",L323=""),0,IF(L323="x",-$E323/(COUNTIF($J323:$Q323,"x")+1),-$E323*N(L323)))</f>
        <v/>
      </c>
      <c r="AA323" s="34">
        <f>IF(OR($A323="",$H323&lt;&gt;"Ausgabe",M323=""),0,IF(M323="x",-$E323/(COUNTIF($J323:$Q323,"x")+1),-$E323*N(M323)))</f>
        <v/>
      </c>
      <c r="AB323" s="34">
        <f>IF(OR($A323="",$H323&lt;&gt;"Ausgabe",N323=""),0,IF(N323="x",-$E323/(COUNTIF($J323:$Q323,"x")+1),-$E323*N(N323)))</f>
        <v/>
      </c>
      <c r="AC323" s="34">
        <f>IF(OR($A323="",$H323&lt;&gt;"Ausgabe",O323=""),0,IF(O323="x",-$E323/(COUNTIF($J323:$Q323,"x")+1),-$E323*N(O323)))</f>
        <v/>
      </c>
      <c r="AD323" s="34">
        <f>IF(OR($A323="",$H323&lt;&gt;"Ausgabe",P323=""),0,IF(P323="x",-$E323/(COUNTIF($J323:$Q323,"x")+1),-$E323*N(P323)))</f>
        <v/>
      </c>
      <c r="AE323" s="34">
        <f>IF(OR($A323="",$H323&lt;&gt;"Ausgabe",Q323=""),0,IF(Q323="x",-$E323/(COUNTIF($J323:$Q323,"x")+1),-$E323*N(Q323)))</f>
        <v/>
      </c>
    </row>
    <row r="324">
      <c r="A324" s="30" t="n"/>
      <c r="E324" s="31" t="n"/>
      <c r="J324" s="32" t="n"/>
      <c r="K324" s="32" t="n"/>
      <c r="L324" s="32" t="n"/>
      <c r="M324" s="32" t="n"/>
      <c r="N324" s="32" t="n"/>
      <c r="O324" s="32" t="n"/>
      <c r="P324" s="32" t="n"/>
      <c r="Q324" s="32" t="n"/>
      <c r="U324" s="31">
        <f>IF($A324="","",SUM(X324:AE324))</f>
        <v/>
      </c>
      <c r="V324" s="31">
        <f>IF($A324="","",IF($H324&lt;&gt;"Ausgabe",0,-$E324-$U324))</f>
        <v/>
      </c>
      <c r="W324" s="33">
        <f>IF($A324="","",DATE(YEAR($A324),MONTH($A324),1))</f>
        <v/>
      </c>
      <c r="X324" s="34">
        <f>IF(OR($A324="",$H324&lt;&gt;"Ausgabe",J324=""),0,IF(J324="x",-$E324/(COUNTIF($J324:$Q324,"x")+1),-$E324*N(J324)))</f>
        <v/>
      </c>
      <c r="Y324" s="34">
        <f>IF(OR($A324="",$H324&lt;&gt;"Ausgabe",K324=""),0,IF(K324="x",-$E324/(COUNTIF($J324:$Q324,"x")+1),-$E324*N(K324)))</f>
        <v/>
      </c>
      <c r="Z324" s="34">
        <f>IF(OR($A324="",$H324&lt;&gt;"Ausgabe",L324=""),0,IF(L324="x",-$E324/(COUNTIF($J324:$Q324,"x")+1),-$E324*N(L324)))</f>
        <v/>
      </c>
      <c r="AA324" s="34">
        <f>IF(OR($A324="",$H324&lt;&gt;"Ausgabe",M324=""),0,IF(M324="x",-$E324/(COUNTIF($J324:$Q324,"x")+1),-$E324*N(M324)))</f>
        <v/>
      </c>
      <c r="AB324" s="34">
        <f>IF(OR($A324="",$H324&lt;&gt;"Ausgabe",N324=""),0,IF(N324="x",-$E324/(COUNTIF($J324:$Q324,"x")+1),-$E324*N(N324)))</f>
        <v/>
      </c>
      <c r="AC324" s="34">
        <f>IF(OR($A324="",$H324&lt;&gt;"Ausgabe",O324=""),0,IF(O324="x",-$E324/(COUNTIF($J324:$Q324,"x")+1),-$E324*N(O324)))</f>
        <v/>
      </c>
      <c r="AD324" s="34">
        <f>IF(OR($A324="",$H324&lt;&gt;"Ausgabe",P324=""),0,IF(P324="x",-$E324/(COUNTIF($J324:$Q324,"x")+1),-$E324*N(P324)))</f>
        <v/>
      </c>
      <c r="AE324" s="34">
        <f>IF(OR($A324="",$H324&lt;&gt;"Ausgabe",Q324=""),0,IF(Q324="x",-$E324/(COUNTIF($J324:$Q324,"x")+1),-$E324*N(Q324)))</f>
        <v/>
      </c>
    </row>
    <row r="325">
      <c r="A325" s="30" t="n"/>
      <c r="E325" s="31" t="n"/>
      <c r="J325" s="32" t="n"/>
      <c r="K325" s="32" t="n"/>
      <c r="L325" s="32" t="n"/>
      <c r="M325" s="32" t="n"/>
      <c r="N325" s="32" t="n"/>
      <c r="O325" s="32" t="n"/>
      <c r="P325" s="32" t="n"/>
      <c r="Q325" s="32" t="n"/>
      <c r="U325" s="31">
        <f>IF($A325="","",SUM(X325:AE325))</f>
        <v/>
      </c>
      <c r="V325" s="31">
        <f>IF($A325="","",IF($H325&lt;&gt;"Ausgabe",0,-$E325-$U325))</f>
        <v/>
      </c>
      <c r="W325" s="33">
        <f>IF($A325="","",DATE(YEAR($A325),MONTH($A325),1))</f>
        <v/>
      </c>
      <c r="X325" s="34">
        <f>IF(OR($A325="",$H325&lt;&gt;"Ausgabe",J325=""),0,IF(J325="x",-$E325/(COUNTIF($J325:$Q325,"x")+1),-$E325*N(J325)))</f>
        <v/>
      </c>
      <c r="Y325" s="34">
        <f>IF(OR($A325="",$H325&lt;&gt;"Ausgabe",K325=""),0,IF(K325="x",-$E325/(COUNTIF($J325:$Q325,"x")+1),-$E325*N(K325)))</f>
        <v/>
      </c>
      <c r="Z325" s="34">
        <f>IF(OR($A325="",$H325&lt;&gt;"Ausgabe",L325=""),0,IF(L325="x",-$E325/(COUNTIF($J325:$Q325,"x")+1),-$E325*N(L325)))</f>
        <v/>
      </c>
      <c r="AA325" s="34">
        <f>IF(OR($A325="",$H325&lt;&gt;"Ausgabe",M325=""),0,IF(M325="x",-$E325/(COUNTIF($J325:$Q325,"x")+1),-$E325*N(M325)))</f>
        <v/>
      </c>
      <c r="AB325" s="34">
        <f>IF(OR($A325="",$H325&lt;&gt;"Ausgabe",N325=""),0,IF(N325="x",-$E325/(COUNTIF($J325:$Q325,"x")+1),-$E325*N(N325)))</f>
        <v/>
      </c>
      <c r="AC325" s="34">
        <f>IF(OR($A325="",$H325&lt;&gt;"Ausgabe",O325=""),0,IF(O325="x",-$E325/(COUNTIF($J325:$Q325,"x")+1),-$E325*N(O325)))</f>
        <v/>
      </c>
      <c r="AD325" s="34">
        <f>IF(OR($A325="",$H325&lt;&gt;"Ausgabe",P325=""),0,IF(P325="x",-$E325/(COUNTIF($J325:$Q325,"x")+1),-$E325*N(P325)))</f>
        <v/>
      </c>
      <c r="AE325" s="34">
        <f>IF(OR($A325="",$H325&lt;&gt;"Ausgabe",Q325=""),0,IF(Q325="x",-$E325/(COUNTIF($J325:$Q325,"x")+1),-$E325*N(Q325)))</f>
        <v/>
      </c>
    </row>
    <row r="326">
      <c r="A326" s="30" t="n"/>
      <c r="E326" s="31" t="n"/>
      <c r="J326" s="32" t="n"/>
      <c r="K326" s="32" t="n"/>
      <c r="L326" s="32" t="n"/>
      <c r="M326" s="32" t="n"/>
      <c r="N326" s="32" t="n"/>
      <c r="O326" s="32" t="n"/>
      <c r="P326" s="32" t="n"/>
      <c r="Q326" s="32" t="n"/>
      <c r="U326" s="31">
        <f>IF($A326="","",SUM(X326:AE326))</f>
        <v/>
      </c>
      <c r="V326" s="31">
        <f>IF($A326="","",IF($H326&lt;&gt;"Ausgabe",0,-$E326-$U326))</f>
        <v/>
      </c>
      <c r="W326" s="33">
        <f>IF($A326="","",DATE(YEAR($A326),MONTH($A326),1))</f>
        <v/>
      </c>
      <c r="X326" s="34">
        <f>IF(OR($A326="",$H326&lt;&gt;"Ausgabe",J326=""),0,IF(J326="x",-$E326/(COUNTIF($J326:$Q326,"x")+1),-$E326*N(J326)))</f>
        <v/>
      </c>
      <c r="Y326" s="34">
        <f>IF(OR($A326="",$H326&lt;&gt;"Ausgabe",K326=""),0,IF(K326="x",-$E326/(COUNTIF($J326:$Q326,"x")+1),-$E326*N(K326)))</f>
        <v/>
      </c>
      <c r="Z326" s="34">
        <f>IF(OR($A326="",$H326&lt;&gt;"Ausgabe",L326=""),0,IF(L326="x",-$E326/(COUNTIF($J326:$Q326,"x")+1),-$E326*N(L326)))</f>
        <v/>
      </c>
      <c r="AA326" s="34">
        <f>IF(OR($A326="",$H326&lt;&gt;"Ausgabe",M326=""),0,IF(M326="x",-$E326/(COUNTIF($J326:$Q326,"x")+1),-$E326*N(M326)))</f>
        <v/>
      </c>
      <c r="AB326" s="34">
        <f>IF(OR($A326="",$H326&lt;&gt;"Ausgabe",N326=""),0,IF(N326="x",-$E326/(COUNTIF($J326:$Q326,"x")+1),-$E326*N(N326)))</f>
        <v/>
      </c>
      <c r="AC326" s="34">
        <f>IF(OR($A326="",$H326&lt;&gt;"Ausgabe",O326=""),0,IF(O326="x",-$E326/(COUNTIF($J326:$Q326,"x")+1),-$E326*N(O326)))</f>
        <v/>
      </c>
      <c r="AD326" s="34">
        <f>IF(OR($A326="",$H326&lt;&gt;"Ausgabe",P326=""),0,IF(P326="x",-$E326/(COUNTIF($J326:$Q326,"x")+1),-$E326*N(P326)))</f>
        <v/>
      </c>
      <c r="AE326" s="34">
        <f>IF(OR($A326="",$H326&lt;&gt;"Ausgabe",Q326=""),0,IF(Q326="x",-$E326/(COUNTIF($J326:$Q326,"x")+1),-$E326*N(Q326)))</f>
        <v/>
      </c>
    </row>
    <row r="327">
      <c r="A327" s="30" t="n"/>
      <c r="E327" s="31" t="n"/>
      <c r="J327" s="32" t="n"/>
      <c r="K327" s="32" t="n"/>
      <c r="L327" s="32" t="n"/>
      <c r="M327" s="32" t="n"/>
      <c r="N327" s="32" t="n"/>
      <c r="O327" s="32" t="n"/>
      <c r="P327" s="32" t="n"/>
      <c r="Q327" s="32" t="n"/>
      <c r="U327" s="31">
        <f>IF($A327="","",SUM(X327:AE327))</f>
        <v/>
      </c>
      <c r="V327" s="31">
        <f>IF($A327="","",IF($H327&lt;&gt;"Ausgabe",0,-$E327-$U327))</f>
        <v/>
      </c>
      <c r="W327" s="33">
        <f>IF($A327="","",DATE(YEAR($A327),MONTH($A327),1))</f>
        <v/>
      </c>
      <c r="X327" s="34">
        <f>IF(OR($A327="",$H327&lt;&gt;"Ausgabe",J327=""),0,IF(J327="x",-$E327/(COUNTIF($J327:$Q327,"x")+1),-$E327*N(J327)))</f>
        <v/>
      </c>
      <c r="Y327" s="34">
        <f>IF(OR($A327="",$H327&lt;&gt;"Ausgabe",K327=""),0,IF(K327="x",-$E327/(COUNTIF($J327:$Q327,"x")+1),-$E327*N(K327)))</f>
        <v/>
      </c>
      <c r="Z327" s="34">
        <f>IF(OR($A327="",$H327&lt;&gt;"Ausgabe",L327=""),0,IF(L327="x",-$E327/(COUNTIF($J327:$Q327,"x")+1),-$E327*N(L327)))</f>
        <v/>
      </c>
      <c r="AA327" s="34">
        <f>IF(OR($A327="",$H327&lt;&gt;"Ausgabe",M327=""),0,IF(M327="x",-$E327/(COUNTIF($J327:$Q327,"x")+1),-$E327*N(M327)))</f>
        <v/>
      </c>
      <c r="AB327" s="34">
        <f>IF(OR($A327="",$H327&lt;&gt;"Ausgabe",N327=""),0,IF(N327="x",-$E327/(COUNTIF($J327:$Q327,"x")+1),-$E327*N(N327)))</f>
        <v/>
      </c>
      <c r="AC327" s="34">
        <f>IF(OR($A327="",$H327&lt;&gt;"Ausgabe",O327=""),0,IF(O327="x",-$E327/(COUNTIF($J327:$Q327,"x")+1),-$E327*N(O327)))</f>
        <v/>
      </c>
      <c r="AD327" s="34">
        <f>IF(OR($A327="",$H327&lt;&gt;"Ausgabe",P327=""),0,IF(P327="x",-$E327/(COUNTIF($J327:$Q327,"x")+1),-$E327*N(P327)))</f>
        <v/>
      </c>
      <c r="AE327" s="34">
        <f>IF(OR($A327="",$H327&lt;&gt;"Ausgabe",Q327=""),0,IF(Q327="x",-$E327/(COUNTIF($J327:$Q327,"x")+1),-$E327*N(Q327)))</f>
        <v/>
      </c>
    </row>
    <row r="328">
      <c r="A328" s="30" t="n"/>
      <c r="E328" s="31" t="n"/>
      <c r="J328" s="32" t="n"/>
      <c r="K328" s="32" t="n"/>
      <c r="L328" s="32" t="n"/>
      <c r="M328" s="32" t="n"/>
      <c r="N328" s="32" t="n"/>
      <c r="O328" s="32" t="n"/>
      <c r="P328" s="32" t="n"/>
      <c r="Q328" s="32" t="n"/>
      <c r="U328" s="31">
        <f>IF($A328="","",SUM(X328:AE328))</f>
        <v/>
      </c>
      <c r="V328" s="31">
        <f>IF($A328="","",IF($H328&lt;&gt;"Ausgabe",0,-$E328-$U328))</f>
        <v/>
      </c>
      <c r="W328" s="33">
        <f>IF($A328="","",DATE(YEAR($A328),MONTH($A328),1))</f>
        <v/>
      </c>
      <c r="X328" s="34">
        <f>IF(OR($A328="",$H328&lt;&gt;"Ausgabe",J328=""),0,IF(J328="x",-$E328/(COUNTIF($J328:$Q328,"x")+1),-$E328*N(J328)))</f>
        <v/>
      </c>
      <c r="Y328" s="34">
        <f>IF(OR($A328="",$H328&lt;&gt;"Ausgabe",K328=""),0,IF(K328="x",-$E328/(COUNTIF($J328:$Q328,"x")+1),-$E328*N(K328)))</f>
        <v/>
      </c>
      <c r="Z328" s="34">
        <f>IF(OR($A328="",$H328&lt;&gt;"Ausgabe",L328=""),0,IF(L328="x",-$E328/(COUNTIF($J328:$Q328,"x")+1),-$E328*N(L328)))</f>
        <v/>
      </c>
      <c r="AA328" s="34">
        <f>IF(OR($A328="",$H328&lt;&gt;"Ausgabe",M328=""),0,IF(M328="x",-$E328/(COUNTIF($J328:$Q328,"x")+1),-$E328*N(M328)))</f>
        <v/>
      </c>
      <c r="AB328" s="34">
        <f>IF(OR($A328="",$H328&lt;&gt;"Ausgabe",N328=""),0,IF(N328="x",-$E328/(COUNTIF($J328:$Q328,"x")+1),-$E328*N(N328)))</f>
        <v/>
      </c>
      <c r="AC328" s="34">
        <f>IF(OR($A328="",$H328&lt;&gt;"Ausgabe",O328=""),0,IF(O328="x",-$E328/(COUNTIF($J328:$Q328,"x")+1),-$E328*N(O328)))</f>
        <v/>
      </c>
      <c r="AD328" s="34">
        <f>IF(OR($A328="",$H328&lt;&gt;"Ausgabe",P328=""),0,IF(P328="x",-$E328/(COUNTIF($J328:$Q328,"x")+1),-$E328*N(P328)))</f>
        <v/>
      </c>
      <c r="AE328" s="34">
        <f>IF(OR($A328="",$H328&lt;&gt;"Ausgabe",Q328=""),0,IF(Q328="x",-$E328/(COUNTIF($J328:$Q328,"x")+1),-$E328*N(Q328)))</f>
        <v/>
      </c>
    </row>
    <row r="329">
      <c r="A329" s="30" t="n"/>
      <c r="E329" s="31" t="n"/>
      <c r="J329" s="32" t="n"/>
      <c r="K329" s="32" t="n"/>
      <c r="L329" s="32" t="n"/>
      <c r="M329" s="32" t="n"/>
      <c r="N329" s="32" t="n"/>
      <c r="O329" s="32" t="n"/>
      <c r="P329" s="32" t="n"/>
      <c r="Q329" s="32" t="n"/>
      <c r="U329" s="31">
        <f>IF($A329="","",SUM(X329:AE329))</f>
        <v/>
      </c>
      <c r="V329" s="31">
        <f>IF($A329="","",IF($H329&lt;&gt;"Ausgabe",0,-$E329-$U329))</f>
        <v/>
      </c>
      <c r="W329" s="33">
        <f>IF($A329="","",DATE(YEAR($A329),MONTH($A329),1))</f>
        <v/>
      </c>
      <c r="X329" s="34">
        <f>IF(OR($A329="",$H329&lt;&gt;"Ausgabe",J329=""),0,IF(J329="x",-$E329/(COUNTIF($J329:$Q329,"x")+1),-$E329*N(J329)))</f>
        <v/>
      </c>
      <c r="Y329" s="34">
        <f>IF(OR($A329="",$H329&lt;&gt;"Ausgabe",K329=""),0,IF(K329="x",-$E329/(COUNTIF($J329:$Q329,"x")+1),-$E329*N(K329)))</f>
        <v/>
      </c>
      <c r="Z329" s="34">
        <f>IF(OR($A329="",$H329&lt;&gt;"Ausgabe",L329=""),0,IF(L329="x",-$E329/(COUNTIF($J329:$Q329,"x")+1),-$E329*N(L329)))</f>
        <v/>
      </c>
      <c r="AA329" s="34">
        <f>IF(OR($A329="",$H329&lt;&gt;"Ausgabe",M329=""),0,IF(M329="x",-$E329/(COUNTIF($J329:$Q329,"x")+1),-$E329*N(M329)))</f>
        <v/>
      </c>
      <c r="AB329" s="34">
        <f>IF(OR($A329="",$H329&lt;&gt;"Ausgabe",N329=""),0,IF(N329="x",-$E329/(COUNTIF($J329:$Q329,"x")+1),-$E329*N(N329)))</f>
        <v/>
      </c>
      <c r="AC329" s="34">
        <f>IF(OR($A329="",$H329&lt;&gt;"Ausgabe",O329=""),0,IF(O329="x",-$E329/(COUNTIF($J329:$Q329,"x")+1),-$E329*N(O329)))</f>
        <v/>
      </c>
      <c r="AD329" s="34">
        <f>IF(OR($A329="",$H329&lt;&gt;"Ausgabe",P329=""),0,IF(P329="x",-$E329/(COUNTIF($J329:$Q329,"x")+1),-$E329*N(P329)))</f>
        <v/>
      </c>
      <c r="AE329" s="34">
        <f>IF(OR($A329="",$H329&lt;&gt;"Ausgabe",Q329=""),0,IF(Q329="x",-$E329/(COUNTIF($J329:$Q329,"x")+1),-$E329*N(Q329)))</f>
        <v/>
      </c>
    </row>
    <row r="330">
      <c r="A330" s="30" t="n"/>
      <c r="E330" s="31" t="n"/>
      <c r="J330" s="32" t="n"/>
      <c r="K330" s="32" t="n"/>
      <c r="L330" s="32" t="n"/>
      <c r="M330" s="32" t="n"/>
      <c r="N330" s="32" t="n"/>
      <c r="O330" s="32" t="n"/>
      <c r="P330" s="32" t="n"/>
      <c r="Q330" s="32" t="n"/>
      <c r="U330" s="31">
        <f>IF($A330="","",SUM(X330:AE330))</f>
        <v/>
      </c>
      <c r="V330" s="31">
        <f>IF($A330="","",IF($H330&lt;&gt;"Ausgabe",0,-$E330-$U330))</f>
        <v/>
      </c>
      <c r="W330" s="33">
        <f>IF($A330="","",DATE(YEAR($A330),MONTH($A330),1))</f>
        <v/>
      </c>
      <c r="X330" s="34">
        <f>IF(OR($A330="",$H330&lt;&gt;"Ausgabe",J330=""),0,IF(J330="x",-$E330/(COUNTIF($J330:$Q330,"x")+1),-$E330*N(J330)))</f>
        <v/>
      </c>
      <c r="Y330" s="34">
        <f>IF(OR($A330="",$H330&lt;&gt;"Ausgabe",K330=""),0,IF(K330="x",-$E330/(COUNTIF($J330:$Q330,"x")+1),-$E330*N(K330)))</f>
        <v/>
      </c>
      <c r="Z330" s="34">
        <f>IF(OR($A330="",$H330&lt;&gt;"Ausgabe",L330=""),0,IF(L330="x",-$E330/(COUNTIF($J330:$Q330,"x")+1),-$E330*N(L330)))</f>
        <v/>
      </c>
      <c r="AA330" s="34">
        <f>IF(OR($A330="",$H330&lt;&gt;"Ausgabe",M330=""),0,IF(M330="x",-$E330/(COUNTIF($J330:$Q330,"x")+1),-$E330*N(M330)))</f>
        <v/>
      </c>
      <c r="AB330" s="34">
        <f>IF(OR($A330="",$H330&lt;&gt;"Ausgabe",N330=""),0,IF(N330="x",-$E330/(COUNTIF($J330:$Q330,"x")+1),-$E330*N(N330)))</f>
        <v/>
      </c>
      <c r="AC330" s="34">
        <f>IF(OR($A330="",$H330&lt;&gt;"Ausgabe",O330=""),0,IF(O330="x",-$E330/(COUNTIF($J330:$Q330,"x")+1),-$E330*N(O330)))</f>
        <v/>
      </c>
      <c r="AD330" s="34">
        <f>IF(OR($A330="",$H330&lt;&gt;"Ausgabe",P330=""),0,IF(P330="x",-$E330/(COUNTIF($J330:$Q330,"x")+1),-$E330*N(P330)))</f>
        <v/>
      </c>
      <c r="AE330" s="34">
        <f>IF(OR($A330="",$H330&lt;&gt;"Ausgabe",Q330=""),0,IF(Q330="x",-$E330/(COUNTIF($J330:$Q330,"x")+1),-$E330*N(Q330)))</f>
        <v/>
      </c>
    </row>
    <row r="331">
      <c r="A331" s="30" t="n"/>
      <c r="E331" s="31" t="n"/>
      <c r="J331" s="32" t="n"/>
      <c r="K331" s="32" t="n"/>
      <c r="L331" s="32" t="n"/>
      <c r="M331" s="32" t="n"/>
      <c r="N331" s="32" t="n"/>
      <c r="O331" s="32" t="n"/>
      <c r="P331" s="32" t="n"/>
      <c r="Q331" s="32" t="n"/>
      <c r="U331" s="31">
        <f>IF($A331="","",SUM(X331:AE331))</f>
        <v/>
      </c>
      <c r="V331" s="31">
        <f>IF($A331="","",IF($H331&lt;&gt;"Ausgabe",0,-$E331-$U331))</f>
        <v/>
      </c>
      <c r="W331" s="33">
        <f>IF($A331="","",DATE(YEAR($A331),MONTH($A331),1))</f>
        <v/>
      </c>
      <c r="X331" s="34">
        <f>IF(OR($A331="",$H331&lt;&gt;"Ausgabe",J331=""),0,IF(J331="x",-$E331/(COUNTIF($J331:$Q331,"x")+1),-$E331*N(J331)))</f>
        <v/>
      </c>
      <c r="Y331" s="34">
        <f>IF(OR($A331="",$H331&lt;&gt;"Ausgabe",K331=""),0,IF(K331="x",-$E331/(COUNTIF($J331:$Q331,"x")+1),-$E331*N(K331)))</f>
        <v/>
      </c>
      <c r="Z331" s="34">
        <f>IF(OR($A331="",$H331&lt;&gt;"Ausgabe",L331=""),0,IF(L331="x",-$E331/(COUNTIF($J331:$Q331,"x")+1),-$E331*N(L331)))</f>
        <v/>
      </c>
      <c r="AA331" s="34">
        <f>IF(OR($A331="",$H331&lt;&gt;"Ausgabe",M331=""),0,IF(M331="x",-$E331/(COUNTIF($J331:$Q331,"x")+1),-$E331*N(M331)))</f>
        <v/>
      </c>
      <c r="AB331" s="34">
        <f>IF(OR($A331="",$H331&lt;&gt;"Ausgabe",N331=""),0,IF(N331="x",-$E331/(COUNTIF($J331:$Q331,"x")+1),-$E331*N(N331)))</f>
        <v/>
      </c>
      <c r="AC331" s="34">
        <f>IF(OR($A331="",$H331&lt;&gt;"Ausgabe",O331=""),0,IF(O331="x",-$E331/(COUNTIF($J331:$Q331,"x")+1),-$E331*N(O331)))</f>
        <v/>
      </c>
      <c r="AD331" s="34">
        <f>IF(OR($A331="",$H331&lt;&gt;"Ausgabe",P331=""),0,IF(P331="x",-$E331/(COUNTIF($J331:$Q331,"x")+1),-$E331*N(P331)))</f>
        <v/>
      </c>
      <c r="AE331" s="34">
        <f>IF(OR($A331="",$H331&lt;&gt;"Ausgabe",Q331=""),0,IF(Q331="x",-$E331/(COUNTIF($J331:$Q331,"x")+1),-$E331*N(Q331)))</f>
        <v/>
      </c>
    </row>
    <row r="332">
      <c r="A332" s="30" t="n"/>
      <c r="E332" s="31" t="n"/>
      <c r="J332" s="32" t="n"/>
      <c r="K332" s="32" t="n"/>
      <c r="L332" s="32" t="n"/>
      <c r="M332" s="32" t="n"/>
      <c r="N332" s="32" t="n"/>
      <c r="O332" s="32" t="n"/>
      <c r="P332" s="32" t="n"/>
      <c r="Q332" s="32" t="n"/>
      <c r="U332" s="31">
        <f>IF($A332="","",SUM(X332:AE332))</f>
        <v/>
      </c>
      <c r="V332" s="31">
        <f>IF($A332="","",IF($H332&lt;&gt;"Ausgabe",0,-$E332-$U332))</f>
        <v/>
      </c>
      <c r="W332" s="33">
        <f>IF($A332="","",DATE(YEAR($A332),MONTH($A332),1))</f>
        <v/>
      </c>
      <c r="X332" s="34">
        <f>IF(OR($A332="",$H332&lt;&gt;"Ausgabe",J332=""),0,IF(J332="x",-$E332/(COUNTIF($J332:$Q332,"x")+1),-$E332*N(J332)))</f>
        <v/>
      </c>
      <c r="Y332" s="34">
        <f>IF(OR($A332="",$H332&lt;&gt;"Ausgabe",K332=""),0,IF(K332="x",-$E332/(COUNTIF($J332:$Q332,"x")+1),-$E332*N(K332)))</f>
        <v/>
      </c>
      <c r="Z332" s="34">
        <f>IF(OR($A332="",$H332&lt;&gt;"Ausgabe",L332=""),0,IF(L332="x",-$E332/(COUNTIF($J332:$Q332,"x")+1),-$E332*N(L332)))</f>
        <v/>
      </c>
      <c r="AA332" s="34">
        <f>IF(OR($A332="",$H332&lt;&gt;"Ausgabe",M332=""),0,IF(M332="x",-$E332/(COUNTIF($J332:$Q332,"x")+1),-$E332*N(M332)))</f>
        <v/>
      </c>
      <c r="AB332" s="34">
        <f>IF(OR($A332="",$H332&lt;&gt;"Ausgabe",N332=""),0,IF(N332="x",-$E332/(COUNTIF($J332:$Q332,"x")+1),-$E332*N(N332)))</f>
        <v/>
      </c>
      <c r="AC332" s="34">
        <f>IF(OR($A332="",$H332&lt;&gt;"Ausgabe",O332=""),0,IF(O332="x",-$E332/(COUNTIF($J332:$Q332,"x")+1),-$E332*N(O332)))</f>
        <v/>
      </c>
      <c r="AD332" s="34">
        <f>IF(OR($A332="",$H332&lt;&gt;"Ausgabe",P332=""),0,IF(P332="x",-$E332/(COUNTIF($J332:$Q332,"x")+1),-$E332*N(P332)))</f>
        <v/>
      </c>
      <c r="AE332" s="34">
        <f>IF(OR($A332="",$H332&lt;&gt;"Ausgabe",Q332=""),0,IF(Q332="x",-$E332/(COUNTIF($J332:$Q332,"x")+1),-$E332*N(Q332)))</f>
        <v/>
      </c>
    </row>
    <row r="333">
      <c r="A333" s="30" t="n"/>
      <c r="E333" s="31" t="n"/>
      <c r="J333" s="32" t="n"/>
      <c r="K333" s="32" t="n"/>
      <c r="L333" s="32" t="n"/>
      <c r="M333" s="32" t="n"/>
      <c r="N333" s="32" t="n"/>
      <c r="O333" s="32" t="n"/>
      <c r="P333" s="32" t="n"/>
      <c r="Q333" s="32" t="n"/>
      <c r="U333" s="31">
        <f>IF($A333="","",SUM(X333:AE333))</f>
        <v/>
      </c>
      <c r="V333" s="31">
        <f>IF($A333="","",IF($H333&lt;&gt;"Ausgabe",0,-$E333-$U333))</f>
        <v/>
      </c>
      <c r="W333" s="33">
        <f>IF($A333="","",DATE(YEAR($A333),MONTH($A333),1))</f>
        <v/>
      </c>
      <c r="X333" s="34">
        <f>IF(OR($A333="",$H333&lt;&gt;"Ausgabe",J333=""),0,IF(J333="x",-$E333/(COUNTIF($J333:$Q333,"x")+1),-$E333*N(J333)))</f>
        <v/>
      </c>
      <c r="Y333" s="34">
        <f>IF(OR($A333="",$H333&lt;&gt;"Ausgabe",K333=""),0,IF(K333="x",-$E333/(COUNTIF($J333:$Q333,"x")+1),-$E333*N(K333)))</f>
        <v/>
      </c>
      <c r="Z333" s="34">
        <f>IF(OR($A333="",$H333&lt;&gt;"Ausgabe",L333=""),0,IF(L333="x",-$E333/(COUNTIF($J333:$Q333,"x")+1),-$E333*N(L333)))</f>
        <v/>
      </c>
      <c r="AA333" s="34">
        <f>IF(OR($A333="",$H333&lt;&gt;"Ausgabe",M333=""),0,IF(M333="x",-$E333/(COUNTIF($J333:$Q333,"x")+1),-$E333*N(M333)))</f>
        <v/>
      </c>
      <c r="AB333" s="34">
        <f>IF(OR($A333="",$H333&lt;&gt;"Ausgabe",N333=""),0,IF(N333="x",-$E333/(COUNTIF($J333:$Q333,"x")+1),-$E333*N(N333)))</f>
        <v/>
      </c>
      <c r="AC333" s="34">
        <f>IF(OR($A333="",$H333&lt;&gt;"Ausgabe",O333=""),0,IF(O333="x",-$E333/(COUNTIF($J333:$Q333,"x")+1),-$E333*N(O333)))</f>
        <v/>
      </c>
      <c r="AD333" s="34">
        <f>IF(OR($A333="",$H333&lt;&gt;"Ausgabe",P333=""),0,IF(P333="x",-$E333/(COUNTIF($J333:$Q333,"x")+1),-$E333*N(P333)))</f>
        <v/>
      </c>
      <c r="AE333" s="34">
        <f>IF(OR($A333="",$H333&lt;&gt;"Ausgabe",Q333=""),0,IF(Q333="x",-$E333/(COUNTIF($J333:$Q333,"x")+1),-$E333*N(Q333)))</f>
        <v/>
      </c>
    </row>
    <row r="334">
      <c r="A334" s="30" t="n"/>
      <c r="E334" s="31" t="n"/>
      <c r="J334" s="32" t="n"/>
      <c r="K334" s="32" t="n"/>
      <c r="L334" s="32" t="n"/>
      <c r="M334" s="32" t="n"/>
      <c r="N334" s="32" t="n"/>
      <c r="O334" s="32" t="n"/>
      <c r="P334" s="32" t="n"/>
      <c r="Q334" s="32" t="n"/>
      <c r="U334" s="31">
        <f>IF($A334="","",SUM(X334:AE334))</f>
        <v/>
      </c>
      <c r="V334" s="31">
        <f>IF($A334="","",IF($H334&lt;&gt;"Ausgabe",0,-$E334-$U334))</f>
        <v/>
      </c>
      <c r="W334" s="33">
        <f>IF($A334="","",DATE(YEAR($A334),MONTH($A334),1))</f>
        <v/>
      </c>
      <c r="X334" s="34">
        <f>IF(OR($A334="",$H334&lt;&gt;"Ausgabe",J334=""),0,IF(J334="x",-$E334/(COUNTIF($J334:$Q334,"x")+1),-$E334*N(J334)))</f>
        <v/>
      </c>
      <c r="Y334" s="34">
        <f>IF(OR($A334="",$H334&lt;&gt;"Ausgabe",K334=""),0,IF(K334="x",-$E334/(COUNTIF($J334:$Q334,"x")+1),-$E334*N(K334)))</f>
        <v/>
      </c>
      <c r="Z334" s="34">
        <f>IF(OR($A334="",$H334&lt;&gt;"Ausgabe",L334=""),0,IF(L334="x",-$E334/(COUNTIF($J334:$Q334,"x")+1),-$E334*N(L334)))</f>
        <v/>
      </c>
      <c r="AA334" s="34">
        <f>IF(OR($A334="",$H334&lt;&gt;"Ausgabe",M334=""),0,IF(M334="x",-$E334/(COUNTIF($J334:$Q334,"x")+1),-$E334*N(M334)))</f>
        <v/>
      </c>
      <c r="AB334" s="34">
        <f>IF(OR($A334="",$H334&lt;&gt;"Ausgabe",N334=""),0,IF(N334="x",-$E334/(COUNTIF($J334:$Q334,"x")+1),-$E334*N(N334)))</f>
        <v/>
      </c>
      <c r="AC334" s="34">
        <f>IF(OR($A334="",$H334&lt;&gt;"Ausgabe",O334=""),0,IF(O334="x",-$E334/(COUNTIF($J334:$Q334,"x")+1),-$E334*N(O334)))</f>
        <v/>
      </c>
      <c r="AD334" s="34">
        <f>IF(OR($A334="",$H334&lt;&gt;"Ausgabe",P334=""),0,IF(P334="x",-$E334/(COUNTIF($J334:$Q334,"x")+1),-$E334*N(P334)))</f>
        <v/>
      </c>
      <c r="AE334" s="34">
        <f>IF(OR($A334="",$H334&lt;&gt;"Ausgabe",Q334=""),0,IF(Q334="x",-$E334/(COUNTIF($J334:$Q334,"x")+1),-$E334*N(Q334)))</f>
        <v/>
      </c>
    </row>
    <row r="335">
      <c r="A335" s="30" t="n"/>
      <c r="E335" s="31" t="n"/>
      <c r="J335" s="32" t="n"/>
      <c r="K335" s="32" t="n"/>
      <c r="L335" s="32" t="n"/>
      <c r="M335" s="32" t="n"/>
      <c r="N335" s="32" t="n"/>
      <c r="O335" s="32" t="n"/>
      <c r="P335" s="32" t="n"/>
      <c r="Q335" s="32" t="n"/>
      <c r="U335" s="31">
        <f>IF($A335="","",SUM(X335:AE335))</f>
        <v/>
      </c>
      <c r="V335" s="31">
        <f>IF($A335="","",IF($H335&lt;&gt;"Ausgabe",0,-$E335-$U335))</f>
        <v/>
      </c>
      <c r="W335" s="33">
        <f>IF($A335="","",DATE(YEAR($A335),MONTH($A335),1))</f>
        <v/>
      </c>
      <c r="X335" s="34">
        <f>IF(OR($A335="",$H335&lt;&gt;"Ausgabe",J335=""),0,IF(J335="x",-$E335/(COUNTIF($J335:$Q335,"x")+1),-$E335*N(J335)))</f>
        <v/>
      </c>
      <c r="Y335" s="34">
        <f>IF(OR($A335="",$H335&lt;&gt;"Ausgabe",K335=""),0,IF(K335="x",-$E335/(COUNTIF($J335:$Q335,"x")+1),-$E335*N(K335)))</f>
        <v/>
      </c>
      <c r="Z335" s="34">
        <f>IF(OR($A335="",$H335&lt;&gt;"Ausgabe",L335=""),0,IF(L335="x",-$E335/(COUNTIF($J335:$Q335,"x")+1),-$E335*N(L335)))</f>
        <v/>
      </c>
      <c r="AA335" s="34">
        <f>IF(OR($A335="",$H335&lt;&gt;"Ausgabe",M335=""),0,IF(M335="x",-$E335/(COUNTIF($J335:$Q335,"x")+1),-$E335*N(M335)))</f>
        <v/>
      </c>
      <c r="AB335" s="34">
        <f>IF(OR($A335="",$H335&lt;&gt;"Ausgabe",N335=""),0,IF(N335="x",-$E335/(COUNTIF($J335:$Q335,"x")+1),-$E335*N(N335)))</f>
        <v/>
      </c>
      <c r="AC335" s="34">
        <f>IF(OR($A335="",$H335&lt;&gt;"Ausgabe",O335=""),0,IF(O335="x",-$E335/(COUNTIF($J335:$Q335,"x")+1),-$E335*N(O335)))</f>
        <v/>
      </c>
      <c r="AD335" s="34">
        <f>IF(OR($A335="",$H335&lt;&gt;"Ausgabe",P335=""),0,IF(P335="x",-$E335/(COUNTIF($J335:$Q335,"x")+1),-$E335*N(P335)))</f>
        <v/>
      </c>
      <c r="AE335" s="34">
        <f>IF(OR($A335="",$H335&lt;&gt;"Ausgabe",Q335=""),0,IF(Q335="x",-$E335/(COUNTIF($J335:$Q335,"x")+1),-$E335*N(Q335)))</f>
        <v/>
      </c>
    </row>
    <row r="336">
      <c r="A336" s="30" t="n"/>
      <c r="E336" s="31" t="n"/>
      <c r="J336" s="32" t="n"/>
      <c r="K336" s="32" t="n"/>
      <c r="L336" s="32" t="n"/>
      <c r="M336" s="32" t="n"/>
      <c r="N336" s="32" t="n"/>
      <c r="O336" s="32" t="n"/>
      <c r="P336" s="32" t="n"/>
      <c r="Q336" s="32" t="n"/>
      <c r="U336" s="31">
        <f>IF($A336="","",SUM(X336:AE336))</f>
        <v/>
      </c>
      <c r="V336" s="31">
        <f>IF($A336="","",IF($H336&lt;&gt;"Ausgabe",0,-$E336-$U336))</f>
        <v/>
      </c>
      <c r="W336" s="33">
        <f>IF($A336="","",DATE(YEAR($A336),MONTH($A336),1))</f>
        <v/>
      </c>
      <c r="X336" s="34">
        <f>IF(OR($A336="",$H336&lt;&gt;"Ausgabe",J336=""),0,IF(J336="x",-$E336/(COUNTIF($J336:$Q336,"x")+1),-$E336*N(J336)))</f>
        <v/>
      </c>
      <c r="Y336" s="34">
        <f>IF(OR($A336="",$H336&lt;&gt;"Ausgabe",K336=""),0,IF(K336="x",-$E336/(COUNTIF($J336:$Q336,"x")+1),-$E336*N(K336)))</f>
        <v/>
      </c>
      <c r="Z336" s="34">
        <f>IF(OR($A336="",$H336&lt;&gt;"Ausgabe",L336=""),0,IF(L336="x",-$E336/(COUNTIF($J336:$Q336,"x")+1),-$E336*N(L336)))</f>
        <v/>
      </c>
      <c r="AA336" s="34">
        <f>IF(OR($A336="",$H336&lt;&gt;"Ausgabe",M336=""),0,IF(M336="x",-$E336/(COUNTIF($J336:$Q336,"x")+1),-$E336*N(M336)))</f>
        <v/>
      </c>
      <c r="AB336" s="34">
        <f>IF(OR($A336="",$H336&lt;&gt;"Ausgabe",N336=""),0,IF(N336="x",-$E336/(COUNTIF($J336:$Q336,"x")+1),-$E336*N(N336)))</f>
        <v/>
      </c>
      <c r="AC336" s="34">
        <f>IF(OR($A336="",$H336&lt;&gt;"Ausgabe",O336=""),0,IF(O336="x",-$E336/(COUNTIF($J336:$Q336,"x")+1),-$E336*N(O336)))</f>
        <v/>
      </c>
      <c r="AD336" s="34">
        <f>IF(OR($A336="",$H336&lt;&gt;"Ausgabe",P336=""),0,IF(P336="x",-$E336/(COUNTIF($J336:$Q336,"x")+1),-$E336*N(P336)))</f>
        <v/>
      </c>
      <c r="AE336" s="34">
        <f>IF(OR($A336="",$H336&lt;&gt;"Ausgabe",Q336=""),0,IF(Q336="x",-$E336/(COUNTIF($J336:$Q336,"x")+1),-$E336*N(Q336)))</f>
        <v/>
      </c>
    </row>
    <row r="337">
      <c r="A337" s="30" t="n"/>
      <c r="E337" s="31" t="n"/>
      <c r="J337" s="32" t="n"/>
      <c r="K337" s="32" t="n"/>
      <c r="L337" s="32" t="n"/>
      <c r="M337" s="32" t="n"/>
      <c r="N337" s="32" t="n"/>
      <c r="O337" s="32" t="n"/>
      <c r="P337" s="32" t="n"/>
      <c r="Q337" s="32" t="n"/>
      <c r="U337" s="31">
        <f>IF($A337="","",SUM(X337:AE337))</f>
        <v/>
      </c>
      <c r="V337" s="31">
        <f>IF($A337="","",IF($H337&lt;&gt;"Ausgabe",0,-$E337-$U337))</f>
        <v/>
      </c>
      <c r="W337" s="33">
        <f>IF($A337="","",DATE(YEAR($A337),MONTH($A337),1))</f>
        <v/>
      </c>
      <c r="X337" s="34">
        <f>IF(OR($A337="",$H337&lt;&gt;"Ausgabe",J337=""),0,IF(J337="x",-$E337/(COUNTIF($J337:$Q337,"x")+1),-$E337*N(J337)))</f>
        <v/>
      </c>
      <c r="Y337" s="34">
        <f>IF(OR($A337="",$H337&lt;&gt;"Ausgabe",K337=""),0,IF(K337="x",-$E337/(COUNTIF($J337:$Q337,"x")+1),-$E337*N(K337)))</f>
        <v/>
      </c>
      <c r="Z337" s="34">
        <f>IF(OR($A337="",$H337&lt;&gt;"Ausgabe",L337=""),0,IF(L337="x",-$E337/(COUNTIF($J337:$Q337,"x")+1),-$E337*N(L337)))</f>
        <v/>
      </c>
      <c r="AA337" s="34">
        <f>IF(OR($A337="",$H337&lt;&gt;"Ausgabe",M337=""),0,IF(M337="x",-$E337/(COUNTIF($J337:$Q337,"x")+1),-$E337*N(M337)))</f>
        <v/>
      </c>
      <c r="AB337" s="34">
        <f>IF(OR($A337="",$H337&lt;&gt;"Ausgabe",N337=""),0,IF(N337="x",-$E337/(COUNTIF($J337:$Q337,"x")+1),-$E337*N(N337)))</f>
        <v/>
      </c>
      <c r="AC337" s="34">
        <f>IF(OR($A337="",$H337&lt;&gt;"Ausgabe",O337=""),0,IF(O337="x",-$E337/(COUNTIF($J337:$Q337,"x")+1),-$E337*N(O337)))</f>
        <v/>
      </c>
      <c r="AD337" s="34">
        <f>IF(OR($A337="",$H337&lt;&gt;"Ausgabe",P337=""),0,IF(P337="x",-$E337/(COUNTIF($J337:$Q337,"x")+1),-$E337*N(P337)))</f>
        <v/>
      </c>
      <c r="AE337" s="34">
        <f>IF(OR($A337="",$H337&lt;&gt;"Ausgabe",Q337=""),0,IF(Q337="x",-$E337/(COUNTIF($J337:$Q337,"x")+1),-$E337*N(Q337)))</f>
        <v/>
      </c>
    </row>
    <row r="338">
      <c r="A338" s="30" t="n"/>
      <c r="E338" s="31" t="n"/>
      <c r="J338" s="32" t="n"/>
      <c r="K338" s="32" t="n"/>
      <c r="L338" s="32" t="n"/>
      <c r="M338" s="32" t="n"/>
      <c r="N338" s="32" t="n"/>
      <c r="O338" s="32" t="n"/>
      <c r="P338" s="32" t="n"/>
      <c r="Q338" s="32" t="n"/>
      <c r="U338" s="31">
        <f>IF($A338="","",SUM(X338:AE338))</f>
        <v/>
      </c>
      <c r="V338" s="31">
        <f>IF($A338="","",IF($H338&lt;&gt;"Ausgabe",0,-$E338-$U338))</f>
        <v/>
      </c>
      <c r="W338" s="33">
        <f>IF($A338="","",DATE(YEAR($A338),MONTH($A338),1))</f>
        <v/>
      </c>
      <c r="X338" s="34">
        <f>IF(OR($A338="",$H338&lt;&gt;"Ausgabe",J338=""),0,IF(J338="x",-$E338/(COUNTIF($J338:$Q338,"x")+1),-$E338*N(J338)))</f>
        <v/>
      </c>
      <c r="Y338" s="34">
        <f>IF(OR($A338="",$H338&lt;&gt;"Ausgabe",K338=""),0,IF(K338="x",-$E338/(COUNTIF($J338:$Q338,"x")+1),-$E338*N(K338)))</f>
        <v/>
      </c>
      <c r="Z338" s="34">
        <f>IF(OR($A338="",$H338&lt;&gt;"Ausgabe",L338=""),0,IF(L338="x",-$E338/(COUNTIF($J338:$Q338,"x")+1),-$E338*N(L338)))</f>
        <v/>
      </c>
      <c r="AA338" s="34">
        <f>IF(OR($A338="",$H338&lt;&gt;"Ausgabe",M338=""),0,IF(M338="x",-$E338/(COUNTIF($J338:$Q338,"x")+1),-$E338*N(M338)))</f>
        <v/>
      </c>
      <c r="AB338" s="34">
        <f>IF(OR($A338="",$H338&lt;&gt;"Ausgabe",N338=""),0,IF(N338="x",-$E338/(COUNTIF($J338:$Q338,"x")+1),-$E338*N(N338)))</f>
        <v/>
      </c>
      <c r="AC338" s="34">
        <f>IF(OR($A338="",$H338&lt;&gt;"Ausgabe",O338=""),0,IF(O338="x",-$E338/(COUNTIF($J338:$Q338,"x")+1),-$E338*N(O338)))</f>
        <v/>
      </c>
      <c r="AD338" s="34">
        <f>IF(OR($A338="",$H338&lt;&gt;"Ausgabe",P338=""),0,IF(P338="x",-$E338/(COUNTIF($J338:$Q338,"x")+1),-$E338*N(P338)))</f>
        <v/>
      </c>
      <c r="AE338" s="34">
        <f>IF(OR($A338="",$H338&lt;&gt;"Ausgabe",Q338=""),0,IF(Q338="x",-$E338/(COUNTIF($J338:$Q338,"x")+1),-$E338*N(Q338)))</f>
        <v/>
      </c>
    </row>
    <row r="339">
      <c r="A339" s="30" t="n"/>
      <c r="E339" s="31" t="n"/>
      <c r="J339" s="32" t="n"/>
      <c r="K339" s="32" t="n"/>
      <c r="L339" s="32" t="n"/>
      <c r="M339" s="32" t="n"/>
      <c r="N339" s="32" t="n"/>
      <c r="O339" s="32" t="n"/>
      <c r="P339" s="32" t="n"/>
      <c r="Q339" s="32" t="n"/>
      <c r="U339" s="31">
        <f>IF($A339="","",SUM(X339:AE339))</f>
        <v/>
      </c>
      <c r="V339" s="31">
        <f>IF($A339="","",IF($H339&lt;&gt;"Ausgabe",0,-$E339-$U339))</f>
        <v/>
      </c>
      <c r="W339" s="33">
        <f>IF($A339="","",DATE(YEAR($A339),MONTH($A339),1))</f>
        <v/>
      </c>
      <c r="X339" s="34">
        <f>IF(OR($A339="",$H339&lt;&gt;"Ausgabe",J339=""),0,IF(J339="x",-$E339/(COUNTIF($J339:$Q339,"x")+1),-$E339*N(J339)))</f>
        <v/>
      </c>
      <c r="Y339" s="34">
        <f>IF(OR($A339="",$H339&lt;&gt;"Ausgabe",K339=""),0,IF(K339="x",-$E339/(COUNTIF($J339:$Q339,"x")+1),-$E339*N(K339)))</f>
        <v/>
      </c>
      <c r="Z339" s="34">
        <f>IF(OR($A339="",$H339&lt;&gt;"Ausgabe",L339=""),0,IF(L339="x",-$E339/(COUNTIF($J339:$Q339,"x")+1),-$E339*N(L339)))</f>
        <v/>
      </c>
      <c r="AA339" s="34">
        <f>IF(OR($A339="",$H339&lt;&gt;"Ausgabe",M339=""),0,IF(M339="x",-$E339/(COUNTIF($J339:$Q339,"x")+1),-$E339*N(M339)))</f>
        <v/>
      </c>
      <c r="AB339" s="34">
        <f>IF(OR($A339="",$H339&lt;&gt;"Ausgabe",N339=""),0,IF(N339="x",-$E339/(COUNTIF($J339:$Q339,"x")+1),-$E339*N(N339)))</f>
        <v/>
      </c>
      <c r="AC339" s="34">
        <f>IF(OR($A339="",$H339&lt;&gt;"Ausgabe",O339=""),0,IF(O339="x",-$E339/(COUNTIF($J339:$Q339,"x")+1),-$E339*N(O339)))</f>
        <v/>
      </c>
      <c r="AD339" s="34">
        <f>IF(OR($A339="",$H339&lt;&gt;"Ausgabe",P339=""),0,IF(P339="x",-$E339/(COUNTIF($J339:$Q339,"x")+1),-$E339*N(P339)))</f>
        <v/>
      </c>
      <c r="AE339" s="34">
        <f>IF(OR($A339="",$H339&lt;&gt;"Ausgabe",Q339=""),0,IF(Q339="x",-$E339/(COUNTIF($J339:$Q339,"x")+1),-$E339*N(Q339)))</f>
        <v/>
      </c>
    </row>
    <row r="340">
      <c r="A340" s="30" t="n"/>
      <c r="E340" s="31" t="n"/>
      <c r="J340" s="32" t="n"/>
      <c r="K340" s="32" t="n"/>
      <c r="L340" s="32" t="n"/>
      <c r="M340" s="32" t="n"/>
      <c r="N340" s="32" t="n"/>
      <c r="O340" s="32" t="n"/>
      <c r="P340" s="32" t="n"/>
      <c r="Q340" s="32" t="n"/>
      <c r="U340" s="31">
        <f>IF($A340="","",SUM(X340:AE340))</f>
        <v/>
      </c>
      <c r="V340" s="31">
        <f>IF($A340="","",IF($H340&lt;&gt;"Ausgabe",0,-$E340-$U340))</f>
        <v/>
      </c>
      <c r="W340" s="33">
        <f>IF($A340="","",DATE(YEAR($A340),MONTH($A340),1))</f>
        <v/>
      </c>
      <c r="X340" s="34">
        <f>IF(OR($A340="",$H340&lt;&gt;"Ausgabe",J340=""),0,IF(J340="x",-$E340/(COUNTIF($J340:$Q340,"x")+1),-$E340*N(J340)))</f>
        <v/>
      </c>
      <c r="Y340" s="34">
        <f>IF(OR($A340="",$H340&lt;&gt;"Ausgabe",K340=""),0,IF(K340="x",-$E340/(COUNTIF($J340:$Q340,"x")+1),-$E340*N(K340)))</f>
        <v/>
      </c>
      <c r="Z340" s="34">
        <f>IF(OR($A340="",$H340&lt;&gt;"Ausgabe",L340=""),0,IF(L340="x",-$E340/(COUNTIF($J340:$Q340,"x")+1),-$E340*N(L340)))</f>
        <v/>
      </c>
      <c r="AA340" s="34">
        <f>IF(OR($A340="",$H340&lt;&gt;"Ausgabe",M340=""),0,IF(M340="x",-$E340/(COUNTIF($J340:$Q340,"x")+1),-$E340*N(M340)))</f>
        <v/>
      </c>
      <c r="AB340" s="34">
        <f>IF(OR($A340="",$H340&lt;&gt;"Ausgabe",N340=""),0,IF(N340="x",-$E340/(COUNTIF($J340:$Q340,"x")+1),-$E340*N(N340)))</f>
        <v/>
      </c>
      <c r="AC340" s="34">
        <f>IF(OR($A340="",$H340&lt;&gt;"Ausgabe",O340=""),0,IF(O340="x",-$E340/(COUNTIF($J340:$Q340,"x")+1),-$E340*N(O340)))</f>
        <v/>
      </c>
      <c r="AD340" s="34">
        <f>IF(OR($A340="",$H340&lt;&gt;"Ausgabe",P340=""),0,IF(P340="x",-$E340/(COUNTIF($J340:$Q340,"x")+1),-$E340*N(P340)))</f>
        <v/>
      </c>
      <c r="AE340" s="34">
        <f>IF(OR($A340="",$H340&lt;&gt;"Ausgabe",Q340=""),0,IF(Q340="x",-$E340/(COUNTIF($J340:$Q340,"x")+1),-$E340*N(Q340)))</f>
        <v/>
      </c>
    </row>
    <row r="341">
      <c r="A341" s="30" t="n"/>
      <c r="E341" s="31" t="n"/>
      <c r="J341" s="32" t="n"/>
      <c r="K341" s="32" t="n"/>
      <c r="L341" s="32" t="n"/>
      <c r="M341" s="32" t="n"/>
      <c r="N341" s="32" t="n"/>
      <c r="O341" s="32" t="n"/>
      <c r="P341" s="32" t="n"/>
      <c r="Q341" s="32" t="n"/>
      <c r="U341" s="31">
        <f>IF($A341="","",SUM(X341:AE341))</f>
        <v/>
      </c>
      <c r="V341" s="31">
        <f>IF($A341="","",IF($H341&lt;&gt;"Ausgabe",0,-$E341-$U341))</f>
        <v/>
      </c>
      <c r="W341" s="33">
        <f>IF($A341="","",DATE(YEAR($A341),MONTH($A341),1))</f>
        <v/>
      </c>
      <c r="X341" s="34">
        <f>IF(OR($A341="",$H341&lt;&gt;"Ausgabe",J341=""),0,IF(J341="x",-$E341/(COUNTIF($J341:$Q341,"x")+1),-$E341*N(J341)))</f>
        <v/>
      </c>
      <c r="Y341" s="34">
        <f>IF(OR($A341="",$H341&lt;&gt;"Ausgabe",K341=""),0,IF(K341="x",-$E341/(COUNTIF($J341:$Q341,"x")+1),-$E341*N(K341)))</f>
        <v/>
      </c>
      <c r="Z341" s="34">
        <f>IF(OR($A341="",$H341&lt;&gt;"Ausgabe",L341=""),0,IF(L341="x",-$E341/(COUNTIF($J341:$Q341,"x")+1),-$E341*N(L341)))</f>
        <v/>
      </c>
      <c r="AA341" s="34">
        <f>IF(OR($A341="",$H341&lt;&gt;"Ausgabe",M341=""),0,IF(M341="x",-$E341/(COUNTIF($J341:$Q341,"x")+1),-$E341*N(M341)))</f>
        <v/>
      </c>
      <c r="AB341" s="34">
        <f>IF(OR($A341="",$H341&lt;&gt;"Ausgabe",N341=""),0,IF(N341="x",-$E341/(COUNTIF($J341:$Q341,"x")+1),-$E341*N(N341)))</f>
        <v/>
      </c>
      <c r="AC341" s="34">
        <f>IF(OR($A341="",$H341&lt;&gt;"Ausgabe",O341=""),0,IF(O341="x",-$E341/(COUNTIF($J341:$Q341,"x")+1),-$E341*N(O341)))</f>
        <v/>
      </c>
      <c r="AD341" s="34">
        <f>IF(OR($A341="",$H341&lt;&gt;"Ausgabe",P341=""),0,IF(P341="x",-$E341/(COUNTIF($J341:$Q341,"x")+1),-$E341*N(P341)))</f>
        <v/>
      </c>
      <c r="AE341" s="34">
        <f>IF(OR($A341="",$H341&lt;&gt;"Ausgabe",Q341=""),0,IF(Q341="x",-$E341/(COUNTIF($J341:$Q341,"x")+1),-$E341*N(Q341)))</f>
        <v/>
      </c>
    </row>
    <row r="342">
      <c r="A342" s="30" t="n"/>
      <c r="E342" s="31" t="n"/>
      <c r="J342" s="32" t="n"/>
      <c r="K342" s="32" t="n"/>
      <c r="L342" s="32" t="n"/>
      <c r="M342" s="32" t="n"/>
      <c r="N342" s="32" t="n"/>
      <c r="O342" s="32" t="n"/>
      <c r="P342" s="32" t="n"/>
      <c r="Q342" s="32" t="n"/>
      <c r="U342" s="31">
        <f>IF($A342="","",SUM(X342:AE342))</f>
        <v/>
      </c>
      <c r="V342" s="31">
        <f>IF($A342="","",IF($H342&lt;&gt;"Ausgabe",0,-$E342-$U342))</f>
        <v/>
      </c>
      <c r="W342" s="33">
        <f>IF($A342="","",DATE(YEAR($A342),MONTH($A342),1))</f>
        <v/>
      </c>
      <c r="X342" s="34">
        <f>IF(OR($A342="",$H342&lt;&gt;"Ausgabe",J342=""),0,IF(J342="x",-$E342/(COUNTIF($J342:$Q342,"x")+1),-$E342*N(J342)))</f>
        <v/>
      </c>
      <c r="Y342" s="34">
        <f>IF(OR($A342="",$H342&lt;&gt;"Ausgabe",K342=""),0,IF(K342="x",-$E342/(COUNTIF($J342:$Q342,"x")+1),-$E342*N(K342)))</f>
        <v/>
      </c>
      <c r="Z342" s="34">
        <f>IF(OR($A342="",$H342&lt;&gt;"Ausgabe",L342=""),0,IF(L342="x",-$E342/(COUNTIF($J342:$Q342,"x")+1),-$E342*N(L342)))</f>
        <v/>
      </c>
      <c r="AA342" s="34">
        <f>IF(OR($A342="",$H342&lt;&gt;"Ausgabe",M342=""),0,IF(M342="x",-$E342/(COUNTIF($J342:$Q342,"x")+1),-$E342*N(M342)))</f>
        <v/>
      </c>
      <c r="AB342" s="34">
        <f>IF(OR($A342="",$H342&lt;&gt;"Ausgabe",N342=""),0,IF(N342="x",-$E342/(COUNTIF($J342:$Q342,"x")+1),-$E342*N(N342)))</f>
        <v/>
      </c>
      <c r="AC342" s="34">
        <f>IF(OR($A342="",$H342&lt;&gt;"Ausgabe",O342=""),0,IF(O342="x",-$E342/(COUNTIF($J342:$Q342,"x")+1),-$E342*N(O342)))</f>
        <v/>
      </c>
      <c r="AD342" s="34">
        <f>IF(OR($A342="",$H342&lt;&gt;"Ausgabe",P342=""),0,IF(P342="x",-$E342/(COUNTIF($J342:$Q342,"x")+1),-$E342*N(P342)))</f>
        <v/>
      </c>
      <c r="AE342" s="34">
        <f>IF(OR($A342="",$H342&lt;&gt;"Ausgabe",Q342=""),0,IF(Q342="x",-$E342/(COUNTIF($J342:$Q342,"x")+1),-$E342*N(Q342)))</f>
        <v/>
      </c>
    </row>
    <row r="343">
      <c r="A343" s="30" t="n"/>
      <c r="E343" s="31" t="n"/>
      <c r="J343" s="32" t="n"/>
      <c r="K343" s="32" t="n"/>
      <c r="L343" s="32" t="n"/>
      <c r="M343" s="32" t="n"/>
      <c r="N343" s="32" t="n"/>
      <c r="O343" s="32" t="n"/>
      <c r="P343" s="32" t="n"/>
      <c r="Q343" s="32" t="n"/>
      <c r="U343" s="31">
        <f>IF($A343="","",SUM(X343:AE343))</f>
        <v/>
      </c>
      <c r="V343" s="31">
        <f>IF($A343="","",IF($H343&lt;&gt;"Ausgabe",0,-$E343-$U343))</f>
        <v/>
      </c>
      <c r="W343" s="33">
        <f>IF($A343="","",DATE(YEAR($A343),MONTH($A343),1))</f>
        <v/>
      </c>
      <c r="X343" s="34">
        <f>IF(OR($A343="",$H343&lt;&gt;"Ausgabe",J343=""),0,IF(J343="x",-$E343/(COUNTIF($J343:$Q343,"x")+1),-$E343*N(J343)))</f>
        <v/>
      </c>
      <c r="Y343" s="34">
        <f>IF(OR($A343="",$H343&lt;&gt;"Ausgabe",K343=""),0,IF(K343="x",-$E343/(COUNTIF($J343:$Q343,"x")+1),-$E343*N(K343)))</f>
        <v/>
      </c>
      <c r="Z343" s="34">
        <f>IF(OR($A343="",$H343&lt;&gt;"Ausgabe",L343=""),0,IF(L343="x",-$E343/(COUNTIF($J343:$Q343,"x")+1),-$E343*N(L343)))</f>
        <v/>
      </c>
      <c r="AA343" s="34">
        <f>IF(OR($A343="",$H343&lt;&gt;"Ausgabe",M343=""),0,IF(M343="x",-$E343/(COUNTIF($J343:$Q343,"x")+1),-$E343*N(M343)))</f>
        <v/>
      </c>
      <c r="AB343" s="34">
        <f>IF(OR($A343="",$H343&lt;&gt;"Ausgabe",N343=""),0,IF(N343="x",-$E343/(COUNTIF($J343:$Q343,"x")+1),-$E343*N(N343)))</f>
        <v/>
      </c>
      <c r="AC343" s="34">
        <f>IF(OR($A343="",$H343&lt;&gt;"Ausgabe",O343=""),0,IF(O343="x",-$E343/(COUNTIF($J343:$Q343,"x")+1),-$E343*N(O343)))</f>
        <v/>
      </c>
      <c r="AD343" s="34">
        <f>IF(OR($A343="",$H343&lt;&gt;"Ausgabe",P343=""),0,IF(P343="x",-$E343/(COUNTIF($J343:$Q343,"x")+1),-$E343*N(P343)))</f>
        <v/>
      </c>
      <c r="AE343" s="34">
        <f>IF(OR($A343="",$H343&lt;&gt;"Ausgabe",Q343=""),0,IF(Q343="x",-$E343/(COUNTIF($J343:$Q343,"x")+1),-$E343*N(Q343)))</f>
        <v/>
      </c>
    </row>
    <row r="344">
      <c r="A344" s="30" t="n"/>
      <c r="E344" s="31" t="n"/>
      <c r="J344" s="32" t="n"/>
      <c r="K344" s="32" t="n"/>
      <c r="L344" s="32" t="n"/>
      <c r="M344" s="32" t="n"/>
      <c r="N344" s="32" t="n"/>
      <c r="O344" s="32" t="n"/>
      <c r="P344" s="32" t="n"/>
      <c r="Q344" s="32" t="n"/>
      <c r="U344" s="31">
        <f>IF($A344="","",SUM(X344:AE344))</f>
        <v/>
      </c>
      <c r="V344" s="31">
        <f>IF($A344="","",IF($H344&lt;&gt;"Ausgabe",0,-$E344-$U344))</f>
        <v/>
      </c>
      <c r="W344" s="33">
        <f>IF($A344="","",DATE(YEAR($A344),MONTH($A344),1))</f>
        <v/>
      </c>
      <c r="X344" s="34">
        <f>IF(OR($A344="",$H344&lt;&gt;"Ausgabe",J344=""),0,IF(J344="x",-$E344/(COUNTIF($J344:$Q344,"x")+1),-$E344*N(J344)))</f>
        <v/>
      </c>
      <c r="Y344" s="34">
        <f>IF(OR($A344="",$H344&lt;&gt;"Ausgabe",K344=""),0,IF(K344="x",-$E344/(COUNTIF($J344:$Q344,"x")+1),-$E344*N(K344)))</f>
        <v/>
      </c>
      <c r="Z344" s="34">
        <f>IF(OR($A344="",$H344&lt;&gt;"Ausgabe",L344=""),0,IF(L344="x",-$E344/(COUNTIF($J344:$Q344,"x")+1),-$E344*N(L344)))</f>
        <v/>
      </c>
      <c r="AA344" s="34">
        <f>IF(OR($A344="",$H344&lt;&gt;"Ausgabe",M344=""),0,IF(M344="x",-$E344/(COUNTIF($J344:$Q344,"x")+1),-$E344*N(M344)))</f>
        <v/>
      </c>
      <c r="AB344" s="34">
        <f>IF(OR($A344="",$H344&lt;&gt;"Ausgabe",N344=""),0,IF(N344="x",-$E344/(COUNTIF($J344:$Q344,"x")+1),-$E344*N(N344)))</f>
        <v/>
      </c>
      <c r="AC344" s="34">
        <f>IF(OR($A344="",$H344&lt;&gt;"Ausgabe",O344=""),0,IF(O344="x",-$E344/(COUNTIF($J344:$Q344,"x")+1),-$E344*N(O344)))</f>
        <v/>
      </c>
      <c r="AD344" s="34">
        <f>IF(OR($A344="",$H344&lt;&gt;"Ausgabe",P344=""),0,IF(P344="x",-$E344/(COUNTIF($J344:$Q344,"x")+1),-$E344*N(P344)))</f>
        <v/>
      </c>
      <c r="AE344" s="34">
        <f>IF(OR($A344="",$H344&lt;&gt;"Ausgabe",Q344=""),0,IF(Q344="x",-$E344/(COUNTIF($J344:$Q344,"x")+1),-$E344*N(Q344)))</f>
        <v/>
      </c>
    </row>
    <row r="345">
      <c r="A345" s="30" t="n"/>
      <c r="E345" s="31" t="n"/>
      <c r="J345" s="32" t="n"/>
      <c r="K345" s="32" t="n"/>
      <c r="L345" s="32" t="n"/>
      <c r="M345" s="32" t="n"/>
      <c r="N345" s="32" t="n"/>
      <c r="O345" s="32" t="n"/>
      <c r="P345" s="32" t="n"/>
      <c r="Q345" s="32" t="n"/>
      <c r="U345" s="31">
        <f>IF($A345="","",SUM(X345:AE345))</f>
        <v/>
      </c>
      <c r="V345" s="31">
        <f>IF($A345="","",IF($H345&lt;&gt;"Ausgabe",0,-$E345-$U345))</f>
        <v/>
      </c>
      <c r="W345" s="33">
        <f>IF($A345="","",DATE(YEAR($A345),MONTH($A345),1))</f>
        <v/>
      </c>
      <c r="X345" s="34">
        <f>IF(OR($A345="",$H345&lt;&gt;"Ausgabe",J345=""),0,IF(J345="x",-$E345/(COUNTIF($J345:$Q345,"x")+1),-$E345*N(J345)))</f>
        <v/>
      </c>
      <c r="Y345" s="34">
        <f>IF(OR($A345="",$H345&lt;&gt;"Ausgabe",K345=""),0,IF(K345="x",-$E345/(COUNTIF($J345:$Q345,"x")+1),-$E345*N(K345)))</f>
        <v/>
      </c>
      <c r="Z345" s="34">
        <f>IF(OR($A345="",$H345&lt;&gt;"Ausgabe",L345=""),0,IF(L345="x",-$E345/(COUNTIF($J345:$Q345,"x")+1),-$E345*N(L345)))</f>
        <v/>
      </c>
      <c r="AA345" s="34">
        <f>IF(OR($A345="",$H345&lt;&gt;"Ausgabe",M345=""),0,IF(M345="x",-$E345/(COUNTIF($J345:$Q345,"x")+1),-$E345*N(M345)))</f>
        <v/>
      </c>
      <c r="AB345" s="34">
        <f>IF(OR($A345="",$H345&lt;&gt;"Ausgabe",N345=""),0,IF(N345="x",-$E345/(COUNTIF($J345:$Q345,"x")+1),-$E345*N(N345)))</f>
        <v/>
      </c>
      <c r="AC345" s="34">
        <f>IF(OR($A345="",$H345&lt;&gt;"Ausgabe",O345=""),0,IF(O345="x",-$E345/(COUNTIF($J345:$Q345,"x")+1),-$E345*N(O345)))</f>
        <v/>
      </c>
      <c r="AD345" s="34">
        <f>IF(OR($A345="",$H345&lt;&gt;"Ausgabe",P345=""),0,IF(P345="x",-$E345/(COUNTIF($J345:$Q345,"x")+1),-$E345*N(P345)))</f>
        <v/>
      </c>
      <c r="AE345" s="34">
        <f>IF(OR($A345="",$H345&lt;&gt;"Ausgabe",Q345=""),0,IF(Q345="x",-$E345/(COUNTIF($J345:$Q345,"x")+1),-$E345*N(Q345)))</f>
        <v/>
      </c>
    </row>
    <row r="346">
      <c r="A346" s="30" t="n"/>
      <c r="E346" s="31" t="n"/>
      <c r="J346" s="32" t="n"/>
      <c r="K346" s="32" t="n"/>
      <c r="L346" s="32" t="n"/>
      <c r="M346" s="32" t="n"/>
      <c r="N346" s="32" t="n"/>
      <c r="O346" s="32" t="n"/>
      <c r="P346" s="32" t="n"/>
      <c r="Q346" s="32" t="n"/>
      <c r="U346" s="31">
        <f>IF($A346="","",SUM(X346:AE346))</f>
        <v/>
      </c>
      <c r="V346" s="31">
        <f>IF($A346="","",IF($H346&lt;&gt;"Ausgabe",0,-$E346-$U346))</f>
        <v/>
      </c>
      <c r="W346" s="33">
        <f>IF($A346="","",DATE(YEAR($A346),MONTH($A346),1))</f>
        <v/>
      </c>
      <c r="X346" s="34">
        <f>IF(OR($A346="",$H346&lt;&gt;"Ausgabe",J346=""),0,IF(J346="x",-$E346/(COUNTIF($J346:$Q346,"x")+1),-$E346*N(J346)))</f>
        <v/>
      </c>
      <c r="Y346" s="34">
        <f>IF(OR($A346="",$H346&lt;&gt;"Ausgabe",K346=""),0,IF(K346="x",-$E346/(COUNTIF($J346:$Q346,"x")+1),-$E346*N(K346)))</f>
        <v/>
      </c>
      <c r="Z346" s="34">
        <f>IF(OR($A346="",$H346&lt;&gt;"Ausgabe",L346=""),0,IF(L346="x",-$E346/(COUNTIF($J346:$Q346,"x")+1),-$E346*N(L346)))</f>
        <v/>
      </c>
      <c r="AA346" s="34">
        <f>IF(OR($A346="",$H346&lt;&gt;"Ausgabe",M346=""),0,IF(M346="x",-$E346/(COUNTIF($J346:$Q346,"x")+1),-$E346*N(M346)))</f>
        <v/>
      </c>
      <c r="AB346" s="34">
        <f>IF(OR($A346="",$H346&lt;&gt;"Ausgabe",N346=""),0,IF(N346="x",-$E346/(COUNTIF($J346:$Q346,"x")+1),-$E346*N(N346)))</f>
        <v/>
      </c>
      <c r="AC346" s="34">
        <f>IF(OR($A346="",$H346&lt;&gt;"Ausgabe",O346=""),0,IF(O346="x",-$E346/(COUNTIF($J346:$Q346,"x")+1),-$E346*N(O346)))</f>
        <v/>
      </c>
      <c r="AD346" s="34">
        <f>IF(OR($A346="",$H346&lt;&gt;"Ausgabe",P346=""),0,IF(P346="x",-$E346/(COUNTIF($J346:$Q346,"x")+1),-$E346*N(P346)))</f>
        <v/>
      </c>
      <c r="AE346" s="34">
        <f>IF(OR($A346="",$H346&lt;&gt;"Ausgabe",Q346=""),0,IF(Q346="x",-$E346/(COUNTIF($J346:$Q346,"x")+1),-$E346*N(Q346)))</f>
        <v/>
      </c>
    </row>
    <row r="347">
      <c r="A347" s="30" t="n"/>
      <c r="E347" s="31" t="n"/>
      <c r="J347" s="32" t="n"/>
      <c r="K347" s="32" t="n"/>
      <c r="L347" s="32" t="n"/>
      <c r="M347" s="32" t="n"/>
      <c r="N347" s="32" t="n"/>
      <c r="O347" s="32" t="n"/>
      <c r="P347" s="32" t="n"/>
      <c r="Q347" s="32" t="n"/>
      <c r="U347" s="31">
        <f>IF($A347="","",SUM(X347:AE347))</f>
        <v/>
      </c>
      <c r="V347" s="31">
        <f>IF($A347="","",IF($H347&lt;&gt;"Ausgabe",0,-$E347-$U347))</f>
        <v/>
      </c>
      <c r="W347" s="33">
        <f>IF($A347="","",DATE(YEAR($A347),MONTH($A347),1))</f>
        <v/>
      </c>
      <c r="X347" s="34">
        <f>IF(OR($A347="",$H347&lt;&gt;"Ausgabe",J347=""),0,IF(J347="x",-$E347/(COUNTIF($J347:$Q347,"x")+1),-$E347*N(J347)))</f>
        <v/>
      </c>
      <c r="Y347" s="34">
        <f>IF(OR($A347="",$H347&lt;&gt;"Ausgabe",K347=""),0,IF(K347="x",-$E347/(COUNTIF($J347:$Q347,"x")+1),-$E347*N(K347)))</f>
        <v/>
      </c>
      <c r="Z347" s="34">
        <f>IF(OR($A347="",$H347&lt;&gt;"Ausgabe",L347=""),0,IF(L347="x",-$E347/(COUNTIF($J347:$Q347,"x")+1),-$E347*N(L347)))</f>
        <v/>
      </c>
      <c r="AA347" s="34">
        <f>IF(OR($A347="",$H347&lt;&gt;"Ausgabe",M347=""),0,IF(M347="x",-$E347/(COUNTIF($J347:$Q347,"x")+1),-$E347*N(M347)))</f>
        <v/>
      </c>
      <c r="AB347" s="34">
        <f>IF(OR($A347="",$H347&lt;&gt;"Ausgabe",N347=""),0,IF(N347="x",-$E347/(COUNTIF($J347:$Q347,"x")+1),-$E347*N(N347)))</f>
        <v/>
      </c>
      <c r="AC347" s="34">
        <f>IF(OR($A347="",$H347&lt;&gt;"Ausgabe",O347=""),0,IF(O347="x",-$E347/(COUNTIF($J347:$Q347,"x")+1),-$E347*N(O347)))</f>
        <v/>
      </c>
      <c r="AD347" s="34">
        <f>IF(OR($A347="",$H347&lt;&gt;"Ausgabe",P347=""),0,IF(P347="x",-$E347/(COUNTIF($J347:$Q347,"x")+1),-$E347*N(P347)))</f>
        <v/>
      </c>
      <c r="AE347" s="34">
        <f>IF(OR($A347="",$H347&lt;&gt;"Ausgabe",Q347=""),0,IF(Q347="x",-$E347/(COUNTIF($J347:$Q347,"x")+1),-$E347*N(Q347)))</f>
        <v/>
      </c>
    </row>
    <row r="348">
      <c r="A348" s="30" t="n"/>
      <c r="E348" s="31" t="n"/>
      <c r="J348" s="32" t="n"/>
      <c r="K348" s="32" t="n"/>
      <c r="L348" s="32" t="n"/>
      <c r="M348" s="32" t="n"/>
      <c r="N348" s="32" t="n"/>
      <c r="O348" s="32" t="n"/>
      <c r="P348" s="32" t="n"/>
      <c r="Q348" s="32" t="n"/>
      <c r="U348" s="31">
        <f>IF($A348="","",SUM(X348:AE348))</f>
        <v/>
      </c>
      <c r="V348" s="31">
        <f>IF($A348="","",IF($H348&lt;&gt;"Ausgabe",0,-$E348-$U348))</f>
        <v/>
      </c>
      <c r="W348" s="33">
        <f>IF($A348="","",DATE(YEAR($A348),MONTH($A348),1))</f>
        <v/>
      </c>
      <c r="X348" s="34">
        <f>IF(OR($A348="",$H348&lt;&gt;"Ausgabe",J348=""),0,IF(J348="x",-$E348/(COUNTIF($J348:$Q348,"x")+1),-$E348*N(J348)))</f>
        <v/>
      </c>
      <c r="Y348" s="34">
        <f>IF(OR($A348="",$H348&lt;&gt;"Ausgabe",K348=""),0,IF(K348="x",-$E348/(COUNTIF($J348:$Q348,"x")+1),-$E348*N(K348)))</f>
        <v/>
      </c>
      <c r="Z348" s="34">
        <f>IF(OR($A348="",$H348&lt;&gt;"Ausgabe",L348=""),0,IF(L348="x",-$E348/(COUNTIF($J348:$Q348,"x")+1),-$E348*N(L348)))</f>
        <v/>
      </c>
      <c r="AA348" s="34">
        <f>IF(OR($A348="",$H348&lt;&gt;"Ausgabe",M348=""),0,IF(M348="x",-$E348/(COUNTIF($J348:$Q348,"x")+1),-$E348*N(M348)))</f>
        <v/>
      </c>
      <c r="AB348" s="34">
        <f>IF(OR($A348="",$H348&lt;&gt;"Ausgabe",N348=""),0,IF(N348="x",-$E348/(COUNTIF($J348:$Q348,"x")+1),-$E348*N(N348)))</f>
        <v/>
      </c>
      <c r="AC348" s="34">
        <f>IF(OR($A348="",$H348&lt;&gt;"Ausgabe",O348=""),0,IF(O348="x",-$E348/(COUNTIF($J348:$Q348,"x")+1),-$E348*N(O348)))</f>
        <v/>
      </c>
      <c r="AD348" s="34">
        <f>IF(OR($A348="",$H348&lt;&gt;"Ausgabe",P348=""),0,IF(P348="x",-$E348/(COUNTIF($J348:$Q348,"x")+1),-$E348*N(P348)))</f>
        <v/>
      </c>
      <c r="AE348" s="34">
        <f>IF(OR($A348="",$H348&lt;&gt;"Ausgabe",Q348=""),0,IF(Q348="x",-$E348/(COUNTIF($J348:$Q348,"x")+1),-$E348*N(Q348)))</f>
        <v/>
      </c>
    </row>
    <row r="349">
      <c r="A349" s="30" t="n"/>
      <c r="E349" s="31" t="n"/>
      <c r="J349" s="32" t="n"/>
      <c r="K349" s="32" t="n"/>
      <c r="L349" s="32" t="n"/>
      <c r="M349" s="32" t="n"/>
      <c r="N349" s="32" t="n"/>
      <c r="O349" s="32" t="n"/>
      <c r="P349" s="32" t="n"/>
      <c r="Q349" s="32" t="n"/>
      <c r="U349" s="31">
        <f>IF($A349="","",SUM(X349:AE349))</f>
        <v/>
      </c>
      <c r="V349" s="31">
        <f>IF($A349="","",IF($H349&lt;&gt;"Ausgabe",0,-$E349-$U349))</f>
        <v/>
      </c>
      <c r="W349" s="33">
        <f>IF($A349="","",DATE(YEAR($A349),MONTH($A349),1))</f>
        <v/>
      </c>
      <c r="X349" s="34">
        <f>IF(OR($A349="",$H349&lt;&gt;"Ausgabe",J349=""),0,IF(J349="x",-$E349/(COUNTIF($J349:$Q349,"x")+1),-$E349*N(J349)))</f>
        <v/>
      </c>
      <c r="Y349" s="34">
        <f>IF(OR($A349="",$H349&lt;&gt;"Ausgabe",K349=""),0,IF(K349="x",-$E349/(COUNTIF($J349:$Q349,"x")+1),-$E349*N(K349)))</f>
        <v/>
      </c>
      <c r="Z349" s="34">
        <f>IF(OR($A349="",$H349&lt;&gt;"Ausgabe",L349=""),0,IF(L349="x",-$E349/(COUNTIF($J349:$Q349,"x")+1),-$E349*N(L349)))</f>
        <v/>
      </c>
      <c r="AA349" s="34">
        <f>IF(OR($A349="",$H349&lt;&gt;"Ausgabe",M349=""),0,IF(M349="x",-$E349/(COUNTIF($J349:$Q349,"x")+1),-$E349*N(M349)))</f>
        <v/>
      </c>
      <c r="AB349" s="34">
        <f>IF(OR($A349="",$H349&lt;&gt;"Ausgabe",N349=""),0,IF(N349="x",-$E349/(COUNTIF($J349:$Q349,"x")+1),-$E349*N(N349)))</f>
        <v/>
      </c>
      <c r="AC349" s="34">
        <f>IF(OR($A349="",$H349&lt;&gt;"Ausgabe",O349=""),0,IF(O349="x",-$E349/(COUNTIF($J349:$Q349,"x")+1),-$E349*N(O349)))</f>
        <v/>
      </c>
      <c r="AD349" s="34">
        <f>IF(OR($A349="",$H349&lt;&gt;"Ausgabe",P349=""),0,IF(P349="x",-$E349/(COUNTIF($J349:$Q349,"x")+1),-$E349*N(P349)))</f>
        <v/>
      </c>
      <c r="AE349" s="34">
        <f>IF(OR($A349="",$H349&lt;&gt;"Ausgabe",Q349=""),0,IF(Q349="x",-$E349/(COUNTIF($J349:$Q349,"x")+1),-$E349*N(Q349)))</f>
        <v/>
      </c>
    </row>
    <row r="350">
      <c r="A350" s="30" t="n"/>
      <c r="E350" s="31" t="n"/>
      <c r="J350" s="32" t="n"/>
      <c r="K350" s="32" t="n"/>
      <c r="L350" s="32" t="n"/>
      <c r="M350" s="32" t="n"/>
      <c r="N350" s="32" t="n"/>
      <c r="O350" s="32" t="n"/>
      <c r="P350" s="32" t="n"/>
      <c r="Q350" s="32" t="n"/>
      <c r="U350" s="31">
        <f>IF($A350="","",SUM(X350:AE350))</f>
        <v/>
      </c>
      <c r="V350" s="31">
        <f>IF($A350="","",IF($H350&lt;&gt;"Ausgabe",0,-$E350-$U350))</f>
        <v/>
      </c>
      <c r="W350" s="33">
        <f>IF($A350="","",DATE(YEAR($A350),MONTH($A350),1))</f>
        <v/>
      </c>
      <c r="X350" s="34">
        <f>IF(OR($A350="",$H350&lt;&gt;"Ausgabe",J350=""),0,IF(J350="x",-$E350/(COUNTIF($J350:$Q350,"x")+1),-$E350*N(J350)))</f>
        <v/>
      </c>
      <c r="Y350" s="34">
        <f>IF(OR($A350="",$H350&lt;&gt;"Ausgabe",K350=""),0,IF(K350="x",-$E350/(COUNTIF($J350:$Q350,"x")+1),-$E350*N(K350)))</f>
        <v/>
      </c>
      <c r="Z350" s="34">
        <f>IF(OR($A350="",$H350&lt;&gt;"Ausgabe",L350=""),0,IF(L350="x",-$E350/(COUNTIF($J350:$Q350,"x")+1),-$E350*N(L350)))</f>
        <v/>
      </c>
      <c r="AA350" s="34">
        <f>IF(OR($A350="",$H350&lt;&gt;"Ausgabe",M350=""),0,IF(M350="x",-$E350/(COUNTIF($J350:$Q350,"x")+1),-$E350*N(M350)))</f>
        <v/>
      </c>
      <c r="AB350" s="34">
        <f>IF(OR($A350="",$H350&lt;&gt;"Ausgabe",N350=""),0,IF(N350="x",-$E350/(COUNTIF($J350:$Q350,"x")+1),-$E350*N(N350)))</f>
        <v/>
      </c>
      <c r="AC350" s="34">
        <f>IF(OR($A350="",$H350&lt;&gt;"Ausgabe",O350=""),0,IF(O350="x",-$E350/(COUNTIF($J350:$Q350,"x")+1),-$E350*N(O350)))</f>
        <v/>
      </c>
      <c r="AD350" s="34">
        <f>IF(OR($A350="",$H350&lt;&gt;"Ausgabe",P350=""),0,IF(P350="x",-$E350/(COUNTIF($J350:$Q350,"x")+1),-$E350*N(P350)))</f>
        <v/>
      </c>
      <c r="AE350" s="34">
        <f>IF(OR($A350="",$H350&lt;&gt;"Ausgabe",Q350=""),0,IF(Q350="x",-$E350/(COUNTIF($J350:$Q350,"x")+1),-$E350*N(Q350)))</f>
        <v/>
      </c>
    </row>
    <row r="351">
      <c r="A351" s="30" t="n"/>
      <c r="E351" s="31" t="n"/>
      <c r="J351" s="32" t="n"/>
      <c r="K351" s="32" t="n"/>
      <c r="L351" s="32" t="n"/>
      <c r="M351" s="32" t="n"/>
      <c r="N351" s="32" t="n"/>
      <c r="O351" s="32" t="n"/>
      <c r="P351" s="32" t="n"/>
      <c r="Q351" s="32" t="n"/>
      <c r="U351" s="31">
        <f>IF($A351="","",SUM(X351:AE351))</f>
        <v/>
      </c>
      <c r="V351" s="31">
        <f>IF($A351="","",IF($H351&lt;&gt;"Ausgabe",0,-$E351-$U351))</f>
        <v/>
      </c>
      <c r="W351" s="33">
        <f>IF($A351="","",DATE(YEAR($A351),MONTH($A351),1))</f>
        <v/>
      </c>
      <c r="X351" s="34">
        <f>IF(OR($A351="",$H351&lt;&gt;"Ausgabe",J351=""),0,IF(J351="x",-$E351/(COUNTIF($J351:$Q351,"x")+1),-$E351*N(J351)))</f>
        <v/>
      </c>
      <c r="Y351" s="34">
        <f>IF(OR($A351="",$H351&lt;&gt;"Ausgabe",K351=""),0,IF(K351="x",-$E351/(COUNTIF($J351:$Q351,"x")+1),-$E351*N(K351)))</f>
        <v/>
      </c>
      <c r="Z351" s="34">
        <f>IF(OR($A351="",$H351&lt;&gt;"Ausgabe",L351=""),0,IF(L351="x",-$E351/(COUNTIF($J351:$Q351,"x")+1),-$E351*N(L351)))</f>
        <v/>
      </c>
      <c r="AA351" s="34">
        <f>IF(OR($A351="",$H351&lt;&gt;"Ausgabe",M351=""),0,IF(M351="x",-$E351/(COUNTIF($J351:$Q351,"x")+1),-$E351*N(M351)))</f>
        <v/>
      </c>
      <c r="AB351" s="34">
        <f>IF(OR($A351="",$H351&lt;&gt;"Ausgabe",N351=""),0,IF(N351="x",-$E351/(COUNTIF($J351:$Q351,"x")+1),-$E351*N(N351)))</f>
        <v/>
      </c>
      <c r="AC351" s="34">
        <f>IF(OR($A351="",$H351&lt;&gt;"Ausgabe",O351=""),0,IF(O351="x",-$E351/(COUNTIF($J351:$Q351,"x")+1),-$E351*N(O351)))</f>
        <v/>
      </c>
      <c r="AD351" s="34">
        <f>IF(OR($A351="",$H351&lt;&gt;"Ausgabe",P351=""),0,IF(P351="x",-$E351/(COUNTIF($J351:$Q351,"x")+1),-$E351*N(P351)))</f>
        <v/>
      </c>
      <c r="AE351" s="34">
        <f>IF(OR($A351="",$H351&lt;&gt;"Ausgabe",Q351=""),0,IF(Q351="x",-$E351/(COUNTIF($J351:$Q351,"x")+1),-$E351*N(Q351)))</f>
        <v/>
      </c>
    </row>
    <row r="352">
      <c r="A352" s="30" t="n"/>
      <c r="E352" s="31" t="n"/>
      <c r="J352" s="32" t="n"/>
      <c r="K352" s="32" t="n"/>
      <c r="L352" s="32" t="n"/>
      <c r="M352" s="32" t="n"/>
      <c r="N352" s="32" t="n"/>
      <c r="O352" s="32" t="n"/>
      <c r="P352" s="32" t="n"/>
      <c r="Q352" s="32" t="n"/>
      <c r="U352" s="31">
        <f>IF($A352="","",SUM(X352:AE352))</f>
        <v/>
      </c>
      <c r="V352" s="31">
        <f>IF($A352="","",IF($H352&lt;&gt;"Ausgabe",0,-$E352-$U352))</f>
        <v/>
      </c>
      <c r="W352" s="33">
        <f>IF($A352="","",DATE(YEAR($A352),MONTH($A352),1))</f>
        <v/>
      </c>
      <c r="X352" s="34">
        <f>IF(OR($A352="",$H352&lt;&gt;"Ausgabe",J352=""),0,IF(J352="x",-$E352/(COUNTIF($J352:$Q352,"x")+1),-$E352*N(J352)))</f>
        <v/>
      </c>
      <c r="Y352" s="34">
        <f>IF(OR($A352="",$H352&lt;&gt;"Ausgabe",K352=""),0,IF(K352="x",-$E352/(COUNTIF($J352:$Q352,"x")+1),-$E352*N(K352)))</f>
        <v/>
      </c>
      <c r="Z352" s="34">
        <f>IF(OR($A352="",$H352&lt;&gt;"Ausgabe",L352=""),0,IF(L352="x",-$E352/(COUNTIF($J352:$Q352,"x")+1),-$E352*N(L352)))</f>
        <v/>
      </c>
      <c r="AA352" s="34">
        <f>IF(OR($A352="",$H352&lt;&gt;"Ausgabe",M352=""),0,IF(M352="x",-$E352/(COUNTIF($J352:$Q352,"x")+1),-$E352*N(M352)))</f>
        <v/>
      </c>
      <c r="AB352" s="34">
        <f>IF(OR($A352="",$H352&lt;&gt;"Ausgabe",N352=""),0,IF(N352="x",-$E352/(COUNTIF($J352:$Q352,"x")+1),-$E352*N(N352)))</f>
        <v/>
      </c>
      <c r="AC352" s="34">
        <f>IF(OR($A352="",$H352&lt;&gt;"Ausgabe",O352=""),0,IF(O352="x",-$E352/(COUNTIF($J352:$Q352,"x")+1),-$E352*N(O352)))</f>
        <v/>
      </c>
      <c r="AD352" s="34">
        <f>IF(OR($A352="",$H352&lt;&gt;"Ausgabe",P352=""),0,IF(P352="x",-$E352/(COUNTIF($J352:$Q352,"x")+1),-$E352*N(P352)))</f>
        <v/>
      </c>
      <c r="AE352" s="34">
        <f>IF(OR($A352="",$H352&lt;&gt;"Ausgabe",Q352=""),0,IF(Q352="x",-$E352/(COUNTIF($J352:$Q352,"x")+1),-$E352*N(Q352)))</f>
        <v/>
      </c>
    </row>
    <row r="353">
      <c r="A353" s="30" t="n"/>
      <c r="E353" s="31" t="n"/>
      <c r="J353" s="32" t="n"/>
      <c r="K353" s="32" t="n"/>
      <c r="L353" s="32" t="n"/>
      <c r="M353" s="32" t="n"/>
      <c r="N353" s="32" t="n"/>
      <c r="O353" s="32" t="n"/>
      <c r="P353" s="32" t="n"/>
      <c r="Q353" s="32" t="n"/>
      <c r="U353" s="31">
        <f>IF($A353="","",SUM(X353:AE353))</f>
        <v/>
      </c>
      <c r="V353" s="31">
        <f>IF($A353="","",IF($H353&lt;&gt;"Ausgabe",0,-$E353-$U353))</f>
        <v/>
      </c>
      <c r="W353" s="33">
        <f>IF($A353="","",DATE(YEAR($A353),MONTH($A353),1))</f>
        <v/>
      </c>
      <c r="X353" s="34">
        <f>IF(OR($A353="",$H353&lt;&gt;"Ausgabe",J353=""),0,IF(J353="x",-$E353/(COUNTIF($J353:$Q353,"x")+1),-$E353*N(J353)))</f>
        <v/>
      </c>
      <c r="Y353" s="34">
        <f>IF(OR($A353="",$H353&lt;&gt;"Ausgabe",K353=""),0,IF(K353="x",-$E353/(COUNTIF($J353:$Q353,"x")+1),-$E353*N(K353)))</f>
        <v/>
      </c>
      <c r="Z353" s="34">
        <f>IF(OR($A353="",$H353&lt;&gt;"Ausgabe",L353=""),0,IF(L353="x",-$E353/(COUNTIF($J353:$Q353,"x")+1),-$E353*N(L353)))</f>
        <v/>
      </c>
      <c r="AA353" s="34">
        <f>IF(OR($A353="",$H353&lt;&gt;"Ausgabe",M353=""),0,IF(M353="x",-$E353/(COUNTIF($J353:$Q353,"x")+1),-$E353*N(M353)))</f>
        <v/>
      </c>
      <c r="AB353" s="34">
        <f>IF(OR($A353="",$H353&lt;&gt;"Ausgabe",N353=""),0,IF(N353="x",-$E353/(COUNTIF($J353:$Q353,"x")+1),-$E353*N(N353)))</f>
        <v/>
      </c>
      <c r="AC353" s="34">
        <f>IF(OR($A353="",$H353&lt;&gt;"Ausgabe",O353=""),0,IF(O353="x",-$E353/(COUNTIF($J353:$Q353,"x")+1),-$E353*N(O353)))</f>
        <v/>
      </c>
      <c r="AD353" s="34">
        <f>IF(OR($A353="",$H353&lt;&gt;"Ausgabe",P353=""),0,IF(P353="x",-$E353/(COUNTIF($J353:$Q353,"x")+1),-$E353*N(P353)))</f>
        <v/>
      </c>
      <c r="AE353" s="34">
        <f>IF(OR($A353="",$H353&lt;&gt;"Ausgabe",Q353=""),0,IF(Q353="x",-$E353/(COUNTIF($J353:$Q353,"x")+1),-$E353*N(Q353)))</f>
        <v/>
      </c>
    </row>
    <row r="354">
      <c r="A354" s="30" t="n"/>
      <c r="E354" s="31" t="n"/>
      <c r="J354" s="32" t="n"/>
      <c r="K354" s="32" t="n"/>
      <c r="L354" s="32" t="n"/>
      <c r="M354" s="32" t="n"/>
      <c r="N354" s="32" t="n"/>
      <c r="O354" s="32" t="n"/>
      <c r="P354" s="32" t="n"/>
      <c r="Q354" s="32" t="n"/>
      <c r="U354" s="31">
        <f>IF($A354="","",SUM(X354:AE354))</f>
        <v/>
      </c>
      <c r="V354" s="31">
        <f>IF($A354="","",IF($H354&lt;&gt;"Ausgabe",0,-$E354-$U354))</f>
        <v/>
      </c>
      <c r="W354" s="33">
        <f>IF($A354="","",DATE(YEAR($A354),MONTH($A354),1))</f>
        <v/>
      </c>
      <c r="X354" s="34">
        <f>IF(OR($A354="",$H354&lt;&gt;"Ausgabe",J354=""),0,IF(J354="x",-$E354/(COUNTIF($J354:$Q354,"x")+1),-$E354*N(J354)))</f>
        <v/>
      </c>
      <c r="Y354" s="34">
        <f>IF(OR($A354="",$H354&lt;&gt;"Ausgabe",K354=""),0,IF(K354="x",-$E354/(COUNTIF($J354:$Q354,"x")+1),-$E354*N(K354)))</f>
        <v/>
      </c>
      <c r="Z354" s="34">
        <f>IF(OR($A354="",$H354&lt;&gt;"Ausgabe",L354=""),0,IF(L354="x",-$E354/(COUNTIF($J354:$Q354,"x")+1),-$E354*N(L354)))</f>
        <v/>
      </c>
      <c r="AA354" s="34">
        <f>IF(OR($A354="",$H354&lt;&gt;"Ausgabe",M354=""),0,IF(M354="x",-$E354/(COUNTIF($J354:$Q354,"x")+1),-$E354*N(M354)))</f>
        <v/>
      </c>
      <c r="AB354" s="34">
        <f>IF(OR($A354="",$H354&lt;&gt;"Ausgabe",N354=""),0,IF(N354="x",-$E354/(COUNTIF($J354:$Q354,"x")+1),-$E354*N(N354)))</f>
        <v/>
      </c>
      <c r="AC354" s="34">
        <f>IF(OR($A354="",$H354&lt;&gt;"Ausgabe",O354=""),0,IF(O354="x",-$E354/(COUNTIF($J354:$Q354,"x")+1),-$E354*N(O354)))</f>
        <v/>
      </c>
      <c r="AD354" s="34">
        <f>IF(OR($A354="",$H354&lt;&gt;"Ausgabe",P354=""),0,IF(P354="x",-$E354/(COUNTIF($J354:$Q354,"x")+1),-$E354*N(P354)))</f>
        <v/>
      </c>
      <c r="AE354" s="34">
        <f>IF(OR($A354="",$H354&lt;&gt;"Ausgabe",Q354=""),0,IF(Q354="x",-$E354/(COUNTIF($J354:$Q354,"x")+1),-$E354*N(Q354)))</f>
        <v/>
      </c>
    </row>
    <row r="355">
      <c r="A355" s="30" t="n"/>
      <c r="E355" s="31" t="n"/>
      <c r="J355" s="32" t="n"/>
      <c r="K355" s="32" t="n"/>
      <c r="L355" s="32" t="n"/>
      <c r="M355" s="32" t="n"/>
      <c r="N355" s="32" t="n"/>
      <c r="O355" s="32" t="n"/>
      <c r="P355" s="32" t="n"/>
      <c r="Q355" s="32" t="n"/>
      <c r="U355" s="31">
        <f>IF($A355="","",SUM(X355:AE355))</f>
        <v/>
      </c>
      <c r="V355" s="31">
        <f>IF($A355="","",IF($H355&lt;&gt;"Ausgabe",0,-$E355-$U355))</f>
        <v/>
      </c>
      <c r="W355" s="33">
        <f>IF($A355="","",DATE(YEAR($A355),MONTH($A355),1))</f>
        <v/>
      </c>
      <c r="X355" s="34">
        <f>IF(OR($A355="",$H355&lt;&gt;"Ausgabe",J355=""),0,IF(J355="x",-$E355/(COUNTIF($J355:$Q355,"x")+1),-$E355*N(J355)))</f>
        <v/>
      </c>
      <c r="Y355" s="34">
        <f>IF(OR($A355="",$H355&lt;&gt;"Ausgabe",K355=""),0,IF(K355="x",-$E355/(COUNTIF($J355:$Q355,"x")+1),-$E355*N(K355)))</f>
        <v/>
      </c>
      <c r="Z355" s="34">
        <f>IF(OR($A355="",$H355&lt;&gt;"Ausgabe",L355=""),0,IF(L355="x",-$E355/(COUNTIF($J355:$Q355,"x")+1),-$E355*N(L355)))</f>
        <v/>
      </c>
      <c r="AA355" s="34">
        <f>IF(OR($A355="",$H355&lt;&gt;"Ausgabe",M355=""),0,IF(M355="x",-$E355/(COUNTIF($J355:$Q355,"x")+1),-$E355*N(M355)))</f>
        <v/>
      </c>
      <c r="AB355" s="34">
        <f>IF(OR($A355="",$H355&lt;&gt;"Ausgabe",N355=""),0,IF(N355="x",-$E355/(COUNTIF($J355:$Q355,"x")+1),-$E355*N(N355)))</f>
        <v/>
      </c>
      <c r="AC355" s="34">
        <f>IF(OR($A355="",$H355&lt;&gt;"Ausgabe",O355=""),0,IF(O355="x",-$E355/(COUNTIF($J355:$Q355,"x")+1),-$E355*N(O355)))</f>
        <v/>
      </c>
      <c r="AD355" s="34">
        <f>IF(OR($A355="",$H355&lt;&gt;"Ausgabe",P355=""),0,IF(P355="x",-$E355/(COUNTIF($J355:$Q355,"x")+1),-$E355*N(P355)))</f>
        <v/>
      </c>
      <c r="AE355" s="34">
        <f>IF(OR($A355="",$H355&lt;&gt;"Ausgabe",Q355=""),0,IF(Q355="x",-$E355/(COUNTIF($J355:$Q355,"x")+1),-$E355*N(Q355)))</f>
        <v/>
      </c>
    </row>
    <row r="356">
      <c r="A356" s="30" t="n"/>
      <c r="E356" s="31" t="n"/>
      <c r="J356" s="32" t="n"/>
      <c r="K356" s="32" t="n"/>
      <c r="L356" s="32" t="n"/>
      <c r="M356" s="32" t="n"/>
      <c r="N356" s="32" t="n"/>
      <c r="O356" s="32" t="n"/>
      <c r="P356" s="32" t="n"/>
      <c r="Q356" s="32" t="n"/>
      <c r="U356" s="31">
        <f>IF($A356="","",SUM(X356:AE356))</f>
        <v/>
      </c>
      <c r="V356" s="31">
        <f>IF($A356="","",IF($H356&lt;&gt;"Ausgabe",0,-$E356-$U356))</f>
        <v/>
      </c>
      <c r="W356" s="33">
        <f>IF($A356="","",DATE(YEAR($A356),MONTH($A356),1))</f>
        <v/>
      </c>
      <c r="X356" s="34">
        <f>IF(OR($A356="",$H356&lt;&gt;"Ausgabe",J356=""),0,IF(J356="x",-$E356/(COUNTIF($J356:$Q356,"x")+1),-$E356*N(J356)))</f>
        <v/>
      </c>
      <c r="Y356" s="34">
        <f>IF(OR($A356="",$H356&lt;&gt;"Ausgabe",K356=""),0,IF(K356="x",-$E356/(COUNTIF($J356:$Q356,"x")+1),-$E356*N(K356)))</f>
        <v/>
      </c>
      <c r="Z356" s="34">
        <f>IF(OR($A356="",$H356&lt;&gt;"Ausgabe",L356=""),0,IF(L356="x",-$E356/(COUNTIF($J356:$Q356,"x")+1),-$E356*N(L356)))</f>
        <v/>
      </c>
      <c r="AA356" s="34">
        <f>IF(OR($A356="",$H356&lt;&gt;"Ausgabe",M356=""),0,IF(M356="x",-$E356/(COUNTIF($J356:$Q356,"x")+1),-$E356*N(M356)))</f>
        <v/>
      </c>
      <c r="AB356" s="34">
        <f>IF(OR($A356="",$H356&lt;&gt;"Ausgabe",N356=""),0,IF(N356="x",-$E356/(COUNTIF($J356:$Q356,"x")+1),-$E356*N(N356)))</f>
        <v/>
      </c>
      <c r="AC356" s="34">
        <f>IF(OR($A356="",$H356&lt;&gt;"Ausgabe",O356=""),0,IF(O356="x",-$E356/(COUNTIF($J356:$Q356,"x")+1),-$E356*N(O356)))</f>
        <v/>
      </c>
      <c r="AD356" s="34">
        <f>IF(OR($A356="",$H356&lt;&gt;"Ausgabe",P356=""),0,IF(P356="x",-$E356/(COUNTIF($J356:$Q356,"x")+1),-$E356*N(P356)))</f>
        <v/>
      </c>
      <c r="AE356" s="34">
        <f>IF(OR($A356="",$H356&lt;&gt;"Ausgabe",Q356=""),0,IF(Q356="x",-$E356/(COUNTIF($J356:$Q356,"x")+1),-$E356*N(Q356)))</f>
        <v/>
      </c>
    </row>
    <row r="357">
      <c r="A357" s="30" t="n"/>
      <c r="E357" s="31" t="n"/>
      <c r="J357" s="32" t="n"/>
      <c r="K357" s="32" t="n"/>
      <c r="L357" s="32" t="n"/>
      <c r="M357" s="32" t="n"/>
      <c r="N357" s="32" t="n"/>
      <c r="O357" s="32" t="n"/>
      <c r="P357" s="32" t="n"/>
      <c r="Q357" s="32" t="n"/>
      <c r="U357" s="31">
        <f>IF($A357="","",SUM(X357:AE357))</f>
        <v/>
      </c>
      <c r="V357" s="31">
        <f>IF($A357="","",IF($H357&lt;&gt;"Ausgabe",0,-$E357-$U357))</f>
        <v/>
      </c>
      <c r="W357" s="33">
        <f>IF($A357="","",DATE(YEAR($A357),MONTH($A357),1))</f>
        <v/>
      </c>
      <c r="X357" s="34">
        <f>IF(OR($A357="",$H357&lt;&gt;"Ausgabe",J357=""),0,IF(J357="x",-$E357/(COUNTIF($J357:$Q357,"x")+1),-$E357*N(J357)))</f>
        <v/>
      </c>
      <c r="Y357" s="34">
        <f>IF(OR($A357="",$H357&lt;&gt;"Ausgabe",K357=""),0,IF(K357="x",-$E357/(COUNTIF($J357:$Q357,"x")+1),-$E357*N(K357)))</f>
        <v/>
      </c>
      <c r="Z357" s="34">
        <f>IF(OR($A357="",$H357&lt;&gt;"Ausgabe",L357=""),0,IF(L357="x",-$E357/(COUNTIF($J357:$Q357,"x")+1),-$E357*N(L357)))</f>
        <v/>
      </c>
      <c r="AA357" s="34">
        <f>IF(OR($A357="",$H357&lt;&gt;"Ausgabe",M357=""),0,IF(M357="x",-$E357/(COUNTIF($J357:$Q357,"x")+1),-$E357*N(M357)))</f>
        <v/>
      </c>
      <c r="AB357" s="34">
        <f>IF(OR($A357="",$H357&lt;&gt;"Ausgabe",N357=""),0,IF(N357="x",-$E357/(COUNTIF($J357:$Q357,"x")+1),-$E357*N(N357)))</f>
        <v/>
      </c>
      <c r="AC357" s="34">
        <f>IF(OR($A357="",$H357&lt;&gt;"Ausgabe",O357=""),0,IF(O357="x",-$E357/(COUNTIF($J357:$Q357,"x")+1),-$E357*N(O357)))</f>
        <v/>
      </c>
      <c r="AD357" s="34">
        <f>IF(OR($A357="",$H357&lt;&gt;"Ausgabe",P357=""),0,IF(P357="x",-$E357/(COUNTIF($J357:$Q357,"x")+1),-$E357*N(P357)))</f>
        <v/>
      </c>
      <c r="AE357" s="34">
        <f>IF(OR($A357="",$H357&lt;&gt;"Ausgabe",Q357=""),0,IF(Q357="x",-$E357/(COUNTIF($J357:$Q357,"x")+1),-$E357*N(Q357)))</f>
        <v/>
      </c>
    </row>
    <row r="358">
      <c r="A358" s="30" t="n"/>
      <c r="E358" s="31" t="n"/>
      <c r="J358" s="32" t="n"/>
      <c r="K358" s="32" t="n"/>
      <c r="L358" s="32" t="n"/>
      <c r="M358" s="32" t="n"/>
      <c r="N358" s="32" t="n"/>
      <c r="O358" s="32" t="n"/>
      <c r="P358" s="32" t="n"/>
      <c r="Q358" s="32" t="n"/>
      <c r="U358" s="31">
        <f>IF($A358="","",SUM(X358:AE358))</f>
        <v/>
      </c>
      <c r="V358" s="31">
        <f>IF($A358="","",IF($H358&lt;&gt;"Ausgabe",0,-$E358-$U358))</f>
        <v/>
      </c>
      <c r="W358" s="33">
        <f>IF($A358="","",DATE(YEAR($A358),MONTH($A358),1))</f>
        <v/>
      </c>
      <c r="X358" s="34">
        <f>IF(OR($A358="",$H358&lt;&gt;"Ausgabe",J358=""),0,IF(J358="x",-$E358/(COUNTIF($J358:$Q358,"x")+1),-$E358*N(J358)))</f>
        <v/>
      </c>
      <c r="Y358" s="34">
        <f>IF(OR($A358="",$H358&lt;&gt;"Ausgabe",K358=""),0,IF(K358="x",-$E358/(COUNTIF($J358:$Q358,"x")+1),-$E358*N(K358)))</f>
        <v/>
      </c>
      <c r="Z358" s="34">
        <f>IF(OR($A358="",$H358&lt;&gt;"Ausgabe",L358=""),0,IF(L358="x",-$E358/(COUNTIF($J358:$Q358,"x")+1),-$E358*N(L358)))</f>
        <v/>
      </c>
      <c r="AA358" s="34">
        <f>IF(OR($A358="",$H358&lt;&gt;"Ausgabe",M358=""),0,IF(M358="x",-$E358/(COUNTIF($J358:$Q358,"x")+1),-$E358*N(M358)))</f>
        <v/>
      </c>
      <c r="AB358" s="34">
        <f>IF(OR($A358="",$H358&lt;&gt;"Ausgabe",N358=""),0,IF(N358="x",-$E358/(COUNTIF($J358:$Q358,"x")+1),-$E358*N(N358)))</f>
        <v/>
      </c>
      <c r="AC358" s="34">
        <f>IF(OR($A358="",$H358&lt;&gt;"Ausgabe",O358=""),0,IF(O358="x",-$E358/(COUNTIF($J358:$Q358,"x")+1),-$E358*N(O358)))</f>
        <v/>
      </c>
      <c r="AD358" s="34">
        <f>IF(OR($A358="",$H358&lt;&gt;"Ausgabe",P358=""),0,IF(P358="x",-$E358/(COUNTIF($J358:$Q358,"x")+1),-$E358*N(P358)))</f>
        <v/>
      </c>
      <c r="AE358" s="34">
        <f>IF(OR($A358="",$H358&lt;&gt;"Ausgabe",Q358=""),0,IF(Q358="x",-$E358/(COUNTIF($J358:$Q358,"x")+1),-$E358*N(Q358)))</f>
        <v/>
      </c>
    </row>
    <row r="359">
      <c r="A359" s="30" t="n"/>
      <c r="E359" s="31" t="n"/>
      <c r="J359" s="32" t="n"/>
      <c r="K359" s="32" t="n"/>
      <c r="L359" s="32" t="n"/>
      <c r="M359" s="32" t="n"/>
      <c r="N359" s="32" t="n"/>
      <c r="O359" s="32" t="n"/>
      <c r="P359" s="32" t="n"/>
      <c r="Q359" s="32" t="n"/>
      <c r="U359" s="31">
        <f>IF($A359="","",SUM(X359:AE359))</f>
        <v/>
      </c>
      <c r="V359" s="31">
        <f>IF($A359="","",IF($H359&lt;&gt;"Ausgabe",0,-$E359-$U359))</f>
        <v/>
      </c>
      <c r="W359" s="33">
        <f>IF($A359="","",DATE(YEAR($A359),MONTH($A359),1))</f>
        <v/>
      </c>
      <c r="X359" s="34">
        <f>IF(OR($A359="",$H359&lt;&gt;"Ausgabe",J359=""),0,IF(J359="x",-$E359/(COUNTIF($J359:$Q359,"x")+1),-$E359*N(J359)))</f>
        <v/>
      </c>
      <c r="Y359" s="34">
        <f>IF(OR($A359="",$H359&lt;&gt;"Ausgabe",K359=""),0,IF(K359="x",-$E359/(COUNTIF($J359:$Q359,"x")+1),-$E359*N(K359)))</f>
        <v/>
      </c>
      <c r="Z359" s="34">
        <f>IF(OR($A359="",$H359&lt;&gt;"Ausgabe",L359=""),0,IF(L359="x",-$E359/(COUNTIF($J359:$Q359,"x")+1),-$E359*N(L359)))</f>
        <v/>
      </c>
      <c r="AA359" s="34">
        <f>IF(OR($A359="",$H359&lt;&gt;"Ausgabe",M359=""),0,IF(M359="x",-$E359/(COUNTIF($J359:$Q359,"x")+1),-$E359*N(M359)))</f>
        <v/>
      </c>
      <c r="AB359" s="34">
        <f>IF(OR($A359="",$H359&lt;&gt;"Ausgabe",N359=""),0,IF(N359="x",-$E359/(COUNTIF($J359:$Q359,"x")+1),-$E359*N(N359)))</f>
        <v/>
      </c>
      <c r="AC359" s="34">
        <f>IF(OR($A359="",$H359&lt;&gt;"Ausgabe",O359=""),0,IF(O359="x",-$E359/(COUNTIF($J359:$Q359,"x")+1),-$E359*N(O359)))</f>
        <v/>
      </c>
      <c r="AD359" s="34">
        <f>IF(OR($A359="",$H359&lt;&gt;"Ausgabe",P359=""),0,IF(P359="x",-$E359/(COUNTIF($J359:$Q359,"x")+1),-$E359*N(P359)))</f>
        <v/>
      </c>
      <c r="AE359" s="34">
        <f>IF(OR($A359="",$H359&lt;&gt;"Ausgabe",Q359=""),0,IF(Q359="x",-$E359/(COUNTIF($J359:$Q359,"x")+1),-$E359*N(Q359)))</f>
        <v/>
      </c>
    </row>
    <row r="360">
      <c r="A360" s="30" t="n"/>
      <c r="E360" s="31" t="n"/>
      <c r="J360" s="32" t="n"/>
      <c r="K360" s="32" t="n"/>
      <c r="L360" s="32" t="n"/>
      <c r="M360" s="32" t="n"/>
      <c r="N360" s="32" t="n"/>
      <c r="O360" s="32" t="n"/>
      <c r="P360" s="32" t="n"/>
      <c r="Q360" s="32" t="n"/>
      <c r="U360" s="31">
        <f>IF($A360="","",SUM(X360:AE360))</f>
        <v/>
      </c>
      <c r="V360" s="31">
        <f>IF($A360="","",IF($H360&lt;&gt;"Ausgabe",0,-$E360-$U360))</f>
        <v/>
      </c>
      <c r="W360" s="33">
        <f>IF($A360="","",DATE(YEAR($A360),MONTH($A360),1))</f>
        <v/>
      </c>
      <c r="X360" s="34">
        <f>IF(OR($A360="",$H360&lt;&gt;"Ausgabe",J360=""),0,IF(J360="x",-$E360/(COUNTIF($J360:$Q360,"x")+1),-$E360*N(J360)))</f>
        <v/>
      </c>
      <c r="Y360" s="34">
        <f>IF(OR($A360="",$H360&lt;&gt;"Ausgabe",K360=""),0,IF(K360="x",-$E360/(COUNTIF($J360:$Q360,"x")+1),-$E360*N(K360)))</f>
        <v/>
      </c>
      <c r="Z360" s="34">
        <f>IF(OR($A360="",$H360&lt;&gt;"Ausgabe",L360=""),0,IF(L360="x",-$E360/(COUNTIF($J360:$Q360,"x")+1),-$E360*N(L360)))</f>
        <v/>
      </c>
      <c r="AA360" s="34">
        <f>IF(OR($A360="",$H360&lt;&gt;"Ausgabe",M360=""),0,IF(M360="x",-$E360/(COUNTIF($J360:$Q360,"x")+1),-$E360*N(M360)))</f>
        <v/>
      </c>
      <c r="AB360" s="34">
        <f>IF(OR($A360="",$H360&lt;&gt;"Ausgabe",N360=""),0,IF(N360="x",-$E360/(COUNTIF($J360:$Q360,"x")+1),-$E360*N(N360)))</f>
        <v/>
      </c>
      <c r="AC360" s="34">
        <f>IF(OR($A360="",$H360&lt;&gt;"Ausgabe",O360=""),0,IF(O360="x",-$E360/(COUNTIF($J360:$Q360,"x")+1),-$E360*N(O360)))</f>
        <v/>
      </c>
      <c r="AD360" s="34">
        <f>IF(OR($A360="",$H360&lt;&gt;"Ausgabe",P360=""),0,IF(P360="x",-$E360/(COUNTIF($J360:$Q360,"x")+1),-$E360*N(P360)))</f>
        <v/>
      </c>
      <c r="AE360" s="34">
        <f>IF(OR($A360="",$H360&lt;&gt;"Ausgabe",Q360=""),0,IF(Q360="x",-$E360/(COUNTIF($J360:$Q360,"x")+1),-$E360*N(Q360)))</f>
        <v/>
      </c>
    </row>
    <row r="361">
      <c r="A361" s="30" t="n"/>
      <c r="E361" s="31" t="n"/>
      <c r="J361" s="32" t="n"/>
      <c r="K361" s="32" t="n"/>
      <c r="L361" s="32" t="n"/>
      <c r="M361" s="32" t="n"/>
      <c r="N361" s="32" t="n"/>
      <c r="O361" s="32" t="n"/>
      <c r="P361" s="32" t="n"/>
      <c r="Q361" s="32" t="n"/>
      <c r="U361" s="31">
        <f>IF($A361="","",SUM(X361:AE361))</f>
        <v/>
      </c>
      <c r="V361" s="31">
        <f>IF($A361="","",IF($H361&lt;&gt;"Ausgabe",0,-$E361-$U361))</f>
        <v/>
      </c>
      <c r="W361" s="33">
        <f>IF($A361="","",DATE(YEAR($A361),MONTH($A361),1))</f>
        <v/>
      </c>
      <c r="X361" s="34">
        <f>IF(OR($A361="",$H361&lt;&gt;"Ausgabe",J361=""),0,IF(J361="x",-$E361/(COUNTIF($J361:$Q361,"x")+1),-$E361*N(J361)))</f>
        <v/>
      </c>
      <c r="Y361" s="34">
        <f>IF(OR($A361="",$H361&lt;&gt;"Ausgabe",K361=""),0,IF(K361="x",-$E361/(COUNTIF($J361:$Q361,"x")+1),-$E361*N(K361)))</f>
        <v/>
      </c>
      <c r="Z361" s="34">
        <f>IF(OR($A361="",$H361&lt;&gt;"Ausgabe",L361=""),0,IF(L361="x",-$E361/(COUNTIF($J361:$Q361,"x")+1),-$E361*N(L361)))</f>
        <v/>
      </c>
      <c r="AA361" s="34">
        <f>IF(OR($A361="",$H361&lt;&gt;"Ausgabe",M361=""),0,IF(M361="x",-$E361/(COUNTIF($J361:$Q361,"x")+1),-$E361*N(M361)))</f>
        <v/>
      </c>
      <c r="AB361" s="34">
        <f>IF(OR($A361="",$H361&lt;&gt;"Ausgabe",N361=""),0,IF(N361="x",-$E361/(COUNTIF($J361:$Q361,"x")+1),-$E361*N(N361)))</f>
        <v/>
      </c>
      <c r="AC361" s="34">
        <f>IF(OR($A361="",$H361&lt;&gt;"Ausgabe",O361=""),0,IF(O361="x",-$E361/(COUNTIF($J361:$Q361,"x")+1),-$E361*N(O361)))</f>
        <v/>
      </c>
      <c r="AD361" s="34">
        <f>IF(OR($A361="",$H361&lt;&gt;"Ausgabe",P361=""),0,IF(P361="x",-$E361/(COUNTIF($J361:$Q361,"x")+1),-$E361*N(P361)))</f>
        <v/>
      </c>
      <c r="AE361" s="34">
        <f>IF(OR($A361="",$H361&lt;&gt;"Ausgabe",Q361=""),0,IF(Q361="x",-$E361/(COUNTIF($J361:$Q361,"x")+1),-$E361*N(Q361)))</f>
        <v/>
      </c>
    </row>
    <row r="362">
      <c r="A362" s="30" t="n"/>
      <c r="E362" s="31" t="n"/>
      <c r="J362" s="32" t="n"/>
      <c r="K362" s="32" t="n"/>
      <c r="L362" s="32" t="n"/>
      <c r="M362" s="32" t="n"/>
      <c r="N362" s="32" t="n"/>
      <c r="O362" s="32" t="n"/>
      <c r="P362" s="32" t="n"/>
      <c r="Q362" s="32" t="n"/>
      <c r="U362" s="31">
        <f>IF($A362="","",SUM(X362:AE362))</f>
        <v/>
      </c>
      <c r="V362" s="31">
        <f>IF($A362="","",IF($H362&lt;&gt;"Ausgabe",0,-$E362-$U362))</f>
        <v/>
      </c>
      <c r="W362" s="33">
        <f>IF($A362="","",DATE(YEAR($A362),MONTH($A362),1))</f>
        <v/>
      </c>
      <c r="X362" s="34">
        <f>IF(OR($A362="",$H362&lt;&gt;"Ausgabe",J362=""),0,IF(J362="x",-$E362/(COUNTIF($J362:$Q362,"x")+1),-$E362*N(J362)))</f>
        <v/>
      </c>
      <c r="Y362" s="34">
        <f>IF(OR($A362="",$H362&lt;&gt;"Ausgabe",K362=""),0,IF(K362="x",-$E362/(COUNTIF($J362:$Q362,"x")+1),-$E362*N(K362)))</f>
        <v/>
      </c>
      <c r="Z362" s="34">
        <f>IF(OR($A362="",$H362&lt;&gt;"Ausgabe",L362=""),0,IF(L362="x",-$E362/(COUNTIF($J362:$Q362,"x")+1),-$E362*N(L362)))</f>
        <v/>
      </c>
      <c r="AA362" s="34">
        <f>IF(OR($A362="",$H362&lt;&gt;"Ausgabe",M362=""),0,IF(M362="x",-$E362/(COUNTIF($J362:$Q362,"x")+1),-$E362*N(M362)))</f>
        <v/>
      </c>
      <c r="AB362" s="34">
        <f>IF(OR($A362="",$H362&lt;&gt;"Ausgabe",N362=""),0,IF(N362="x",-$E362/(COUNTIF($J362:$Q362,"x")+1),-$E362*N(N362)))</f>
        <v/>
      </c>
      <c r="AC362" s="34">
        <f>IF(OR($A362="",$H362&lt;&gt;"Ausgabe",O362=""),0,IF(O362="x",-$E362/(COUNTIF($J362:$Q362,"x")+1),-$E362*N(O362)))</f>
        <v/>
      </c>
      <c r="AD362" s="34">
        <f>IF(OR($A362="",$H362&lt;&gt;"Ausgabe",P362=""),0,IF(P362="x",-$E362/(COUNTIF($J362:$Q362,"x")+1),-$E362*N(P362)))</f>
        <v/>
      </c>
      <c r="AE362" s="34">
        <f>IF(OR($A362="",$H362&lt;&gt;"Ausgabe",Q362=""),0,IF(Q362="x",-$E362/(COUNTIF($J362:$Q362,"x")+1),-$E362*N(Q362)))</f>
        <v/>
      </c>
    </row>
    <row r="363">
      <c r="A363" s="30" t="n"/>
      <c r="E363" s="31" t="n"/>
      <c r="J363" s="32" t="n"/>
      <c r="K363" s="32" t="n"/>
      <c r="L363" s="32" t="n"/>
      <c r="M363" s="32" t="n"/>
      <c r="N363" s="32" t="n"/>
      <c r="O363" s="32" t="n"/>
      <c r="P363" s="32" t="n"/>
      <c r="Q363" s="32" t="n"/>
      <c r="U363" s="31">
        <f>IF($A363="","",SUM(X363:AE363))</f>
        <v/>
      </c>
      <c r="V363" s="31">
        <f>IF($A363="","",IF($H363&lt;&gt;"Ausgabe",0,-$E363-$U363))</f>
        <v/>
      </c>
      <c r="W363" s="33">
        <f>IF($A363="","",DATE(YEAR($A363),MONTH($A363),1))</f>
        <v/>
      </c>
      <c r="X363" s="34">
        <f>IF(OR($A363="",$H363&lt;&gt;"Ausgabe",J363=""),0,IF(J363="x",-$E363/(COUNTIF($J363:$Q363,"x")+1),-$E363*N(J363)))</f>
        <v/>
      </c>
      <c r="Y363" s="34">
        <f>IF(OR($A363="",$H363&lt;&gt;"Ausgabe",K363=""),0,IF(K363="x",-$E363/(COUNTIF($J363:$Q363,"x")+1),-$E363*N(K363)))</f>
        <v/>
      </c>
      <c r="Z363" s="34">
        <f>IF(OR($A363="",$H363&lt;&gt;"Ausgabe",L363=""),0,IF(L363="x",-$E363/(COUNTIF($J363:$Q363,"x")+1),-$E363*N(L363)))</f>
        <v/>
      </c>
      <c r="AA363" s="34">
        <f>IF(OR($A363="",$H363&lt;&gt;"Ausgabe",M363=""),0,IF(M363="x",-$E363/(COUNTIF($J363:$Q363,"x")+1),-$E363*N(M363)))</f>
        <v/>
      </c>
      <c r="AB363" s="34">
        <f>IF(OR($A363="",$H363&lt;&gt;"Ausgabe",N363=""),0,IF(N363="x",-$E363/(COUNTIF($J363:$Q363,"x")+1),-$E363*N(N363)))</f>
        <v/>
      </c>
      <c r="AC363" s="34">
        <f>IF(OR($A363="",$H363&lt;&gt;"Ausgabe",O363=""),0,IF(O363="x",-$E363/(COUNTIF($J363:$Q363,"x")+1),-$E363*N(O363)))</f>
        <v/>
      </c>
      <c r="AD363" s="34">
        <f>IF(OR($A363="",$H363&lt;&gt;"Ausgabe",P363=""),0,IF(P363="x",-$E363/(COUNTIF($J363:$Q363,"x")+1),-$E363*N(P363)))</f>
        <v/>
      </c>
      <c r="AE363" s="34">
        <f>IF(OR($A363="",$H363&lt;&gt;"Ausgabe",Q363=""),0,IF(Q363="x",-$E363/(COUNTIF($J363:$Q363,"x")+1),-$E363*N(Q363)))</f>
        <v/>
      </c>
    </row>
    <row r="364">
      <c r="A364" s="30" t="n"/>
      <c r="E364" s="31" t="n"/>
      <c r="J364" s="32" t="n"/>
      <c r="K364" s="32" t="n"/>
      <c r="L364" s="32" t="n"/>
      <c r="M364" s="32" t="n"/>
      <c r="N364" s="32" t="n"/>
      <c r="O364" s="32" t="n"/>
      <c r="P364" s="32" t="n"/>
      <c r="Q364" s="32" t="n"/>
      <c r="U364" s="31">
        <f>IF($A364="","",SUM(X364:AE364))</f>
        <v/>
      </c>
      <c r="V364" s="31">
        <f>IF($A364="","",IF($H364&lt;&gt;"Ausgabe",0,-$E364-$U364))</f>
        <v/>
      </c>
      <c r="W364" s="33">
        <f>IF($A364="","",DATE(YEAR($A364),MONTH($A364),1))</f>
        <v/>
      </c>
      <c r="X364" s="34">
        <f>IF(OR($A364="",$H364&lt;&gt;"Ausgabe",J364=""),0,IF(J364="x",-$E364/(COUNTIF($J364:$Q364,"x")+1),-$E364*N(J364)))</f>
        <v/>
      </c>
      <c r="Y364" s="34">
        <f>IF(OR($A364="",$H364&lt;&gt;"Ausgabe",K364=""),0,IF(K364="x",-$E364/(COUNTIF($J364:$Q364,"x")+1),-$E364*N(K364)))</f>
        <v/>
      </c>
      <c r="Z364" s="34">
        <f>IF(OR($A364="",$H364&lt;&gt;"Ausgabe",L364=""),0,IF(L364="x",-$E364/(COUNTIF($J364:$Q364,"x")+1),-$E364*N(L364)))</f>
        <v/>
      </c>
      <c r="AA364" s="34">
        <f>IF(OR($A364="",$H364&lt;&gt;"Ausgabe",M364=""),0,IF(M364="x",-$E364/(COUNTIF($J364:$Q364,"x")+1),-$E364*N(M364)))</f>
        <v/>
      </c>
      <c r="AB364" s="34">
        <f>IF(OR($A364="",$H364&lt;&gt;"Ausgabe",N364=""),0,IF(N364="x",-$E364/(COUNTIF($J364:$Q364,"x")+1),-$E364*N(N364)))</f>
        <v/>
      </c>
      <c r="AC364" s="34">
        <f>IF(OR($A364="",$H364&lt;&gt;"Ausgabe",O364=""),0,IF(O364="x",-$E364/(COUNTIF($J364:$Q364,"x")+1),-$E364*N(O364)))</f>
        <v/>
      </c>
      <c r="AD364" s="34">
        <f>IF(OR($A364="",$H364&lt;&gt;"Ausgabe",P364=""),0,IF(P364="x",-$E364/(COUNTIF($J364:$Q364,"x")+1),-$E364*N(P364)))</f>
        <v/>
      </c>
      <c r="AE364" s="34">
        <f>IF(OR($A364="",$H364&lt;&gt;"Ausgabe",Q364=""),0,IF(Q364="x",-$E364/(COUNTIF($J364:$Q364,"x")+1),-$E364*N(Q364)))</f>
        <v/>
      </c>
    </row>
    <row r="365">
      <c r="A365" s="30" t="n"/>
      <c r="E365" s="31" t="n"/>
      <c r="J365" s="32" t="n"/>
      <c r="K365" s="32" t="n"/>
      <c r="L365" s="32" t="n"/>
      <c r="M365" s="32" t="n"/>
      <c r="N365" s="32" t="n"/>
      <c r="O365" s="32" t="n"/>
      <c r="P365" s="32" t="n"/>
      <c r="Q365" s="32" t="n"/>
      <c r="U365" s="31">
        <f>IF($A365="","",SUM(X365:AE365))</f>
        <v/>
      </c>
      <c r="V365" s="31">
        <f>IF($A365="","",IF($H365&lt;&gt;"Ausgabe",0,-$E365-$U365))</f>
        <v/>
      </c>
      <c r="W365" s="33">
        <f>IF($A365="","",DATE(YEAR($A365),MONTH($A365),1))</f>
        <v/>
      </c>
      <c r="X365" s="34">
        <f>IF(OR($A365="",$H365&lt;&gt;"Ausgabe",J365=""),0,IF(J365="x",-$E365/(COUNTIF($J365:$Q365,"x")+1),-$E365*N(J365)))</f>
        <v/>
      </c>
      <c r="Y365" s="34">
        <f>IF(OR($A365="",$H365&lt;&gt;"Ausgabe",K365=""),0,IF(K365="x",-$E365/(COUNTIF($J365:$Q365,"x")+1),-$E365*N(K365)))</f>
        <v/>
      </c>
      <c r="Z365" s="34">
        <f>IF(OR($A365="",$H365&lt;&gt;"Ausgabe",L365=""),0,IF(L365="x",-$E365/(COUNTIF($J365:$Q365,"x")+1),-$E365*N(L365)))</f>
        <v/>
      </c>
      <c r="AA365" s="34">
        <f>IF(OR($A365="",$H365&lt;&gt;"Ausgabe",M365=""),0,IF(M365="x",-$E365/(COUNTIF($J365:$Q365,"x")+1),-$E365*N(M365)))</f>
        <v/>
      </c>
      <c r="AB365" s="34">
        <f>IF(OR($A365="",$H365&lt;&gt;"Ausgabe",N365=""),0,IF(N365="x",-$E365/(COUNTIF($J365:$Q365,"x")+1),-$E365*N(N365)))</f>
        <v/>
      </c>
      <c r="AC365" s="34">
        <f>IF(OR($A365="",$H365&lt;&gt;"Ausgabe",O365=""),0,IF(O365="x",-$E365/(COUNTIF($J365:$Q365,"x")+1),-$E365*N(O365)))</f>
        <v/>
      </c>
      <c r="AD365" s="34">
        <f>IF(OR($A365="",$H365&lt;&gt;"Ausgabe",P365=""),0,IF(P365="x",-$E365/(COUNTIF($J365:$Q365,"x")+1),-$E365*N(P365)))</f>
        <v/>
      </c>
      <c r="AE365" s="34">
        <f>IF(OR($A365="",$H365&lt;&gt;"Ausgabe",Q365=""),0,IF(Q365="x",-$E365/(COUNTIF($J365:$Q365,"x")+1),-$E365*N(Q365)))</f>
        <v/>
      </c>
    </row>
    <row r="366">
      <c r="A366" s="30" t="n"/>
      <c r="E366" s="31" t="n"/>
      <c r="J366" s="32" t="n"/>
      <c r="K366" s="32" t="n"/>
      <c r="L366" s="32" t="n"/>
      <c r="M366" s="32" t="n"/>
      <c r="N366" s="32" t="n"/>
      <c r="O366" s="32" t="n"/>
      <c r="P366" s="32" t="n"/>
      <c r="Q366" s="32" t="n"/>
      <c r="U366" s="31">
        <f>IF($A366="","",SUM(X366:AE366))</f>
        <v/>
      </c>
      <c r="V366" s="31">
        <f>IF($A366="","",IF($H366&lt;&gt;"Ausgabe",0,-$E366-$U366))</f>
        <v/>
      </c>
      <c r="W366" s="33">
        <f>IF($A366="","",DATE(YEAR($A366),MONTH($A366),1))</f>
        <v/>
      </c>
      <c r="X366" s="34">
        <f>IF(OR($A366="",$H366&lt;&gt;"Ausgabe",J366=""),0,IF(J366="x",-$E366/(COUNTIF($J366:$Q366,"x")+1),-$E366*N(J366)))</f>
        <v/>
      </c>
      <c r="Y366" s="34">
        <f>IF(OR($A366="",$H366&lt;&gt;"Ausgabe",K366=""),0,IF(K366="x",-$E366/(COUNTIF($J366:$Q366,"x")+1),-$E366*N(K366)))</f>
        <v/>
      </c>
      <c r="Z366" s="34">
        <f>IF(OR($A366="",$H366&lt;&gt;"Ausgabe",L366=""),0,IF(L366="x",-$E366/(COUNTIF($J366:$Q366,"x")+1),-$E366*N(L366)))</f>
        <v/>
      </c>
      <c r="AA366" s="34">
        <f>IF(OR($A366="",$H366&lt;&gt;"Ausgabe",M366=""),0,IF(M366="x",-$E366/(COUNTIF($J366:$Q366,"x")+1),-$E366*N(M366)))</f>
        <v/>
      </c>
      <c r="AB366" s="34">
        <f>IF(OR($A366="",$H366&lt;&gt;"Ausgabe",N366=""),0,IF(N366="x",-$E366/(COUNTIF($J366:$Q366,"x")+1),-$E366*N(N366)))</f>
        <v/>
      </c>
      <c r="AC366" s="34">
        <f>IF(OR($A366="",$H366&lt;&gt;"Ausgabe",O366=""),0,IF(O366="x",-$E366/(COUNTIF($J366:$Q366,"x")+1),-$E366*N(O366)))</f>
        <v/>
      </c>
      <c r="AD366" s="34">
        <f>IF(OR($A366="",$H366&lt;&gt;"Ausgabe",P366=""),0,IF(P366="x",-$E366/(COUNTIF($J366:$Q366,"x")+1),-$E366*N(P366)))</f>
        <v/>
      </c>
      <c r="AE366" s="34">
        <f>IF(OR($A366="",$H366&lt;&gt;"Ausgabe",Q366=""),0,IF(Q366="x",-$E366/(COUNTIF($J366:$Q366,"x")+1),-$E366*N(Q366)))</f>
        <v/>
      </c>
    </row>
    <row r="367">
      <c r="A367" s="30" t="n"/>
      <c r="E367" s="31" t="n"/>
      <c r="J367" s="32" t="n"/>
      <c r="K367" s="32" t="n"/>
      <c r="L367" s="32" t="n"/>
      <c r="M367" s="32" t="n"/>
      <c r="N367" s="32" t="n"/>
      <c r="O367" s="32" t="n"/>
      <c r="P367" s="32" t="n"/>
      <c r="Q367" s="32" t="n"/>
      <c r="U367" s="31">
        <f>IF($A367="","",SUM(X367:AE367))</f>
        <v/>
      </c>
      <c r="V367" s="31">
        <f>IF($A367="","",IF($H367&lt;&gt;"Ausgabe",0,-$E367-$U367))</f>
        <v/>
      </c>
      <c r="W367" s="33">
        <f>IF($A367="","",DATE(YEAR($A367),MONTH($A367),1))</f>
        <v/>
      </c>
      <c r="X367" s="34">
        <f>IF(OR($A367="",$H367&lt;&gt;"Ausgabe",J367=""),0,IF(J367="x",-$E367/(COUNTIF($J367:$Q367,"x")+1),-$E367*N(J367)))</f>
        <v/>
      </c>
      <c r="Y367" s="34">
        <f>IF(OR($A367="",$H367&lt;&gt;"Ausgabe",K367=""),0,IF(K367="x",-$E367/(COUNTIF($J367:$Q367,"x")+1),-$E367*N(K367)))</f>
        <v/>
      </c>
      <c r="Z367" s="34">
        <f>IF(OR($A367="",$H367&lt;&gt;"Ausgabe",L367=""),0,IF(L367="x",-$E367/(COUNTIF($J367:$Q367,"x")+1),-$E367*N(L367)))</f>
        <v/>
      </c>
      <c r="AA367" s="34">
        <f>IF(OR($A367="",$H367&lt;&gt;"Ausgabe",M367=""),0,IF(M367="x",-$E367/(COUNTIF($J367:$Q367,"x")+1),-$E367*N(M367)))</f>
        <v/>
      </c>
      <c r="AB367" s="34">
        <f>IF(OR($A367="",$H367&lt;&gt;"Ausgabe",N367=""),0,IF(N367="x",-$E367/(COUNTIF($J367:$Q367,"x")+1),-$E367*N(N367)))</f>
        <v/>
      </c>
      <c r="AC367" s="34">
        <f>IF(OR($A367="",$H367&lt;&gt;"Ausgabe",O367=""),0,IF(O367="x",-$E367/(COUNTIF($J367:$Q367,"x")+1),-$E367*N(O367)))</f>
        <v/>
      </c>
      <c r="AD367" s="34">
        <f>IF(OR($A367="",$H367&lt;&gt;"Ausgabe",P367=""),0,IF(P367="x",-$E367/(COUNTIF($J367:$Q367,"x")+1),-$E367*N(P367)))</f>
        <v/>
      </c>
      <c r="AE367" s="34">
        <f>IF(OR($A367="",$H367&lt;&gt;"Ausgabe",Q367=""),0,IF(Q367="x",-$E367/(COUNTIF($J367:$Q367,"x")+1),-$E367*N(Q367)))</f>
        <v/>
      </c>
    </row>
    <row r="368">
      <c r="A368" s="30" t="n"/>
      <c r="E368" s="31" t="n"/>
      <c r="J368" s="32" t="n"/>
      <c r="K368" s="32" t="n"/>
      <c r="L368" s="32" t="n"/>
      <c r="M368" s="32" t="n"/>
      <c r="N368" s="32" t="n"/>
      <c r="O368" s="32" t="n"/>
      <c r="P368" s="32" t="n"/>
      <c r="Q368" s="32" t="n"/>
      <c r="U368" s="31">
        <f>IF($A368="","",SUM(X368:AE368))</f>
        <v/>
      </c>
      <c r="V368" s="31">
        <f>IF($A368="","",IF($H368&lt;&gt;"Ausgabe",0,-$E368-$U368))</f>
        <v/>
      </c>
      <c r="W368" s="33">
        <f>IF($A368="","",DATE(YEAR($A368),MONTH($A368),1))</f>
        <v/>
      </c>
      <c r="X368" s="34">
        <f>IF(OR($A368="",$H368&lt;&gt;"Ausgabe",J368=""),0,IF(J368="x",-$E368/(COUNTIF($J368:$Q368,"x")+1),-$E368*N(J368)))</f>
        <v/>
      </c>
      <c r="Y368" s="34">
        <f>IF(OR($A368="",$H368&lt;&gt;"Ausgabe",K368=""),0,IF(K368="x",-$E368/(COUNTIF($J368:$Q368,"x")+1),-$E368*N(K368)))</f>
        <v/>
      </c>
      <c r="Z368" s="34">
        <f>IF(OR($A368="",$H368&lt;&gt;"Ausgabe",L368=""),0,IF(L368="x",-$E368/(COUNTIF($J368:$Q368,"x")+1),-$E368*N(L368)))</f>
        <v/>
      </c>
      <c r="AA368" s="34">
        <f>IF(OR($A368="",$H368&lt;&gt;"Ausgabe",M368=""),0,IF(M368="x",-$E368/(COUNTIF($J368:$Q368,"x")+1),-$E368*N(M368)))</f>
        <v/>
      </c>
      <c r="AB368" s="34">
        <f>IF(OR($A368="",$H368&lt;&gt;"Ausgabe",N368=""),0,IF(N368="x",-$E368/(COUNTIF($J368:$Q368,"x")+1),-$E368*N(N368)))</f>
        <v/>
      </c>
      <c r="AC368" s="34">
        <f>IF(OR($A368="",$H368&lt;&gt;"Ausgabe",O368=""),0,IF(O368="x",-$E368/(COUNTIF($J368:$Q368,"x")+1),-$E368*N(O368)))</f>
        <v/>
      </c>
      <c r="AD368" s="34">
        <f>IF(OR($A368="",$H368&lt;&gt;"Ausgabe",P368=""),0,IF(P368="x",-$E368/(COUNTIF($J368:$Q368,"x")+1),-$E368*N(P368)))</f>
        <v/>
      </c>
      <c r="AE368" s="34">
        <f>IF(OR($A368="",$H368&lt;&gt;"Ausgabe",Q368=""),0,IF(Q368="x",-$E368/(COUNTIF($J368:$Q368,"x")+1),-$E368*N(Q368)))</f>
        <v/>
      </c>
    </row>
    <row r="369">
      <c r="A369" s="30" t="n"/>
      <c r="E369" s="31" t="n"/>
      <c r="J369" s="32" t="n"/>
      <c r="K369" s="32" t="n"/>
      <c r="L369" s="32" t="n"/>
      <c r="M369" s="32" t="n"/>
      <c r="N369" s="32" t="n"/>
      <c r="O369" s="32" t="n"/>
      <c r="P369" s="32" t="n"/>
      <c r="Q369" s="32" t="n"/>
      <c r="U369" s="31">
        <f>IF($A369="","",SUM(X369:AE369))</f>
        <v/>
      </c>
      <c r="V369" s="31">
        <f>IF($A369="","",IF($H369&lt;&gt;"Ausgabe",0,-$E369-$U369))</f>
        <v/>
      </c>
      <c r="W369" s="33">
        <f>IF($A369="","",DATE(YEAR($A369),MONTH($A369),1))</f>
        <v/>
      </c>
      <c r="X369" s="34">
        <f>IF(OR($A369="",$H369&lt;&gt;"Ausgabe",J369=""),0,IF(J369="x",-$E369/(COUNTIF($J369:$Q369,"x")+1),-$E369*N(J369)))</f>
        <v/>
      </c>
      <c r="Y369" s="34">
        <f>IF(OR($A369="",$H369&lt;&gt;"Ausgabe",K369=""),0,IF(K369="x",-$E369/(COUNTIF($J369:$Q369,"x")+1),-$E369*N(K369)))</f>
        <v/>
      </c>
      <c r="Z369" s="34">
        <f>IF(OR($A369="",$H369&lt;&gt;"Ausgabe",L369=""),0,IF(L369="x",-$E369/(COUNTIF($J369:$Q369,"x")+1),-$E369*N(L369)))</f>
        <v/>
      </c>
      <c r="AA369" s="34">
        <f>IF(OR($A369="",$H369&lt;&gt;"Ausgabe",M369=""),0,IF(M369="x",-$E369/(COUNTIF($J369:$Q369,"x")+1),-$E369*N(M369)))</f>
        <v/>
      </c>
      <c r="AB369" s="34">
        <f>IF(OR($A369="",$H369&lt;&gt;"Ausgabe",N369=""),0,IF(N369="x",-$E369/(COUNTIF($J369:$Q369,"x")+1),-$E369*N(N369)))</f>
        <v/>
      </c>
      <c r="AC369" s="34">
        <f>IF(OR($A369="",$H369&lt;&gt;"Ausgabe",O369=""),0,IF(O369="x",-$E369/(COUNTIF($J369:$Q369,"x")+1),-$E369*N(O369)))</f>
        <v/>
      </c>
      <c r="AD369" s="34">
        <f>IF(OR($A369="",$H369&lt;&gt;"Ausgabe",P369=""),0,IF(P369="x",-$E369/(COUNTIF($J369:$Q369,"x")+1),-$E369*N(P369)))</f>
        <v/>
      </c>
      <c r="AE369" s="34">
        <f>IF(OR($A369="",$H369&lt;&gt;"Ausgabe",Q369=""),0,IF(Q369="x",-$E369/(COUNTIF($J369:$Q369,"x")+1),-$E369*N(Q369)))</f>
        <v/>
      </c>
    </row>
    <row r="370">
      <c r="A370" s="30" t="n"/>
      <c r="E370" s="31" t="n"/>
      <c r="J370" s="32" t="n"/>
      <c r="K370" s="32" t="n"/>
      <c r="L370" s="32" t="n"/>
      <c r="M370" s="32" t="n"/>
      <c r="N370" s="32" t="n"/>
      <c r="O370" s="32" t="n"/>
      <c r="P370" s="32" t="n"/>
      <c r="Q370" s="32" t="n"/>
      <c r="U370" s="31">
        <f>IF($A370="","",SUM(X370:AE370))</f>
        <v/>
      </c>
      <c r="V370" s="31">
        <f>IF($A370="","",IF($H370&lt;&gt;"Ausgabe",0,-$E370-$U370))</f>
        <v/>
      </c>
      <c r="W370" s="33">
        <f>IF($A370="","",DATE(YEAR($A370),MONTH($A370),1))</f>
        <v/>
      </c>
      <c r="X370" s="34">
        <f>IF(OR($A370="",$H370&lt;&gt;"Ausgabe",J370=""),0,IF(J370="x",-$E370/(COUNTIF($J370:$Q370,"x")+1),-$E370*N(J370)))</f>
        <v/>
      </c>
      <c r="Y370" s="34">
        <f>IF(OR($A370="",$H370&lt;&gt;"Ausgabe",K370=""),0,IF(K370="x",-$E370/(COUNTIF($J370:$Q370,"x")+1),-$E370*N(K370)))</f>
        <v/>
      </c>
      <c r="Z370" s="34">
        <f>IF(OR($A370="",$H370&lt;&gt;"Ausgabe",L370=""),0,IF(L370="x",-$E370/(COUNTIF($J370:$Q370,"x")+1),-$E370*N(L370)))</f>
        <v/>
      </c>
      <c r="AA370" s="34">
        <f>IF(OR($A370="",$H370&lt;&gt;"Ausgabe",M370=""),0,IF(M370="x",-$E370/(COUNTIF($J370:$Q370,"x")+1),-$E370*N(M370)))</f>
        <v/>
      </c>
      <c r="AB370" s="34">
        <f>IF(OR($A370="",$H370&lt;&gt;"Ausgabe",N370=""),0,IF(N370="x",-$E370/(COUNTIF($J370:$Q370,"x")+1),-$E370*N(N370)))</f>
        <v/>
      </c>
      <c r="AC370" s="34">
        <f>IF(OR($A370="",$H370&lt;&gt;"Ausgabe",O370=""),0,IF(O370="x",-$E370/(COUNTIF($J370:$Q370,"x")+1),-$E370*N(O370)))</f>
        <v/>
      </c>
      <c r="AD370" s="34">
        <f>IF(OR($A370="",$H370&lt;&gt;"Ausgabe",P370=""),0,IF(P370="x",-$E370/(COUNTIF($J370:$Q370,"x")+1),-$E370*N(P370)))</f>
        <v/>
      </c>
      <c r="AE370" s="34">
        <f>IF(OR($A370="",$H370&lt;&gt;"Ausgabe",Q370=""),0,IF(Q370="x",-$E370/(COUNTIF($J370:$Q370,"x")+1),-$E370*N(Q370)))</f>
        <v/>
      </c>
    </row>
    <row r="371">
      <c r="A371" s="30" t="n"/>
      <c r="E371" s="31" t="n"/>
      <c r="J371" s="32" t="n"/>
      <c r="K371" s="32" t="n"/>
      <c r="L371" s="32" t="n"/>
      <c r="M371" s="32" t="n"/>
      <c r="N371" s="32" t="n"/>
      <c r="O371" s="32" t="n"/>
      <c r="P371" s="32" t="n"/>
      <c r="Q371" s="32" t="n"/>
      <c r="U371" s="31">
        <f>IF($A371="","",SUM(X371:AE371))</f>
        <v/>
      </c>
      <c r="V371" s="31">
        <f>IF($A371="","",IF($H371&lt;&gt;"Ausgabe",0,-$E371-$U371))</f>
        <v/>
      </c>
      <c r="W371" s="33">
        <f>IF($A371="","",DATE(YEAR($A371),MONTH($A371),1))</f>
        <v/>
      </c>
      <c r="X371" s="34">
        <f>IF(OR($A371="",$H371&lt;&gt;"Ausgabe",J371=""),0,IF(J371="x",-$E371/(COUNTIF($J371:$Q371,"x")+1),-$E371*N(J371)))</f>
        <v/>
      </c>
      <c r="Y371" s="34">
        <f>IF(OR($A371="",$H371&lt;&gt;"Ausgabe",K371=""),0,IF(K371="x",-$E371/(COUNTIF($J371:$Q371,"x")+1),-$E371*N(K371)))</f>
        <v/>
      </c>
      <c r="Z371" s="34">
        <f>IF(OR($A371="",$H371&lt;&gt;"Ausgabe",L371=""),0,IF(L371="x",-$E371/(COUNTIF($J371:$Q371,"x")+1),-$E371*N(L371)))</f>
        <v/>
      </c>
      <c r="AA371" s="34">
        <f>IF(OR($A371="",$H371&lt;&gt;"Ausgabe",M371=""),0,IF(M371="x",-$E371/(COUNTIF($J371:$Q371,"x")+1),-$E371*N(M371)))</f>
        <v/>
      </c>
      <c r="AB371" s="34">
        <f>IF(OR($A371="",$H371&lt;&gt;"Ausgabe",N371=""),0,IF(N371="x",-$E371/(COUNTIF($J371:$Q371,"x")+1),-$E371*N(N371)))</f>
        <v/>
      </c>
      <c r="AC371" s="34">
        <f>IF(OR($A371="",$H371&lt;&gt;"Ausgabe",O371=""),0,IF(O371="x",-$E371/(COUNTIF($J371:$Q371,"x")+1),-$E371*N(O371)))</f>
        <v/>
      </c>
      <c r="AD371" s="34">
        <f>IF(OR($A371="",$H371&lt;&gt;"Ausgabe",P371=""),0,IF(P371="x",-$E371/(COUNTIF($J371:$Q371,"x")+1),-$E371*N(P371)))</f>
        <v/>
      </c>
      <c r="AE371" s="34">
        <f>IF(OR($A371="",$H371&lt;&gt;"Ausgabe",Q371=""),0,IF(Q371="x",-$E371/(COUNTIF($J371:$Q371,"x")+1),-$E371*N(Q371)))</f>
        <v/>
      </c>
    </row>
    <row r="372">
      <c r="A372" s="30" t="n"/>
      <c r="E372" s="31" t="n"/>
      <c r="J372" s="32" t="n"/>
      <c r="K372" s="32" t="n"/>
      <c r="L372" s="32" t="n"/>
      <c r="M372" s="32" t="n"/>
      <c r="N372" s="32" t="n"/>
      <c r="O372" s="32" t="n"/>
      <c r="P372" s="32" t="n"/>
      <c r="Q372" s="32" t="n"/>
      <c r="U372" s="31">
        <f>IF($A372="","",SUM(X372:AE372))</f>
        <v/>
      </c>
      <c r="V372" s="31">
        <f>IF($A372="","",IF($H372&lt;&gt;"Ausgabe",0,-$E372-$U372))</f>
        <v/>
      </c>
      <c r="W372" s="33">
        <f>IF($A372="","",DATE(YEAR($A372),MONTH($A372),1))</f>
        <v/>
      </c>
      <c r="X372" s="34">
        <f>IF(OR($A372="",$H372&lt;&gt;"Ausgabe",J372=""),0,IF(J372="x",-$E372/(COUNTIF($J372:$Q372,"x")+1),-$E372*N(J372)))</f>
        <v/>
      </c>
      <c r="Y372" s="34">
        <f>IF(OR($A372="",$H372&lt;&gt;"Ausgabe",K372=""),0,IF(K372="x",-$E372/(COUNTIF($J372:$Q372,"x")+1),-$E372*N(K372)))</f>
        <v/>
      </c>
      <c r="Z372" s="34">
        <f>IF(OR($A372="",$H372&lt;&gt;"Ausgabe",L372=""),0,IF(L372="x",-$E372/(COUNTIF($J372:$Q372,"x")+1),-$E372*N(L372)))</f>
        <v/>
      </c>
      <c r="AA372" s="34">
        <f>IF(OR($A372="",$H372&lt;&gt;"Ausgabe",M372=""),0,IF(M372="x",-$E372/(COUNTIF($J372:$Q372,"x")+1),-$E372*N(M372)))</f>
        <v/>
      </c>
      <c r="AB372" s="34">
        <f>IF(OR($A372="",$H372&lt;&gt;"Ausgabe",N372=""),0,IF(N372="x",-$E372/(COUNTIF($J372:$Q372,"x")+1),-$E372*N(N372)))</f>
        <v/>
      </c>
      <c r="AC372" s="34">
        <f>IF(OR($A372="",$H372&lt;&gt;"Ausgabe",O372=""),0,IF(O372="x",-$E372/(COUNTIF($J372:$Q372,"x")+1),-$E372*N(O372)))</f>
        <v/>
      </c>
      <c r="AD372" s="34">
        <f>IF(OR($A372="",$H372&lt;&gt;"Ausgabe",P372=""),0,IF(P372="x",-$E372/(COUNTIF($J372:$Q372,"x")+1),-$E372*N(P372)))</f>
        <v/>
      </c>
      <c r="AE372" s="34">
        <f>IF(OR($A372="",$H372&lt;&gt;"Ausgabe",Q372=""),0,IF(Q372="x",-$E372/(COUNTIF($J372:$Q372,"x")+1),-$E372*N(Q372)))</f>
        <v/>
      </c>
    </row>
    <row r="373">
      <c r="A373" s="30" t="n"/>
      <c r="E373" s="31" t="n"/>
      <c r="J373" s="32" t="n"/>
      <c r="K373" s="32" t="n"/>
      <c r="L373" s="32" t="n"/>
      <c r="M373" s="32" t="n"/>
      <c r="N373" s="32" t="n"/>
      <c r="O373" s="32" t="n"/>
      <c r="P373" s="32" t="n"/>
      <c r="Q373" s="32" t="n"/>
      <c r="U373" s="31">
        <f>IF($A373="","",SUM(X373:AE373))</f>
        <v/>
      </c>
      <c r="V373" s="31">
        <f>IF($A373="","",IF($H373&lt;&gt;"Ausgabe",0,-$E373-$U373))</f>
        <v/>
      </c>
      <c r="W373" s="33">
        <f>IF($A373="","",DATE(YEAR($A373),MONTH($A373),1))</f>
        <v/>
      </c>
      <c r="X373" s="34">
        <f>IF(OR($A373="",$H373&lt;&gt;"Ausgabe",J373=""),0,IF(J373="x",-$E373/(COUNTIF($J373:$Q373,"x")+1),-$E373*N(J373)))</f>
        <v/>
      </c>
      <c r="Y373" s="34">
        <f>IF(OR($A373="",$H373&lt;&gt;"Ausgabe",K373=""),0,IF(K373="x",-$E373/(COUNTIF($J373:$Q373,"x")+1),-$E373*N(K373)))</f>
        <v/>
      </c>
      <c r="Z373" s="34">
        <f>IF(OR($A373="",$H373&lt;&gt;"Ausgabe",L373=""),0,IF(L373="x",-$E373/(COUNTIF($J373:$Q373,"x")+1),-$E373*N(L373)))</f>
        <v/>
      </c>
      <c r="AA373" s="34">
        <f>IF(OR($A373="",$H373&lt;&gt;"Ausgabe",M373=""),0,IF(M373="x",-$E373/(COUNTIF($J373:$Q373,"x")+1),-$E373*N(M373)))</f>
        <v/>
      </c>
      <c r="AB373" s="34">
        <f>IF(OR($A373="",$H373&lt;&gt;"Ausgabe",N373=""),0,IF(N373="x",-$E373/(COUNTIF($J373:$Q373,"x")+1),-$E373*N(N373)))</f>
        <v/>
      </c>
      <c r="AC373" s="34">
        <f>IF(OR($A373="",$H373&lt;&gt;"Ausgabe",O373=""),0,IF(O373="x",-$E373/(COUNTIF($J373:$Q373,"x")+1),-$E373*N(O373)))</f>
        <v/>
      </c>
      <c r="AD373" s="34">
        <f>IF(OR($A373="",$H373&lt;&gt;"Ausgabe",P373=""),0,IF(P373="x",-$E373/(COUNTIF($J373:$Q373,"x")+1),-$E373*N(P373)))</f>
        <v/>
      </c>
      <c r="AE373" s="34">
        <f>IF(OR($A373="",$H373&lt;&gt;"Ausgabe",Q373=""),0,IF(Q373="x",-$E373/(COUNTIF($J373:$Q373,"x")+1),-$E373*N(Q373)))</f>
        <v/>
      </c>
    </row>
    <row r="374">
      <c r="A374" s="30" t="n"/>
      <c r="E374" s="31" t="n"/>
      <c r="J374" s="32" t="n"/>
      <c r="K374" s="32" t="n"/>
      <c r="L374" s="32" t="n"/>
      <c r="M374" s="32" t="n"/>
      <c r="N374" s="32" t="n"/>
      <c r="O374" s="32" t="n"/>
      <c r="P374" s="32" t="n"/>
      <c r="Q374" s="32" t="n"/>
      <c r="U374" s="31">
        <f>IF($A374="","",SUM(X374:AE374))</f>
        <v/>
      </c>
      <c r="V374" s="31">
        <f>IF($A374="","",IF($H374&lt;&gt;"Ausgabe",0,-$E374-$U374))</f>
        <v/>
      </c>
      <c r="W374" s="33">
        <f>IF($A374="","",DATE(YEAR($A374),MONTH($A374),1))</f>
        <v/>
      </c>
      <c r="X374" s="34">
        <f>IF(OR($A374="",$H374&lt;&gt;"Ausgabe",J374=""),0,IF(J374="x",-$E374/(COUNTIF($J374:$Q374,"x")+1),-$E374*N(J374)))</f>
        <v/>
      </c>
      <c r="Y374" s="34">
        <f>IF(OR($A374="",$H374&lt;&gt;"Ausgabe",K374=""),0,IF(K374="x",-$E374/(COUNTIF($J374:$Q374,"x")+1),-$E374*N(K374)))</f>
        <v/>
      </c>
      <c r="Z374" s="34">
        <f>IF(OR($A374="",$H374&lt;&gt;"Ausgabe",L374=""),0,IF(L374="x",-$E374/(COUNTIF($J374:$Q374,"x")+1),-$E374*N(L374)))</f>
        <v/>
      </c>
      <c r="AA374" s="34">
        <f>IF(OR($A374="",$H374&lt;&gt;"Ausgabe",M374=""),0,IF(M374="x",-$E374/(COUNTIF($J374:$Q374,"x")+1),-$E374*N(M374)))</f>
        <v/>
      </c>
      <c r="AB374" s="34">
        <f>IF(OR($A374="",$H374&lt;&gt;"Ausgabe",N374=""),0,IF(N374="x",-$E374/(COUNTIF($J374:$Q374,"x")+1),-$E374*N(N374)))</f>
        <v/>
      </c>
      <c r="AC374" s="34">
        <f>IF(OR($A374="",$H374&lt;&gt;"Ausgabe",O374=""),0,IF(O374="x",-$E374/(COUNTIF($J374:$Q374,"x")+1),-$E374*N(O374)))</f>
        <v/>
      </c>
      <c r="AD374" s="34">
        <f>IF(OR($A374="",$H374&lt;&gt;"Ausgabe",P374=""),0,IF(P374="x",-$E374/(COUNTIF($J374:$Q374,"x")+1),-$E374*N(P374)))</f>
        <v/>
      </c>
      <c r="AE374" s="34">
        <f>IF(OR($A374="",$H374&lt;&gt;"Ausgabe",Q374=""),0,IF(Q374="x",-$E374/(COUNTIF($J374:$Q374,"x")+1),-$E374*N(Q374)))</f>
        <v/>
      </c>
    </row>
    <row r="375">
      <c r="A375" s="30" t="n"/>
      <c r="E375" s="31" t="n"/>
      <c r="J375" s="32" t="n"/>
      <c r="K375" s="32" t="n"/>
      <c r="L375" s="32" t="n"/>
      <c r="M375" s="32" t="n"/>
      <c r="N375" s="32" t="n"/>
      <c r="O375" s="32" t="n"/>
      <c r="P375" s="32" t="n"/>
      <c r="Q375" s="32" t="n"/>
      <c r="U375" s="31">
        <f>IF($A375="","",SUM(X375:AE375))</f>
        <v/>
      </c>
      <c r="V375" s="31">
        <f>IF($A375="","",IF($H375&lt;&gt;"Ausgabe",0,-$E375-$U375))</f>
        <v/>
      </c>
      <c r="W375" s="33">
        <f>IF($A375="","",DATE(YEAR($A375),MONTH($A375),1))</f>
        <v/>
      </c>
      <c r="X375" s="34">
        <f>IF(OR($A375="",$H375&lt;&gt;"Ausgabe",J375=""),0,IF(J375="x",-$E375/(COUNTIF($J375:$Q375,"x")+1),-$E375*N(J375)))</f>
        <v/>
      </c>
      <c r="Y375" s="34">
        <f>IF(OR($A375="",$H375&lt;&gt;"Ausgabe",K375=""),0,IF(K375="x",-$E375/(COUNTIF($J375:$Q375,"x")+1),-$E375*N(K375)))</f>
        <v/>
      </c>
      <c r="Z375" s="34">
        <f>IF(OR($A375="",$H375&lt;&gt;"Ausgabe",L375=""),0,IF(L375="x",-$E375/(COUNTIF($J375:$Q375,"x")+1),-$E375*N(L375)))</f>
        <v/>
      </c>
      <c r="AA375" s="34">
        <f>IF(OR($A375="",$H375&lt;&gt;"Ausgabe",M375=""),0,IF(M375="x",-$E375/(COUNTIF($J375:$Q375,"x")+1),-$E375*N(M375)))</f>
        <v/>
      </c>
      <c r="AB375" s="34">
        <f>IF(OR($A375="",$H375&lt;&gt;"Ausgabe",N375=""),0,IF(N375="x",-$E375/(COUNTIF($J375:$Q375,"x")+1),-$E375*N(N375)))</f>
        <v/>
      </c>
      <c r="AC375" s="34">
        <f>IF(OR($A375="",$H375&lt;&gt;"Ausgabe",O375=""),0,IF(O375="x",-$E375/(COUNTIF($J375:$Q375,"x")+1),-$E375*N(O375)))</f>
        <v/>
      </c>
      <c r="AD375" s="34">
        <f>IF(OR($A375="",$H375&lt;&gt;"Ausgabe",P375=""),0,IF(P375="x",-$E375/(COUNTIF($J375:$Q375,"x")+1),-$E375*N(P375)))</f>
        <v/>
      </c>
      <c r="AE375" s="34">
        <f>IF(OR($A375="",$H375&lt;&gt;"Ausgabe",Q375=""),0,IF(Q375="x",-$E375/(COUNTIF($J375:$Q375,"x")+1),-$E375*N(Q375)))</f>
        <v/>
      </c>
    </row>
    <row r="376">
      <c r="A376" s="30" t="n"/>
      <c r="E376" s="31" t="n"/>
      <c r="J376" s="32" t="n"/>
      <c r="K376" s="32" t="n"/>
      <c r="L376" s="32" t="n"/>
      <c r="M376" s="32" t="n"/>
      <c r="N376" s="32" t="n"/>
      <c r="O376" s="32" t="n"/>
      <c r="P376" s="32" t="n"/>
      <c r="Q376" s="32" t="n"/>
      <c r="U376" s="31">
        <f>IF($A376="","",SUM(X376:AE376))</f>
        <v/>
      </c>
      <c r="V376" s="31">
        <f>IF($A376="","",IF($H376&lt;&gt;"Ausgabe",0,-$E376-$U376))</f>
        <v/>
      </c>
      <c r="W376" s="33">
        <f>IF($A376="","",DATE(YEAR($A376),MONTH($A376),1))</f>
        <v/>
      </c>
      <c r="X376" s="34">
        <f>IF(OR($A376="",$H376&lt;&gt;"Ausgabe",J376=""),0,IF(J376="x",-$E376/(COUNTIF($J376:$Q376,"x")+1),-$E376*N(J376)))</f>
        <v/>
      </c>
      <c r="Y376" s="34">
        <f>IF(OR($A376="",$H376&lt;&gt;"Ausgabe",K376=""),0,IF(K376="x",-$E376/(COUNTIF($J376:$Q376,"x")+1),-$E376*N(K376)))</f>
        <v/>
      </c>
      <c r="Z376" s="34">
        <f>IF(OR($A376="",$H376&lt;&gt;"Ausgabe",L376=""),0,IF(L376="x",-$E376/(COUNTIF($J376:$Q376,"x")+1),-$E376*N(L376)))</f>
        <v/>
      </c>
      <c r="AA376" s="34">
        <f>IF(OR($A376="",$H376&lt;&gt;"Ausgabe",M376=""),0,IF(M376="x",-$E376/(COUNTIF($J376:$Q376,"x")+1),-$E376*N(M376)))</f>
        <v/>
      </c>
      <c r="AB376" s="34">
        <f>IF(OR($A376="",$H376&lt;&gt;"Ausgabe",N376=""),0,IF(N376="x",-$E376/(COUNTIF($J376:$Q376,"x")+1),-$E376*N(N376)))</f>
        <v/>
      </c>
      <c r="AC376" s="34">
        <f>IF(OR($A376="",$H376&lt;&gt;"Ausgabe",O376=""),0,IF(O376="x",-$E376/(COUNTIF($J376:$Q376,"x")+1),-$E376*N(O376)))</f>
        <v/>
      </c>
      <c r="AD376" s="34">
        <f>IF(OR($A376="",$H376&lt;&gt;"Ausgabe",P376=""),0,IF(P376="x",-$E376/(COUNTIF($J376:$Q376,"x")+1),-$E376*N(P376)))</f>
        <v/>
      </c>
      <c r="AE376" s="34">
        <f>IF(OR($A376="",$H376&lt;&gt;"Ausgabe",Q376=""),0,IF(Q376="x",-$E376/(COUNTIF($J376:$Q376,"x")+1),-$E376*N(Q376)))</f>
        <v/>
      </c>
    </row>
    <row r="377">
      <c r="A377" s="30" t="n"/>
      <c r="E377" s="31" t="n"/>
      <c r="J377" s="32" t="n"/>
      <c r="K377" s="32" t="n"/>
      <c r="L377" s="32" t="n"/>
      <c r="M377" s="32" t="n"/>
      <c r="N377" s="32" t="n"/>
      <c r="O377" s="32" t="n"/>
      <c r="P377" s="32" t="n"/>
      <c r="Q377" s="32" t="n"/>
      <c r="U377" s="31">
        <f>IF($A377="","",SUM(X377:AE377))</f>
        <v/>
      </c>
      <c r="V377" s="31">
        <f>IF($A377="","",IF($H377&lt;&gt;"Ausgabe",0,-$E377-$U377))</f>
        <v/>
      </c>
      <c r="W377" s="33">
        <f>IF($A377="","",DATE(YEAR($A377),MONTH($A377),1))</f>
        <v/>
      </c>
      <c r="X377" s="34">
        <f>IF(OR($A377="",$H377&lt;&gt;"Ausgabe",J377=""),0,IF(J377="x",-$E377/(COUNTIF($J377:$Q377,"x")+1),-$E377*N(J377)))</f>
        <v/>
      </c>
      <c r="Y377" s="34">
        <f>IF(OR($A377="",$H377&lt;&gt;"Ausgabe",K377=""),0,IF(K377="x",-$E377/(COUNTIF($J377:$Q377,"x")+1),-$E377*N(K377)))</f>
        <v/>
      </c>
      <c r="Z377" s="34">
        <f>IF(OR($A377="",$H377&lt;&gt;"Ausgabe",L377=""),0,IF(L377="x",-$E377/(COUNTIF($J377:$Q377,"x")+1),-$E377*N(L377)))</f>
        <v/>
      </c>
      <c r="AA377" s="34">
        <f>IF(OR($A377="",$H377&lt;&gt;"Ausgabe",M377=""),0,IF(M377="x",-$E377/(COUNTIF($J377:$Q377,"x")+1),-$E377*N(M377)))</f>
        <v/>
      </c>
      <c r="AB377" s="34">
        <f>IF(OR($A377="",$H377&lt;&gt;"Ausgabe",N377=""),0,IF(N377="x",-$E377/(COUNTIF($J377:$Q377,"x")+1),-$E377*N(N377)))</f>
        <v/>
      </c>
      <c r="AC377" s="34">
        <f>IF(OR($A377="",$H377&lt;&gt;"Ausgabe",O377=""),0,IF(O377="x",-$E377/(COUNTIF($J377:$Q377,"x")+1),-$E377*N(O377)))</f>
        <v/>
      </c>
      <c r="AD377" s="34">
        <f>IF(OR($A377="",$H377&lt;&gt;"Ausgabe",P377=""),0,IF(P377="x",-$E377/(COUNTIF($J377:$Q377,"x")+1),-$E377*N(P377)))</f>
        <v/>
      </c>
      <c r="AE377" s="34">
        <f>IF(OR($A377="",$H377&lt;&gt;"Ausgabe",Q377=""),0,IF(Q377="x",-$E377/(COUNTIF($J377:$Q377,"x")+1),-$E377*N(Q377)))</f>
        <v/>
      </c>
    </row>
    <row r="378">
      <c r="A378" s="30" t="n"/>
      <c r="E378" s="31" t="n"/>
      <c r="J378" s="32" t="n"/>
      <c r="K378" s="32" t="n"/>
      <c r="L378" s="32" t="n"/>
      <c r="M378" s="32" t="n"/>
      <c r="N378" s="32" t="n"/>
      <c r="O378" s="32" t="n"/>
      <c r="P378" s="32" t="n"/>
      <c r="Q378" s="32" t="n"/>
      <c r="U378" s="31">
        <f>IF($A378="","",SUM(X378:AE378))</f>
        <v/>
      </c>
      <c r="V378" s="31">
        <f>IF($A378="","",IF($H378&lt;&gt;"Ausgabe",0,-$E378-$U378))</f>
        <v/>
      </c>
      <c r="W378" s="33">
        <f>IF($A378="","",DATE(YEAR($A378),MONTH($A378),1))</f>
        <v/>
      </c>
      <c r="X378" s="34">
        <f>IF(OR($A378="",$H378&lt;&gt;"Ausgabe",J378=""),0,IF(J378="x",-$E378/(COUNTIF($J378:$Q378,"x")+1),-$E378*N(J378)))</f>
        <v/>
      </c>
      <c r="Y378" s="34">
        <f>IF(OR($A378="",$H378&lt;&gt;"Ausgabe",K378=""),0,IF(K378="x",-$E378/(COUNTIF($J378:$Q378,"x")+1),-$E378*N(K378)))</f>
        <v/>
      </c>
      <c r="Z378" s="34">
        <f>IF(OR($A378="",$H378&lt;&gt;"Ausgabe",L378=""),0,IF(L378="x",-$E378/(COUNTIF($J378:$Q378,"x")+1),-$E378*N(L378)))</f>
        <v/>
      </c>
      <c r="AA378" s="34">
        <f>IF(OR($A378="",$H378&lt;&gt;"Ausgabe",M378=""),0,IF(M378="x",-$E378/(COUNTIF($J378:$Q378,"x")+1),-$E378*N(M378)))</f>
        <v/>
      </c>
      <c r="AB378" s="34">
        <f>IF(OR($A378="",$H378&lt;&gt;"Ausgabe",N378=""),0,IF(N378="x",-$E378/(COUNTIF($J378:$Q378,"x")+1),-$E378*N(N378)))</f>
        <v/>
      </c>
      <c r="AC378" s="34">
        <f>IF(OR($A378="",$H378&lt;&gt;"Ausgabe",O378=""),0,IF(O378="x",-$E378/(COUNTIF($J378:$Q378,"x")+1),-$E378*N(O378)))</f>
        <v/>
      </c>
      <c r="AD378" s="34">
        <f>IF(OR($A378="",$H378&lt;&gt;"Ausgabe",P378=""),0,IF(P378="x",-$E378/(COUNTIF($J378:$Q378,"x")+1),-$E378*N(P378)))</f>
        <v/>
      </c>
      <c r="AE378" s="34">
        <f>IF(OR($A378="",$H378&lt;&gt;"Ausgabe",Q378=""),0,IF(Q378="x",-$E378/(COUNTIF($J378:$Q378,"x")+1),-$E378*N(Q378)))</f>
        <v/>
      </c>
    </row>
    <row r="379">
      <c r="A379" s="30" t="n"/>
      <c r="E379" s="31" t="n"/>
      <c r="J379" s="32" t="n"/>
      <c r="K379" s="32" t="n"/>
      <c r="L379" s="32" t="n"/>
      <c r="M379" s="32" t="n"/>
      <c r="N379" s="32" t="n"/>
      <c r="O379" s="32" t="n"/>
      <c r="P379" s="32" t="n"/>
      <c r="Q379" s="32" t="n"/>
      <c r="U379" s="31">
        <f>IF($A379="","",SUM(X379:AE379))</f>
        <v/>
      </c>
      <c r="V379" s="31">
        <f>IF($A379="","",IF($H379&lt;&gt;"Ausgabe",0,-$E379-$U379))</f>
        <v/>
      </c>
      <c r="W379" s="33">
        <f>IF($A379="","",DATE(YEAR($A379),MONTH($A379),1))</f>
        <v/>
      </c>
      <c r="X379" s="34">
        <f>IF(OR($A379="",$H379&lt;&gt;"Ausgabe",J379=""),0,IF(J379="x",-$E379/(COUNTIF($J379:$Q379,"x")+1),-$E379*N(J379)))</f>
        <v/>
      </c>
      <c r="Y379" s="34">
        <f>IF(OR($A379="",$H379&lt;&gt;"Ausgabe",K379=""),0,IF(K379="x",-$E379/(COUNTIF($J379:$Q379,"x")+1),-$E379*N(K379)))</f>
        <v/>
      </c>
      <c r="Z379" s="34">
        <f>IF(OR($A379="",$H379&lt;&gt;"Ausgabe",L379=""),0,IF(L379="x",-$E379/(COUNTIF($J379:$Q379,"x")+1),-$E379*N(L379)))</f>
        <v/>
      </c>
      <c r="AA379" s="34">
        <f>IF(OR($A379="",$H379&lt;&gt;"Ausgabe",M379=""),0,IF(M379="x",-$E379/(COUNTIF($J379:$Q379,"x")+1),-$E379*N(M379)))</f>
        <v/>
      </c>
      <c r="AB379" s="34">
        <f>IF(OR($A379="",$H379&lt;&gt;"Ausgabe",N379=""),0,IF(N379="x",-$E379/(COUNTIF($J379:$Q379,"x")+1),-$E379*N(N379)))</f>
        <v/>
      </c>
      <c r="AC379" s="34">
        <f>IF(OR($A379="",$H379&lt;&gt;"Ausgabe",O379=""),0,IF(O379="x",-$E379/(COUNTIF($J379:$Q379,"x")+1),-$E379*N(O379)))</f>
        <v/>
      </c>
      <c r="AD379" s="34">
        <f>IF(OR($A379="",$H379&lt;&gt;"Ausgabe",P379=""),0,IF(P379="x",-$E379/(COUNTIF($J379:$Q379,"x")+1),-$E379*N(P379)))</f>
        <v/>
      </c>
      <c r="AE379" s="34">
        <f>IF(OR($A379="",$H379&lt;&gt;"Ausgabe",Q379=""),0,IF(Q379="x",-$E379/(COUNTIF($J379:$Q379,"x")+1),-$E379*N(Q379)))</f>
        <v/>
      </c>
    </row>
    <row r="380">
      <c r="A380" s="30" t="n"/>
      <c r="E380" s="31" t="n"/>
      <c r="J380" s="32" t="n"/>
      <c r="K380" s="32" t="n"/>
      <c r="L380" s="32" t="n"/>
      <c r="M380" s="32" t="n"/>
      <c r="N380" s="32" t="n"/>
      <c r="O380" s="32" t="n"/>
      <c r="P380" s="32" t="n"/>
      <c r="Q380" s="32" t="n"/>
      <c r="U380" s="31">
        <f>IF($A380="","",SUM(X380:AE380))</f>
        <v/>
      </c>
      <c r="V380" s="31">
        <f>IF($A380="","",IF($H380&lt;&gt;"Ausgabe",0,-$E380-$U380))</f>
        <v/>
      </c>
      <c r="W380" s="33">
        <f>IF($A380="","",DATE(YEAR($A380),MONTH($A380),1))</f>
        <v/>
      </c>
      <c r="X380" s="34">
        <f>IF(OR($A380="",$H380&lt;&gt;"Ausgabe",J380=""),0,IF(J380="x",-$E380/(COUNTIF($J380:$Q380,"x")+1),-$E380*N(J380)))</f>
        <v/>
      </c>
      <c r="Y380" s="34">
        <f>IF(OR($A380="",$H380&lt;&gt;"Ausgabe",K380=""),0,IF(K380="x",-$E380/(COUNTIF($J380:$Q380,"x")+1),-$E380*N(K380)))</f>
        <v/>
      </c>
      <c r="Z380" s="34">
        <f>IF(OR($A380="",$H380&lt;&gt;"Ausgabe",L380=""),0,IF(L380="x",-$E380/(COUNTIF($J380:$Q380,"x")+1),-$E380*N(L380)))</f>
        <v/>
      </c>
      <c r="AA380" s="34">
        <f>IF(OR($A380="",$H380&lt;&gt;"Ausgabe",M380=""),0,IF(M380="x",-$E380/(COUNTIF($J380:$Q380,"x")+1),-$E380*N(M380)))</f>
        <v/>
      </c>
      <c r="AB380" s="34">
        <f>IF(OR($A380="",$H380&lt;&gt;"Ausgabe",N380=""),0,IF(N380="x",-$E380/(COUNTIF($J380:$Q380,"x")+1),-$E380*N(N380)))</f>
        <v/>
      </c>
      <c r="AC380" s="34">
        <f>IF(OR($A380="",$H380&lt;&gt;"Ausgabe",O380=""),0,IF(O380="x",-$E380/(COUNTIF($J380:$Q380,"x")+1),-$E380*N(O380)))</f>
        <v/>
      </c>
      <c r="AD380" s="34">
        <f>IF(OR($A380="",$H380&lt;&gt;"Ausgabe",P380=""),0,IF(P380="x",-$E380/(COUNTIF($J380:$Q380,"x")+1),-$E380*N(P380)))</f>
        <v/>
      </c>
      <c r="AE380" s="34">
        <f>IF(OR($A380="",$H380&lt;&gt;"Ausgabe",Q380=""),0,IF(Q380="x",-$E380/(COUNTIF($J380:$Q380,"x")+1),-$E380*N(Q380)))</f>
        <v/>
      </c>
    </row>
    <row r="381">
      <c r="A381" s="30" t="n"/>
      <c r="E381" s="31" t="n"/>
      <c r="J381" s="32" t="n"/>
      <c r="K381" s="32" t="n"/>
      <c r="L381" s="32" t="n"/>
      <c r="M381" s="32" t="n"/>
      <c r="N381" s="32" t="n"/>
      <c r="O381" s="32" t="n"/>
      <c r="P381" s="32" t="n"/>
      <c r="Q381" s="32" t="n"/>
      <c r="U381" s="31">
        <f>IF($A381="","",SUM(X381:AE381))</f>
        <v/>
      </c>
      <c r="V381" s="31">
        <f>IF($A381="","",IF($H381&lt;&gt;"Ausgabe",0,-$E381-$U381))</f>
        <v/>
      </c>
      <c r="W381" s="33">
        <f>IF($A381="","",DATE(YEAR($A381),MONTH($A381),1))</f>
        <v/>
      </c>
      <c r="X381" s="34">
        <f>IF(OR($A381="",$H381&lt;&gt;"Ausgabe",J381=""),0,IF(J381="x",-$E381/(COUNTIF($J381:$Q381,"x")+1),-$E381*N(J381)))</f>
        <v/>
      </c>
      <c r="Y381" s="34">
        <f>IF(OR($A381="",$H381&lt;&gt;"Ausgabe",K381=""),0,IF(K381="x",-$E381/(COUNTIF($J381:$Q381,"x")+1),-$E381*N(K381)))</f>
        <v/>
      </c>
      <c r="Z381" s="34">
        <f>IF(OR($A381="",$H381&lt;&gt;"Ausgabe",L381=""),0,IF(L381="x",-$E381/(COUNTIF($J381:$Q381,"x")+1),-$E381*N(L381)))</f>
        <v/>
      </c>
      <c r="AA381" s="34">
        <f>IF(OR($A381="",$H381&lt;&gt;"Ausgabe",M381=""),0,IF(M381="x",-$E381/(COUNTIF($J381:$Q381,"x")+1),-$E381*N(M381)))</f>
        <v/>
      </c>
      <c r="AB381" s="34">
        <f>IF(OR($A381="",$H381&lt;&gt;"Ausgabe",N381=""),0,IF(N381="x",-$E381/(COUNTIF($J381:$Q381,"x")+1),-$E381*N(N381)))</f>
        <v/>
      </c>
      <c r="AC381" s="34">
        <f>IF(OR($A381="",$H381&lt;&gt;"Ausgabe",O381=""),0,IF(O381="x",-$E381/(COUNTIF($J381:$Q381,"x")+1),-$E381*N(O381)))</f>
        <v/>
      </c>
      <c r="AD381" s="34">
        <f>IF(OR($A381="",$H381&lt;&gt;"Ausgabe",P381=""),0,IF(P381="x",-$E381/(COUNTIF($J381:$Q381,"x")+1),-$E381*N(P381)))</f>
        <v/>
      </c>
      <c r="AE381" s="34">
        <f>IF(OR($A381="",$H381&lt;&gt;"Ausgabe",Q381=""),0,IF(Q381="x",-$E381/(COUNTIF($J381:$Q381,"x")+1),-$E381*N(Q381)))</f>
        <v/>
      </c>
    </row>
    <row r="382">
      <c r="A382" s="30" t="n"/>
      <c r="E382" s="31" t="n"/>
      <c r="J382" s="32" t="n"/>
      <c r="K382" s="32" t="n"/>
      <c r="L382" s="32" t="n"/>
      <c r="M382" s="32" t="n"/>
      <c r="N382" s="32" t="n"/>
      <c r="O382" s="32" t="n"/>
      <c r="P382" s="32" t="n"/>
      <c r="Q382" s="32" t="n"/>
      <c r="U382" s="31">
        <f>IF($A382="","",SUM(X382:AE382))</f>
        <v/>
      </c>
      <c r="V382" s="31">
        <f>IF($A382="","",IF($H382&lt;&gt;"Ausgabe",0,-$E382-$U382))</f>
        <v/>
      </c>
      <c r="W382" s="33">
        <f>IF($A382="","",DATE(YEAR($A382),MONTH($A382),1))</f>
        <v/>
      </c>
      <c r="X382" s="34">
        <f>IF(OR($A382="",$H382&lt;&gt;"Ausgabe",J382=""),0,IF(J382="x",-$E382/(COUNTIF($J382:$Q382,"x")+1),-$E382*N(J382)))</f>
        <v/>
      </c>
      <c r="Y382" s="34">
        <f>IF(OR($A382="",$H382&lt;&gt;"Ausgabe",K382=""),0,IF(K382="x",-$E382/(COUNTIF($J382:$Q382,"x")+1),-$E382*N(K382)))</f>
        <v/>
      </c>
      <c r="Z382" s="34">
        <f>IF(OR($A382="",$H382&lt;&gt;"Ausgabe",L382=""),0,IF(L382="x",-$E382/(COUNTIF($J382:$Q382,"x")+1),-$E382*N(L382)))</f>
        <v/>
      </c>
      <c r="AA382" s="34">
        <f>IF(OR($A382="",$H382&lt;&gt;"Ausgabe",M382=""),0,IF(M382="x",-$E382/(COUNTIF($J382:$Q382,"x")+1),-$E382*N(M382)))</f>
        <v/>
      </c>
      <c r="AB382" s="34">
        <f>IF(OR($A382="",$H382&lt;&gt;"Ausgabe",N382=""),0,IF(N382="x",-$E382/(COUNTIF($J382:$Q382,"x")+1),-$E382*N(N382)))</f>
        <v/>
      </c>
      <c r="AC382" s="34">
        <f>IF(OR($A382="",$H382&lt;&gt;"Ausgabe",O382=""),0,IF(O382="x",-$E382/(COUNTIF($J382:$Q382,"x")+1),-$E382*N(O382)))</f>
        <v/>
      </c>
      <c r="AD382" s="34">
        <f>IF(OR($A382="",$H382&lt;&gt;"Ausgabe",P382=""),0,IF(P382="x",-$E382/(COUNTIF($J382:$Q382,"x")+1),-$E382*N(P382)))</f>
        <v/>
      </c>
      <c r="AE382" s="34">
        <f>IF(OR($A382="",$H382&lt;&gt;"Ausgabe",Q382=""),0,IF(Q382="x",-$E382/(COUNTIF($J382:$Q382,"x")+1),-$E382*N(Q382)))</f>
        <v/>
      </c>
    </row>
    <row r="383">
      <c r="A383" s="30" t="n"/>
      <c r="E383" s="31" t="n"/>
      <c r="J383" s="32" t="n"/>
      <c r="K383" s="32" t="n"/>
      <c r="L383" s="32" t="n"/>
      <c r="M383" s="32" t="n"/>
      <c r="N383" s="32" t="n"/>
      <c r="O383" s="32" t="n"/>
      <c r="P383" s="32" t="n"/>
      <c r="Q383" s="32" t="n"/>
      <c r="U383" s="31">
        <f>IF($A383="","",SUM(X383:AE383))</f>
        <v/>
      </c>
      <c r="V383" s="31">
        <f>IF($A383="","",IF($H383&lt;&gt;"Ausgabe",0,-$E383-$U383))</f>
        <v/>
      </c>
      <c r="W383" s="33">
        <f>IF($A383="","",DATE(YEAR($A383),MONTH($A383),1))</f>
        <v/>
      </c>
      <c r="X383" s="34">
        <f>IF(OR($A383="",$H383&lt;&gt;"Ausgabe",J383=""),0,IF(J383="x",-$E383/(COUNTIF($J383:$Q383,"x")+1),-$E383*N(J383)))</f>
        <v/>
      </c>
      <c r="Y383" s="34">
        <f>IF(OR($A383="",$H383&lt;&gt;"Ausgabe",K383=""),0,IF(K383="x",-$E383/(COUNTIF($J383:$Q383,"x")+1),-$E383*N(K383)))</f>
        <v/>
      </c>
      <c r="Z383" s="34">
        <f>IF(OR($A383="",$H383&lt;&gt;"Ausgabe",L383=""),0,IF(L383="x",-$E383/(COUNTIF($J383:$Q383,"x")+1),-$E383*N(L383)))</f>
        <v/>
      </c>
      <c r="AA383" s="34">
        <f>IF(OR($A383="",$H383&lt;&gt;"Ausgabe",M383=""),0,IF(M383="x",-$E383/(COUNTIF($J383:$Q383,"x")+1),-$E383*N(M383)))</f>
        <v/>
      </c>
      <c r="AB383" s="34">
        <f>IF(OR($A383="",$H383&lt;&gt;"Ausgabe",N383=""),0,IF(N383="x",-$E383/(COUNTIF($J383:$Q383,"x")+1),-$E383*N(N383)))</f>
        <v/>
      </c>
      <c r="AC383" s="34">
        <f>IF(OR($A383="",$H383&lt;&gt;"Ausgabe",O383=""),0,IF(O383="x",-$E383/(COUNTIF($J383:$Q383,"x")+1),-$E383*N(O383)))</f>
        <v/>
      </c>
      <c r="AD383" s="34">
        <f>IF(OR($A383="",$H383&lt;&gt;"Ausgabe",P383=""),0,IF(P383="x",-$E383/(COUNTIF($J383:$Q383,"x")+1),-$E383*N(P383)))</f>
        <v/>
      </c>
      <c r="AE383" s="34">
        <f>IF(OR($A383="",$H383&lt;&gt;"Ausgabe",Q383=""),0,IF(Q383="x",-$E383/(COUNTIF($J383:$Q383,"x")+1),-$E383*N(Q383)))</f>
        <v/>
      </c>
    </row>
    <row r="384">
      <c r="A384" s="30" t="n"/>
      <c r="E384" s="31" t="n"/>
      <c r="J384" s="32" t="n"/>
      <c r="K384" s="32" t="n"/>
      <c r="L384" s="32" t="n"/>
      <c r="M384" s="32" t="n"/>
      <c r="N384" s="32" t="n"/>
      <c r="O384" s="32" t="n"/>
      <c r="P384" s="32" t="n"/>
      <c r="Q384" s="32" t="n"/>
      <c r="U384" s="31">
        <f>IF($A384="","",SUM(X384:AE384))</f>
        <v/>
      </c>
      <c r="V384" s="31">
        <f>IF($A384="","",IF($H384&lt;&gt;"Ausgabe",0,-$E384-$U384))</f>
        <v/>
      </c>
      <c r="W384" s="33">
        <f>IF($A384="","",DATE(YEAR($A384),MONTH($A384),1))</f>
        <v/>
      </c>
      <c r="X384" s="34">
        <f>IF(OR($A384="",$H384&lt;&gt;"Ausgabe",J384=""),0,IF(J384="x",-$E384/(COUNTIF($J384:$Q384,"x")+1),-$E384*N(J384)))</f>
        <v/>
      </c>
      <c r="Y384" s="34">
        <f>IF(OR($A384="",$H384&lt;&gt;"Ausgabe",K384=""),0,IF(K384="x",-$E384/(COUNTIF($J384:$Q384,"x")+1),-$E384*N(K384)))</f>
        <v/>
      </c>
      <c r="Z384" s="34">
        <f>IF(OR($A384="",$H384&lt;&gt;"Ausgabe",L384=""),0,IF(L384="x",-$E384/(COUNTIF($J384:$Q384,"x")+1),-$E384*N(L384)))</f>
        <v/>
      </c>
      <c r="AA384" s="34">
        <f>IF(OR($A384="",$H384&lt;&gt;"Ausgabe",M384=""),0,IF(M384="x",-$E384/(COUNTIF($J384:$Q384,"x")+1),-$E384*N(M384)))</f>
        <v/>
      </c>
      <c r="AB384" s="34">
        <f>IF(OR($A384="",$H384&lt;&gt;"Ausgabe",N384=""),0,IF(N384="x",-$E384/(COUNTIF($J384:$Q384,"x")+1),-$E384*N(N384)))</f>
        <v/>
      </c>
      <c r="AC384" s="34">
        <f>IF(OR($A384="",$H384&lt;&gt;"Ausgabe",O384=""),0,IF(O384="x",-$E384/(COUNTIF($J384:$Q384,"x")+1),-$E384*N(O384)))</f>
        <v/>
      </c>
      <c r="AD384" s="34">
        <f>IF(OR($A384="",$H384&lt;&gt;"Ausgabe",P384=""),0,IF(P384="x",-$E384/(COUNTIF($J384:$Q384,"x")+1),-$E384*N(P384)))</f>
        <v/>
      </c>
      <c r="AE384" s="34">
        <f>IF(OR($A384="",$H384&lt;&gt;"Ausgabe",Q384=""),0,IF(Q384="x",-$E384/(COUNTIF($J384:$Q384,"x")+1),-$E384*N(Q384)))</f>
        <v/>
      </c>
    </row>
    <row r="385">
      <c r="A385" s="30" t="n"/>
      <c r="E385" s="31" t="n"/>
      <c r="J385" s="32" t="n"/>
      <c r="K385" s="32" t="n"/>
      <c r="L385" s="32" t="n"/>
      <c r="M385" s="32" t="n"/>
      <c r="N385" s="32" t="n"/>
      <c r="O385" s="32" t="n"/>
      <c r="P385" s="32" t="n"/>
      <c r="Q385" s="32" t="n"/>
      <c r="U385" s="31">
        <f>IF($A385="","",SUM(X385:AE385))</f>
        <v/>
      </c>
      <c r="V385" s="31">
        <f>IF($A385="","",IF($H385&lt;&gt;"Ausgabe",0,-$E385-$U385))</f>
        <v/>
      </c>
      <c r="W385" s="33">
        <f>IF($A385="","",DATE(YEAR($A385),MONTH($A385),1))</f>
        <v/>
      </c>
      <c r="X385" s="34">
        <f>IF(OR($A385="",$H385&lt;&gt;"Ausgabe",J385=""),0,IF(J385="x",-$E385/(COUNTIF($J385:$Q385,"x")+1),-$E385*N(J385)))</f>
        <v/>
      </c>
      <c r="Y385" s="34">
        <f>IF(OR($A385="",$H385&lt;&gt;"Ausgabe",K385=""),0,IF(K385="x",-$E385/(COUNTIF($J385:$Q385,"x")+1),-$E385*N(K385)))</f>
        <v/>
      </c>
      <c r="Z385" s="34">
        <f>IF(OR($A385="",$H385&lt;&gt;"Ausgabe",L385=""),0,IF(L385="x",-$E385/(COUNTIF($J385:$Q385,"x")+1),-$E385*N(L385)))</f>
        <v/>
      </c>
      <c r="AA385" s="34">
        <f>IF(OR($A385="",$H385&lt;&gt;"Ausgabe",M385=""),0,IF(M385="x",-$E385/(COUNTIF($J385:$Q385,"x")+1),-$E385*N(M385)))</f>
        <v/>
      </c>
      <c r="AB385" s="34">
        <f>IF(OR($A385="",$H385&lt;&gt;"Ausgabe",N385=""),0,IF(N385="x",-$E385/(COUNTIF($J385:$Q385,"x")+1),-$E385*N(N385)))</f>
        <v/>
      </c>
      <c r="AC385" s="34">
        <f>IF(OR($A385="",$H385&lt;&gt;"Ausgabe",O385=""),0,IF(O385="x",-$E385/(COUNTIF($J385:$Q385,"x")+1),-$E385*N(O385)))</f>
        <v/>
      </c>
      <c r="AD385" s="34">
        <f>IF(OR($A385="",$H385&lt;&gt;"Ausgabe",P385=""),0,IF(P385="x",-$E385/(COUNTIF($J385:$Q385,"x")+1),-$E385*N(P385)))</f>
        <v/>
      </c>
      <c r="AE385" s="34">
        <f>IF(OR($A385="",$H385&lt;&gt;"Ausgabe",Q385=""),0,IF(Q385="x",-$E385/(COUNTIF($J385:$Q385,"x")+1),-$E385*N(Q385)))</f>
        <v/>
      </c>
    </row>
    <row r="386">
      <c r="A386" s="30" t="n"/>
      <c r="E386" s="31" t="n"/>
      <c r="J386" s="32" t="n"/>
      <c r="K386" s="32" t="n"/>
      <c r="L386" s="32" t="n"/>
      <c r="M386" s="32" t="n"/>
      <c r="N386" s="32" t="n"/>
      <c r="O386" s="32" t="n"/>
      <c r="P386" s="32" t="n"/>
      <c r="Q386" s="32" t="n"/>
      <c r="U386" s="31">
        <f>IF($A386="","",SUM(X386:AE386))</f>
        <v/>
      </c>
      <c r="V386" s="31">
        <f>IF($A386="","",IF($H386&lt;&gt;"Ausgabe",0,-$E386-$U386))</f>
        <v/>
      </c>
      <c r="W386" s="33">
        <f>IF($A386="","",DATE(YEAR($A386),MONTH($A386),1))</f>
        <v/>
      </c>
      <c r="X386" s="34">
        <f>IF(OR($A386="",$H386&lt;&gt;"Ausgabe",J386=""),0,IF(J386="x",-$E386/(COUNTIF($J386:$Q386,"x")+1),-$E386*N(J386)))</f>
        <v/>
      </c>
      <c r="Y386" s="34">
        <f>IF(OR($A386="",$H386&lt;&gt;"Ausgabe",K386=""),0,IF(K386="x",-$E386/(COUNTIF($J386:$Q386,"x")+1),-$E386*N(K386)))</f>
        <v/>
      </c>
      <c r="Z386" s="34">
        <f>IF(OR($A386="",$H386&lt;&gt;"Ausgabe",L386=""),0,IF(L386="x",-$E386/(COUNTIF($J386:$Q386,"x")+1),-$E386*N(L386)))</f>
        <v/>
      </c>
      <c r="AA386" s="34">
        <f>IF(OR($A386="",$H386&lt;&gt;"Ausgabe",M386=""),0,IF(M386="x",-$E386/(COUNTIF($J386:$Q386,"x")+1),-$E386*N(M386)))</f>
        <v/>
      </c>
      <c r="AB386" s="34">
        <f>IF(OR($A386="",$H386&lt;&gt;"Ausgabe",N386=""),0,IF(N386="x",-$E386/(COUNTIF($J386:$Q386,"x")+1),-$E386*N(N386)))</f>
        <v/>
      </c>
      <c r="AC386" s="34">
        <f>IF(OR($A386="",$H386&lt;&gt;"Ausgabe",O386=""),0,IF(O386="x",-$E386/(COUNTIF($J386:$Q386,"x")+1),-$E386*N(O386)))</f>
        <v/>
      </c>
      <c r="AD386" s="34">
        <f>IF(OR($A386="",$H386&lt;&gt;"Ausgabe",P386=""),0,IF(P386="x",-$E386/(COUNTIF($J386:$Q386,"x")+1),-$E386*N(P386)))</f>
        <v/>
      </c>
      <c r="AE386" s="34">
        <f>IF(OR($A386="",$H386&lt;&gt;"Ausgabe",Q386=""),0,IF(Q386="x",-$E386/(COUNTIF($J386:$Q386,"x")+1),-$E386*N(Q386)))</f>
        <v/>
      </c>
    </row>
    <row r="387">
      <c r="A387" s="30" t="n"/>
      <c r="E387" s="31" t="n"/>
      <c r="J387" s="32" t="n"/>
      <c r="K387" s="32" t="n"/>
      <c r="L387" s="32" t="n"/>
      <c r="M387" s="32" t="n"/>
      <c r="N387" s="32" t="n"/>
      <c r="O387" s="32" t="n"/>
      <c r="P387" s="32" t="n"/>
      <c r="Q387" s="32" t="n"/>
      <c r="U387" s="31">
        <f>IF($A387="","",SUM(X387:AE387))</f>
        <v/>
      </c>
      <c r="V387" s="31">
        <f>IF($A387="","",IF($H387&lt;&gt;"Ausgabe",0,-$E387-$U387))</f>
        <v/>
      </c>
      <c r="W387" s="33">
        <f>IF($A387="","",DATE(YEAR($A387),MONTH($A387),1))</f>
        <v/>
      </c>
      <c r="X387" s="34">
        <f>IF(OR($A387="",$H387&lt;&gt;"Ausgabe",J387=""),0,IF(J387="x",-$E387/(COUNTIF($J387:$Q387,"x")+1),-$E387*N(J387)))</f>
        <v/>
      </c>
      <c r="Y387" s="34">
        <f>IF(OR($A387="",$H387&lt;&gt;"Ausgabe",K387=""),0,IF(K387="x",-$E387/(COUNTIF($J387:$Q387,"x")+1),-$E387*N(K387)))</f>
        <v/>
      </c>
      <c r="Z387" s="34">
        <f>IF(OR($A387="",$H387&lt;&gt;"Ausgabe",L387=""),0,IF(L387="x",-$E387/(COUNTIF($J387:$Q387,"x")+1),-$E387*N(L387)))</f>
        <v/>
      </c>
      <c r="AA387" s="34">
        <f>IF(OR($A387="",$H387&lt;&gt;"Ausgabe",M387=""),0,IF(M387="x",-$E387/(COUNTIF($J387:$Q387,"x")+1),-$E387*N(M387)))</f>
        <v/>
      </c>
      <c r="AB387" s="34">
        <f>IF(OR($A387="",$H387&lt;&gt;"Ausgabe",N387=""),0,IF(N387="x",-$E387/(COUNTIF($J387:$Q387,"x")+1),-$E387*N(N387)))</f>
        <v/>
      </c>
      <c r="AC387" s="34">
        <f>IF(OR($A387="",$H387&lt;&gt;"Ausgabe",O387=""),0,IF(O387="x",-$E387/(COUNTIF($J387:$Q387,"x")+1),-$E387*N(O387)))</f>
        <v/>
      </c>
      <c r="AD387" s="34">
        <f>IF(OR($A387="",$H387&lt;&gt;"Ausgabe",P387=""),0,IF(P387="x",-$E387/(COUNTIF($J387:$Q387,"x")+1),-$E387*N(P387)))</f>
        <v/>
      </c>
      <c r="AE387" s="34">
        <f>IF(OR($A387="",$H387&lt;&gt;"Ausgabe",Q387=""),0,IF(Q387="x",-$E387/(COUNTIF($J387:$Q387,"x")+1),-$E387*N(Q387)))</f>
        <v/>
      </c>
    </row>
    <row r="388">
      <c r="A388" s="30" t="n"/>
      <c r="E388" s="31" t="n"/>
      <c r="J388" s="32" t="n"/>
      <c r="K388" s="32" t="n"/>
      <c r="L388" s="32" t="n"/>
      <c r="M388" s="32" t="n"/>
      <c r="N388" s="32" t="n"/>
      <c r="O388" s="32" t="n"/>
      <c r="P388" s="32" t="n"/>
      <c r="Q388" s="32" t="n"/>
      <c r="U388" s="31">
        <f>IF($A388="","",SUM(X388:AE388))</f>
        <v/>
      </c>
      <c r="V388" s="31">
        <f>IF($A388="","",IF($H388&lt;&gt;"Ausgabe",0,-$E388-$U388))</f>
        <v/>
      </c>
      <c r="W388" s="33">
        <f>IF($A388="","",DATE(YEAR($A388),MONTH($A388),1))</f>
        <v/>
      </c>
      <c r="X388" s="34">
        <f>IF(OR($A388="",$H388&lt;&gt;"Ausgabe",J388=""),0,IF(J388="x",-$E388/(COUNTIF($J388:$Q388,"x")+1),-$E388*N(J388)))</f>
        <v/>
      </c>
      <c r="Y388" s="34">
        <f>IF(OR($A388="",$H388&lt;&gt;"Ausgabe",K388=""),0,IF(K388="x",-$E388/(COUNTIF($J388:$Q388,"x")+1),-$E388*N(K388)))</f>
        <v/>
      </c>
      <c r="Z388" s="34">
        <f>IF(OR($A388="",$H388&lt;&gt;"Ausgabe",L388=""),0,IF(L388="x",-$E388/(COUNTIF($J388:$Q388,"x")+1),-$E388*N(L388)))</f>
        <v/>
      </c>
      <c r="AA388" s="34">
        <f>IF(OR($A388="",$H388&lt;&gt;"Ausgabe",M388=""),0,IF(M388="x",-$E388/(COUNTIF($J388:$Q388,"x")+1),-$E388*N(M388)))</f>
        <v/>
      </c>
      <c r="AB388" s="34">
        <f>IF(OR($A388="",$H388&lt;&gt;"Ausgabe",N388=""),0,IF(N388="x",-$E388/(COUNTIF($J388:$Q388,"x")+1),-$E388*N(N388)))</f>
        <v/>
      </c>
      <c r="AC388" s="34">
        <f>IF(OR($A388="",$H388&lt;&gt;"Ausgabe",O388=""),0,IF(O388="x",-$E388/(COUNTIF($J388:$Q388,"x")+1),-$E388*N(O388)))</f>
        <v/>
      </c>
      <c r="AD388" s="34">
        <f>IF(OR($A388="",$H388&lt;&gt;"Ausgabe",P388=""),0,IF(P388="x",-$E388/(COUNTIF($J388:$Q388,"x")+1),-$E388*N(P388)))</f>
        <v/>
      </c>
      <c r="AE388" s="34">
        <f>IF(OR($A388="",$H388&lt;&gt;"Ausgabe",Q388=""),0,IF(Q388="x",-$E388/(COUNTIF($J388:$Q388,"x")+1),-$E388*N(Q388)))</f>
        <v/>
      </c>
    </row>
    <row r="389">
      <c r="A389" s="30" t="n"/>
      <c r="E389" s="31" t="n"/>
      <c r="J389" s="32" t="n"/>
      <c r="K389" s="32" t="n"/>
      <c r="L389" s="32" t="n"/>
      <c r="M389" s="32" t="n"/>
      <c r="N389" s="32" t="n"/>
      <c r="O389" s="32" t="n"/>
      <c r="P389" s="32" t="n"/>
      <c r="Q389" s="32" t="n"/>
      <c r="U389" s="31">
        <f>IF($A389="","",SUM(X389:AE389))</f>
        <v/>
      </c>
      <c r="V389" s="31">
        <f>IF($A389="","",IF($H389&lt;&gt;"Ausgabe",0,-$E389-$U389))</f>
        <v/>
      </c>
      <c r="W389" s="33">
        <f>IF($A389="","",DATE(YEAR($A389),MONTH($A389),1))</f>
        <v/>
      </c>
      <c r="X389" s="34">
        <f>IF(OR($A389="",$H389&lt;&gt;"Ausgabe",J389=""),0,IF(J389="x",-$E389/(COUNTIF($J389:$Q389,"x")+1),-$E389*N(J389)))</f>
        <v/>
      </c>
      <c r="Y389" s="34">
        <f>IF(OR($A389="",$H389&lt;&gt;"Ausgabe",K389=""),0,IF(K389="x",-$E389/(COUNTIF($J389:$Q389,"x")+1),-$E389*N(K389)))</f>
        <v/>
      </c>
      <c r="Z389" s="34">
        <f>IF(OR($A389="",$H389&lt;&gt;"Ausgabe",L389=""),0,IF(L389="x",-$E389/(COUNTIF($J389:$Q389,"x")+1),-$E389*N(L389)))</f>
        <v/>
      </c>
      <c r="AA389" s="34">
        <f>IF(OR($A389="",$H389&lt;&gt;"Ausgabe",M389=""),0,IF(M389="x",-$E389/(COUNTIF($J389:$Q389,"x")+1),-$E389*N(M389)))</f>
        <v/>
      </c>
      <c r="AB389" s="34">
        <f>IF(OR($A389="",$H389&lt;&gt;"Ausgabe",N389=""),0,IF(N389="x",-$E389/(COUNTIF($J389:$Q389,"x")+1),-$E389*N(N389)))</f>
        <v/>
      </c>
      <c r="AC389" s="34">
        <f>IF(OR($A389="",$H389&lt;&gt;"Ausgabe",O389=""),0,IF(O389="x",-$E389/(COUNTIF($J389:$Q389,"x")+1),-$E389*N(O389)))</f>
        <v/>
      </c>
      <c r="AD389" s="34">
        <f>IF(OR($A389="",$H389&lt;&gt;"Ausgabe",P389=""),0,IF(P389="x",-$E389/(COUNTIF($J389:$Q389,"x")+1),-$E389*N(P389)))</f>
        <v/>
      </c>
      <c r="AE389" s="34">
        <f>IF(OR($A389="",$H389&lt;&gt;"Ausgabe",Q389=""),0,IF(Q389="x",-$E389/(COUNTIF($J389:$Q389,"x")+1),-$E389*N(Q389)))</f>
        <v/>
      </c>
    </row>
    <row r="390">
      <c r="A390" s="30" t="n"/>
      <c r="E390" s="31" t="n"/>
      <c r="J390" s="32" t="n"/>
      <c r="K390" s="32" t="n"/>
      <c r="L390" s="32" t="n"/>
      <c r="M390" s="32" t="n"/>
      <c r="N390" s="32" t="n"/>
      <c r="O390" s="32" t="n"/>
      <c r="P390" s="32" t="n"/>
      <c r="Q390" s="32" t="n"/>
      <c r="U390" s="31">
        <f>IF($A390="","",SUM(X390:AE390))</f>
        <v/>
      </c>
      <c r="V390" s="31">
        <f>IF($A390="","",IF($H390&lt;&gt;"Ausgabe",0,-$E390-$U390))</f>
        <v/>
      </c>
      <c r="W390" s="33">
        <f>IF($A390="","",DATE(YEAR($A390),MONTH($A390),1))</f>
        <v/>
      </c>
      <c r="X390" s="34">
        <f>IF(OR($A390="",$H390&lt;&gt;"Ausgabe",J390=""),0,IF(J390="x",-$E390/(COUNTIF($J390:$Q390,"x")+1),-$E390*N(J390)))</f>
        <v/>
      </c>
      <c r="Y390" s="34">
        <f>IF(OR($A390="",$H390&lt;&gt;"Ausgabe",K390=""),0,IF(K390="x",-$E390/(COUNTIF($J390:$Q390,"x")+1),-$E390*N(K390)))</f>
        <v/>
      </c>
      <c r="Z390" s="34">
        <f>IF(OR($A390="",$H390&lt;&gt;"Ausgabe",L390=""),0,IF(L390="x",-$E390/(COUNTIF($J390:$Q390,"x")+1),-$E390*N(L390)))</f>
        <v/>
      </c>
      <c r="AA390" s="34">
        <f>IF(OR($A390="",$H390&lt;&gt;"Ausgabe",M390=""),0,IF(M390="x",-$E390/(COUNTIF($J390:$Q390,"x")+1),-$E390*N(M390)))</f>
        <v/>
      </c>
      <c r="AB390" s="34">
        <f>IF(OR($A390="",$H390&lt;&gt;"Ausgabe",N390=""),0,IF(N390="x",-$E390/(COUNTIF($J390:$Q390,"x")+1),-$E390*N(N390)))</f>
        <v/>
      </c>
      <c r="AC390" s="34">
        <f>IF(OR($A390="",$H390&lt;&gt;"Ausgabe",O390=""),0,IF(O390="x",-$E390/(COUNTIF($J390:$Q390,"x")+1),-$E390*N(O390)))</f>
        <v/>
      </c>
      <c r="AD390" s="34">
        <f>IF(OR($A390="",$H390&lt;&gt;"Ausgabe",P390=""),0,IF(P390="x",-$E390/(COUNTIF($J390:$Q390,"x")+1),-$E390*N(P390)))</f>
        <v/>
      </c>
      <c r="AE390" s="34">
        <f>IF(OR($A390="",$H390&lt;&gt;"Ausgabe",Q390=""),0,IF(Q390="x",-$E390/(COUNTIF($J390:$Q390,"x")+1),-$E390*N(Q390)))</f>
        <v/>
      </c>
    </row>
    <row r="391">
      <c r="A391" s="30" t="n"/>
      <c r="E391" s="31" t="n"/>
      <c r="J391" s="32" t="n"/>
      <c r="K391" s="32" t="n"/>
      <c r="L391" s="32" t="n"/>
      <c r="M391" s="32" t="n"/>
      <c r="N391" s="32" t="n"/>
      <c r="O391" s="32" t="n"/>
      <c r="P391" s="32" t="n"/>
      <c r="Q391" s="32" t="n"/>
      <c r="U391" s="31">
        <f>IF($A391="","",SUM(X391:AE391))</f>
        <v/>
      </c>
      <c r="V391" s="31">
        <f>IF($A391="","",IF($H391&lt;&gt;"Ausgabe",0,-$E391-$U391))</f>
        <v/>
      </c>
      <c r="W391" s="33">
        <f>IF($A391="","",DATE(YEAR($A391),MONTH($A391),1))</f>
        <v/>
      </c>
      <c r="X391" s="34">
        <f>IF(OR($A391="",$H391&lt;&gt;"Ausgabe",J391=""),0,IF(J391="x",-$E391/(COUNTIF($J391:$Q391,"x")+1),-$E391*N(J391)))</f>
        <v/>
      </c>
      <c r="Y391" s="34">
        <f>IF(OR($A391="",$H391&lt;&gt;"Ausgabe",K391=""),0,IF(K391="x",-$E391/(COUNTIF($J391:$Q391,"x")+1),-$E391*N(K391)))</f>
        <v/>
      </c>
      <c r="Z391" s="34">
        <f>IF(OR($A391="",$H391&lt;&gt;"Ausgabe",L391=""),0,IF(L391="x",-$E391/(COUNTIF($J391:$Q391,"x")+1),-$E391*N(L391)))</f>
        <v/>
      </c>
      <c r="AA391" s="34">
        <f>IF(OR($A391="",$H391&lt;&gt;"Ausgabe",M391=""),0,IF(M391="x",-$E391/(COUNTIF($J391:$Q391,"x")+1),-$E391*N(M391)))</f>
        <v/>
      </c>
      <c r="AB391" s="34">
        <f>IF(OR($A391="",$H391&lt;&gt;"Ausgabe",N391=""),0,IF(N391="x",-$E391/(COUNTIF($J391:$Q391,"x")+1),-$E391*N(N391)))</f>
        <v/>
      </c>
      <c r="AC391" s="34">
        <f>IF(OR($A391="",$H391&lt;&gt;"Ausgabe",O391=""),0,IF(O391="x",-$E391/(COUNTIF($J391:$Q391,"x")+1),-$E391*N(O391)))</f>
        <v/>
      </c>
      <c r="AD391" s="34">
        <f>IF(OR($A391="",$H391&lt;&gt;"Ausgabe",P391=""),0,IF(P391="x",-$E391/(COUNTIF($J391:$Q391,"x")+1),-$E391*N(P391)))</f>
        <v/>
      </c>
      <c r="AE391" s="34">
        <f>IF(OR($A391="",$H391&lt;&gt;"Ausgabe",Q391=""),0,IF(Q391="x",-$E391/(COUNTIF($J391:$Q391,"x")+1),-$E391*N(Q391)))</f>
        <v/>
      </c>
    </row>
    <row r="392">
      <c r="A392" s="30" t="n"/>
      <c r="E392" s="31" t="n"/>
      <c r="J392" s="32" t="n"/>
      <c r="K392" s="32" t="n"/>
      <c r="L392" s="32" t="n"/>
      <c r="M392" s="32" t="n"/>
      <c r="N392" s="32" t="n"/>
      <c r="O392" s="32" t="n"/>
      <c r="P392" s="32" t="n"/>
      <c r="Q392" s="32" t="n"/>
      <c r="U392" s="31">
        <f>IF($A392="","",SUM(X392:AE392))</f>
        <v/>
      </c>
      <c r="V392" s="31">
        <f>IF($A392="","",IF($H392&lt;&gt;"Ausgabe",0,-$E392-$U392))</f>
        <v/>
      </c>
      <c r="W392" s="33">
        <f>IF($A392="","",DATE(YEAR($A392),MONTH($A392),1))</f>
        <v/>
      </c>
      <c r="X392" s="34">
        <f>IF(OR($A392="",$H392&lt;&gt;"Ausgabe",J392=""),0,IF(J392="x",-$E392/(COUNTIF($J392:$Q392,"x")+1),-$E392*N(J392)))</f>
        <v/>
      </c>
      <c r="Y392" s="34">
        <f>IF(OR($A392="",$H392&lt;&gt;"Ausgabe",K392=""),0,IF(K392="x",-$E392/(COUNTIF($J392:$Q392,"x")+1),-$E392*N(K392)))</f>
        <v/>
      </c>
      <c r="Z392" s="34">
        <f>IF(OR($A392="",$H392&lt;&gt;"Ausgabe",L392=""),0,IF(L392="x",-$E392/(COUNTIF($J392:$Q392,"x")+1),-$E392*N(L392)))</f>
        <v/>
      </c>
      <c r="AA392" s="34">
        <f>IF(OR($A392="",$H392&lt;&gt;"Ausgabe",M392=""),0,IF(M392="x",-$E392/(COUNTIF($J392:$Q392,"x")+1),-$E392*N(M392)))</f>
        <v/>
      </c>
      <c r="AB392" s="34">
        <f>IF(OR($A392="",$H392&lt;&gt;"Ausgabe",N392=""),0,IF(N392="x",-$E392/(COUNTIF($J392:$Q392,"x")+1),-$E392*N(N392)))</f>
        <v/>
      </c>
      <c r="AC392" s="34">
        <f>IF(OR($A392="",$H392&lt;&gt;"Ausgabe",O392=""),0,IF(O392="x",-$E392/(COUNTIF($J392:$Q392,"x")+1),-$E392*N(O392)))</f>
        <v/>
      </c>
      <c r="AD392" s="34">
        <f>IF(OR($A392="",$H392&lt;&gt;"Ausgabe",P392=""),0,IF(P392="x",-$E392/(COUNTIF($J392:$Q392,"x")+1),-$E392*N(P392)))</f>
        <v/>
      </c>
      <c r="AE392" s="34">
        <f>IF(OR($A392="",$H392&lt;&gt;"Ausgabe",Q392=""),0,IF(Q392="x",-$E392/(COUNTIF($J392:$Q392,"x")+1),-$E392*N(Q392)))</f>
        <v/>
      </c>
    </row>
    <row r="393">
      <c r="A393" s="30" t="n"/>
      <c r="E393" s="31" t="n"/>
      <c r="J393" s="32" t="n"/>
      <c r="K393" s="32" t="n"/>
      <c r="L393" s="32" t="n"/>
      <c r="M393" s="32" t="n"/>
      <c r="N393" s="32" t="n"/>
      <c r="O393" s="32" t="n"/>
      <c r="P393" s="32" t="n"/>
      <c r="Q393" s="32" t="n"/>
      <c r="U393" s="31">
        <f>IF($A393="","",SUM(X393:AE393))</f>
        <v/>
      </c>
      <c r="V393" s="31">
        <f>IF($A393="","",IF($H393&lt;&gt;"Ausgabe",0,-$E393-$U393))</f>
        <v/>
      </c>
      <c r="W393" s="33">
        <f>IF($A393="","",DATE(YEAR($A393),MONTH($A393),1))</f>
        <v/>
      </c>
      <c r="X393" s="34">
        <f>IF(OR($A393="",$H393&lt;&gt;"Ausgabe",J393=""),0,IF(J393="x",-$E393/(COUNTIF($J393:$Q393,"x")+1),-$E393*N(J393)))</f>
        <v/>
      </c>
      <c r="Y393" s="34">
        <f>IF(OR($A393="",$H393&lt;&gt;"Ausgabe",K393=""),0,IF(K393="x",-$E393/(COUNTIF($J393:$Q393,"x")+1),-$E393*N(K393)))</f>
        <v/>
      </c>
      <c r="Z393" s="34">
        <f>IF(OR($A393="",$H393&lt;&gt;"Ausgabe",L393=""),0,IF(L393="x",-$E393/(COUNTIF($J393:$Q393,"x")+1),-$E393*N(L393)))</f>
        <v/>
      </c>
      <c r="AA393" s="34">
        <f>IF(OR($A393="",$H393&lt;&gt;"Ausgabe",M393=""),0,IF(M393="x",-$E393/(COUNTIF($J393:$Q393,"x")+1),-$E393*N(M393)))</f>
        <v/>
      </c>
      <c r="AB393" s="34">
        <f>IF(OR($A393="",$H393&lt;&gt;"Ausgabe",N393=""),0,IF(N393="x",-$E393/(COUNTIF($J393:$Q393,"x")+1),-$E393*N(N393)))</f>
        <v/>
      </c>
      <c r="AC393" s="34">
        <f>IF(OR($A393="",$H393&lt;&gt;"Ausgabe",O393=""),0,IF(O393="x",-$E393/(COUNTIF($J393:$Q393,"x")+1),-$E393*N(O393)))</f>
        <v/>
      </c>
      <c r="AD393" s="34">
        <f>IF(OR($A393="",$H393&lt;&gt;"Ausgabe",P393=""),0,IF(P393="x",-$E393/(COUNTIF($J393:$Q393,"x")+1),-$E393*N(P393)))</f>
        <v/>
      </c>
      <c r="AE393" s="34">
        <f>IF(OR($A393="",$H393&lt;&gt;"Ausgabe",Q393=""),0,IF(Q393="x",-$E393/(COUNTIF($J393:$Q393,"x")+1),-$E393*N(Q393)))</f>
        <v/>
      </c>
    </row>
    <row r="394">
      <c r="A394" s="30" t="n"/>
      <c r="E394" s="31" t="n"/>
      <c r="J394" s="32" t="n"/>
      <c r="K394" s="32" t="n"/>
      <c r="L394" s="32" t="n"/>
      <c r="M394" s="32" t="n"/>
      <c r="N394" s="32" t="n"/>
      <c r="O394" s="32" t="n"/>
      <c r="P394" s="32" t="n"/>
      <c r="Q394" s="32" t="n"/>
      <c r="U394" s="31">
        <f>IF($A394="","",SUM(X394:AE394))</f>
        <v/>
      </c>
      <c r="V394" s="31">
        <f>IF($A394="","",IF($H394&lt;&gt;"Ausgabe",0,-$E394-$U394))</f>
        <v/>
      </c>
      <c r="W394" s="33">
        <f>IF($A394="","",DATE(YEAR($A394),MONTH($A394),1))</f>
        <v/>
      </c>
      <c r="X394" s="34">
        <f>IF(OR($A394="",$H394&lt;&gt;"Ausgabe",J394=""),0,IF(J394="x",-$E394/(COUNTIF($J394:$Q394,"x")+1),-$E394*N(J394)))</f>
        <v/>
      </c>
      <c r="Y394" s="34">
        <f>IF(OR($A394="",$H394&lt;&gt;"Ausgabe",K394=""),0,IF(K394="x",-$E394/(COUNTIF($J394:$Q394,"x")+1),-$E394*N(K394)))</f>
        <v/>
      </c>
      <c r="Z394" s="34">
        <f>IF(OR($A394="",$H394&lt;&gt;"Ausgabe",L394=""),0,IF(L394="x",-$E394/(COUNTIF($J394:$Q394,"x")+1),-$E394*N(L394)))</f>
        <v/>
      </c>
      <c r="AA394" s="34">
        <f>IF(OR($A394="",$H394&lt;&gt;"Ausgabe",M394=""),0,IF(M394="x",-$E394/(COUNTIF($J394:$Q394,"x")+1),-$E394*N(M394)))</f>
        <v/>
      </c>
      <c r="AB394" s="34">
        <f>IF(OR($A394="",$H394&lt;&gt;"Ausgabe",N394=""),0,IF(N394="x",-$E394/(COUNTIF($J394:$Q394,"x")+1),-$E394*N(N394)))</f>
        <v/>
      </c>
      <c r="AC394" s="34">
        <f>IF(OR($A394="",$H394&lt;&gt;"Ausgabe",O394=""),0,IF(O394="x",-$E394/(COUNTIF($J394:$Q394,"x")+1),-$E394*N(O394)))</f>
        <v/>
      </c>
      <c r="AD394" s="34">
        <f>IF(OR($A394="",$H394&lt;&gt;"Ausgabe",P394=""),0,IF(P394="x",-$E394/(COUNTIF($J394:$Q394,"x")+1),-$E394*N(P394)))</f>
        <v/>
      </c>
      <c r="AE394" s="34">
        <f>IF(OR($A394="",$H394&lt;&gt;"Ausgabe",Q394=""),0,IF(Q394="x",-$E394/(COUNTIF($J394:$Q394,"x")+1),-$E394*N(Q394)))</f>
        <v/>
      </c>
    </row>
    <row r="395">
      <c r="A395" s="30" t="n"/>
      <c r="E395" s="31" t="n"/>
      <c r="J395" s="32" t="n"/>
      <c r="K395" s="32" t="n"/>
      <c r="L395" s="32" t="n"/>
      <c r="M395" s="32" t="n"/>
      <c r="N395" s="32" t="n"/>
      <c r="O395" s="32" t="n"/>
      <c r="P395" s="32" t="n"/>
      <c r="Q395" s="32" t="n"/>
      <c r="U395" s="31">
        <f>IF($A395="","",SUM(X395:AE395))</f>
        <v/>
      </c>
      <c r="V395" s="31">
        <f>IF($A395="","",IF($H395&lt;&gt;"Ausgabe",0,-$E395-$U395))</f>
        <v/>
      </c>
      <c r="W395" s="33">
        <f>IF($A395="","",DATE(YEAR($A395),MONTH($A395),1))</f>
        <v/>
      </c>
      <c r="X395" s="34">
        <f>IF(OR($A395="",$H395&lt;&gt;"Ausgabe",J395=""),0,IF(J395="x",-$E395/(COUNTIF($J395:$Q395,"x")+1),-$E395*N(J395)))</f>
        <v/>
      </c>
      <c r="Y395" s="34">
        <f>IF(OR($A395="",$H395&lt;&gt;"Ausgabe",K395=""),0,IF(K395="x",-$E395/(COUNTIF($J395:$Q395,"x")+1),-$E395*N(K395)))</f>
        <v/>
      </c>
      <c r="Z395" s="34">
        <f>IF(OR($A395="",$H395&lt;&gt;"Ausgabe",L395=""),0,IF(L395="x",-$E395/(COUNTIF($J395:$Q395,"x")+1),-$E395*N(L395)))</f>
        <v/>
      </c>
      <c r="AA395" s="34">
        <f>IF(OR($A395="",$H395&lt;&gt;"Ausgabe",M395=""),0,IF(M395="x",-$E395/(COUNTIF($J395:$Q395,"x")+1),-$E395*N(M395)))</f>
        <v/>
      </c>
      <c r="AB395" s="34">
        <f>IF(OR($A395="",$H395&lt;&gt;"Ausgabe",N395=""),0,IF(N395="x",-$E395/(COUNTIF($J395:$Q395,"x")+1),-$E395*N(N395)))</f>
        <v/>
      </c>
      <c r="AC395" s="34">
        <f>IF(OR($A395="",$H395&lt;&gt;"Ausgabe",O395=""),0,IF(O395="x",-$E395/(COUNTIF($J395:$Q395,"x")+1),-$E395*N(O395)))</f>
        <v/>
      </c>
      <c r="AD395" s="34">
        <f>IF(OR($A395="",$H395&lt;&gt;"Ausgabe",P395=""),0,IF(P395="x",-$E395/(COUNTIF($J395:$Q395,"x")+1),-$E395*N(P395)))</f>
        <v/>
      </c>
      <c r="AE395" s="34">
        <f>IF(OR($A395="",$H395&lt;&gt;"Ausgabe",Q395=""),0,IF(Q395="x",-$E395/(COUNTIF($J395:$Q395,"x")+1),-$E395*N(Q395)))</f>
        <v/>
      </c>
    </row>
    <row r="396">
      <c r="A396" s="30" t="n"/>
      <c r="E396" s="31" t="n"/>
      <c r="J396" s="32" t="n"/>
      <c r="K396" s="32" t="n"/>
      <c r="L396" s="32" t="n"/>
      <c r="M396" s="32" t="n"/>
      <c r="N396" s="32" t="n"/>
      <c r="O396" s="32" t="n"/>
      <c r="P396" s="32" t="n"/>
      <c r="Q396" s="32" t="n"/>
      <c r="U396" s="31">
        <f>IF($A396="","",SUM(X396:AE396))</f>
        <v/>
      </c>
      <c r="V396" s="31">
        <f>IF($A396="","",IF($H396&lt;&gt;"Ausgabe",0,-$E396-$U396))</f>
        <v/>
      </c>
      <c r="W396" s="33">
        <f>IF($A396="","",DATE(YEAR($A396),MONTH($A396),1))</f>
        <v/>
      </c>
      <c r="X396" s="34">
        <f>IF(OR($A396="",$H396&lt;&gt;"Ausgabe",J396=""),0,IF(J396="x",-$E396/(COUNTIF($J396:$Q396,"x")+1),-$E396*N(J396)))</f>
        <v/>
      </c>
      <c r="Y396" s="34">
        <f>IF(OR($A396="",$H396&lt;&gt;"Ausgabe",K396=""),0,IF(K396="x",-$E396/(COUNTIF($J396:$Q396,"x")+1),-$E396*N(K396)))</f>
        <v/>
      </c>
      <c r="Z396" s="34">
        <f>IF(OR($A396="",$H396&lt;&gt;"Ausgabe",L396=""),0,IF(L396="x",-$E396/(COUNTIF($J396:$Q396,"x")+1),-$E396*N(L396)))</f>
        <v/>
      </c>
      <c r="AA396" s="34">
        <f>IF(OR($A396="",$H396&lt;&gt;"Ausgabe",M396=""),0,IF(M396="x",-$E396/(COUNTIF($J396:$Q396,"x")+1),-$E396*N(M396)))</f>
        <v/>
      </c>
      <c r="AB396" s="34">
        <f>IF(OR($A396="",$H396&lt;&gt;"Ausgabe",N396=""),0,IF(N396="x",-$E396/(COUNTIF($J396:$Q396,"x")+1),-$E396*N(N396)))</f>
        <v/>
      </c>
      <c r="AC396" s="34">
        <f>IF(OR($A396="",$H396&lt;&gt;"Ausgabe",O396=""),0,IF(O396="x",-$E396/(COUNTIF($J396:$Q396,"x")+1),-$E396*N(O396)))</f>
        <v/>
      </c>
      <c r="AD396" s="34">
        <f>IF(OR($A396="",$H396&lt;&gt;"Ausgabe",P396=""),0,IF(P396="x",-$E396/(COUNTIF($J396:$Q396,"x")+1),-$E396*N(P396)))</f>
        <v/>
      </c>
      <c r="AE396" s="34">
        <f>IF(OR($A396="",$H396&lt;&gt;"Ausgabe",Q396=""),0,IF(Q396="x",-$E396/(COUNTIF($J396:$Q396,"x")+1),-$E396*N(Q396)))</f>
        <v/>
      </c>
    </row>
    <row r="397">
      <c r="A397" s="30" t="n"/>
      <c r="E397" s="31" t="n"/>
      <c r="J397" s="32" t="n"/>
      <c r="K397" s="32" t="n"/>
      <c r="L397" s="32" t="n"/>
      <c r="M397" s="32" t="n"/>
      <c r="N397" s="32" t="n"/>
      <c r="O397" s="32" t="n"/>
      <c r="P397" s="32" t="n"/>
      <c r="Q397" s="32" t="n"/>
      <c r="U397" s="31">
        <f>IF($A397="","",SUM(X397:AE397))</f>
        <v/>
      </c>
      <c r="V397" s="31">
        <f>IF($A397="","",IF($H397&lt;&gt;"Ausgabe",0,-$E397-$U397))</f>
        <v/>
      </c>
      <c r="W397" s="33">
        <f>IF($A397="","",DATE(YEAR($A397),MONTH($A397),1))</f>
        <v/>
      </c>
      <c r="X397" s="34">
        <f>IF(OR($A397="",$H397&lt;&gt;"Ausgabe",J397=""),0,IF(J397="x",-$E397/(COUNTIF($J397:$Q397,"x")+1),-$E397*N(J397)))</f>
        <v/>
      </c>
      <c r="Y397" s="34">
        <f>IF(OR($A397="",$H397&lt;&gt;"Ausgabe",K397=""),0,IF(K397="x",-$E397/(COUNTIF($J397:$Q397,"x")+1),-$E397*N(K397)))</f>
        <v/>
      </c>
      <c r="Z397" s="34">
        <f>IF(OR($A397="",$H397&lt;&gt;"Ausgabe",L397=""),0,IF(L397="x",-$E397/(COUNTIF($J397:$Q397,"x")+1),-$E397*N(L397)))</f>
        <v/>
      </c>
      <c r="AA397" s="34">
        <f>IF(OR($A397="",$H397&lt;&gt;"Ausgabe",M397=""),0,IF(M397="x",-$E397/(COUNTIF($J397:$Q397,"x")+1),-$E397*N(M397)))</f>
        <v/>
      </c>
      <c r="AB397" s="34">
        <f>IF(OR($A397="",$H397&lt;&gt;"Ausgabe",N397=""),0,IF(N397="x",-$E397/(COUNTIF($J397:$Q397,"x")+1),-$E397*N(N397)))</f>
        <v/>
      </c>
      <c r="AC397" s="34">
        <f>IF(OR($A397="",$H397&lt;&gt;"Ausgabe",O397=""),0,IF(O397="x",-$E397/(COUNTIF($J397:$Q397,"x")+1),-$E397*N(O397)))</f>
        <v/>
      </c>
      <c r="AD397" s="34">
        <f>IF(OR($A397="",$H397&lt;&gt;"Ausgabe",P397=""),0,IF(P397="x",-$E397/(COUNTIF($J397:$Q397,"x")+1),-$E397*N(P397)))</f>
        <v/>
      </c>
      <c r="AE397" s="34">
        <f>IF(OR($A397="",$H397&lt;&gt;"Ausgabe",Q397=""),0,IF(Q397="x",-$E397/(COUNTIF($J397:$Q397,"x")+1),-$E397*N(Q397)))</f>
        <v/>
      </c>
    </row>
    <row r="398">
      <c r="A398" s="30" t="n"/>
      <c r="E398" s="31" t="n"/>
      <c r="J398" s="32" t="n"/>
      <c r="K398" s="32" t="n"/>
      <c r="L398" s="32" t="n"/>
      <c r="M398" s="32" t="n"/>
      <c r="N398" s="32" t="n"/>
      <c r="O398" s="32" t="n"/>
      <c r="P398" s="32" t="n"/>
      <c r="Q398" s="32" t="n"/>
      <c r="U398" s="31">
        <f>IF($A398="","",SUM(X398:AE398))</f>
        <v/>
      </c>
      <c r="V398" s="31">
        <f>IF($A398="","",IF($H398&lt;&gt;"Ausgabe",0,-$E398-$U398))</f>
        <v/>
      </c>
      <c r="W398" s="33">
        <f>IF($A398="","",DATE(YEAR($A398),MONTH($A398),1))</f>
        <v/>
      </c>
      <c r="X398" s="34">
        <f>IF(OR($A398="",$H398&lt;&gt;"Ausgabe",J398=""),0,IF(J398="x",-$E398/(COUNTIF($J398:$Q398,"x")+1),-$E398*N(J398)))</f>
        <v/>
      </c>
      <c r="Y398" s="34">
        <f>IF(OR($A398="",$H398&lt;&gt;"Ausgabe",K398=""),0,IF(K398="x",-$E398/(COUNTIF($J398:$Q398,"x")+1),-$E398*N(K398)))</f>
        <v/>
      </c>
      <c r="Z398" s="34">
        <f>IF(OR($A398="",$H398&lt;&gt;"Ausgabe",L398=""),0,IF(L398="x",-$E398/(COUNTIF($J398:$Q398,"x")+1),-$E398*N(L398)))</f>
        <v/>
      </c>
      <c r="AA398" s="34">
        <f>IF(OR($A398="",$H398&lt;&gt;"Ausgabe",M398=""),0,IF(M398="x",-$E398/(COUNTIF($J398:$Q398,"x")+1),-$E398*N(M398)))</f>
        <v/>
      </c>
      <c r="AB398" s="34">
        <f>IF(OR($A398="",$H398&lt;&gt;"Ausgabe",N398=""),0,IF(N398="x",-$E398/(COUNTIF($J398:$Q398,"x")+1),-$E398*N(N398)))</f>
        <v/>
      </c>
      <c r="AC398" s="34">
        <f>IF(OR($A398="",$H398&lt;&gt;"Ausgabe",O398=""),0,IF(O398="x",-$E398/(COUNTIF($J398:$Q398,"x")+1),-$E398*N(O398)))</f>
        <v/>
      </c>
      <c r="AD398" s="34">
        <f>IF(OR($A398="",$H398&lt;&gt;"Ausgabe",P398=""),0,IF(P398="x",-$E398/(COUNTIF($J398:$Q398,"x")+1),-$E398*N(P398)))</f>
        <v/>
      </c>
      <c r="AE398" s="34">
        <f>IF(OR($A398="",$H398&lt;&gt;"Ausgabe",Q398=""),0,IF(Q398="x",-$E398/(COUNTIF($J398:$Q398,"x")+1),-$E398*N(Q398)))</f>
        <v/>
      </c>
    </row>
    <row r="399">
      <c r="A399" s="30" t="n"/>
      <c r="E399" s="31" t="n"/>
      <c r="J399" s="32" t="n"/>
      <c r="K399" s="32" t="n"/>
      <c r="L399" s="32" t="n"/>
      <c r="M399" s="32" t="n"/>
      <c r="N399" s="32" t="n"/>
      <c r="O399" s="32" t="n"/>
      <c r="P399" s="32" t="n"/>
      <c r="Q399" s="32" t="n"/>
      <c r="U399" s="31">
        <f>IF($A399="","",SUM(X399:AE399))</f>
        <v/>
      </c>
      <c r="V399" s="31">
        <f>IF($A399="","",IF($H399&lt;&gt;"Ausgabe",0,-$E399-$U399))</f>
        <v/>
      </c>
      <c r="W399" s="33">
        <f>IF($A399="","",DATE(YEAR($A399),MONTH($A399),1))</f>
        <v/>
      </c>
      <c r="X399" s="34">
        <f>IF(OR($A399="",$H399&lt;&gt;"Ausgabe",J399=""),0,IF(J399="x",-$E399/(COUNTIF($J399:$Q399,"x")+1),-$E399*N(J399)))</f>
        <v/>
      </c>
      <c r="Y399" s="34">
        <f>IF(OR($A399="",$H399&lt;&gt;"Ausgabe",K399=""),0,IF(K399="x",-$E399/(COUNTIF($J399:$Q399,"x")+1),-$E399*N(K399)))</f>
        <v/>
      </c>
      <c r="Z399" s="34">
        <f>IF(OR($A399="",$H399&lt;&gt;"Ausgabe",L399=""),0,IF(L399="x",-$E399/(COUNTIF($J399:$Q399,"x")+1),-$E399*N(L399)))</f>
        <v/>
      </c>
      <c r="AA399" s="34">
        <f>IF(OR($A399="",$H399&lt;&gt;"Ausgabe",M399=""),0,IF(M399="x",-$E399/(COUNTIF($J399:$Q399,"x")+1),-$E399*N(M399)))</f>
        <v/>
      </c>
      <c r="AB399" s="34">
        <f>IF(OR($A399="",$H399&lt;&gt;"Ausgabe",N399=""),0,IF(N399="x",-$E399/(COUNTIF($J399:$Q399,"x")+1),-$E399*N(N399)))</f>
        <v/>
      </c>
      <c r="AC399" s="34">
        <f>IF(OR($A399="",$H399&lt;&gt;"Ausgabe",O399=""),0,IF(O399="x",-$E399/(COUNTIF($J399:$Q399,"x")+1),-$E399*N(O399)))</f>
        <v/>
      </c>
      <c r="AD399" s="34">
        <f>IF(OR($A399="",$H399&lt;&gt;"Ausgabe",P399=""),0,IF(P399="x",-$E399/(COUNTIF($J399:$Q399,"x")+1),-$E399*N(P399)))</f>
        <v/>
      </c>
      <c r="AE399" s="34">
        <f>IF(OR($A399="",$H399&lt;&gt;"Ausgabe",Q399=""),0,IF(Q399="x",-$E399/(COUNTIF($J399:$Q399,"x")+1),-$E399*N(Q399)))</f>
        <v/>
      </c>
    </row>
    <row r="400">
      <c r="A400" s="30" t="n"/>
      <c r="E400" s="31" t="n"/>
      <c r="J400" s="32" t="n"/>
      <c r="K400" s="32" t="n"/>
      <c r="L400" s="32" t="n"/>
      <c r="M400" s="32" t="n"/>
      <c r="N400" s="32" t="n"/>
      <c r="O400" s="32" t="n"/>
      <c r="P400" s="32" t="n"/>
      <c r="Q400" s="32" t="n"/>
      <c r="U400" s="31">
        <f>IF($A400="","",SUM(X400:AE400))</f>
        <v/>
      </c>
      <c r="V400" s="31">
        <f>IF($A400="","",IF($H400&lt;&gt;"Ausgabe",0,-$E400-$U400))</f>
        <v/>
      </c>
      <c r="W400" s="33">
        <f>IF($A400="","",DATE(YEAR($A400),MONTH($A400),1))</f>
        <v/>
      </c>
      <c r="X400" s="34">
        <f>IF(OR($A400="",$H400&lt;&gt;"Ausgabe",J400=""),0,IF(J400="x",-$E400/(COUNTIF($J400:$Q400,"x")+1),-$E400*N(J400)))</f>
        <v/>
      </c>
      <c r="Y400" s="34">
        <f>IF(OR($A400="",$H400&lt;&gt;"Ausgabe",K400=""),0,IF(K400="x",-$E400/(COUNTIF($J400:$Q400,"x")+1),-$E400*N(K400)))</f>
        <v/>
      </c>
      <c r="Z400" s="34">
        <f>IF(OR($A400="",$H400&lt;&gt;"Ausgabe",L400=""),0,IF(L400="x",-$E400/(COUNTIF($J400:$Q400,"x")+1),-$E400*N(L400)))</f>
        <v/>
      </c>
      <c r="AA400" s="34">
        <f>IF(OR($A400="",$H400&lt;&gt;"Ausgabe",M400=""),0,IF(M400="x",-$E400/(COUNTIF($J400:$Q400,"x")+1),-$E400*N(M400)))</f>
        <v/>
      </c>
      <c r="AB400" s="34">
        <f>IF(OR($A400="",$H400&lt;&gt;"Ausgabe",N400=""),0,IF(N400="x",-$E400/(COUNTIF($J400:$Q400,"x")+1),-$E400*N(N400)))</f>
        <v/>
      </c>
      <c r="AC400" s="34">
        <f>IF(OR($A400="",$H400&lt;&gt;"Ausgabe",O400=""),0,IF(O400="x",-$E400/(COUNTIF($J400:$Q400,"x")+1),-$E400*N(O400)))</f>
        <v/>
      </c>
      <c r="AD400" s="34">
        <f>IF(OR($A400="",$H400&lt;&gt;"Ausgabe",P400=""),0,IF(P400="x",-$E400/(COUNTIF($J400:$Q400,"x")+1),-$E400*N(P400)))</f>
        <v/>
      </c>
      <c r="AE400" s="34">
        <f>IF(OR($A400="",$H400&lt;&gt;"Ausgabe",Q400=""),0,IF(Q400="x",-$E400/(COUNTIF($J400:$Q400,"x")+1),-$E400*N(Q400)))</f>
        <v/>
      </c>
    </row>
    <row r="401">
      <c r="A401" s="30" t="n"/>
      <c r="E401" s="31" t="n"/>
      <c r="J401" s="32" t="n"/>
      <c r="K401" s="32" t="n"/>
      <c r="L401" s="32" t="n"/>
      <c r="M401" s="32" t="n"/>
      <c r="N401" s="32" t="n"/>
      <c r="O401" s="32" t="n"/>
      <c r="P401" s="32" t="n"/>
      <c r="Q401" s="32" t="n"/>
      <c r="U401" s="31">
        <f>IF($A401="","",SUM(X401:AE401))</f>
        <v/>
      </c>
      <c r="V401" s="31">
        <f>IF($A401="","",IF($H401&lt;&gt;"Ausgabe",0,-$E401-$U401))</f>
        <v/>
      </c>
      <c r="W401" s="33">
        <f>IF($A401="","",DATE(YEAR($A401),MONTH($A401),1))</f>
        <v/>
      </c>
      <c r="X401" s="34">
        <f>IF(OR($A401="",$H401&lt;&gt;"Ausgabe",J401=""),0,IF(J401="x",-$E401/(COUNTIF($J401:$Q401,"x")+1),-$E401*N(J401)))</f>
        <v/>
      </c>
      <c r="Y401" s="34">
        <f>IF(OR($A401="",$H401&lt;&gt;"Ausgabe",K401=""),0,IF(K401="x",-$E401/(COUNTIF($J401:$Q401,"x")+1),-$E401*N(K401)))</f>
        <v/>
      </c>
      <c r="Z401" s="34">
        <f>IF(OR($A401="",$H401&lt;&gt;"Ausgabe",L401=""),0,IF(L401="x",-$E401/(COUNTIF($J401:$Q401,"x")+1),-$E401*N(L401)))</f>
        <v/>
      </c>
      <c r="AA401" s="34">
        <f>IF(OR($A401="",$H401&lt;&gt;"Ausgabe",M401=""),0,IF(M401="x",-$E401/(COUNTIF($J401:$Q401,"x")+1),-$E401*N(M401)))</f>
        <v/>
      </c>
      <c r="AB401" s="34">
        <f>IF(OR($A401="",$H401&lt;&gt;"Ausgabe",N401=""),0,IF(N401="x",-$E401/(COUNTIF($J401:$Q401,"x")+1),-$E401*N(N401)))</f>
        <v/>
      </c>
      <c r="AC401" s="34">
        <f>IF(OR($A401="",$H401&lt;&gt;"Ausgabe",O401=""),0,IF(O401="x",-$E401/(COUNTIF($J401:$Q401,"x")+1),-$E401*N(O401)))</f>
        <v/>
      </c>
      <c r="AD401" s="34">
        <f>IF(OR($A401="",$H401&lt;&gt;"Ausgabe",P401=""),0,IF(P401="x",-$E401/(COUNTIF($J401:$Q401,"x")+1),-$E401*N(P401)))</f>
        <v/>
      </c>
      <c r="AE401" s="34">
        <f>IF(OR($A401="",$H401&lt;&gt;"Ausgabe",Q401=""),0,IF(Q401="x",-$E401/(COUNTIF($J401:$Q401,"x")+1),-$E401*N(Q401)))</f>
        <v/>
      </c>
    </row>
    <row r="402">
      <c r="A402" s="30" t="n"/>
      <c r="E402" s="31" t="n"/>
      <c r="J402" s="32" t="n"/>
      <c r="K402" s="32" t="n"/>
      <c r="L402" s="32" t="n"/>
      <c r="M402" s="32" t="n"/>
      <c r="N402" s="32" t="n"/>
      <c r="O402" s="32" t="n"/>
      <c r="P402" s="32" t="n"/>
      <c r="Q402" s="32" t="n"/>
      <c r="U402" s="31">
        <f>IF($A402="","",SUM(X402:AE402))</f>
        <v/>
      </c>
      <c r="V402" s="31">
        <f>IF($A402="","",IF($H402&lt;&gt;"Ausgabe",0,-$E402-$U402))</f>
        <v/>
      </c>
      <c r="W402" s="33">
        <f>IF($A402="","",DATE(YEAR($A402),MONTH($A402),1))</f>
        <v/>
      </c>
      <c r="X402" s="34">
        <f>IF(OR($A402="",$H402&lt;&gt;"Ausgabe",J402=""),0,IF(J402="x",-$E402/(COUNTIF($J402:$Q402,"x")+1),-$E402*N(J402)))</f>
        <v/>
      </c>
      <c r="Y402" s="34">
        <f>IF(OR($A402="",$H402&lt;&gt;"Ausgabe",K402=""),0,IF(K402="x",-$E402/(COUNTIF($J402:$Q402,"x")+1),-$E402*N(K402)))</f>
        <v/>
      </c>
      <c r="Z402" s="34">
        <f>IF(OR($A402="",$H402&lt;&gt;"Ausgabe",L402=""),0,IF(L402="x",-$E402/(COUNTIF($J402:$Q402,"x")+1),-$E402*N(L402)))</f>
        <v/>
      </c>
      <c r="AA402" s="34">
        <f>IF(OR($A402="",$H402&lt;&gt;"Ausgabe",M402=""),0,IF(M402="x",-$E402/(COUNTIF($J402:$Q402,"x")+1),-$E402*N(M402)))</f>
        <v/>
      </c>
      <c r="AB402" s="34">
        <f>IF(OR($A402="",$H402&lt;&gt;"Ausgabe",N402=""),0,IF(N402="x",-$E402/(COUNTIF($J402:$Q402,"x")+1),-$E402*N(N402)))</f>
        <v/>
      </c>
      <c r="AC402" s="34">
        <f>IF(OR($A402="",$H402&lt;&gt;"Ausgabe",O402=""),0,IF(O402="x",-$E402/(COUNTIF($J402:$Q402,"x")+1),-$E402*N(O402)))</f>
        <v/>
      </c>
      <c r="AD402" s="34">
        <f>IF(OR($A402="",$H402&lt;&gt;"Ausgabe",P402=""),0,IF(P402="x",-$E402/(COUNTIF($J402:$Q402,"x")+1),-$E402*N(P402)))</f>
        <v/>
      </c>
      <c r="AE402" s="34">
        <f>IF(OR($A402="",$H402&lt;&gt;"Ausgabe",Q402=""),0,IF(Q402="x",-$E402/(COUNTIF($J402:$Q402,"x")+1),-$E402*N(Q402)))</f>
        <v/>
      </c>
    </row>
    <row r="403">
      <c r="A403" s="30" t="n"/>
      <c r="E403" s="31" t="n"/>
      <c r="J403" s="32" t="n"/>
      <c r="K403" s="32" t="n"/>
      <c r="L403" s="32" t="n"/>
      <c r="M403" s="32" t="n"/>
      <c r="N403" s="32" t="n"/>
      <c r="O403" s="32" t="n"/>
      <c r="P403" s="32" t="n"/>
      <c r="Q403" s="32" t="n"/>
      <c r="U403" s="31">
        <f>IF($A403="","",SUM(X403:AE403))</f>
        <v/>
      </c>
      <c r="V403" s="31">
        <f>IF($A403="","",IF($H403&lt;&gt;"Ausgabe",0,-$E403-$U403))</f>
        <v/>
      </c>
      <c r="W403" s="33">
        <f>IF($A403="","",DATE(YEAR($A403),MONTH($A403),1))</f>
        <v/>
      </c>
      <c r="X403" s="34">
        <f>IF(OR($A403="",$H403&lt;&gt;"Ausgabe",J403=""),0,IF(J403="x",-$E403/(COUNTIF($J403:$Q403,"x")+1),-$E403*N(J403)))</f>
        <v/>
      </c>
      <c r="Y403" s="34">
        <f>IF(OR($A403="",$H403&lt;&gt;"Ausgabe",K403=""),0,IF(K403="x",-$E403/(COUNTIF($J403:$Q403,"x")+1),-$E403*N(K403)))</f>
        <v/>
      </c>
      <c r="Z403" s="34">
        <f>IF(OR($A403="",$H403&lt;&gt;"Ausgabe",L403=""),0,IF(L403="x",-$E403/(COUNTIF($J403:$Q403,"x")+1),-$E403*N(L403)))</f>
        <v/>
      </c>
      <c r="AA403" s="34">
        <f>IF(OR($A403="",$H403&lt;&gt;"Ausgabe",M403=""),0,IF(M403="x",-$E403/(COUNTIF($J403:$Q403,"x")+1),-$E403*N(M403)))</f>
        <v/>
      </c>
      <c r="AB403" s="34">
        <f>IF(OR($A403="",$H403&lt;&gt;"Ausgabe",N403=""),0,IF(N403="x",-$E403/(COUNTIF($J403:$Q403,"x")+1),-$E403*N(N403)))</f>
        <v/>
      </c>
      <c r="AC403" s="34">
        <f>IF(OR($A403="",$H403&lt;&gt;"Ausgabe",O403=""),0,IF(O403="x",-$E403/(COUNTIF($J403:$Q403,"x")+1),-$E403*N(O403)))</f>
        <v/>
      </c>
      <c r="AD403" s="34">
        <f>IF(OR($A403="",$H403&lt;&gt;"Ausgabe",P403=""),0,IF(P403="x",-$E403/(COUNTIF($J403:$Q403,"x")+1),-$E403*N(P403)))</f>
        <v/>
      </c>
      <c r="AE403" s="34">
        <f>IF(OR($A403="",$H403&lt;&gt;"Ausgabe",Q403=""),0,IF(Q403="x",-$E403/(COUNTIF($J403:$Q403,"x")+1),-$E403*N(Q403)))</f>
        <v/>
      </c>
    </row>
    <row r="404">
      <c r="A404" s="30" t="n"/>
      <c r="E404" s="31" t="n"/>
      <c r="J404" s="32" t="n"/>
      <c r="K404" s="32" t="n"/>
      <c r="L404" s="32" t="n"/>
      <c r="M404" s="32" t="n"/>
      <c r="N404" s="32" t="n"/>
      <c r="O404" s="32" t="n"/>
      <c r="P404" s="32" t="n"/>
      <c r="Q404" s="32" t="n"/>
      <c r="U404" s="31">
        <f>IF($A404="","",SUM(X404:AE404))</f>
        <v/>
      </c>
      <c r="V404" s="31">
        <f>IF($A404="","",IF($H404&lt;&gt;"Ausgabe",0,-$E404-$U404))</f>
        <v/>
      </c>
      <c r="W404" s="33">
        <f>IF($A404="","",DATE(YEAR($A404),MONTH($A404),1))</f>
        <v/>
      </c>
      <c r="X404" s="34">
        <f>IF(OR($A404="",$H404&lt;&gt;"Ausgabe",J404=""),0,IF(J404="x",-$E404/(COUNTIF($J404:$Q404,"x")+1),-$E404*N(J404)))</f>
        <v/>
      </c>
      <c r="Y404" s="34">
        <f>IF(OR($A404="",$H404&lt;&gt;"Ausgabe",K404=""),0,IF(K404="x",-$E404/(COUNTIF($J404:$Q404,"x")+1),-$E404*N(K404)))</f>
        <v/>
      </c>
      <c r="Z404" s="34">
        <f>IF(OR($A404="",$H404&lt;&gt;"Ausgabe",L404=""),0,IF(L404="x",-$E404/(COUNTIF($J404:$Q404,"x")+1),-$E404*N(L404)))</f>
        <v/>
      </c>
      <c r="AA404" s="34">
        <f>IF(OR($A404="",$H404&lt;&gt;"Ausgabe",M404=""),0,IF(M404="x",-$E404/(COUNTIF($J404:$Q404,"x")+1),-$E404*N(M404)))</f>
        <v/>
      </c>
      <c r="AB404" s="34">
        <f>IF(OR($A404="",$H404&lt;&gt;"Ausgabe",N404=""),0,IF(N404="x",-$E404/(COUNTIF($J404:$Q404,"x")+1),-$E404*N(N404)))</f>
        <v/>
      </c>
      <c r="AC404" s="34">
        <f>IF(OR($A404="",$H404&lt;&gt;"Ausgabe",O404=""),0,IF(O404="x",-$E404/(COUNTIF($J404:$Q404,"x")+1),-$E404*N(O404)))</f>
        <v/>
      </c>
      <c r="AD404" s="34">
        <f>IF(OR($A404="",$H404&lt;&gt;"Ausgabe",P404=""),0,IF(P404="x",-$E404/(COUNTIF($J404:$Q404,"x")+1),-$E404*N(P404)))</f>
        <v/>
      </c>
      <c r="AE404" s="34">
        <f>IF(OR($A404="",$H404&lt;&gt;"Ausgabe",Q404=""),0,IF(Q404="x",-$E404/(COUNTIF($J404:$Q404,"x")+1),-$E404*N(Q404)))</f>
        <v/>
      </c>
    </row>
    <row r="405">
      <c r="A405" s="30" t="n"/>
      <c r="E405" s="31" t="n"/>
      <c r="J405" s="32" t="n"/>
      <c r="K405" s="32" t="n"/>
      <c r="L405" s="32" t="n"/>
      <c r="M405" s="32" t="n"/>
      <c r="N405" s="32" t="n"/>
      <c r="O405" s="32" t="n"/>
      <c r="P405" s="32" t="n"/>
      <c r="Q405" s="32" t="n"/>
      <c r="U405" s="31">
        <f>IF($A405="","",SUM(X405:AE405))</f>
        <v/>
      </c>
      <c r="V405" s="31">
        <f>IF($A405="","",IF($H405&lt;&gt;"Ausgabe",0,-$E405-$U405))</f>
        <v/>
      </c>
      <c r="W405" s="33">
        <f>IF($A405="","",DATE(YEAR($A405),MONTH($A405),1))</f>
        <v/>
      </c>
      <c r="X405" s="34">
        <f>IF(OR($A405="",$H405&lt;&gt;"Ausgabe",J405=""),0,IF(J405="x",-$E405/(COUNTIF($J405:$Q405,"x")+1),-$E405*N(J405)))</f>
        <v/>
      </c>
      <c r="Y405" s="34">
        <f>IF(OR($A405="",$H405&lt;&gt;"Ausgabe",K405=""),0,IF(K405="x",-$E405/(COUNTIF($J405:$Q405,"x")+1),-$E405*N(K405)))</f>
        <v/>
      </c>
      <c r="Z405" s="34">
        <f>IF(OR($A405="",$H405&lt;&gt;"Ausgabe",L405=""),0,IF(L405="x",-$E405/(COUNTIF($J405:$Q405,"x")+1),-$E405*N(L405)))</f>
        <v/>
      </c>
      <c r="AA405" s="34">
        <f>IF(OR($A405="",$H405&lt;&gt;"Ausgabe",M405=""),0,IF(M405="x",-$E405/(COUNTIF($J405:$Q405,"x")+1),-$E405*N(M405)))</f>
        <v/>
      </c>
      <c r="AB405" s="34">
        <f>IF(OR($A405="",$H405&lt;&gt;"Ausgabe",N405=""),0,IF(N405="x",-$E405/(COUNTIF($J405:$Q405,"x")+1),-$E405*N(N405)))</f>
        <v/>
      </c>
      <c r="AC405" s="34">
        <f>IF(OR($A405="",$H405&lt;&gt;"Ausgabe",O405=""),0,IF(O405="x",-$E405/(COUNTIF($J405:$Q405,"x")+1),-$E405*N(O405)))</f>
        <v/>
      </c>
      <c r="AD405" s="34">
        <f>IF(OR($A405="",$H405&lt;&gt;"Ausgabe",P405=""),0,IF(P405="x",-$E405/(COUNTIF($J405:$Q405,"x")+1),-$E405*N(P405)))</f>
        <v/>
      </c>
      <c r="AE405" s="34">
        <f>IF(OR($A405="",$H405&lt;&gt;"Ausgabe",Q405=""),0,IF(Q405="x",-$E405/(COUNTIF($J405:$Q405,"x")+1),-$E405*N(Q405)))</f>
        <v/>
      </c>
    </row>
    <row r="406">
      <c r="A406" s="30" t="n"/>
      <c r="E406" s="31" t="n"/>
      <c r="J406" s="32" t="n"/>
      <c r="K406" s="32" t="n"/>
      <c r="L406" s="32" t="n"/>
      <c r="M406" s="32" t="n"/>
      <c r="N406" s="32" t="n"/>
      <c r="O406" s="32" t="n"/>
      <c r="P406" s="32" t="n"/>
      <c r="Q406" s="32" t="n"/>
      <c r="U406" s="31">
        <f>IF($A406="","",SUM(X406:AE406))</f>
        <v/>
      </c>
      <c r="V406" s="31">
        <f>IF($A406="","",IF($H406&lt;&gt;"Ausgabe",0,-$E406-$U406))</f>
        <v/>
      </c>
      <c r="W406" s="33">
        <f>IF($A406="","",DATE(YEAR($A406),MONTH($A406),1))</f>
        <v/>
      </c>
      <c r="X406" s="34">
        <f>IF(OR($A406="",$H406&lt;&gt;"Ausgabe",J406=""),0,IF(J406="x",-$E406/(COUNTIF($J406:$Q406,"x")+1),-$E406*N(J406)))</f>
        <v/>
      </c>
      <c r="Y406" s="34">
        <f>IF(OR($A406="",$H406&lt;&gt;"Ausgabe",K406=""),0,IF(K406="x",-$E406/(COUNTIF($J406:$Q406,"x")+1),-$E406*N(K406)))</f>
        <v/>
      </c>
      <c r="Z406" s="34">
        <f>IF(OR($A406="",$H406&lt;&gt;"Ausgabe",L406=""),0,IF(L406="x",-$E406/(COUNTIF($J406:$Q406,"x")+1),-$E406*N(L406)))</f>
        <v/>
      </c>
      <c r="AA406" s="34">
        <f>IF(OR($A406="",$H406&lt;&gt;"Ausgabe",M406=""),0,IF(M406="x",-$E406/(COUNTIF($J406:$Q406,"x")+1),-$E406*N(M406)))</f>
        <v/>
      </c>
      <c r="AB406" s="34">
        <f>IF(OR($A406="",$H406&lt;&gt;"Ausgabe",N406=""),0,IF(N406="x",-$E406/(COUNTIF($J406:$Q406,"x")+1),-$E406*N(N406)))</f>
        <v/>
      </c>
      <c r="AC406" s="34">
        <f>IF(OR($A406="",$H406&lt;&gt;"Ausgabe",O406=""),0,IF(O406="x",-$E406/(COUNTIF($J406:$Q406,"x")+1),-$E406*N(O406)))</f>
        <v/>
      </c>
      <c r="AD406" s="34">
        <f>IF(OR($A406="",$H406&lt;&gt;"Ausgabe",P406=""),0,IF(P406="x",-$E406/(COUNTIF($J406:$Q406,"x")+1),-$E406*N(P406)))</f>
        <v/>
      </c>
      <c r="AE406" s="34">
        <f>IF(OR($A406="",$H406&lt;&gt;"Ausgabe",Q406=""),0,IF(Q406="x",-$E406/(COUNTIF($J406:$Q406,"x")+1),-$E406*N(Q406)))</f>
        <v/>
      </c>
    </row>
    <row r="407">
      <c r="A407" s="30" t="n"/>
      <c r="E407" s="31" t="n"/>
      <c r="J407" s="32" t="n"/>
      <c r="K407" s="32" t="n"/>
      <c r="L407" s="32" t="n"/>
      <c r="M407" s="32" t="n"/>
      <c r="N407" s="32" t="n"/>
      <c r="O407" s="32" t="n"/>
      <c r="P407" s="32" t="n"/>
      <c r="Q407" s="32" t="n"/>
      <c r="U407" s="31">
        <f>IF($A407="","",SUM(X407:AE407))</f>
        <v/>
      </c>
      <c r="V407" s="31">
        <f>IF($A407="","",IF($H407&lt;&gt;"Ausgabe",0,-$E407-$U407))</f>
        <v/>
      </c>
      <c r="W407" s="33">
        <f>IF($A407="","",DATE(YEAR($A407),MONTH($A407),1))</f>
        <v/>
      </c>
      <c r="X407" s="34">
        <f>IF(OR($A407="",$H407&lt;&gt;"Ausgabe",J407=""),0,IF(J407="x",-$E407/(COUNTIF($J407:$Q407,"x")+1),-$E407*N(J407)))</f>
        <v/>
      </c>
      <c r="Y407" s="34">
        <f>IF(OR($A407="",$H407&lt;&gt;"Ausgabe",K407=""),0,IF(K407="x",-$E407/(COUNTIF($J407:$Q407,"x")+1),-$E407*N(K407)))</f>
        <v/>
      </c>
      <c r="Z407" s="34">
        <f>IF(OR($A407="",$H407&lt;&gt;"Ausgabe",L407=""),0,IF(L407="x",-$E407/(COUNTIF($J407:$Q407,"x")+1),-$E407*N(L407)))</f>
        <v/>
      </c>
      <c r="AA407" s="34">
        <f>IF(OR($A407="",$H407&lt;&gt;"Ausgabe",M407=""),0,IF(M407="x",-$E407/(COUNTIF($J407:$Q407,"x")+1),-$E407*N(M407)))</f>
        <v/>
      </c>
      <c r="AB407" s="34">
        <f>IF(OR($A407="",$H407&lt;&gt;"Ausgabe",N407=""),0,IF(N407="x",-$E407/(COUNTIF($J407:$Q407,"x")+1),-$E407*N(N407)))</f>
        <v/>
      </c>
      <c r="AC407" s="34">
        <f>IF(OR($A407="",$H407&lt;&gt;"Ausgabe",O407=""),0,IF(O407="x",-$E407/(COUNTIF($J407:$Q407,"x")+1),-$E407*N(O407)))</f>
        <v/>
      </c>
      <c r="AD407" s="34">
        <f>IF(OR($A407="",$H407&lt;&gt;"Ausgabe",P407=""),0,IF(P407="x",-$E407/(COUNTIF($J407:$Q407,"x")+1),-$E407*N(P407)))</f>
        <v/>
      </c>
      <c r="AE407" s="34">
        <f>IF(OR($A407="",$H407&lt;&gt;"Ausgabe",Q407=""),0,IF(Q407="x",-$E407/(COUNTIF($J407:$Q407,"x")+1),-$E407*N(Q407)))</f>
        <v/>
      </c>
    </row>
    <row r="408">
      <c r="A408" s="30" t="n"/>
      <c r="E408" s="31" t="n"/>
      <c r="J408" s="32" t="n"/>
      <c r="K408" s="32" t="n"/>
      <c r="L408" s="32" t="n"/>
      <c r="M408" s="32" t="n"/>
      <c r="N408" s="32" t="n"/>
      <c r="O408" s="32" t="n"/>
      <c r="P408" s="32" t="n"/>
      <c r="Q408" s="32" t="n"/>
      <c r="U408" s="31">
        <f>IF($A408="","",SUM(X408:AE408))</f>
        <v/>
      </c>
      <c r="V408" s="31">
        <f>IF($A408="","",IF($H408&lt;&gt;"Ausgabe",0,-$E408-$U408))</f>
        <v/>
      </c>
      <c r="W408" s="33">
        <f>IF($A408="","",DATE(YEAR($A408),MONTH($A408),1))</f>
        <v/>
      </c>
      <c r="X408" s="34">
        <f>IF(OR($A408="",$H408&lt;&gt;"Ausgabe",J408=""),0,IF(J408="x",-$E408/(COUNTIF($J408:$Q408,"x")+1),-$E408*N(J408)))</f>
        <v/>
      </c>
      <c r="Y408" s="34">
        <f>IF(OR($A408="",$H408&lt;&gt;"Ausgabe",K408=""),0,IF(K408="x",-$E408/(COUNTIF($J408:$Q408,"x")+1),-$E408*N(K408)))</f>
        <v/>
      </c>
      <c r="Z408" s="34">
        <f>IF(OR($A408="",$H408&lt;&gt;"Ausgabe",L408=""),0,IF(L408="x",-$E408/(COUNTIF($J408:$Q408,"x")+1),-$E408*N(L408)))</f>
        <v/>
      </c>
      <c r="AA408" s="34">
        <f>IF(OR($A408="",$H408&lt;&gt;"Ausgabe",M408=""),0,IF(M408="x",-$E408/(COUNTIF($J408:$Q408,"x")+1),-$E408*N(M408)))</f>
        <v/>
      </c>
      <c r="AB408" s="34">
        <f>IF(OR($A408="",$H408&lt;&gt;"Ausgabe",N408=""),0,IF(N408="x",-$E408/(COUNTIF($J408:$Q408,"x")+1),-$E408*N(N408)))</f>
        <v/>
      </c>
      <c r="AC408" s="34">
        <f>IF(OR($A408="",$H408&lt;&gt;"Ausgabe",O408=""),0,IF(O408="x",-$E408/(COUNTIF($J408:$Q408,"x")+1),-$E408*N(O408)))</f>
        <v/>
      </c>
      <c r="AD408" s="34">
        <f>IF(OR($A408="",$H408&lt;&gt;"Ausgabe",P408=""),0,IF(P408="x",-$E408/(COUNTIF($J408:$Q408,"x")+1),-$E408*N(P408)))</f>
        <v/>
      </c>
      <c r="AE408" s="34">
        <f>IF(OR($A408="",$H408&lt;&gt;"Ausgabe",Q408=""),0,IF(Q408="x",-$E408/(COUNTIF($J408:$Q408,"x")+1),-$E408*N(Q408)))</f>
        <v/>
      </c>
    </row>
    <row r="409">
      <c r="A409" s="30" t="n"/>
      <c r="E409" s="31" t="n"/>
      <c r="J409" s="32" t="n"/>
      <c r="K409" s="32" t="n"/>
      <c r="L409" s="32" t="n"/>
      <c r="M409" s="32" t="n"/>
      <c r="N409" s="32" t="n"/>
      <c r="O409" s="32" t="n"/>
      <c r="P409" s="32" t="n"/>
      <c r="Q409" s="32" t="n"/>
      <c r="U409" s="31">
        <f>IF($A409="","",SUM(X409:AE409))</f>
        <v/>
      </c>
      <c r="V409" s="31">
        <f>IF($A409="","",IF($H409&lt;&gt;"Ausgabe",0,-$E409-$U409))</f>
        <v/>
      </c>
      <c r="W409" s="33">
        <f>IF($A409="","",DATE(YEAR($A409),MONTH($A409),1))</f>
        <v/>
      </c>
      <c r="X409" s="34">
        <f>IF(OR($A409="",$H409&lt;&gt;"Ausgabe",J409=""),0,IF(J409="x",-$E409/(COUNTIF($J409:$Q409,"x")+1),-$E409*N(J409)))</f>
        <v/>
      </c>
      <c r="Y409" s="34">
        <f>IF(OR($A409="",$H409&lt;&gt;"Ausgabe",K409=""),0,IF(K409="x",-$E409/(COUNTIF($J409:$Q409,"x")+1),-$E409*N(K409)))</f>
        <v/>
      </c>
      <c r="Z409" s="34">
        <f>IF(OR($A409="",$H409&lt;&gt;"Ausgabe",L409=""),0,IF(L409="x",-$E409/(COUNTIF($J409:$Q409,"x")+1),-$E409*N(L409)))</f>
        <v/>
      </c>
      <c r="AA409" s="34">
        <f>IF(OR($A409="",$H409&lt;&gt;"Ausgabe",M409=""),0,IF(M409="x",-$E409/(COUNTIF($J409:$Q409,"x")+1),-$E409*N(M409)))</f>
        <v/>
      </c>
      <c r="AB409" s="34">
        <f>IF(OR($A409="",$H409&lt;&gt;"Ausgabe",N409=""),0,IF(N409="x",-$E409/(COUNTIF($J409:$Q409,"x")+1),-$E409*N(N409)))</f>
        <v/>
      </c>
      <c r="AC409" s="34">
        <f>IF(OR($A409="",$H409&lt;&gt;"Ausgabe",O409=""),0,IF(O409="x",-$E409/(COUNTIF($J409:$Q409,"x")+1),-$E409*N(O409)))</f>
        <v/>
      </c>
      <c r="AD409" s="34">
        <f>IF(OR($A409="",$H409&lt;&gt;"Ausgabe",P409=""),0,IF(P409="x",-$E409/(COUNTIF($J409:$Q409,"x")+1),-$E409*N(P409)))</f>
        <v/>
      </c>
      <c r="AE409" s="34">
        <f>IF(OR($A409="",$H409&lt;&gt;"Ausgabe",Q409=""),0,IF(Q409="x",-$E409/(COUNTIF($J409:$Q409,"x")+1),-$E409*N(Q409)))</f>
        <v/>
      </c>
    </row>
    <row r="410">
      <c r="A410" s="30" t="n"/>
      <c r="E410" s="31" t="n"/>
      <c r="J410" s="32" t="n"/>
      <c r="K410" s="32" t="n"/>
      <c r="L410" s="32" t="n"/>
      <c r="M410" s="32" t="n"/>
      <c r="N410" s="32" t="n"/>
      <c r="O410" s="32" t="n"/>
      <c r="P410" s="32" t="n"/>
      <c r="Q410" s="32" t="n"/>
      <c r="U410" s="31">
        <f>IF($A410="","",SUM(X410:AE410))</f>
        <v/>
      </c>
      <c r="V410" s="31">
        <f>IF($A410="","",IF($H410&lt;&gt;"Ausgabe",0,-$E410-$U410))</f>
        <v/>
      </c>
      <c r="W410" s="33">
        <f>IF($A410="","",DATE(YEAR($A410),MONTH($A410),1))</f>
        <v/>
      </c>
      <c r="X410" s="34">
        <f>IF(OR($A410="",$H410&lt;&gt;"Ausgabe",J410=""),0,IF(J410="x",-$E410/(COUNTIF($J410:$Q410,"x")+1),-$E410*N(J410)))</f>
        <v/>
      </c>
      <c r="Y410" s="34">
        <f>IF(OR($A410="",$H410&lt;&gt;"Ausgabe",K410=""),0,IF(K410="x",-$E410/(COUNTIF($J410:$Q410,"x")+1),-$E410*N(K410)))</f>
        <v/>
      </c>
      <c r="Z410" s="34">
        <f>IF(OR($A410="",$H410&lt;&gt;"Ausgabe",L410=""),0,IF(L410="x",-$E410/(COUNTIF($J410:$Q410,"x")+1),-$E410*N(L410)))</f>
        <v/>
      </c>
      <c r="AA410" s="34">
        <f>IF(OR($A410="",$H410&lt;&gt;"Ausgabe",M410=""),0,IF(M410="x",-$E410/(COUNTIF($J410:$Q410,"x")+1),-$E410*N(M410)))</f>
        <v/>
      </c>
      <c r="AB410" s="34">
        <f>IF(OR($A410="",$H410&lt;&gt;"Ausgabe",N410=""),0,IF(N410="x",-$E410/(COUNTIF($J410:$Q410,"x")+1),-$E410*N(N410)))</f>
        <v/>
      </c>
      <c r="AC410" s="34">
        <f>IF(OR($A410="",$H410&lt;&gt;"Ausgabe",O410=""),0,IF(O410="x",-$E410/(COUNTIF($J410:$Q410,"x")+1),-$E410*N(O410)))</f>
        <v/>
      </c>
      <c r="AD410" s="34">
        <f>IF(OR($A410="",$H410&lt;&gt;"Ausgabe",P410=""),0,IF(P410="x",-$E410/(COUNTIF($J410:$Q410,"x")+1),-$E410*N(P410)))</f>
        <v/>
      </c>
      <c r="AE410" s="34">
        <f>IF(OR($A410="",$H410&lt;&gt;"Ausgabe",Q410=""),0,IF(Q410="x",-$E410/(COUNTIF($J410:$Q410,"x")+1),-$E410*N(Q410)))</f>
        <v/>
      </c>
    </row>
    <row r="411">
      <c r="A411" s="30" t="n"/>
      <c r="E411" s="31" t="n"/>
      <c r="J411" s="32" t="n"/>
      <c r="K411" s="32" t="n"/>
      <c r="L411" s="32" t="n"/>
      <c r="M411" s="32" t="n"/>
      <c r="N411" s="32" t="n"/>
      <c r="O411" s="32" t="n"/>
      <c r="P411" s="32" t="n"/>
      <c r="Q411" s="32" t="n"/>
      <c r="U411" s="31">
        <f>IF($A411="","",SUM(X411:AE411))</f>
        <v/>
      </c>
      <c r="V411" s="31">
        <f>IF($A411="","",IF($H411&lt;&gt;"Ausgabe",0,-$E411-$U411))</f>
        <v/>
      </c>
      <c r="W411" s="33">
        <f>IF($A411="","",DATE(YEAR($A411),MONTH($A411),1))</f>
        <v/>
      </c>
      <c r="X411" s="34">
        <f>IF(OR($A411="",$H411&lt;&gt;"Ausgabe",J411=""),0,IF(J411="x",-$E411/(COUNTIF($J411:$Q411,"x")+1),-$E411*N(J411)))</f>
        <v/>
      </c>
      <c r="Y411" s="34">
        <f>IF(OR($A411="",$H411&lt;&gt;"Ausgabe",K411=""),0,IF(K411="x",-$E411/(COUNTIF($J411:$Q411,"x")+1),-$E411*N(K411)))</f>
        <v/>
      </c>
      <c r="Z411" s="34">
        <f>IF(OR($A411="",$H411&lt;&gt;"Ausgabe",L411=""),0,IF(L411="x",-$E411/(COUNTIF($J411:$Q411,"x")+1),-$E411*N(L411)))</f>
        <v/>
      </c>
      <c r="AA411" s="34">
        <f>IF(OR($A411="",$H411&lt;&gt;"Ausgabe",M411=""),0,IF(M411="x",-$E411/(COUNTIF($J411:$Q411,"x")+1),-$E411*N(M411)))</f>
        <v/>
      </c>
      <c r="AB411" s="34">
        <f>IF(OR($A411="",$H411&lt;&gt;"Ausgabe",N411=""),0,IF(N411="x",-$E411/(COUNTIF($J411:$Q411,"x")+1),-$E411*N(N411)))</f>
        <v/>
      </c>
      <c r="AC411" s="34">
        <f>IF(OR($A411="",$H411&lt;&gt;"Ausgabe",O411=""),0,IF(O411="x",-$E411/(COUNTIF($J411:$Q411,"x")+1),-$E411*N(O411)))</f>
        <v/>
      </c>
      <c r="AD411" s="34">
        <f>IF(OR($A411="",$H411&lt;&gt;"Ausgabe",P411=""),0,IF(P411="x",-$E411/(COUNTIF($J411:$Q411,"x")+1),-$E411*N(P411)))</f>
        <v/>
      </c>
      <c r="AE411" s="34">
        <f>IF(OR($A411="",$H411&lt;&gt;"Ausgabe",Q411=""),0,IF(Q411="x",-$E411/(COUNTIF($J411:$Q411,"x")+1),-$E411*N(Q411)))</f>
        <v/>
      </c>
    </row>
    <row r="412">
      <c r="A412" s="30" t="n"/>
      <c r="E412" s="31" t="n"/>
      <c r="J412" s="32" t="n"/>
      <c r="K412" s="32" t="n"/>
      <c r="L412" s="32" t="n"/>
      <c r="M412" s="32" t="n"/>
      <c r="N412" s="32" t="n"/>
      <c r="O412" s="32" t="n"/>
      <c r="P412" s="32" t="n"/>
      <c r="Q412" s="32" t="n"/>
      <c r="U412" s="31">
        <f>IF($A412="","",SUM(X412:AE412))</f>
        <v/>
      </c>
      <c r="V412" s="31">
        <f>IF($A412="","",IF($H412&lt;&gt;"Ausgabe",0,-$E412-$U412))</f>
        <v/>
      </c>
      <c r="W412" s="33">
        <f>IF($A412="","",DATE(YEAR($A412),MONTH($A412),1))</f>
        <v/>
      </c>
      <c r="X412" s="34">
        <f>IF(OR($A412="",$H412&lt;&gt;"Ausgabe",J412=""),0,IF(J412="x",-$E412/(COUNTIF($J412:$Q412,"x")+1),-$E412*N(J412)))</f>
        <v/>
      </c>
      <c r="Y412" s="34">
        <f>IF(OR($A412="",$H412&lt;&gt;"Ausgabe",K412=""),0,IF(K412="x",-$E412/(COUNTIF($J412:$Q412,"x")+1),-$E412*N(K412)))</f>
        <v/>
      </c>
      <c r="Z412" s="34">
        <f>IF(OR($A412="",$H412&lt;&gt;"Ausgabe",L412=""),0,IF(L412="x",-$E412/(COUNTIF($J412:$Q412,"x")+1),-$E412*N(L412)))</f>
        <v/>
      </c>
      <c r="AA412" s="34">
        <f>IF(OR($A412="",$H412&lt;&gt;"Ausgabe",M412=""),0,IF(M412="x",-$E412/(COUNTIF($J412:$Q412,"x")+1),-$E412*N(M412)))</f>
        <v/>
      </c>
      <c r="AB412" s="34">
        <f>IF(OR($A412="",$H412&lt;&gt;"Ausgabe",N412=""),0,IF(N412="x",-$E412/(COUNTIF($J412:$Q412,"x")+1),-$E412*N(N412)))</f>
        <v/>
      </c>
      <c r="AC412" s="34">
        <f>IF(OR($A412="",$H412&lt;&gt;"Ausgabe",O412=""),0,IF(O412="x",-$E412/(COUNTIF($J412:$Q412,"x")+1),-$E412*N(O412)))</f>
        <v/>
      </c>
      <c r="AD412" s="34">
        <f>IF(OR($A412="",$H412&lt;&gt;"Ausgabe",P412=""),0,IF(P412="x",-$E412/(COUNTIF($J412:$Q412,"x")+1),-$E412*N(P412)))</f>
        <v/>
      </c>
      <c r="AE412" s="34">
        <f>IF(OR($A412="",$H412&lt;&gt;"Ausgabe",Q412=""),0,IF(Q412="x",-$E412/(COUNTIF($J412:$Q412,"x")+1),-$E412*N(Q412)))</f>
        <v/>
      </c>
    </row>
    <row r="413">
      <c r="A413" s="30" t="n"/>
      <c r="E413" s="31" t="n"/>
      <c r="J413" s="32" t="n"/>
      <c r="K413" s="32" t="n"/>
      <c r="L413" s="32" t="n"/>
      <c r="M413" s="32" t="n"/>
      <c r="N413" s="32" t="n"/>
      <c r="O413" s="32" t="n"/>
      <c r="P413" s="32" t="n"/>
      <c r="Q413" s="32" t="n"/>
      <c r="U413" s="31">
        <f>IF($A413="","",SUM(X413:AE413))</f>
        <v/>
      </c>
      <c r="V413" s="31">
        <f>IF($A413="","",IF($H413&lt;&gt;"Ausgabe",0,-$E413-$U413))</f>
        <v/>
      </c>
      <c r="W413" s="33">
        <f>IF($A413="","",DATE(YEAR($A413),MONTH($A413),1))</f>
        <v/>
      </c>
      <c r="X413" s="34">
        <f>IF(OR($A413="",$H413&lt;&gt;"Ausgabe",J413=""),0,IF(J413="x",-$E413/(COUNTIF($J413:$Q413,"x")+1),-$E413*N(J413)))</f>
        <v/>
      </c>
      <c r="Y413" s="34">
        <f>IF(OR($A413="",$H413&lt;&gt;"Ausgabe",K413=""),0,IF(K413="x",-$E413/(COUNTIF($J413:$Q413,"x")+1),-$E413*N(K413)))</f>
        <v/>
      </c>
      <c r="Z413" s="34">
        <f>IF(OR($A413="",$H413&lt;&gt;"Ausgabe",L413=""),0,IF(L413="x",-$E413/(COUNTIF($J413:$Q413,"x")+1),-$E413*N(L413)))</f>
        <v/>
      </c>
      <c r="AA413" s="34">
        <f>IF(OR($A413="",$H413&lt;&gt;"Ausgabe",M413=""),0,IF(M413="x",-$E413/(COUNTIF($J413:$Q413,"x")+1),-$E413*N(M413)))</f>
        <v/>
      </c>
      <c r="AB413" s="34">
        <f>IF(OR($A413="",$H413&lt;&gt;"Ausgabe",N413=""),0,IF(N413="x",-$E413/(COUNTIF($J413:$Q413,"x")+1),-$E413*N(N413)))</f>
        <v/>
      </c>
      <c r="AC413" s="34">
        <f>IF(OR($A413="",$H413&lt;&gt;"Ausgabe",O413=""),0,IF(O413="x",-$E413/(COUNTIF($J413:$Q413,"x")+1),-$E413*N(O413)))</f>
        <v/>
      </c>
      <c r="AD413" s="34">
        <f>IF(OR($A413="",$H413&lt;&gt;"Ausgabe",P413=""),0,IF(P413="x",-$E413/(COUNTIF($J413:$Q413,"x")+1),-$E413*N(P413)))</f>
        <v/>
      </c>
      <c r="AE413" s="34">
        <f>IF(OR($A413="",$H413&lt;&gt;"Ausgabe",Q413=""),0,IF(Q413="x",-$E413/(COUNTIF($J413:$Q413,"x")+1),-$E413*N(Q413)))</f>
        <v/>
      </c>
    </row>
    <row r="414">
      <c r="A414" s="30" t="n"/>
      <c r="E414" s="31" t="n"/>
      <c r="J414" s="32" t="n"/>
      <c r="K414" s="32" t="n"/>
      <c r="L414" s="32" t="n"/>
      <c r="M414" s="32" t="n"/>
      <c r="N414" s="32" t="n"/>
      <c r="O414" s="32" t="n"/>
      <c r="P414" s="32" t="n"/>
      <c r="Q414" s="32" t="n"/>
      <c r="U414" s="31">
        <f>IF($A414="","",SUM(X414:AE414))</f>
        <v/>
      </c>
      <c r="V414" s="31">
        <f>IF($A414="","",IF($H414&lt;&gt;"Ausgabe",0,-$E414-$U414))</f>
        <v/>
      </c>
      <c r="W414" s="33">
        <f>IF($A414="","",DATE(YEAR($A414),MONTH($A414),1))</f>
        <v/>
      </c>
      <c r="X414" s="34">
        <f>IF(OR($A414="",$H414&lt;&gt;"Ausgabe",J414=""),0,IF(J414="x",-$E414/(COUNTIF($J414:$Q414,"x")+1),-$E414*N(J414)))</f>
        <v/>
      </c>
      <c r="Y414" s="34">
        <f>IF(OR($A414="",$H414&lt;&gt;"Ausgabe",K414=""),0,IF(K414="x",-$E414/(COUNTIF($J414:$Q414,"x")+1),-$E414*N(K414)))</f>
        <v/>
      </c>
      <c r="Z414" s="34">
        <f>IF(OR($A414="",$H414&lt;&gt;"Ausgabe",L414=""),0,IF(L414="x",-$E414/(COUNTIF($J414:$Q414,"x")+1),-$E414*N(L414)))</f>
        <v/>
      </c>
      <c r="AA414" s="34">
        <f>IF(OR($A414="",$H414&lt;&gt;"Ausgabe",M414=""),0,IF(M414="x",-$E414/(COUNTIF($J414:$Q414,"x")+1),-$E414*N(M414)))</f>
        <v/>
      </c>
      <c r="AB414" s="34">
        <f>IF(OR($A414="",$H414&lt;&gt;"Ausgabe",N414=""),0,IF(N414="x",-$E414/(COUNTIF($J414:$Q414,"x")+1),-$E414*N(N414)))</f>
        <v/>
      </c>
      <c r="AC414" s="34">
        <f>IF(OR($A414="",$H414&lt;&gt;"Ausgabe",O414=""),0,IF(O414="x",-$E414/(COUNTIF($J414:$Q414,"x")+1),-$E414*N(O414)))</f>
        <v/>
      </c>
      <c r="AD414" s="34">
        <f>IF(OR($A414="",$H414&lt;&gt;"Ausgabe",P414=""),0,IF(P414="x",-$E414/(COUNTIF($J414:$Q414,"x")+1),-$E414*N(P414)))</f>
        <v/>
      </c>
      <c r="AE414" s="34">
        <f>IF(OR($A414="",$H414&lt;&gt;"Ausgabe",Q414=""),0,IF(Q414="x",-$E414/(COUNTIF($J414:$Q414,"x")+1),-$E414*N(Q414)))</f>
        <v/>
      </c>
    </row>
    <row r="415">
      <c r="A415" s="30" t="n"/>
      <c r="E415" s="31" t="n"/>
      <c r="J415" s="32" t="n"/>
      <c r="K415" s="32" t="n"/>
      <c r="L415" s="32" t="n"/>
      <c r="M415" s="32" t="n"/>
      <c r="N415" s="32" t="n"/>
      <c r="O415" s="32" t="n"/>
      <c r="P415" s="32" t="n"/>
      <c r="Q415" s="32" t="n"/>
      <c r="U415" s="31">
        <f>IF($A415="","",SUM(X415:AE415))</f>
        <v/>
      </c>
      <c r="V415" s="31">
        <f>IF($A415="","",IF($H415&lt;&gt;"Ausgabe",0,-$E415-$U415))</f>
        <v/>
      </c>
      <c r="W415" s="33">
        <f>IF($A415="","",DATE(YEAR($A415),MONTH($A415),1))</f>
        <v/>
      </c>
      <c r="X415" s="34">
        <f>IF(OR($A415="",$H415&lt;&gt;"Ausgabe",J415=""),0,IF(J415="x",-$E415/(COUNTIF($J415:$Q415,"x")+1),-$E415*N(J415)))</f>
        <v/>
      </c>
      <c r="Y415" s="34">
        <f>IF(OR($A415="",$H415&lt;&gt;"Ausgabe",K415=""),0,IF(K415="x",-$E415/(COUNTIF($J415:$Q415,"x")+1),-$E415*N(K415)))</f>
        <v/>
      </c>
      <c r="Z415" s="34">
        <f>IF(OR($A415="",$H415&lt;&gt;"Ausgabe",L415=""),0,IF(L415="x",-$E415/(COUNTIF($J415:$Q415,"x")+1),-$E415*N(L415)))</f>
        <v/>
      </c>
      <c r="AA415" s="34">
        <f>IF(OR($A415="",$H415&lt;&gt;"Ausgabe",M415=""),0,IF(M415="x",-$E415/(COUNTIF($J415:$Q415,"x")+1),-$E415*N(M415)))</f>
        <v/>
      </c>
      <c r="AB415" s="34">
        <f>IF(OR($A415="",$H415&lt;&gt;"Ausgabe",N415=""),0,IF(N415="x",-$E415/(COUNTIF($J415:$Q415,"x")+1),-$E415*N(N415)))</f>
        <v/>
      </c>
      <c r="AC415" s="34">
        <f>IF(OR($A415="",$H415&lt;&gt;"Ausgabe",O415=""),0,IF(O415="x",-$E415/(COUNTIF($J415:$Q415,"x")+1),-$E415*N(O415)))</f>
        <v/>
      </c>
      <c r="AD415" s="34">
        <f>IF(OR($A415="",$H415&lt;&gt;"Ausgabe",P415=""),0,IF(P415="x",-$E415/(COUNTIF($J415:$Q415,"x")+1),-$E415*N(P415)))</f>
        <v/>
      </c>
      <c r="AE415" s="34">
        <f>IF(OR($A415="",$H415&lt;&gt;"Ausgabe",Q415=""),0,IF(Q415="x",-$E415/(COUNTIF($J415:$Q415,"x")+1),-$E415*N(Q415)))</f>
        <v/>
      </c>
    </row>
    <row r="416">
      <c r="A416" s="30" t="n"/>
      <c r="E416" s="31" t="n"/>
      <c r="J416" s="32" t="n"/>
      <c r="K416" s="32" t="n"/>
      <c r="L416" s="32" t="n"/>
      <c r="M416" s="32" t="n"/>
      <c r="N416" s="32" t="n"/>
      <c r="O416" s="32" t="n"/>
      <c r="P416" s="32" t="n"/>
      <c r="Q416" s="32" t="n"/>
      <c r="U416" s="31">
        <f>IF($A416="","",SUM(X416:AE416))</f>
        <v/>
      </c>
      <c r="V416" s="31">
        <f>IF($A416="","",IF($H416&lt;&gt;"Ausgabe",0,-$E416-$U416))</f>
        <v/>
      </c>
      <c r="W416" s="33">
        <f>IF($A416="","",DATE(YEAR($A416),MONTH($A416),1))</f>
        <v/>
      </c>
      <c r="X416" s="34">
        <f>IF(OR($A416="",$H416&lt;&gt;"Ausgabe",J416=""),0,IF(J416="x",-$E416/(COUNTIF($J416:$Q416,"x")+1),-$E416*N(J416)))</f>
        <v/>
      </c>
      <c r="Y416" s="34">
        <f>IF(OR($A416="",$H416&lt;&gt;"Ausgabe",K416=""),0,IF(K416="x",-$E416/(COUNTIF($J416:$Q416,"x")+1),-$E416*N(K416)))</f>
        <v/>
      </c>
      <c r="Z416" s="34">
        <f>IF(OR($A416="",$H416&lt;&gt;"Ausgabe",L416=""),0,IF(L416="x",-$E416/(COUNTIF($J416:$Q416,"x")+1),-$E416*N(L416)))</f>
        <v/>
      </c>
      <c r="AA416" s="34">
        <f>IF(OR($A416="",$H416&lt;&gt;"Ausgabe",M416=""),0,IF(M416="x",-$E416/(COUNTIF($J416:$Q416,"x")+1),-$E416*N(M416)))</f>
        <v/>
      </c>
      <c r="AB416" s="34">
        <f>IF(OR($A416="",$H416&lt;&gt;"Ausgabe",N416=""),0,IF(N416="x",-$E416/(COUNTIF($J416:$Q416,"x")+1),-$E416*N(N416)))</f>
        <v/>
      </c>
      <c r="AC416" s="34">
        <f>IF(OR($A416="",$H416&lt;&gt;"Ausgabe",O416=""),0,IF(O416="x",-$E416/(COUNTIF($J416:$Q416,"x")+1),-$E416*N(O416)))</f>
        <v/>
      </c>
      <c r="AD416" s="34">
        <f>IF(OR($A416="",$H416&lt;&gt;"Ausgabe",P416=""),0,IF(P416="x",-$E416/(COUNTIF($J416:$Q416,"x")+1),-$E416*N(P416)))</f>
        <v/>
      </c>
      <c r="AE416" s="34">
        <f>IF(OR($A416="",$H416&lt;&gt;"Ausgabe",Q416=""),0,IF(Q416="x",-$E416/(COUNTIF($J416:$Q416,"x")+1),-$E416*N(Q416)))</f>
        <v/>
      </c>
    </row>
    <row r="417">
      <c r="A417" s="30" t="n"/>
      <c r="E417" s="31" t="n"/>
      <c r="J417" s="32" t="n"/>
      <c r="K417" s="32" t="n"/>
      <c r="L417" s="32" t="n"/>
      <c r="M417" s="32" t="n"/>
      <c r="N417" s="32" t="n"/>
      <c r="O417" s="32" t="n"/>
      <c r="P417" s="32" t="n"/>
      <c r="Q417" s="32" t="n"/>
      <c r="U417" s="31">
        <f>IF($A417="","",SUM(X417:AE417))</f>
        <v/>
      </c>
      <c r="V417" s="31">
        <f>IF($A417="","",IF($H417&lt;&gt;"Ausgabe",0,-$E417-$U417))</f>
        <v/>
      </c>
      <c r="W417" s="33">
        <f>IF($A417="","",DATE(YEAR($A417),MONTH($A417),1))</f>
        <v/>
      </c>
      <c r="X417" s="34">
        <f>IF(OR($A417="",$H417&lt;&gt;"Ausgabe",J417=""),0,IF(J417="x",-$E417/(COUNTIF($J417:$Q417,"x")+1),-$E417*N(J417)))</f>
        <v/>
      </c>
      <c r="Y417" s="34">
        <f>IF(OR($A417="",$H417&lt;&gt;"Ausgabe",K417=""),0,IF(K417="x",-$E417/(COUNTIF($J417:$Q417,"x")+1),-$E417*N(K417)))</f>
        <v/>
      </c>
      <c r="Z417" s="34">
        <f>IF(OR($A417="",$H417&lt;&gt;"Ausgabe",L417=""),0,IF(L417="x",-$E417/(COUNTIF($J417:$Q417,"x")+1),-$E417*N(L417)))</f>
        <v/>
      </c>
      <c r="AA417" s="34">
        <f>IF(OR($A417="",$H417&lt;&gt;"Ausgabe",M417=""),0,IF(M417="x",-$E417/(COUNTIF($J417:$Q417,"x")+1),-$E417*N(M417)))</f>
        <v/>
      </c>
      <c r="AB417" s="34">
        <f>IF(OR($A417="",$H417&lt;&gt;"Ausgabe",N417=""),0,IF(N417="x",-$E417/(COUNTIF($J417:$Q417,"x")+1),-$E417*N(N417)))</f>
        <v/>
      </c>
      <c r="AC417" s="34">
        <f>IF(OR($A417="",$H417&lt;&gt;"Ausgabe",O417=""),0,IF(O417="x",-$E417/(COUNTIF($J417:$Q417,"x")+1),-$E417*N(O417)))</f>
        <v/>
      </c>
      <c r="AD417" s="34">
        <f>IF(OR($A417="",$H417&lt;&gt;"Ausgabe",P417=""),0,IF(P417="x",-$E417/(COUNTIF($J417:$Q417,"x")+1),-$E417*N(P417)))</f>
        <v/>
      </c>
      <c r="AE417" s="34">
        <f>IF(OR($A417="",$H417&lt;&gt;"Ausgabe",Q417=""),0,IF(Q417="x",-$E417/(COUNTIF($J417:$Q417,"x")+1),-$E417*N(Q417)))</f>
        <v/>
      </c>
    </row>
    <row r="418">
      <c r="A418" s="30" t="n"/>
      <c r="E418" s="31" t="n"/>
      <c r="J418" s="32" t="n"/>
      <c r="K418" s="32" t="n"/>
      <c r="L418" s="32" t="n"/>
      <c r="M418" s="32" t="n"/>
      <c r="N418" s="32" t="n"/>
      <c r="O418" s="32" t="n"/>
      <c r="P418" s="32" t="n"/>
      <c r="Q418" s="32" t="n"/>
      <c r="U418" s="31">
        <f>IF($A418="","",SUM(X418:AE418))</f>
        <v/>
      </c>
      <c r="V418" s="31">
        <f>IF($A418="","",IF($H418&lt;&gt;"Ausgabe",0,-$E418-$U418))</f>
        <v/>
      </c>
      <c r="W418" s="33">
        <f>IF($A418="","",DATE(YEAR($A418),MONTH($A418),1))</f>
        <v/>
      </c>
      <c r="X418" s="34">
        <f>IF(OR($A418="",$H418&lt;&gt;"Ausgabe",J418=""),0,IF(J418="x",-$E418/(COUNTIF($J418:$Q418,"x")+1),-$E418*N(J418)))</f>
        <v/>
      </c>
      <c r="Y418" s="34">
        <f>IF(OR($A418="",$H418&lt;&gt;"Ausgabe",K418=""),0,IF(K418="x",-$E418/(COUNTIF($J418:$Q418,"x")+1),-$E418*N(K418)))</f>
        <v/>
      </c>
      <c r="Z418" s="34">
        <f>IF(OR($A418="",$H418&lt;&gt;"Ausgabe",L418=""),0,IF(L418="x",-$E418/(COUNTIF($J418:$Q418,"x")+1),-$E418*N(L418)))</f>
        <v/>
      </c>
      <c r="AA418" s="34">
        <f>IF(OR($A418="",$H418&lt;&gt;"Ausgabe",M418=""),0,IF(M418="x",-$E418/(COUNTIF($J418:$Q418,"x")+1),-$E418*N(M418)))</f>
        <v/>
      </c>
      <c r="AB418" s="34">
        <f>IF(OR($A418="",$H418&lt;&gt;"Ausgabe",N418=""),0,IF(N418="x",-$E418/(COUNTIF($J418:$Q418,"x")+1),-$E418*N(N418)))</f>
        <v/>
      </c>
      <c r="AC418" s="34">
        <f>IF(OR($A418="",$H418&lt;&gt;"Ausgabe",O418=""),0,IF(O418="x",-$E418/(COUNTIF($J418:$Q418,"x")+1),-$E418*N(O418)))</f>
        <v/>
      </c>
      <c r="AD418" s="34">
        <f>IF(OR($A418="",$H418&lt;&gt;"Ausgabe",P418=""),0,IF(P418="x",-$E418/(COUNTIF($J418:$Q418,"x")+1),-$E418*N(P418)))</f>
        <v/>
      </c>
      <c r="AE418" s="34">
        <f>IF(OR($A418="",$H418&lt;&gt;"Ausgabe",Q418=""),0,IF(Q418="x",-$E418/(COUNTIF($J418:$Q418,"x")+1),-$E418*N(Q418)))</f>
        <v/>
      </c>
    </row>
    <row r="419">
      <c r="A419" s="30" t="n"/>
      <c r="E419" s="31" t="n"/>
      <c r="J419" s="32" t="n"/>
      <c r="K419" s="32" t="n"/>
      <c r="L419" s="32" t="n"/>
      <c r="M419" s="32" t="n"/>
      <c r="N419" s="32" t="n"/>
      <c r="O419" s="32" t="n"/>
      <c r="P419" s="32" t="n"/>
      <c r="Q419" s="32" t="n"/>
      <c r="U419" s="31">
        <f>IF($A419="","",SUM(X419:AE419))</f>
        <v/>
      </c>
      <c r="V419" s="31">
        <f>IF($A419="","",IF($H419&lt;&gt;"Ausgabe",0,-$E419-$U419))</f>
        <v/>
      </c>
      <c r="W419" s="33">
        <f>IF($A419="","",DATE(YEAR($A419),MONTH($A419),1))</f>
        <v/>
      </c>
      <c r="X419" s="34">
        <f>IF(OR($A419="",$H419&lt;&gt;"Ausgabe",J419=""),0,IF(J419="x",-$E419/(COUNTIF($J419:$Q419,"x")+1),-$E419*N(J419)))</f>
        <v/>
      </c>
      <c r="Y419" s="34">
        <f>IF(OR($A419="",$H419&lt;&gt;"Ausgabe",K419=""),0,IF(K419="x",-$E419/(COUNTIF($J419:$Q419,"x")+1),-$E419*N(K419)))</f>
        <v/>
      </c>
      <c r="Z419" s="34">
        <f>IF(OR($A419="",$H419&lt;&gt;"Ausgabe",L419=""),0,IF(L419="x",-$E419/(COUNTIF($J419:$Q419,"x")+1),-$E419*N(L419)))</f>
        <v/>
      </c>
      <c r="AA419" s="34">
        <f>IF(OR($A419="",$H419&lt;&gt;"Ausgabe",M419=""),0,IF(M419="x",-$E419/(COUNTIF($J419:$Q419,"x")+1),-$E419*N(M419)))</f>
        <v/>
      </c>
      <c r="AB419" s="34">
        <f>IF(OR($A419="",$H419&lt;&gt;"Ausgabe",N419=""),0,IF(N419="x",-$E419/(COUNTIF($J419:$Q419,"x")+1),-$E419*N(N419)))</f>
        <v/>
      </c>
      <c r="AC419" s="34">
        <f>IF(OR($A419="",$H419&lt;&gt;"Ausgabe",O419=""),0,IF(O419="x",-$E419/(COUNTIF($J419:$Q419,"x")+1),-$E419*N(O419)))</f>
        <v/>
      </c>
      <c r="AD419" s="34">
        <f>IF(OR($A419="",$H419&lt;&gt;"Ausgabe",P419=""),0,IF(P419="x",-$E419/(COUNTIF($J419:$Q419,"x")+1),-$E419*N(P419)))</f>
        <v/>
      </c>
      <c r="AE419" s="34">
        <f>IF(OR($A419="",$H419&lt;&gt;"Ausgabe",Q419=""),0,IF(Q419="x",-$E419/(COUNTIF($J419:$Q419,"x")+1),-$E419*N(Q419)))</f>
        <v/>
      </c>
    </row>
    <row r="420">
      <c r="A420" s="30" t="n"/>
      <c r="E420" s="31" t="n"/>
      <c r="J420" s="32" t="n"/>
      <c r="K420" s="32" t="n"/>
      <c r="L420" s="32" t="n"/>
      <c r="M420" s="32" t="n"/>
      <c r="N420" s="32" t="n"/>
      <c r="O420" s="32" t="n"/>
      <c r="P420" s="32" t="n"/>
      <c r="Q420" s="32" t="n"/>
      <c r="U420" s="31">
        <f>IF($A420="","",SUM(X420:AE420))</f>
        <v/>
      </c>
      <c r="V420" s="31">
        <f>IF($A420="","",IF($H420&lt;&gt;"Ausgabe",0,-$E420-$U420))</f>
        <v/>
      </c>
      <c r="W420" s="33">
        <f>IF($A420="","",DATE(YEAR($A420),MONTH($A420),1))</f>
        <v/>
      </c>
      <c r="X420" s="34">
        <f>IF(OR($A420="",$H420&lt;&gt;"Ausgabe",J420=""),0,IF(J420="x",-$E420/(COUNTIF($J420:$Q420,"x")+1),-$E420*N(J420)))</f>
        <v/>
      </c>
      <c r="Y420" s="34">
        <f>IF(OR($A420="",$H420&lt;&gt;"Ausgabe",K420=""),0,IF(K420="x",-$E420/(COUNTIF($J420:$Q420,"x")+1),-$E420*N(K420)))</f>
        <v/>
      </c>
      <c r="Z420" s="34">
        <f>IF(OR($A420="",$H420&lt;&gt;"Ausgabe",L420=""),0,IF(L420="x",-$E420/(COUNTIF($J420:$Q420,"x")+1),-$E420*N(L420)))</f>
        <v/>
      </c>
      <c r="AA420" s="34">
        <f>IF(OR($A420="",$H420&lt;&gt;"Ausgabe",M420=""),0,IF(M420="x",-$E420/(COUNTIF($J420:$Q420,"x")+1),-$E420*N(M420)))</f>
        <v/>
      </c>
      <c r="AB420" s="34">
        <f>IF(OR($A420="",$H420&lt;&gt;"Ausgabe",N420=""),0,IF(N420="x",-$E420/(COUNTIF($J420:$Q420,"x")+1),-$E420*N(N420)))</f>
        <v/>
      </c>
      <c r="AC420" s="34">
        <f>IF(OR($A420="",$H420&lt;&gt;"Ausgabe",O420=""),0,IF(O420="x",-$E420/(COUNTIF($J420:$Q420,"x")+1),-$E420*N(O420)))</f>
        <v/>
      </c>
      <c r="AD420" s="34">
        <f>IF(OR($A420="",$H420&lt;&gt;"Ausgabe",P420=""),0,IF(P420="x",-$E420/(COUNTIF($J420:$Q420,"x")+1),-$E420*N(P420)))</f>
        <v/>
      </c>
      <c r="AE420" s="34">
        <f>IF(OR($A420="",$H420&lt;&gt;"Ausgabe",Q420=""),0,IF(Q420="x",-$E420/(COUNTIF($J420:$Q420,"x")+1),-$E420*N(Q420)))</f>
        <v/>
      </c>
    </row>
    <row r="421">
      <c r="A421" s="30" t="n"/>
      <c r="E421" s="31" t="n"/>
      <c r="J421" s="32" t="n"/>
      <c r="K421" s="32" t="n"/>
      <c r="L421" s="32" t="n"/>
      <c r="M421" s="32" t="n"/>
      <c r="N421" s="32" t="n"/>
      <c r="O421" s="32" t="n"/>
      <c r="P421" s="32" t="n"/>
      <c r="Q421" s="32" t="n"/>
      <c r="U421" s="31">
        <f>IF($A421="","",SUM(X421:AE421))</f>
        <v/>
      </c>
      <c r="V421" s="31">
        <f>IF($A421="","",IF($H421&lt;&gt;"Ausgabe",0,-$E421-$U421))</f>
        <v/>
      </c>
      <c r="W421" s="33">
        <f>IF($A421="","",DATE(YEAR($A421),MONTH($A421),1))</f>
        <v/>
      </c>
      <c r="X421" s="34">
        <f>IF(OR($A421="",$H421&lt;&gt;"Ausgabe",J421=""),0,IF(J421="x",-$E421/(COUNTIF($J421:$Q421,"x")+1),-$E421*N(J421)))</f>
        <v/>
      </c>
      <c r="Y421" s="34">
        <f>IF(OR($A421="",$H421&lt;&gt;"Ausgabe",K421=""),0,IF(K421="x",-$E421/(COUNTIF($J421:$Q421,"x")+1),-$E421*N(K421)))</f>
        <v/>
      </c>
      <c r="Z421" s="34">
        <f>IF(OR($A421="",$H421&lt;&gt;"Ausgabe",L421=""),0,IF(L421="x",-$E421/(COUNTIF($J421:$Q421,"x")+1),-$E421*N(L421)))</f>
        <v/>
      </c>
      <c r="AA421" s="34">
        <f>IF(OR($A421="",$H421&lt;&gt;"Ausgabe",M421=""),0,IF(M421="x",-$E421/(COUNTIF($J421:$Q421,"x")+1),-$E421*N(M421)))</f>
        <v/>
      </c>
      <c r="AB421" s="34">
        <f>IF(OR($A421="",$H421&lt;&gt;"Ausgabe",N421=""),0,IF(N421="x",-$E421/(COUNTIF($J421:$Q421,"x")+1),-$E421*N(N421)))</f>
        <v/>
      </c>
      <c r="AC421" s="34">
        <f>IF(OR($A421="",$H421&lt;&gt;"Ausgabe",O421=""),0,IF(O421="x",-$E421/(COUNTIF($J421:$Q421,"x")+1),-$E421*N(O421)))</f>
        <v/>
      </c>
      <c r="AD421" s="34">
        <f>IF(OR($A421="",$H421&lt;&gt;"Ausgabe",P421=""),0,IF(P421="x",-$E421/(COUNTIF($J421:$Q421,"x")+1),-$E421*N(P421)))</f>
        <v/>
      </c>
      <c r="AE421" s="34">
        <f>IF(OR($A421="",$H421&lt;&gt;"Ausgabe",Q421=""),0,IF(Q421="x",-$E421/(COUNTIF($J421:$Q421,"x")+1),-$E421*N(Q421)))</f>
        <v/>
      </c>
    </row>
    <row r="422">
      <c r="A422" s="30" t="n"/>
      <c r="E422" s="31" t="n"/>
      <c r="J422" s="32" t="n"/>
      <c r="K422" s="32" t="n"/>
      <c r="L422" s="32" t="n"/>
      <c r="M422" s="32" t="n"/>
      <c r="N422" s="32" t="n"/>
      <c r="O422" s="32" t="n"/>
      <c r="P422" s="32" t="n"/>
      <c r="Q422" s="32" t="n"/>
      <c r="U422" s="31">
        <f>IF($A422="","",SUM(X422:AE422))</f>
        <v/>
      </c>
      <c r="V422" s="31">
        <f>IF($A422="","",IF($H422&lt;&gt;"Ausgabe",0,-$E422-$U422))</f>
        <v/>
      </c>
      <c r="W422" s="33">
        <f>IF($A422="","",DATE(YEAR($A422),MONTH($A422),1))</f>
        <v/>
      </c>
      <c r="X422" s="34">
        <f>IF(OR($A422="",$H422&lt;&gt;"Ausgabe",J422=""),0,IF(J422="x",-$E422/(COUNTIF($J422:$Q422,"x")+1),-$E422*N(J422)))</f>
        <v/>
      </c>
      <c r="Y422" s="34">
        <f>IF(OR($A422="",$H422&lt;&gt;"Ausgabe",K422=""),0,IF(K422="x",-$E422/(COUNTIF($J422:$Q422,"x")+1),-$E422*N(K422)))</f>
        <v/>
      </c>
      <c r="Z422" s="34">
        <f>IF(OR($A422="",$H422&lt;&gt;"Ausgabe",L422=""),0,IF(L422="x",-$E422/(COUNTIF($J422:$Q422,"x")+1),-$E422*N(L422)))</f>
        <v/>
      </c>
      <c r="AA422" s="34">
        <f>IF(OR($A422="",$H422&lt;&gt;"Ausgabe",M422=""),0,IF(M422="x",-$E422/(COUNTIF($J422:$Q422,"x")+1),-$E422*N(M422)))</f>
        <v/>
      </c>
      <c r="AB422" s="34">
        <f>IF(OR($A422="",$H422&lt;&gt;"Ausgabe",N422=""),0,IF(N422="x",-$E422/(COUNTIF($J422:$Q422,"x")+1),-$E422*N(N422)))</f>
        <v/>
      </c>
      <c r="AC422" s="34">
        <f>IF(OR($A422="",$H422&lt;&gt;"Ausgabe",O422=""),0,IF(O422="x",-$E422/(COUNTIF($J422:$Q422,"x")+1),-$E422*N(O422)))</f>
        <v/>
      </c>
      <c r="AD422" s="34">
        <f>IF(OR($A422="",$H422&lt;&gt;"Ausgabe",P422=""),0,IF(P422="x",-$E422/(COUNTIF($J422:$Q422,"x")+1),-$E422*N(P422)))</f>
        <v/>
      </c>
      <c r="AE422" s="34">
        <f>IF(OR($A422="",$H422&lt;&gt;"Ausgabe",Q422=""),0,IF(Q422="x",-$E422/(COUNTIF($J422:$Q422,"x")+1),-$E422*N(Q422)))</f>
        <v/>
      </c>
    </row>
    <row r="423">
      <c r="A423" s="30" t="n"/>
      <c r="E423" s="31" t="n"/>
      <c r="J423" s="32" t="n"/>
      <c r="K423" s="32" t="n"/>
      <c r="L423" s="32" t="n"/>
      <c r="M423" s="32" t="n"/>
      <c r="N423" s="32" t="n"/>
      <c r="O423" s="32" t="n"/>
      <c r="P423" s="32" t="n"/>
      <c r="Q423" s="32" t="n"/>
      <c r="U423" s="31">
        <f>IF($A423="","",SUM(X423:AE423))</f>
        <v/>
      </c>
      <c r="V423" s="31">
        <f>IF($A423="","",IF($H423&lt;&gt;"Ausgabe",0,-$E423-$U423))</f>
        <v/>
      </c>
      <c r="W423" s="33">
        <f>IF($A423="","",DATE(YEAR($A423),MONTH($A423),1))</f>
        <v/>
      </c>
      <c r="X423" s="34">
        <f>IF(OR($A423="",$H423&lt;&gt;"Ausgabe",J423=""),0,IF(J423="x",-$E423/(COUNTIF($J423:$Q423,"x")+1),-$E423*N(J423)))</f>
        <v/>
      </c>
      <c r="Y423" s="34">
        <f>IF(OR($A423="",$H423&lt;&gt;"Ausgabe",K423=""),0,IF(K423="x",-$E423/(COUNTIF($J423:$Q423,"x")+1),-$E423*N(K423)))</f>
        <v/>
      </c>
      <c r="Z423" s="34">
        <f>IF(OR($A423="",$H423&lt;&gt;"Ausgabe",L423=""),0,IF(L423="x",-$E423/(COUNTIF($J423:$Q423,"x")+1),-$E423*N(L423)))</f>
        <v/>
      </c>
      <c r="AA423" s="34">
        <f>IF(OR($A423="",$H423&lt;&gt;"Ausgabe",M423=""),0,IF(M423="x",-$E423/(COUNTIF($J423:$Q423,"x")+1),-$E423*N(M423)))</f>
        <v/>
      </c>
      <c r="AB423" s="34">
        <f>IF(OR($A423="",$H423&lt;&gt;"Ausgabe",N423=""),0,IF(N423="x",-$E423/(COUNTIF($J423:$Q423,"x")+1),-$E423*N(N423)))</f>
        <v/>
      </c>
      <c r="AC423" s="34">
        <f>IF(OR($A423="",$H423&lt;&gt;"Ausgabe",O423=""),0,IF(O423="x",-$E423/(COUNTIF($J423:$Q423,"x")+1),-$E423*N(O423)))</f>
        <v/>
      </c>
      <c r="AD423" s="34">
        <f>IF(OR($A423="",$H423&lt;&gt;"Ausgabe",P423=""),0,IF(P423="x",-$E423/(COUNTIF($J423:$Q423,"x")+1),-$E423*N(P423)))</f>
        <v/>
      </c>
      <c r="AE423" s="34">
        <f>IF(OR($A423="",$H423&lt;&gt;"Ausgabe",Q423=""),0,IF(Q423="x",-$E423/(COUNTIF($J423:$Q423,"x")+1),-$E423*N(Q423)))</f>
        <v/>
      </c>
    </row>
    <row r="424">
      <c r="A424" s="30" t="n"/>
      <c r="E424" s="31" t="n"/>
      <c r="J424" s="32" t="n"/>
      <c r="K424" s="32" t="n"/>
      <c r="L424" s="32" t="n"/>
      <c r="M424" s="32" t="n"/>
      <c r="N424" s="32" t="n"/>
      <c r="O424" s="32" t="n"/>
      <c r="P424" s="32" t="n"/>
      <c r="Q424" s="32" t="n"/>
      <c r="U424" s="31">
        <f>IF($A424="","",SUM(X424:AE424))</f>
        <v/>
      </c>
      <c r="V424" s="31">
        <f>IF($A424="","",IF($H424&lt;&gt;"Ausgabe",0,-$E424-$U424))</f>
        <v/>
      </c>
      <c r="W424" s="33">
        <f>IF($A424="","",DATE(YEAR($A424),MONTH($A424),1))</f>
        <v/>
      </c>
      <c r="X424" s="34">
        <f>IF(OR($A424="",$H424&lt;&gt;"Ausgabe",J424=""),0,IF(J424="x",-$E424/(COUNTIF($J424:$Q424,"x")+1),-$E424*N(J424)))</f>
        <v/>
      </c>
      <c r="Y424" s="34">
        <f>IF(OR($A424="",$H424&lt;&gt;"Ausgabe",K424=""),0,IF(K424="x",-$E424/(COUNTIF($J424:$Q424,"x")+1),-$E424*N(K424)))</f>
        <v/>
      </c>
      <c r="Z424" s="34">
        <f>IF(OR($A424="",$H424&lt;&gt;"Ausgabe",L424=""),0,IF(L424="x",-$E424/(COUNTIF($J424:$Q424,"x")+1),-$E424*N(L424)))</f>
        <v/>
      </c>
      <c r="AA424" s="34">
        <f>IF(OR($A424="",$H424&lt;&gt;"Ausgabe",M424=""),0,IF(M424="x",-$E424/(COUNTIF($J424:$Q424,"x")+1),-$E424*N(M424)))</f>
        <v/>
      </c>
      <c r="AB424" s="34">
        <f>IF(OR($A424="",$H424&lt;&gt;"Ausgabe",N424=""),0,IF(N424="x",-$E424/(COUNTIF($J424:$Q424,"x")+1),-$E424*N(N424)))</f>
        <v/>
      </c>
      <c r="AC424" s="34">
        <f>IF(OR($A424="",$H424&lt;&gt;"Ausgabe",O424=""),0,IF(O424="x",-$E424/(COUNTIF($J424:$Q424,"x")+1),-$E424*N(O424)))</f>
        <v/>
      </c>
      <c r="AD424" s="34">
        <f>IF(OR($A424="",$H424&lt;&gt;"Ausgabe",P424=""),0,IF(P424="x",-$E424/(COUNTIF($J424:$Q424,"x")+1),-$E424*N(P424)))</f>
        <v/>
      </c>
      <c r="AE424" s="34">
        <f>IF(OR($A424="",$H424&lt;&gt;"Ausgabe",Q424=""),0,IF(Q424="x",-$E424/(COUNTIF($J424:$Q424,"x")+1),-$E424*N(Q424)))</f>
        <v/>
      </c>
    </row>
    <row r="425">
      <c r="A425" s="30" t="n"/>
      <c r="E425" s="31" t="n"/>
      <c r="J425" s="32" t="n"/>
      <c r="K425" s="32" t="n"/>
      <c r="L425" s="32" t="n"/>
      <c r="M425" s="32" t="n"/>
      <c r="N425" s="32" t="n"/>
      <c r="O425" s="32" t="n"/>
      <c r="P425" s="32" t="n"/>
      <c r="Q425" s="32" t="n"/>
      <c r="U425" s="31">
        <f>IF($A425="","",SUM(X425:AE425))</f>
        <v/>
      </c>
      <c r="V425" s="31">
        <f>IF($A425="","",IF($H425&lt;&gt;"Ausgabe",0,-$E425-$U425))</f>
        <v/>
      </c>
      <c r="W425" s="33">
        <f>IF($A425="","",DATE(YEAR($A425),MONTH($A425),1))</f>
        <v/>
      </c>
      <c r="X425" s="34">
        <f>IF(OR($A425="",$H425&lt;&gt;"Ausgabe",J425=""),0,IF(J425="x",-$E425/(COUNTIF($J425:$Q425,"x")+1),-$E425*N(J425)))</f>
        <v/>
      </c>
      <c r="Y425" s="34">
        <f>IF(OR($A425="",$H425&lt;&gt;"Ausgabe",K425=""),0,IF(K425="x",-$E425/(COUNTIF($J425:$Q425,"x")+1),-$E425*N(K425)))</f>
        <v/>
      </c>
      <c r="Z425" s="34">
        <f>IF(OR($A425="",$H425&lt;&gt;"Ausgabe",L425=""),0,IF(L425="x",-$E425/(COUNTIF($J425:$Q425,"x")+1),-$E425*N(L425)))</f>
        <v/>
      </c>
      <c r="AA425" s="34">
        <f>IF(OR($A425="",$H425&lt;&gt;"Ausgabe",M425=""),0,IF(M425="x",-$E425/(COUNTIF($J425:$Q425,"x")+1),-$E425*N(M425)))</f>
        <v/>
      </c>
      <c r="AB425" s="34">
        <f>IF(OR($A425="",$H425&lt;&gt;"Ausgabe",N425=""),0,IF(N425="x",-$E425/(COUNTIF($J425:$Q425,"x")+1),-$E425*N(N425)))</f>
        <v/>
      </c>
      <c r="AC425" s="34">
        <f>IF(OR($A425="",$H425&lt;&gt;"Ausgabe",O425=""),0,IF(O425="x",-$E425/(COUNTIF($J425:$Q425,"x")+1),-$E425*N(O425)))</f>
        <v/>
      </c>
      <c r="AD425" s="34">
        <f>IF(OR($A425="",$H425&lt;&gt;"Ausgabe",P425=""),0,IF(P425="x",-$E425/(COUNTIF($J425:$Q425,"x")+1),-$E425*N(P425)))</f>
        <v/>
      </c>
      <c r="AE425" s="34">
        <f>IF(OR($A425="",$H425&lt;&gt;"Ausgabe",Q425=""),0,IF(Q425="x",-$E425/(COUNTIF($J425:$Q425,"x")+1),-$E425*N(Q425)))</f>
        <v/>
      </c>
    </row>
    <row r="426">
      <c r="A426" s="30" t="n"/>
      <c r="E426" s="31" t="n"/>
      <c r="J426" s="32" t="n"/>
      <c r="K426" s="32" t="n"/>
      <c r="L426" s="32" t="n"/>
      <c r="M426" s="32" t="n"/>
      <c r="N426" s="32" t="n"/>
      <c r="O426" s="32" t="n"/>
      <c r="P426" s="32" t="n"/>
      <c r="Q426" s="32" t="n"/>
      <c r="U426" s="31">
        <f>IF($A426="","",SUM(X426:AE426))</f>
        <v/>
      </c>
      <c r="V426" s="31">
        <f>IF($A426="","",IF($H426&lt;&gt;"Ausgabe",0,-$E426-$U426))</f>
        <v/>
      </c>
      <c r="W426" s="33">
        <f>IF($A426="","",DATE(YEAR($A426),MONTH($A426),1))</f>
        <v/>
      </c>
      <c r="X426" s="34">
        <f>IF(OR($A426="",$H426&lt;&gt;"Ausgabe",J426=""),0,IF(J426="x",-$E426/(COUNTIF($J426:$Q426,"x")+1),-$E426*N(J426)))</f>
        <v/>
      </c>
      <c r="Y426" s="34">
        <f>IF(OR($A426="",$H426&lt;&gt;"Ausgabe",K426=""),0,IF(K426="x",-$E426/(COUNTIF($J426:$Q426,"x")+1),-$E426*N(K426)))</f>
        <v/>
      </c>
      <c r="Z426" s="34">
        <f>IF(OR($A426="",$H426&lt;&gt;"Ausgabe",L426=""),0,IF(L426="x",-$E426/(COUNTIF($J426:$Q426,"x")+1),-$E426*N(L426)))</f>
        <v/>
      </c>
      <c r="AA426" s="34">
        <f>IF(OR($A426="",$H426&lt;&gt;"Ausgabe",M426=""),0,IF(M426="x",-$E426/(COUNTIF($J426:$Q426,"x")+1),-$E426*N(M426)))</f>
        <v/>
      </c>
      <c r="AB426" s="34">
        <f>IF(OR($A426="",$H426&lt;&gt;"Ausgabe",N426=""),0,IF(N426="x",-$E426/(COUNTIF($J426:$Q426,"x")+1),-$E426*N(N426)))</f>
        <v/>
      </c>
      <c r="AC426" s="34">
        <f>IF(OR($A426="",$H426&lt;&gt;"Ausgabe",O426=""),0,IF(O426="x",-$E426/(COUNTIF($J426:$Q426,"x")+1),-$E426*N(O426)))</f>
        <v/>
      </c>
      <c r="AD426" s="34">
        <f>IF(OR($A426="",$H426&lt;&gt;"Ausgabe",P426=""),0,IF(P426="x",-$E426/(COUNTIF($J426:$Q426,"x")+1),-$E426*N(P426)))</f>
        <v/>
      </c>
      <c r="AE426" s="34">
        <f>IF(OR($A426="",$H426&lt;&gt;"Ausgabe",Q426=""),0,IF(Q426="x",-$E426/(COUNTIF($J426:$Q426,"x")+1),-$E426*N(Q426)))</f>
        <v/>
      </c>
    </row>
    <row r="427">
      <c r="A427" s="30" t="n"/>
      <c r="E427" s="31" t="n"/>
      <c r="J427" s="32" t="n"/>
      <c r="K427" s="32" t="n"/>
      <c r="L427" s="32" t="n"/>
      <c r="M427" s="32" t="n"/>
      <c r="N427" s="32" t="n"/>
      <c r="O427" s="32" t="n"/>
      <c r="P427" s="32" t="n"/>
      <c r="Q427" s="32" t="n"/>
      <c r="U427" s="31">
        <f>IF($A427="","",SUM(X427:AE427))</f>
        <v/>
      </c>
      <c r="V427" s="31">
        <f>IF($A427="","",IF($H427&lt;&gt;"Ausgabe",0,-$E427-$U427))</f>
        <v/>
      </c>
      <c r="W427" s="33">
        <f>IF($A427="","",DATE(YEAR($A427),MONTH($A427),1))</f>
        <v/>
      </c>
      <c r="X427" s="34">
        <f>IF(OR($A427="",$H427&lt;&gt;"Ausgabe",J427=""),0,IF(J427="x",-$E427/(COUNTIF($J427:$Q427,"x")+1),-$E427*N(J427)))</f>
        <v/>
      </c>
      <c r="Y427" s="34">
        <f>IF(OR($A427="",$H427&lt;&gt;"Ausgabe",K427=""),0,IF(K427="x",-$E427/(COUNTIF($J427:$Q427,"x")+1),-$E427*N(K427)))</f>
        <v/>
      </c>
      <c r="Z427" s="34">
        <f>IF(OR($A427="",$H427&lt;&gt;"Ausgabe",L427=""),0,IF(L427="x",-$E427/(COUNTIF($J427:$Q427,"x")+1),-$E427*N(L427)))</f>
        <v/>
      </c>
      <c r="AA427" s="34">
        <f>IF(OR($A427="",$H427&lt;&gt;"Ausgabe",M427=""),0,IF(M427="x",-$E427/(COUNTIF($J427:$Q427,"x")+1),-$E427*N(M427)))</f>
        <v/>
      </c>
      <c r="AB427" s="34">
        <f>IF(OR($A427="",$H427&lt;&gt;"Ausgabe",N427=""),0,IF(N427="x",-$E427/(COUNTIF($J427:$Q427,"x")+1),-$E427*N(N427)))</f>
        <v/>
      </c>
      <c r="AC427" s="34">
        <f>IF(OR($A427="",$H427&lt;&gt;"Ausgabe",O427=""),0,IF(O427="x",-$E427/(COUNTIF($J427:$Q427,"x")+1),-$E427*N(O427)))</f>
        <v/>
      </c>
      <c r="AD427" s="34">
        <f>IF(OR($A427="",$H427&lt;&gt;"Ausgabe",P427=""),0,IF(P427="x",-$E427/(COUNTIF($J427:$Q427,"x")+1),-$E427*N(P427)))</f>
        <v/>
      </c>
      <c r="AE427" s="34">
        <f>IF(OR($A427="",$H427&lt;&gt;"Ausgabe",Q427=""),0,IF(Q427="x",-$E427/(COUNTIF($J427:$Q427,"x")+1),-$E427*N(Q427)))</f>
        <v/>
      </c>
    </row>
    <row r="428">
      <c r="A428" s="30" t="n"/>
      <c r="E428" s="31" t="n"/>
      <c r="J428" s="32" t="n"/>
      <c r="K428" s="32" t="n"/>
      <c r="L428" s="32" t="n"/>
      <c r="M428" s="32" t="n"/>
      <c r="N428" s="32" t="n"/>
      <c r="O428" s="32" t="n"/>
      <c r="P428" s="32" t="n"/>
      <c r="Q428" s="32" t="n"/>
      <c r="U428" s="31">
        <f>IF($A428="","",SUM(X428:AE428))</f>
        <v/>
      </c>
      <c r="V428" s="31">
        <f>IF($A428="","",IF($H428&lt;&gt;"Ausgabe",0,-$E428-$U428))</f>
        <v/>
      </c>
      <c r="W428" s="33">
        <f>IF($A428="","",DATE(YEAR($A428),MONTH($A428),1))</f>
        <v/>
      </c>
      <c r="X428" s="34">
        <f>IF(OR($A428="",$H428&lt;&gt;"Ausgabe",J428=""),0,IF(J428="x",-$E428/(COUNTIF($J428:$Q428,"x")+1),-$E428*N(J428)))</f>
        <v/>
      </c>
      <c r="Y428" s="34">
        <f>IF(OR($A428="",$H428&lt;&gt;"Ausgabe",K428=""),0,IF(K428="x",-$E428/(COUNTIF($J428:$Q428,"x")+1),-$E428*N(K428)))</f>
        <v/>
      </c>
      <c r="Z428" s="34">
        <f>IF(OR($A428="",$H428&lt;&gt;"Ausgabe",L428=""),0,IF(L428="x",-$E428/(COUNTIF($J428:$Q428,"x")+1),-$E428*N(L428)))</f>
        <v/>
      </c>
      <c r="AA428" s="34">
        <f>IF(OR($A428="",$H428&lt;&gt;"Ausgabe",M428=""),0,IF(M428="x",-$E428/(COUNTIF($J428:$Q428,"x")+1),-$E428*N(M428)))</f>
        <v/>
      </c>
      <c r="AB428" s="34">
        <f>IF(OR($A428="",$H428&lt;&gt;"Ausgabe",N428=""),0,IF(N428="x",-$E428/(COUNTIF($J428:$Q428,"x")+1),-$E428*N(N428)))</f>
        <v/>
      </c>
      <c r="AC428" s="34">
        <f>IF(OR($A428="",$H428&lt;&gt;"Ausgabe",O428=""),0,IF(O428="x",-$E428/(COUNTIF($J428:$Q428,"x")+1),-$E428*N(O428)))</f>
        <v/>
      </c>
      <c r="AD428" s="34">
        <f>IF(OR($A428="",$H428&lt;&gt;"Ausgabe",P428=""),0,IF(P428="x",-$E428/(COUNTIF($J428:$Q428,"x")+1),-$E428*N(P428)))</f>
        <v/>
      </c>
      <c r="AE428" s="34">
        <f>IF(OR($A428="",$H428&lt;&gt;"Ausgabe",Q428=""),0,IF(Q428="x",-$E428/(COUNTIF($J428:$Q428,"x")+1),-$E428*N(Q428)))</f>
        <v/>
      </c>
    </row>
    <row r="429">
      <c r="A429" s="30" t="n"/>
      <c r="E429" s="31" t="n"/>
      <c r="J429" s="32" t="n"/>
      <c r="K429" s="32" t="n"/>
      <c r="L429" s="32" t="n"/>
      <c r="M429" s="32" t="n"/>
      <c r="N429" s="32" t="n"/>
      <c r="O429" s="32" t="n"/>
      <c r="P429" s="32" t="n"/>
      <c r="Q429" s="32" t="n"/>
      <c r="U429" s="31">
        <f>IF($A429="","",SUM(X429:AE429))</f>
        <v/>
      </c>
      <c r="V429" s="31">
        <f>IF($A429="","",IF($H429&lt;&gt;"Ausgabe",0,-$E429-$U429))</f>
        <v/>
      </c>
      <c r="W429" s="33">
        <f>IF($A429="","",DATE(YEAR($A429),MONTH($A429),1))</f>
        <v/>
      </c>
      <c r="X429" s="34">
        <f>IF(OR($A429="",$H429&lt;&gt;"Ausgabe",J429=""),0,IF(J429="x",-$E429/(COUNTIF($J429:$Q429,"x")+1),-$E429*N(J429)))</f>
        <v/>
      </c>
      <c r="Y429" s="34">
        <f>IF(OR($A429="",$H429&lt;&gt;"Ausgabe",K429=""),0,IF(K429="x",-$E429/(COUNTIF($J429:$Q429,"x")+1),-$E429*N(K429)))</f>
        <v/>
      </c>
      <c r="Z429" s="34">
        <f>IF(OR($A429="",$H429&lt;&gt;"Ausgabe",L429=""),0,IF(L429="x",-$E429/(COUNTIF($J429:$Q429,"x")+1),-$E429*N(L429)))</f>
        <v/>
      </c>
      <c r="AA429" s="34">
        <f>IF(OR($A429="",$H429&lt;&gt;"Ausgabe",M429=""),0,IF(M429="x",-$E429/(COUNTIF($J429:$Q429,"x")+1),-$E429*N(M429)))</f>
        <v/>
      </c>
      <c r="AB429" s="34">
        <f>IF(OR($A429="",$H429&lt;&gt;"Ausgabe",N429=""),0,IF(N429="x",-$E429/(COUNTIF($J429:$Q429,"x")+1),-$E429*N(N429)))</f>
        <v/>
      </c>
      <c r="AC429" s="34">
        <f>IF(OR($A429="",$H429&lt;&gt;"Ausgabe",O429=""),0,IF(O429="x",-$E429/(COUNTIF($J429:$Q429,"x")+1),-$E429*N(O429)))</f>
        <v/>
      </c>
      <c r="AD429" s="34">
        <f>IF(OR($A429="",$H429&lt;&gt;"Ausgabe",P429=""),0,IF(P429="x",-$E429/(COUNTIF($J429:$Q429,"x")+1),-$E429*N(P429)))</f>
        <v/>
      </c>
      <c r="AE429" s="34">
        <f>IF(OR($A429="",$H429&lt;&gt;"Ausgabe",Q429=""),0,IF(Q429="x",-$E429/(COUNTIF($J429:$Q429,"x")+1),-$E429*N(Q429)))</f>
        <v/>
      </c>
    </row>
    <row r="430">
      <c r="A430" s="30" t="n"/>
      <c r="E430" s="31" t="n"/>
      <c r="J430" s="32" t="n"/>
      <c r="K430" s="32" t="n"/>
      <c r="L430" s="32" t="n"/>
      <c r="M430" s="32" t="n"/>
      <c r="N430" s="32" t="n"/>
      <c r="O430" s="32" t="n"/>
      <c r="P430" s="32" t="n"/>
      <c r="Q430" s="32" t="n"/>
      <c r="U430" s="31">
        <f>IF($A430="","",SUM(X430:AE430))</f>
        <v/>
      </c>
      <c r="V430" s="31">
        <f>IF($A430="","",IF($H430&lt;&gt;"Ausgabe",0,-$E430-$U430))</f>
        <v/>
      </c>
      <c r="W430" s="33">
        <f>IF($A430="","",DATE(YEAR($A430),MONTH($A430),1))</f>
        <v/>
      </c>
      <c r="X430" s="34">
        <f>IF(OR($A430="",$H430&lt;&gt;"Ausgabe",J430=""),0,IF(J430="x",-$E430/(COUNTIF($J430:$Q430,"x")+1),-$E430*N(J430)))</f>
        <v/>
      </c>
      <c r="Y430" s="34">
        <f>IF(OR($A430="",$H430&lt;&gt;"Ausgabe",K430=""),0,IF(K430="x",-$E430/(COUNTIF($J430:$Q430,"x")+1),-$E430*N(K430)))</f>
        <v/>
      </c>
      <c r="Z430" s="34">
        <f>IF(OR($A430="",$H430&lt;&gt;"Ausgabe",L430=""),0,IF(L430="x",-$E430/(COUNTIF($J430:$Q430,"x")+1),-$E430*N(L430)))</f>
        <v/>
      </c>
      <c r="AA430" s="34">
        <f>IF(OR($A430="",$H430&lt;&gt;"Ausgabe",M430=""),0,IF(M430="x",-$E430/(COUNTIF($J430:$Q430,"x")+1),-$E430*N(M430)))</f>
        <v/>
      </c>
      <c r="AB430" s="34">
        <f>IF(OR($A430="",$H430&lt;&gt;"Ausgabe",N430=""),0,IF(N430="x",-$E430/(COUNTIF($J430:$Q430,"x")+1),-$E430*N(N430)))</f>
        <v/>
      </c>
      <c r="AC430" s="34">
        <f>IF(OR($A430="",$H430&lt;&gt;"Ausgabe",O430=""),0,IF(O430="x",-$E430/(COUNTIF($J430:$Q430,"x")+1),-$E430*N(O430)))</f>
        <v/>
      </c>
      <c r="AD430" s="34">
        <f>IF(OR($A430="",$H430&lt;&gt;"Ausgabe",P430=""),0,IF(P430="x",-$E430/(COUNTIF($J430:$Q430,"x")+1),-$E430*N(P430)))</f>
        <v/>
      </c>
      <c r="AE430" s="34">
        <f>IF(OR($A430="",$H430&lt;&gt;"Ausgabe",Q430=""),0,IF(Q430="x",-$E430/(COUNTIF($J430:$Q430,"x")+1),-$E430*N(Q430)))</f>
        <v/>
      </c>
    </row>
    <row r="431">
      <c r="A431" s="30" t="n"/>
      <c r="E431" s="31" t="n"/>
      <c r="J431" s="32" t="n"/>
      <c r="K431" s="32" t="n"/>
      <c r="L431" s="32" t="n"/>
      <c r="M431" s="32" t="n"/>
      <c r="N431" s="32" t="n"/>
      <c r="O431" s="32" t="n"/>
      <c r="P431" s="32" t="n"/>
      <c r="Q431" s="32" t="n"/>
      <c r="U431" s="31">
        <f>IF($A431="","",SUM(X431:AE431))</f>
        <v/>
      </c>
      <c r="V431" s="31">
        <f>IF($A431="","",IF($H431&lt;&gt;"Ausgabe",0,-$E431-$U431))</f>
        <v/>
      </c>
      <c r="W431" s="33">
        <f>IF($A431="","",DATE(YEAR($A431),MONTH($A431),1))</f>
        <v/>
      </c>
      <c r="X431" s="34">
        <f>IF(OR($A431="",$H431&lt;&gt;"Ausgabe",J431=""),0,IF(J431="x",-$E431/(COUNTIF($J431:$Q431,"x")+1),-$E431*N(J431)))</f>
        <v/>
      </c>
      <c r="Y431" s="34">
        <f>IF(OR($A431="",$H431&lt;&gt;"Ausgabe",K431=""),0,IF(K431="x",-$E431/(COUNTIF($J431:$Q431,"x")+1),-$E431*N(K431)))</f>
        <v/>
      </c>
      <c r="Z431" s="34">
        <f>IF(OR($A431="",$H431&lt;&gt;"Ausgabe",L431=""),0,IF(L431="x",-$E431/(COUNTIF($J431:$Q431,"x")+1),-$E431*N(L431)))</f>
        <v/>
      </c>
      <c r="AA431" s="34">
        <f>IF(OR($A431="",$H431&lt;&gt;"Ausgabe",M431=""),0,IF(M431="x",-$E431/(COUNTIF($J431:$Q431,"x")+1),-$E431*N(M431)))</f>
        <v/>
      </c>
      <c r="AB431" s="34">
        <f>IF(OR($A431="",$H431&lt;&gt;"Ausgabe",N431=""),0,IF(N431="x",-$E431/(COUNTIF($J431:$Q431,"x")+1),-$E431*N(N431)))</f>
        <v/>
      </c>
      <c r="AC431" s="34">
        <f>IF(OR($A431="",$H431&lt;&gt;"Ausgabe",O431=""),0,IF(O431="x",-$E431/(COUNTIF($J431:$Q431,"x")+1),-$E431*N(O431)))</f>
        <v/>
      </c>
      <c r="AD431" s="34">
        <f>IF(OR($A431="",$H431&lt;&gt;"Ausgabe",P431=""),0,IF(P431="x",-$E431/(COUNTIF($J431:$Q431,"x")+1),-$E431*N(P431)))</f>
        <v/>
      </c>
      <c r="AE431" s="34">
        <f>IF(OR($A431="",$H431&lt;&gt;"Ausgabe",Q431=""),0,IF(Q431="x",-$E431/(COUNTIF($J431:$Q431,"x")+1),-$E431*N(Q431)))</f>
        <v/>
      </c>
    </row>
    <row r="432">
      <c r="A432" s="30" t="n"/>
      <c r="E432" s="31" t="n"/>
      <c r="J432" s="32" t="n"/>
      <c r="K432" s="32" t="n"/>
      <c r="L432" s="32" t="n"/>
      <c r="M432" s="32" t="n"/>
      <c r="N432" s="32" t="n"/>
      <c r="O432" s="32" t="n"/>
      <c r="P432" s="32" t="n"/>
      <c r="Q432" s="32" t="n"/>
      <c r="U432" s="31">
        <f>IF($A432="","",SUM(X432:AE432))</f>
        <v/>
      </c>
      <c r="V432" s="31">
        <f>IF($A432="","",IF($H432&lt;&gt;"Ausgabe",0,-$E432-$U432))</f>
        <v/>
      </c>
      <c r="W432" s="33">
        <f>IF($A432="","",DATE(YEAR($A432),MONTH($A432),1))</f>
        <v/>
      </c>
      <c r="X432" s="34">
        <f>IF(OR($A432="",$H432&lt;&gt;"Ausgabe",J432=""),0,IF(J432="x",-$E432/(COUNTIF($J432:$Q432,"x")+1),-$E432*N(J432)))</f>
        <v/>
      </c>
      <c r="Y432" s="34">
        <f>IF(OR($A432="",$H432&lt;&gt;"Ausgabe",K432=""),0,IF(K432="x",-$E432/(COUNTIF($J432:$Q432,"x")+1),-$E432*N(K432)))</f>
        <v/>
      </c>
      <c r="Z432" s="34">
        <f>IF(OR($A432="",$H432&lt;&gt;"Ausgabe",L432=""),0,IF(L432="x",-$E432/(COUNTIF($J432:$Q432,"x")+1),-$E432*N(L432)))</f>
        <v/>
      </c>
      <c r="AA432" s="34">
        <f>IF(OR($A432="",$H432&lt;&gt;"Ausgabe",M432=""),0,IF(M432="x",-$E432/(COUNTIF($J432:$Q432,"x")+1),-$E432*N(M432)))</f>
        <v/>
      </c>
      <c r="AB432" s="34">
        <f>IF(OR($A432="",$H432&lt;&gt;"Ausgabe",N432=""),0,IF(N432="x",-$E432/(COUNTIF($J432:$Q432,"x")+1),-$E432*N(N432)))</f>
        <v/>
      </c>
      <c r="AC432" s="34">
        <f>IF(OR($A432="",$H432&lt;&gt;"Ausgabe",O432=""),0,IF(O432="x",-$E432/(COUNTIF($J432:$Q432,"x")+1),-$E432*N(O432)))</f>
        <v/>
      </c>
      <c r="AD432" s="34">
        <f>IF(OR($A432="",$H432&lt;&gt;"Ausgabe",P432=""),0,IF(P432="x",-$E432/(COUNTIF($J432:$Q432,"x")+1),-$E432*N(P432)))</f>
        <v/>
      </c>
      <c r="AE432" s="34">
        <f>IF(OR($A432="",$H432&lt;&gt;"Ausgabe",Q432=""),0,IF(Q432="x",-$E432/(COUNTIF($J432:$Q432,"x")+1),-$E432*N(Q432)))</f>
        <v/>
      </c>
    </row>
    <row r="433">
      <c r="A433" s="30" t="n"/>
      <c r="E433" s="31" t="n"/>
      <c r="J433" s="32" t="n"/>
      <c r="K433" s="32" t="n"/>
      <c r="L433" s="32" t="n"/>
      <c r="M433" s="32" t="n"/>
      <c r="N433" s="32" t="n"/>
      <c r="O433" s="32" t="n"/>
      <c r="P433" s="32" t="n"/>
      <c r="Q433" s="32" t="n"/>
      <c r="U433" s="31">
        <f>IF($A433="","",SUM(X433:AE433))</f>
        <v/>
      </c>
      <c r="V433" s="31">
        <f>IF($A433="","",IF($H433&lt;&gt;"Ausgabe",0,-$E433-$U433))</f>
        <v/>
      </c>
      <c r="W433" s="33">
        <f>IF($A433="","",DATE(YEAR($A433),MONTH($A433),1))</f>
        <v/>
      </c>
      <c r="X433" s="34">
        <f>IF(OR($A433="",$H433&lt;&gt;"Ausgabe",J433=""),0,IF(J433="x",-$E433/(COUNTIF($J433:$Q433,"x")+1),-$E433*N(J433)))</f>
        <v/>
      </c>
      <c r="Y433" s="34">
        <f>IF(OR($A433="",$H433&lt;&gt;"Ausgabe",K433=""),0,IF(K433="x",-$E433/(COUNTIF($J433:$Q433,"x")+1),-$E433*N(K433)))</f>
        <v/>
      </c>
      <c r="Z433" s="34">
        <f>IF(OR($A433="",$H433&lt;&gt;"Ausgabe",L433=""),0,IF(L433="x",-$E433/(COUNTIF($J433:$Q433,"x")+1),-$E433*N(L433)))</f>
        <v/>
      </c>
      <c r="AA433" s="34">
        <f>IF(OR($A433="",$H433&lt;&gt;"Ausgabe",M433=""),0,IF(M433="x",-$E433/(COUNTIF($J433:$Q433,"x")+1),-$E433*N(M433)))</f>
        <v/>
      </c>
      <c r="AB433" s="34">
        <f>IF(OR($A433="",$H433&lt;&gt;"Ausgabe",N433=""),0,IF(N433="x",-$E433/(COUNTIF($J433:$Q433,"x")+1),-$E433*N(N433)))</f>
        <v/>
      </c>
      <c r="AC433" s="34">
        <f>IF(OR($A433="",$H433&lt;&gt;"Ausgabe",O433=""),0,IF(O433="x",-$E433/(COUNTIF($J433:$Q433,"x")+1),-$E433*N(O433)))</f>
        <v/>
      </c>
      <c r="AD433" s="34">
        <f>IF(OR($A433="",$H433&lt;&gt;"Ausgabe",P433=""),0,IF(P433="x",-$E433/(COUNTIF($J433:$Q433,"x")+1),-$E433*N(P433)))</f>
        <v/>
      </c>
      <c r="AE433" s="34">
        <f>IF(OR($A433="",$H433&lt;&gt;"Ausgabe",Q433=""),0,IF(Q433="x",-$E433/(COUNTIF($J433:$Q433,"x")+1),-$E433*N(Q433)))</f>
        <v/>
      </c>
    </row>
    <row r="434">
      <c r="A434" s="30" t="n"/>
      <c r="E434" s="31" t="n"/>
      <c r="J434" s="32" t="n"/>
      <c r="K434" s="32" t="n"/>
      <c r="L434" s="32" t="n"/>
      <c r="M434" s="32" t="n"/>
      <c r="N434" s="32" t="n"/>
      <c r="O434" s="32" t="n"/>
      <c r="P434" s="32" t="n"/>
      <c r="Q434" s="32" t="n"/>
      <c r="U434" s="31">
        <f>IF($A434="","",SUM(X434:AE434))</f>
        <v/>
      </c>
      <c r="V434" s="31">
        <f>IF($A434="","",IF($H434&lt;&gt;"Ausgabe",0,-$E434-$U434))</f>
        <v/>
      </c>
      <c r="W434" s="33">
        <f>IF($A434="","",DATE(YEAR($A434),MONTH($A434),1))</f>
        <v/>
      </c>
      <c r="X434" s="34">
        <f>IF(OR($A434="",$H434&lt;&gt;"Ausgabe",J434=""),0,IF(J434="x",-$E434/(COUNTIF($J434:$Q434,"x")+1),-$E434*N(J434)))</f>
        <v/>
      </c>
      <c r="Y434" s="34">
        <f>IF(OR($A434="",$H434&lt;&gt;"Ausgabe",K434=""),0,IF(K434="x",-$E434/(COUNTIF($J434:$Q434,"x")+1),-$E434*N(K434)))</f>
        <v/>
      </c>
      <c r="Z434" s="34">
        <f>IF(OR($A434="",$H434&lt;&gt;"Ausgabe",L434=""),0,IF(L434="x",-$E434/(COUNTIF($J434:$Q434,"x")+1),-$E434*N(L434)))</f>
        <v/>
      </c>
      <c r="AA434" s="34">
        <f>IF(OR($A434="",$H434&lt;&gt;"Ausgabe",M434=""),0,IF(M434="x",-$E434/(COUNTIF($J434:$Q434,"x")+1),-$E434*N(M434)))</f>
        <v/>
      </c>
      <c r="AB434" s="34">
        <f>IF(OR($A434="",$H434&lt;&gt;"Ausgabe",N434=""),0,IF(N434="x",-$E434/(COUNTIF($J434:$Q434,"x")+1),-$E434*N(N434)))</f>
        <v/>
      </c>
      <c r="AC434" s="34">
        <f>IF(OR($A434="",$H434&lt;&gt;"Ausgabe",O434=""),0,IF(O434="x",-$E434/(COUNTIF($J434:$Q434,"x")+1),-$E434*N(O434)))</f>
        <v/>
      </c>
      <c r="AD434" s="34">
        <f>IF(OR($A434="",$H434&lt;&gt;"Ausgabe",P434=""),0,IF(P434="x",-$E434/(COUNTIF($J434:$Q434,"x")+1),-$E434*N(P434)))</f>
        <v/>
      </c>
      <c r="AE434" s="34">
        <f>IF(OR($A434="",$H434&lt;&gt;"Ausgabe",Q434=""),0,IF(Q434="x",-$E434/(COUNTIF($J434:$Q434,"x")+1),-$E434*N(Q434)))</f>
        <v/>
      </c>
    </row>
    <row r="435">
      <c r="A435" s="30" t="n"/>
      <c r="E435" s="31" t="n"/>
      <c r="J435" s="32" t="n"/>
      <c r="K435" s="32" t="n"/>
      <c r="L435" s="32" t="n"/>
      <c r="M435" s="32" t="n"/>
      <c r="N435" s="32" t="n"/>
      <c r="O435" s="32" t="n"/>
      <c r="P435" s="32" t="n"/>
      <c r="Q435" s="32" t="n"/>
      <c r="U435" s="31">
        <f>IF($A435="","",SUM(X435:AE435))</f>
        <v/>
      </c>
      <c r="V435" s="31">
        <f>IF($A435="","",IF($H435&lt;&gt;"Ausgabe",0,-$E435-$U435))</f>
        <v/>
      </c>
      <c r="W435" s="33">
        <f>IF($A435="","",DATE(YEAR($A435),MONTH($A435),1))</f>
        <v/>
      </c>
      <c r="X435" s="34">
        <f>IF(OR($A435="",$H435&lt;&gt;"Ausgabe",J435=""),0,IF(J435="x",-$E435/(COUNTIF($J435:$Q435,"x")+1),-$E435*N(J435)))</f>
        <v/>
      </c>
      <c r="Y435" s="34">
        <f>IF(OR($A435="",$H435&lt;&gt;"Ausgabe",K435=""),0,IF(K435="x",-$E435/(COUNTIF($J435:$Q435,"x")+1),-$E435*N(K435)))</f>
        <v/>
      </c>
      <c r="Z435" s="34">
        <f>IF(OR($A435="",$H435&lt;&gt;"Ausgabe",L435=""),0,IF(L435="x",-$E435/(COUNTIF($J435:$Q435,"x")+1),-$E435*N(L435)))</f>
        <v/>
      </c>
      <c r="AA435" s="34">
        <f>IF(OR($A435="",$H435&lt;&gt;"Ausgabe",M435=""),0,IF(M435="x",-$E435/(COUNTIF($J435:$Q435,"x")+1),-$E435*N(M435)))</f>
        <v/>
      </c>
      <c r="AB435" s="34">
        <f>IF(OR($A435="",$H435&lt;&gt;"Ausgabe",N435=""),0,IF(N435="x",-$E435/(COUNTIF($J435:$Q435,"x")+1),-$E435*N(N435)))</f>
        <v/>
      </c>
      <c r="AC435" s="34">
        <f>IF(OR($A435="",$H435&lt;&gt;"Ausgabe",O435=""),0,IF(O435="x",-$E435/(COUNTIF($J435:$Q435,"x")+1),-$E435*N(O435)))</f>
        <v/>
      </c>
      <c r="AD435" s="34">
        <f>IF(OR($A435="",$H435&lt;&gt;"Ausgabe",P435=""),0,IF(P435="x",-$E435/(COUNTIF($J435:$Q435,"x")+1),-$E435*N(P435)))</f>
        <v/>
      </c>
      <c r="AE435" s="34">
        <f>IF(OR($A435="",$H435&lt;&gt;"Ausgabe",Q435=""),0,IF(Q435="x",-$E435/(COUNTIF($J435:$Q435,"x")+1),-$E435*N(Q435)))</f>
        <v/>
      </c>
    </row>
    <row r="436">
      <c r="A436" s="30" t="n"/>
      <c r="E436" s="31" t="n"/>
      <c r="J436" s="32" t="n"/>
      <c r="K436" s="32" t="n"/>
      <c r="L436" s="32" t="n"/>
      <c r="M436" s="32" t="n"/>
      <c r="N436" s="32" t="n"/>
      <c r="O436" s="32" t="n"/>
      <c r="P436" s="32" t="n"/>
      <c r="Q436" s="32" t="n"/>
      <c r="U436" s="31">
        <f>IF($A436="","",SUM(X436:AE436))</f>
        <v/>
      </c>
      <c r="V436" s="31">
        <f>IF($A436="","",IF($H436&lt;&gt;"Ausgabe",0,-$E436-$U436))</f>
        <v/>
      </c>
      <c r="W436" s="33">
        <f>IF($A436="","",DATE(YEAR($A436),MONTH($A436),1))</f>
        <v/>
      </c>
      <c r="X436" s="34">
        <f>IF(OR($A436="",$H436&lt;&gt;"Ausgabe",J436=""),0,IF(J436="x",-$E436/(COUNTIF($J436:$Q436,"x")+1),-$E436*N(J436)))</f>
        <v/>
      </c>
      <c r="Y436" s="34">
        <f>IF(OR($A436="",$H436&lt;&gt;"Ausgabe",K436=""),0,IF(K436="x",-$E436/(COUNTIF($J436:$Q436,"x")+1),-$E436*N(K436)))</f>
        <v/>
      </c>
      <c r="Z436" s="34">
        <f>IF(OR($A436="",$H436&lt;&gt;"Ausgabe",L436=""),0,IF(L436="x",-$E436/(COUNTIF($J436:$Q436,"x")+1),-$E436*N(L436)))</f>
        <v/>
      </c>
      <c r="AA436" s="34">
        <f>IF(OR($A436="",$H436&lt;&gt;"Ausgabe",M436=""),0,IF(M436="x",-$E436/(COUNTIF($J436:$Q436,"x")+1),-$E436*N(M436)))</f>
        <v/>
      </c>
      <c r="AB436" s="34">
        <f>IF(OR($A436="",$H436&lt;&gt;"Ausgabe",N436=""),0,IF(N436="x",-$E436/(COUNTIF($J436:$Q436,"x")+1),-$E436*N(N436)))</f>
        <v/>
      </c>
      <c r="AC436" s="34">
        <f>IF(OR($A436="",$H436&lt;&gt;"Ausgabe",O436=""),0,IF(O436="x",-$E436/(COUNTIF($J436:$Q436,"x")+1),-$E436*N(O436)))</f>
        <v/>
      </c>
      <c r="AD436" s="34">
        <f>IF(OR($A436="",$H436&lt;&gt;"Ausgabe",P436=""),0,IF(P436="x",-$E436/(COUNTIF($J436:$Q436,"x")+1),-$E436*N(P436)))</f>
        <v/>
      </c>
      <c r="AE436" s="34">
        <f>IF(OR($A436="",$H436&lt;&gt;"Ausgabe",Q436=""),0,IF(Q436="x",-$E436/(COUNTIF($J436:$Q436,"x")+1),-$E436*N(Q436)))</f>
        <v/>
      </c>
    </row>
    <row r="437">
      <c r="A437" s="30" t="n"/>
      <c r="E437" s="31" t="n"/>
      <c r="J437" s="32" t="n"/>
      <c r="K437" s="32" t="n"/>
      <c r="L437" s="32" t="n"/>
      <c r="M437" s="32" t="n"/>
      <c r="N437" s="32" t="n"/>
      <c r="O437" s="32" t="n"/>
      <c r="P437" s="32" t="n"/>
      <c r="Q437" s="32" t="n"/>
      <c r="U437" s="31">
        <f>IF($A437="","",SUM(X437:AE437))</f>
        <v/>
      </c>
      <c r="V437" s="31">
        <f>IF($A437="","",IF($H437&lt;&gt;"Ausgabe",0,-$E437-$U437))</f>
        <v/>
      </c>
      <c r="W437" s="33">
        <f>IF($A437="","",DATE(YEAR($A437),MONTH($A437),1))</f>
        <v/>
      </c>
      <c r="X437" s="34">
        <f>IF(OR($A437="",$H437&lt;&gt;"Ausgabe",J437=""),0,IF(J437="x",-$E437/(COUNTIF($J437:$Q437,"x")+1),-$E437*N(J437)))</f>
        <v/>
      </c>
      <c r="Y437" s="34">
        <f>IF(OR($A437="",$H437&lt;&gt;"Ausgabe",K437=""),0,IF(K437="x",-$E437/(COUNTIF($J437:$Q437,"x")+1),-$E437*N(K437)))</f>
        <v/>
      </c>
      <c r="Z437" s="34">
        <f>IF(OR($A437="",$H437&lt;&gt;"Ausgabe",L437=""),0,IF(L437="x",-$E437/(COUNTIF($J437:$Q437,"x")+1),-$E437*N(L437)))</f>
        <v/>
      </c>
      <c r="AA437" s="34">
        <f>IF(OR($A437="",$H437&lt;&gt;"Ausgabe",M437=""),0,IF(M437="x",-$E437/(COUNTIF($J437:$Q437,"x")+1),-$E437*N(M437)))</f>
        <v/>
      </c>
      <c r="AB437" s="34">
        <f>IF(OR($A437="",$H437&lt;&gt;"Ausgabe",N437=""),0,IF(N437="x",-$E437/(COUNTIF($J437:$Q437,"x")+1),-$E437*N(N437)))</f>
        <v/>
      </c>
      <c r="AC437" s="34">
        <f>IF(OR($A437="",$H437&lt;&gt;"Ausgabe",O437=""),0,IF(O437="x",-$E437/(COUNTIF($J437:$Q437,"x")+1),-$E437*N(O437)))</f>
        <v/>
      </c>
      <c r="AD437" s="34">
        <f>IF(OR($A437="",$H437&lt;&gt;"Ausgabe",P437=""),0,IF(P437="x",-$E437/(COUNTIF($J437:$Q437,"x")+1),-$E437*N(P437)))</f>
        <v/>
      </c>
      <c r="AE437" s="34">
        <f>IF(OR($A437="",$H437&lt;&gt;"Ausgabe",Q437=""),0,IF(Q437="x",-$E437/(COUNTIF($J437:$Q437,"x")+1),-$E437*N(Q437)))</f>
        <v/>
      </c>
    </row>
    <row r="438">
      <c r="A438" s="30" t="n"/>
      <c r="E438" s="31" t="n"/>
      <c r="J438" s="32" t="n"/>
      <c r="K438" s="32" t="n"/>
      <c r="L438" s="32" t="n"/>
      <c r="M438" s="32" t="n"/>
      <c r="N438" s="32" t="n"/>
      <c r="O438" s="32" t="n"/>
      <c r="P438" s="32" t="n"/>
      <c r="Q438" s="32" t="n"/>
      <c r="U438" s="31">
        <f>IF($A438="","",SUM(X438:AE438))</f>
        <v/>
      </c>
      <c r="V438" s="31">
        <f>IF($A438="","",IF($H438&lt;&gt;"Ausgabe",0,-$E438-$U438))</f>
        <v/>
      </c>
      <c r="W438" s="33">
        <f>IF($A438="","",DATE(YEAR($A438),MONTH($A438),1))</f>
        <v/>
      </c>
      <c r="X438" s="34">
        <f>IF(OR($A438="",$H438&lt;&gt;"Ausgabe",J438=""),0,IF(J438="x",-$E438/(COUNTIF($J438:$Q438,"x")+1),-$E438*N(J438)))</f>
        <v/>
      </c>
      <c r="Y438" s="34">
        <f>IF(OR($A438="",$H438&lt;&gt;"Ausgabe",K438=""),0,IF(K438="x",-$E438/(COUNTIF($J438:$Q438,"x")+1),-$E438*N(K438)))</f>
        <v/>
      </c>
      <c r="Z438" s="34">
        <f>IF(OR($A438="",$H438&lt;&gt;"Ausgabe",L438=""),0,IF(L438="x",-$E438/(COUNTIF($J438:$Q438,"x")+1),-$E438*N(L438)))</f>
        <v/>
      </c>
      <c r="AA438" s="34">
        <f>IF(OR($A438="",$H438&lt;&gt;"Ausgabe",M438=""),0,IF(M438="x",-$E438/(COUNTIF($J438:$Q438,"x")+1),-$E438*N(M438)))</f>
        <v/>
      </c>
      <c r="AB438" s="34">
        <f>IF(OR($A438="",$H438&lt;&gt;"Ausgabe",N438=""),0,IF(N438="x",-$E438/(COUNTIF($J438:$Q438,"x")+1),-$E438*N(N438)))</f>
        <v/>
      </c>
      <c r="AC438" s="34">
        <f>IF(OR($A438="",$H438&lt;&gt;"Ausgabe",O438=""),0,IF(O438="x",-$E438/(COUNTIF($J438:$Q438,"x")+1),-$E438*N(O438)))</f>
        <v/>
      </c>
      <c r="AD438" s="34">
        <f>IF(OR($A438="",$H438&lt;&gt;"Ausgabe",P438=""),0,IF(P438="x",-$E438/(COUNTIF($J438:$Q438,"x")+1),-$E438*N(P438)))</f>
        <v/>
      </c>
      <c r="AE438" s="34">
        <f>IF(OR($A438="",$H438&lt;&gt;"Ausgabe",Q438=""),0,IF(Q438="x",-$E438/(COUNTIF($J438:$Q438,"x")+1),-$E438*N(Q438)))</f>
        <v/>
      </c>
    </row>
    <row r="439">
      <c r="A439" s="30" t="n"/>
      <c r="E439" s="31" t="n"/>
      <c r="J439" s="32" t="n"/>
      <c r="K439" s="32" t="n"/>
      <c r="L439" s="32" t="n"/>
      <c r="M439" s="32" t="n"/>
      <c r="N439" s="32" t="n"/>
      <c r="O439" s="32" t="n"/>
      <c r="P439" s="32" t="n"/>
      <c r="Q439" s="32" t="n"/>
      <c r="U439" s="31">
        <f>IF($A439="","",SUM(X439:AE439))</f>
        <v/>
      </c>
      <c r="V439" s="31">
        <f>IF($A439="","",IF($H439&lt;&gt;"Ausgabe",0,-$E439-$U439))</f>
        <v/>
      </c>
      <c r="W439" s="33">
        <f>IF($A439="","",DATE(YEAR($A439),MONTH($A439),1))</f>
        <v/>
      </c>
      <c r="X439" s="34">
        <f>IF(OR($A439="",$H439&lt;&gt;"Ausgabe",J439=""),0,IF(J439="x",-$E439/(COUNTIF($J439:$Q439,"x")+1),-$E439*N(J439)))</f>
        <v/>
      </c>
      <c r="Y439" s="34">
        <f>IF(OR($A439="",$H439&lt;&gt;"Ausgabe",K439=""),0,IF(K439="x",-$E439/(COUNTIF($J439:$Q439,"x")+1),-$E439*N(K439)))</f>
        <v/>
      </c>
      <c r="Z439" s="34">
        <f>IF(OR($A439="",$H439&lt;&gt;"Ausgabe",L439=""),0,IF(L439="x",-$E439/(COUNTIF($J439:$Q439,"x")+1),-$E439*N(L439)))</f>
        <v/>
      </c>
      <c r="AA439" s="34">
        <f>IF(OR($A439="",$H439&lt;&gt;"Ausgabe",M439=""),0,IF(M439="x",-$E439/(COUNTIF($J439:$Q439,"x")+1),-$E439*N(M439)))</f>
        <v/>
      </c>
      <c r="AB439" s="34">
        <f>IF(OR($A439="",$H439&lt;&gt;"Ausgabe",N439=""),0,IF(N439="x",-$E439/(COUNTIF($J439:$Q439,"x")+1),-$E439*N(N439)))</f>
        <v/>
      </c>
      <c r="AC439" s="34">
        <f>IF(OR($A439="",$H439&lt;&gt;"Ausgabe",O439=""),0,IF(O439="x",-$E439/(COUNTIF($J439:$Q439,"x")+1),-$E439*N(O439)))</f>
        <v/>
      </c>
      <c r="AD439" s="34">
        <f>IF(OR($A439="",$H439&lt;&gt;"Ausgabe",P439=""),0,IF(P439="x",-$E439/(COUNTIF($J439:$Q439,"x")+1),-$E439*N(P439)))</f>
        <v/>
      </c>
      <c r="AE439" s="34">
        <f>IF(OR($A439="",$H439&lt;&gt;"Ausgabe",Q439=""),0,IF(Q439="x",-$E439/(COUNTIF($J439:$Q439,"x")+1),-$E439*N(Q439)))</f>
        <v/>
      </c>
    </row>
    <row r="440">
      <c r="A440" s="30" t="n"/>
      <c r="E440" s="31" t="n"/>
      <c r="J440" s="32" t="n"/>
      <c r="K440" s="32" t="n"/>
      <c r="L440" s="32" t="n"/>
      <c r="M440" s="32" t="n"/>
      <c r="N440" s="32" t="n"/>
      <c r="O440" s="32" t="n"/>
      <c r="P440" s="32" t="n"/>
      <c r="Q440" s="32" t="n"/>
      <c r="U440" s="31">
        <f>IF($A440="","",SUM(X440:AE440))</f>
        <v/>
      </c>
      <c r="V440" s="31">
        <f>IF($A440="","",IF($H440&lt;&gt;"Ausgabe",0,-$E440-$U440))</f>
        <v/>
      </c>
      <c r="W440" s="33">
        <f>IF($A440="","",DATE(YEAR($A440),MONTH($A440),1))</f>
        <v/>
      </c>
      <c r="X440" s="34">
        <f>IF(OR($A440="",$H440&lt;&gt;"Ausgabe",J440=""),0,IF(J440="x",-$E440/(COUNTIF($J440:$Q440,"x")+1),-$E440*N(J440)))</f>
        <v/>
      </c>
      <c r="Y440" s="34">
        <f>IF(OR($A440="",$H440&lt;&gt;"Ausgabe",K440=""),0,IF(K440="x",-$E440/(COUNTIF($J440:$Q440,"x")+1),-$E440*N(K440)))</f>
        <v/>
      </c>
      <c r="Z440" s="34">
        <f>IF(OR($A440="",$H440&lt;&gt;"Ausgabe",L440=""),0,IF(L440="x",-$E440/(COUNTIF($J440:$Q440,"x")+1),-$E440*N(L440)))</f>
        <v/>
      </c>
      <c r="AA440" s="34">
        <f>IF(OR($A440="",$H440&lt;&gt;"Ausgabe",M440=""),0,IF(M440="x",-$E440/(COUNTIF($J440:$Q440,"x")+1),-$E440*N(M440)))</f>
        <v/>
      </c>
      <c r="AB440" s="34">
        <f>IF(OR($A440="",$H440&lt;&gt;"Ausgabe",N440=""),0,IF(N440="x",-$E440/(COUNTIF($J440:$Q440,"x")+1),-$E440*N(N440)))</f>
        <v/>
      </c>
      <c r="AC440" s="34">
        <f>IF(OR($A440="",$H440&lt;&gt;"Ausgabe",O440=""),0,IF(O440="x",-$E440/(COUNTIF($J440:$Q440,"x")+1),-$E440*N(O440)))</f>
        <v/>
      </c>
      <c r="AD440" s="34">
        <f>IF(OR($A440="",$H440&lt;&gt;"Ausgabe",P440=""),0,IF(P440="x",-$E440/(COUNTIF($J440:$Q440,"x")+1),-$E440*N(P440)))</f>
        <v/>
      </c>
      <c r="AE440" s="34">
        <f>IF(OR($A440="",$H440&lt;&gt;"Ausgabe",Q440=""),0,IF(Q440="x",-$E440/(COUNTIF($J440:$Q440,"x")+1),-$E440*N(Q440)))</f>
        <v/>
      </c>
    </row>
    <row r="441">
      <c r="A441" s="30" t="n"/>
      <c r="E441" s="31" t="n"/>
      <c r="J441" s="32" t="n"/>
      <c r="K441" s="32" t="n"/>
      <c r="L441" s="32" t="n"/>
      <c r="M441" s="32" t="n"/>
      <c r="N441" s="32" t="n"/>
      <c r="O441" s="32" t="n"/>
      <c r="P441" s="32" t="n"/>
      <c r="Q441" s="32" t="n"/>
      <c r="U441" s="31">
        <f>IF($A441="","",SUM(X441:AE441))</f>
        <v/>
      </c>
      <c r="V441" s="31">
        <f>IF($A441="","",IF($H441&lt;&gt;"Ausgabe",0,-$E441-$U441))</f>
        <v/>
      </c>
      <c r="W441" s="33">
        <f>IF($A441="","",DATE(YEAR($A441),MONTH($A441),1))</f>
        <v/>
      </c>
      <c r="X441" s="34">
        <f>IF(OR($A441="",$H441&lt;&gt;"Ausgabe",J441=""),0,IF(J441="x",-$E441/(COUNTIF($J441:$Q441,"x")+1),-$E441*N(J441)))</f>
        <v/>
      </c>
      <c r="Y441" s="34">
        <f>IF(OR($A441="",$H441&lt;&gt;"Ausgabe",K441=""),0,IF(K441="x",-$E441/(COUNTIF($J441:$Q441,"x")+1),-$E441*N(K441)))</f>
        <v/>
      </c>
      <c r="Z441" s="34">
        <f>IF(OR($A441="",$H441&lt;&gt;"Ausgabe",L441=""),0,IF(L441="x",-$E441/(COUNTIF($J441:$Q441,"x")+1),-$E441*N(L441)))</f>
        <v/>
      </c>
      <c r="AA441" s="34">
        <f>IF(OR($A441="",$H441&lt;&gt;"Ausgabe",M441=""),0,IF(M441="x",-$E441/(COUNTIF($J441:$Q441,"x")+1),-$E441*N(M441)))</f>
        <v/>
      </c>
      <c r="AB441" s="34">
        <f>IF(OR($A441="",$H441&lt;&gt;"Ausgabe",N441=""),0,IF(N441="x",-$E441/(COUNTIF($J441:$Q441,"x")+1),-$E441*N(N441)))</f>
        <v/>
      </c>
      <c r="AC441" s="34">
        <f>IF(OR($A441="",$H441&lt;&gt;"Ausgabe",O441=""),0,IF(O441="x",-$E441/(COUNTIF($J441:$Q441,"x")+1),-$E441*N(O441)))</f>
        <v/>
      </c>
      <c r="AD441" s="34">
        <f>IF(OR($A441="",$H441&lt;&gt;"Ausgabe",P441=""),0,IF(P441="x",-$E441/(COUNTIF($J441:$Q441,"x")+1),-$E441*N(P441)))</f>
        <v/>
      </c>
      <c r="AE441" s="34">
        <f>IF(OR($A441="",$H441&lt;&gt;"Ausgabe",Q441=""),0,IF(Q441="x",-$E441/(COUNTIF($J441:$Q441,"x")+1),-$E441*N(Q441)))</f>
        <v/>
      </c>
    </row>
    <row r="442">
      <c r="A442" s="30" t="n"/>
      <c r="E442" s="31" t="n"/>
      <c r="J442" s="32" t="n"/>
      <c r="K442" s="32" t="n"/>
      <c r="L442" s="32" t="n"/>
      <c r="M442" s="32" t="n"/>
      <c r="N442" s="32" t="n"/>
      <c r="O442" s="32" t="n"/>
      <c r="P442" s="32" t="n"/>
      <c r="Q442" s="32" t="n"/>
      <c r="U442" s="31">
        <f>IF($A442="","",SUM(X442:AE442))</f>
        <v/>
      </c>
      <c r="V442" s="31">
        <f>IF($A442="","",IF($H442&lt;&gt;"Ausgabe",0,-$E442-$U442))</f>
        <v/>
      </c>
      <c r="W442" s="33">
        <f>IF($A442="","",DATE(YEAR($A442),MONTH($A442),1))</f>
        <v/>
      </c>
      <c r="X442" s="34">
        <f>IF(OR($A442="",$H442&lt;&gt;"Ausgabe",J442=""),0,IF(J442="x",-$E442/(COUNTIF($J442:$Q442,"x")+1),-$E442*N(J442)))</f>
        <v/>
      </c>
      <c r="Y442" s="34">
        <f>IF(OR($A442="",$H442&lt;&gt;"Ausgabe",K442=""),0,IF(K442="x",-$E442/(COUNTIF($J442:$Q442,"x")+1),-$E442*N(K442)))</f>
        <v/>
      </c>
      <c r="Z442" s="34">
        <f>IF(OR($A442="",$H442&lt;&gt;"Ausgabe",L442=""),0,IF(L442="x",-$E442/(COUNTIF($J442:$Q442,"x")+1),-$E442*N(L442)))</f>
        <v/>
      </c>
      <c r="AA442" s="34">
        <f>IF(OR($A442="",$H442&lt;&gt;"Ausgabe",M442=""),0,IF(M442="x",-$E442/(COUNTIF($J442:$Q442,"x")+1),-$E442*N(M442)))</f>
        <v/>
      </c>
      <c r="AB442" s="34">
        <f>IF(OR($A442="",$H442&lt;&gt;"Ausgabe",N442=""),0,IF(N442="x",-$E442/(COUNTIF($J442:$Q442,"x")+1),-$E442*N(N442)))</f>
        <v/>
      </c>
      <c r="AC442" s="34">
        <f>IF(OR($A442="",$H442&lt;&gt;"Ausgabe",O442=""),0,IF(O442="x",-$E442/(COUNTIF($J442:$Q442,"x")+1),-$E442*N(O442)))</f>
        <v/>
      </c>
      <c r="AD442" s="34">
        <f>IF(OR($A442="",$H442&lt;&gt;"Ausgabe",P442=""),0,IF(P442="x",-$E442/(COUNTIF($J442:$Q442,"x")+1),-$E442*N(P442)))</f>
        <v/>
      </c>
      <c r="AE442" s="34">
        <f>IF(OR($A442="",$H442&lt;&gt;"Ausgabe",Q442=""),0,IF(Q442="x",-$E442/(COUNTIF($J442:$Q442,"x")+1),-$E442*N(Q442)))</f>
        <v/>
      </c>
    </row>
    <row r="443">
      <c r="A443" s="30" t="n"/>
      <c r="E443" s="31" t="n"/>
      <c r="J443" s="32" t="n"/>
      <c r="K443" s="32" t="n"/>
      <c r="L443" s="32" t="n"/>
      <c r="M443" s="32" t="n"/>
      <c r="N443" s="32" t="n"/>
      <c r="O443" s="32" t="n"/>
      <c r="P443" s="32" t="n"/>
      <c r="Q443" s="32" t="n"/>
      <c r="U443" s="31">
        <f>IF($A443="","",SUM(X443:AE443))</f>
        <v/>
      </c>
      <c r="V443" s="31">
        <f>IF($A443="","",IF($H443&lt;&gt;"Ausgabe",0,-$E443-$U443))</f>
        <v/>
      </c>
      <c r="W443" s="33">
        <f>IF($A443="","",DATE(YEAR($A443),MONTH($A443),1))</f>
        <v/>
      </c>
      <c r="X443" s="34">
        <f>IF(OR($A443="",$H443&lt;&gt;"Ausgabe",J443=""),0,IF(J443="x",-$E443/(COUNTIF($J443:$Q443,"x")+1),-$E443*N(J443)))</f>
        <v/>
      </c>
      <c r="Y443" s="34">
        <f>IF(OR($A443="",$H443&lt;&gt;"Ausgabe",K443=""),0,IF(K443="x",-$E443/(COUNTIF($J443:$Q443,"x")+1),-$E443*N(K443)))</f>
        <v/>
      </c>
      <c r="Z443" s="34">
        <f>IF(OR($A443="",$H443&lt;&gt;"Ausgabe",L443=""),0,IF(L443="x",-$E443/(COUNTIF($J443:$Q443,"x")+1),-$E443*N(L443)))</f>
        <v/>
      </c>
      <c r="AA443" s="34">
        <f>IF(OR($A443="",$H443&lt;&gt;"Ausgabe",M443=""),0,IF(M443="x",-$E443/(COUNTIF($J443:$Q443,"x")+1),-$E443*N(M443)))</f>
        <v/>
      </c>
      <c r="AB443" s="34">
        <f>IF(OR($A443="",$H443&lt;&gt;"Ausgabe",N443=""),0,IF(N443="x",-$E443/(COUNTIF($J443:$Q443,"x")+1),-$E443*N(N443)))</f>
        <v/>
      </c>
      <c r="AC443" s="34">
        <f>IF(OR($A443="",$H443&lt;&gt;"Ausgabe",O443=""),0,IF(O443="x",-$E443/(COUNTIF($J443:$Q443,"x")+1),-$E443*N(O443)))</f>
        <v/>
      </c>
      <c r="AD443" s="34">
        <f>IF(OR($A443="",$H443&lt;&gt;"Ausgabe",P443=""),0,IF(P443="x",-$E443/(COUNTIF($J443:$Q443,"x")+1),-$E443*N(P443)))</f>
        <v/>
      </c>
      <c r="AE443" s="34">
        <f>IF(OR($A443="",$H443&lt;&gt;"Ausgabe",Q443=""),0,IF(Q443="x",-$E443/(COUNTIF($J443:$Q443,"x")+1),-$E443*N(Q443)))</f>
        <v/>
      </c>
    </row>
    <row r="444">
      <c r="A444" s="30" t="n"/>
      <c r="E444" s="31" t="n"/>
      <c r="J444" s="32" t="n"/>
      <c r="K444" s="32" t="n"/>
      <c r="L444" s="32" t="n"/>
      <c r="M444" s="32" t="n"/>
      <c r="N444" s="32" t="n"/>
      <c r="O444" s="32" t="n"/>
      <c r="P444" s="32" t="n"/>
      <c r="Q444" s="32" t="n"/>
      <c r="U444" s="31">
        <f>IF($A444="","",SUM(X444:AE444))</f>
        <v/>
      </c>
      <c r="V444" s="31">
        <f>IF($A444="","",IF($H444&lt;&gt;"Ausgabe",0,-$E444-$U444))</f>
        <v/>
      </c>
      <c r="W444" s="33">
        <f>IF($A444="","",DATE(YEAR($A444),MONTH($A444),1))</f>
        <v/>
      </c>
      <c r="X444" s="34">
        <f>IF(OR($A444="",$H444&lt;&gt;"Ausgabe",J444=""),0,IF(J444="x",-$E444/(COUNTIF($J444:$Q444,"x")+1),-$E444*N(J444)))</f>
        <v/>
      </c>
      <c r="Y444" s="34">
        <f>IF(OR($A444="",$H444&lt;&gt;"Ausgabe",K444=""),0,IF(K444="x",-$E444/(COUNTIF($J444:$Q444,"x")+1),-$E444*N(K444)))</f>
        <v/>
      </c>
      <c r="Z444" s="34">
        <f>IF(OR($A444="",$H444&lt;&gt;"Ausgabe",L444=""),0,IF(L444="x",-$E444/(COUNTIF($J444:$Q444,"x")+1),-$E444*N(L444)))</f>
        <v/>
      </c>
      <c r="AA444" s="34">
        <f>IF(OR($A444="",$H444&lt;&gt;"Ausgabe",M444=""),0,IF(M444="x",-$E444/(COUNTIF($J444:$Q444,"x")+1),-$E444*N(M444)))</f>
        <v/>
      </c>
      <c r="AB444" s="34">
        <f>IF(OR($A444="",$H444&lt;&gt;"Ausgabe",N444=""),0,IF(N444="x",-$E444/(COUNTIF($J444:$Q444,"x")+1),-$E444*N(N444)))</f>
        <v/>
      </c>
      <c r="AC444" s="34">
        <f>IF(OR($A444="",$H444&lt;&gt;"Ausgabe",O444=""),0,IF(O444="x",-$E444/(COUNTIF($J444:$Q444,"x")+1),-$E444*N(O444)))</f>
        <v/>
      </c>
      <c r="AD444" s="34">
        <f>IF(OR($A444="",$H444&lt;&gt;"Ausgabe",P444=""),0,IF(P444="x",-$E444/(COUNTIF($J444:$Q444,"x")+1),-$E444*N(P444)))</f>
        <v/>
      </c>
      <c r="AE444" s="34">
        <f>IF(OR($A444="",$H444&lt;&gt;"Ausgabe",Q444=""),0,IF(Q444="x",-$E444/(COUNTIF($J444:$Q444,"x")+1),-$E444*N(Q444)))</f>
        <v/>
      </c>
    </row>
    <row r="445">
      <c r="A445" s="30" t="n"/>
      <c r="E445" s="31" t="n"/>
      <c r="J445" s="32" t="n"/>
      <c r="K445" s="32" t="n"/>
      <c r="L445" s="32" t="n"/>
      <c r="M445" s="32" t="n"/>
      <c r="N445" s="32" t="n"/>
      <c r="O445" s="32" t="n"/>
      <c r="P445" s="32" t="n"/>
      <c r="Q445" s="32" t="n"/>
      <c r="U445" s="31">
        <f>IF($A445="","",SUM(X445:AE445))</f>
        <v/>
      </c>
      <c r="V445" s="31">
        <f>IF($A445="","",IF($H445&lt;&gt;"Ausgabe",0,-$E445-$U445))</f>
        <v/>
      </c>
      <c r="W445" s="33">
        <f>IF($A445="","",DATE(YEAR($A445),MONTH($A445),1))</f>
        <v/>
      </c>
      <c r="X445" s="34">
        <f>IF(OR($A445="",$H445&lt;&gt;"Ausgabe",J445=""),0,IF(J445="x",-$E445/(COUNTIF($J445:$Q445,"x")+1),-$E445*N(J445)))</f>
        <v/>
      </c>
      <c r="Y445" s="34">
        <f>IF(OR($A445="",$H445&lt;&gt;"Ausgabe",K445=""),0,IF(K445="x",-$E445/(COUNTIF($J445:$Q445,"x")+1),-$E445*N(K445)))</f>
        <v/>
      </c>
      <c r="Z445" s="34">
        <f>IF(OR($A445="",$H445&lt;&gt;"Ausgabe",L445=""),0,IF(L445="x",-$E445/(COUNTIF($J445:$Q445,"x")+1),-$E445*N(L445)))</f>
        <v/>
      </c>
      <c r="AA445" s="34">
        <f>IF(OR($A445="",$H445&lt;&gt;"Ausgabe",M445=""),0,IF(M445="x",-$E445/(COUNTIF($J445:$Q445,"x")+1),-$E445*N(M445)))</f>
        <v/>
      </c>
      <c r="AB445" s="34">
        <f>IF(OR($A445="",$H445&lt;&gt;"Ausgabe",N445=""),0,IF(N445="x",-$E445/(COUNTIF($J445:$Q445,"x")+1),-$E445*N(N445)))</f>
        <v/>
      </c>
      <c r="AC445" s="34">
        <f>IF(OR($A445="",$H445&lt;&gt;"Ausgabe",O445=""),0,IF(O445="x",-$E445/(COUNTIF($J445:$Q445,"x")+1),-$E445*N(O445)))</f>
        <v/>
      </c>
      <c r="AD445" s="34">
        <f>IF(OR($A445="",$H445&lt;&gt;"Ausgabe",P445=""),0,IF(P445="x",-$E445/(COUNTIF($J445:$Q445,"x")+1),-$E445*N(P445)))</f>
        <v/>
      </c>
      <c r="AE445" s="34">
        <f>IF(OR($A445="",$H445&lt;&gt;"Ausgabe",Q445=""),0,IF(Q445="x",-$E445/(COUNTIF($J445:$Q445,"x")+1),-$E445*N(Q445)))</f>
        <v/>
      </c>
    </row>
    <row r="446">
      <c r="A446" s="30" t="n"/>
      <c r="E446" s="31" t="n"/>
      <c r="J446" s="32" t="n"/>
      <c r="K446" s="32" t="n"/>
      <c r="L446" s="32" t="n"/>
      <c r="M446" s="32" t="n"/>
      <c r="N446" s="32" t="n"/>
      <c r="O446" s="32" t="n"/>
      <c r="P446" s="32" t="n"/>
      <c r="Q446" s="32" t="n"/>
      <c r="U446" s="31">
        <f>IF($A446="","",SUM(X446:AE446))</f>
        <v/>
      </c>
      <c r="V446" s="31">
        <f>IF($A446="","",IF($H446&lt;&gt;"Ausgabe",0,-$E446-$U446))</f>
        <v/>
      </c>
      <c r="W446" s="33">
        <f>IF($A446="","",DATE(YEAR($A446),MONTH($A446),1))</f>
        <v/>
      </c>
      <c r="X446" s="34">
        <f>IF(OR($A446="",$H446&lt;&gt;"Ausgabe",J446=""),0,IF(J446="x",-$E446/(COUNTIF($J446:$Q446,"x")+1),-$E446*N(J446)))</f>
        <v/>
      </c>
      <c r="Y446" s="34">
        <f>IF(OR($A446="",$H446&lt;&gt;"Ausgabe",K446=""),0,IF(K446="x",-$E446/(COUNTIF($J446:$Q446,"x")+1),-$E446*N(K446)))</f>
        <v/>
      </c>
      <c r="Z446" s="34">
        <f>IF(OR($A446="",$H446&lt;&gt;"Ausgabe",L446=""),0,IF(L446="x",-$E446/(COUNTIF($J446:$Q446,"x")+1),-$E446*N(L446)))</f>
        <v/>
      </c>
      <c r="AA446" s="34">
        <f>IF(OR($A446="",$H446&lt;&gt;"Ausgabe",M446=""),0,IF(M446="x",-$E446/(COUNTIF($J446:$Q446,"x")+1),-$E446*N(M446)))</f>
        <v/>
      </c>
      <c r="AB446" s="34">
        <f>IF(OR($A446="",$H446&lt;&gt;"Ausgabe",N446=""),0,IF(N446="x",-$E446/(COUNTIF($J446:$Q446,"x")+1),-$E446*N(N446)))</f>
        <v/>
      </c>
      <c r="AC446" s="34">
        <f>IF(OR($A446="",$H446&lt;&gt;"Ausgabe",O446=""),0,IF(O446="x",-$E446/(COUNTIF($J446:$Q446,"x")+1),-$E446*N(O446)))</f>
        <v/>
      </c>
      <c r="AD446" s="34">
        <f>IF(OR($A446="",$H446&lt;&gt;"Ausgabe",P446=""),0,IF(P446="x",-$E446/(COUNTIF($J446:$Q446,"x")+1),-$E446*N(P446)))</f>
        <v/>
      </c>
      <c r="AE446" s="34">
        <f>IF(OR($A446="",$H446&lt;&gt;"Ausgabe",Q446=""),0,IF(Q446="x",-$E446/(COUNTIF($J446:$Q446,"x")+1),-$E446*N(Q446)))</f>
        <v/>
      </c>
    </row>
    <row r="447">
      <c r="A447" s="30" t="n"/>
      <c r="E447" s="31" t="n"/>
      <c r="J447" s="32" t="n"/>
      <c r="K447" s="32" t="n"/>
      <c r="L447" s="32" t="n"/>
      <c r="M447" s="32" t="n"/>
      <c r="N447" s="32" t="n"/>
      <c r="O447" s="32" t="n"/>
      <c r="P447" s="32" t="n"/>
      <c r="Q447" s="32" t="n"/>
      <c r="U447" s="31">
        <f>IF($A447="","",SUM(X447:AE447))</f>
        <v/>
      </c>
      <c r="V447" s="31">
        <f>IF($A447="","",IF($H447&lt;&gt;"Ausgabe",0,-$E447-$U447))</f>
        <v/>
      </c>
      <c r="W447" s="33">
        <f>IF($A447="","",DATE(YEAR($A447),MONTH($A447),1))</f>
        <v/>
      </c>
      <c r="X447" s="34">
        <f>IF(OR($A447="",$H447&lt;&gt;"Ausgabe",J447=""),0,IF(J447="x",-$E447/(COUNTIF($J447:$Q447,"x")+1),-$E447*N(J447)))</f>
        <v/>
      </c>
      <c r="Y447" s="34">
        <f>IF(OR($A447="",$H447&lt;&gt;"Ausgabe",K447=""),0,IF(K447="x",-$E447/(COUNTIF($J447:$Q447,"x")+1),-$E447*N(K447)))</f>
        <v/>
      </c>
      <c r="Z447" s="34">
        <f>IF(OR($A447="",$H447&lt;&gt;"Ausgabe",L447=""),0,IF(L447="x",-$E447/(COUNTIF($J447:$Q447,"x")+1),-$E447*N(L447)))</f>
        <v/>
      </c>
      <c r="AA447" s="34">
        <f>IF(OR($A447="",$H447&lt;&gt;"Ausgabe",M447=""),0,IF(M447="x",-$E447/(COUNTIF($J447:$Q447,"x")+1),-$E447*N(M447)))</f>
        <v/>
      </c>
      <c r="AB447" s="34">
        <f>IF(OR($A447="",$H447&lt;&gt;"Ausgabe",N447=""),0,IF(N447="x",-$E447/(COUNTIF($J447:$Q447,"x")+1),-$E447*N(N447)))</f>
        <v/>
      </c>
      <c r="AC447" s="34">
        <f>IF(OR($A447="",$H447&lt;&gt;"Ausgabe",O447=""),0,IF(O447="x",-$E447/(COUNTIF($J447:$Q447,"x")+1),-$E447*N(O447)))</f>
        <v/>
      </c>
      <c r="AD447" s="34">
        <f>IF(OR($A447="",$H447&lt;&gt;"Ausgabe",P447=""),0,IF(P447="x",-$E447/(COUNTIF($J447:$Q447,"x")+1),-$E447*N(P447)))</f>
        <v/>
      </c>
      <c r="AE447" s="34">
        <f>IF(OR($A447="",$H447&lt;&gt;"Ausgabe",Q447=""),0,IF(Q447="x",-$E447/(COUNTIF($J447:$Q447,"x")+1),-$E447*N(Q447)))</f>
        <v/>
      </c>
    </row>
    <row r="448">
      <c r="A448" s="30" t="n"/>
      <c r="E448" s="31" t="n"/>
      <c r="J448" s="32" t="n"/>
      <c r="K448" s="32" t="n"/>
      <c r="L448" s="32" t="n"/>
      <c r="M448" s="32" t="n"/>
      <c r="N448" s="32" t="n"/>
      <c r="O448" s="32" t="n"/>
      <c r="P448" s="32" t="n"/>
      <c r="Q448" s="32" t="n"/>
      <c r="U448" s="31">
        <f>IF($A448="","",SUM(X448:AE448))</f>
        <v/>
      </c>
      <c r="V448" s="31">
        <f>IF($A448="","",IF($H448&lt;&gt;"Ausgabe",0,-$E448-$U448))</f>
        <v/>
      </c>
      <c r="W448" s="33">
        <f>IF($A448="","",DATE(YEAR($A448),MONTH($A448),1))</f>
        <v/>
      </c>
      <c r="X448" s="34">
        <f>IF(OR($A448="",$H448&lt;&gt;"Ausgabe",J448=""),0,IF(J448="x",-$E448/(COUNTIF($J448:$Q448,"x")+1),-$E448*N(J448)))</f>
        <v/>
      </c>
      <c r="Y448" s="34">
        <f>IF(OR($A448="",$H448&lt;&gt;"Ausgabe",K448=""),0,IF(K448="x",-$E448/(COUNTIF($J448:$Q448,"x")+1),-$E448*N(K448)))</f>
        <v/>
      </c>
      <c r="Z448" s="34">
        <f>IF(OR($A448="",$H448&lt;&gt;"Ausgabe",L448=""),0,IF(L448="x",-$E448/(COUNTIF($J448:$Q448,"x")+1),-$E448*N(L448)))</f>
        <v/>
      </c>
      <c r="AA448" s="34">
        <f>IF(OR($A448="",$H448&lt;&gt;"Ausgabe",M448=""),0,IF(M448="x",-$E448/(COUNTIF($J448:$Q448,"x")+1),-$E448*N(M448)))</f>
        <v/>
      </c>
      <c r="AB448" s="34">
        <f>IF(OR($A448="",$H448&lt;&gt;"Ausgabe",N448=""),0,IF(N448="x",-$E448/(COUNTIF($J448:$Q448,"x")+1),-$E448*N(N448)))</f>
        <v/>
      </c>
      <c r="AC448" s="34">
        <f>IF(OR($A448="",$H448&lt;&gt;"Ausgabe",O448=""),0,IF(O448="x",-$E448/(COUNTIF($J448:$Q448,"x")+1),-$E448*N(O448)))</f>
        <v/>
      </c>
      <c r="AD448" s="34">
        <f>IF(OR($A448="",$H448&lt;&gt;"Ausgabe",P448=""),0,IF(P448="x",-$E448/(COUNTIF($J448:$Q448,"x")+1),-$E448*N(P448)))</f>
        <v/>
      </c>
      <c r="AE448" s="34">
        <f>IF(OR($A448="",$H448&lt;&gt;"Ausgabe",Q448=""),0,IF(Q448="x",-$E448/(COUNTIF($J448:$Q448,"x")+1),-$E448*N(Q448)))</f>
        <v/>
      </c>
    </row>
    <row r="449">
      <c r="A449" s="30" t="n"/>
      <c r="E449" s="31" t="n"/>
      <c r="J449" s="32" t="n"/>
      <c r="K449" s="32" t="n"/>
      <c r="L449" s="32" t="n"/>
      <c r="M449" s="32" t="n"/>
      <c r="N449" s="32" t="n"/>
      <c r="O449" s="32" t="n"/>
      <c r="P449" s="32" t="n"/>
      <c r="Q449" s="32" t="n"/>
      <c r="U449" s="31">
        <f>IF($A449="","",SUM(X449:AE449))</f>
        <v/>
      </c>
      <c r="V449" s="31">
        <f>IF($A449="","",IF($H449&lt;&gt;"Ausgabe",0,-$E449-$U449))</f>
        <v/>
      </c>
      <c r="W449" s="33">
        <f>IF($A449="","",DATE(YEAR($A449),MONTH($A449),1))</f>
        <v/>
      </c>
      <c r="X449" s="34">
        <f>IF(OR($A449="",$H449&lt;&gt;"Ausgabe",J449=""),0,IF(J449="x",-$E449/(COUNTIF($J449:$Q449,"x")+1),-$E449*N(J449)))</f>
        <v/>
      </c>
      <c r="Y449" s="34">
        <f>IF(OR($A449="",$H449&lt;&gt;"Ausgabe",K449=""),0,IF(K449="x",-$E449/(COUNTIF($J449:$Q449,"x")+1),-$E449*N(K449)))</f>
        <v/>
      </c>
      <c r="Z449" s="34">
        <f>IF(OR($A449="",$H449&lt;&gt;"Ausgabe",L449=""),0,IF(L449="x",-$E449/(COUNTIF($J449:$Q449,"x")+1),-$E449*N(L449)))</f>
        <v/>
      </c>
      <c r="AA449" s="34">
        <f>IF(OR($A449="",$H449&lt;&gt;"Ausgabe",M449=""),0,IF(M449="x",-$E449/(COUNTIF($J449:$Q449,"x")+1),-$E449*N(M449)))</f>
        <v/>
      </c>
      <c r="AB449" s="34">
        <f>IF(OR($A449="",$H449&lt;&gt;"Ausgabe",N449=""),0,IF(N449="x",-$E449/(COUNTIF($J449:$Q449,"x")+1),-$E449*N(N449)))</f>
        <v/>
      </c>
      <c r="AC449" s="34">
        <f>IF(OR($A449="",$H449&lt;&gt;"Ausgabe",O449=""),0,IF(O449="x",-$E449/(COUNTIF($J449:$Q449,"x")+1),-$E449*N(O449)))</f>
        <v/>
      </c>
      <c r="AD449" s="34">
        <f>IF(OR($A449="",$H449&lt;&gt;"Ausgabe",P449=""),0,IF(P449="x",-$E449/(COUNTIF($J449:$Q449,"x")+1),-$E449*N(P449)))</f>
        <v/>
      </c>
      <c r="AE449" s="34">
        <f>IF(OR($A449="",$H449&lt;&gt;"Ausgabe",Q449=""),0,IF(Q449="x",-$E449/(COUNTIF($J449:$Q449,"x")+1),-$E449*N(Q449)))</f>
        <v/>
      </c>
    </row>
    <row r="450">
      <c r="A450" s="30" t="n"/>
      <c r="E450" s="31" t="n"/>
      <c r="J450" s="32" t="n"/>
      <c r="K450" s="32" t="n"/>
      <c r="L450" s="32" t="n"/>
      <c r="M450" s="32" t="n"/>
      <c r="N450" s="32" t="n"/>
      <c r="O450" s="32" t="n"/>
      <c r="P450" s="32" t="n"/>
      <c r="Q450" s="32" t="n"/>
      <c r="U450" s="31">
        <f>IF($A450="","",SUM(X450:AE450))</f>
        <v/>
      </c>
      <c r="V450" s="31">
        <f>IF($A450="","",IF($H450&lt;&gt;"Ausgabe",0,-$E450-$U450))</f>
        <v/>
      </c>
      <c r="W450" s="33">
        <f>IF($A450="","",DATE(YEAR($A450),MONTH($A450),1))</f>
        <v/>
      </c>
      <c r="X450" s="34">
        <f>IF(OR($A450="",$H450&lt;&gt;"Ausgabe",J450=""),0,IF(J450="x",-$E450/(COUNTIF($J450:$Q450,"x")+1),-$E450*N(J450)))</f>
        <v/>
      </c>
      <c r="Y450" s="34">
        <f>IF(OR($A450="",$H450&lt;&gt;"Ausgabe",K450=""),0,IF(K450="x",-$E450/(COUNTIF($J450:$Q450,"x")+1),-$E450*N(K450)))</f>
        <v/>
      </c>
      <c r="Z450" s="34">
        <f>IF(OR($A450="",$H450&lt;&gt;"Ausgabe",L450=""),0,IF(L450="x",-$E450/(COUNTIF($J450:$Q450,"x")+1),-$E450*N(L450)))</f>
        <v/>
      </c>
      <c r="AA450" s="34">
        <f>IF(OR($A450="",$H450&lt;&gt;"Ausgabe",M450=""),0,IF(M450="x",-$E450/(COUNTIF($J450:$Q450,"x")+1),-$E450*N(M450)))</f>
        <v/>
      </c>
      <c r="AB450" s="34">
        <f>IF(OR($A450="",$H450&lt;&gt;"Ausgabe",N450=""),0,IF(N450="x",-$E450/(COUNTIF($J450:$Q450,"x")+1),-$E450*N(N450)))</f>
        <v/>
      </c>
      <c r="AC450" s="34">
        <f>IF(OR($A450="",$H450&lt;&gt;"Ausgabe",O450=""),0,IF(O450="x",-$E450/(COUNTIF($J450:$Q450,"x")+1),-$E450*N(O450)))</f>
        <v/>
      </c>
      <c r="AD450" s="34">
        <f>IF(OR($A450="",$H450&lt;&gt;"Ausgabe",P450=""),0,IF(P450="x",-$E450/(COUNTIF($J450:$Q450,"x")+1),-$E450*N(P450)))</f>
        <v/>
      </c>
      <c r="AE450" s="34">
        <f>IF(OR($A450="",$H450&lt;&gt;"Ausgabe",Q450=""),0,IF(Q450="x",-$E450/(COUNTIF($J450:$Q450,"x")+1),-$E450*N(Q450)))</f>
        <v/>
      </c>
    </row>
    <row r="451">
      <c r="A451" s="30" t="n"/>
      <c r="E451" s="31" t="n"/>
      <c r="J451" s="32" t="n"/>
      <c r="K451" s="32" t="n"/>
      <c r="L451" s="32" t="n"/>
      <c r="M451" s="32" t="n"/>
      <c r="N451" s="32" t="n"/>
      <c r="O451" s="32" t="n"/>
      <c r="P451" s="32" t="n"/>
      <c r="Q451" s="32" t="n"/>
      <c r="U451" s="31">
        <f>IF($A451="","",SUM(X451:AE451))</f>
        <v/>
      </c>
      <c r="V451" s="31">
        <f>IF($A451="","",IF($H451&lt;&gt;"Ausgabe",0,-$E451-$U451))</f>
        <v/>
      </c>
      <c r="W451" s="33">
        <f>IF($A451="","",DATE(YEAR($A451),MONTH($A451),1))</f>
        <v/>
      </c>
      <c r="X451" s="34">
        <f>IF(OR($A451="",$H451&lt;&gt;"Ausgabe",J451=""),0,IF(J451="x",-$E451/(COUNTIF($J451:$Q451,"x")+1),-$E451*N(J451)))</f>
        <v/>
      </c>
      <c r="Y451" s="34">
        <f>IF(OR($A451="",$H451&lt;&gt;"Ausgabe",K451=""),0,IF(K451="x",-$E451/(COUNTIF($J451:$Q451,"x")+1),-$E451*N(K451)))</f>
        <v/>
      </c>
      <c r="Z451" s="34">
        <f>IF(OR($A451="",$H451&lt;&gt;"Ausgabe",L451=""),0,IF(L451="x",-$E451/(COUNTIF($J451:$Q451,"x")+1),-$E451*N(L451)))</f>
        <v/>
      </c>
      <c r="AA451" s="34">
        <f>IF(OR($A451="",$H451&lt;&gt;"Ausgabe",M451=""),0,IF(M451="x",-$E451/(COUNTIF($J451:$Q451,"x")+1),-$E451*N(M451)))</f>
        <v/>
      </c>
      <c r="AB451" s="34">
        <f>IF(OR($A451="",$H451&lt;&gt;"Ausgabe",N451=""),0,IF(N451="x",-$E451/(COUNTIF($J451:$Q451,"x")+1),-$E451*N(N451)))</f>
        <v/>
      </c>
      <c r="AC451" s="34">
        <f>IF(OR($A451="",$H451&lt;&gt;"Ausgabe",O451=""),0,IF(O451="x",-$E451/(COUNTIF($J451:$Q451,"x")+1),-$E451*N(O451)))</f>
        <v/>
      </c>
      <c r="AD451" s="34">
        <f>IF(OR($A451="",$H451&lt;&gt;"Ausgabe",P451=""),0,IF(P451="x",-$E451/(COUNTIF($J451:$Q451,"x")+1),-$E451*N(P451)))</f>
        <v/>
      </c>
      <c r="AE451" s="34">
        <f>IF(OR($A451="",$H451&lt;&gt;"Ausgabe",Q451=""),0,IF(Q451="x",-$E451/(COUNTIF($J451:$Q451,"x")+1),-$E451*N(Q451)))</f>
        <v/>
      </c>
    </row>
    <row r="452">
      <c r="A452" s="30" t="n"/>
      <c r="E452" s="31" t="n"/>
      <c r="J452" s="32" t="n"/>
      <c r="K452" s="32" t="n"/>
      <c r="L452" s="32" t="n"/>
      <c r="M452" s="32" t="n"/>
      <c r="N452" s="32" t="n"/>
      <c r="O452" s="32" t="n"/>
      <c r="P452" s="32" t="n"/>
      <c r="Q452" s="32" t="n"/>
      <c r="U452" s="31">
        <f>IF($A452="","",SUM(X452:AE452))</f>
        <v/>
      </c>
      <c r="V452" s="31">
        <f>IF($A452="","",IF($H452&lt;&gt;"Ausgabe",0,-$E452-$U452))</f>
        <v/>
      </c>
      <c r="W452" s="33">
        <f>IF($A452="","",DATE(YEAR($A452),MONTH($A452),1))</f>
        <v/>
      </c>
      <c r="X452" s="34">
        <f>IF(OR($A452="",$H452&lt;&gt;"Ausgabe",J452=""),0,IF(J452="x",-$E452/(COUNTIF($J452:$Q452,"x")+1),-$E452*N(J452)))</f>
        <v/>
      </c>
      <c r="Y452" s="34">
        <f>IF(OR($A452="",$H452&lt;&gt;"Ausgabe",K452=""),0,IF(K452="x",-$E452/(COUNTIF($J452:$Q452,"x")+1),-$E452*N(K452)))</f>
        <v/>
      </c>
      <c r="Z452" s="34">
        <f>IF(OR($A452="",$H452&lt;&gt;"Ausgabe",L452=""),0,IF(L452="x",-$E452/(COUNTIF($J452:$Q452,"x")+1),-$E452*N(L452)))</f>
        <v/>
      </c>
      <c r="AA452" s="34">
        <f>IF(OR($A452="",$H452&lt;&gt;"Ausgabe",M452=""),0,IF(M452="x",-$E452/(COUNTIF($J452:$Q452,"x")+1),-$E452*N(M452)))</f>
        <v/>
      </c>
      <c r="AB452" s="34">
        <f>IF(OR($A452="",$H452&lt;&gt;"Ausgabe",N452=""),0,IF(N452="x",-$E452/(COUNTIF($J452:$Q452,"x")+1),-$E452*N(N452)))</f>
        <v/>
      </c>
      <c r="AC452" s="34">
        <f>IF(OR($A452="",$H452&lt;&gt;"Ausgabe",O452=""),0,IF(O452="x",-$E452/(COUNTIF($J452:$Q452,"x")+1),-$E452*N(O452)))</f>
        <v/>
      </c>
      <c r="AD452" s="34">
        <f>IF(OR($A452="",$H452&lt;&gt;"Ausgabe",P452=""),0,IF(P452="x",-$E452/(COUNTIF($J452:$Q452,"x")+1),-$E452*N(P452)))</f>
        <v/>
      </c>
      <c r="AE452" s="34">
        <f>IF(OR($A452="",$H452&lt;&gt;"Ausgabe",Q452=""),0,IF(Q452="x",-$E452/(COUNTIF($J452:$Q452,"x")+1),-$E452*N(Q452)))</f>
        <v/>
      </c>
    </row>
    <row r="453">
      <c r="A453" s="30" t="n"/>
      <c r="E453" s="31" t="n"/>
      <c r="J453" s="32" t="n"/>
      <c r="K453" s="32" t="n"/>
      <c r="L453" s="32" t="n"/>
      <c r="M453" s="32" t="n"/>
      <c r="N453" s="32" t="n"/>
      <c r="O453" s="32" t="n"/>
      <c r="P453" s="32" t="n"/>
      <c r="Q453" s="32" t="n"/>
      <c r="U453" s="31">
        <f>IF($A453="","",SUM(X453:AE453))</f>
        <v/>
      </c>
      <c r="V453" s="31">
        <f>IF($A453="","",IF($H453&lt;&gt;"Ausgabe",0,-$E453-$U453))</f>
        <v/>
      </c>
      <c r="W453" s="33">
        <f>IF($A453="","",DATE(YEAR($A453),MONTH($A453),1))</f>
        <v/>
      </c>
      <c r="X453" s="34">
        <f>IF(OR($A453="",$H453&lt;&gt;"Ausgabe",J453=""),0,IF(J453="x",-$E453/(COUNTIF($J453:$Q453,"x")+1),-$E453*N(J453)))</f>
        <v/>
      </c>
      <c r="Y453" s="34">
        <f>IF(OR($A453="",$H453&lt;&gt;"Ausgabe",K453=""),0,IF(K453="x",-$E453/(COUNTIF($J453:$Q453,"x")+1),-$E453*N(K453)))</f>
        <v/>
      </c>
      <c r="Z453" s="34">
        <f>IF(OR($A453="",$H453&lt;&gt;"Ausgabe",L453=""),0,IF(L453="x",-$E453/(COUNTIF($J453:$Q453,"x")+1),-$E453*N(L453)))</f>
        <v/>
      </c>
      <c r="AA453" s="34">
        <f>IF(OR($A453="",$H453&lt;&gt;"Ausgabe",M453=""),0,IF(M453="x",-$E453/(COUNTIF($J453:$Q453,"x")+1),-$E453*N(M453)))</f>
        <v/>
      </c>
      <c r="AB453" s="34">
        <f>IF(OR($A453="",$H453&lt;&gt;"Ausgabe",N453=""),0,IF(N453="x",-$E453/(COUNTIF($J453:$Q453,"x")+1),-$E453*N(N453)))</f>
        <v/>
      </c>
      <c r="AC453" s="34">
        <f>IF(OR($A453="",$H453&lt;&gt;"Ausgabe",O453=""),0,IF(O453="x",-$E453/(COUNTIF($J453:$Q453,"x")+1),-$E453*N(O453)))</f>
        <v/>
      </c>
      <c r="AD453" s="34">
        <f>IF(OR($A453="",$H453&lt;&gt;"Ausgabe",P453=""),0,IF(P453="x",-$E453/(COUNTIF($J453:$Q453,"x")+1),-$E453*N(P453)))</f>
        <v/>
      </c>
      <c r="AE453" s="34">
        <f>IF(OR($A453="",$H453&lt;&gt;"Ausgabe",Q453=""),0,IF(Q453="x",-$E453/(COUNTIF($J453:$Q453,"x")+1),-$E453*N(Q453)))</f>
        <v/>
      </c>
    </row>
    <row r="454">
      <c r="A454" s="30" t="n"/>
      <c r="E454" s="31" t="n"/>
      <c r="J454" s="32" t="n"/>
      <c r="K454" s="32" t="n"/>
      <c r="L454" s="32" t="n"/>
      <c r="M454" s="32" t="n"/>
      <c r="N454" s="32" t="n"/>
      <c r="O454" s="32" t="n"/>
      <c r="P454" s="32" t="n"/>
      <c r="Q454" s="32" t="n"/>
      <c r="U454" s="31">
        <f>IF($A454="","",SUM(X454:AE454))</f>
        <v/>
      </c>
      <c r="V454" s="31">
        <f>IF($A454="","",IF($H454&lt;&gt;"Ausgabe",0,-$E454-$U454))</f>
        <v/>
      </c>
      <c r="W454" s="33">
        <f>IF($A454="","",DATE(YEAR($A454),MONTH($A454),1))</f>
        <v/>
      </c>
      <c r="X454" s="34">
        <f>IF(OR($A454="",$H454&lt;&gt;"Ausgabe",J454=""),0,IF(J454="x",-$E454/(COUNTIF($J454:$Q454,"x")+1),-$E454*N(J454)))</f>
        <v/>
      </c>
      <c r="Y454" s="34">
        <f>IF(OR($A454="",$H454&lt;&gt;"Ausgabe",K454=""),0,IF(K454="x",-$E454/(COUNTIF($J454:$Q454,"x")+1),-$E454*N(K454)))</f>
        <v/>
      </c>
      <c r="Z454" s="34">
        <f>IF(OR($A454="",$H454&lt;&gt;"Ausgabe",L454=""),0,IF(L454="x",-$E454/(COUNTIF($J454:$Q454,"x")+1),-$E454*N(L454)))</f>
        <v/>
      </c>
      <c r="AA454" s="34">
        <f>IF(OR($A454="",$H454&lt;&gt;"Ausgabe",M454=""),0,IF(M454="x",-$E454/(COUNTIF($J454:$Q454,"x")+1),-$E454*N(M454)))</f>
        <v/>
      </c>
      <c r="AB454" s="34">
        <f>IF(OR($A454="",$H454&lt;&gt;"Ausgabe",N454=""),0,IF(N454="x",-$E454/(COUNTIF($J454:$Q454,"x")+1),-$E454*N(N454)))</f>
        <v/>
      </c>
      <c r="AC454" s="34">
        <f>IF(OR($A454="",$H454&lt;&gt;"Ausgabe",O454=""),0,IF(O454="x",-$E454/(COUNTIF($J454:$Q454,"x")+1),-$E454*N(O454)))</f>
        <v/>
      </c>
      <c r="AD454" s="34">
        <f>IF(OR($A454="",$H454&lt;&gt;"Ausgabe",P454=""),0,IF(P454="x",-$E454/(COUNTIF($J454:$Q454,"x")+1),-$E454*N(P454)))</f>
        <v/>
      </c>
      <c r="AE454" s="34">
        <f>IF(OR($A454="",$H454&lt;&gt;"Ausgabe",Q454=""),0,IF(Q454="x",-$E454/(COUNTIF($J454:$Q454,"x")+1),-$E454*N(Q454)))</f>
        <v/>
      </c>
    </row>
    <row r="455">
      <c r="A455" s="30" t="n"/>
      <c r="E455" s="31" t="n"/>
      <c r="J455" s="32" t="n"/>
      <c r="K455" s="32" t="n"/>
      <c r="L455" s="32" t="n"/>
      <c r="M455" s="32" t="n"/>
      <c r="N455" s="32" t="n"/>
      <c r="O455" s="32" t="n"/>
      <c r="P455" s="32" t="n"/>
      <c r="Q455" s="32" t="n"/>
      <c r="U455" s="31">
        <f>IF($A455="","",SUM(X455:AE455))</f>
        <v/>
      </c>
      <c r="V455" s="31">
        <f>IF($A455="","",IF($H455&lt;&gt;"Ausgabe",0,-$E455-$U455))</f>
        <v/>
      </c>
      <c r="W455" s="33">
        <f>IF($A455="","",DATE(YEAR($A455),MONTH($A455),1))</f>
        <v/>
      </c>
      <c r="X455" s="34">
        <f>IF(OR($A455="",$H455&lt;&gt;"Ausgabe",J455=""),0,IF(J455="x",-$E455/(COUNTIF($J455:$Q455,"x")+1),-$E455*N(J455)))</f>
        <v/>
      </c>
      <c r="Y455" s="34">
        <f>IF(OR($A455="",$H455&lt;&gt;"Ausgabe",K455=""),0,IF(K455="x",-$E455/(COUNTIF($J455:$Q455,"x")+1),-$E455*N(K455)))</f>
        <v/>
      </c>
      <c r="Z455" s="34">
        <f>IF(OR($A455="",$H455&lt;&gt;"Ausgabe",L455=""),0,IF(L455="x",-$E455/(COUNTIF($J455:$Q455,"x")+1),-$E455*N(L455)))</f>
        <v/>
      </c>
      <c r="AA455" s="34">
        <f>IF(OR($A455="",$H455&lt;&gt;"Ausgabe",M455=""),0,IF(M455="x",-$E455/(COUNTIF($J455:$Q455,"x")+1),-$E455*N(M455)))</f>
        <v/>
      </c>
      <c r="AB455" s="34">
        <f>IF(OR($A455="",$H455&lt;&gt;"Ausgabe",N455=""),0,IF(N455="x",-$E455/(COUNTIF($J455:$Q455,"x")+1),-$E455*N(N455)))</f>
        <v/>
      </c>
      <c r="AC455" s="34">
        <f>IF(OR($A455="",$H455&lt;&gt;"Ausgabe",O455=""),0,IF(O455="x",-$E455/(COUNTIF($J455:$Q455,"x")+1),-$E455*N(O455)))</f>
        <v/>
      </c>
      <c r="AD455" s="34">
        <f>IF(OR($A455="",$H455&lt;&gt;"Ausgabe",P455=""),0,IF(P455="x",-$E455/(COUNTIF($J455:$Q455,"x")+1),-$E455*N(P455)))</f>
        <v/>
      </c>
      <c r="AE455" s="34">
        <f>IF(OR($A455="",$H455&lt;&gt;"Ausgabe",Q455=""),0,IF(Q455="x",-$E455/(COUNTIF($J455:$Q455,"x")+1),-$E455*N(Q455)))</f>
        <v/>
      </c>
    </row>
    <row r="456">
      <c r="A456" s="30" t="n"/>
      <c r="E456" s="31" t="n"/>
      <c r="J456" s="32" t="n"/>
      <c r="K456" s="32" t="n"/>
      <c r="L456" s="32" t="n"/>
      <c r="M456" s="32" t="n"/>
      <c r="N456" s="32" t="n"/>
      <c r="O456" s="32" t="n"/>
      <c r="P456" s="32" t="n"/>
      <c r="Q456" s="32" t="n"/>
      <c r="U456" s="31">
        <f>IF($A456="","",SUM(X456:AE456))</f>
        <v/>
      </c>
      <c r="V456" s="31">
        <f>IF($A456="","",IF($H456&lt;&gt;"Ausgabe",0,-$E456-$U456))</f>
        <v/>
      </c>
      <c r="W456" s="33">
        <f>IF($A456="","",DATE(YEAR($A456),MONTH($A456),1))</f>
        <v/>
      </c>
      <c r="X456" s="34">
        <f>IF(OR($A456="",$H456&lt;&gt;"Ausgabe",J456=""),0,IF(J456="x",-$E456/(COUNTIF($J456:$Q456,"x")+1),-$E456*N(J456)))</f>
        <v/>
      </c>
      <c r="Y456" s="34">
        <f>IF(OR($A456="",$H456&lt;&gt;"Ausgabe",K456=""),0,IF(K456="x",-$E456/(COUNTIF($J456:$Q456,"x")+1),-$E456*N(K456)))</f>
        <v/>
      </c>
      <c r="Z456" s="34">
        <f>IF(OR($A456="",$H456&lt;&gt;"Ausgabe",L456=""),0,IF(L456="x",-$E456/(COUNTIF($J456:$Q456,"x")+1),-$E456*N(L456)))</f>
        <v/>
      </c>
      <c r="AA456" s="34">
        <f>IF(OR($A456="",$H456&lt;&gt;"Ausgabe",M456=""),0,IF(M456="x",-$E456/(COUNTIF($J456:$Q456,"x")+1),-$E456*N(M456)))</f>
        <v/>
      </c>
      <c r="AB456" s="34">
        <f>IF(OR($A456="",$H456&lt;&gt;"Ausgabe",N456=""),0,IF(N456="x",-$E456/(COUNTIF($J456:$Q456,"x")+1),-$E456*N(N456)))</f>
        <v/>
      </c>
      <c r="AC456" s="34">
        <f>IF(OR($A456="",$H456&lt;&gt;"Ausgabe",O456=""),0,IF(O456="x",-$E456/(COUNTIF($J456:$Q456,"x")+1),-$E456*N(O456)))</f>
        <v/>
      </c>
      <c r="AD456" s="34">
        <f>IF(OR($A456="",$H456&lt;&gt;"Ausgabe",P456=""),0,IF(P456="x",-$E456/(COUNTIF($J456:$Q456,"x")+1),-$E456*N(P456)))</f>
        <v/>
      </c>
      <c r="AE456" s="34">
        <f>IF(OR($A456="",$H456&lt;&gt;"Ausgabe",Q456=""),0,IF(Q456="x",-$E456/(COUNTIF($J456:$Q456,"x")+1),-$E456*N(Q456)))</f>
        <v/>
      </c>
    </row>
    <row r="457">
      <c r="A457" s="30" t="n"/>
      <c r="E457" s="31" t="n"/>
      <c r="J457" s="32" t="n"/>
      <c r="K457" s="32" t="n"/>
      <c r="L457" s="32" t="n"/>
      <c r="M457" s="32" t="n"/>
      <c r="N457" s="32" t="n"/>
      <c r="O457" s="32" t="n"/>
      <c r="P457" s="32" t="n"/>
      <c r="Q457" s="32" t="n"/>
      <c r="U457" s="31">
        <f>IF($A457="","",SUM(X457:AE457))</f>
        <v/>
      </c>
      <c r="V457" s="31">
        <f>IF($A457="","",IF($H457&lt;&gt;"Ausgabe",0,-$E457-$U457))</f>
        <v/>
      </c>
      <c r="W457" s="33">
        <f>IF($A457="","",DATE(YEAR($A457),MONTH($A457),1))</f>
        <v/>
      </c>
      <c r="X457" s="34">
        <f>IF(OR($A457="",$H457&lt;&gt;"Ausgabe",J457=""),0,IF(J457="x",-$E457/(COUNTIF($J457:$Q457,"x")+1),-$E457*N(J457)))</f>
        <v/>
      </c>
      <c r="Y457" s="34">
        <f>IF(OR($A457="",$H457&lt;&gt;"Ausgabe",K457=""),0,IF(K457="x",-$E457/(COUNTIF($J457:$Q457,"x")+1),-$E457*N(K457)))</f>
        <v/>
      </c>
      <c r="Z457" s="34">
        <f>IF(OR($A457="",$H457&lt;&gt;"Ausgabe",L457=""),0,IF(L457="x",-$E457/(COUNTIF($J457:$Q457,"x")+1),-$E457*N(L457)))</f>
        <v/>
      </c>
      <c r="AA457" s="34">
        <f>IF(OR($A457="",$H457&lt;&gt;"Ausgabe",M457=""),0,IF(M457="x",-$E457/(COUNTIF($J457:$Q457,"x")+1),-$E457*N(M457)))</f>
        <v/>
      </c>
      <c r="AB457" s="34">
        <f>IF(OR($A457="",$H457&lt;&gt;"Ausgabe",N457=""),0,IF(N457="x",-$E457/(COUNTIF($J457:$Q457,"x")+1),-$E457*N(N457)))</f>
        <v/>
      </c>
      <c r="AC457" s="34">
        <f>IF(OR($A457="",$H457&lt;&gt;"Ausgabe",O457=""),0,IF(O457="x",-$E457/(COUNTIF($J457:$Q457,"x")+1),-$E457*N(O457)))</f>
        <v/>
      </c>
      <c r="AD457" s="34">
        <f>IF(OR($A457="",$H457&lt;&gt;"Ausgabe",P457=""),0,IF(P457="x",-$E457/(COUNTIF($J457:$Q457,"x")+1),-$E457*N(P457)))</f>
        <v/>
      </c>
      <c r="AE457" s="34">
        <f>IF(OR($A457="",$H457&lt;&gt;"Ausgabe",Q457=""),0,IF(Q457="x",-$E457/(COUNTIF($J457:$Q457,"x")+1),-$E457*N(Q457)))</f>
        <v/>
      </c>
    </row>
    <row r="458">
      <c r="A458" s="30" t="n"/>
      <c r="E458" s="31" t="n"/>
      <c r="J458" s="32" t="n"/>
      <c r="K458" s="32" t="n"/>
      <c r="L458" s="32" t="n"/>
      <c r="M458" s="32" t="n"/>
      <c r="N458" s="32" t="n"/>
      <c r="O458" s="32" t="n"/>
      <c r="P458" s="32" t="n"/>
      <c r="Q458" s="32" t="n"/>
      <c r="U458" s="31">
        <f>IF($A458="","",SUM(X458:AE458))</f>
        <v/>
      </c>
      <c r="V458" s="31">
        <f>IF($A458="","",IF($H458&lt;&gt;"Ausgabe",0,-$E458-$U458))</f>
        <v/>
      </c>
      <c r="W458" s="33">
        <f>IF($A458="","",DATE(YEAR($A458),MONTH($A458),1))</f>
        <v/>
      </c>
      <c r="X458" s="34">
        <f>IF(OR($A458="",$H458&lt;&gt;"Ausgabe",J458=""),0,IF(J458="x",-$E458/(COUNTIF($J458:$Q458,"x")+1),-$E458*N(J458)))</f>
        <v/>
      </c>
      <c r="Y458" s="34">
        <f>IF(OR($A458="",$H458&lt;&gt;"Ausgabe",K458=""),0,IF(K458="x",-$E458/(COUNTIF($J458:$Q458,"x")+1),-$E458*N(K458)))</f>
        <v/>
      </c>
      <c r="Z458" s="34">
        <f>IF(OR($A458="",$H458&lt;&gt;"Ausgabe",L458=""),0,IF(L458="x",-$E458/(COUNTIF($J458:$Q458,"x")+1),-$E458*N(L458)))</f>
        <v/>
      </c>
      <c r="AA458" s="34">
        <f>IF(OR($A458="",$H458&lt;&gt;"Ausgabe",M458=""),0,IF(M458="x",-$E458/(COUNTIF($J458:$Q458,"x")+1),-$E458*N(M458)))</f>
        <v/>
      </c>
      <c r="AB458" s="34">
        <f>IF(OR($A458="",$H458&lt;&gt;"Ausgabe",N458=""),0,IF(N458="x",-$E458/(COUNTIF($J458:$Q458,"x")+1),-$E458*N(N458)))</f>
        <v/>
      </c>
      <c r="AC458" s="34">
        <f>IF(OR($A458="",$H458&lt;&gt;"Ausgabe",O458=""),0,IF(O458="x",-$E458/(COUNTIF($J458:$Q458,"x")+1),-$E458*N(O458)))</f>
        <v/>
      </c>
      <c r="AD458" s="34">
        <f>IF(OR($A458="",$H458&lt;&gt;"Ausgabe",P458=""),0,IF(P458="x",-$E458/(COUNTIF($J458:$Q458,"x")+1),-$E458*N(P458)))</f>
        <v/>
      </c>
      <c r="AE458" s="34">
        <f>IF(OR($A458="",$H458&lt;&gt;"Ausgabe",Q458=""),0,IF(Q458="x",-$E458/(COUNTIF($J458:$Q458,"x")+1),-$E458*N(Q458)))</f>
        <v/>
      </c>
    </row>
    <row r="459">
      <c r="A459" s="30" t="n"/>
      <c r="E459" s="31" t="n"/>
      <c r="J459" s="32" t="n"/>
      <c r="K459" s="32" t="n"/>
      <c r="L459" s="32" t="n"/>
      <c r="M459" s="32" t="n"/>
      <c r="N459" s="32" t="n"/>
      <c r="O459" s="32" t="n"/>
      <c r="P459" s="32" t="n"/>
      <c r="Q459" s="32" t="n"/>
      <c r="U459" s="31">
        <f>IF($A459="","",SUM(X459:AE459))</f>
        <v/>
      </c>
      <c r="V459" s="31">
        <f>IF($A459="","",IF($H459&lt;&gt;"Ausgabe",0,-$E459-$U459))</f>
        <v/>
      </c>
      <c r="W459" s="33">
        <f>IF($A459="","",DATE(YEAR($A459),MONTH($A459),1))</f>
        <v/>
      </c>
      <c r="X459" s="34">
        <f>IF(OR($A459="",$H459&lt;&gt;"Ausgabe",J459=""),0,IF(J459="x",-$E459/(COUNTIF($J459:$Q459,"x")+1),-$E459*N(J459)))</f>
        <v/>
      </c>
      <c r="Y459" s="34">
        <f>IF(OR($A459="",$H459&lt;&gt;"Ausgabe",K459=""),0,IF(K459="x",-$E459/(COUNTIF($J459:$Q459,"x")+1),-$E459*N(K459)))</f>
        <v/>
      </c>
      <c r="Z459" s="34">
        <f>IF(OR($A459="",$H459&lt;&gt;"Ausgabe",L459=""),0,IF(L459="x",-$E459/(COUNTIF($J459:$Q459,"x")+1),-$E459*N(L459)))</f>
        <v/>
      </c>
      <c r="AA459" s="34">
        <f>IF(OR($A459="",$H459&lt;&gt;"Ausgabe",M459=""),0,IF(M459="x",-$E459/(COUNTIF($J459:$Q459,"x")+1),-$E459*N(M459)))</f>
        <v/>
      </c>
      <c r="AB459" s="34">
        <f>IF(OR($A459="",$H459&lt;&gt;"Ausgabe",N459=""),0,IF(N459="x",-$E459/(COUNTIF($J459:$Q459,"x")+1),-$E459*N(N459)))</f>
        <v/>
      </c>
      <c r="AC459" s="34">
        <f>IF(OR($A459="",$H459&lt;&gt;"Ausgabe",O459=""),0,IF(O459="x",-$E459/(COUNTIF($J459:$Q459,"x")+1),-$E459*N(O459)))</f>
        <v/>
      </c>
      <c r="AD459" s="34">
        <f>IF(OR($A459="",$H459&lt;&gt;"Ausgabe",P459=""),0,IF(P459="x",-$E459/(COUNTIF($J459:$Q459,"x")+1),-$E459*N(P459)))</f>
        <v/>
      </c>
      <c r="AE459" s="34">
        <f>IF(OR($A459="",$H459&lt;&gt;"Ausgabe",Q459=""),0,IF(Q459="x",-$E459/(COUNTIF($J459:$Q459,"x")+1),-$E459*N(Q459)))</f>
        <v/>
      </c>
    </row>
    <row r="460">
      <c r="A460" s="30" t="n"/>
      <c r="E460" s="31" t="n"/>
      <c r="J460" s="32" t="n"/>
      <c r="K460" s="32" t="n"/>
      <c r="L460" s="32" t="n"/>
      <c r="M460" s="32" t="n"/>
      <c r="N460" s="32" t="n"/>
      <c r="O460" s="32" t="n"/>
      <c r="P460" s="32" t="n"/>
      <c r="Q460" s="32" t="n"/>
      <c r="U460" s="31">
        <f>IF($A460="","",SUM(X460:AE460))</f>
        <v/>
      </c>
      <c r="V460" s="31">
        <f>IF($A460="","",IF($H460&lt;&gt;"Ausgabe",0,-$E460-$U460))</f>
        <v/>
      </c>
      <c r="W460" s="33">
        <f>IF($A460="","",DATE(YEAR($A460),MONTH($A460),1))</f>
        <v/>
      </c>
      <c r="X460" s="34">
        <f>IF(OR($A460="",$H460&lt;&gt;"Ausgabe",J460=""),0,IF(J460="x",-$E460/(COUNTIF($J460:$Q460,"x")+1),-$E460*N(J460)))</f>
        <v/>
      </c>
      <c r="Y460" s="34">
        <f>IF(OR($A460="",$H460&lt;&gt;"Ausgabe",K460=""),0,IF(K460="x",-$E460/(COUNTIF($J460:$Q460,"x")+1),-$E460*N(K460)))</f>
        <v/>
      </c>
      <c r="Z460" s="34">
        <f>IF(OR($A460="",$H460&lt;&gt;"Ausgabe",L460=""),0,IF(L460="x",-$E460/(COUNTIF($J460:$Q460,"x")+1),-$E460*N(L460)))</f>
        <v/>
      </c>
      <c r="AA460" s="34">
        <f>IF(OR($A460="",$H460&lt;&gt;"Ausgabe",M460=""),0,IF(M460="x",-$E460/(COUNTIF($J460:$Q460,"x")+1),-$E460*N(M460)))</f>
        <v/>
      </c>
      <c r="AB460" s="34">
        <f>IF(OR($A460="",$H460&lt;&gt;"Ausgabe",N460=""),0,IF(N460="x",-$E460/(COUNTIF($J460:$Q460,"x")+1),-$E460*N(N460)))</f>
        <v/>
      </c>
      <c r="AC460" s="34">
        <f>IF(OR($A460="",$H460&lt;&gt;"Ausgabe",O460=""),0,IF(O460="x",-$E460/(COUNTIF($J460:$Q460,"x")+1),-$E460*N(O460)))</f>
        <v/>
      </c>
      <c r="AD460" s="34">
        <f>IF(OR($A460="",$H460&lt;&gt;"Ausgabe",P460=""),0,IF(P460="x",-$E460/(COUNTIF($J460:$Q460,"x")+1),-$E460*N(P460)))</f>
        <v/>
      </c>
      <c r="AE460" s="34">
        <f>IF(OR($A460="",$H460&lt;&gt;"Ausgabe",Q460=""),0,IF(Q460="x",-$E460/(COUNTIF($J460:$Q460,"x")+1),-$E460*N(Q460)))</f>
        <v/>
      </c>
    </row>
    <row r="461">
      <c r="A461" s="30" t="n"/>
      <c r="E461" s="31" t="n"/>
      <c r="J461" s="32" t="n"/>
      <c r="K461" s="32" t="n"/>
      <c r="L461" s="32" t="n"/>
      <c r="M461" s="32" t="n"/>
      <c r="N461" s="32" t="n"/>
      <c r="O461" s="32" t="n"/>
      <c r="P461" s="32" t="n"/>
      <c r="Q461" s="32" t="n"/>
      <c r="U461" s="31">
        <f>IF($A461="","",SUM(X461:AE461))</f>
        <v/>
      </c>
      <c r="V461" s="31">
        <f>IF($A461="","",IF($H461&lt;&gt;"Ausgabe",0,-$E461-$U461))</f>
        <v/>
      </c>
      <c r="W461" s="33">
        <f>IF($A461="","",DATE(YEAR($A461),MONTH($A461),1))</f>
        <v/>
      </c>
      <c r="X461" s="34">
        <f>IF(OR($A461="",$H461&lt;&gt;"Ausgabe",J461=""),0,IF(J461="x",-$E461/(COUNTIF($J461:$Q461,"x")+1),-$E461*N(J461)))</f>
        <v/>
      </c>
      <c r="Y461" s="34">
        <f>IF(OR($A461="",$H461&lt;&gt;"Ausgabe",K461=""),0,IF(K461="x",-$E461/(COUNTIF($J461:$Q461,"x")+1),-$E461*N(K461)))</f>
        <v/>
      </c>
      <c r="Z461" s="34">
        <f>IF(OR($A461="",$H461&lt;&gt;"Ausgabe",L461=""),0,IF(L461="x",-$E461/(COUNTIF($J461:$Q461,"x")+1),-$E461*N(L461)))</f>
        <v/>
      </c>
      <c r="AA461" s="34">
        <f>IF(OR($A461="",$H461&lt;&gt;"Ausgabe",M461=""),0,IF(M461="x",-$E461/(COUNTIF($J461:$Q461,"x")+1),-$E461*N(M461)))</f>
        <v/>
      </c>
      <c r="AB461" s="34">
        <f>IF(OR($A461="",$H461&lt;&gt;"Ausgabe",N461=""),0,IF(N461="x",-$E461/(COUNTIF($J461:$Q461,"x")+1),-$E461*N(N461)))</f>
        <v/>
      </c>
      <c r="AC461" s="34">
        <f>IF(OR($A461="",$H461&lt;&gt;"Ausgabe",O461=""),0,IF(O461="x",-$E461/(COUNTIF($J461:$Q461,"x")+1),-$E461*N(O461)))</f>
        <v/>
      </c>
      <c r="AD461" s="34">
        <f>IF(OR($A461="",$H461&lt;&gt;"Ausgabe",P461=""),0,IF(P461="x",-$E461/(COUNTIF($J461:$Q461,"x")+1),-$E461*N(P461)))</f>
        <v/>
      </c>
      <c r="AE461" s="34">
        <f>IF(OR($A461="",$H461&lt;&gt;"Ausgabe",Q461=""),0,IF(Q461="x",-$E461/(COUNTIF($J461:$Q461,"x")+1),-$E461*N(Q461)))</f>
        <v/>
      </c>
    </row>
    <row r="462">
      <c r="A462" s="30" t="n"/>
      <c r="E462" s="31" t="n"/>
      <c r="J462" s="32" t="n"/>
      <c r="K462" s="32" t="n"/>
      <c r="L462" s="32" t="n"/>
      <c r="M462" s="32" t="n"/>
      <c r="N462" s="32" t="n"/>
      <c r="O462" s="32" t="n"/>
      <c r="P462" s="32" t="n"/>
      <c r="Q462" s="32" t="n"/>
      <c r="U462" s="31">
        <f>IF($A462="","",SUM(X462:AE462))</f>
        <v/>
      </c>
      <c r="V462" s="31">
        <f>IF($A462="","",IF($H462&lt;&gt;"Ausgabe",0,-$E462-$U462))</f>
        <v/>
      </c>
      <c r="W462" s="33">
        <f>IF($A462="","",DATE(YEAR($A462),MONTH($A462),1))</f>
        <v/>
      </c>
      <c r="X462" s="34">
        <f>IF(OR($A462="",$H462&lt;&gt;"Ausgabe",J462=""),0,IF(J462="x",-$E462/(COUNTIF($J462:$Q462,"x")+1),-$E462*N(J462)))</f>
        <v/>
      </c>
      <c r="Y462" s="34">
        <f>IF(OR($A462="",$H462&lt;&gt;"Ausgabe",K462=""),0,IF(K462="x",-$E462/(COUNTIF($J462:$Q462,"x")+1),-$E462*N(K462)))</f>
        <v/>
      </c>
      <c r="Z462" s="34">
        <f>IF(OR($A462="",$H462&lt;&gt;"Ausgabe",L462=""),0,IF(L462="x",-$E462/(COUNTIF($J462:$Q462,"x")+1),-$E462*N(L462)))</f>
        <v/>
      </c>
      <c r="AA462" s="34">
        <f>IF(OR($A462="",$H462&lt;&gt;"Ausgabe",M462=""),0,IF(M462="x",-$E462/(COUNTIF($J462:$Q462,"x")+1),-$E462*N(M462)))</f>
        <v/>
      </c>
      <c r="AB462" s="34">
        <f>IF(OR($A462="",$H462&lt;&gt;"Ausgabe",N462=""),0,IF(N462="x",-$E462/(COUNTIF($J462:$Q462,"x")+1),-$E462*N(N462)))</f>
        <v/>
      </c>
      <c r="AC462" s="34">
        <f>IF(OR($A462="",$H462&lt;&gt;"Ausgabe",O462=""),0,IF(O462="x",-$E462/(COUNTIF($J462:$Q462,"x")+1),-$E462*N(O462)))</f>
        <v/>
      </c>
      <c r="AD462" s="34">
        <f>IF(OR($A462="",$H462&lt;&gt;"Ausgabe",P462=""),0,IF(P462="x",-$E462/(COUNTIF($J462:$Q462,"x")+1),-$E462*N(P462)))</f>
        <v/>
      </c>
      <c r="AE462" s="34">
        <f>IF(OR($A462="",$H462&lt;&gt;"Ausgabe",Q462=""),0,IF(Q462="x",-$E462/(COUNTIF($J462:$Q462,"x")+1),-$E462*N(Q462)))</f>
        <v/>
      </c>
    </row>
    <row r="463">
      <c r="A463" s="30" t="n"/>
      <c r="E463" s="31" t="n"/>
      <c r="J463" s="32" t="n"/>
      <c r="K463" s="32" t="n"/>
      <c r="L463" s="32" t="n"/>
      <c r="M463" s="32" t="n"/>
      <c r="N463" s="32" t="n"/>
      <c r="O463" s="32" t="n"/>
      <c r="P463" s="32" t="n"/>
      <c r="Q463" s="32" t="n"/>
      <c r="U463" s="31">
        <f>IF($A463="","",SUM(X463:AE463))</f>
        <v/>
      </c>
      <c r="V463" s="31">
        <f>IF($A463="","",IF($H463&lt;&gt;"Ausgabe",0,-$E463-$U463))</f>
        <v/>
      </c>
      <c r="W463" s="33">
        <f>IF($A463="","",DATE(YEAR($A463),MONTH($A463),1))</f>
        <v/>
      </c>
      <c r="X463" s="34">
        <f>IF(OR($A463="",$H463&lt;&gt;"Ausgabe",J463=""),0,IF(J463="x",-$E463/(COUNTIF($J463:$Q463,"x")+1),-$E463*N(J463)))</f>
        <v/>
      </c>
      <c r="Y463" s="34">
        <f>IF(OR($A463="",$H463&lt;&gt;"Ausgabe",K463=""),0,IF(K463="x",-$E463/(COUNTIF($J463:$Q463,"x")+1),-$E463*N(K463)))</f>
        <v/>
      </c>
      <c r="Z463" s="34">
        <f>IF(OR($A463="",$H463&lt;&gt;"Ausgabe",L463=""),0,IF(L463="x",-$E463/(COUNTIF($J463:$Q463,"x")+1),-$E463*N(L463)))</f>
        <v/>
      </c>
      <c r="AA463" s="34">
        <f>IF(OR($A463="",$H463&lt;&gt;"Ausgabe",M463=""),0,IF(M463="x",-$E463/(COUNTIF($J463:$Q463,"x")+1),-$E463*N(M463)))</f>
        <v/>
      </c>
      <c r="AB463" s="34">
        <f>IF(OR($A463="",$H463&lt;&gt;"Ausgabe",N463=""),0,IF(N463="x",-$E463/(COUNTIF($J463:$Q463,"x")+1),-$E463*N(N463)))</f>
        <v/>
      </c>
      <c r="AC463" s="34">
        <f>IF(OR($A463="",$H463&lt;&gt;"Ausgabe",O463=""),0,IF(O463="x",-$E463/(COUNTIF($J463:$Q463,"x")+1),-$E463*N(O463)))</f>
        <v/>
      </c>
      <c r="AD463" s="34">
        <f>IF(OR($A463="",$H463&lt;&gt;"Ausgabe",P463=""),0,IF(P463="x",-$E463/(COUNTIF($J463:$Q463,"x")+1),-$E463*N(P463)))</f>
        <v/>
      </c>
      <c r="AE463" s="34">
        <f>IF(OR($A463="",$H463&lt;&gt;"Ausgabe",Q463=""),0,IF(Q463="x",-$E463/(COUNTIF($J463:$Q463,"x")+1),-$E463*N(Q463)))</f>
        <v/>
      </c>
    </row>
    <row r="464">
      <c r="A464" s="30" t="n"/>
      <c r="E464" s="31" t="n"/>
      <c r="J464" s="32" t="n"/>
      <c r="K464" s="32" t="n"/>
      <c r="L464" s="32" t="n"/>
      <c r="M464" s="32" t="n"/>
      <c r="N464" s="32" t="n"/>
      <c r="O464" s="32" t="n"/>
      <c r="P464" s="32" t="n"/>
      <c r="Q464" s="32" t="n"/>
      <c r="U464" s="31">
        <f>IF($A464="","",SUM(X464:AE464))</f>
        <v/>
      </c>
      <c r="V464" s="31">
        <f>IF($A464="","",IF($H464&lt;&gt;"Ausgabe",0,-$E464-$U464))</f>
        <v/>
      </c>
      <c r="W464" s="33">
        <f>IF($A464="","",DATE(YEAR($A464),MONTH($A464),1))</f>
        <v/>
      </c>
      <c r="X464" s="34">
        <f>IF(OR($A464="",$H464&lt;&gt;"Ausgabe",J464=""),0,IF(J464="x",-$E464/(COUNTIF($J464:$Q464,"x")+1),-$E464*N(J464)))</f>
        <v/>
      </c>
      <c r="Y464" s="34">
        <f>IF(OR($A464="",$H464&lt;&gt;"Ausgabe",K464=""),0,IF(K464="x",-$E464/(COUNTIF($J464:$Q464,"x")+1),-$E464*N(K464)))</f>
        <v/>
      </c>
      <c r="Z464" s="34">
        <f>IF(OR($A464="",$H464&lt;&gt;"Ausgabe",L464=""),0,IF(L464="x",-$E464/(COUNTIF($J464:$Q464,"x")+1),-$E464*N(L464)))</f>
        <v/>
      </c>
      <c r="AA464" s="34">
        <f>IF(OR($A464="",$H464&lt;&gt;"Ausgabe",M464=""),0,IF(M464="x",-$E464/(COUNTIF($J464:$Q464,"x")+1),-$E464*N(M464)))</f>
        <v/>
      </c>
      <c r="AB464" s="34">
        <f>IF(OR($A464="",$H464&lt;&gt;"Ausgabe",N464=""),0,IF(N464="x",-$E464/(COUNTIF($J464:$Q464,"x")+1),-$E464*N(N464)))</f>
        <v/>
      </c>
      <c r="AC464" s="34">
        <f>IF(OR($A464="",$H464&lt;&gt;"Ausgabe",O464=""),0,IF(O464="x",-$E464/(COUNTIF($J464:$Q464,"x")+1),-$E464*N(O464)))</f>
        <v/>
      </c>
      <c r="AD464" s="34">
        <f>IF(OR($A464="",$H464&lt;&gt;"Ausgabe",P464=""),0,IF(P464="x",-$E464/(COUNTIF($J464:$Q464,"x")+1),-$E464*N(P464)))</f>
        <v/>
      </c>
      <c r="AE464" s="34">
        <f>IF(OR($A464="",$H464&lt;&gt;"Ausgabe",Q464=""),0,IF(Q464="x",-$E464/(COUNTIF($J464:$Q464,"x")+1),-$E464*N(Q464)))</f>
        <v/>
      </c>
    </row>
    <row r="465">
      <c r="A465" s="30" t="n"/>
      <c r="E465" s="31" t="n"/>
      <c r="J465" s="32" t="n"/>
      <c r="K465" s="32" t="n"/>
      <c r="L465" s="32" t="n"/>
      <c r="M465" s="32" t="n"/>
      <c r="N465" s="32" t="n"/>
      <c r="O465" s="32" t="n"/>
      <c r="P465" s="32" t="n"/>
      <c r="Q465" s="32" t="n"/>
      <c r="U465" s="31">
        <f>IF($A465="","",SUM(X465:AE465))</f>
        <v/>
      </c>
      <c r="V465" s="31">
        <f>IF($A465="","",IF($H465&lt;&gt;"Ausgabe",0,-$E465-$U465))</f>
        <v/>
      </c>
      <c r="W465" s="33">
        <f>IF($A465="","",DATE(YEAR($A465),MONTH($A465),1))</f>
        <v/>
      </c>
      <c r="X465" s="34">
        <f>IF(OR($A465="",$H465&lt;&gt;"Ausgabe",J465=""),0,IF(J465="x",-$E465/(COUNTIF($J465:$Q465,"x")+1),-$E465*N(J465)))</f>
        <v/>
      </c>
      <c r="Y465" s="34">
        <f>IF(OR($A465="",$H465&lt;&gt;"Ausgabe",K465=""),0,IF(K465="x",-$E465/(COUNTIF($J465:$Q465,"x")+1),-$E465*N(K465)))</f>
        <v/>
      </c>
      <c r="Z465" s="34">
        <f>IF(OR($A465="",$H465&lt;&gt;"Ausgabe",L465=""),0,IF(L465="x",-$E465/(COUNTIF($J465:$Q465,"x")+1),-$E465*N(L465)))</f>
        <v/>
      </c>
      <c r="AA465" s="34">
        <f>IF(OR($A465="",$H465&lt;&gt;"Ausgabe",M465=""),0,IF(M465="x",-$E465/(COUNTIF($J465:$Q465,"x")+1),-$E465*N(M465)))</f>
        <v/>
      </c>
      <c r="AB465" s="34">
        <f>IF(OR($A465="",$H465&lt;&gt;"Ausgabe",N465=""),0,IF(N465="x",-$E465/(COUNTIF($J465:$Q465,"x")+1),-$E465*N(N465)))</f>
        <v/>
      </c>
      <c r="AC465" s="34">
        <f>IF(OR($A465="",$H465&lt;&gt;"Ausgabe",O465=""),0,IF(O465="x",-$E465/(COUNTIF($J465:$Q465,"x")+1),-$E465*N(O465)))</f>
        <v/>
      </c>
      <c r="AD465" s="34">
        <f>IF(OR($A465="",$H465&lt;&gt;"Ausgabe",P465=""),0,IF(P465="x",-$E465/(COUNTIF($J465:$Q465,"x")+1),-$E465*N(P465)))</f>
        <v/>
      </c>
      <c r="AE465" s="34">
        <f>IF(OR($A465="",$H465&lt;&gt;"Ausgabe",Q465=""),0,IF(Q465="x",-$E465/(COUNTIF($J465:$Q465,"x")+1),-$E465*N(Q465)))</f>
        <v/>
      </c>
    </row>
    <row r="466">
      <c r="A466" s="30" t="n"/>
      <c r="E466" s="31" t="n"/>
      <c r="J466" s="32" t="n"/>
      <c r="K466" s="32" t="n"/>
      <c r="L466" s="32" t="n"/>
      <c r="M466" s="32" t="n"/>
      <c r="N466" s="32" t="n"/>
      <c r="O466" s="32" t="n"/>
      <c r="P466" s="32" t="n"/>
      <c r="Q466" s="32" t="n"/>
      <c r="U466" s="31">
        <f>IF($A466="","",SUM(X466:AE466))</f>
        <v/>
      </c>
      <c r="V466" s="31">
        <f>IF($A466="","",IF($H466&lt;&gt;"Ausgabe",0,-$E466-$U466))</f>
        <v/>
      </c>
      <c r="W466" s="33">
        <f>IF($A466="","",DATE(YEAR($A466),MONTH($A466),1))</f>
        <v/>
      </c>
      <c r="X466" s="34">
        <f>IF(OR($A466="",$H466&lt;&gt;"Ausgabe",J466=""),0,IF(J466="x",-$E466/(COUNTIF($J466:$Q466,"x")+1),-$E466*N(J466)))</f>
        <v/>
      </c>
      <c r="Y466" s="34">
        <f>IF(OR($A466="",$H466&lt;&gt;"Ausgabe",K466=""),0,IF(K466="x",-$E466/(COUNTIF($J466:$Q466,"x")+1),-$E466*N(K466)))</f>
        <v/>
      </c>
      <c r="Z466" s="34">
        <f>IF(OR($A466="",$H466&lt;&gt;"Ausgabe",L466=""),0,IF(L466="x",-$E466/(COUNTIF($J466:$Q466,"x")+1),-$E466*N(L466)))</f>
        <v/>
      </c>
      <c r="AA466" s="34">
        <f>IF(OR($A466="",$H466&lt;&gt;"Ausgabe",M466=""),0,IF(M466="x",-$E466/(COUNTIF($J466:$Q466,"x")+1),-$E466*N(M466)))</f>
        <v/>
      </c>
      <c r="AB466" s="34">
        <f>IF(OR($A466="",$H466&lt;&gt;"Ausgabe",N466=""),0,IF(N466="x",-$E466/(COUNTIF($J466:$Q466,"x")+1),-$E466*N(N466)))</f>
        <v/>
      </c>
      <c r="AC466" s="34">
        <f>IF(OR($A466="",$H466&lt;&gt;"Ausgabe",O466=""),0,IF(O466="x",-$E466/(COUNTIF($J466:$Q466,"x")+1),-$E466*N(O466)))</f>
        <v/>
      </c>
      <c r="AD466" s="34">
        <f>IF(OR($A466="",$H466&lt;&gt;"Ausgabe",P466=""),0,IF(P466="x",-$E466/(COUNTIF($J466:$Q466,"x")+1),-$E466*N(P466)))</f>
        <v/>
      </c>
      <c r="AE466" s="34">
        <f>IF(OR($A466="",$H466&lt;&gt;"Ausgabe",Q466=""),0,IF(Q466="x",-$E466/(COUNTIF($J466:$Q466,"x")+1),-$E466*N(Q466)))</f>
        <v/>
      </c>
    </row>
    <row r="467">
      <c r="A467" s="30" t="n"/>
      <c r="E467" s="31" t="n"/>
      <c r="J467" s="32" t="n"/>
      <c r="K467" s="32" t="n"/>
      <c r="L467" s="32" t="n"/>
      <c r="M467" s="32" t="n"/>
      <c r="N467" s="32" t="n"/>
      <c r="O467" s="32" t="n"/>
      <c r="P467" s="32" t="n"/>
      <c r="Q467" s="32" t="n"/>
      <c r="U467" s="31">
        <f>IF($A467="","",SUM(X467:AE467))</f>
        <v/>
      </c>
      <c r="V467" s="31">
        <f>IF($A467="","",IF($H467&lt;&gt;"Ausgabe",0,-$E467-$U467))</f>
        <v/>
      </c>
      <c r="W467" s="33">
        <f>IF($A467="","",DATE(YEAR($A467),MONTH($A467),1))</f>
        <v/>
      </c>
      <c r="X467" s="34">
        <f>IF(OR($A467="",$H467&lt;&gt;"Ausgabe",J467=""),0,IF(J467="x",-$E467/(COUNTIF($J467:$Q467,"x")+1),-$E467*N(J467)))</f>
        <v/>
      </c>
      <c r="Y467" s="34">
        <f>IF(OR($A467="",$H467&lt;&gt;"Ausgabe",K467=""),0,IF(K467="x",-$E467/(COUNTIF($J467:$Q467,"x")+1),-$E467*N(K467)))</f>
        <v/>
      </c>
      <c r="Z467" s="34">
        <f>IF(OR($A467="",$H467&lt;&gt;"Ausgabe",L467=""),0,IF(L467="x",-$E467/(COUNTIF($J467:$Q467,"x")+1),-$E467*N(L467)))</f>
        <v/>
      </c>
      <c r="AA467" s="34">
        <f>IF(OR($A467="",$H467&lt;&gt;"Ausgabe",M467=""),0,IF(M467="x",-$E467/(COUNTIF($J467:$Q467,"x")+1),-$E467*N(M467)))</f>
        <v/>
      </c>
      <c r="AB467" s="34">
        <f>IF(OR($A467="",$H467&lt;&gt;"Ausgabe",N467=""),0,IF(N467="x",-$E467/(COUNTIF($J467:$Q467,"x")+1),-$E467*N(N467)))</f>
        <v/>
      </c>
      <c r="AC467" s="34">
        <f>IF(OR($A467="",$H467&lt;&gt;"Ausgabe",O467=""),0,IF(O467="x",-$E467/(COUNTIF($J467:$Q467,"x")+1),-$E467*N(O467)))</f>
        <v/>
      </c>
      <c r="AD467" s="34">
        <f>IF(OR($A467="",$H467&lt;&gt;"Ausgabe",P467=""),0,IF(P467="x",-$E467/(COUNTIF($J467:$Q467,"x")+1),-$E467*N(P467)))</f>
        <v/>
      </c>
      <c r="AE467" s="34">
        <f>IF(OR($A467="",$H467&lt;&gt;"Ausgabe",Q467=""),0,IF(Q467="x",-$E467/(COUNTIF($J467:$Q467,"x")+1),-$E467*N(Q467)))</f>
        <v/>
      </c>
    </row>
    <row r="468">
      <c r="A468" s="30" t="n"/>
      <c r="E468" s="31" t="n"/>
      <c r="J468" s="32" t="n"/>
      <c r="K468" s="32" t="n"/>
      <c r="L468" s="32" t="n"/>
      <c r="M468" s="32" t="n"/>
      <c r="N468" s="32" t="n"/>
      <c r="O468" s="32" t="n"/>
      <c r="P468" s="32" t="n"/>
      <c r="Q468" s="32" t="n"/>
      <c r="U468" s="31">
        <f>IF($A468="","",SUM(X468:AE468))</f>
        <v/>
      </c>
      <c r="V468" s="31">
        <f>IF($A468="","",IF($H468&lt;&gt;"Ausgabe",0,-$E468-$U468))</f>
        <v/>
      </c>
      <c r="W468" s="33">
        <f>IF($A468="","",DATE(YEAR($A468),MONTH($A468),1))</f>
        <v/>
      </c>
      <c r="X468" s="34">
        <f>IF(OR($A468="",$H468&lt;&gt;"Ausgabe",J468=""),0,IF(J468="x",-$E468/(COUNTIF($J468:$Q468,"x")+1),-$E468*N(J468)))</f>
        <v/>
      </c>
      <c r="Y468" s="34">
        <f>IF(OR($A468="",$H468&lt;&gt;"Ausgabe",K468=""),0,IF(K468="x",-$E468/(COUNTIF($J468:$Q468,"x")+1),-$E468*N(K468)))</f>
        <v/>
      </c>
      <c r="Z468" s="34">
        <f>IF(OR($A468="",$H468&lt;&gt;"Ausgabe",L468=""),0,IF(L468="x",-$E468/(COUNTIF($J468:$Q468,"x")+1),-$E468*N(L468)))</f>
        <v/>
      </c>
      <c r="AA468" s="34">
        <f>IF(OR($A468="",$H468&lt;&gt;"Ausgabe",M468=""),0,IF(M468="x",-$E468/(COUNTIF($J468:$Q468,"x")+1),-$E468*N(M468)))</f>
        <v/>
      </c>
      <c r="AB468" s="34">
        <f>IF(OR($A468="",$H468&lt;&gt;"Ausgabe",N468=""),0,IF(N468="x",-$E468/(COUNTIF($J468:$Q468,"x")+1),-$E468*N(N468)))</f>
        <v/>
      </c>
      <c r="AC468" s="34">
        <f>IF(OR($A468="",$H468&lt;&gt;"Ausgabe",O468=""),0,IF(O468="x",-$E468/(COUNTIF($J468:$Q468,"x")+1),-$E468*N(O468)))</f>
        <v/>
      </c>
      <c r="AD468" s="34">
        <f>IF(OR($A468="",$H468&lt;&gt;"Ausgabe",P468=""),0,IF(P468="x",-$E468/(COUNTIF($J468:$Q468,"x")+1),-$E468*N(P468)))</f>
        <v/>
      </c>
      <c r="AE468" s="34">
        <f>IF(OR($A468="",$H468&lt;&gt;"Ausgabe",Q468=""),0,IF(Q468="x",-$E468/(COUNTIF($J468:$Q468,"x")+1),-$E468*N(Q468)))</f>
        <v/>
      </c>
    </row>
    <row r="469">
      <c r="A469" s="30" t="n"/>
      <c r="E469" s="31" t="n"/>
      <c r="J469" s="32" t="n"/>
      <c r="K469" s="32" t="n"/>
      <c r="L469" s="32" t="n"/>
      <c r="M469" s="32" t="n"/>
      <c r="N469" s="32" t="n"/>
      <c r="O469" s="32" t="n"/>
      <c r="P469" s="32" t="n"/>
      <c r="Q469" s="32" t="n"/>
      <c r="U469" s="31">
        <f>IF($A469="","",SUM(X469:AE469))</f>
        <v/>
      </c>
      <c r="V469" s="31">
        <f>IF($A469="","",IF($H469&lt;&gt;"Ausgabe",0,-$E469-$U469))</f>
        <v/>
      </c>
      <c r="W469" s="33">
        <f>IF($A469="","",DATE(YEAR($A469),MONTH($A469),1))</f>
        <v/>
      </c>
      <c r="X469" s="34">
        <f>IF(OR($A469="",$H469&lt;&gt;"Ausgabe",J469=""),0,IF(J469="x",-$E469/(COUNTIF($J469:$Q469,"x")+1),-$E469*N(J469)))</f>
        <v/>
      </c>
      <c r="Y469" s="34">
        <f>IF(OR($A469="",$H469&lt;&gt;"Ausgabe",K469=""),0,IF(K469="x",-$E469/(COUNTIF($J469:$Q469,"x")+1),-$E469*N(K469)))</f>
        <v/>
      </c>
      <c r="Z469" s="34">
        <f>IF(OR($A469="",$H469&lt;&gt;"Ausgabe",L469=""),0,IF(L469="x",-$E469/(COUNTIF($J469:$Q469,"x")+1),-$E469*N(L469)))</f>
        <v/>
      </c>
      <c r="AA469" s="34">
        <f>IF(OR($A469="",$H469&lt;&gt;"Ausgabe",M469=""),0,IF(M469="x",-$E469/(COUNTIF($J469:$Q469,"x")+1),-$E469*N(M469)))</f>
        <v/>
      </c>
      <c r="AB469" s="34">
        <f>IF(OR($A469="",$H469&lt;&gt;"Ausgabe",N469=""),0,IF(N469="x",-$E469/(COUNTIF($J469:$Q469,"x")+1),-$E469*N(N469)))</f>
        <v/>
      </c>
      <c r="AC469" s="34">
        <f>IF(OR($A469="",$H469&lt;&gt;"Ausgabe",O469=""),0,IF(O469="x",-$E469/(COUNTIF($J469:$Q469,"x")+1),-$E469*N(O469)))</f>
        <v/>
      </c>
      <c r="AD469" s="34">
        <f>IF(OR($A469="",$H469&lt;&gt;"Ausgabe",P469=""),0,IF(P469="x",-$E469/(COUNTIF($J469:$Q469,"x")+1),-$E469*N(P469)))</f>
        <v/>
      </c>
      <c r="AE469" s="34">
        <f>IF(OR($A469="",$H469&lt;&gt;"Ausgabe",Q469=""),0,IF(Q469="x",-$E469/(COUNTIF($J469:$Q469,"x")+1),-$E469*N(Q469)))</f>
        <v/>
      </c>
    </row>
    <row r="470">
      <c r="A470" s="30" t="n"/>
      <c r="E470" s="31" t="n"/>
      <c r="J470" s="32" t="n"/>
      <c r="K470" s="32" t="n"/>
      <c r="L470" s="32" t="n"/>
      <c r="M470" s="32" t="n"/>
      <c r="N470" s="32" t="n"/>
      <c r="O470" s="32" t="n"/>
      <c r="P470" s="32" t="n"/>
      <c r="Q470" s="32" t="n"/>
      <c r="U470" s="31">
        <f>IF($A470="","",SUM(X470:AE470))</f>
        <v/>
      </c>
      <c r="V470" s="31">
        <f>IF($A470="","",IF($H470&lt;&gt;"Ausgabe",0,-$E470-$U470))</f>
        <v/>
      </c>
      <c r="W470" s="33">
        <f>IF($A470="","",DATE(YEAR($A470),MONTH($A470),1))</f>
        <v/>
      </c>
      <c r="X470" s="34">
        <f>IF(OR($A470="",$H470&lt;&gt;"Ausgabe",J470=""),0,IF(J470="x",-$E470/(COUNTIF($J470:$Q470,"x")+1),-$E470*N(J470)))</f>
        <v/>
      </c>
      <c r="Y470" s="34">
        <f>IF(OR($A470="",$H470&lt;&gt;"Ausgabe",K470=""),0,IF(K470="x",-$E470/(COUNTIF($J470:$Q470,"x")+1),-$E470*N(K470)))</f>
        <v/>
      </c>
      <c r="Z470" s="34">
        <f>IF(OR($A470="",$H470&lt;&gt;"Ausgabe",L470=""),0,IF(L470="x",-$E470/(COUNTIF($J470:$Q470,"x")+1),-$E470*N(L470)))</f>
        <v/>
      </c>
      <c r="AA470" s="34">
        <f>IF(OR($A470="",$H470&lt;&gt;"Ausgabe",M470=""),0,IF(M470="x",-$E470/(COUNTIF($J470:$Q470,"x")+1),-$E470*N(M470)))</f>
        <v/>
      </c>
      <c r="AB470" s="34">
        <f>IF(OR($A470="",$H470&lt;&gt;"Ausgabe",N470=""),0,IF(N470="x",-$E470/(COUNTIF($J470:$Q470,"x")+1),-$E470*N(N470)))</f>
        <v/>
      </c>
      <c r="AC470" s="34">
        <f>IF(OR($A470="",$H470&lt;&gt;"Ausgabe",O470=""),0,IF(O470="x",-$E470/(COUNTIF($J470:$Q470,"x")+1),-$E470*N(O470)))</f>
        <v/>
      </c>
      <c r="AD470" s="34">
        <f>IF(OR($A470="",$H470&lt;&gt;"Ausgabe",P470=""),0,IF(P470="x",-$E470/(COUNTIF($J470:$Q470,"x")+1),-$E470*N(P470)))</f>
        <v/>
      </c>
      <c r="AE470" s="34">
        <f>IF(OR($A470="",$H470&lt;&gt;"Ausgabe",Q470=""),0,IF(Q470="x",-$E470/(COUNTIF($J470:$Q470,"x")+1),-$E470*N(Q470)))</f>
        <v/>
      </c>
    </row>
    <row r="471">
      <c r="A471" s="30" t="n"/>
      <c r="E471" s="31" t="n"/>
      <c r="J471" s="32" t="n"/>
      <c r="K471" s="32" t="n"/>
      <c r="L471" s="32" t="n"/>
      <c r="M471" s="32" t="n"/>
      <c r="N471" s="32" t="n"/>
      <c r="O471" s="32" t="n"/>
      <c r="P471" s="32" t="n"/>
      <c r="Q471" s="32" t="n"/>
      <c r="U471" s="31">
        <f>IF($A471="","",SUM(X471:AE471))</f>
        <v/>
      </c>
      <c r="V471" s="31">
        <f>IF($A471="","",IF($H471&lt;&gt;"Ausgabe",0,-$E471-$U471))</f>
        <v/>
      </c>
      <c r="W471" s="33">
        <f>IF($A471="","",DATE(YEAR($A471),MONTH($A471),1))</f>
        <v/>
      </c>
      <c r="X471" s="34">
        <f>IF(OR($A471="",$H471&lt;&gt;"Ausgabe",J471=""),0,IF(J471="x",-$E471/(COUNTIF($J471:$Q471,"x")+1),-$E471*N(J471)))</f>
        <v/>
      </c>
      <c r="Y471" s="34">
        <f>IF(OR($A471="",$H471&lt;&gt;"Ausgabe",K471=""),0,IF(K471="x",-$E471/(COUNTIF($J471:$Q471,"x")+1),-$E471*N(K471)))</f>
        <v/>
      </c>
      <c r="Z471" s="34">
        <f>IF(OR($A471="",$H471&lt;&gt;"Ausgabe",L471=""),0,IF(L471="x",-$E471/(COUNTIF($J471:$Q471,"x")+1),-$E471*N(L471)))</f>
        <v/>
      </c>
      <c r="AA471" s="34">
        <f>IF(OR($A471="",$H471&lt;&gt;"Ausgabe",M471=""),0,IF(M471="x",-$E471/(COUNTIF($J471:$Q471,"x")+1),-$E471*N(M471)))</f>
        <v/>
      </c>
      <c r="AB471" s="34">
        <f>IF(OR($A471="",$H471&lt;&gt;"Ausgabe",N471=""),0,IF(N471="x",-$E471/(COUNTIF($J471:$Q471,"x")+1),-$E471*N(N471)))</f>
        <v/>
      </c>
      <c r="AC471" s="34">
        <f>IF(OR($A471="",$H471&lt;&gt;"Ausgabe",O471=""),0,IF(O471="x",-$E471/(COUNTIF($J471:$Q471,"x")+1),-$E471*N(O471)))</f>
        <v/>
      </c>
      <c r="AD471" s="34">
        <f>IF(OR($A471="",$H471&lt;&gt;"Ausgabe",P471=""),0,IF(P471="x",-$E471/(COUNTIF($J471:$Q471,"x")+1),-$E471*N(P471)))</f>
        <v/>
      </c>
      <c r="AE471" s="34">
        <f>IF(OR($A471="",$H471&lt;&gt;"Ausgabe",Q471=""),0,IF(Q471="x",-$E471/(COUNTIF($J471:$Q471,"x")+1),-$E471*N(Q471)))</f>
        <v/>
      </c>
    </row>
    <row r="472">
      <c r="A472" s="30" t="n"/>
      <c r="E472" s="31" t="n"/>
      <c r="J472" s="32" t="n"/>
      <c r="K472" s="32" t="n"/>
      <c r="L472" s="32" t="n"/>
      <c r="M472" s="32" t="n"/>
      <c r="N472" s="32" t="n"/>
      <c r="O472" s="32" t="n"/>
      <c r="P472" s="32" t="n"/>
      <c r="Q472" s="32" t="n"/>
      <c r="U472" s="31">
        <f>IF($A472="","",SUM(X472:AE472))</f>
        <v/>
      </c>
      <c r="V472" s="31">
        <f>IF($A472="","",IF($H472&lt;&gt;"Ausgabe",0,-$E472-$U472))</f>
        <v/>
      </c>
      <c r="W472" s="33">
        <f>IF($A472="","",DATE(YEAR($A472),MONTH($A472),1))</f>
        <v/>
      </c>
      <c r="X472" s="34">
        <f>IF(OR($A472="",$H472&lt;&gt;"Ausgabe",J472=""),0,IF(J472="x",-$E472/(COUNTIF($J472:$Q472,"x")+1),-$E472*N(J472)))</f>
        <v/>
      </c>
      <c r="Y472" s="34">
        <f>IF(OR($A472="",$H472&lt;&gt;"Ausgabe",K472=""),0,IF(K472="x",-$E472/(COUNTIF($J472:$Q472,"x")+1),-$E472*N(K472)))</f>
        <v/>
      </c>
      <c r="Z472" s="34">
        <f>IF(OR($A472="",$H472&lt;&gt;"Ausgabe",L472=""),0,IF(L472="x",-$E472/(COUNTIF($J472:$Q472,"x")+1),-$E472*N(L472)))</f>
        <v/>
      </c>
      <c r="AA472" s="34">
        <f>IF(OR($A472="",$H472&lt;&gt;"Ausgabe",M472=""),0,IF(M472="x",-$E472/(COUNTIF($J472:$Q472,"x")+1),-$E472*N(M472)))</f>
        <v/>
      </c>
      <c r="AB472" s="34">
        <f>IF(OR($A472="",$H472&lt;&gt;"Ausgabe",N472=""),0,IF(N472="x",-$E472/(COUNTIF($J472:$Q472,"x")+1),-$E472*N(N472)))</f>
        <v/>
      </c>
      <c r="AC472" s="34">
        <f>IF(OR($A472="",$H472&lt;&gt;"Ausgabe",O472=""),0,IF(O472="x",-$E472/(COUNTIF($J472:$Q472,"x")+1),-$E472*N(O472)))</f>
        <v/>
      </c>
      <c r="AD472" s="34">
        <f>IF(OR($A472="",$H472&lt;&gt;"Ausgabe",P472=""),0,IF(P472="x",-$E472/(COUNTIF($J472:$Q472,"x")+1),-$E472*N(P472)))</f>
        <v/>
      </c>
      <c r="AE472" s="34">
        <f>IF(OR($A472="",$H472&lt;&gt;"Ausgabe",Q472=""),0,IF(Q472="x",-$E472/(COUNTIF($J472:$Q472,"x")+1),-$E472*N(Q472)))</f>
        <v/>
      </c>
    </row>
    <row r="473">
      <c r="A473" s="30" t="n"/>
      <c r="E473" s="31" t="n"/>
      <c r="J473" s="32" t="n"/>
      <c r="K473" s="32" t="n"/>
      <c r="L473" s="32" t="n"/>
      <c r="M473" s="32" t="n"/>
      <c r="N473" s="32" t="n"/>
      <c r="O473" s="32" t="n"/>
      <c r="P473" s="32" t="n"/>
      <c r="Q473" s="32" t="n"/>
      <c r="U473" s="31">
        <f>IF($A473="","",SUM(X473:AE473))</f>
        <v/>
      </c>
      <c r="V473" s="31">
        <f>IF($A473="","",IF($H473&lt;&gt;"Ausgabe",0,-$E473-$U473))</f>
        <v/>
      </c>
      <c r="W473" s="33">
        <f>IF($A473="","",DATE(YEAR($A473),MONTH($A473),1))</f>
        <v/>
      </c>
      <c r="X473" s="34">
        <f>IF(OR($A473="",$H473&lt;&gt;"Ausgabe",J473=""),0,IF(J473="x",-$E473/(COUNTIF($J473:$Q473,"x")+1),-$E473*N(J473)))</f>
        <v/>
      </c>
      <c r="Y473" s="34">
        <f>IF(OR($A473="",$H473&lt;&gt;"Ausgabe",K473=""),0,IF(K473="x",-$E473/(COUNTIF($J473:$Q473,"x")+1),-$E473*N(K473)))</f>
        <v/>
      </c>
      <c r="Z473" s="34">
        <f>IF(OR($A473="",$H473&lt;&gt;"Ausgabe",L473=""),0,IF(L473="x",-$E473/(COUNTIF($J473:$Q473,"x")+1),-$E473*N(L473)))</f>
        <v/>
      </c>
      <c r="AA473" s="34">
        <f>IF(OR($A473="",$H473&lt;&gt;"Ausgabe",M473=""),0,IF(M473="x",-$E473/(COUNTIF($J473:$Q473,"x")+1),-$E473*N(M473)))</f>
        <v/>
      </c>
      <c r="AB473" s="34">
        <f>IF(OR($A473="",$H473&lt;&gt;"Ausgabe",N473=""),0,IF(N473="x",-$E473/(COUNTIF($J473:$Q473,"x")+1),-$E473*N(N473)))</f>
        <v/>
      </c>
      <c r="AC473" s="34">
        <f>IF(OR($A473="",$H473&lt;&gt;"Ausgabe",O473=""),0,IF(O473="x",-$E473/(COUNTIF($J473:$Q473,"x")+1),-$E473*N(O473)))</f>
        <v/>
      </c>
      <c r="AD473" s="34">
        <f>IF(OR($A473="",$H473&lt;&gt;"Ausgabe",P473=""),0,IF(P473="x",-$E473/(COUNTIF($J473:$Q473,"x")+1),-$E473*N(P473)))</f>
        <v/>
      </c>
      <c r="AE473" s="34">
        <f>IF(OR($A473="",$H473&lt;&gt;"Ausgabe",Q473=""),0,IF(Q473="x",-$E473/(COUNTIF($J473:$Q473,"x")+1),-$E473*N(Q473)))</f>
        <v/>
      </c>
    </row>
    <row r="474">
      <c r="A474" s="30" t="n"/>
      <c r="E474" s="31" t="n"/>
      <c r="J474" s="32" t="n"/>
      <c r="K474" s="32" t="n"/>
      <c r="L474" s="32" t="n"/>
      <c r="M474" s="32" t="n"/>
      <c r="N474" s="32" t="n"/>
      <c r="O474" s="32" t="n"/>
      <c r="P474" s="32" t="n"/>
      <c r="Q474" s="32" t="n"/>
      <c r="U474" s="31">
        <f>IF($A474="","",SUM(X474:AE474))</f>
        <v/>
      </c>
      <c r="V474" s="31">
        <f>IF($A474="","",IF($H474&lt;&gt;"Ausgabe",0,-$E474-$U474))</f>
        <v/>
      </c>
      <c r="W474" s="33">
        <f>IF($A474="","",DATE(YEAR($A474),MONTH($A474),1))</f>
        <v/>
      </c>
      <c r="X474" s="34">
        <f>IF(OR($A474="",$H474&lt;&gt;"Ausgabe",J474=""),0,IF(J474="x",-$E474/(COUNTIF($J474:$Q474,"x")+1),-$E474*N(J474)))</f>
        <v/>
      </c>
      <c r="Y474" s="34">
        <f>IF(OR($A474="",$H474&lt;&gt;"Ausgabe",K474=""),0,IF(K474="x",-$E474/(COUNTIF($J474:$Q474,"x")+1),-$E474*N(K474)))</f>
        <v/>
      </c>
      <c r="Z474" s="34">
        <f>IF(OR($A474="",$H474&lt;&gt;"Ausgabe",L474=""),0,IF(L474="x",-$E474/(COUNTIF($J474:$Q474,"x")+1),-$E474*N(L474)))</f>
        <v/>
      </c>
      <c r="AA474" s="34">
        <f>IF(OR($A474="",$H474&lt;&gt;"Ausgabe",M474=""),0,IF(M474="x",-$E474/(COUNTIF($J474:$Q474,"x")+1),-$E474*N(M474)))</f>
        <v/>
      </c>
      <c r="AB474" s="34">
        <f>IF(OR($A474="",$H474&lt;&gt;"Ausgabe",N474=""),0,IF(N474="x",-$E474/(COUNTIF($J474:$Q474,"x")+1),-$E474*N(N474)))</f>
        <v/>
      </c>
      <c r="AC474" s="34">
        <f>IF(OR($A474="",$H474&lt;&gt;"Ausgabe",O474=""),0,IF(O474="x",-$E474/(COUNTIF($J474:$Q474,"x")+1),-$E474*N(O474)))</f>
        <v/>
      </c>
      <c r="AD474" s="34">
        <f>IF(OR($A474="",$H474&lt;&gt;"Ausgabe",P474=""),0,IF(P474="x",-$E474/(COUNTIF($J474:$Q474,"x")+1),-$E474*N(P474)))</f>
        <v/>
      </c>
      <c r="AE474" s="34">
        <f>IF(OR($A474="",$H474&lt;&gt;"Ausgabe",Q474=""),0,IF(Q474="x",-$E474/(COUNTIF($J474:$Q474,"x")+1),-$E474*N(Q474)))</f>
        <v/>
      </c>
    </row>
    <row r="475">
      <c r="A475" s="30" t="n"/>
      <c r="E475" s="31" t="n"/>
      <c r="J475" s="32" t="n"/>
      <c r="K475" s="32" t="n"/>
      <c r="L475" s="32" t="n"/>
      <c r="M475" s="32" t="n"/>
      <c r="N475" s="32" t="n"/>
      <c r="O475" s="32" t="n"/>
      <c r="P475" s="32" t="n"/>
      <c r="Q475" s="32" t="n"/>
      <c r="U475" s="31">
        <f>IF($A475="","",SUM(X475:AE475))</f>
        <v/>
      </c>
      <c r="V475" s="31">
        <f>IF($A475="","",IF($H475&lt;&gt;"Ausgabe",0,-$E475-$U475))</f>
        <v/>
      </c>
      <c r="W475" s="33">
        <f>IF($A475="","",DATE(YEAR($A475),MONTH($A475),1))</f>
        <v/>
      </c>
      <c r="X475" s="34">
        <f>IF(OR($A475="",$H475&lt;&gt;"Ausgabe",J475=""),0,IF(J475="x",-$E475/(COUNTIF($J475:$Q475,"x")+1),-$E475*N(J475)))</f>
        <v/>
      </c>
      <c r="Y475" s="34">
        <f>IF(OR($A475="",$H475&lt;&gt;"Ausgabe",K475=""),0,IF(K475="x",-$E475/(COUNTIF($J475:$Q475,"x")+1),-$E475*N(K475)))</f>
        <v/>
      </c>
      <c r="Z475" s="34">
        <f>IF(OR($A475="",$H475&lt;&gt;"Ausgabe",L475=""),0,IF(L475="x",-$E475/(COUNTIF($J475:$Q475,"x")+1),-$E475*N(L475)))</f>
        <v/>
      </c>
      <c r="AA475" s="34">
        <f>IF(OR($A475="",$H475&lt;&gt;"Ausgabe",M475=""),0,IF(M475="x",-$E475/(COUNTIF($J475:$Q475,"x")+1),-$E475*N(M475)))</f>
        <v/>
      </c>
      <c r="AB475" s="34">
        <f>IF(OR($A475="",$H475&lt;&gt;"Ausgabe",N475=""),0,IF(N475="x",-$E475/(COUNTIF($J475:$Q475,"x")+1),-$E475*N(N475)))</f>
        <v/>
      </c>
      <c r="AC475" s="34">
        <f>IF(OR($A475="",$H475&lt;&gt;"Ausgabe",O475=""),0,IF(O475="x",-$E475/(COUNTIF($J475:$Q475,"x")+1),-$E475*N(O475)))</f>
        <v/>
      </c>
      <c r="AD475" s="34">
        <f>IF(OR($A475="",$H475&lt;&gt;"Ausgabe",P475=""),0,IF(P475="x",-$E475/(COUNTIF($J475:$Q475,"x")+1),-$E475*N(P475)))</f>
        <v/>
      </c>
      <c r="AE475" s="34">
        <f>IF(OR($A475="",$H475&lt;&gt;"Ausgabe",Q475=""),0,IF(Q475="x",-$E475/(COUNTIF($J475:$Q475,"x")+1),-$E475*N(Q475)))</f>
        <v/>
      </c>
    </row>
    <row r="476">
      <c r="A476" s="30" t="n"/>
      <c r="E476" s="31" t="n"/>
      <c r="J476" s="32" t="n"/>
      <c r="K476" s="32" t="n"/>
      <c r="L476" s="32" t="n"/>
      <c r="M476" s="32" t="n"/>
      <c r="N476" s="32" t="n"/>
      <c r="O476" s="32" t="n"/>
      <c r="P476" s="32" t="n"/>
      <c r="Q476" s="32" t="n"/>
      <c r="U476" s="31">
        <f>IF($A476="","",SUM(X476:AE476))</f>
        <v/>
      </c>
      <c r="V476" s="31">
        <f>IF($A476="","",IF($H476&lt;&gt;"Ausgabe",0,-$E476-$U476))</f>
        <v/>
      </c>
      <c r="W476" s="33">
        <f>IF($A476="","",DATE(YEAR($A476),MONTH($A476),1))</f>
        <v/>
      </c>
      <c r="X476" s="34">
        <f>IF(OR($A476="",$H476&lt;&gt;"Ausgabe",J476=""),0,IF(J476="x",-$E476/(COUNTIF($J476:$Q476,"x")+1),-$E476*N(J476)))</f>
        <v/>
      </c>
      <c r="Y476" s="34">
        <f>IF(OR($A476="",$H476&lt;&gt;"Ausgabe",K476=""),0,IF(K476="x",-$E476/(COUNTIF($J476:$Q476,"x")+1),-$E476*N(K476)))</f>
        <v/>
      </c>
      <c r="Z476" s="34">
        <f>IF(OR($A476="",$H476&lt;&gt;"Ausgabe",L476=""),0,IF(L476="x",-$E476/(COUNTIF($J476:$Q476,"x")+1),-$E476*N(L476)))</f>
        <v/>
      </c>
      <c r="AA476" s="34">
        <f>IF(OR($A476="",$H476&lt;&gt;"Ausgabe",M476=""),0,IF(M476="x",-$E476/(COUNTIF($J476:$Q476,"x")+1),-$E476*N(M476)))</f>
        <v/>
      </c>
      <c r="AB476" s="34">
        <f>IF(OR($A476="",$H476&lt;&gt;"Ausgabe",N476=""),0,IF(N476="x",-$E476/(COUNTIF($J476:$Q476,"x")+1),-$E476*N(N476)))</f>
        <v/>
      </c>
      <c r="AC476" s="34">
        <f>IF(OR($A476="",$H476&lt;&gt;"Ausgabe",O476=""),0,IF(O476="x",-$E476/(COUNTIF($J476:$Q476,"x")+1),-$E476*N(O476)))</f>
        <v/>
      </c>
      <c r="AD476" s="34">
        <f>IF(OR($A476="",$H476&lt;&gt;"Ausgabe",P476=""),0,IF(P476="x",-$E476/(COUNTIF($J476:$Q476,"x")+1),-$E476*N(P476)))</f>
        <v/>
      </c>
      <c r="AE476" s="34">
        <f>IF(OR($A476="",$H476&lt;&gt;"Ausgabe",Q476=""),0,IF(Q476="x",-$E476/(COUNTIF($J476:$Q476,"x")+1),-$E476*N(Q476)))</f>
        <v/>
      </c>
    </row>
    <row r="477">
      <c r="A477" s="30" t="n"/>
      <c r="E477" s="31" t="n"/>
      <c r="J477" s="32" t="n"/>
      <c r="K477" s="32" t="n"/>
      <c r="L477" s="32" t="n"/>
      <c r="M477" s="32" t="n"/>
      <c r="N477" s="32" t="n"/>
      <c r="O477" s="32" t="n"/>
      <c r="P477" s="32" t="n"/>
      <c r="Q477" s="32" t="n"/>
      <c r="U477" s="31">
        <f>IF($A477="","",SUM(X477:AE477))</f>
        <v/>
      </c>
      <c r="V477" s="31">
        <f>IF($A477="","",IF($H477&lt;&gt;"Ausgabe",0,-$E477-$U477))</f>
        <v/>
      </c>
      <c r="W477" s="33">
        <f>IF($A477="","",DATE(YEAR($A477),MONTH($A477),1))</f>
        <v/>
      </c>
      <c r="X477" s="34">
        <f>IF(OR($A477="",$H477&lt;&gt;"Ausgabe",J477=""),0,IF(J477="x",-$E477/(COUNTIF($J477:$Q477,"x")+1),-$E477*N(J477)))</f>
        <v/>
      </c>
      <c r="Y477" s="34">
        <f>IF(OR($A477="",$H477&lt;&gt;"Ausgabe",K477=""),0,IF(K477="x",-$E477/(COUNTIF($J477:$Q477,"x")+1),-$E477*N(K477)))</f>
        <v/>
      </c>
      <c r="Z477" s="34">
        <f>IF(OR($A477="",$H477&lt;&gt;"Ausgabe",L477=""),0,IF(L477="x",-$E477/(COUNTIF($J477:$Q477,"x")+1),-$E477*N(L477)))</f>
        <v/>
      </c>
      <c r="AA477" s="34">
        <f>IF(OR($A477="",$H477&lt;&gt;"Ausgabe",M477=""),0,IF(M477="x",-$E477/(COUNTIF($J477:$Q477,"x")+1),-$E477*N(M477)))</f>
        <v/>
      </c>
      <c r="AB477" s="34">
        <f>IF(OR($A477="",$H477&lt;&gt;"Ausgabe",N477=""),0,IF(N477="x",-$E477/(COUNTIF($J477:$Q477,"x")+1),-$E477*N(N477)))</f>
        <v/>
      </c>
      <c r="AC477" s="34">
        <f>IF(OR($A477="",$H477&lt;&gt;"Ausgabe",O477=""),0,IF(O477="x",-$E477/(COUNTIF($J477:$Q477,"x")+1),-$E477*N(O477)))</f>
        <v/>
      </c>
      <c r="AD477" s="34">
        <f>IF(OR($A477="",$H477&lt;&gt;"Ausgabe",P477=""),0,IF(P477="x",-$E477/(COUNTIF($J477:$Q477,"x")+1),-$E477*N(P477)))</f>
        <v/>
      </c>
      <c r="AE477" s="34">
        <f>IF(OR($A477="",$H477&lt;&gt;"Ausgabe",Q477=""),0,IF(Q477="x",-$E477/(COUNTIF($J477:$Q477,"x")+1),-$E477*N(Q477)))</f>
        <v/>
      </c>
    </row>
    <row r="478">
      <c r="A478" s="30" t="n"/>
      <c r="E478" s="31" t="n"/>
      <c r="J478" s="32" t="n"/>
      <c r="K478" s="32" t="n"/>
      <c r="L478" s="32" t="n"/>
      <c r="M478" s="32" t="n"/>
      <c r="N478" s="32" t="n"/>
      <c r="O478" s="32" t="n"/>
      <c r="P478" s="32" t="n"/>
      <c r="Q478" s="32" t="n"/>
      <c r="U478" s="31">
        <f>IF($A478="","",SUM(X478:AE478))</f>
        <v/>
      </c>
      <c r="V478" s="31">
        <f>IF($A478="","",IF($H478&lt;&gt;"Ausgabe",0,-$E478-$U478))</f>
        <v/>
      </c>
      <c r="W478" s="33">
        <f>IF($A478="","",DATE(YEAR($A478),MONTH($A478),1))</f>
        <v/>
      </c>
      <c r="X478" s="34">
        <f>IF(OR($A478="",$H478&lt;&gt;"Ausgabe",J478=""),0,IF(J478="x",-$E478/(COUNTIF($J478:$Q478,"x")+1),-$E478*N(J478)))</f>
        <v/>
      </c>
      <c r="Y478" s="34">
        <f>IF(OR($A478="",$H478&lt;&gt;"Ausgabe",K478=""),0,IF(K478="x",-$E478/(COUNTIF($J478:$Q478,"x")+1),-$E478*N(K478)))</f>
        <v/>
      </c>
      <c r="Z478" s="34">
        <f>IF(OR($A478="",$H478&lt;&gt;"Ausgabe",L478=""),0,IF(L478="x",-$E478/(COUNTIF($J478:$Q478,"x")+1),-$E478*N(L478)))</f>
        <v/>
      </c>
      <c r="AA478" s="34">
        <f>IF(OR($A478="",$H478&lt;&gt;"Ausgabe",M478=""),0,IF(M478="x",-$E478/(COUNTIF($J478:$Q478,"x")+1),-$E478*N(M478)))</f>
        <v/>
      </c>
      <c r="AB478" s="34">
        <f>IF(OR($A478="",$H478&lt;&gt;"Ausgabe",N478=""),0,IF(N478="x",-$E478/(COUNTIF($J478:$Q478,"x")+1),-$E478*N(N478)))</f>
        <v/>
      </c>
      <c r="AC478" s="34">
        <f>IF(OR($A478="",$H478&lt;&gt;"Ausgabe",O478=""),0,IF(O478="x",-$E478/(COUNTIF($J478:$Q478,"x")+1),-$E478*N(O478)))</f>
        <v/>
      </c>
      <c r="AD478" s="34">
        <f>IF(OR($A478="",$H478&lt;&gt;"Ausgabe",P478=""),0,IF(P478="x",-$E478/(COUNTIF($J478:$Q478,"x")+1),-$E478*N(P478)))</f>
        <v/>
      </c>
      <c r="AE478" s="34">
        <f>IF(OR($A478="",$H478&lt;&gt;"Ausgabe",Q478=""),0,IF(Q478="x",-$E478/(COUNTIF($J478:$Q478,"x")+1),-$E478*N(Q478)))</f>
        <v/>
      </c>
    </row>
    <row r="479">
      <c r="A479" s="30" t="n"/>
      <c r="E479" s="31" t="n"/>
      <c r="J479" s="32" t="n"/>
      <c r="K479" s="32" t="n"/>
      <c r="L479" s="32" t="n"/>
      <c r="M479" s="32" t="n"/>
      <c r="N479" s="32" t="n"/>
      <c r="O479" s="32" t="n"/>
      <c r="P479" s="32" t="n"/>
      <c r="Q479" s="32" t="n"/>
      <c r="U479" s="31">
        <f>IF($A479="","",SUM(X479:AE479))</f>
        <v/>
      </c>
      <c r="V479" s="31">
        <f>IF($A479="","",IF($H479&lt;&gt;"Ausgabe",0,-$E479-$U479))</f>
        <v/>
      </c>
      <c r="W479" s="33">
        <f>IF($A479="","",DATE(YEAR($A479),MONTH($A479),1))</f>
        <v/>
      </c>
      <c r="X479" s="34">
        <f>IF(OR($A479="",$H479&lt;&gt;"Ausgabe",J479=""),0,IF(J479="x",-$E479/(COUNTIF($J479:$Q479,"x")+1),-$E479*N(J479)))</f>
        <v/>
      </c>
      <c r="Y479" s="34">
        <f>IF(OR($A479="",$H479&lt;&gt;"Ausgabe",K479=""),0,IF(K479="x",-$E479/(COUNTIF($J479:$Q479,"x")+1),-$E479*N(K479)))</f>
        <v/>
      </c>
      <c r="Z479" s="34">
        <f>IF(OR($A479="",$H479&lt;&gt;"Ausgabe",L479=""),0,IF(L479="x",-$E479/(COUNTIF($J479:$Q479,"x")+1),-$E479*N(L479)))</f>
        <v/>
      </c>
      <c r="AA479" s="34">
        <f>IF(OR($A479="",$H479&lt;&gt;"Ausgabe",M479=""),0,IF(M479="x",-$E479/(COUNTIF($J479:$Q479,"x")+1),-$E479*N(M479)))</f>
        <v/>
      </c>
      <c r="AB479" s="34">
        <f>IF(OR($A479="",$H479&lt;&gt;"Ausgabe",N479=""),0,IF(N479="x",-$E479/(COUNTIF($J479:$Q479,"x")+1),-$E479*N(N479)))</f>
        <v/>
      </c>
      <c r="AC479" s="34">
        <f>IF(OR($A479="",$H479&lt;&gt;"Ausgabe",O479=""),0,IF(O479="x",-$E479/(COUNTIF($J479:$Q479,"x")+1),-$E479*N(O479)))</f>
        <v/>
      </c>
      <c r="AD479" s="34">
        <f>IF(OR($A479="",$H479&lt;&gt;"Ausgabe",P479=""),0,IF(P479="x",-$E479/(COUNTIF($J479:$Q479,"x")+1),-$E479*N(P479)))</f>
        <v/>
      </c>
      <c r="AE479" s="34">
        <f>IF(OR($A479="",$H479&lt;&gt;"Ausgabe",Q479=""),0,IF(Q479="x",-$E479/(COUNTIF($J479:$Q479,"x")+1),-$E479*N(Q479)))</f>
        <v/>
      </c>
    </row>
    <row r="480">
      <c r="A480" s="30" t="n"/>
      <c r="E480" s="31" t="n"/>
      <c r="J480" s="32" t="n"/>
      <c r="K480" s="32" t="n"/>
      <c r="L480" s="32" t="n"/>
      <c r="M480" s="32" t="n"/>
      <c r="N480" s="32" t="n"/>
      <c r="O480" s="32" t="n"/>
      <c r="P480" s="32" t="n"/>
      <c r="Q480" s="32" t="n"/>
      <c r="U480" s="31">
        <f>IF($A480="","",SUM(X480:AE480))</f>
        <v/>
      </c>
      <c r="V480" s="31">
        <f>IF($A480="","",IF($H480&lt;&gt;"Ausgabe",0,-$E480-$U480))</f>
        <v/>
      </c>
      <c r="W480" s="33">
        <f>IF($A480="","",DATE(YEAR($A480),MONTH($A480),1))</f>
        <v/>
      </c>
      <c r="X480" s="34">
        <f>IF(OR($A480="",$H480&lt;&gt;"Ausgabe",J480=""),0,IF(J480="x",-$E480/(COUNTIF($J480:$Q480,"x")+1),-$E480*N(J480)))</f>
        <v/>
      </c>
      <c r="Y480" s="34">
        <f>IF(OR($A480="",$H480&lt;&gt;"Ausgabe",K480=""),0,IF(K480="x",-$E480/(COUNTIF($J480:$Q480,"x")+1),-$E480*N(K480)))</f>
        <v/>
      </c>
      <c r="Z480" s="34">
        <f>IF(OR($A480="",$H480&lt;&gt;"Ausgabe",L480=""),0,IF(L480="x",-$E480/(COUNTIF($J480:$Q480,"x")+1),-$E480*N(L480)))</f>
        <v/>
      </c>
      <c r="AA480" s="34">
        <f>IF(OR($A480="",$H480&lt;&gt;"Ausgabe",M480=""),0,IF(M480="x",-$E480/(COUNTIF($J480:$Q480,"x")+1),-$E480*N(M480)))</f>
        <v/>
      </c>
      <c r="AB480" s="34">
        <f>IF(OR($A480="",$H480&lt;&gt;"Ausgabe",N480=""),0,IF(N480="x",-$E480/(COUNTIF($J480:$Q480,"x")+1),-$E480*N(N480)))</f>
        <v/>
      </c>
      <c r="AC480" s="34">
        <f>IF(OR($A480="",$H480&lt;&gt;"Ausgabe",O480=""),0,IF(O480="x",-$E480/(COUNTIF($J480:$Q480,"x")+1),-$E480*N(O480)))</f>
        <v/>
      </c>
      <c r="AD480" s="34">
        <f>IF(OR($A480="",$H480&lt;&gt;"Ausgabe",P480=""),0,IF(P480="x",-$E480/(COUNTIF($J480:$Q480,"x")+1),-$E480*N(P480)))</f>
        <v/>
      </c>
      <c r="AE480" s="34">
        <f>IF(OR($A480="",$H480&lt;&gt;"Ausgabe",Q480=""),0,IF(Q480="x",-$E480/(COUNTIF($J480:$Q480,"x")+1),-$E480*N(Q480)))</f>
        <v/>
      </c>
    </row>
    <row r="481">
      <c r="A481" s="30" t="n"/>
      <c r="E481" s="31" t="n"/>
      <c r="J481" s="32" t="n"/>
      <c r="K481" s="32" t="n"/>
      <c r="L481" s="32" t="n"/>
      <c r="M481" s="32" t="n"/>
      <c r="N481" s="32" t="n"/>
      <c r="O481" s="32" t="n"/>
      <c r="P481" s="32" t="n"/>
      <c r="Q481" s="32" t="n"/>
      <c r="U481" s="31">
        <f>IF($A481="","",SUM(X481:AE481))</f>
        <v/>
      </c>
      <c r="V481" s="31">
        <f>IF($A481="","",IF($H481&lt;&gt;"Ausgabe",0,-$E481-$U481))</f>
        <v/>
      </c>
      <c r="W481" s="33">
        <f>IF($A481="","",DATE(YEAR($A481),MONTH($A481),1))</f>
        <v/>
      </c>
      <c r="X481" s="34">
        <f>IF(OR($A481="",$H481&lt;&gt;"Ausgabe",J481=""),0,IF(J481="x",-$E481/(COUNTIF($J481:$Q481,"x")+1),-$E481*N(J481)))</f>
        <v/>
      </c>
      <c r="Y481" s="34">
        <f>IF(OR($A481="",$H481&lt;&gt;"Ausgabe",K481=""),0,IF(K481="x",-$E481/(COUNTIF($J481:$Q481,"x")+1),-$E481*N(K481)))</f>
        <v/>
      </c>
      <c r="Z481" s="34">
        <f>IF(OR($A481="",$H481&lt;&gt;"Ausgabe",L481=""),0,IF(L481="x",-$E481/(COUNTIF($J481:$Q481,"x")+1),-$E481*N(L481)))</f>
        <v/>
      </c>
      <c r="AA481" s="34">
        <f>IF(OR($A481="",$H481&lt;&gt;"Ausgabe",M481=""),0,IF(M481="x",-$E481/(COUNTIF($J481:$Q481,"x")+1),-$E481*N(M481)))</f>
        <v/>
      </c>
      <c r="AB481" s="34">
        <f>IF(OR($A481="",$H481&lt;&gt;"Ausgabe",N481=""),0,IF(N481="x",-$E481/(COUNTIF($J481:$Q481,"x")+1),-$E481*N(N481)))</f>
        <v/>
      </c>
      <c r="AC481" s="34">
        <f>IF(OR($A481="",$H481&lt;&gt;"Ausgabe",O481=""),0,IF(O481="x",-$E481/(COUNTIF($J481:$Q481,"x")+1),-$E481*N(O481)))</f>
        <v/>
      </c>
      <c r="AD481" s="34">
        <f>IF(OR($A481="",$H481&lt;&gt;"Ausgabe",P481=""),0,IF(P481="x",-$E481/(COUNTIF($J481:$Q481,"x")+1),-$E481*N(P481)))</f>
        <v/>
      </c>
      <c r="AE481" s="34">
        <f>IF(OR($A481="",$H481&lt;&gt;"Ausgabe",Q481=""),0,IF(Q481="x",-$E481/(COUNTIF($J481:$Q481,"x")+1),-$E481*N(Q481)))</f>
        <v/>
      </c>
    </row>
    <row r="482">
      <c r="A482" s="30" t="n"/>
      <c r="E482" s="31" t="n"/>
      <c r="J482" s="32" t="n"/>
      <c r="K482" s="32" t="n"/>
      <c r="L482" s="32" t="n"/>
      <c r="M482" s="32" t="n"/>
      <c r="N482" s="32" t="n"/>
      <c r="O482" s="32" t="n"/>
      <c r="P482" s="32" t="n"/>
      <c r="Q482" s="32" t="n"/>
      <c r="U482" s="31">
        <f>IF($A482="","",SUM(X482:AE482))</f>
        <v/>
      </c>
      <c r="V482" s="31">
        <f>IF($A482="","",IF($H482&lt;&gt;"Ausgabe",0,-$E482-$U482))</f>
        <v/>
      </c>
      <c r="W482" s="33">
        <f>IF($A482="","",DATE(YEAR($A482),MONTH($A482),1))</f>
        <v/>
      </c>
      <c r="X482" s="34">
        <f>IF(OR($A482="",$H482&lt;&gt;"Ausgabe",J482=""),0,IF(J482="x",-$E482/(COUNTIF($J482:$Q482,"x")+1),-$E482*N(J482)))</f>
        <v/>
      </c>
      <c r="Y482" s="34">
        <f>IF(OR($A482="",$H482&lt;&gt;"Ausgabe",K482=""),0,IF(K482="x",-$E482/(COUNTIF($J482:$Q482,"x")+1),-$E482*N(K482)))</f>
        <v/>
      </c>
      <c r="Z482" s="34">
        <f>IF(OR($A482="",$H482&lt;&gt;"Ausgabe",L482=""),0,IF(L482="x",-$E482/(COUNTIF($J482:$Q482,"x")+1),-$E482*N(L482)))</f>
        <v/>
      </c>
      <c r="AA482" s="34">
        <f>IF(OR($A482="",$H482&lt;&gt;"Ausgabe",M482=""),0,IF(M482="x",-$E482/(COUNTIF($J482:$Q482,"x")+1),-$E482*N(M482)))</f>
        <v/>
      </c>
      <c r="AB482" s="34">
        <f>IF(OR($A482="",$H482&lt;&gt;"Ausgabe",N482=""),0,IF(N482="x",-$E482/(COUNTIF($J482:$Q482,"x")+1),-$E482*N(N482)))</f>
        <v/>
      </c>
      <c r="AC482" s="34">
        <f>IF(OR($A482="",$H482&lt;&gt;"Ausgabe",O482=""),0,IF(O482="x",-$E482/(COUNTIF($J482:$Q482,"x")+1),-$E482*N(O482)))</f>
        <v/>
      </c>
      <c r="AD482" s="34">
        <f>IF(OR($A482="",$H482&lt;&gt;"Ausgabe",P482=""),0,IF(P482="x",-$E482/(COUNTIF($J482:$Q482,"x")+1),-$E482*N(P482)))</f>
        <v/>
      </c>
      <c r="AE482" s="34">
        <f>IF(OR($A482="",$H482&lt;&gt;"Ausgabe",Q482=""),0,IF(Q482="x",-$E482/(COUNTIF($J482:$Q482,"x")+1),-$E482*N(Q482)))</f>
        <v/>
      </c>
    </row>
    <row r="483">
      <c r="A483" s="30" t="n"/>
      <c r="E483" s="31" t="n"/>
      <c r="J483" s="32" t="n"/>
      <c r="K483" s="32" t="n"/>
      <c r="L483" s="32" t="n"/>
      <c r="M483" s="32" t="n"/>
      <c r="N483" s="32" t="n"/>
      <c r="O483" s="32" t="n"/>
      <c r="P483" s="32" t="n"/>
      <c r="Q483" s="32" t="n"/>
      <c r="U483" s="31">
        <f>IF($A483="","",SUM(X483:AE483))</f>
        <v/>
      </c>
      <c r="V483" s="31">
        <f>IF($A483="","",IF($H483&lt;&gt;"Ausgabe",0,-$E483-$U483))</f>
        <v/>
      </c>
      <c r="W483" s="33">
        <f>IF($A483="","",DATE(YEAR($A483),MONTH($A483),1))</f>
        <v/>
      </c>
      <c r="X483" s="34">
        <f>IF(OR($A483="",$H483&lt;&gt;"Ausgabe",J483=""),0,IF(J483="x",-$E483/(COUNTIF($J483:$Q483,"x")+1),-$E483*N(J483)))</f>
        <v/>
      </c>
      <c r="Y483" s="34">
        <f>IF(OR($A483="",$H483&lt;&gt;"Ausgabe",K483=""),0,IF(K483="x",-$E483/(COUNTIF($J483:$Q483,"x")+1),-$E483*N(K483)))</f>
        <v/>
      </c>
      <c r="Z483" s="34">
        <f>IF(OR($A483="",$H483&lt;&gt;"Ausgabe",L483=""),0,IF(L483="x",-$E483/(COUNTIF($J483:$Q483,"x")+1),-$E483*N(L483)))</f>
        <v/>
      </c>
      <c r="AA483" s="34">
        <f>IF(OR($A483="",$H483&lt;&gt;"Ausgabe",M483=""),0,IF(M483="x",-$E483/(COUNTIF($J483:$Q483,"x")+1),-$E483*N(M483)))</f>
        <v/>
      </c>
      <c r="AB483" s="34">
        <f>IF(OR($A483="",$H483&lt;&gt;"Ausgabe",N483=""),0,IF(N483="x",-$E483/(COUNTIF($J483:$Q483,"x")+1),-$E483*N(N483)))</f>
        <v/>
      </c>
      <c r="AC483" s="34">
        <f>IF(OR($A483="",$H483&lt;&gt;"Ausgabe",O483=""),0,IF(O483="x",-$E483/(COUNTIF($J483:$Q483,"x")+1),-$E483*N(O483)))</f>
        <v/>
      </c>
      <c r="AD483" s="34">
        <f>IF(OR($A483="",$H483&lt;&gt;"Ausgabe",P483=""),0,IF(P483="x",-$E483/(COUNTIF($J483:$Q483,"x")+1),-$E483*N(P483)))</f>
        <v/>
      </c>
      <c r="AE483" s="34">
        <f>IF(OR($A483="",$H483&lt;&gt;"Ausgabe",Q483=""),0,IF(Q483="x",-$E483/(COUNTIF($J483:$Q483,"x")+1),-$E483*N(Q483)))</f>
        <v/>
      </c>
    </row>
    <row r="484">
      <c r="A484" s="30" t="n"/>
      <c r="E484" s="31" t="n"/>
      <c r="J484" s="32" t="n"/>
      <c r="K484" s="32" t="n"/>
      <c r="L484" s="32" t="n"/>
      <c r="M484" s="32" t="n"/>
      <c r="N484" s="32" t="n"/>
      <c r="O484" s="32" t="n"/>
      <c r="P484" s="32" t="n"/>
      <c r="Q484" s="32" t="n"/>
      <c r="U484" s="31">
        <f>IF($A484="","",SUM(X484:AE484))</f>
        <v/>
      </c>
      <c r="V484" s="31">
        <f>IF($A484="","",IF($H484&lt;&gt;"Ausgabe",0,-$E484-$U484))</f>
        <v/>
      </c>
      <c r="W484" s="33">
        <f>IF($A484="","",DATE(YEAR($A484),MONTH($A484),1))</f>
        <v/>
      </c>
      <c r="X484" s="34">
        <f>IF(OR($A484="",$H484&lt;&gt;"Ausgabe",J484=""),0,IF(J484="x",-$E484/(COUNTIF($J484:$Q484,"x")+1),-$E484*N(J484)))</f>
        <v/>
      </c>
      <c r="Y484" s="34">
        <f>IF(OR($A484="",$H484&lt;&gt;"Ausgabe",K484=""),0,IF(K484="x",-$E484/(COUNTIF($J484:$Q484,"x")+1),-$E484*N(K484)))</f>
        <v/>
      </c>
      <c r="Z484" s="34">
        <f>IF(OR($A484="",$H484&lt;&gt;"Ausgabe",L484=""),0,IF(L484="x",-$E484/(COUNTIF($J484:$Q484,"x")+1),-$E484*N(L484)))</f>
        <v/>
      </c>
      <c r="AA484" s="34">
        <f>IF(OR($A484="",$H484&lt;&gt;"Ausgabe",M484=""),0,IF(M484="x",-$E484/(COUNTIF($J484:$Q484,"x")+1),-$E484*N(M484)))</f>
        <v/>
      </c>
      <c r="AB484" s="34">
        <f>IF(OR($A484="",$H484&lt;&gt;"Ausgabe",N484=""),0,IF(N484="x",-$E484/(COUNTIF($J484:$Q484,"x")+1),-$E484*N(N484)))</f>
        <v/>
      </c>
      <c r="AC484" s="34">
        <f>IF(OR($A484="",$H484&lt;&gt;"Ausgabe",O484=""),0,IF(O484="x",-$E484/(COUNTIF($J484:$Q484,"x")+1),-$E484*N(O484)))</f>
        <v/>
      </c>
      <c r="AD484" s="34">
        <f>IF(OR($A484="",$H484&lt;&gt;"Ausgabe",P484=""),0,IF(P484="x",-$E484/(COUNTIF($J484:$Q484,"x")+1),-$E484*N(P484)))</f>
        <v/>
      </c>
      <c r="AE484" s="34">
        <f>IF(OR($A484="",$H484&lt;&gt;"Ausgabe",Q484=""),0,IF(Q484="x",-$E484/(COUNTIF($J484:$Q484,"x")+1),-$E484*N(Q484)))</f>
        <v/>
      </c>
    </row>
    <row r="485">
      <c r="A485" s="30" t="n"/>
      <c r="E485" s="31" t="n"/>
      <c r="J485" s="32" t="n"/>
      <c r="K485" s="32" t="n"/>
      <c r="L485" s="32" t="n"/>
      <c r="M485" s="32" t="n"/>
      <c r="N485" s="32" t="n"/>
      <c r="O485" s="32" t="n"/>
      <c r="P485" s="32" t="n"/>
      <c r="Q485" s="32" t="n"/>
      <c r="U485" s="31">
        <f>IF($A485="","",SUM(X485:AE485))</f>
        <v/>
      </c>
      <c r="V485" s="31">
        <f>IF($A485="","",IF($H485&lt;&gt;"Ausgabe",0,-$E485-$U485))</f>
        <v/>
      </c>
      <c r="W485" s="33">
        <f>IF($A485="","",DATE(YEAR($A485),MONTH($A485),1))</f>
        <v/>
      </c>
      <c r="X485" s="34">
        <f>IF(OR($A485="",$H485&lt;&gt;"Ausgabe",J485=""),0,IF(J485="x",-$E485/(COUNTIF($J485:$Q485,"x")+1),-$E485*N(J485)))</f>
        <v/>
      </c>
      <c r="Y485" s="34">
        <f>IF(OR($A485="",$H485&lt;&gt;"Ausgabe",K485=""),0,IF(K485="x",-$E485/(COUNTIF($J485:$Q485,"x")+1),-$E485*N(K485)))</f>
        <v/>
      </c>
      <c r="Z485" s="34">
        <f>IF(OR($A485="",$H485&lt;&gt;"Ausgabe",L485=""),0,IF(L485="x",-$E485/(COUNTIF($J485:$Q485,"x")+1),-$E485*N(L485)))</f>
        <v/>
      </c>
      <c r="AA485" s="34">
        <f>IF(OR($A485="",$H485&lt;&gt;"Ausgabe",M485=""),0,IF(M485="x",-$E485/(COUNTIF($J485:$Q485,"x")+1),-$E485*N(M485)))</f>
        <v/>
      </c>
      <c r="AB485" s="34">
        <f>IF(OR($A485="",$H485&lt;&gt;"Ausgabe",N485=""),0,IF(N485="x",-$E485/(COUNTIF($J485:$Q485,"x")+1),-$E485*N(N485)))</f>
        <v/>
      </c>
      <c r="AC485" s="34">
        <f>IF(OR($A485="",$H485&lt;&gt;"Ausgabe",O485=""),0,IF(O485="x",-$E485/(COUNTIF($J485:$Q485,"x")+1),-$E485*N(O485)))</f>
        <v/>
      </c>
      <c r="AD485" s="34">
        <f>IF(OR($A485="",$H485&lt;&gt;"Ausgabe",P485=""),0,IF(P485="x",-$E485/(COUNTIF($J485:$Q485,"x")+1),-$E485*N(P485)))</f>
        <v/>
      </c>
      <c r="AE485" s="34">
        <f>IF(OR($A485="",$H485&lt;&gt;"Ausgabe",Q485=""),0,IF(Q485="x",-$E485/(COUNTIF($J485:$Q485,"x")+1),-$E485*N(Q485)))</f>
        <v/>
      </c>
    </row>
    <row r="486">
      <c r="A486" s="30" t="n"/>
      <c r="E486" s="31" t="n"/>
      <c r="J486" s="32" t="n"/>
      <c r="K486" s="32" t="n"/>
      <c r="L486" s="32" t="n"/>
      <c r="M486" s="32" t="n"/>
      <c r="N486" s="32" t="n"/>
      <c r="O486" s="32" t="n"/>
      <c r="P486" s="32" t="n"/>
      <c r="Q486" s="32" t="n"/>
      <c r="U486" s="31">
        <f>IF($A486="","",SUM(X486:AE486))</f>
        <v/>
      </c>
      <c r="V486" s="31">
        <f>IF($A486="","",IF($H486&lt;&gt;"Ausgabe",0,-$E486-$U486))</f>
        <v/>
      </c>
      <c r="W486" s="33">
        <f>IF($A486="","",DATE(YEAR($A486),MONTH($A486),1))</f>
        <v/>
      </c>
      <c r="X486" s="34">
        <f>IF(OR($A486="",$H486&lt;&gt;"Ausgabe",J486=""),0,IF(J486="x",-$E486/(COUNTIF($J486:$Q486,"x")+1),-$E486*N(J486)))</f>
        <v/>
      </c>
      <c r="Y486" s="34">
        <f>IF(OR($A486="",$H486&lt;&gt;"Ausgabe",K486=""),0,IF(K486="x",-$E486/(COUNTIF($J486:$Q486,"x")+1),-$E486*N(K486)))</f>
        <v/>
      </c>
      <c r="Z486" s="34">
        <f>IF(OR($A486="",$H486&lt;&gt;"Ausgabe",L486=""),0,IF(L486="x",-$E486/(COUNTIF($J486:$Q486,"x")+1),-$E486*N(L486)))</f>
        <v/>
      </c>
      <c r="AA486" s="34">
        <f>IF(OR($A486="",$H486&lt;&gt;"Ausgabe",M486=""),0,IF(M486="x",-$E486/(COUNTIF($J486:$Q486,"x")+1),-$E486*N(M486)))</f>
        <v/>
      </c>
      <c r="AB486" s="34">
        <f>IF(OR($A486="",$H486&lt;&gt;"Ausgabe",N486=""),0,IF(N486="x",-$E486/(COUNTIF($J486:$Q486,"x")+1),-$E486*N(N486)))</f>
        <v/>
      </c>
      <c r="AC486" s="34">
        <f>IF(OR($A486="",$H486&lt;&gt;"Ausgabe",O486=""),0,IF(O486="x",-$E486/(COUNTIF($J486:$Q486,"x")+1),-$E486*N(O486)))</f>
        <v/>
      </c>
      <c r="AD486" s="34">
        <f>IF(OR($A486="",$H486&lt;&gt;"Ausgabe",P486=""),0,IF(P486="x",-$E486/(COUNTIF($J486:$Q486,"x")+1),-$E486*N(P486)))</f>
        <v/>
      </c>
      <c r="AE486" s="34">
        <f>IF(OR($A486="",$H486&lt;&gt;"Ausgabe",Q486=""),0,IF(Q486="x",-$E486/(COUNTIF($J486:$Q486,"x")+1),-$E486*N(Q486)))</f>
        <v/>
      </c>
    </row>
    <row r="487">
      <c r="A487" s="30" t="n"/>
      <c r="E487" s="31" t="n"/>
      <c r="J487" s="32" t="n"/>
      <c r="K487" s="32" t="n"/>
      <c r="L487" s="32" t="n"/>
      <c r="M487" s="32" t="n"/>
      <c r="N487" s="32" t="n"/>
      <c r="O487" s="32" t="n"/>
      <c r="P487" s="32" t="n"/>
      <c r="Q487" s="32" t="n"/>
      <c r="U487" s="31">
        <f>IF($A487="","",SUM(X487:AE487))</f>
        <v/>
      </c>
      <c r="V487" s="31">
        <f>IF($A487="","",IF($H487&lt;&gt;"Ausgabe",0,-$E487-$U487))</f>
        <v/>
      </c>
      <c r="W487" s="33">
        <f>IF($A487="","",DATE(YEAR($A487),MONTH($A487),1))</f>
        <v/>
      </c>
      <c r="X487" s="34">
        <f>IF(OR($A487="",$H487&lt;&gt;"Ausgabe",J487=""),0,IF(J487="x",-$E487/(COUNTIF($J487:$Q487,"x")+1),-$E487*N(J487)))</f>
        <v/>
      </c>
      <c r="Y487" s="34">
        <f>IF(OR($A487="",$H487&lt;&gt;"Ausgabe",K487=""),0,IF(K487="x",-$E487/(COUNTIF($J487:$Q487,"x")+1),-$E487*N(K487)))</f>
        <v/>
      </c>
      <c r="Z487" s="34">
        <f>IF(OR($A487="",$H487&lt;&gt;"Ausgabe",L487=""),0,IF(L487="x",-$E487/(COUNTIF($J487:$Q487,"x")+1),-$E487*N(L487)))</f>
        <v/>
      </c>
      <c r="AA487" s="34">
        <f>IF(OR($A487="",$H487&lt;&gt;"Ausgabe",M487=""),0,IF(M487="x",-$E487/(COUNTIF($J487:$Q487,"x")+1),-$E487*N(M487)))</f>
        <v/>
      </c>
      <c r="AB487" s="34">
        <f>IF(OR($A487="",$H487&lt;&gt;"Ausgabe",N487=""),0,IF(N487="x",-$E487/(COUNTIF($J487:$Q487,"x")+1),-$E487*N(N487)))</f>
        <v/>
      </c>
      <c r="AC487" s="34">
        <f>IF(OR($A487="",$H487&lt;&gt;"Ausgabe",O487=""),0,IF(O487="x",-$E487/(COUNTIF($J487:$Q487,"x")+1),-$E487*N(O487)))</f>
        <v/>
      </c>
      <c r="AD487" s="34">
        <f>IF(OR($A487="",$H487&lt;&gt;"Ausgabe",P487=""),0,IF(P487="x",-$E487/(COUNTIF($J487:$Q487,"x")+1),-$E487*N(P487)))</f>
        <v/>
      </c>
      <c r="AE487" s="34">
        <f>IF(OR($A487="",$H487&lt;&gt;"Ausgabe",Q487=""),0,IF(Q487="x",-$E487/(COUNTIF($J487:$Q487,"x")+1),-$E487*N(Q487)))</f>
        <v/>
      </c>
    </row>
    <row r="488">
      <c r="A488" s="30" t="n"/>
      <c r="E488" s="31" t="n"/>
      <c r="J488" s="32" t="n"/>
      <c r="K488" s="32" t="n"/>
      <c r="L488" s="32" t="n"/>
      <c r="M488" s="32" t="n"/>
      <c r="N488" s="32" t="n"/>
      <c r="O488" s="32" t="n"/>
      <c r="P488" s="32" t="n"/>
      <c r="Q488" s="32" t="n"/>
      <c r="U488" s="31">
        <f>IF($A488="","",SUM(X488:AE488))</f>
        <v/>
      </c>
      <c r="V488" s="31">
        <f>IF($A488="","",IF($H488&lt;&gt;"Ausgabe",0,-$E488-$U488))</f>
        <v/>
      </c>
      <c r="W488" s="33">
        <f>IF($A488="","",DATE(YEAR($A488),MONTH($A488),1))</f>
        <v/>
      </c>
      <c r="X488" s="34">
        <f>IF(OR($A488="",$H488&lt;&gt;"Ausgabe",J488=""),0,IF(J488="x",-$E488/(COUNTIF($J488:$Q488,"x")+1),-$E488*N(J488)))</f>
        <v/>
      </c>
      <c r="Y488" s="34">
        <f>IF(OR($A488="",$H488&lt;&gt;"Ausgabe",K488=""),0,IF(K488="x",-$E488/(COUNTIF($J488:$Q488,"x")+1),-$E488*N(K488)))</f>
        <v/>
      </c>
      <c r="Z488" s="34">
        <f>IF(OR($A488="",$H488&lt;&gt;"Ausgabe",L488=""),0,IF(L488="x",-$E488/(COUNTIF($J488:$Q488,"x")+1),-$E488*N(L488)))</f>
        <v/>
      </c>
      <c r="AA488" s="34">
        <f>IF(OR($A488="",$H488&lt;&gt;"Ausgabe",M488=""),0,IF(M488="x",-$E488/(COUNTIF($J488:$Q488,"x")+1),-$E488*N(M488)))</f>
        <v/>
      </c>
      <c r="AB488" s="34">
        <f>IF(OR($A488="",$H488&lt;&gt;"Ausgabe",N488=""),0,IF(N488="x",-$E488/(COUNTIF($J488:$Q488,"x")+1),-$E488*N(N488)))</f>
        <v/>
      </c>
      <c r="AC488" s="34">
        <f>IF(OR($A488="",$H488&lt;&gt;"Ausgabe",O488=""),0,IF(O488="x",-$E488/(COUNTIF($J488:$Q488,"x")+1),-$E488*N(O488)))</f>
        <v/>
      </c>
      <c r="AD488" s="34">
        <f>IF(OR($A488="",$H488&lt;&gt;"Ausgabe",P488=""),0,IF(P488="x",-$E488/(COUNTIF($J488:$Q488,"x")+1),-$E488*N(P488)))</f>
        <v/>
      </c>
      <c r="AE488" s="34">
        <f>IF(OR($A488="",$H488&lt;&gt;"Ausgabe",Q488=""),0,IF(Q488="x",-$E488/(COUNTIF($J488:$Q488,"x")+1),-$E488*N(Q488)))</f>
        <v/>
      </c>
    </row>
    <row r="489">
      <c r="A489" s="30" t="n"/>
      <c r="E489" s="31" t="n"/>
      <c r="J489" s="32" t="n"/>
      <c r="K489" s="32" t="n"/>
      <c r="L489" s="32" t="n"/>
      <c r="M489" s="32" t="n"/>
      <c r="N489" s="32" t="n"/>
      <c r="O489" s="32" t="n"/>
      <c r="P489" s="32" t="n"/>
      <c r="Q489" s="32" t="n"/>
      <c r="U489" s="31">
        <f>IF($A489="","",SUM(X489:AE489))</f>
        <v/>
      </c>
      <c r="V489" s="31">
        <f>IF($A489="","",IF($H489&lt;&gt;"Ausgabe",0,-$E489-$U489))</f>
        <v/>
      </c>
      <c r="W489" s="33">
        <f>IF($A489="","",DATE(YEAR($A489),MONTH($A489),1))</f>
        <v/>
      </c>
      <c r="X489" s="34">
        <f>IF(OR($A489="",$H489&lt;&gt;"Ausgabe",J489=""),0,IF(J489="x",-$E489/(COUNTIF($J489:$Q489,"x")+1),-$E489*N(J489)))</f>
        <v/>
      </c>
      <c r="Y489" s="34">
        <f>IF(OR($A489="",$H489&lt;&gt;"Ausgabe",K489=""),0,IF(K489="x",-$E489/(COUNTIF($J489:$Q489,"x")+1),-$E489*N(K489)))</f>
        <v/>
      </c>
      <c r="Z489" s="34">
        <f>IF(OR($A489="",$H489&lt;&gt;"Ausgabe",L489=""),0,IF(L489="x",-$E489/(COUNTIF($J489:$Q489,"x")+1),-$E489*N(L489)))</f>
        <v/>
      </c>
      <c r="AA489" s="34">
        <f>IF(OR($A489="",$H489&lt;&gt;"Ausgabe",M489=""),0,IF(M489="x",-$E489/(COUNTIF($J489:$Q489,"x")+1),-$E489*N(M489)))</f>
        <v/>
      </c>
      <c r="AB489" s="34">
        <f>IF(OR($A489="",$H489&lt;&gt;"Ausgabe",N489=""),0,IF(N489="x",-$E489/(COUNTIF($J489:$Q489,"x")+1),-$E489*N(N489)))</f>
        <v/>
      </c>
      <c r="AC489" s="34">
        <f>IF(OR($A489="",$H489&lt;&gt;"Ausgabe",O489=""),0,IF(O489="x",-$E489/(COUNTIF($J489:$Q489,"x")+1),-$E489*N(O489)))</f>
        <v/>
      </c>
      <c r="AD489" s="34">
        <f>IF(OR($A489="",$H489&lt;&gt;"Ausgabe",P489=""),0,IF(P489="x",-$E489/(COUNTIF($J489:$Q489,"x")+1),-$E489*N(P489)))</f>
        <v/>
      </c>
      <c r="AE489" s="34">
        <f>IF(OR($A489="",$H489&lt;&gt;"Ausgabe",Q489=""),0,IF(Q489="x",-$E489/(COUNTIF($J489:$Q489,"x")+1),-$E489*N(Q489)))</f>
        <v/>
      </c>
    </row>
    <row r="490">
      <c r="A490" s="30" t="n"/>
      <c r="E490" s="31" t="n"/>
      <c r="J490" s="32" t="n"/>
      <c r="K490" s="32" t="n"/>
      <c r="L490" s="32" t="n"/>
      <c r="M490" s="32" t="n"/>
      <c r="N490" s="32" t="n"/>
      <c r="O490" s="32" t="n"/>
      <c r="P490" s="32" t="n"/>
      <c r="Q490" s="32" t="n"/>
      <c r="U490" s="31">
        <f>IF($A490="","",SUM(X490:AE490))</f>
        <v/>
      </c>
      <c r="V490" s="31">
        <f>IF($A490="","",IF($H490&lt;&gt;"Ausgabe",0,-$E490-$U490))</f>
        <v/>
      </c>
      <c r="W490" s="33">
        <f>IF($A490="","",DATE(YEAR($A490),MONTH($A490),1))</f>
        <v/>
      </c>
      <c r="X490" s="34">
        <f>IF(OR($A490="",$H490&lt;&gt;"Ausgabe",J490=""),0,IF(J490="x",-$E490/(COUNTIF($J490:$Q490,"x")+1),-$E490*N(J490)))</f>
        <v/>
      </c>
      <c r="Y490" s="34">
        <f>IF(OR($A490="",$H490&lt;&gt;"Ausgabe",K490=""),0,IF(K490="x",-$E490/(COUNTIF($J490:$Q490,"x")+1),-$E490*N(K490)))</f>
        <v/>
      </c>
      <c r="Z490" s="34">
        <f>IF(OR($A490="",$H490&lt;&gt;"Ausgabe",L490=""),0,IF(L490="x",-$E490/(COUNTIF($J490:$Q490,"x")+1),-$E490*N(L490)))</f>
        <v/>
      </c>
      <c r="AA490" s="34">
        <f>IF(OR($A490="",$H490&lt;&gt;"Ausgabe",M490=""),0,IF(M490="x",-$E490/(COUNTIF($J490:$Q490,"x")+1),-$E490*N(M490)))</f>
        <v/>
      </c>
      <c r="AB490" s="34">
        <f>IF(OR($A490="",$H490&lt;&gt;"Ausgabe",N490=""),0,IF(N490="x",-$E490/(COUNTIF($J490:$Q490,"x")+1),-$E490*N(N490)))</f>
        <v/>
      </c>
      <c r="AC490" s="34">
        <f>IF(OR($A490="",$H490&lt;&gt;"Ausgabe",O490=""),0,IF(O490="x",-$E490/(COUNTIF($J490:$Q490,"x")+1),-$E490*N(O490)))</f>
        <v/>
      </c>
      <c r="AD490" s="34">
        <f>IF(OR($A490="",$H490&lt;&gt;"Ausgabe",P490=""),0,IF(P490="x",-$E490/(COUNTIF($J490:$Q490,"x")+1),-$E490*N(P490)))</f>
        <v/>
      </c>
      <c r="AE490" s="34">
        <f>IF(OR($A490="",$H490&lt;&gt;"Ausgabe",Q490=""),0,IF(Q490="x",-$E490/(COUNTIF($J490:$Q490,"x")+1),-$E490*N(Q490)))</f>
        <v/>
      </c>
    </row>
    <row r="491">
      <c r="A491" s="30" t="n"/>
      <c r="E491" s="31" t="n"/>
      <c r="J491" s="32" t="n"/>
      <c r="K491" s="32" t="n"/>
      <c r="L491" s="32" t="n"/>
      <c r="M491" s="32" t="n"/>
      <c r="N491" s="32" t="n"/>
      <c r="O491" s="32" t="n"/>
      <c r="P491" s="32" t="n"/>
      <c r="Q491" s="32" t="n"/>
      <c r="U491" s="31">
        <f>IF($A491="","",SUM(X491:AE491))</f>
        <v/>
      </c>
      <c r="V491" s="31">
        <f>IF($A491="","",IF($H491&lt;&gt;"Ausgabe",0,-$E491-$U491))</f>
        <v/>
      </c>
      <c r="W491" s="33">
        <f>IF($A491="","",DATE(YEAR($A491),MONTH($A491),1))</f>
        <v/>
      </c>
      <c r="X491" s="34">
        <f>IF(OR($A491="",$H491&lt;&gt;"Ausgabe",J491=""),0,IF(J491="x",-$E491/(COUNTIF($J491:$Q491,"x")+1),-$E491*N(J491)))</f>
        <v/>
      </c>
      <c r="Y491" s="34">
        <f>IF(OR($A491="",$H491&lt;&gt;"Ausgabe",K491=""),0,IF(K491="x",-$E491/(COUNTIF($J491:$Q491,"x")+1),-$E491*N(K491)))</f>
        <v/>
      </c>
      <c r="Z491" s="34">
        <f>IF(OR($A491="",$H491&lt;&gt;"Ausgabe",L491=""),0,IF(L491="x",-$E491/(COUNTIF($J491:$Q491,"x")+1),-$E491*N(L491)))</f>
        <v/>
      </c>
      <c r="AA491" s="34">
        <f>IF(OR($A491="",$H491&lt;&gt;"Ausgabe",M491=""),0,IF(M491="x",-$E491/(COUNTIF($J491:$Q491,"x")+1),-$E491*N(M491)))</f>
        <v/>
      </c>
      <c r="AB491" s="34">
        <f>IF(OR($A491="",$H491&lt;&gt;"Ausgabe",N491=""),0,IF(N491="x",-$E491/(COUNTIF($J491:$Q491,"x")+1),-$E491*N(N491)))</f>
        <v/>
      </c>
      <c r="AC491" s="34">
        <f>IF(OR($A491="",$H491&lt;&gt;"Ausgabe",O491=""),0,IF(O491="x",-$E491/(COUNTIF($J491:$Q491,"x")+1),-$E491*N(O491)))</f>
        <v/>
      </c>
      <c r="AD491" s="34">
        <f>IF(OR($A491="",$H491&lt;&gt;"Ausgabe",P491=""),0,IF(P491="x",-$E491/(COUNTIF($J491:$Q491,"x")+1),-$E491*N(P491)))</f>
        <v/>
      </c>
      <c r="AE491" s="34">
        <f>IF(OR($A491="",$H491&lt;&gt;"Ausgabe",Q491=""),0,IF(Q491="x",-$E491/(COUNTIF($J491:$Q491,"x")+1),-$E491*N(Q491)))</f>
        <v/>
      </c>
    </row>
    <row r="492">
      <c r="A492" s="30" t="n"/>
      <c r="E492" s="31" t="n"/>
      <c r="J492" s="32" t="n"/>
      <c r="K492" s="32" t="n"/>
      <c r="L492" s="32" t="n"/>
      <c r="M492" s="32" t="n"/>
      <c r="N492" s="32" t="n"/>
      <c r="O492" s="32" t="n"/>
      <c r="P492" s="32" t="n"/>
      <c r="Q492" s="32" t="n"/>
      <c r="U492" s="31">
        <f>IF($A492="","",SUM(X492:AE492))</f>
        <v/>
      </c>
      <c r="V492" s="31">
        <f>IF($A492="","",IF($H492&lt;&gt;"Ausgabe",0,-$E492-$U492))</f>
        <v/>
      </c>
      <c r="W492" s="33">
        <f>IF($A492="","",DATE(YEAR($A492),MONTH($A492),1))</f>
        <v/>
      </c>
      <c r="X492" s="34">
        <f>IF(OR($A492="",$H492&lt;&gt;"Ausgabe",J492=""),0,IF(J492="x",-$E492/(COUNTIF($J492:$Q492,"x")+1),-$E492*N(J492)))</f>
        <v/>
      </c>
      <c r="Y492" s="34">
        <f>IF(OR($A492="",$H492&lt;&gt;"Ausgabe",K492=""),0,IF(K492="x",-$E492/(COUNTIF($J492:$Q492,"x")+1),-$E492*N(K492)))</f>
        <v/>
      </c>
      <c r="Z492" s="34">
        <f>IF(OR($A492="",$H492&lt;&gt;"Ausgabe",L492=""),0,IF(L492="x",-$E492/(COUNTIF($J492:$Q492,"x")+1),-$E492*N(L492)))</f>
        <v/>
      </c>
      <c r="AA492" s="34">
        <f>IF(OR($A492="",$H492&lt;&gt;"Ausgabe",M492=""),0,IF(M492="x",-$E492/(COUNTIF($J492:$Q492,"x")+1),-$E492*N(M492)))</f>
        <v/>
      </c>
      <c r="AB492" s="34">
        <f>IF(OR($A492="",$H492&lt;&gt;"Ausgabe",N492=""),0,IF(N492="x",-$E492/(COUNTIF($J492:$Q492,"x")+1),-$E492*N(N492)))</f>
        <v/>
      </c>
      <c r="AC492" s="34">
        <f>IF(OR($A492="",$H492&lt;&gt;"Ausgabe",O492=""),0,IF(O492="x",-$E492/(COUNTIF($J492:$Q492,"x")+1),-$E492*N(O492)))</f>
        <v/>
      </c>
      <c r="AD492" s="34">
        <f>IF(OR($A492="",$H492&lt;&gt;"Ausgabe",P492=""),0,IF(P492="x",-$E492/(COUNTIF($J492:$Q492,"x")+1),-$E492*N(P492)))</f>
        <v/>
      </c>
      <c r="AE492" s="34">
        <f>IF(OR($A492="",$H492&lt;&gt;"Ausgabe",Q492=""),0,IF(Q492="x",-$E492/(COUNTIF($J492:$Q492,"x")+1),-$E492*N(Q492)))</f>
        <v/>
      </c>
    </row>
    <row r="493">
      <c r="A493" s="30" t="n"/>
      <c r="E493" s="31" t="n"/>
      <c r="J493" s="32" t="n"/>
      <c r="K493" s="32" t="n"/>
      <c r="L493" s="32" t="n"/>
      <c r="M493" s="32" t="n"/>
      <c r="N493" s="32" t="n"/>
      <c r="O493" s="32" t="n"/>
      <c r="P493" s="32" t="n"/>
      <c r="Q493" s="32" t="n"/>
      <c r="U493" s="31">
        <f>IF($A493="","",SUM(X493:AE493))</f>
        <v/>
      </c>
      <c r="V493" s="31">
        <f>IF($A493="","",IF($H493&lt;&gt;"Ausgabe",0,-$E493-$U493))</f>
        <v/>
      </c>
      <c r="W493" s="33">
        <f>IF($A493="","",DATE(YEAR($A493),MONTH($A493),1))</f>
        <v/>
      </c>
      <c r="X493" s="34">
        <f>IF(OR($A493="",$H493&lt;&gt;"Ausgabe",J493=""),0,IF(J493="x",-$E493/(COUNTIF($J493:$Q493,"x")+1),-$E493*N(J493)))</f>
        <v/>
      </c>
      <c r="Y493" s="34">
        <f>IF(OR($A493="",$H493&lt;&gt;"Ausgabe",K493=""),0,IF(K493="x",-$E493/(COUNTIF($J493:$Q493,"x")+1),-$E493*N(K493)))</f>
        <v/>
      </c>
      <c r="Z493" s="34">
        <f>IF(OR($A493="",$H493&lt;&gt;"Ausgabe",L493=""),0,IF(L493="x",-$E493/(COUNTIF($J493:$Q493,"x")+1),-$E493*N(L493)))</f>
        <v/>
      </c>
      <c r="AA493" s="34">
        <f>IF(OR($A493="",$H493&lt;&gt;"Ausgabe",M493=""),0,IF(M493="x",-$E493/(COUNTIF($J493:$Q493,"x")+1),-$E493*N(M493)))</f>
        <v/>
      </c>
      <c r="AB493" s="34">
        <f>IF(OR($A493="",$H493&lt;&gt;"Ausgabe",N493=""),0,IF(N493="x",-$E493/(COUNTIF($J493:$Q493,"x")+1),-$E493*N(N493)))</f>
        <v/>
      </c>
      <c r="AC493" s="34">
        <f>IF(OR($A493="",$H493&lt;&gt;"Ausgabe",O493=""),0,IF(O493="x",-$E493/(COUNTIF($J493:$Q493,"x")+1),-$E493*N(O493)))</f>
        <v/>
      </c>
      <c r="AD493" s="34">
        <f>IF(OR($A493="",$H493&lt;&gt;"Ausgabe",P493=""),0,IF(P493="x",-$E493/(COUNTIF($J493:$Q493,"x")+1),-$E493*N(P493)))</f>
        <v/>
      </c>
      <c r="AE493" s="34">
        <f>IF(OR($A493="",$H493&lt;&gt;"Ausgabe",Q493=""),0,IF(Q493="x",-$E493/(COUNTIF($J493:$Q493,"x")+1),-$E493*N(Q493)))</f>
        <v/>
      </c>
    </row>
    <row r="494">
      <c r="A494" s="30" t="n"/>
      <c r="E494" s="31" t="n"/>
      <c r="J494" s="32" t="n"/>
      <c r="K494" s="32" t="n"/>
      <c r="L494" s="32" t="n"/>
      <c r="M494" s="32" t="n"/>
      <c r="N494" s="32" t="n"/>
      <c r="O494" s="32" t="n"/>
      <c r="P494" s="32" t="n"/>
      <c r="Q494" s="32" t="n"/>
      <c r="U494" s="31">
        <f>IF($A494="","",SUM(X494:AE494))</f>
        <v/>
      </c>
      <c r="V494" s="31">
        <f>IF($A494="","",IF($H494&lt;&gt;"Ausgabe",0,-$E494-$U494))</f>
        <v/>
      </c>
      <c r="W494" s="33">
        <f>IF($A494="","",DATE(YEAR($A494),MONTH($A494),1))</f>
        <v/>
      </c>
      <c r="X494" s="34">
        <f>IF(OR($A494="",$H494&lt;&gt;"Ausgabe",J494=""),0,IF(J494="x",-$E494/(COUNTIF($J494:$Q494,"x")+1),-$E494*N(J494)))</f>
        <v/>
      </c>
      <c r="Y494" s="34">
        <f>IF(OR($A494="",$H494&lt;&gt;"Ausgabe",K494=""),0,IF(K494="x",-$E494/(COUNTIF($J494:$Q494,"x")+1),-$E494*N(K494)))</f>
        <v/>
      </c>
      <c r="Z494" s="34">
        <f>IF(OR($A494="",$H494&lt;&gt;"Ausgabe",L494=""),0,IF(L494="x",-$E494/(COUNTIF($J494:$Q494,"x")+1),-$E494*N(L494)))</f>
        <v/>
      </c>
      <c r="AA494" s="34">
        <f>IF(OR($A494="",$H494&lt;&gt;"Ausgabe",M494=""),0,IF(M494="x",-$E494/(COUNTIF($J494:$Q494,"x")+1),-$E494*N(M494)))</f>
        <v/>
      </c>
      <c r="AB494" s="34">
        <f>IF(OR($A494="",$H494&lt;&gt;"Ausgabe",N494=""),0,IF(N494="x",-$E494/(COUNTIF($J494:$Q494,"x")+1),-$E494*N(N494)))</f>
        <v/>
      </c>
      <c r="AC494" s="34">
        <f>IF(OR($A494="",$H494&lt;&gt;"Ausgabe",O494=""),0,IF(O494="x",-$E494/(COUNTIF($J494:$Q494,"x")+1),-$E494*N(O494)))</f>
        <v/>
      </c>
      <c r="AD494" s="34">
        <f>IF(OR($A494="",$H494&lt;&gt;"Ausgabe",P494=""),0,IF(P494="x",-$E494/(COUNTIF($J494:$Q494,"x")+1),-$E494*N(P494)))</f>
        <v/>
      </c>
      <c r="AE494" s="34">
        <f>IF(OR($A494="",$H494&lt;&gt;"Ausgabe",Q494=""),0,IF(Q494="x",-$E494/(COUNTIF($J494:$Q494,"x")+1),-$E494*N(Q494)))</f>
        <v/>
      </c>
    </row>
    <row r="495">
      <c r="A495" s="30" t="n"/>
      <c r="E495" s="31" t="n"/>
      <c r="J495" s="32" t="n"/>
      <c r="K495" s="32" t="n"/>
      <c r="L495" s="32" t="n"/>
      <c r="M495" s="32" t="n"/>
      <c r="N495" s="32" t="n"/>
      <c r="O495" s="32" t="n"/>
      <c r="P495" s="32" t="n"/>
      <c r="Q495" s="32" t="n"/>
      <c r="U495" s="31">
        <f>IF($A495="","",SUM(X495:AE495))</f>
        <v/>
      </c>
      <c r="V495" s="31">
        <f>IF($A495="","",IF($H495&lt;&gt;"Ausgabe",0,-$E495-$U495))</f>
        <v/>
      </c>
      <c r="W495" s="33">
        <f>IF($A495="","",DATE(YEAR($A495),MONTH($A495),1))</f>
        <v/>
      </c>
      <c r="X495" s="34">
        <f>IF(OR($A495="",$H495&lt;&gt;"Ausgabe",J495=""),0,IF(J495="x",-$E495/(COUNTIF($J495:$Q495,"x")+1),-$E495*N(J495)))</f>
        <v/>
      </c>
      <c r="Y495" s="34">
        <f>IF(OR($A495="",$H495&lt;&gt;"Ausgabe",K495=""),0,IF(K495="x",-$E495/(COUNTIF($J495:$Q495,"x")+1),-$E495*N(K495)))</f>
        <v/>
      </c>
      <c r="Z495" s="34">
        <f>IF(OR($A495="",$H495&lt;&gt;"Ausgabe",L495=""),0,IF(L495="x",-$E495/(COUNTIF($J495:$Q495,"x")+1),-$E495*N(L495)))</f>
        <v/>
      </c>
      <c r="AA495" s="34">
        <f>IF(OR($A495="",$H495&lt;&gt;"Ausgabe",M495=""),0,IF(M495="x",-$E495/(COUNTIF($J495:$Q495,"x")+1),-$E495*N(M495)))</f>
        <v/>
      </c>
      <c r="AB495" s="34">
        <f>IF(OR($A495="",$H495&lt;&gt;"Ausgabe",N495=""),0,IF(N495="x",-$E495/(COUNTIF($J495:$Q495,"x")+1),-$E495*N(N495)))</f>
        <v/>
      </c>
      <c r="AC495" s="34">
        <f>IF(OR($A495="",$H495&lt;&gt;"Ausgabe",O495=""),0,IF(O495="x",-$E495/(COUNTIF($J495:$Q495,"x")+1),-$E495*N(O495)))</f>
        <v/>
      </c>
      <c r="AD495" s="34">
        <f>IF(OR($A495="",$H495&lt;&gt;"Ausgabe",P495=""),0,IF(P495="x",-$E495/(COUNTIF($J495:$Q495,"x")+1),-$E495*N(P495)))</f>
        <v/>
      </c>
      <c r="AE495" s="34">
        <f>IF(OR($A495="",$H495&lt;&gt;"Ausgabe",Q495=""),0,IF(Q495="x",-$E495/(COUNTIF($J495:$Q495,"x")+1),-$E495*N(Q495)))</f>
        <v/>
      </c>
    </row>
    <row r="496">
      <c r="A496" s="30" t="n"/>
      <c r="E496" s="31" t="n"/>
      <c r="J496" s="32" t="n"/>
      <c r="K496" s="32" t="n"/>
      <c r="L496" s="32" t="n"/>
      <c r="M496" s="32" t="n"/>
      <c r="N496" s="32" t="n"/>
      <c r="O496" s="32" t="n"/>
      <c r="P496" s="32" t="n"/>
      <c r="Q496" s="32" t="n"/>
      <c r="U496" s="31">
        <f>IF($A496="","",SUM(X496:AE496))</f>
        <v/>
      </c>
      <c r="V496" s="31">
        <f>IF($A496="","",IF($H496&lt;&gt;"Ausgabe",0,-$E496-$U496))</f>
        <v/>
      </c>
      <c r="W496" s="33">
        <f>IF($A496="","",DATE(YEAR($A496),MONTH($A496),1))</f>
        <v/>
      </c>
      <c r="X496" s="34">
        <f>IF(OR($A496="",$H496&lt;&gt;"Ausgabe",J496=""),0,IF(J496="x",-$E496/(COUNTIF($J496:$Q496,"x")+1),-$E496*N(J496)))</f>
        <v/>
      </c>
      <c r="Y496" s="34">
        <f>IF(OR($A496="",$H496&lt;&gt;"Ausgabe",K496=""),0,IF(K496="x",-$E496/(COUNTIF($J496:$Q496,"x")+1),-$E496*N(K496)))</f>
        <v/>
      </c>
      <c r="Z496" s="34">
        <f>IF(OR($A496="",$H496&lt;&gt;"Ausgabe",L496=""),0,IF(L496="x",-$E496/(COUNTIF($J496:$Q496,"x")+1),-$E496*N(L496)))</f>
        <v/>
      </c>
      <c r="AA496" s="34">
        <f>IF(OR($A496="",$H496&lt;&gt;"Ausgabe",M496=""),0,IF(M496="x",-$E496/(COUNTIF($J496:$Q496,"x")+1),-$E496*N(M496)))</f>
        <v/>
      </c>
      <c r="AB496" s="34">
        <f>IF(OR($A496="",$H496&lt;&gt;"Ausgabe",N496=""),0,IF(N496="x",-$E496/(COUNTIF($J496:$Q496,"x")+1),-$E496*N(N496)))</f>
        <v/>
      </c>
      <c r="AC496" s="34">
        <f>IF(OR($A496="",$H496&lt;&gt;"Ausgabe",O496=""),0,IF(O496="x",-$E496/(COUNTIF($J496:$Q496,"x")+1),-$E496*N(O496)))</f>
        <v/>
      </c>
      <c r="AD496" s="34">
        <f>IF(OR($A496="",$H496&lt;&gt;"Ausgabe",P496=""),0,IF(P496="x",-$E496/(COUNTIF($J496:$Q496,"x")+1),-$E496*N(P496)))</f>
        <v/>
      </c>
      <c r="AE496" s="34">
        <f>IF(OR($A496="",$H496&lt;&gt;"Ausgabe",Q496=""),0,IF(Q496="x",-$E496/(COUNTIF($J496:$Q496,"x")+1),-$E496*N(Q496)))</f>
        <v/>
      </c>
    </row>
    <row r="497">
      <c r="A497" s="30" t="n"/>
      <c r="E497" s="31" t="n"/>
      <c r="J497" s="32" t="n"/>
      <c r="K497" s="32" t="n"/>
      <c r="L497" s="32" t="n"/>
      <c r="M497" s="32" t="n"/>
      <c r="N497" s="32" t="n"/>
      <c r="O497" s="32" t="n"/>
      <c r="P497" s="32" t="n"/>
      <c r="Q497" s="32" t="n"/>
      <c r="U497" s="31">
        <f>IF($A497="","",SUM(X497:AE497))</f>
        <v/>
      </c>
      <c r="V497" s="31">
        <f>IF($A497="","",IF($H497&lt;&gt;"Ausgabe",0,-$E497-$U497))</f>
        <v/>
      </c>
      <c r="W497" s="33">
        <f>IF($A497="","",DATE(YEAR($A497),MONTH($A497),1))</f>
        <v/>
      </c>
      <c r="X497" s="34">
        <f>IF(OR($A497="",$H497&lt;&gt;"Ausgabe",J497=""),0,IF(J497="x",-$E497/(COUNTIF($J497:$Q497,"x")+1),-$E497*N(J497)))</f>
        <v/>
      </c>
      <c r="Y497" s="34">
        <f>IF(OR($A497="",$H497&lt;&gt;"Ausgabe",K497=""),0,IF(K497="x",-$E497/(COUNTIF($J497:$Q497,"x")+1),-$E497*N(K497)))</f>
        <v/>
      </c>
      <c r="Z497" s="34">
        <f>IF(OR($A497="",$H497&lt;&gt;"Ausgabe",L497=""),0,IF(L497="x",-$E497/(COUNTIF($J497:$Q497,"x")+1),-$E497*N(L497)))</f>
        <v/>
      </c>
      <c r="AA497" s="34">
        <f>IF(OR($A497="",$H497&lt;&gt;"Ausgabe",M497=""),0,IF(M497="x",-$E497/(COUNTIF($J497:$Q497,"x")+1),-$E497*N(M497)))</f>
        <v/>
      </c>
      <c r="AB497" s="34">
        <f>IF(OR($A497="",$H497&lt;&gt;"Ausgabe",N497=""),0,IF(N497="x",-$E497/(COUNTIF($J497:$Q497,"x")+1),-$E497*N(N497)))</f>
        <v/>
      </c>
      <c r="AC497" s="34">
        <f>IF(OR($A497="",$H497&lt;&gt;"Ausgabe",O497=""),0,IF(O497="x",-$E497/(COUNTIF($J497:$Q497,"x")+1),-$E497*N(O497)))</f>
        <v/>
      </c>
      <c r="AD497" s="34">
        <f>IF(OR($A497="",$H497&lt;&gt;"Ausgabe",P497=""),0,IF(P497="x",-$E497/(COUNTIF($J497:$Q497,"x")+1),-$E497*N(P497)))</f>
        <v/>
      </c>
      <c r="AE497" s="34">
        <f>IF(OR($A497="",$H497&lt;&gt;"Ausgabe",Q497=""),0,IF(Q497="x",-$E497/(COUNTIF($J497:$Q497,"x")+1),-$E497*N(Q497)))</f>
        <v/>
      </c>
    </row>
    <row r="498">
      <c r="A498" s="30" t="n"/>
      <c r="E498" s="31" t="n"/>
      <c r="J498" s="32" t="n"/>
      <c r="K498" s="32" t="n"/>
      <c r="L498" s="32" t="n"/>
      <c r="M498" s="32" t="n"/>
      <c r="N498" s="32" t="n"/>
      <c r="O498" s="32" t="n"/>
      <c r="P498" s="32" t="n"/>
      <c r="Q498" s="32" t="n"/>
      <c r="U498" s="31">
        <f>IF($A498="","",SUM(X498:AE498))</f>
        <v/>
      </c>
      <c r="V498" s="31">
        <f>IF($A498="","",IF($H498&lt;&gt;"Ausgabe",0,-$E498-$U498))</f>
        <v/>
      </c>
      <c r="W498" s="33">
        <f>IF($A498="","",DATE(YEAR($A498),MONTH($A498),1))</f>
        <v/>
      </c>
      <c r="X498" s="34">
        <f>IF(OR($A498="",$H498&lt;&gt;"Ausgabe",J498=""),0,IF(J498="x",-$E498/(COUNTIF($J498:$Q498,"x")+1),-$E498*N(J498)))</f>
        <v/>
      </c>
      <c r="Y498" s="34">
        <f>IF(OR($A498="",$H498&lt;&gt;"Ausgabe",K498=""),0,IF(K498="x",-$E498/(COUNTIF($J498:$Q498,"x")+1),-$E498*N(K498)))</f>
        <v/>
      </c>
      <c r="Z498" s="34">
        <f>IF(OR($A498="",$H498&lt;&gt;"Ausgabe",L498=""),0,IF(L498="x",-$E498/(COUNTIF($J498:$Q498,"x")+1),-$E498*N(L498)))</f>
        <v/>
      </c>
      <c r="AA498" s="34">
        <f>IF(OR($A498="",$H498&lt;&gt;"Ausgabe",M498=""),0,IF(M498="x",-$E498/(COUNTIF($J498:$Q498,"x")+1),-$E498*N(M498)))</f>
        <v/>
      </c>
      <c r="AB498" s="34">
        <f>IF(OR($A498="",$H498&lt;&gt;"Ausgabe",N498=""),0,IF(N498="x",-$E498/(COUNTIF($J498:$Q498,"x")+1),-$E498*N(N498)))</f>
        <v/>
      </c>
      <c r="AC498" s="34">
        <f>IF(OR($A498="",$H498&lt;&gt;"Ausgabe",O498=""),0,IF(O498="x",-$E498/(COUNTIF($J498:$Q498,"x")+1),-$E498*N(O498)))</f>
        <v/>
      </c>
      <c r="AD498" s="34">
        <f>IF(OR($A498="",$H498&lt;&gt;"Ausgabe",P498=""),0,IF(P498="x",-$E498/(COUNTIF($J498:$Q498,"x")+1),-$E498*N(P498)))</f>
        <v/>
      </c>
      <c r="AE498" s="34">
        <f>IF(OR($A498="",$H498&lt;&gt;"Ausgabe",Q498=""),0,IF(Q498="x",-$E498/(COUNTIF($J498:$Q498,"x")+1),-$E498*N(Q498)))</f>
        <v/>
      </c>
    </row>
    <row r="499">
      <c r="A499" s="30" t="n"/>
      <c r="E499" s="31" t="n"/>
      <c r="J499" s="32" t="n"/>
      <c r="K499" s="32" t="n"/>
      <c r="L499" s="32" t="n"/>
      <c r="M499" s="32" t="n"/>
      <c r="N499" s="32" t="n"/>
      <c r="O499" s="32" t="n"/>
      <c r="P499" s="32" t="n"/>
      <c r="Q499" s="32" t="n"/>
      <c r="U499" s="31">
        <f>IF($A499="","",SUM(X499:AE499))</f>
        <v/>
      </c>
      <c r="V499" s="31">
        <f>IF($A499="","",IF($H499&lt;&gt;"Ausgabe",0,-$E499-$U499))</f>
        <v/>
      </c>
      <c r="W499" s="33">
        <f>IF($A499="","",DATE(YEAR($A499),MONTH($A499),1))</f>
        <v/>
      </c>
      <c r="X499" s="34">
        <f>IF(OR($A499="",$H499&lt;&gt;"Ausgabe",J499=""),0,IF(J499="x",-$E499/(COUNTIF($J499:$Q499,"x")+1),-$E499*N(J499)))</f>
        <v/>
      </c>
      <c r="Y499" s="34">
        <f>IF(OR($A499="",$H499&lt;&gt;"Ausgabe",K499=""),0,IF(K499="x",-$E499/(COUNTIF($J499:$Q499,"x")+1),-$E499*N(K499)))</f>
        <v/>
      </c>
      <c r="Z499" s="34">
        <f>IF(OR($A499="",$H499&lt;&gt;"Ausgabe",L499=""),0,IF(L499="x",-$E499/(COUNTIF($J499:$Q499,"x")+1),-$E499*N(L499)))</f>
        <v/>
      </c>
      <c r="AA499" s="34">
        <f>IF(OR($A499="",$H499&lt;&gt;"Ausgabe",M499=""),0,IF(M499="x",-$E499/(COUNTIF($J499:$Q499,"x")+1),-$E499*N(M499)))</f>
        <v/>
      </c>
      <c r="AB499" s="34">
        <f>IF(OR($A499="",$H499&lt;&gt;"Ausgabe",N499=""),0,IF(N499="x",-$E499/(COUNTIF($J499:$Q499,"x")+1),-$E499*N(N499)))</f>
        <v/>
      </c>
      <c r="AC499" s="34">
        <f>IF(OR($A499="",$H499&lt;&gt;"Ausgabe",O499=""),0,IF(O499="x",-$E499/(COUNTIF($J499:$Q499,"x")+1),-$E499*N(O499)))</f>
        <v/>
      </c>
      <c r="AD499" s="34">
        <f>IF(OR($A499="",$H499&lt;&gt;"Ausgabe",P499=""),0,IF(P499="x",-$E499/(COUNTIF($J499:$Q499,"x")+1),-$E499*N(P499)))</f>
        <v/>
      </c>
      <c r="AE499" s="34">
        <f>IF(OR($A499="",$H499&lt;&gt;"Ausgabe",Q499=""),0,IF(Q499="x",-$E499/(COUNTIF($J499:$Q499,"x")+1),-$E499*N(Q499)))</f>
        <v/>
      </c>
    </row>
    <row r="500">
      <c r="A500" s="30" t="n"/>
      <c r="E500" s="31" t="n"/>
      <c r="J500" s="32" t="n"/>
      <c r="K500" s="32" t="n"/>
      <c r="L500" s="32" t="n"/>
      <c r="M500" s="32" t="n"/>
      <c r="N500" s="32" t="n"/>
      <c r="O500" s="32" t="n"/>
      <c r="P500" s="32" t="n"/>
      <c r="Q500" s="32" t="n"/>
      <c r="U500" s="31">
        <f>IF($A500="","",SUM(X500:AE500))</f>
        <v/>
      </c>
      <c r="V500" s="31">
        <f>IF($A500="","",IF($H500&lt;&gt;"Ausgabe",0,-$E500-$U500))</f>
        <v/>
      </c>
      <c r="W500" s="33">
        <f>IF($A500="","",DATE(YEAR($A500),MONTH($A500),1))</f>
        <v/>
      </c>
      <c r="X500" s="34">
        <f>IF(OR($A500="",$H500&lt;&gt;"Ausgabe",J500=""),0,IF(J500="x",-$E500/(COUNTIF($J500:$Q500,"x")+1),-$E500*N(J500)))</f>
        <v/>
      </c>
      <c r="Y500" s="34">
        <f>IF(OR($A500="",$H500&lt;&gt;"Ausgabe",K500=""),0,IF(K500="x",-$E500/(COUNTIF($J500:$Q500,"x")+1),-$E500*N(K500)))</f>
        <v/>
      </c>
      <c r="Z500" s="34">
        <f>IF(OR($A500="",$H500&lt;&gt;"Ausgabe",L500=""),0,IF(L500="x",-$E500/(COUNTIF($J500:$Q500,"x")+1),-$E500*N(L500)))</f>
        <v/>
      </c>
      <c r="AA500" s="34">
        <f>IF(OR($A500="",$H500&lt;&gt;"Ausgabe",M500=""),0,IF(M500="x",-$E500/(COUNTIF($J500:$Q500,"x")+1),-$E500*N(M500)))</f>
        <v/>
      </c>
      <c r="AB500" s="34">
        <f>IF(OR($A500="",$H500&lt;&gt;"Ausgabe",N500=""),0,IF(N500="x",-$E500/(COUNTIF($J500:$Q500,"x")+1),-$E500*N(N500)))</f>
        <v/>
      </c>
      <c r="AC500" s="34">
        <f>IF(OR($A500="",$H500&lt;&gt;"Ausgabe",O500=""),0,IF(O500="x",-$E500/(COUNTIF($J500:$Q500,"x")+1),-$E500*N(O500)))</f>
        <v/>
      </c>
      <c r="AD500" s="34">
        <f>IF(OR($A500="",$H500&lt;&gt;"Ausgabe",P500=""),0,IF(P500="x",-$E500/(COUNTIF($J500:$Q500,"x")+1),-$E500*N(P500)))</f>
        <v/>
      </c>
      <c r="AE500" s="34">
        <f>IF(OR($A500="",$H500&lt;&gt;"Ausgabe",Q500=""),0,IF(Q500="x",-$E500/(COUNTIF($J500:$Q500,"x")+1),-$E500*N(Q500)))</f>
        <v/>
      </c>
    </row>
    <row r="501">
      <c r="A501" s="30" t="n"/>
      <c r="E501" s="31" t="n"/>
      <c r="J501" s="32" t="n"/>
      <c r="K501" s="32" t="n"/>
      <c r="L501" s="32" t="n"/>
      <c r="M501" s="32" t="n"/>
      <c r="N501" s="32" t="n"/>
      <c r="O501" s="32" t="n"/>
      <c r="P501" s="32" t="n"/>
      <c r="Q501" s="32" t="n"/>
      <c r="U501" s="31">
        <f>IF($A501="","",SUM(X501:AE501))</f>
        <v/>
      </c>
      <c r="V501" s="31">
        <f>IF($A501="","",IF($H501&lt;&gt;"Ausgabe",0,-$E501-$U501))</f>
        <v/>
      </c>
      <c r="W501" s="33">
        <f>IF($A501="","",DATE(YEAR($A501),MONTH($A501),1))</f>
        <v/>
      </c>
      <c r="X501" s="34">
        <f>IF(OR($A501="",$H501&lt;&gt;"Ausgabe",J501=""),0,IF(J501="x",-$E501/(COUNTIF($J501:$Q501,"x")+1),-$E501*N(J501)))</f>
        <v/>
      </c>
      <c r="Y501" s="34">
        <f>IF(OR($A501="",$H501&lt;&gt;"Ausgabe",K501=""),0,IF(K501="x",-$E501/(COUNTIF($J501:$Q501,"x")+1),-$E501*N(K501)))</f>
        <v/>
      </c>
      <c r="Z501" s="34">
        <f>IF(OR($A501="",$H501&lt;&gt;"Ausgabe",L501=""),0,IF(L501="x",-$E501/(COUNTIF($J501:$Q501,"x")+1),-$E501*N(L501)))</f>
        <v/>
      </c>
      <c r="AA501" s="34">
        <f>IF(OR($A501="",$H501&lt;&gt;"Ausgabe",M501=""),0,IF(M501="x",-$E501/(COUNTIF($J501:$Q501,"x")+1),-$E501*N(M501)))</f>
        <v/>
      </c>
      <c r="AB501" s="34">
        <f>IF(OR($A501="",$H501&lt;&gt;"Ausgabe",N501=""),0,IF(N501="x",-$E501/(COUNTIF($J501:$Q501,"x")+1),-$E501*N(N501)))</f>
        <v/>
      </c>
      <c r="AC501" s="34">
        <f>IF(OR($A501="",$H501&lt;&gt;"Ausgabe",O501=""),0,IF(O501="x",-$E501/(COUNTIF($J501:$Q501,"x")+1),-$E501*N(O501)))</f>
        <v/>
      </c>
      <c r="AD501" s="34">
        <f>IF(OR($A501="",$H501&lt;&gt;"Ausgabe",P501=""),0,IF(P501="x",-$E501/(COUNTIF($J501:$Q501,"x")+1),-$E501*N(P501)))</f>
        <v/>
      </c>
      <c r="AE501" s="34">
        <f>IF(OR($A501="",$H501&lt;&gt;"Ausgabe",Q501=""),0,IF(Q501="x",-$E501/(COUNTIF($J501:$Q501,"x")+1),-$E501*N(Q501)))</f>
        <v/>
      </c>
    </row>
    <row r="502">
      <c r="A502" s="30" t="n"/>
      <c r="E502" s="31" t="n"/>
      <c r="J502" s="32" t="n"/>
      <c r="K502" s="32" t="n"/>
      <c r="L502" s="32" t="n"/>
      <c r="M502" s="32" t="n"/>
      <c r="N502" s="32" t="n"/>
      <c r="O502" s="32" t="n"/>
      <c r="P502" s="32" t="n"/>
      <c r="Q502" s="32" t="n"/>
      <c r="U502" s="31">
        <f>IF($A502="","",SUM(X502:AE502))</f>
        <v/>
      </c>
      <c r="V502" s="31">
        <f>IF($A502="","",IF($H502&lt;&gt;"Ausgabe",0,-$E502-$U502))</f>
        <v/>
      </c>
      <c r="W502" s="33">
        <f>IF($A502="","",DATE(YEAR($A502),MONTH($A502),1))</f>
        <v/>
      </c>
      <c r="X502" s="34">
        <f>IF(OR($A502="",$H502&lt;&gt;"Ausgabe",J502=""),0,IF(J502="x",-$E502/(COUNTIF($J502:$Q502,"x")+1),-$E502*N(J502)))</f>
        <v/>
      </c>
      <c r="Y502" s="34">
        <f>IF(OR($A502="",$H502&lt;&gt;"Ausgabe",K502=""),0,IF(K502="x",-$E502/(COUNTIF($J502:$Q502,"x")+1),-$E502*N(K502)))</f>
        <v/>
      </c>
      <c r="Z502" s="34">
        <f>IF(OR($A502="",$H502&lt;&gt;"Ausgabe",L502=""),0,IF(L502="x",-$E502/(COUNTIF($J502:$Q502,"x")+1),-$E502*N(L502)))</f>
        <v/>
      </c>
      <c r="AA502" s="34">
        <f>IF(OR($A502="",$H502&lt;&gt;"Ausgabe",M502=""),0,IF(M502="x",-$E502/(COUNTIF($J502:$Q502,"x")+1),-$E502*N(M502)))</f>
        <v/>
      </c>
      <c r="AB502" s="34">
        <f>IF(OR($A502="",$H502&lt;&gt;"Ausgabe",N502=""),0,IF(N502="x",-$E502/(COUNTIF($J502:$Q502,"x")+1),-$E502*N(N502)))</f>
        <v/>
      </c>
      <c r="AC502" s="34">
        <f>IF(OR($A502="",$H502&lt;&gt;"Ausgabe",O502=""),0,IF(O502="x",-$E502/(COUNTIF($J502:$Q502,"x")+1),-$E502*N(O502)))</f>
        <v/>
      </c>
      <c r="AD502" s="34">
        <f>IF(OR($A502="",$H502&lt;&gt;"Ausgabe",P502=""),0,IF(P502="x",-$E502/(COUNTIF($J502:$Q502,"x")+1),-$E502*N(P502)))</f>
        <v/>
      </c>
      <c r="AE502" s="34">
        <f>IF(OR($A502="",$H502&lt;&gt;"Ausgabe",Q502=""),0,IF(Q502="x",-$E502/(COUNTIF($J502:$Q502,"x")+1),-$E502*N(Q502)))</f>
        <v/>
      </c>
    </row>
    <row r="503">
      <c r="A503" s="30" t="n"/>
      <c r="E503" s="31" t="n"/>
      <c r="J503" s="32" t="n"/>
      <c r="K503" s="32" t="n"/>
      <c r="L503" s="32" t="n"/>
      <c r="M503" s="32" t="n"/>
      <c r="N503" s="32" t="n"/>
      <c r="O503" s="32" t="n"/>
      <c r="P503" s="32" t="n"/>
      <c r="Q503" s="32" t="n"/>
      <c r="U503" s="31">
        <f>IF($A503="","",SUM(X503:AE503))</f>
        <v/>
      </c>
      <c r="V503" s="31">
        <f>IF($A503="","",IF($H503&lt;&gt;"Ausgabe",0,-$E503-$U503))</f>
        <v/>
      </c>
      <c r="W503" s="33">
        <f>IF($A503="","",DATE(YEAR($A503),MONTH($A503),1))</f>
        <v/>
      </c>
      <c r="X503" s="34">
        <f>IF(OR($A503="",$H503&lt;&gt;"Ausgabe",J503=""),0,IF(J503="x",-$E503/(COUNTIF($J503:$Q503,"x")+1),-$E503*N(J503)))</f>
        <v/>
      </c>
      <c r="Y503" s="34">
        <f>IF(OR($A503="",$H503&lt;&gt;"Ausgabe",K503=""),0,IF(K503="x",-$E503/(COUNTIF($J503:$Q503,"x")+1),-$E503*N(K503)))</f>
        <v/>
      </c>
      <c r="Z503" s="34">
        <f>IF(OR($A503="",$H503&lt;&gt;"Ausgabe",L503=""),0,IF(L503="x",-$E503/(COUNTIF($J503:$Q503,"x")+1),-$E503*N(L503)))</f>
        <v/>
      </c>
      <c r="AA503" s="34">
        <f>IF(OR($A503="",$H503&lt;&gt;"Ausgabe",M503=""),0,IF(M503="x",-$E503/(COUNTIF($J503:$Q503,"x")+1),-$E503*N(M503)))</f>
        <v/>
      </c>
      <c r="AB503" s="34">
        <f>IF(OR($A503="",$H503&lt;&gt;"Ausgabe",N503=""),0,IF(N503="x",-$E503/(COUNTIF($J503:$Q503,"x")+1),-$E503*N(N503)))</f>
        <v/>
      </c>
      <c r="AC503" s="34">
        <f>IF(OR($A503="",$H503&lt;&gt;"Ausgabe",O503=""),0,IF(O503="x",-$E503/(COUNTIF($J503:$Q503,"x")+1),-$E503*N(O503)))</f>
        <v/>
      </c>
      <c r="AD503" s="34">
        <f>IF(OR($A503="",$H503&lt;&gt;"Ausgabe",P503=""),0,IF(P503="x",-$E503/(COUNTIF($J503:$Q503,"x")+1),-$E503*N(P503)))</f>
        <v/>
      </c>
      <c r="AE503" s="34">
        <f>IF(OR($A503="",$H503&lt;&gt;"Ausgabe",Q503=""),0,IF(Q503="x",-$E503/(COUNTIF($J503:$Q503,"x")+1),-$E503*N(Q503)))</f>
        <v/>
      </c>
    </row>
    <row r="504">
      <c r="A504" s="30" t="n"/>
      <c r="E504" s="31" t="n"/>
      <c r="J504" s="32" t="n"/>
      <c r="K504" s="32" t="n"/>
      <c r="L504" s="32" t="n"/>
      <c r="M504" s="32" t="n"/>
      <c r="N504" s="32" t="n"/>
      <c r="O504" s="32" t="n"/>
      <c r="P504" s="32" t="n"/>
      <c r="Q504" s="32" t="n"/>
      <c r="U504" s="31">
        <f>IF($A504="","",SUM(X504:AE504))</f>
        <v/>
      </c>
      <c r="V504" s="31">
        <f>IF($A504="","",IF($H504&lt;&gt;"Ausgabe",0,-$E504-$U504))</f>
        <v/>
      </c>
      <c r="W504" s="33">
        <f>IF($A504="","",DATE(YEAR($A504),MONTH($A504),1))</f>
        <v/>
      </c>
      <c r="X504" s="34">
        <f>IF(OR($A504="",$H504&lt;&gt;"Ausgabe",J504=""),0,IF(J504="x",-$E504/(COUNTIF($J504:$Q504,"x")+1),-$E504*N(J504)))</f>
        <v/>
      </c>
      <c r="Y504" s="34">
        <f>IF(OR($A504="",$H504&lt;&gt;"Ausgabe",K504=""),0,IF(K504="x",-$E504/(COUNTIF($J504:$Q504,"x")+1),-$E504*N(K504)))</f>
        <v/>
      </c>
      <c r="Z504" s="34">
        <f>IF(OR($A504="",$H504&lt;&gt;"Ausgabe",L504=""),0,IF(L504="x",-$E504/(COUNTIF($J504:$Q504,"x")+1),-$E504*N(L504)))</f>
        <v/>
      </c>
      <c r="AA504" s="34">
        <f>IF(OR($A504="",$H504&lt;&gt;"Ausgabe",M504=""),0,IF(M504="x",-$E504/(COUNTIF($J504:$Q504,"x")+1),-$E504*N(M504)))</f>
        <v/>
      </c>
      <c r="AB504" s="34">
        <f>IF(OR($A504="",$H504&lt;&gt;"Ausgabe",N504=""),0,IF(N504="x",-$E504/(COUNTIF($J504:$Q504,"x")+1),-$E504*N(N504)))</f>
        <v/>
      </c>
      <c r="AC504" s="34">
        <f>IF(OR($A504="",$H504&lt;&gt;"Ausgabe",O504=""),0,IF(O504="x",-$E504/(COUNTIF($J504:$Q504,"x")+1),-$E504*N(O504)))</f>
        <v/>
      </c>
      <c r="AD504" s="34">
        <f>IF(OR($A504="",$H504&lt;&gt;"Ausgabe",P504=""),0,IF(P504="x",-$E504/(COUNTIF($J504:$Q504,"x")+1),-$E504*N(P504)))</f>
        <v/>
      </c>
      <c r="AE504" s="34">
        <f>IF(OR($A504="",$H504&lt;&gt;"Ausgabe",Q504=""),0,IF(Q504="x",-$E504/(COUNTIF($J504:$Q504,"x")+1),-$E504*N(Q504)))</f>
        <v/>
      </c>
    </row>
    <row r="505">
      <c r="A505" s="30" t="n"/>
      <c r="E505" s="31" t="n"/>
      <c r="J505" s="32" t="n"/>
      <c r="K505" s="32" t="n"/>
      <c r="L505" s="32" t="n"/>
      <c r="M505" s="32" t="n"/>
      <c r="N505" s="32" t="n"/>
      <c r="O505" s="32" t="n"/>
      <c r="P505" s="32" t="n"/>
      <c r="Q505" s="32" t="n"/>
      <c r="U505" s="31">
        <f>IF($A505="","",SUM(X505:AE505))</f>
        <v/>
      </c>
      <c r="V505" s="31">
        <f>IF($A505="","",IF($H505&lt;&gt;"Ausgabe",0,-$E505-$U505))</f>
        <v/>
      </c>
      <c r="W505" s="33">
        <f>IF($A505="","",DATE(YEAR($A505),MONTH($A505),1))</f>
        <v/>
      </c>
      <c r="X505" s="34">
        <f>IF(OR($A505="",$H505&lt;&gt;"Ausgabe",J505=""),0,IF(J505="x",-$E505/(COUNTIF($J505:$Q505,"x")+1),-$E505*N(J505)))</f>
        <v/>
      </c>
      <c r="Y505" s="34">
        <f>IF(OR($A505="",$H505&lt;&gt;"Ausgabe",K505=""),0,IF(K505="x",-$E505/(COUNTIF($J505:$Q505,"x")+1),-$E505*N(K505)))</f>
        <v/>
      </c>
      <c r="Z505" s="34">
        <f>IF(OR($A505="",$H505&lt;&gt;"Ausgabe",L505=""),0,IF(L505="x",-$E505/(COUNTIF($J505:$Q505,"x")+1),-$E505*N(L505)))</f>
        <v/>
      </c>
      <c r="AA505" s="34">
        <f>IF(OR($A505="",$H505&lt;&gt;"Ausgabe",M505=""),0,IF(M505="x",-$E505/(COUNTIF($J505:$Q505,"x")+1),-$E505*N(M505)))</f>
        <v/>
      </c>
      <c r="AB505" s="34">
        <f>IF(OR($A505="",$H505&lt;&gt;"Ausgabe",N505=""),0,IF(N505="x",-$E505/(COUNTIF($J505:$Q505,"x")+1),-$E505*N(N505)))</f>
        <v/>
      </c>
      <c r="AC505" s="34">
        <f>IF(OR($A505="",$H505&lt;&gt;"Ausgabe",O505=""),0,IF(O505="x",-$E505/(COUNTIF($J505:$Q505,"x")+1),-$E505*N(O505)))</f>
        <v/>
      </c>
      <c r="AD505" s="34">
        <f>IF(OR($A505="",$H505&lt;&gt;"Ausgabe",P505=""),0,IF(P505="x",-$E505/(COUNTIF($J505:$Q505,"x")+1),-$E505*N(P505)))</f>
        <v/>
      </c>
      <c r="AE505" s="34">
        <f>IF(OR($A505="",$H505&lt;&gt;"Ausgabe",Q505=""),0,IF(Q505="x",-$E505/(COUNTIF($J505:$Q505,"x")+1),-$E505*N(Q505)))</f>
        <v/>
      </c>
    </row>
    <row r="506">
      <c r="A506" s="30" t="n"/>
      <c r="E506" s="31" t="n"/>
      <c r="J506" s="32" t="n"/>
      <c r="K506" s="32" t="n"/>
      <c r="L506" s="32" t="n"/>
      <c r="M506" s="32" t="n"/>
      <c r="N506" s="32" t="n"/>
      <c r="O506" s="32" t="n"/>
      <c r="P506" s="32" t="n"/>
      <c r="Q506" s="32" t="n"/>
      <c r="U506" s="31">
        <f>IF($A506="","",SUM(X506:AE506))</f>
        <v/>
      </c>
      <c r="V506" s="31">
        <f>IF($A506="","",IF($H506&lt;&gt;"Ausgabe",0,-$E506-$U506))</f>
        <v/>
      </c>
      <c r="W506" s="33">
        <f>IF($A506="","",DATE(YEAR($A506),MONTH($A506),1))</f>
        <v/>
      </c>
      <c r="X506" s="34">
        <f>IF(OR($A506="",$H506&lt;&gt;"Ausgabe",J506=""),0,IF(J506="x",-$E506/(COUNTIF($J506:$Q506,"x")+1),-$E506*N(J506)))</f>
        <v/>
      </c>
      <c r="Y506" s="34">
        <f>IF(OR($A506="",$H506&lt;&gt;"Ausgabe",K506=""),0,IF(K506="x",-$E506/(COUNTIF($J506:$Q506,"x")+1),-$E506*N(K506)))</f>
        <v/>
      </c>
      <c r="Z506" s="34">
        <f>IF(OR($A506="",$H506&lt;&gt;"Ausgabe",L506=""),0,IF(L506="x",-$E506/(COUNTIF($J506:$Q506,"x")+1),-$E506*N(L506)))</f>
        <v/>
      </c>
      <c r="AA506" s="34">
        <f>IF(OR($A506="",$H506&lt;&gt;"Ausgabe",M506=""),0,IF(M506="x",-$E506/(COUNTIF($J506:$Q506,"x")+1),-$E506*N(M506)))</f>
        <v/>
      </c>
      <c r="AB506" s="34">
        <f>IF(OR($A506="",$H506&lt;&gt;"Ausgabe",N506=""),0,IF(N506="x",-$E506/(COUNTIF($J506:$Q506,"x")+1),-$E506*N(N506)))</f>
        <v/>
      </c>
      <c r="AC506" s="34">
        <f>IF(OR($A506="",$H506&lt;&gt;"Ausgabe",O506=""),0,IF(O506="x",-$E506/(COUNTIF($J506:$Q506,"x")+1),-$E506*N(O506)))</f>
        <v/>
      </c>
      <c r="AD506" s="34">
        <f>IF(OR($A506="",$H506&lt;&gt;"Ausgabe",P506=""),0,IF(P506="x",-$E506/(COUNTIF($J506:$Q506,"x")+1),-$E506*N(P506)))</f>
        <v/>
      </c>
      <c r="AE506" s="34">
        <f>IF(OR($A506="",$H506&lt;&gt;"Ausgabe",Q506=""),0,IF(Q506="x",-$E506/(COUNTIF($J506:$Q506,"x")+1),-$E506*N(Q506)))</f>
        <v/>
      </c>
    </row>
    <row r="507">
      <c r="A507" s="30" t="n"/>
      <c r="E507" s="31" t="n"/>
      <c r="J507" s="32" t="n"/>
      <c r="K507" s="32" t="n"/>
      <c r="L507" s="32" t="n"/>
      <c r="M507" s="32" t="n"/>
      <c r="N507" s="32" t="n"/>
      <c r="O507" s="32" t="n"/>
      <c r="P507" s="32" t="n"/>
      <c r="Q507" s="32" t="n"/>
      <c r="U507" s="31">
        <f>IF($A507="","",SUM(X507:AE507))</f>
        <v/>
      </c>
      <c r="V507" s="31">
        <f>IF($A507="","",IF($H507&lt;&gt;"Ausgabe",0,-$E507-$U507))</f>
        <v/>
      </c>
      <c r="W507" s="33">
        <f>IF($A507="","",DATE(YEAR($A507),MONTH($A507),1))</f>
        <v/>
      </c>
      <c r="X507" s="34">
        <f>IF(OR($A507="",$H507&lt;&gt;"Ausgabe",J507=""),0,IF(J507="x",-$E507/(COUNTIF($J507:$Q507,"x")+1),-$E507*N(J507)))</f>
        <v/>
      </c>
      <c r="Y507" s="34">
        <f>IF(OR($A507="",$H507&lt;&gt;"Ausgabe",K507=""),0,IF(K507="x",-$E507/(COUNTIF($J507:$Q507,"x")+1),-$E507*N(K507)))</f>
        <v/>
      </c>
      <c r="Z507" s="34">
        <f>IF(OR($A507="",$H507&lt;&gt;"Ausgabe",L507=""),0,IF(L507="x",-$E507/(COUNTIF($J507:$Q507,"x")+1),-$E507*N(L507)))</f>
        <v/>
      </c>
      <c r="AA507" s="34">
        <f>IF(OR($A507="",$H507&lt;&gt;"Ausgabe",M507=""),0,IF(M507="x",-$E507/(COUNTIF($J507:$Q507,"x")+1),-$E507*N(M507)))</f>
        <v/>
      </c>
      <c r="AB507" s="34">
        <f>IF(OR($A507="",$H507&lt;&gt;"Ausgabe",N507=""),0,IF(N507="x",-$E507/(COUNTIF($J507:$Q507,"x")+1),-$E507*N(N507)))</f>
        <v/>
      </c>
      <c r="AC507" s="34">
        <f>IF(OR($A507="",$H507&lt;&gt;"Ausgabe",O507=""),0,IF(O507="x",-$E507/(COUNTIF($J507:$Q507,"x")+1),-$E507*N(O507)))</f>
        <v/>
      </c>
      <c r="AD507" s="34">
        <f>IF(OR($A507="",$H507&lt;&gt;"Ausgabe",P507=""),0,IF(P507="x",-$E507/(COUNTIF($J507:$Q507,"x")+1),-$E507*N(P507)))</f>
        <v/>
      </c>
      <c r="AE507" s="34">
        <f>IF(OR($A507="",$H507&lt;&gt;"Ausgabe",Q507=""),0,IF(Q507="x",-$E507/(COUNTIF($J507:$Q507,"x")+1),-$E507*N(Q507)))</f>
        <v/>
      </c>
    </row>
    <row r="508">
      <c r="A508" s="30" t="n"/>
      <c r="E508" s="31" t="n"/>
      <c r="J508" s="32" t="n"/>
      <c r="K508" s="32" t="n"/>
      <c r="L508" s="32" t="n"/>
      <c r="M508" s="32" t="n"/>
      <c r="N508" s="32" t="n"/>
      <c r="O508" s="32" t="n"/>
      <c r="P508" s="32" t="n"/>
      <c r="Q508" s="32" t="n"/>
      <c r="U508" s="31">
        <f>IF($A508="","",SUM(X508:AE508))</f>
        <v/>
      </c>
      <c r="V508" s="31">
        <f>IF($A508="","",IF($H508&lt;&gt;"Ausgabe",0,-$E508-$U508))</f>
        <v/>
      </c>
      <c r="W508" s="33">
        <f>IF($A508="","",DATE(YEAR($A508),MONTH($A508),1))</f>
        <v/>
      </c>
      <c r="X508" s="34">
        <f>IF(OR($A508="",$H508&lt;&gt;"Ausgabe",J508=""),0,IF(J508="x",-$E508/(COUNTIF($J508:$Q508,"x")+1),-$E508*N(J508)))</f>
        <v/>
      </c>
      <c r="Y508" s="34">
        <f>IF(OR($A508="",$H508&lt;&gt;"Ausgabe",K508=""),0,IF(K508="x",-$E508/(COUNTIF($J508:$Q508,"x")+1),-$E508*N(K508)))</f>
        <v/>
      </c>
      <c r="Z508" s="34">
        <f>IF(OR($A508="",$H508&lt;&gt;"Ausgabe",L508=""),0,IF(L508="x",-$E508/(COUNTIF($J508:$Q508,"x")+1),-$E508*N(L508)))</f>
        <v/>
      </c>
      <c r="AA508" s="34">
        <f>IF(OR($A508="",$H508&lt;&gt;"Ausgabe",M508=""),0,IF(M508="x",-$E508/(COUNTIF($J508:$Q508,"x")+1),-$E508*N(M508)))</f>
        <v/>
      </c>
      <c r="AB508" s="34">
        <f>IF(OR($A508="",$H508&lt;&gt;"Ausgabe",N508=""),0,IF(N508="x",-$E508/(COUNTIF($J508:$Q508,"x")+1),-$E508*N(N508)))</f>
        <v/>
      </c>
      <c r="AC508" s="34">
        <f>IF(OR($A508="",$H508&lt;&gt;"Ausgabe",O508=""),0,IF(O508="x",-$E508/(COUNTIF($J508:$Q508,"x")+1),-$E508*N(O508)))</f>
        <v/>
      </c>
      <c r="AD508" s="34">
        <f>IF(OR($A508="",$H508&lt;&gt;"Ausgabe",P508=""),0,IF(P508="x",-$E508/(COUNTIF($J508:$Q508,"x")+1),-$E508*N(P508)))</f>
        <v/>
      </c>
      <c r="AE508" s="34">
        <f>IF(OR($A508="",$H508&lt;&gt;"Ausgabe",Q508=""),0,IF(Q508="x",-$E508/(COUNTIF($J508:$Q508,"x")+1),-$E508*N(Q508)))</f>
        <v/>
      </c>
    </row>
    <row r="509">
      <c r="A509" s="30" t="n"/>
      <c r="E509" s="31" t="n"/>
      <c r="J509" s="32" t="n"/>
      <c r="K509" s="32" t="n"/>
      <c r="L509" s="32" t="n"/>
      <c r="M509" s="32" t="n"/>
      <c r="N509" s="32" t="n"/>
      <c r="O509" s="32" t="n"/>
      <c r="P509" s="32" t="n"/>
      <c r="Q509" s="32" t="n"/>
      <c r="U509" s="31">
        <f>IF($A509="","",SUM(X509:AE509))</f>
        <v/>
      </c>
      <c r="V509" s="31">
        <f>IF($A509="","",IF($H509&lt;&gt;"Ausgabe",0,-$E509-$U509))</f>
        <v/>
      </c>
      <c r="W509" s="33">
        <f>IF($A509="","",DATE(YEAR($A509),MONTH($A509),1))</f>
        <v/>
      </c>
      <c r="X509" s="34">
        <f>IF(OR($A509="",$H509&lt;&gt;"Ausgabe",J509=""),0,IF(J509="x",-$E509/(COUNTIF($J509:$Q509,"x")+1),-$E509*N(J509)))</f>
        <v/>
      </c>
      <c r="Y509" s="34">
        <f>IF(OR($A509="",$H509&lt;&gt;"Ausgabe",K509=""),0,IF(K509="x",-$E509/(COUNTIF($J509:$Q509,"x")+1),-$E509*N(K509)))</f>
        <v/>
      </c>
      <c r="Z509" s="34">
        <f>IF(OR($A509="",$H509&lt;&gt;"Ausgabe",L509=""),0,IF(L509="x",-$E509/(COUNTIF($J509:$Q509,"x")+1),-$E509*N(L509)))</f>
        <v/>
      </c>
      <c r="AA509" s="34">
        <f>IF(OR($A509="",$H509&lt;&gt;"Ausgabe",M509=""),0,IF(M509="x",-$E509/(COUNTIF($J509:$Q509,"x")+1),-$E509*N(M509)))</f>
        <v/>
      </c>
      <c r="AB509" s="34">
        <f>IF(OR($A509="",$H509&lt;&gt;"Ausgabe",N509=""),0,IF(N509="x",-$E509/(COUNTIF($J509:$Q509,"x")+1),-$E509*N(N509)))</f>
        <v/>
      </c>
      <c r="AC509" s="34">
        <f>IF(OR($A509="",$H509&lt;&gt;"Ausgabe",O509=""),0,IF(O509="x",-$E509/(COUNTIF($J509:$Q509,"x")+1),-$E509*N(O509)))</f>
        <v/>
      </c>
      <c r="AD509" s="34">
        <f>IF(OR($A509="",$H509&lt;&gt;"Ausgabe",P509=""),0,IF(P509="x",-$E509/(COUNTIF($J509:$Q509,"x")+1),-$E509*N(P509)))</f>
        <v/>
      </c>
      <c r="AE509" s="34">
        <f>IF(OR($A509="",$H509&lt;&gt;"Ausgabe",Q509=""),0,IF(Q509="x",-$E509/(COUNTIF($J509:$Q509,"x")+1),-$E509*N(Q509)))</f>
        <v/>
      </c>
    </row>
    <row r="510">
      <c r="A510" s="30" t="n"/>
      <c r="E510" s="31" t="n"/>
      <c r="J510" s="32" t="n"/>
      <c r="K510" s="32" t="n"/>
      <c r="L510" s="32" t="n"/>
      <c r="M510" s="32" t="n"/>
      <c r="N510" s="32" t="n"/>
      <c r="O510" s="32" t="n"/>
      <c r="P510" s="32" t="n"/>
      <c r="Q510" s="32" t="n"/>
      <c r="U510" s="31">
        <f>IF($A510="","",SUM(X510:AE510))</f>
        <v/>
      </c>
      <c r="V510" s="31">
        <f>IF($A510="","",IF($H510&lt;&gt;"Ausgabe",0,-$E510-$U510))</f>
        <v/>
      </c>
      <c r="W510" s="33">
        <f>IF($A510="","",DATE(YEAR($A510),MONTH($A510),1))</f>
        <v/>
      </c>
      <c r="X510" s="34">
        <f>IF(OR($A510="",$H510&lt;&gt;"Ausgabe",J510=""),0,IF(J510="x",-$E510/(COUNTIF($J510:$Q510,"x")+1),-$E510*N(J510)))</f>
        <v/>
      </c>
      <c r="Y510" s="34">
        <f>IF(OR($A510="",$H510&lt;&gt;"Ausgabe",K510=""),0,IF(K510="x",-$E510/(COUNTIF($J510:$Q510,"x")+1),-$E510*N(K510)))</f>
        <v/>
      </c>
      <c r="Z510" s="34">
        <f>IF(OR($A510="",$H510&lt;&gt;"Ausgabe",L510=""),0,IF(L510="x",-$E510/(COUNTIF($J510:$Q510,"x")+1),-$E510*N(L510)))</f>
        <v/>
      </c>
      <c r="AA510" s="34">
        <f>IF(OR($A510="",$H510&lt;&gt;"Ausgabe",M510=""),0,IF(M510="x",-$E510/(COUNTIF($J510:$Q510,"x")+1),-$E510*N(M510)))</f>
        <v/>
      </c>
      <c r="AB510" s="34">
        <f>IF(OR($A510="",$H510&lt;&gt;"Ausgabe",N510=""),0,IF(N510="x",-$E510/(COUNTIF($J510:$Q510,"x")+1),-$E510*N(N510)))</f>
        <v/>
      </c>
      <c r="AC510" s="34">
        <f>IF(OR($A510="",$H510&lt;&gt;"Ausgabe",O510=""),0,IF(O510="x",-$E510/(COUNTIF($J510:$Q510,"x")+1),-$E510*N(O510)))</f>
        <v/>
      </c>
      <c r="AD510" s="34">
        <f>IF(OR($A510="",$H510&lt;&gt;"Ausgabe",P510=""),0,IF(P510="x",-$E510/(COUNTIF($J510:$Q510,"x")+1),-$E510*N(P510)))</f>
        <v/>
      </c>
      <c r="AE510" s="34">
        <f>IF(OR($A510="",$H510&lt;&gt;"Ausgabe",Q510=""),0,IF(Q510="x",-$E510/(COUNTIF($J510:$Q510,"x")+1),-$E510*N(Q510)))</f>
        <v/>
      </c>
    </row>
    <row r="511">
      <c r="A511" s="30" t="n"/>
      <c r="E511" s="31" t="n"/>
      <c r="J511" s="32" t="n"/>
      <c r="K511" s="32" t="n"/>
      <c r="L511" s="32" t="n"/>
      <c r="M511" s="32" t="n"/>
      <c r="N511" s="32" t="n"/>
      <c r="O511" s="32" t="n"/>
      <c r="P511" s="32" t="n"/>
      <c r="Q511" s="32" t="n"/>
      <c r="U511" s="31">
        <f>IF($A511="","",SUM(X511:AE511))</f>
        <v/>
      </c>
      <c r="V511" s="31">
        <f>IF($A511="","",IF($H511&lt;&gt;"Ausgabe",0,-$E511-$U511))</f>
        <v/>
      </c>
      <c r="W511" s="33">
        <f>IF($A511="","",DATE(YEAR($A511),MONTH($A511),1))</f>
        <v/>
      </c>
      <c r="X511" s="34">
        <f>IF(OR($A511="",$H511&lt;&gt;"Ausgabe",J511=""),0,IF(J511="x",-$E511/(COUNTIF($J511:$Q511,"x")+1),-$E511*N(J511)))</f>
        <v/>
      </c>
      <c r="Y511" s="34">
        <f>IF(OR($A511="",$H511&lt;&gt;"Ausgabe",K511=""),0,IF(K511="x",-$E511/(COUNTIF($J511:$Q511,"x")+1),-$E511*N(K511)))</f>
        <v/>
      </c>
      <c r="Z511" s="34">
        <f>IF(OR($A511="",$H511&lt;&gt;"Ausgabe",L511=""),0,IF(L511="x",-$E511/(COUNTIF($J511:$Q511,"x")+1),-$E511*N(L511)))</f>
        <v/>
      </c>
      <c r="AA511" s="34">
        <f>IF(OR($A511="",$H511&lt;&gt;"Ausgabe",M511=""),0,IF(M511="x",-$E511/(COUNTIF($J511:$Q511,"x")+1),-$E511*N(M511)))</f>
        <v/>
      </c>
      <c r="AB511" s="34">
        <f>IF(OR($A511="",$H511&lt;&gt;"Ausgabe",N511=""),0,IF(N511="x",-$E511/(COUNTIF($J511:$Q511,"x")+1),-$E511*N(N511)))</f>
        <v/>
      </c>
      <c r="AC511" s="34">
        <f>IF(OR($A511="",$H511&lt;&gt;"Ausgabe",O511=""),0,IF(O511="x",-$E511/(COUNTIF($J511:$Q511,"x")+1),-$E511*N(O511)))</f>
        <v/>
      </c>
      <c r="AD511" s="34">
        <f>IF(OR($A511="",$H511&lt;&gt;"Ausgabe",P511=""),0,IF(P511="x",-$E511/(COUNTIF($J511:$Q511,"x")+1),-$E511*N(P511)))</f>
        <v/>
      </c>
      <c r="AE511" s="34">
        <f>IF(OR($A511="",$H511&lt;&gt;"Ausgabe",Q511=""),0,IF(Q511="x",-$E511/(COUNTIF($J511:$Q511,"x")+1),-$E511*N(Q511)))</f>
        <v/>
      </c>
    </row>
    <row r="512">
      <c r="A512" s="30" t="n"/>
      <c r="E512" s="31" t="n"/>
      <c r="J512" s="32" t="n"/>
      <c r="K512" s="32" t="n"/>
      <c r="L512" s="32" t="n"/>
      <c r="M512" s="32" t="n"/>
      <c r="N512" s="32" t="n"/>
      <c r="O512" s="32" t="n"/>
      <c r="P512" s="32" t="n"/>
      <c r="Q512" s="32" t="n"/>
      <c r="U512" s="31">
        <f>IF($A512="","",SUM(X512:AE512))</f>
        <v/>
      </c>
      <c r="V512" s="31">
        <f>IF($A512="","",IF($H512&lt;&gt;"Ausgabe",0,-$E512-$U512))</f>
        <v/>
      </c>
      <c r="W512" s="33">
        <f>IF($A512="","",DATE(YEAR($A512),MONTH($A512),1))</f>
        <v/>
      </c>
      <c r="X512" s="34">
        <f>IF(OR($A512="",$H512&lt;&gt;"Ausgabe",J512=""),0,IF(J512="x",-$E512/(COUNTIF($J512:$Q512,"x")+1),-$E512*N(J512)))</f>
        <v/>
      </c>
      <c r="Y512" s="34">
        <f>IF(OR($A512="",$H512&lt;&gt;"Ausgabe",K512=""),0,IF(K512="x",-$E512/(COUNTIF($J512:$Q512,"x")+1),-$E512*N(K512)))</f>
        <v/>
      </c>
      <c r="Z512" s="34">
        <f>IF(OR($A512="",$H512&lt;&gt;"Ausgabe",L512=""),0,IF(L512="x",-$E512/(COUNTIF($J512:$Q512,"x")+1),-$E512*N(L512)))</f>
        <v/>
      </c>
      <c r="AA512" s="34">
        <f>IF(OR($A512="",$H512&lt;&gt;"Ausgabe",M512=""),0,IF(M512="x",-$E512/(COUNTIF($J512:$Q512,"x")+1),-$E512*N(M512)))</f>
        <v/>
      </c>
      <c r="AB512" s="34">
        <f>IF(OR($A512="",$H512&lt;&gt;"Ausgabe",N512=""),0,IF(N512="x",-$E512/(COUNTIF($J512:$Q512,"x")+1),-$E512*N(N512)))</f>
        <v/>
      </c>
      <c r="AC512" s="34">
        <f>IF(OR($A512="",$H512&lt;&gt;"Ausgabe",O512=""),0,IF(O512="x",-$E512/(COUNTIF($J512:$Q512,"x")+1),-$E512*N(O512)))</f>
        <v/>
      </c>
      <c r="AD512" s="34">
        <f>IF(OR($A512="",$H512&lt;&gt;"Ausgabe",P512=""),0,IF(P512="x",-$E512/(COUNTIF($J512:$Q512,"x")+1),-$E512*N(P512)))</f>
        <v/>
      </c>
      <c r="AE512" s="34">
        <f>IF(OR($A512="",$H512&lt;&gt;"Ausgabe",Q512=""),0,IF(Q512="x",-$E512/(COUNTIF($J512:$Q512,"x")+1),-$E512*N(Q512)))</f>
        <v/>
      </c>
    </row>
    <row r="513">
      <c r="A513" s="30" t="n"/>
      <c r="E513" s="31" t="n"/>
      <c r="J513" s="32" t="n"/>
      <c r="K513" s="32" t="n"/>
      <c r="L513" s="32" t="n"/>
      <c r="M513" s="32" t="n"/>
      <c r="N513" s="32" t="n"/>
      <c r="O513" s="32" t="n"/>
      <c r="P513" s="32" t="n"/>
      <c r="Q513" s="32" t="n"/>
      <c r="U513" s="31">
        <f>IF($A513="","",SUM(X513:AE513))</f>
        <v/>
      </c>
      <c r="V513" s="31">
        <f>IF($A513="","",IF($H513&lt;&gt;"Ausgabe",0,-$E513-$U513))</f>
        <v/>
      </c>
      <c r="W513" s="33">
        <f>IF($A513="","",DATE(YEAR($A513),MONTH($A513),1))</f>
        <v/>
      </c>
      <c r="X513" s="34">
        <f>IF(OR($A513="",$H513&lt;&gt;"Ausgabe",J513=""),0,IF(J513="x",-$E513/(COUNTIF($J513:$Q513,"x")+1),-$E513*N(J513)))</f>
        <v/>
      </c>
      <c r="Y513" s="34">
        <f>IF(OR($A513="",$H513&lt;&gt;"Ausgabe",K513=""),0,IF(K513="x",-$E513/(COUNTIF($J513:$Q513,"x")+1),-$E513*N(K513)))</f>
        <v/>
      </c>
      <c r="Z513" s="34">
        <f>IF(OR($A513="",$H513&lt;&gt;"Ausgabe",L513=""),0,IF(L513="x",-$E513/(COUNTIF($J513:$Q513,"x")+1),-$E513*N(L513)))</f>
        <v/>
      </c>
      <c r="AA513" s="34">
        <f>IF(OR($A513="",$H513&lt;&gt;"Ausgabe",M513=""),0,IF(M513="x",-$E513/(COUNTIF($J513:$Q513,"x")+1),-$E513*N(M513)))</f>
        <v/>
      </c>
      <c r="AB513" s="34">
        <f>IF(OR($A513="",$H513&lt;&gt;"Ausgabe",N513=""),0,IF(N513="x",-$E513/(COUNTIF($J513:$Q513,"x")+1),-$E513*N(N513)))</f>
        <v/>
      </c>
      <c r="AC513" s="34">
        <f>IF(OR($A513="",$H513&lt;&gt;"Ausgabe",O513=""),0,IF(O513="x",-$E513/(COUNTIF($J513:$Q513,"x")+1),-$E513*N(O513)))</f>
        <v/>
      </c>
      <c r="AD513" s="34">
        <f>IF(OR($A513="",$H513&lt;&gt;"Ausgabe",P513=""),0,IF(P513="x",-$E513/(COUNTIF($J513:$Q513,"x")+1),-$E513*N(P513)))</f>
        <v/>
      </c>
      <c r="AE513" s="34">
        <f>IF(OR($A513="",$H513&lt;&gt;"Ausgabe",Q513=""),0,IF(Q513="x",-$E513/(COUNTIF($J513:$Q513,"x")+1),-$E513*N(Q513)))</f>
        <v/>
      </c>
    </row>
    <row r="514">
      <c r="A514" s="30" t="n"/>
      <c r="E514" s="31" t="n"/>
      <c r="J514" s="32" t="n"/>
      <c r="K514" s="32" t="n"/>
      <c r="L514" s="32" t="n"/>
      <c r="M514" s="32" t="n"/>
      <c r="N514" s="32" t="n"/>
      <c r="O514" s="32" t="n"/>
      <c r="P514" s="32" t="n"/>
      <c r="Q514" s="32" t="n"/>
      <c r="U514" s="31">
        <f>IF($A514="","",SUM(X514:AE514))</f>
        <v/>
      </c>
      <c r="V514" s="31">
        <f>IF($A514="","",IF($H514&lt;&gt;"Ausgabe",0,-$E514-$U514))</f>
        <v/>
      </c>
      <c r="W514" s="33">
        <f>IF($A514="","",DATE(YEAR($A514),MONTH($A514),1))</f>
        <v/>
      </c>
      <c r="X514" s="34">
        <f>IF(OR($A514="",$H514&lt;&gt;"Ausgabe",J514=""),0,IF(J514="x",-$E514/(COUNTIF($J514:$Q514,"x")+1),-$E514*N(J514)))</f>
        <v/>
      </c>
      <c r="Y514" s="34">
        <f>IF(OR($A514="",$H514&lt;&gt;"Ausgabe",K514=""),0,IF(K514="x",-$E514/(COUNTIF($J514:$Q514,"x")+1),-$E514*N(K514)))</f>
        <v/>
      </c>
      <c r="Z514" s="34">
        <f>IF(OR($A514="",$H514&lt;&gt;"Ausgabe",L514=""),0,IF(L514="x",-$E514/(COUNTIF($J514:$Q514,"x")+1),-$E514*N(L514)))</f>
        <v/>
      </c>
      <c r="AA514" s="34">
        <f>IF(OR($A514="",$H514&lt;&gt;"Ausgabe",M514=""),0,IF(M514="x",-$E514/(COUNTIF($J514:$Q514,"x")+1),-$E514*N(M514)))</f>
        <v/>
      </c>
      <c r="AB514" s="34">
        <f>IF(OR($A514="",$H514&lt;&gt;"Ausgabe",N514=""),0,IF(N514="x",-$E514/(COUNTIF($J514:$Q514,"x")+1),-$E514*N(N514)))</f>
        <v/>
      </c>
      <c r="AC514" s="34">
        <f>IF(OR($A514="",$H514&lt;&gt;"Ausgabe",O514=""),0,IF(O514="x",-$E514/(COUNTIF($J514:$Q514,"x")+1),-$E514*N(O514)))</f>
        <v/>
      </c>
      <c r="AD514" s="34">
        <f>IF(OR($A514="",$H514&lt;&gt;"Ausgabe",P514=""),0,IF(P514="x",-$E514/(COUNTIF($J514:$Q514,"x")+1),-$E514*N(P514)))</f>
        <v/>
      </c>
      <c r="AE514" s="34">
        <f>IF(OR($A514="",$H514&lt;&gt;"Ausgabe",Q514=""),0,IF(Q514="x",-$E514/(COUNTIF($J514:$Q514,"x")+1),-$E514*N(Q514)))</f>
        <v/>
      </c>
    </row>
    <row r="515">
      <c r="A515" s="30" t="n"/>
      <c r="E515" s="31" t="n"/>
      <c r="J515" s="32" t="n"/>
      <c r="K515" s="32" t="n"/>
      <c r="L515" s="32" t="n"/>
      <c r="M515" s="32" t="n"/>
      <c r="N515" s="32" t="n"/>
      <c r="O515" s="32" t="n"/>
      <c r="P515" s="32" t="n"/>
      <c r="Q515" s="32" t="n"/>
      <c r="U515" s="31">
        <f>IF($A515="","",SUM(X515:AE515))</f>
        <v/>
      </c>
      <c r="V515" s="31">
        <f>IF($A515="","",IF($H515&lt;&gt;"Ausgabe",0,-$E515-$U515))</f>
        <v/>
      </c>
      <c r="W515" s="33">
        <f>IF($A515="","",DATE(YEAR($A515),MONTH($A515),1))</f>
        <v/>
      </c>
      <c r="X515" s="34">
        <f>IF(OR($A515="",$H515&lt;&gt;"Ausgabe",J515=""),0,IF(J515="x",-$E515/(COUNTIF($J515:$Q515,"x")+1),-$E515*N(J515)))</f>
        <v/>
      </c>
      <c r="Y515" s="34">
        <f>IF(OR($A515="",$H515&lt;&gt;"Ausgabe",K515=""),0,IF(K515="x",-$E515/(COUNTIF($J515:$Q515,"x")+1),-$E515*N(K515)))</f>
        <v/>
      </c>
      <c r="Z515" s="34">
        <f>IF(OR($A515="",$H515&lt;&gt;"Ausgabe",L515=""),0,IF(L515="x",-$E515/(COUNTIF($J515:$Q515,"x")+1),-$E515*N(L515)))</f>
        <v/>
      </c>
      <c r="AA515" s="34">
        <f>IF(OR($A515="",$H515&lt;&gt;"Ausgabe",M515=""),0,IF(M515="x",-$E515/(COUNTIF($J515:$Q515,"x")+1),-$E515*N(M515)))</f>
        <v/>
      </c>
      <c r="AB515" s="34">
        <f>IF(OR($A515="",$H515&lt;&gt;"Ausgabe",N515=""),0,IF(N515="x",-$E515/(COUNTIF($J515:$Q515,"x")+1),-$E515*N(N515)))</f>
        <v/>
      </c>
      <c r="AC515" s="34">
        <f>IF(OR($A515="",$H515&lt;&gt;"Ausgabe",O515=""),0,IF(O515="x",-$E515/(COUNTIF($J515:$Q515,"x")+1),-$E515*N(O515)))</f>
        <v/>
      </c>
      <c r="AD515" s="34">
        <f>IF(OR($A515="",$H515&lt;&gt;"Ausgabe",P515=""),0,IF(P515="x",-$E515/(COUNTIF($J515:$Q515,"x")+1),-$E515*N(P515)))</f>
        <v/>
      </c>
      <c r="AE515" s="34">
        <f>IF(OR($A515="",$H515&lt;&gt;"Ausgabe",Q515=""),0,IF(Q515="x",-$E515/(COUNTIF($J515:$Q515,"x")+1),-$E515*N(Q515)))</f>
        <v/>
      </c>
    </row>
    <row r="516">
      <c r="A516" s="30" t="n"/>
      <c r="E516" s="31" t="n"/>
      <c r="J516" s="32" t="n"/>
      <c r="K516" s="32" t="n"/>
      <c r="L516" s="32" t="n"/>
      <c r="M516" s="32" t="n"/>
      <c r="N516" s="32" t="n"/>
      <c r="O516" s="32" t="n"/>
      <c r="P516" s="32" t="n"/>
      <c r="Q516" s="32" t="n"/>
      <c r="U516" s="31">
        <f>IF($A516="","",SUM(X516:AE516))</f>
        <v/>
      </c>
      <c r="V516" s="31">
        <f>IF($A516="","",IF($H516&lt;&gt;"Ausgabe",0,-$E516-$U516))</f>
        <v/>
      </c>
      <c r="W516" s="33">
        <f>IF($A516="","",DATE(YEAR($A516),MONTH($A516),1))</f>
        <v/>
      </c>
      <c r="X516" s="34">
        <f>IF(OR($A516="",$H516&lt;&gt;"Ausgabe",J516=""),0,IF(J516="x",-$E516/(COUNTIF($J516:$Q516,"x")+1),-$E516*N(J516)))</f>
        <v/>
      </c>
      <c r="Y516" s="34">
        <f>IF(OR($A516="",$H516&lt;&gt;"Ausgabe",K516=""),0,IF(K516="x",-$E516/(COUNTIF($J516:$Q516,"x")+1),-$E516*N(K516)))</f>
        <v/>
      </c>
      <c r="Z516" s="34">
        <f>IF(OR($A516="",$H516&lt;&gt;"Ausgabe",L516=""),0,IF(L516="x",-$E516/(COUNTIF($J516:$Q516,"x")+1),-$E516*N(L516)))</f>
        <v/>
      </c>
      <c r="AA516" s="34">
        <f>IF(OR($A516="",$H516&lt;&gt;"Ausgabe",M516=""),0,IF(M516="x",-$E516/(COUNTIF($J516:$Q516,"x")+1),-$E516*N(M516)))</f>
        <v/>
      </c>
      <c r="AB516" s="34">
        <f>IF(OR($A516="",$H516&lt;&gt;"Ausgabe",N516=""),0,IF(N516="x",-$E516/(COUNTIF($J516:$Q516,"x")+1),-$E516*N(N516)))</f>
        <v/>
      </c>
      <c r="AC516" s="34">
        <f>IF(OR($A516="",$H516&lt;&gt;"Ausgabe",O516=""),0,IF(O516="x",-$E516/(COUNTIF($J516:$Q516,"x")+1),-$E516*N(O516)))</f>
        <v/>
      </c>
      <c r="AD516" s="34">
        <f>IF(OR($A516="",$H516&lt;&gt;"Ausgabe",P516=""),0,IF(P516="x",-$E516/(COUNTIF($J516:$Q516,"x")+1),-$E516*N(P516)))</f>
        <v/>
      </c>
      <c r="AE516" s="34">
        <f>IF(OR($A516="",$H516&lt;&gt;"Ausgabe",Q516=""),0,IF(Q516="x",-$E516/(COUNTIF($J516:$Q516,"x")+1),-$E516*N(Q516)))</f>
        <v/>
      </c>
    </row>
    <row r="517">
      <c r="A517" s="30" t="n"/>
      <c r="E517" s="31" t="n"/>
      <c r="J517" s="32" t="n"/>
      <c r="K517" s="32" t="n"/>
      <c r="L517" s="32" t="n"/>
      <c r="M517" s="32" t="n"/>
      <c r="N517" s="32" t="n"/>
      <c r="O517" s="32" t="n"/>
      <c r="P517" s="32" t="n"/>
      <c r="Q517" s="32" t="n"/>
      <c r="U517" s="31">
        <f>IF($A517="","",SUM(X517:AE517))</f>
        <v/>
      </c>
      <c r="V517" s="31">
        <f>IF($A517="","",IF($H517&lt;&gt;"Ausgabe",0,-$E517-$U517))</f>
        <v/>
      </c>
      <c r="W517" s="33">
        <f>IF($A517="","",DATE(YEAR($A517),MONTH($A517),1))</f>
        <v/>
      </c>
      <c r="X517" s="34">
        <f>IF(OR($A517="",$H517&lt;&gt;"Ausgabe",J517=""),0,IF(J517="x",-$E517/(COUNTIF($J517:$Q517,"x")+1),-$E517*N(J517)))</f>
        <v/>
      </c>
      <c r="Y517" s="34">
        <f>IF(OR($A517="",$H517&lt;&gt;"Ausgabe",K517=""),0,IF(K517="x",-$E517/(COUNTIF($J517:$Q517,"x")+1),-$E517*N(K517)))</f>
        <v/>
      </c>
      <c r="Z517" s="34">
        <f>IF(OR($A517="",$H517&lt;&gt;"Ausgabe",L517=""),0,IF(L517="x",-$E517/(COUNTIF($J517:$Q517,"x")+1),-$E517*N(L517)))</f>
        <v/>
      </c>
      <c r="AA517" s="34">
        <f>IF(OR($A517="",$H517&lt;&gt;"Ausgabe",M517=""),0,IF(M517="x",-$E517/(COUNTIF($J517:$Q517,"x")+1),-$E517*N(M517)))</f>
        <v/>
      </c>
      <c r="AB517" s="34">
        <f>IF(OR($A517="",$H517&lt;&gt;"Ausgabe",N517=""),0,IF(N517="x",-$E517/(COUNTIF($J517:$Q517,"x")+1),-$E517*N(N517)))</f>
        <v/>
      </c>
      <c r="AC517" s="34">
        <f>IF(OR($A517="",$H517&lt;&gt;"Ausgabe",O517=""),0,IF(O517="x",-$E517/(COUNTIF($J517:$Q517,"x")+1),-$E517*N(O517)))</f>
        <v/>
      </c>
      <c r="AD517" s="34">
        <f>IF(OR($A517="",$H517&lt;&gt;"Ausgabe",P517=""),0,IF(P517="x",-$E517/(COUNTIF($J517:$Q517,"x")+1),-$E517*N(P517)))</f>
        <v/>
      </c>
      <c r="AE517" s="34">
        <f>IF(OR($A517="",$H517&lt;&gt;"Ausgabe",Q517=""),0,IF(Q517="x",-$E517/(COUNTIF($J517:$Q517,"x")+1),-$E517*N(Q517)))</f>
        <v/>
      </c>
    </row>
    <row r="518">
      <c r="A518" s="30" t="n"/>
      <c r="E518" s="31" t="n"/>
      <c r="J518" s="32" t="n"/>
      <c r="K518" s="32" t="n"/>
      <c r="L518" s="32" t="n"/>
      <c r="M518" s="32" t="n"/>
      <c r="N518" s="32" t="n"/>
      <c r="O518" s="32" t="n"/>
      <c r="P518" s="32" t="n"/>
      <c r="Q518" s="32" t="n"/>
      <c r="U518" s="31">
        <f>IF($A518="","",SUM(X518:AE518))</f>
        <v/>
      </c>
      <c r="V518" s="31">
        <f>IF($A518="","",IF($H518&lt;&gt;"Ausgabe",0,-$E518-$U518))</f>
        <v/>
      </c>
      <c r="W518" s="33">
        <f>IF($A518="","",DATE(YEAR($A518),MONTH($A518),1))</f>
        <v/>
      </c>
      <c r="X518" s="34">
        <f>IF(OR($A518="",$H518&lt;&gt;"Ausgabe",J518=""),0,IF(J518="x",-$E518/(COUNTIF($J518:$Q518,"x")+1),-$E518*N(J518)))</f>
        <v/>
      </c>
      <c r="Y518" s="34">
        <f>IF(OR($A518="",$H518&lt;&gt;"Ausgabe",K518=""),0,IF(K518="x",-$E518/(COUNTIF($J518:$Q518,"x")+1),-$E518*N(K518)))</f>
        <v/>
      </c>
      <c r="Z518" s="34">
        <f>IF(OR($A518="",$H518&lt;&gt;"Ausgabe",L518=""),0,IF(L518="x",-$E518/(COUNTIF($J518:$Q518,"x")+1),-$E518*N(L518)))</f>
        <v/>
      </c>
      <c r="AA518" s="34">
        <f>IF(OR($A518="",$H518&lt;&gt;"Ausgabe",M518=""),0,IF(M518="x",-$E518/(COUNTIF($J518:$Q518,"x")+1),-$E518*N(M518)))</f>
        <v/>
      </c>
      <c r="AB518" s="34">
        <f>IF(OR($A518="",$H518&lt;&gt;"Ausgabe",N518=""),0,IF(N518="x",-$E518/(COUNTIF($J518:$Q518,"x")+1),-$E518*N(N518)))</f>
        <v/>
      </c>
      <c r="AC518" s="34">
        <f>IF(OR($A518="",$H518&lt;&gt;"Ausgabe",O518=""),0,IF(O518="x",-$E518/(COUNTIF($J518:$Q518,"x")+1),-$E518*N(O518)))</f>
        <v/>
      </c>
      <c r="AD518" s="34">
        <f>IF(OR($A518="",$H518&lt;&gt;"Ausgabe",P518=""),0,IF(P518="x",-$E518/(COUNTIF($J518:$Q518,"x")+1),-$E518*N(P518)))</f>
        <v/>
      </c>
      <c r="AE518" s="34">
        <f>IF(OR($A518="",$H518&lt;&gt;"Ausgabe",Q518=""),0,IF(Q518="x",-$E518/(COUNTIF($J518:$Q518,"x")+1),-$E518*N(Q518)))</f>
        <v/>
      </c>
    </row>
    <row r="519">
      <c r="A519" s="30" t="n"/>
      <c r="E519" s="31" t="n"/>
      <c r="J519" s="32" t="n"/>
      <c r="K519" s="32" t="n"/>
      <c r="L519" s="32" t="n"/>
      <c r="M519" s="32" t="n"/>
      <c r="N519" s="32" t="n"/>
      <c r="O519" s="32" t="n"/>
      <c r="P519" s="32" t="n"/>
      <c r="Q519" s="32" t="n"/>
      <c r="U519" s="31">
        <f>IF($A519="","",SUM(X519:AE519))</f>
        <v/>
      </c>
      <c r="V519" s="31">
        <f>IF($A519="","",IF($H519&lt;&gt;"Ausgabe",0,-$E519-$U519))</f>
        <v/>
      </c>
      <c r="W519" s="33">
        <f>IF($A519="","",DATE(YEAR($A519),MONTH($A519),1))</f>
        <v/>
      </c>
      <c r="X519" s="34">
        <f>IF(OR($A519="",$H519&lt;&gt;"Ausgabe",J519=""),0,IF(J519="x",-$E519/(COUNTIF($J519:$Q519,"x")+1),-$E519*N(J519)))</f>
        <v/>
      </c>
      <c r="Y519" s="34">
        <f>IF(OR($A519="",$H519&lt;&gt;"Ausgabe",K519=""),0,IF(K519="x",-$E519/(COUNTIF($J519:$Q519,"x")+1),-$E519*N(K519)))</f>
        <v/>
      </c>
      <c r="Z519" s="34">
        <f>IF(OR($A519="",$H519&lt;&gt;"Ausgabe",L519=""),0,IF(L519="x",-$E519/(COUNTIF($J519:$Q519,"x")+1),-$E519*N(L519)))</f>
        <v/>
      </c>
      <c r="AA519" s="34">
        <f>IF(OR($A519="",$H519&lt;&gt;"Ausgabe",M519=""),0,IF(M519="x",-$E519/(COUNTIF($J519:$Q519,"x")+1),-$E519*N(M519)))</f>
        <v/>
      </c>
      <c r="AB519" s="34">
        <f>IF(OR($A519="",$H519&lt;&gt;"Ausgabe",N519=""),0,IF(N519="x",-$E519/(COUNTIF($J519:$Q519,"x")+1),-$E519*N(N519)))</f>
        <v/>
      </c>
      <c r="AC519" s="34">
        <f>IF(OR($A519="",$H519&lt;&gt;"Ausgabe",O519=""),0,IF(O519="x",-$E519/(COUNTIF($J519:$Q519,"x")+1),-$E519*N(O519)))</f>
        <v/>
      </c>
      <c r="AD519" s="34">
        <f>IF(OR($A519="",$H519&lt;&gt;"Ausgabe",P519=""),0,IF(P519="x",-$E519/(COUNTIF($J519:$Q519,"x")+1),-$E519*N(P519)))</f>
        <v/>
      </c>
      <c r="AE519" s="34">
        <f>IF(OR($A519="",$H519&lt;&gt;"Ausgabe",Q519=""),0,IF(Q519="x",-$E519/(COUNTIF($J519:$Q519,"x")+1),-$E519*N(Q519)))</f>
        <v/>
      </c>
    </row>
    <row r="520">
      <c r="A520" s="30" t="n"/>
      <c r="E520" s="31" t="n"/>
      <c r="J520" s="32" t="n"/>
      <c r="K520" s="32" t="n"/>
      <c r="L520" s="32" t="n"/>
      <c r="M520" s="32" t="n"/>
      <c r="N520" s="32" t="n"/>
      <c r="O520" s="32" t="n"/>
      <c r="P520" s="32" t="n"/>
      <c r="Q520" s="32" t="n"/>
      <c r="U520" s="31">
        <f>IF($A520="","",SUM(X520:AE520))</f>
        <v/>
      </c>
      <c r="V520" s="31">
        <f>IF($A520="","",IF($H520&lt;&gt;"Ausgabe",0,-$E520-$U520))</f>
        <v/>
      </c>
      <c r="W520" s="33">
        <f>IF($A520="","",DATE(YEAR($A520),MONTH($A520),1))</f>
        <v/>
      </c>
      <c r="X520" s="34">
        <f>IF(OR($A520="",$H520&lt;&gt;"Ausgabe",J520=""),0,IF(J520="x",-$E520/(COUNTIF($J520:$Q520,"x")+1),-$E520*N(J520)))</f>
        <v/>
      </c>
      <c r="Y520" s="34">
        <f>IF(OR($A520="",$H520&lt;&gt;"Ausgabe",K520=""),0,IF(K520="x",-$E520/(COUNTIF($J520:$Q520,"x")+1),-$E520*N(K520)))</f>
        <v/>
      </c>
      <c r="Z520" s="34">
        <f>IF(OR($A520="",$H520&lt;&gt;"Ausgabe",L520=""),0,IF(L520="x",-$E520/(COUNTIF($J520:$Q520,"x")+1),-$E520*N(L520)))</f>
        <v/>
      </c>
      <c r="AA520" s="34">
        <f>IF(OR($A520="",$H520&lt;&gt;"Ausgabe",M520=""),0,IF(M520="x",-$E520/(COUNTIF($J520:$Q520,"x")+1),-$E520*N(M520)))</f>
        <v/>
      </c>
      <c r="AB520" s="34">
        <f>IF(OR($A520="",$H520&lt;&gt;"Ausgabe",N520=""),0,IF(N520="x",-$E520/(COUNTIF($J520:$Q520,"x")+1),-$E520*N(N520)))</f>
        <v/>
      </c>
      <c r="AC520" s="34">
        <f>IF(OR($A520="",$H520&lt;&gt;"Ausgabe",O520=""),0,IF(O520="x",-$E520/(COUNTIF($J520:$Q520,"x")+1),-$E520*N(O520)))</f>
        <v/>
      </c>
      <c r="AD520" s="34">
        <f>IF(OR($A520="",$H520&lt;&gt;"Ausgabe",P520=""),0,IF(P520="x",-$E520/(COUNTIF($J520:$Q520,"x")+1),-$E520*N(P520)))</f>
        <v/>
      </c>
      <c r="AE520" s="34">
        <f>IF(OR($A520="",$H520&lt;&gt;"Ausgabe",Q520=""),0,IF(Q520="x",-$E520/(COUNTIF($J520:$Q520,"x")+1),-$E520*N(Q520)))</f>
        <v/>
      </c>
    </row>
    <row r="521">
      <c r="A521" s="30" t="n"/>
      <c r="E521" s="31" t="n"/>
      <c r="J521" s="32" t="n"/>
      <c r="K521" s="32" t="n"/>
      <c r="L521" s="32" t="n"/>
      <c r="M521" s="32" t="n"/>
      <c r="N521" s="32" t="n"/>
      <c r="O521" s="32" t="n"/>
      <c r="P521" s="32" t="n"/>
      <c r="Q521" s="32" t="n"/>
      <c r="U521" s="31">
        <f>IF($A521="","",SUM(X521:AE521))</f>
        <v/>
      </c>
      <c r="V521" s="31">
        <f>IF($A521="","",IF($H521&lt;&gt;"Ausgabe",0,-$E521-$U521))</f>
        <v/>
      </c>
      <c r="W521" s="33">
        <f>IF($A521="","",DATE(YEAR($A521),MONTH($A521),1))</f>
        <v/>
      </c>
      <c r="X521" s="34">
        <f>IF(OR($A521="",$H521&lt;&gt;"Ausgabe",J521=""),0,IF(J521="x",-$E521/(COUNTIF($J521:$Q521,"x")+1),-$E521*N(J521)))</f>
        <v/>
      </c>
      <c r="Y521" s="34">
        <f>IF(OR($A521="",$H521&lt;&gt;"Ausgabe",K521=""),0,IF(K521="x",-$E521/(COUNTIF($J521:$Q521,"x")+1),-$E521*N(K521)))</f>
        <v/>
      </c>
      <c r="Z521" s="34">
        <f>IF(OR($A521="",$H521&lt;&gt;"Ausgabe",L521=""),0,IF(L521="x",-$E521/(COUNTIF($J521:$Q521,"x")+1),-$E521*N(L521)))</f>
        <v/>
      </c>
      <c r="AA521" s="34">
        <f>IF(OR($A521="",$H521&lt;&gt;"Ausgabe",M521=""),0,IF(M521="x",-$E521/(COUNTIF($J521:$Q521,"x")+1),-$E521*N(M521)))</f>
        <v/>
      </c>
      <c r="AB521" s="34">
        <f>IF(OR($A521="",$H521&lt;&gt;"Ausgabe",N521=""),0,IF(N521="x",-$E521/(COUNTIF($J521:$Q521,"x")+1),-$E521*N(N521)))</f>
        <v/>
      </c>
      <c r="AC521" s="34">
        <f>IF(OR($A521="",$H521&lt;&gt;"Ausgabe",O521=""),0,IF(O521="x",-$E521/(COUNTIF($J521:$Q521,"x")+1),-$E521*N(O521)))</f>
        <v/>
      </c>
      <c r="AD521" s="34">
        <f>IF(OR($A521="",$H521&lt;&gt;"Ausgabe",P521=""),0,IF(P521="x",-$E521/(COUNTIF($J521:$Q521,"x")+1),-$E521*N(P521)))</f>
        <v/>
      </c>
      <c r="AE521" s="34">
        <f>IF(OR($A521="",$H521&lt;&gt;"Ausgabe",Q521=""),0,IF(Q521="x",-$E521/(COUNTIF($J521:$Q521,"x")+1),-$E521*N(Q521)))</f>
        <v/>
      </c>
    </row>
    <row r="522">
      <c r="A522" s="30" t="n"/>
      <c r="E522" s="31" t="n"/>
      <c r="J522" s="32" t="n"/>
      <c r="K522" s="32" t="n"/>
      <c r="L522" s="32" t="n"/>
      <c r="M522" s="32" t="n"/>
      <c r="N522" s="32" t="n"/>
      <c r="O522" s="32" t="n"/>
      <c r="P522" s="32" t="n"/>
      <c r="Q522" s="32" t="n"/>
      <c r="U522" s="31">
        <f>IF($A522="","",SUM(X522:AE522))</f>
        <v/>
      </c>
      <c r="V522" s="31">
        <f>IF($A522="","",IF($H522&lt;&gt;"Ausgabe",0,-$E522-$U522))</f>
        <v/>
      </c>
      <c r="W522" s="33">
        <f>IF($A522="","",DATE(YEAR($A522),MONTH($A522),1))</f>
        <v/>
      </c>
      <c r="X522" s="34">
        <f>IF(OR($A522="",$H522&lt;&gt;"Ausgabe",J522=""),0,IF(J522="x",-$E522/(COUNTIF($J522:$Q522,"x")+1),-$E522*N(J522)))</f>
        <v/>
      </c>
      <c r="Y522" s="34">
        <f>IF(OR($A522="",$H522&lt;&gt;"Ausgabe",K522=""),0,IF(K522="x",-$E522/(COUNTIF($J522:$Q522,"x")+1),-$E522*N(K522)))</f>
        <v/>
      </c>
      <c r="Z522" s="34">
        <f>IF(OR($A522="",$H522&lt;&gt;"Ausgabe",L522=""),0,IF(L522="x",-$E522/(COUNTIF($J522:$Q522,"x")+1),-$E522*N(L522)))</f>
        <v/>
      </c>
      <c r="AA522" s="34">
        <f>IF(OR($A522="",$H522&lt;&gt;"Ausgabe",M522=""),0,IF(M522="x",-$E522/(COUNTIF($J522:$Q522,"x")+1),-$E522*N(M522)))</f>
        <v/>
      </c>
      <c r="AB522" s="34">
        <f>IF(OR($A522="",$H522&lt;&gt;"Ausgabe",N522=""),0,IF(N522="x",-$E522/(COUNTIF($J522:$Q522,"x")+1),-$E522*N(N522)))</f>
        <v/>
      </c>
      <c r="AC522" s="34">
        <f>IF(OR($A522="",$H522&lt;&gt;"Ausgabe",O522=""),0,IF(O522="x",-$E522/(COUNTIF($J522:$Q522,"x")+1),-$E522*N(O522)))</f>
        <v/>
      </c>
      <c r="AD522" s="34">
        <f>IF(OR($A522="",$H522&lt;&gt;"Ausgabe",P522=""),0,IF(P522="x",-$E522/(COUNTIF($J522:$Q522,"x")+1),-$E522*N(P522)))</f>
        <v/>
      </c>
      <c r="AE522" s="34">
        <f>IF(OR($A522="",$H522&lt;&gt;"Ausgabe",Q522=""),0,IF(Q522="x",-$E522/(COUNTIF($J522:$Q522,"x")+1),-$E522*N(Q522)))</f>
        <v/>
      </c>
    </row>
    <row r="523">
      <c r="A523" s="30" t="n"/>
      <c r="E523" s="31" t="n"/>
      <c r="J523" s="32" t="n"/>
      <c r="K523" s="32" t="n"/>
      <c r="L523" s="32" t="n"/>
      <c r="M523" s="32" t="n"/>
      <c r="N523" s="32" t="n"/>
      <c r="O523" s="32" t="n"/>
      <c r="P523" s="32" t="n"/>
      <c r="Q523" s="32" t="n"/>
      <c r="U523" s="31">
        <f>IF($A523="","",SUM(X523:AE523))</f>
        <v/>
      </c>
      <c r="V523" s="31">
        <f>IF($A523="","",IF($H523&lt;&gt;"Ausgabe",0,-$E523-$U523))</f>
        <v/>
      </c>
      <c r="W523" s="33">
        <f>IF($A523="","",DATE(YEAR($A523),MONTH($A523),1))</f>
        <v/>
      </c>
      <c r="X523" s="34">
        <f>IF(OR($A523="",$H523&lt;&gt;"Ausgabe",J523=""),0,IF(J523="x",-$E523/(COUNTIF($J523:$Q523,"x")+1),-$E523*N(J523)))</f>
        <v/>
      </c>
      <c r="Y523" s="34">
        <f>IF(OR($A523="",$H523&lt;&gt;"Ausgabe",K523=""),0,IF(K523="x",-$E523/(COUNTIF($J523:$Q523,"x")+1),-$E523*N(K523)))</f>
        <v/>
      </c>
      <c r="Z523" s="34">
        <f>IF(OR($A523="",$H523&lt;&gt;"Ausgabe",L523=""),0,IF(L523="x",-$E523/(COUNTIF($J523:$Q523,"x")+1),-$E523*N(L523)))</f>
        <v/>
      </c>
      <c r="AA523" s="34">
        <f>IF(OR($A523="",$H523&lt;&gt;"Ausgabe",M523=""),0,IF(M523="x",-$E523/(COUNTIF($J523:$Q523,"x")+1),-$E523*N(M523)))</f>
        <v/>
      </c>
      <c r="AB523" s="34">
        <f>IF(OR($A523="",$H523&lt;&gt;"Ausgabe",N523=""),0,IF(N523="x",-$E523/(COUNTIF($J523:$Q523,"x")+1),-$E523*N(N523)))</f>
        <v/>
      </c>
      <c r="AC523" s="34">
        <f>IF(OR($A523="",$H523&lt;&gt;"Ausgabe",O523=""),0,IF(O523="x",-$E523/(COUNTIF($J523:$Q523,"x")+1),-$E523*N(O523)))</f>
        <v/>
      </c>
      <c r="AD523" s="34">
        <f>IF(OR($A523="",$H523&lt;&gt;"Ausgabe",P523=""),0,IF(P523="x",-$E523/(COUNTIF($J523:$Q523,"x")+1),-$E523*N(P523)))</f>
        <v/>
      </c>
      <c r="AE523" s="34">
        <f>IF(OR($A523="",$H523&lt;&gt;"Ausgabe",Q523=""),0,IF(Q523="x",-$E523/(COUNTIF($J523:$Q523,"x")+1),-$E523*N(Q523)))</f>
        <v/>
      </c>
    </row>
    <row r="524">
      <c r="A524" s="30" t="n"/>
      <c r="E524" s="31" t="n"/>
      <c r="J524" s="32" t="n"/>
      <c r="K524" s="32" t="n"/>
      <c r="L524" s="32" t="n"/>
      <c r="M524" s="32" t="n"/>
      <c r="N524" s="32" t="n"/>
      <c r="O524" s="32" t="n"/>
      <c r="P524" s="32" t="n"/>
      <c r="Q524" s="32" t="n"/>
      <c r="U524" s="31">
        <f>IF($A524="","",SUM(X524:AE524))</f>
        <v/>
      </c>
      <c r="V524" s="31">
        <f>IF($A524="","",IF($H524&lt;&gt;"Ausgabe",0,-$E524-$U524))</f>
        <v/>
      </c>
      <c r="W524" s="33">
        <f>IF($A524="","",DATE(YEAR($A524),MONTH($A524),1))</f>
        <v/>
      </c>
      <c r="X524" s="34">
        <f>IF(OR($A524="",$H524&lt;&gt;"Ausgabe",J524=""),0,IF(J524="x",-$E524/(COUNTIF($J524:$Q524,"x")+1),-$E524*N(J524)))</f>
        <v/>
      </c>
      <c r="Y524" s="34">
        <f>IF(OR($A524="",$H524&lt;&gt;"Ausgabe",K524=""),0,IF(K524="x",-$E524/(COUNTIF($J524:$Q524,"x")+1),-$E524*N(K524)))</f>
        <v/>
      </c>
      <c r="Z524" s="34">
        <f>IF(OR($A524="",$H524&lt;&gt;"Ausgabe",L524=""),0,IF(L524="x",-$E524/(COUNTIF($J524:$Q524,"x")+1),-$E524*N(L524)))</f>
        <v/>
      </c>
      <c r="AA524" s="34">
        <f>IF(OR($A524="",$H524&lt;&gt;"Ausgabe",M524=""),0,IF(M524="x",-$E524/(COUNTIF($J524:$Q524,"x")+1),-$E524*N(M524)))</f>
        <v/>
      </c>
      <c r="AB524" s="34">
        <f>IF(OR($A524="",$H524&lt;&gt;"Ausgabe",N524=""),0,IF(N524="x",-$E524/(COUNTIF($J524:$Q524,"x")+1),-$E524*N(N524)))</f>
        <v/>
      </c>
      <c r="AC524" s="34">
        <f>IF(OR($A524="",$H524&lt;&gt;"Ausgabe",O524=""),0,IF(O524="x",-$E524/(COUNTIF($J524:$Q524,"x")+1),-$E524*N(O524)))</f>
        <v/>
      </c>
      <c r="AD524" s="34">
        <f>IF(OR($A524="",$H524&lt;&gt;"Ausgabe",P524=""),0,IF(P524="x",-$E524/(COUNTIF($J524:$Q524,"x")+1),-$E524*N(P524)))</f>
        <v/>
      </c>
      <c r="AE524" s="34">
        <f>IF(OR($A524="",$H524&lt;&gt;"Ausgabe",Q524=""),0,IF(Q524="x",-$E524/(COUNTIF($J524:$Q524,"x")+1),-$E524*N(Q524)))</f>
        <v/>
      </c>
    </row>
    <row r="525">
      <c r="A525" s="30" t="n"/>
      <c r="E525" s="31" t="n"/>
      <c r="J525" s="32" t="n"/>
      <c r="K525" s="32" t="n"/>
      <c r="L525" s="32" t="n"/>
      <c r="M525" s="32" t="n"/>
      <c r="N525" s="32" t="n"/>
      <c r="O525" s="32" t="n"/>
      <c r="P525" s="32" t="n"/>
      <c r="Q525" s="32" t="n"/>
      <c r="U525" s="31">
        <f>IF($A525="","",SUM(X525:AE525))</f>
        <v/>
      </c>
      <c r="V525" s="31">
        <f>IF($A525="","",IF($H525&lt;&gt;"Ausgabe",0,-$E525-$U525))</f>
        <v/>
      </c>
      <c r="W525" s="33">
        <f>IF($A525="","",DATE(YEAR($A525),MONTH($A525),1))</f>
        <v/>
      </c>
      <c r="X525" s="34">
        <f>IF(OR($A525="",$H525&lt;&gt;"Ausgabe",J525=""),0,IF(J525="x",-$E525/(COUNTIF($J525:$Q525,"x")+1),-$E525*N(J525)))</f>
        <v/>
      </c>
      <c r="Y525" s="34">
        <f>IF(OR($A525="",$H525&lt;&gt;"Ausgabe",K525=""),0,IF(K525="x",-$E525/(COUNTIF($J525:$Q525,"x")+1),-$E525*N(K525)))</f>
        <v/>
      </c>
      <c r="Z525" s="34">
        <f>IF(OR($A525="",$H525&lt;&gt;"Ausgabe",L525=""),0,IF(L525="x",-$E525/(COUNTIF($J525:$Q525,"x")+1),-$E525*N(L525)))</f>
        <v/>
      </c>
      <c r="AA525" s="34">
        <f>IF(OR($A525="",$H525&lt;&gt;"Ausgabe",M525=""),0,IF(M525="x",-$E525/(COUNTIF($J525:$Q525,"x")+1),-$E525*N(M525)))</f>
        <v/>
      </c>
      <c r="AB525" s="34">
        <f>IF(OR($A525="",$H525&lt;&gt;"Ausgabe",N525=""),0,IF(N525="x",-$E525/(COUNTIF($J525:$Q525,"x")+1),-$E525*N(N525)))</f>
        <v/>
      </c>
      <c r="AC525" s="34">
        <f>IF(OR($A525="",$H525&lt;&gt;"Ausgabe",O525=""),0,IF(O525="x",-$E525/(COUNTIF($J525:$Q525,"x")+1),-$E525*N(O525)))</f>
        <v/>
      </c>
      <c r="AD525" s="34">
        <f>IF(OR($A525="",$H525&lt;&gt;"Ausgabe",P525=""),0,IF(P525="x",-$E525/(COUNTIF($J525:$Q525,"x")+1),-$E525*N(P525)))</f>
        <v/>
      </c>
      <c r="AE525" s="34">
        <f>IF(OR($A525="",$H525&lt;&gt;"Ausgabe",Q525=""),0,IF(Q525="x",-$E525/(COUNTIF($J525:$Q525,"x")+1),-$E525*N(Q525)))</f>
        <v/>
      </c>
    </row>
    <row r="526">
      <c r="A526" s="30" t="n"/>
      <c r="E526" s="31" t="n"/>
      <c r="J526" s="32" t="n"/>
      <c r="K526" s="32" t="n"/>
      <c r="L526" s="32" t="n"/>
      <c r="M526" s="32" t="n"/>
      <c r="N526" s="32" t="n"/>
      <c r="O526" s="32" t="n"/>
      <c r="P526" s="32" t="n"/>
      <c r="Q526" s="32" t="n"/>
      <c r="U526" s="31">
        <f>IF($A526="","",SUM(X526:AE526))</f>
        <v/>
      </c>
      <c r="V526" s="31">
        <f>IF($A526="","",IF($H526&lt;&gt;"Ausgabe",0,-$E526-$U526))</f>
        <v/>
      </c>
      <c r="W526" s="33">
        <f>IF($A526="","",DATE(YEAR($A526),MONTH($A526),1))</f>
        <v/>
      </c>
      <c r="X526" s="34">
        <f>IF(OR($A526="",$H526&lt;&gt;"Ausgabe",J526=""),0,IF(J526="x",-$E526/(COUNTIF($J526:$Q526,"x")+1),-$E526*N(J526)))</f>
        <v/>
      </c>
      <c r="Y526" s="34">
        <f>IF(OR($A526="",$H526&lt;&gt;"Ausgabe",K526=""),0,IF(K526="x",-$E526/(COUNTIF($J526:$Q526,"x")+1),-$E526*N(K526)))</f>
        <v/>
      </c>
      <c r="Z526" s="34">
        <f>IF(OR($A526="",$H526&lt;&gt;"Ausgabe",L526=""),0,IF(L526="x",-$E526/(COUNTIF($J526:$Q526,"x")+1),-$E526*N(L526)))</f>
        <v/>
      </c>
      <c r="AA526" s="34">
        <f>IF(OR($A526="",$H526&lt;&gt;"Ausgabe",M526=""),0,IF(M526="x",-$E526/(COUNTIF($J526:$Q526,"x")+1),-$E526*N(M526)))</f>
        <v/>
      </c>
      <c r="AB526" s="34">
        <f>IF(OR($A526="",$H526&lt;&gt;"Ausgabe",N526=""),0,IF(N526="x",-$E526/(COUNTIF($J526:$Q526,"x")+1),-$E526*N(N526)))</f>
        <v/>
      </c>
      <c r="AC526" s="34">
        <f>IF(OR($A526="",$H526&lt;&gt;"Ausgabe",O526=""),0,IF(O526="x",-$E526/(COUNTIF($J526:$Q526,"x")+1),-$E526*N(O526)))</f>
        <v/>
      </c>
      <c r="AD526" s="34">
        <f>IF(OR($A526="",$H526&lt;&gt;"Ausgabe",P526=""),0,IF(P526="x",-$E526/(COUNTIF($J526:$Q526,"x")+1),-$E526*N(P526)))</f>
        <v/>
      </c>
      <c r="AE526" s="34">
        <f>IF(OR($A526="",$H526&lt;&gt;"Ausgabe",Q526=""),0,IF(Q526="x",-$E526/(COUNTIF($J526:$Q526,"x")+1),-$E526*N(Q526)))</f>
        <v/>
      </c>
    </row>
    <row r="527">
      <c r="A527" s="30" t="n"/>
      <c r="E527" s="31" t="n"/>
      <c r="J527" s="32" t="n"/>
      <c r="K527" s="32" t="n"/>
      <c r="L527" s="32" t="n"/>
      <c r="M527" s="32" t="n"/>
      <c r="N527" s="32" t="n"/>
      <c r="O527" s="32" t="n"/>
      <c r="P527" s="32" t="n"/>
      <c r="Q527" s="32" t="n"/>
      <c r="U527" s="31">
        <f>IF($A527="","",SUM(X527:AE527))</f>
        <v/>
      </c>
      <c r="V527" s="31">
        <f>IF($A527="","",IF($H527&lt;&gt;"Ausgabe",0,-$E527-$U527))</f>
        <v/>
      </c>
      <c r="W527" s="33">
        <f>IF($A527="","",DATE(YEAR($A527),MONTH($A527),1))</f>
        <v/>
      </c>
      <c r="X527" s="34">
        <f>IF(OR($A527="",$H527&lt;&gt;"Ausgabe",J527=""),0,IF(J527="x",-$E527/(COUNTIF($J527:$Q527,"x")+1),-$E527*N(J527)))</f>
        <v/>
      </c>
      <c r="Y527" s="34">
        <f>IF(OR($A527="",$H527&lt;&gt;"Ausgabe",K527=""),0,IF(K527="x",-$E527/(COUNTIF($J527:$Q527,"x")+1),-$E527*N(K527)))</f>
        <v/>
      </c>
      <c r="Z527" s="34">
        <f>IF(OR($A527="",$H527&lt;&gt;"Ausgabe",L527=""),0,IF(L527="x",-$E527/(COUNTIF($J527:$Q527,"x")+1),-$E527*N(L527)))</f>
        <v/>
      </c>
      <c r="AA527" s="34">
        <f>IF(OR($A527="",$H527&lt;&gt;"Ausgabe",M527=""),0,IF(M527="x",-$E527/(COUNTIF($J527:$Q527,"x")+1),-$E527*N(M527)))</f>
        <v/>
      </c>
      <c r="AB527" s="34">
        <f>IF(OR($A527="",$H527&lt;&gt;"Ausgabe",N527=""),0,IF(N527="x",-$E527/(COUNTIF($J527:$Q527,"x")+1),-$E527*N(N527)))</f>
        <v/>
      </c>
      <c r="AC527" s="34">
        <f>IF(OR($A527="",$H527&lt;&gt;"Ausgabe",O527=""),0,IF(O527="x",-$E527/(COUNTIF($J527:$Q527,"x")+1),-$E527*N(O527)))</f>
        <v/>
      </c>
      <c r="AD527" s="34">
        <f>IF(OR($A527="",$H527&lt;&gt;"Ausgabe",P527=""),0,IF(P527="x",-$E527/(COUNTIF($J527:$Q527,"x")+1),-$E527*N(P527)))</f>
        <v/>
      </c>
      <c r="AE527" s="34">
        <f>IF(OR($A527="",$H527&lt;&gt;"Ausgabe",Q527=""),0,IF(Q527="x",-$E527/(COUNTIF($J527:$Q527,"x")+1),-$E527*N(Q527)))</f>
        <v/>
      </c>
    </row>
    <row r="528">
      <c r="A528" s="30" t="n"/>
      <c r="E528" s="31" t="n"/>
      <c r="J528" s="32" t="n"/>
      <c r="K528" s="32" t="n"/>
      <c r="L528" s="32" t="n"/>
      <c r="M528" s="32" t="n"/>
      <c r="N528" s="32" t="n"/>
      <c r="O528" s="32" t="n"/>
      <c r="P528" s="32" t="n"/>
      <c r="Q528" s="32" t="n"/>
      <c r="U528" s="31">
        <f>IF($A528="","",SUM(X528:AE528))</f>
        <v/>
      </c>
      <c r="V528" s="31">
        <f>IF($A528="","",IF($H528&lt;&gt;"Ausgabe",0,-$E528-$U528))</f>
        <v/>
      </c>
      <c r="W528" s="33">
        <f>IF($A528="","",DATE(YEAR($A528),MONTH($A528),1))</f>
        <v/>
      </c>
      <c r="X528" s="34">
        <f>IF(OR($A528="",$H528&lt;&gt;"Ausgabe",J528=""),0,IF(J528="x",-$E528/(COUNTIF($J528:$Q528,"x")+1),-$E528*N(J528)))</f>
        <v/>
      </c>
      <c r="Y528" s="34">
        <f>IF(OR($A528="",$H528&lt;&gt;"Ausgabe",K528=""),0,IF(K528="x",-$E528/(COUNTIF($J528:$Q528,"x")+1),-$E528*N(K528)))</f>
        <v/>
      </c>
      <c r="Z528" s="34">
        <f>IF(OR($A528="",$H528&lt;&gt;"Ausgabe",L528=""),0,IF(L528="x",-$E528/(COUNTIF($J528:$Q528,"x")+1),-$E528*N(L528)))</f>
        <v/>
      </c>
      <c r="AA528" s="34">
        <f>IF(OR($A528="",$H528&lt;&gt;"Ausgabe",M528=""),0,IF(M528="x",-$E528/(COUNTIF($J528:$Q528,"x")+1),-$E528*N(M528)))</f>
        <v/>
      </c>
      <c r="AB528" s="34">
        <f>IF(OR($A528="",$H528&lt;&gt;"Ausgabe",N528=""),0,IF(N528="x",-$E528/(COUNTIF($J528:$Q528,"x")+1),-$E528*N(N528)))</f>
        <v/>
      </c>
      <c r="AC528" s="34">
        <f>IF(OR($A528="",$H528&lt;&gt;"Ausgabe",O528=""),0,IF(O528="x",-$E528/(COUNTIF($J528:$Q528,"x")+1),-$E528*N(O528)))</f>
        <v/>
      </c>
      <c r="AD528" s="34">
        <f>IF(OR($A528="",$H528&lt;&gt;"Ausgabe",P528=""),0,IF(P528="x",-$E528/(COUNTIF($J528:$Q528,"x")+1),-$E528*N(P528)))</f>
        <v/>
      </c>
      <c r="AE528" s="34">
        <f>IF(OR($A528="",$H528&lt;&gt;"Ausgabe",Q528=""),0,IF(Q528="x",-$E528/(COUNTIF($J528:$Q528,"x")+1),-$E528*N(Q528)))</f>
        <v/>
      </c>
    </row>
    <row r="529">
      <c r="A529" s="30" t="n"/>
      <c r="E529" s="31" t="n"/>
      <c r="J529" s="32" t="n"/>
      <c r="K529" s="32" t="n"/>
      <c r="L529" s="32" t="n"/>
      <c r="M529" s="32" t="n"/>
      <c r="N529" s="32" t="n"/>
      <c r="O529" s="32" t="n"/>
      <c r="P529" s="32" t="n"/>
      <c r="Q529" s="32" t="n"/>
      <c r="U529" s="31">
        <f>IF($A529="","",SUM(X529:AE529))</f>
        <v/>
      </c>
      <c r="V529" s="31">
        <f>IF($A529="","",IF($H529&lt;&gt;"Ausgabe",0,-$E529-$U529))</f>
        <v/>
      </c>
      <c r="W529" s="33">
        <f>IF($A529="","",DATE(YEAR($A529),MONTH($A529),1))</f>
        <v/>
      </c>
      <c r="X529" s="34">
        <f>IF(OR($A529="",$H529&lt;&gt;"Ausgabe",J529=""),0,IF(J529="x",-$E529/(COUNTIF($J529:$Q529,"x")+1),-$E529*N(J529)))</f>
        <v/>
      </c>
      <c r="Y529" s="34">
        <f>IF(OR($A529="",$H529&lt;&gt;"Ausgabe",K529=""),0,IF(K529="x",-$E529/(COUNTIF($J529:$Q529,"x")+1),-$E529*N(K529)))</f>
        <v/>
      </c>
      <c r="Z529" s="34">
        <f>IF(OR($A529="",$H529&lt;&gt;"Ausgabe",L529=""),0,IF(L529="x",-$E529/(COUNTIF($J529:$Q529,"x")+1),-$E529*N(L529)))</f>
        <v/>
      </c>
      <c r="AA529" s="34">
        <f>IF(OR($A529="",$H529&lt;&gt;"Ausgabe",M529=""),0,IF(M529="x",-$E529/(COUNTIF($J529:$Q529,"x")+1),-$E529*N(M529)))</f>
        <v/>
      </c>
      <c r="AB529" s="34">
        <f>IF(OR($A529="",$H529&lt;&gt;"Ausgabe",N529=""),0,IF(N529="x",-$E529/(COUNTIF($J529:$Q529,"x")+1),-$E529*N(N529)))</f>
        <v/>
      </c>
      <c r="AC529" s="34">
        <f>IF(OR($A529="",$H529&lt;&gt;"Ausgabe",O529=""),0,IF(O529="x",-$E529/(COUNTIF($J529:$Q529,"x")+1),-$E529*N(O529)))</f>
        <v/>
      </c>
      <c r="AD529" s="34">
        <f>IF(OR($A529="",$H529&lt;&gt;"Ausgabe",P529=""),0,IF(P529="x",-$E529/(COUNTIF($J529:$Q529,"x")+1),-$E529*N(P529)))</f>
        <v/>
      </c>
      <c r="AE529" s="34">
        <f>IF(OR($A529="",$H529&lt;&gt;"Ausgabe",Q529=""),0,IF(Q529="x",-$E529/(COUNTIF($J529:$Q529,"x")+1),-$E529*N(Q529)))</f>
        <v/>
      </c>
    </row>
    <row r="530">
      <c r="A530" s="30" t="n"/>
      <c r="E530" s="31" t="n"/>
      <c r="J530" s="32" t="n"/>
      <c r="K530" s="32" t="n"/>
      <c r="L530" s="32" t="n"/>
      <c r="M530" s="32" t="n"/>
      <c r="N530" s="32" t="n"/>
      <c r="O530" s="32" t="n"/>
      <c r="P530" s="32" t="n"/>
      <c r="Q530" s="32" t="n"/>
      <c r="U530" s="31">
        <f>IF($A530="","",SUM(X530:AE530))</f>
        <v/>
      </c>
      <c r="V530" s="31">
        <f>IF($A530="","",IF($H530&lt;&gt;"Ausgabe",0,-$E530-$U530))</f>
        <v/>
      </c>
      <c r="W530" s="33">
        <f>IF($A530="","",DATE(YEAR($A530),MONTH($A530),1))</f>
        <v/>
      </c>
      <c r="X530" s="34">
        <f>IF(OR($A530="",$H530&lt;&gt;"Ausgabe",J530=""),0,IF(J530="x",-$E530/(COUNTIF($J530:$Q530,"x")+1),-$E530*N(J530)))</f>
        <v/>
      </c>
      <c r="Y530" s="34">
        <f>IF(OR($A530="",$H530&lt;&gt;"Ausgabe",K530=""),0,IF(K530="x",-$E530/(COUNTIF($J530:$Q530,"x")+1),-$E530*N(K530)))</f>
        <v/>
      </c>
      <c r="Z530" s="34">
        <f>IF(OR($A530="",$H530&lt;&gt;"Ausgabe",L530=""),0,IF(L530="x",-$E530/(COUNTIF($J530:$Q530,"x")+1),-$E530*N(L530)))</f>
        <v/>
      </c>
      <c r="AA530" s="34">
        <f>IF(OR($A530="",$H530&lt;&gt;"Ausgabe",M530=""),0,IF(M530="x",-$E530/(COUNTIF($J530:$Q530,"x")+1),-$E530*N(M530)))</f>
        <v/>
      </c>
      <c r="AB530" s="34">
        <f>IF(OR($A530="",$H530&lt;&gt;"Ausgabe",N530=""),0,IF(N530="x",-$E530/(COUNTIF($J530:$Q530,"x")+1),-$E530*N(N530)))</f>
        <v/>
      </c>
      <c r="AC530" s="34">
        <f>IF(OR($A530="",$H530&lt;&gt;"Ausgabe",O530=""),0,IF(O530="x",-$E530/(COUNTIF($J530:$Q530,"x")+1),-$E530*N(O530)))</f>
        <v/>
      </c>
      <c r="AD530" s="34">
        <f>IF(OR($A530="",$H530&lt;&gt;"Ausgabe",P530=""),0,IF(P530="x",-$E530/(COUNTIF($J530:$Q530,"x")+1),-$E530*N(P530)))</f>
        <v/>
      </c>
      <c r="AE530" s="34">
        <f>IF(OR($A530="",$H530&lt;&gt;"Ausgabe",Q530=""),0,IF(Q530="x",-$E530/(COUNTIF($J530:$Q530,"x")+1),-$E530*N(Q530)))</f>
        <v/>
      </c>
    </row>
    <row r="531">
      <c r="A531" s="30" t="n"/>
      <c r="E531" s="31" t="n"/>
      <c r="J531" s="32" t="n"/>
      <c r="K531" s="32" t="n"/>
      <c r="L531" s="32" t="n"/>
      <c r="M531" s="32" t="n"/>
      <c r="N531" s="32" t="n"/>
      <c r="O531" s="32" t="n"/>
      <c r="P531" s="32" t="n"/>
      <c r="Q531" s="32" t="n"/>
      <c r="U531" s="31">
        <f>IF($A531="","",SUM(X531:AE531))</f>
        <v/>
      </c>
      <c r="V531" s="31">
        <f>IF($A531="","",IF($H531&lt;&gt;"Ausgabe",0,-$E531-$U531))</f>
        <v/>
      </c>
      <c r="W531" s="33">
        <f>IF($A531="","",DATE(YEAR($A531),MONTH($A531),1))</f>
        <v/>
      </c>
      <c r="X531" s="34">
        <f>IF(OR($A531="",$H531&lt;&gt;"Ausgabe",J531=""),0,IF(J531="x",-$E531/(COUNTIF($J531:$Q531,"x")+1),-$E531*N(J531)))</f>
        <v/>
      </c>
      <c r="Y531" s="34">
        <f>IF(OR($A531="",$H531&lt;&gt;"Ausgabe",K531=""),0,IF(K531="x",-$E531/(COUNTIF($J531:$Q531,"x")+1),-$E531*N(K531)))</f>
        <v/>
      </c>
      <c r="Z531" s="34">
        <f>IF(OR($A531="",$H531&lt;&gt;"Ausgabe",L531=""),0,IF(L531="x",-$E531/(COUNTIF($J531:$Q531,"x")+1),-$E531*N(L531)))</f>
        <v/>
      </c>
      <c r="AA531" s="34">
        <f>IF(OR($A531="",$H531&lt;&gt;"Ausgabe",M531=""),0,IF(M531="x",-$E531/(COUNTIF($J531:$Q531,"x")+1),-$E531*N(M531)))</f>
        <v/>
      </c>
      <c r="AB531" s="34">
        <f>IF(OR($A531="",$H531&lt;&gt;"Ausgabe",N531=""),0,IF(N531="x",-$E531/(COUNTIF($J531:$Q531,"x")+1),-$E531*N(N531)))</f>
        <v/>
      </c>
      <c r="AC531" s="34">
        <f>IF(OR($A531="",$H531&lt;&gt;"Ausgabe",O531=""),0,IF(O531="x",-$E531/(COUNTIF($J531:$Q531,"x")+1),-$E531*N(O531)))</f>
        <v/>
      </c>
      <c r="AD531" s="34">
        <f>IF(OR($A531="",$H531&lt;&gt;"Ausgabe",P531=""),0,IF(P531="x",-$E531/(COUNTIF($J531:$Q531,"x")+1),-$E531*N(P531)))</f>
        <v/>
      </c>
      <c r="AE531" s="34">
        <f>IF(OR($A531="",$H531&lt;&gt;"Ausgabe",Q531=""),0,IF(Q531="x",-$E531/(COUNTIF($J531:$Q531,"x")+1),-$E531*N(Q531)))</f>
        <v/>
      </c>
    </row>
    <row r="532">
      <c r="A532" s="30" t="n"/>
      <c r="E532" s="31" t="n"/>
      <c r="J532" s="32" t="n"/>
      <c r="K532" s="32" t="n"/>
      <c r="L532" s="32" t="n"/>
      <c r="M532" s="32" t="n"/>
      <c r="N532" s="32" t="n"/>
      <c r="O532" s="32" t="n"/>
      <c r="P532" s="32" t="n"/>
      <c r="Q532" s="32" t="n"/>
      <c r="U532" s="31">
        <f>IF($A532="","",SUM(X532:AE532))</f>
        <v/>
      </c>
      <c r="V532" s="31">
        <f>IF($A532="","",IF($H532&lt;&gt;"Ausgabe",0,-$E532-$U532))</f>
        <v/>
      </c>
      <c r="W532" s="33">
        <f>IF($A532="","",DATE(YEAR($A532),MONTH($A532),1))</f>
        <v/>
      </c>
      <c r="X532" s="34">
        <f>IF(OR($A532="",$H532&lt;&gt;"Ausgabe",J532=""),0,IF(J532="x",-$E532/(COUNTIF($J532:$Q532,"x")+1),-$E532*N(J532)))</f>
        <v/>
      </c>
      <c r="Y532" s="34">
        <f>IF(OR($A532="",$H532&lt;&gt;"Ausgabe",K532=""),0,IF(K532="x",-$E532/(COUNTIF($J532:$Q532,"x")+1),-$E532*N(K532)))</f>
        <v/>
      </c>
      <c r="Z532" s="34">
        <f>IF(OR($A532="",$H532&lt;&gt;"Ausgabe",L532=""),0,IF(L532="x",-$E532/(COUNTIF($J532:$Q532,"x")+1),-$E532*N(L532)))</f>
        <v/>
      </c>
      <c r="AA532" s="34">
        <f>IF(OR($A532="",$H532&lt;&gt;"Ausgabe",M532=""),0,IF(M532="x",-$E532/(COUNTIF($J532:$Q532,"x")+1),-$E532*N(M532)))</f>
        <v/>
      </c>
      <c r="AB532" s="34">
        <f>IF(OR($A532="",$H532&lt;&gt;"Ausgabe",N532=""),0,IF(N532="x",-$E532/(COUNTIF($J532:$Q532,"x")+1),-$E532*N(N532)))</f>
        <v/>
      </c>
      <c r="AC532" s="34">
        <f>IF(OR($A532="",$H532&lt;&gt;"Ausgabe",O532=""),0,IF(O532="x",-$E532/(COUNTIF($J532:$Q532,"x")+1),-$E532*N(O532)))</f>
        <v/>
      </c>
      <c r="AD532" s="34">
        <f>IF(OR($A532="",$H532&lt;&gt;"Ausgabe",P532=""),0,IF(P532="x",-$E532/(COUNTIF($J532:$Q532,"x")+1),-$E532*N(P532)))</f>
        <v/>
      </c>
      <c r="AE532" s="34">
        <f>IF(OR($A532="",$H532&lt;&gt;"Ausgabe",Q532=""),0,IF(Q532="x",-$E532/(COUNTIF($J532:$Q532,"x")+1),-$E532*N(Q532)))</f>
        <v/>
      </c>
    </row>
    <row r="533">
      <c r="A533" s="30" t="n"/>
      <c r="E533" s="31" t="n"/>
      <c r="J533" s="32" t="n"/>
      <c r="K533" s="32" t="n"/>
      <c r="L533" s="32" t="n"/>
      <c r="M533" s="32" t="n"/>
      <c r="N533" s="32" t="n"/>
      <c r="O533" s="32" t="n"/>
      <c r="P533" s="32" t="n"/>
      <c r="Q533" s="32" t="n"/>
      <c r="U533" s="31">
        <f>IF($A533="","",SUM(X533:AE533))</f>
        <v/>
      </c>
      <c r="V533" s="31">
        <f>IF($A533="","",IF($H533&lt;&gt;"Ausgabe",0,-$E533-$U533))</f>
        <v/>
      </c>
      <c r="W533" s="33">
        <f>IF($A533="","",DATE(YEAR($A533),MONTH($A533),1))</f>
        <v/>
      </c>
      <c r="X533" s="34">
        <f>IF(OR($A533="",$H533&lt;&gt;"Ausgabe",J533=""),0,IF(J533="x",-$E533/(COUNTIF($J533:$Q533,"x")+1),-$E533*N(J533)))</f>
        <v/>
      </c>
      <c r="Y533" s="34">
        <f>IF(OR($A533="",$H533&lt;&gt;"Ausgabe",K533=""),0,IF(K533="x",-$E533/(COUNTIF($J533:$Q533,"x")+1),-$E533*N(K533)))</f>
        <v/>
      </c>
      <c r="Z533" s="34">
        <f>IF(OR($A533="",$H533&lt;&gt;"Ausgabe",L533=""),0,IF(L533="x",-$E533/(COUNTIF($J533:$Q533,"x")+1),-$E533*N(L533)))</f>
        <v/>
      </c>
      <c r="AA533" s="34">
        <f>IF(OR($A533="",$H533&lt;&gt;"Ausgabe",M533=""),0,IF(M533="x",-$E533/(COUNTIF($J533:$Q533,"x")+1),-$E533*N(M533)))</f>
        <v/>
      </c>
      <c r="AB533" s="34">
        <f>IF(OR($A533="",$H533&lt;&gt;"Ausgabe",N533=""),0,IF(N533="x",-$E533/(COUNTIF($J533:$Q533,"x")+1),-$E533*N(N533)))</f>
        <v/>
      </c>
      <c r="AC533" s="34">
        <f>IF(OR($A533="",$H533&lt;&gt;"Ausgabe",O533=""),0,IF(O533="x",-$E533/(COUNTIF($J533:$Q533,"x")+1),-$E533*N(O533)))</f>
        <v/>
      </c>
      <c r="AD533" s="34">
        <f>IF(OR($A533="",$H533&lt;&gt;"Ausgabe",P533=""),0,IF(P533="x",-$E533/(COUNTIF($J533:$Q533,"x")+1),-$E533*N(P533)))</f>
        <v/>
      </c>
      <c r="AE533" s="34">
        <f>IF(OR($A533="",$H533&lt;&gt;"Ausgabe",Q533=""),0,IF(Q533="x",-$E533/(COUNTIF($J533:$Q533,"x")+1),-$E533*N(Q533)))</f>
        <v/>
      </c>
    </row>
    <row r="534">
      <c r="A534" s="30" t="n"/>
      <c r="E534" s="31" t="n"/>
      <c r="J534" s="32" t="n"/>
      <c r="K534" s="32" t="n"/>
      <c r="L534" s="32" t="n"/>
      <c r="M534" s="32" t="n"/>
      <c r="N534" s="32" t="n"/>
      <c r="O534" s="32" t="n"/>
      <c r="P534" s="32" t="n"/>
      <c r="Q534" s="32" t="n"/>
      <c r="U534" s="31">
        <f>IF($A534="","",SUM(X534:AE534))</f>
        <v/>
      </c>
      <c r="V534" s="31">
        <f>IF($A534="","",IF($H534&lt;&gt;"Ausgabe",0,-$E534-$U534))</f>
        <v/>
      </c>
      <c r="W534" s="33">
        <f>IF($A534="","",DATE(YEAR($A534),MONTH($A534),1))</f>
        <v/>
      </c>
      <c r="X534" s="34">
        <f>IF(OR($A534="",$H534&lt;&gt;"Ausgabe",J534=""),0,IF(J534="x",-$E534/(COUNTIF($J534:$Q534,"x")+1),-$E534*N(J534)))</f>
        <v/>
      </c>
      <c r="Y534" s="34">
        <f>IF(OR($A534="",$H534&lt;&gt;"Ausgabe",K534=""),0,IF(K534="x",-$E534/(COUNTIF($J534:$Q534,"x")+1),-$E534*N(K534)))</f>
        <v/>
      </c>
      <c r="Z534" s="34">
        <f>IF(OR($A534="",$H534&lt;&gt;"Ausgabe",L534=""),0,IF(L534="x",-$E534/(COUNTIF($J534:$Q534,"x")+1),-$E534*N(L534)))</f>
        <v/>
      </c>
      <c r="AA534" s="34">
        <f>IF(OR($A534="",$H534&lt;&gt;"Ausgabe",M534=""),0,IF(M534="x",-$E534/(COUNTIF($J534:$Q534,"x")+1),-$E534*N(M534)))</f>
        <v/>
      </c>
      <c r="AB534" s="34">
        <f>IF(OR($A534="",$H534&lt;&gt;"Ausgabe",N534=""),0,IF(N534="x",-$E534/(COUNTIF($J534:$Q534,"x")+1),-$E534*N(N534)))</f>
        <v/>
      </c>
      <c r="AC534" s="34">
        <f>IF(OR($A534="",$H534&lt;&gt;"Ausgabe",O534=""),0,IF(O534="x",-$E534/(COUNTIF($J534:$Q534,"x")+1),-$E534*N(O534)))</f>
        <v/>
      </c>
      <c r="AD534" s="34">
        <f>IF(OR($A534="",$H534&lt;&gt;"Ausgabe",P534=""),0,IF(P534="x",-$E534/(COUNTIF($J534:$Q534,"x")+1),-$E534*N(P534)))</f>
        <v/>
      </c>
      <c r="AE534" s="34">
        <f>IF(OR($A534="",$H534&lt;&gt;"Ausgabe",Q534=""),0,IF(Q534="x",-$E534/(COUNTIF($J534:$Q534,"x")+1),-$E534*N(Q534)))</f>
        <v/>
      </c>
    </row>
    <row r="535">
      <c r="A535" s="30" t="n"/>
      <c r="E535" s="31" t="n"/>
      <c r="J535" s="32" t="n"/>
      <c r="K535" s="32" t="n"/>
      <c r="L535" s="32" t="n"/>
      <c r="M535" s="32" t="n"/>
      <c r="N535" s="32" t="n"/>
      <c r="O535" s="32" t="n"/>
      <c r="P535" s="32" t="n"/>
      <c r="Q535" s="32" t="n"/>
      <c r="U535" s="31">
        <f>IF($A535="","",SUM(X535:AE535))</f>
        <v/>
      </c>
      <c r="V535" s="31">
        <f>IF($A535="","",IF($H535&lt;&gt;"Ausgabe",0,-$E535-$U535))</f>
        <v/>
      </c>
      <c r="W535" s="33">
        <f>IF($A535="","",DATE(YEAR($A535),MONTH($A535),1))</f>
        <v/>
      </c>
      <c r="X535" s="34">
        <f>IF(OR($A535="",$H535&lt;&gt;"Ausgabe",J535=""),0,IF(J535="x",-$E535/(COUNTIF($J535:$Q535,"x")+1),-$E535*N(J535)))</f>
        <v/>
      </c>
      <c r="Y535" s="34">
        <f>IF(OR($A535="",$H535&lt;&gt;"Ausgabe",K535=""),0,IF(K535="x",-$E535/(COUNTIF($J535:$Q535,"x")+1),-$E535*N(K535)))</f>
        <v/>
      </c>
      <c r="Z535" s="34">
        <f>IF(OR($A535="",$H535&lt;&gt;"Ausgabe",L535=""),0,IF(L535="x",-$E535/(COUNTIF($J535:$Q535,"x")+1),-$E535*N(L535)))</f>
        <v/>
      </c>
      <c r="AA535" s="34">
        <f>IF(OR($A535="",$H535&lt;&gt;"Ausgabe",M535=""),0,IF(M535="x",-$E535/(COUNTIF($J535:$Q535,"x")+1),-$E535*N(M535)))</f>
        <v/>
      </c>
      <c r="AB535" s="34">
        <f>IF(OR($A535="",$H535&lt;&gt;"Ausgabe",N535=""),0,IF(N535="x",-$E535/(COUNTIF($J535:$Q535,"x")+1),-$E535*N(N535)))</f>
        <v/>
      </c>
      <c r="AC535" s="34">
        <f>IF(OR($A535="",$H535&lt;&gt;"Ausgabe",O535=""),0,IF(O535="x",-$E535/(COUNTIF($J535:$Q535,"x")+1),-$E535*N(O535)))</f>
        <v/>
      </c>
      <c r="AD535" s="34">
        <f>IF(OR($A535="",$H535&lt;&gt;"Ausgabe",P535=""),0,IF(P535="x",-$E535/(COUNTIF($J535:$Q535,"x")+1),-$E535*N(P535)))</f>
        <v/>
      </c>
      <c r="AE535" s="34">
        <f>IF(OR($A535="",$H535&lt;&gt;"Ausgabe",Q535=""),0,IF(Q535="x",-$E535/(COUNTIF($J535:$Q535,"x")+1),-$E535*N(Q535)))</f>
        <v/>
      </c>
    </row>
    <row r="536">
      <c r="A536" s="30" t="n"/>
      <c r="E536" s="31" t="n"/>
      <c r="J536" s="32" t="n"/>
      <c r="K536" s="32" t="n"/>
      <c r="L536" s="32" t="n"/>
      <c r="M536" s="32" t="n"/>
      <c r="N536" s="32" t="n"/>
      <c r="O536" s="32" t="n"/>
      <c r="P536" s="32" t="n"/>
      <c r="Q536" s="32" t="n"/>
      <c r="U536" s="31">
        <f>IF($A536="","",SUM(X536:AE536))</f>
        <v/>
      </c>
      <c r="V536" s="31">
        <f>IF($A536="","",IF($H536&lt;&gt;"Ausgabe",0,-$E536-$U536))</f>
        <v/>
      </c>
      <c r="W536" s="33">
        <f>IF($A536="","",DATE(YEAR($A536),MONTH($A536),1))</f>
        <v/>
      </c>
      <c r="X536" s="34">
        <f>IF(OR($A536="",$H536&lt;&gt;"Ausgabe",J536=""),0,IF(J536="x",-$E536/(COUNTIF($J536:$Q536,"x")+1),-$E536*N(J536)))</f>
        <v/>
      </c>
      <c r="Y536" s="34">
        <f>IF(OR($A536="",$H536&lt;&gt;"Ausgabe",K536=""),0,IF(K536="x",-$E536/(COUNTIF($J536:$Q536,"x")+1),-$E536*N(K536)))</f>
        <v/>
      </c>
      <c r="Z536" s="34">
        <f>IF(OR($A536="",$H536&lt;&gt;"Ausgabe",L536=""),0,IF(L536="x",-$E536/(COUNTIF($J536:$Q536,"x")+1),-$E536*N(L536)))</f>
        <v/>
      </c>
      <c r="AA536" s="34">
        <f>IF(OR($A536="",$H536&lt;&gt;"Ausgabe",M536=""),0,IF(M536="x",-$E536/(COUNTIF($J536:$Q536,"x")+1),-$E536*N(M536)))</f>
        <v/>
      </c>
      <c r="AB536" s="34">
        <f>IF(OR($A536="",$H536&lt;&gt;"Ausgabe",N536=""),0,IF(N536="x",-$E536/(COUNTIF($J536:$Q536,"x")+1),-$E536*N(N536)))</f>
        <v/>
      </c>
      <c r="AC536" s="34">
        <f>IF(OR($A536="",$H536&lt;&gt;"Ausgabe",O536=""),0,IF(O536="x",-$E536/(COUNTIF($J536:$Q536,"x")+1),-$E536*N(O536)))</f>
        <v/>
      </c>
      <c r="AD536" s="34">
        <f>IF(OR($A536="",$H536&lt;&gt;"Ausgabe",P536=""),0,IF(P536="x",-$E536/(COUNTIF($J536:$Q536,"x")+1),-$E536*N(P536)))</f>
        <v/>
      </c>
      <c r="AE536" s="34">
        <f>IF(OR($A536="",$H536&lt;&gt;"Ausgabe",Q536=""),0,IF(Q536="x",-$E536/(COUNTIF($J536:$Q536,"x")+1),-$E536*N(Q536)))</f>
        <v/>
      </c>
    </row>
    <row r="537">
      <c r="A537" s="30" t="n"/>
      <c r="E537" s="31" t="n"/>
      <c r="J537" s="32" t="n"/>
      <c r="K537" s="32" t="n"/>
      <c r="L537" s="32" t="n"/>
      <c r="M537" s="32" t="n"/>
      <c r="N537" s="32" t="n"/>
      <c r="O537" s="32" t="n"/>
      <c r="P537" s="32" t="n"/>
      <c r="Q537" s="32" t="n"/>
      <c r="U537" s="31">
        <f>IF($A537="","",SUM(X537:AE537))</f>
        <v/>
      </c>
      <c r="V537" s="31">
        <f>IF($A537="","",IF($H537&lt;&gt;"Ausgabe",0,-$E537-$U537))</f>
        <v/>
      </c>
      <c r="W537" s="33">
        <f>IF($A537="","",DATE(YEAR($A537),MONTH($A537),1))</f>
        <v/>
      </c>
      <c r="X537" s="34">
        <f>IF(OR($A537="",$H537&lt;&gt;"Ausgabe",J537=""),0,IF(J537="x",-$E537/(COUNTIF($J537:$Q537,"x")+1),-$E537*N(J537)))</f>
        <v/>
      </c>
      <c r="Y537" s="34">
        <f>IF(OR($A537="",$H537&lt;&gt;"Ausgabe",K537=""),0,IF(K537="x",-$E537/(COUNTIF($J537:$Q537,"x")+1),-$E537*N(K537)))</f>
        <v/>
      </c>
      <c r="Z537" s="34">
        <f>IF(OR($A537="",$H537&lt;&gt;"Ausgabe",L537=""),0,IF(L537="x",-$E537/(COUNTIF($J537:$Q537,"x")+1),-$E537*N(L537)))</f>
        <v/>
      </c>
      <c r="AA537" s="34">
        <f>IF(OR($A537="",$H537&lt;&gt;"Ausgabe",M537=""),0,IF(M537="x",-$E537/(COUNTIF($J537:$Q537,"x")+1),-$E537*N(M537)))</f>
        <v/>
      </c>
      <c r="AB537" s="34">
        <f>IF(OR($A537="",$H537&lt;&gt;"Ausgabe",N537=""),0,IF(N537="x",-$E537/(COUNTIF($J537:$Q537,"x")+1),-$E537*N(N537)))</f>
        <v/>
      </c>
      <c r="AC537" s="34">
        <f>IF(OR($A537="",$H537&lt;&gt;"Ausgabe",O537=""),0,IF(O537="x",-$E537/(COUNTIF($J537:$Q537,"x")+1),-$E537*N(O537)))</f>
        <v/>
      </c>
      <c r="AD537" s="34">
        <f>IF(OR($A537="",$H537&lt;&gt;"Ausgabe",P537=""),0,IF(P537="x",-$E537/(COUNTIF($J537:$Q537,"x")+1),-$E537*N(P537)))</f>
        <v/>
      </c>
      <c r="AE537" s="34">
        <f>IF(OR($A537="",$H537&lt;&gt;"Ausgabe",Q537=""),0,IF(Q537="x",-$E537/(COUNTIF($J537:$Q537,"x")+1),-$E537*N(Q537)))</f>
        <v/>
      </c>
    </row>
    <row r="538">
      <c r="A538" s="30" t="n"/>
      <c r="E538" s="31" t="n"/>
      <c r="J538" s="32" t="n"/>
      <c r="K538" s="32" t="n"/>
      <c r="L538" s="32" t="n"/>
      <c r="M538" s="32" t="n"/>
      <c r="N538" s="32" t="n"/>
      <c r="O538" s="32" t="n"/>
      <c r="P538" s="32" t="n"/>
      <c r="Q538" s="32" t="n"/>
      <c r="U538" s="31">
        <f>IF($A538="","",SUM(X538:AE538))</f>
        <v/>
      </c>
      <c r="V538" s="31">
        <f>IF($A538="","",IF($H538&lt;&gt;"Ausgabe",0,-$E538-$U538))</f>
        <v/>
      </c>
      <c r="W538" s="33">
        <f>IF($A538="","",DATE(YEAR($A538),MONTH($A538),1))</f>
        <v/>
      </c>
      <c r="X538" s="34">
        <f>IF(OR($A538="",$H538&lt;&gt;"Ausgabe",J538=""),0,IF(J538="x",-$E538/(COUNTIF($J538:$Q538,"x")+1),-$E538*N(J538)))</f>
        <v/>
      </c>
      <c r="Y538" s="34">
        <f>IF(OR($A538="",$H538&lt;&gt;"Ausgabe",K538=""),0,IF(K538="x",-$E538/(COUNTIF($J538:$Q538,"x")+1),-$E538*N(K538)))</f>
        <v/>
      </c>
      <c r="Z538" s="34">
        <f>IF(OR($A538="",$H538&lt;&gt;"Ausgabe",L538=""),0,IF(L538="x",-$E538/(COUNTIF($J538:$Q538,"x")+1),-$E538*N(L538)))</f>
        <v/>
      </c>
      <c r="AA538" s="34">
        <f>IF(OR($A538="",$H538&lt;&gt;"Ausgabe",M538=""),0,IF(M538="x",-$E538/(COUNTIF($J538:$Q538,"x")+1),-$E538*N(M538)))</f>
        <v/>
      </c>
      <c r="AB538" s="34">
        <f>IF(OR($A538="",$H538&lt;&gt;"Ausgabe",N538=""),0,IF(N538="x",-$E538/(COUNTIF($J538:$Q538,"x")+1),-$E538*N(N538)))</f>
        <v/>
      </c>
      <c r="AC538" s="34">
        <f>IF(OR($A538="",$H538&lt;&gt;"Ausgabe",O538=""),0,IF(O538="x",-$E538/(COUNTIF($J538:$Q538,"x")+1),-$E538*N(O538)))</f>
        <v/>
      </c>
      <c r="AD538" s="34">
        <f>IF(OR($A538="",$H538&lt;&gt;"Ausgabe",P538=""),0,IF(P538="x",-$E538/(COUNTIF($J538:$Q538,"x")+1),-$E538*N(P538)))</f>
        <v/>
      </c>
      <c r="AE538" s="34">
        <f>IF(OR($A538="",$H538&lt;&gt;"Ausgabe",Q538=""),0,IF(Q538="x",-$E538/(COUNTIF($J538:$Q538,"x")+1),-$E538*N(Q538)))</f>
        <v/>
      </c>
    </row>
    <row r="539">
      <c r="A539" s="30" t="n"/>
      <c r="E539" s="31" t="n"/>
      <c r="J539" s="32" t="n"/>
      <c r="K539" s="32" t="n"/>
      <c r="L539" s="32" t="n"/>
      <c r="M539" s="32" t="n"/>
      <c r="N539" s="32" t="n"/>
      <c r="O539" s="32" t="n"/>
      <c r="P539" s="32" t="n"/>
      <c r="Q539" s="32" t="n"/>
      <c r="U539" s="31">
        <f>IF($A539="","",SUM(X539:AE539))</f>
        <v/>
      </c>
      <c r="V539" s="31">
        <f>IF($A539="","",IF($H539&lt;&gt;"Ausgabe",0,-$E539-$U539))</f>
        <v/>
      </c>
      <c r="W539" s="33">
        <f>IF($A539="","",DATE(YEAR($A539),MONTH($A539),1))</f>
        <v/>
      </c>
      <c r="X539" s="34">
        <f>IF(OR($A539="",$H539&lt;&gt;"Ausgabe",J539=""),0,IF(J539="x",-$E539/(COUNTIF($J539:$Q539,"x")+1),-$E539*N(J539)))</f>
        <v/>
      </c>
      <c r="Y539" s="34">
        <f>IF(OR($A539="",$H539&lt;&gt;"Ausgabe",K539=""),0,IF(K539="x",-$E539/(COUNTIF($J539:$Q539,"x")+1),-$E539*N(K539)))</f>
        <v/>
      </c>
      <c r="Z539" s="34">
        <f>IF(OR($A539="",$H539&lt;&gt;"Ausgabe",L539=""),0,IF(L539="x",-$E539/(COUNTIF($J539:$Q539,"x")+1),-$E539*N(L539)))</f>
        <v/>
      </c>
      <c r="AA539" s="34">
        <f>IF(OR($A539="",$H539&lt;&gt;"Ausgabe",M539=""),0,IF(M539="x",-$E539/(COUNTIF($J539:$Q539,"x")+1),-$E539*N(M539)))</f>
        <v/>
      </c>
      <c r="AB539" s="34">
        <f>IF(OR($A539="",$H539&lt;&gt;"Ausgabe",N539=""),0,IF(N539="x",-$E539/(COUNTIF($J539:$Q539,"x")+1),-$E539*N(N539)))</f>
        <v/>
      </c>
      <c r="AC539" s="34">
        <f>IF(OR($A539="",$H539&lt;&gt;"Ausgabe",O539=""),0,IF(O539="x",-$E539/(COUNTIF($J539:$Q539,"x")+1),-$E539*N(O539)))</f>
        <v/>
      </c>
      <c r="AD539" s="34">
        <f>IF(OR($A539="",$H539&lt;&gt;"Ausgabe",P539=""),0,IF(P539="x",-$E539/(COUNTIF($J539:$Q539,"x")+1),-$E539*N(P539)))</f>
        <v/>
      </c>
      <c r="AE539" s="34">
        <f>IF(OR($A539="",$H539&lt;&gt;"Ausgabe",Q539=""),0,IF(Q539="x",-$E539/(COUNTIF($J539:$Q539,"x")+1),-$E539*N(Q539)))</f>
        <v/>
      </c>
    </row>
    <row r="540">
      <c r="A540" s="30" t="n"/>
      <c r="E540" s="31" t="n"/>
      <c r="J540" s="32" t="n"/>
      <c r="K540" s="32" t="n"/>
      <c r="L540" s="32" t="n"/>
      <c r="M540" s="32" t="n"/>
      <c r="N540" s="32" t="n"/>
      <c r="O540" s="32" t="n"/>
      <c r="P540" s="32" t="n"/>
      <c r="Q540" s="32" t="n"/>
      <c r="U540" s="31">
        <f>IF($A540="","",SUM(X540:AE540))</f>
        <v/>
      </c>
      <c r="V540" s="31">
        <f>IF($A540="","",IF($H540&lt;&gt;"Ausgabe",0,-$E540-$U540))</f>
        <v/>
      </c>
      <c r="W540" s="33">
        <f>IF($A540="","",DATE(YEAR($A540),MONTH($A540),1))</f>
        <v/>
      </c>
      <c r="X540" s="34">
        <f>IF(OR($A540="",$H540&lt;&gt;"Ausgabe",J540=""),0,IF(J540="x",-$E540/(COUNTIF($J540:$Q540,"x")+1),-$E540*N(J540)))</f>
        <v/>
      </c>
      <c r="Y540" s="34">
        <f>IF(OR($A540="",$H540&lt;&gt;"Ausgabe",K540=""),0,IF(K540="x",-$E540/(COUNTIF($J540:$Q540,"x")+1),-$E540*N(K540)))</f>
        <v/>
      </c>
      <c r="Z540" s="34">
        <f>IF(OR($A540="",$H540&lt;&gt;"Ausgabe",L540=""),0,IF(L540="x",-$E540/(COUNTIF($J540:$Q540,"x")+1),-$E540*N(L540)))</f>
        <v/>
      </c>
      <c r="AA540" s="34">
        <f>IF(OR($A540="",$H540&lt;&gt;"Ausgabe",M540=""),0,IF(M540="x",-$E540/(COUNTIF($J540:$Q540,"x")+1),-$E540*N(M540)))</f>
        <v/>
      </c>
      <c r="AB540" s="34">
        <f>IF(OR($A540="",$H540&lt;&gt;"Ausgabe",N540=""),0,IF(N540="x",-$E540/(COUNTIF($J540:$Q540,"x")+1),-$E540*N(N540)))</f>
        <v/>
      </c>
      <c r="AC540" s="34">
        <f>IF(OR($A540="",$H540&lt;&gt;"Ausgabe",O540=""),0,IF(O540="x",-$E540/(COUNTIF($J540:$Q540,"x")+1),-$E540*N(O540)))</f>
        <v/>
      </c>
      <c r="AD540" s="34">
        <f>IF(OR($A540="",$H540&lt;&gt;"Ausgabe",P540=""),0,IF(P540="x",-$E540/(COUNTIF($J540:$Q540,"x")+1),-$E540*N(P540)))</f>
        <v/>
      </c>
      <c r="AE540" s="34">
        <f>IF(OR($A540="",$H540&lt;&gt;"Ausgabe",Q540=""),0,IF(Q540="x",-$E540/(COUNTIF($J540:$Q540,"x")+1),-$E540*N(Q540)))</f>
        <v/>
      </c>
    </row>
    <row r="541">
      <c r="A541" s="30" t="n"/>
      <c r="E541" s="31" t="n"/>
      <c r="J541" s="32" t="n"/>
      <c r="K541" s="32" t="n"/>
      <c r="L541" s="32" t="n"/>
      <c r="M541" s="32" t="n"/>
      <c r="N541" s="32" t="n"/>
      <c r="O541" s="32" t="n"/>
      <c r="P541" s="32" t="n"/>
      <c r="Q541" s="32" t="n"/>
      <c r="U541" s="31">
        <f>IF($A541="","",SUM(X541:AE541))</f>
        <v/>
      </c>
      <c r="V541" s="31">
        <f>IF($A541="","",IF($H541&lt;&gt;"Ausgabe",0,-$E541-$U541))</f>
        <v/>
      </c>
      <c r="W541" s="33">
        <f>IF($A541="","",DATE(YEAR($A541),MONTH($A541),1))</f>
        <v/>
      </c>
      <c r="X541" s="34">
        <f>IF(OR($A541="",$H541&lt;&gt;"Ausgabe",J541=""),0,IF(J541="x",-$E541/(COUNTIF($J541:$Q541,"x")+1),-$E541*N(J541)))</f>
        <v/>
      </c>
      <c r="Y541" s="34">
        <f>IF(OR($A541="",$H541&lt;&gt;"Ausgabe",K541=""),0,IF(K541="x",-$E541/(COUNTIF($J541:$Q541,"x")+1),-$E541*N(K541)))</f>
        <v/>
      </c>
      <c r="Z541" s="34">
        <f>IF(OR($A541="",$H541&lt;&gt;"Ausgabe",L541=""),0,IF(L541="x",-$E541/(COUNTIF($J541:$Q541,"x")+1),-$E541*N(L541)))</f>
        <v/>
      </c>
      <c r="AA541" s="34">
        <f>IF(OR($A541="",$H541&lt;&gt;"Ausgabe",M541=""),0,IF(M541="x",-$E541/(COUNTIF($J541:$Q541,"x")+1),-$E541*N(M541)))</f>
        <v/>
      </c>
      <c r="AB541" s="34">
        <f>IF(OR($A541="",$H541&lt;&gt;"Ausgabe",N541=""),0,IF(N541="x",-$E541/(COUNTIF($J541:$Q541,"x")+1),-$E541*N(N541)))</f>
        <v/>
      </c>
      <c r="AC541" s="34">
        <f>IF(OR($A541="",$H541&lt;&gt;"Ausgabe",O541=""),0,IF(O541="x",-$E541/(COUNTIF($J541:$Q541,"x")+1),-$E541*N(O541)))</f>
        <v/>
      </c>
      <c r="AD541" s="34">
        <f>IF(OR($A541="",$H541&lt;&gt;"Ausgabe",P541=""),0,IF(P541="x",-$E541/(COUNTIF($J541:$Q541,"x")+1),-$E541*N(P541)))</f>
        <v/>
      </c>
      <c r="AE541" s="34">
        <f>IF(OR($A541="",$H541&lt;&gt;"Ausgabe",Q541=""),0,IF(Q541="x",-$E541/(COUNTIF($J541:$Q541,"x")+1),-$E541*N(Q541)))</f>
        <v/>
      </c>
    </row>
    <row r="542">
      <c r="A542" s="30" t="n"/>
      <c r="E542" s="31" t="n"/>
      <c r="J542" s="32" t="n"/>
      <c r="K542" s="32" t="n"/>
      <c r="L542" s="32" t="n"/>
      <c r="M542" s="32" t="n"/>
      <c r="N542" s="32" t="n"/>
      <c r="O542" s="32" t="n"/>
      <c r="P542" s="32" t="n"/>
      <c r="Q542" s="32" t="n"/>
      <c r="U542" s="31">
        <f>IF($A542="","",SUM(X542:AE542))</f>
        <v/>
      </c>
      <c r="V542" s="31">
        <f>IF($A542="","",IF($H542&lt;&gt;"Ausgabe",0,-$E542-$U542))</f>
        <v/>
      </c>
      <c r="W542" s="33">
        <f>IF($A542="","",DATE(YEAR($A542),MONTH($A542),1))</f>
        <v/>
      </c>
      <c r="X542" s="34">
        <f>IF(OR($A542="",$H542&lt;&gt;"Ausgabe",J542=""),0,IF(J542="x",-$E542/(COUNTIF($J542:$Q542,"x")+1),-$E542*N(J542)))</f>
        <v/>
      </c>
      <c r="Y542" s="34">
        <f>IF(OR($A542="",$H542&lt;&gt;"Ausgabe",K542=""),0,IF(K542="x",-$E542/(COUNTIF($J542:$Q542,"x")+1),-$E542*N(K542)))</f>
        <v/>
      </c>
      <c r="Z542" s="34">
        <f>IF(OR($A542="",$H542&lt;&gt;"Ausgabe",L542=""),0,IF(L542="x",-$E542/(COUNTIF($J542:$Q542,"x")+1),-$E542*N(L542)))</f>
        <v/>
      </c>
      <c r="AA542" s="34">
        <f>IF(OR($A542="",$H542&lt;&gt;"Ausgabe",M542=""),0,IF(M542="x",-$E542/(COUNTIF($J542:$Q542,"x")+1),-$E542*N(M542)))</f>
        <v/>
      </c>
      <c r="AB542" s="34">
        <f>IF(OR($A542="",$H542&lt;&gt;"Ausgabe",N542=""),0,IF(N542="x",-$E542/(COUNTIF($J542:$Q542,"x")+1),-$E542*N(N542)))</f>
        <v/>
      </c>
      <c r="AC542" s="34">
        <f>IF(OR($A542="",$H542&lt;&gt;"Ausgabe",O542=""),0,IF(O542="x",-$E542/(COUNTIF($J542:$Q542,"x")+1),-$E542*N(O542)))</f>
        <v/>
      </c>
      <c r="AD542" s="34">
        <f>IF(OR($A542="",$H542&lt;&gt;"Ausgabe",P542=""),0,IF(P542="x",-$E542/(COUNTIF($J542:$Q542,"x")+1),-$E542*N(P542)))</f>
        <v/>
      </c>
      <c r="AE542" s="34">
        <f>IF(OR($A542="",$H542&lt;&gt;"Ausgabe",Q542=""),0,IF(Q542="x",-$E542/(COUNTIF($J542:$Q542,"x")+1),-$E542*N(Q542)))</f>
        <v/>
      </c>
    </row>
    <row r="543">
      <c r="A543" s="30" t="n"/>
      <c r="E543" s="31" t="n"/>
      <c r="J543" s="32" t="n"/>
      <c r="K543" s="32" t="n"/>
      <c r="L543" s="32" t="n"/>
      <c r="M543" s="32" t="n"/>
      <c r="N543" s="32" t="n"/>
      <c r="O543" s="32" t="n"/>
      <c r="P543" s="32" t="n"/>
      <c r="Q543" s="32" t="n"/>
      <c r="U543" s="31">
        <f>IF($A543="","",SUM(X543:AE543))</f>
        <v/>
      </c>
      <c r="V543" s="31">
        <f>IF($A543="","",IF($H543&lt;&gt;"Ausgabe",0,-$E543-$U543))</f>
        <v/>
      </c>
      <c r="W543" s="33">
        <f>IF($A543="","",DATE(YEAR($A543),MONTH($A543),1))</f>
        <v/>
      </c>
      <c r="X543" s="34">
        <f>IF(OR($A543="",$H543&lt;&gt;"Ausgabe",J543=""),0,IF(J543="x",-$E543/(COUNTIF($J543:$Q543,"x")+1),-$E543*N(J543)))</f>
        <v/>
      </c>
      <c r="Y543" s="34">
        <f>IF(OR($A543="",$H543&lt;&gt;"Ausgabe",K543=""),0,IF(K543="x",-$E543/(COUNTIF($J543:$Q543,"x")+1),-$E543*N(K543)))</f>
        <v/>
      </c>
      <c r="Z543" s="34">
        <f>IF(OR($A543="",$H543&lt;&gt;"Ausgabe",L543=""),0,IF(L543="x",-$E543/(COUNTIF($J543:$Q543,"x")+1),-$E543*N(L543)))</f>
        <v/>
      </c>
      <c r="AA543" s="34">
        <f>IF(OR($A543="",$H543&lt;&gt;"Ausgabe",M543=""),0,IF(M543="x",-$E543/(COUNTIF($J543:$Q543,"x")+1),-$E543*N(M543)))</f>
        <v/>
      </c>
      <c r="AB543" s="34">
        <f>IF(OR($A543="",$H543&lt;&gt;"Ausgabe",N543=""),0,IF(N543="x",-$E543/(COUNTIF($J543:$Q543,"x")+1),-$E543*N(N543)))</f>
        <v/>
      </c>
      <c r="AC543" s="34">
        <f>IF(OR($A543="",$H543&lt;&gt;"Ausgabe",O543=""),0,IF(O543="x",-$E543/(COUNTIF($J543:$Q543,"x")+1),-$E543*N(O543)))</f>
        <v/>
      </c>
      <c r="AD543" s="34">
        <f>IF(OR($A543="",$H543&lt;&gt;"Ausgabe",P543=""),0,IF(P543="x",-$E543/(COUNTIF($J543:$Q543,"x")+1),-$E543*N(P543)))</f>
        <v/>
      </c>
      <c r="AE543" s="34">
        <f>IF(OR($A543="",$H543&lt;&gt;"Ausgabe",Q543=""),0,IF(Q543="x",-$E543/(COUNTIF($J543:$Q543,"x")+1),-$E543*N(Q543)))</f>
        <v/>
      </c>
    </row>
    <row r="544">
      <c r="A544" s="30" t="n"/>
      <c r="E544" s="31" t="n"/>
      <c r="J544" s="32" t="n"/>
      <c r="K544" s="32" t="n"/>
      <c r="L544" s="32" t="n"/>
      <c r="M544" s="32" t="n"/>
      <c r="N544" s="32" t="n"/>
      <c r="O544" s="32" t="n"/>
      <c r="P544" s="32" t="n"/>
      <c r="Q544" s="32" t="n"/>
      <c r="U544" s="31">
        <f>IF($A544="","",SUM(X544:AE544))</f>
        <v/>
      </c>
      <c r="V544" s="31">
        <f>IF($A544="","",IF($H544&lt;&gt;"Ausgabe",0,-$E544-$U544))</f>
        <v/>
      </c>
      <c r="W544" s="33">
        <f>IF($A544="","",DATE(YEAR($A544),MONTH($A544),1))</f>
        <v/>
      </c>
      <c r="X544" s="34">
        <f>IF(OR($A544="",$H544&lt;&gt;"Ausgabe",J544=""),0,IF(J544="x",-$E544/(COUNTIF($J544:$Q544,"x")+1),-$E544*N(J544)))</f>
        <v/>
      </c>
      <c r="Y544" s="34">
        <f>IF(OR($A544="",$H544&lt;&gt;"Ausgabe",K544=""),0,IF(K544="x",-$E544/(COUNTIF($J544:$Q544,"x")+1),-$E544*N(K544)))</f>
        <v/>
      </c>
      <c r="Z544" s="34">
        <f>IF(OR($A544="",$H544&lt;&gt;"Ausgabe",L544=""),0,IF(L544="x",-$E544/(COUNTIF($J544:$Q544,"x")+1),-$E544*N(L544)))</f>
        <v/>
      </c>
      <c r="AA544" s="34">
        <f>IF(OR($A544="",$H544&lt;&gt;"Ausgabe",M544=""),0,IF(M544="x",-$E544/(COUNTIF($J544:$Q544,"x")+1),-$E544*N(M544)))</f>
        <v/>
      </c>
      <c r="AB544" s="34">
        <f>IF(OR($A544="",$H544&lt;&gt;"Ausgabe",N544=""),0,IF(N544="x",-$E544/(COUNTIF($J544:$Q544,"x")+1),-$E544*N(N544)))</f>
        <v/>
      </c>
      <c r="AC544" s="34">
        <f>IF(OR($A544="",$H544&lt;&gt;"Ausgabe",O544=""),0,IF(O544="x",-$E544/(COUNTIF($J544:$Q544,"x")+1),-$E544*N(O544)))</f>
        <v/>
      </c>
      <c r="AD544" s="34">
        <f>IF(OR($A544="",$H544&lt;&gt;"Ausgabe",P544=""),0,IF(P544="x",-$E544/(COUNTIF($J544:$Q544,"x")+1),-$E544*N(P544)))</f>
        <v/>
      </c>
      <c r="AE544" s="34">
        <f>IF(OR($A544="",$H544&lt;&gt;"Ausgabe",Q544=""),0,IF(Q544="x",-$E544/(COUNTIF($J544:$Q544,"x")+1),-$E544*N(Q544)))</f>
        <v/>
      </c>
    </row>
    <row r="545">
      <c r="A545" s="30" t="n"/>
      <c r="E545" s="31" t="n"/>
      <c r="J545" s="32" t="n"/>
      <c r="K545" s="32" t="n"/>
      <c r="L545" s="32" t="n"/>
      <c r="M545" s="32" t="n"/>
      <c r="N545" s="32" t="n"/>
      <c r="O545" s="32" t="n"/>
      <c r="P545" s="32" t="n"/>
      <c r="Q545" s="32" t="n"/>
      <c r="U545" s="31">
        <f>IF($A545="","",SUM(X545:AE545))</f>
        <v/>
      </c>
      <c r="V545" s="31">
        <f>IF($A545="","",IF($H545&lt;&gt;"Ausgabe",0,-$E545-$U545))</f>
        <v/>
      </c>
      <c r="W545" s="33">
        <f>IF($A545="","",DATE(YEAR($A545),MONTH($A545),1))</f>
        <v/>
      </c>
      <c r="X545" s="34">
        <f>IF(OR($A545="",$H545&lt;&gt;"Ausgabe",J545=""),0,IF(J545="x",-$E545/(COUNTIF($J545:$Q545,"x")+1),-$E545*N(J545)))</f>
        <v/>
      </c>
      <c r="Y545" s="34">
        <f>IF(OR($A545="",$H545&lt;&gt;"Ausgabe",K545=""),0,IF(K545="x",-$E545/(COUNTIF($J545:$Q545,"x")+1),-$E545*N(K545)))</f>
        <v/>
      </c>
      <c r="Z545" s="34">
        <f>IF(OR($A545="",$H545&lt;&gt;"Ausgabe",L545=""),0,IF(L545="x",-$E545/(COUNTIF($J545:$Q545,"x")+1),-$E545*N(L545)))</f>
        <v/>
      </c>
      <c r="AA545" s="34">
        <f>IF(OR($A545="",$H545&lt;&gt;"Ausgabe",M545=""),0,IF(M545="x",-$E545/(COUNTIF($J545:$Q545,"x")+1),-$E545*N(M545)))</f>
        <v/>
      </c>
      <c r="AB545" s="34">
        <f>IF(OR($A545="",$H545&lt;&gt;"Ausgabe",N545=""),0,IF(N545="x",-$E545/(COUNTIF($J545:$Q545,"x")+1),-$E545*N(N545)))</f>
        <v/>
      </c>
      <c r="AC545" s="34">
        <f>IF(OR($A545="",$H545&lt;&gt;"Ausgabe",O545=""),0,IF(O545="x",-$E545/(COUNTIF($J545:$Q545,"x")+1),-$E545*N(O545)))</f>
        <v/>
      </c>
      <c r="AD545" s="34">
        <f>IF(OR($A545="",$H545&lt;&gt;"Ausgabe",P545=""),0,IF(P545="x",-$E545/(COUNTIF($J545:$Q545,"x")+1),-$E545*N(P545)))</f>
        <v/>
      </c>
      <c r="AE545" s="34">
        <f>IF(OR($A545="",$H545&lt;&gt;"Ausgabe",Q545=""),0,IF(Q545="x",-$E545/(COUNTIF($J545:$Q545,"x")+1),-$E545*N(Q545)))</f>
        <v/>
      </c>
    </row>
    <row r="546">
      <c r="A546" s="30" t="n"/>
      <c r="E546" s="31" t="n"/>
      <c r="J546" s="32" t="n"/>
      <c r="K546" s="32" t="n"/>
      <c r="L546" s="32" t="n"/>
      <c r="M546" s="32" t="n"/>
      <c r="N546" s="32" t="n"/>
      <c r="O546" s="32" t="n"/>
      <c r="P546" s="32" t="n"/>
      <c r="Q546" s="32" t="n"/>
      <c r="U546" s="31">
        <f>IF($A546="","",SUM(X546:AE546))</f>
        <v/>
      </c>
      <c r="V546" s="31">
        <f>IF($A546="","",IF($H546&lt;&gt;"Ausgabe",0,-$E546-$U546))</f>
        <v/>
      </c>
      <c r="W546" s="33">
        <f>IF($A546="","",DATE(YEAR($A546),MONTH($A546),1))</f>
        <v/>
      </c>
      <c r="X546" s="34">
        <f>IF(OR($A546="",$H546&lt;&gt;"Ausgabe",J546=""),0,IF(J546="x",-$E546/(COUNTIF($J546:$Q546,"x")+1),-$E546*N(J546)))</f>
        <v/>
      </c>
      <c r="Y546" s="34">
        <f>IF(OR($A546="",$H546&lt;&gt;"Ausgabe",K546=""),0,IF(K546="x",-$E546/(COUNTIF($J546:$Q546,"x")+1),-$E546*N(K546)))</f>
        <v/>
      </c>
      <c r="Z546" s="34">
        <f>IF(OR($A546="",$H546&lt;&gt;"Ausgabe",L546=""),0,IF(L546="x",-$E546/(COUNTIF($J546:$Q546,"x")+1),-$E546*N(L546)))</f>
        <v/>
      </c>
      <c r="AA546" s="34">
        <f>IF(OR($A546="",$H546&lt;&gt;"Ausgabe",M546=""),0,IF(M546="x",-$E546/(COUNTIF($J546:$Q546,"x")+1),-$E546*N(M546)))</f>
        <v/>
      </c>
      <c r="AB546" s="34">
        <f>IF(OR($A546="",$H546&lt;&gt;"Ausgabe",N546=""),0,IF(N546="x",-$E546/(COUNTIF($J546:$Q546,"x")+1),-$E546*N(N546)))</f>
        <v/>
      </c>
      <c r="AC546" s="34">
        <f>IF(OR($A546="",$H546&lt;&gt;"Ausgabe",O546=""),0,IF(O546="x",-$E546/(COUNTIF($J546:$Q546,"x")+1),-$E546*N(O546)))</f>
        <v/>
      </c>
      <c r="AD546" s="34">
        <f>IF(OR($A546="",$H546&lt;&gt;"Ausgabe",P546=""),0,IF(P546="x",-$E546/(COUNTIF($J546:$Q546,"x")+1),-$E546*N(P546)))</f>
        <v/>
      </c>
      <c r="AE546" s="34">
        <f>IF(OR($A546="",$H546&lt;&gt;"Ausgabe",Q546=""),0,IF(Q546="x",-$E546/(COUNTIF($J546:$Q546,"x")+1),-$E546*N(Q546)))</f>
        <v/>
      </c>
    </row>
    <row r="547">
      <c r="A547" s="30" t="n"/>
      <c r="E547" s="31" t="n"/>
      <c r="J547" s="32" t="n"/>
      <c r="K547" s="32" t="n"/>
      <c r="L547" s="32" t="n"/>
      <c r="M547" s="32" t="n"/>
      <c r="N547" s="32" t="n"/>
      <c r="O547" s="32" t="n"/>
      <c r="P547" s="32" t="n"/>
      <c r="Q547" s="32" t="n"/>
      <c r="U547" s="31">
        <f>IF($A547="","",SUM(X547:AE547))</f>
        <v/>
      </c>
      <c r="V547" s="31">
        <f>IF($A547="","",IF($H547&lt;&gt;"Ausgabe",0,-$E547-$U547))</f>
        <v/>
      </c>
      <c r="W547" s="33">
        <f>IF($A547="","",DATE(YEAR($A547),MONTH($A547),1))</f>
        <v/>
      </c>
      <c r="X547" s="34">
        <f>IF(OR($A547="",$H547&lt;&gt;"Ausgabe",J547=""),0,IF(J547="x",-$E547/(COUNTIF($J547:$Q547,"x")+1),-$E547*N(J547)))</f>
        <v/>
      </c>
      <c r="Y547" s="34">
        <f>IF(OR($A547="",$H547&lt;&gt;"Ausgabe",K547=""),0,IF(K547="x",-$E547/(COUNTIF($J547:$Q547,"x")+1),-$E547*N(K547)))</f>
        <v/>
      </c>
      <c r="Z547" s="34">
        <f>IF(OR($A547="",$H547&lt;&gt;"Ausgabe",L547=""),0,IF(L547="x",-$E547/(COUNTIF($J547:$Q547,"x")+1),-$E547*N(L547)))</f>
        <v/>
      </c>
      <c r="AA547" s="34">
        <f>IF(OR($A547="",$H547&lt;&gt;"Ausgabe",M547=""),0,IF(M547="x",-$E547/(COUNTIF($J547:$Q547,"x")+1),-$E547*N(M547)))</f>
        <v/>
      </c>
      <c r="AB547" s="34">
        <f>IF(OR($A547="",$H547&lt;&gt;"Ausgabe",N547=""),0,IF(N547="x",-$E547/(COUNTIF($J547:$Q547,"x")+1),-$E547*N(N547)))</f>
        <v/>
      </c>
      <c r="AC547" s="34">
        <f>IF(OR($A547="",$H547&lt;&gt;"Ausgabe",O547=""),0,IF(O547="x",-$E547/(COUNTIF($J547:$Q547,"x")+1),-$E547*N(O547)))</f>
        <v/>
      </c>
      <c r="AD547" s="34">
        <f>IF(OR($A547="",$H547&lt;&gt;"Ausgabe",P547=""),0,IF(P547="x",-$E547/(COUNTIF($J547:$Q547,"x")+1),-$E547*N(P547)))</f>
        <v/>
      </c>
      <c r="AE547" s="34">
        <f>IF(OR($A547="",$H547&lt;&gt;"Ausgabe",Q547=""),0,IF(Q547="x",-$E547/(COUNTIF($J547:$Q547,"x")+1),-$E547*N(Q547)))</f>
        <v/>
      </c>
    </row>
    <row r="548">
      <c r="A548" s="30" t="n"/>
      <c r="E548" s="31" t="n"/>
      <c r="J548" s="32" t="n"/>
      <c r="K548" s="32" t="n"/>
      <c r="L548" s="32" t="n"/>
      <c r="M548" s="32" t="n"/>
      <c r="N548" s="32" t="n"/>
      <c r="O548" s="32" t="n"/>
      <c r="P548" s="32" t="n"/>
      <c r="Q548" s="32" t="n"/>
      <c r="U548" s="31">
        <f>IF($A548="","",SUM(X548:AE548))</f>
        <v/>
      </c>
      <c r="V548" s="31">
        <f>IF($A548="","",IF($H548&lt;&gt;"Ausgabe",0,-$E548-$U548))</f>
        <v/>
      </c>
      <c r="W548" s="33">
        <f>IF($A548="","",DATE(YEAR($A548),MONTH($A548),1))</f>
        <v/>
      </c>
      <c r="X548" s="34">
        <f>IF(OR($A548="",$H548&lt;&gt;"Ausgabe",J548=""),0,IF(J548="x",-$E548/(COUNTIF($J548:$Q548,"x")+1),-$E548*N(J548)))</f>
        <v/>
      </c>
      <c r="Y548" s="34">
        <f>IF(OR($A548="",$H548&lt;&gt;"Ausgabe",K548=""),0,IF(K548="x",-$E548/(COUNTIF($J548:$Q548,"x")+1),-$E548*N(K548)))</f>
        <v/>
      </c>
      <c r="Z548" s="34">
        <f>IF(OR($A548="",$H548&lt;&gt;"Ausgabe",L548=""),0,IF(L548="x",-$E548/(COUNTIF($J548:$Q548,"x")+1),-$E548*N(L548)))</f>
        <v/>
      </c>
      <c r="AA548" s="34">
        <f>IF(OR($A548="",$H548&lt;&gt;"Ausgabe",M548=""),0,IF(M548="x",-$E548/(COUNTIF($J548:$Q548,"x")+1),-$E548*N(M548)))</f>
        <v/>
      </c>
      <c r="AB548" s="34">
        <f>IF(OR($A548="",$H548&lt;&gt;"Ausgabe",N548=""),0,IF(N548="x",-$E548/(COUNTIF($J548:$Q548,"x")+1),-$E548*N(N548)))</f>
        <v/>
      </c>
      <c r="AC548" s="34">
        <f>IF(OR($A548="",$H548&lt;&gt;"Ausgabe",O548=""),0,IF(O548="x",-$E548/(COUNTIF($J548:$Q548,"x")+1),-$E548*N(O548)))</f>
        <v/>
      </c>
      <c r="AD548" s="34">
        <f>IF(OR($A548="",$H548&lt;&gt;"Ausgabe",P548=""),0,IF(P548="x",-$E548/(COUNTIF($J548:$Q548,"x")+1),-$E548*N(P548)))</f>
        <v/>
      </c>
      <c r="AE548" s="34">
        <f>IF(OR($A548="",$H548&lt;&gt;"Ausgabe",Q548=""),0,IF(Q548="x",-$E548/(COUNTIF($J548:$Q548,"x")+1),-$E548*N(Q548)))</f>
        <v/>
      </c>
    </row>
    <row r="549">
      <c r="A549" s="30" t="n"/>
      <c r="E549" s="31" t="n"/>
      <c r="J549" s="32" t="n"/>
      <c r="K549" s="32" t="n"/>
      <c r="L549" s="32" t="n"/>
      <c r="M549" s="32" t="n"/>
      <c r="N549" s="32" t="n"/>
      <c r="O549" s="32" t="n"/>
      <c r="P549" s="32" t="n"/>
      <c r="Q549" s="32" t="n"/>
      <c r="U549" s="31">
        <f>IF($A549="","",SUM(X549:AE549))</f>
        <v/>
      </c>
      <c r="V549" s="31">
        <f>IF($A549="","",IF($H549&lt;&gt;"Ausgabe",0,-$E549-$U549))</f>
        <v/>
      </c>
      <c r="W549" s="33">
        <f>IF($A549="","",DATE(YEAR($A549),MONTH($A549),1))</f>
        <v/>
      </c>
      <c r="X549" s="34">
        <f>IF(OR($A549="",$H549&lt;&gt;"Ausgabe",J549=""),0,IF(J549="x",-$E549/(COUNTIF($J549:$Q549,"x")+1),-$E549*N(J549)))</f>
        <v/>
      </c>
      <c r="Y549" s="34">
        <f>IF(OR($A549="",$H549&lt;&gt;"Ausgabe",K549=""),0,IF(K549="x",-$E549/(COUNTIF($J549:$Q549,"x")+1),-$E549*N(K549)))</f>
        <v/>
      </c>
      <c r="Z549" s="34">
        <f>IF(OR($A549="",$H549&lt;&gt;"Ausgabe",L549=""),0,IF(L549="x",-$E549/(COUNTIF($J549:$Q549,"x")+1),-$E549*N(L549)))</f>
        <v/>
      </c>
      <c r="AA549" s="34">
        <f>IF(OR($A549="",$H549&lt;&gt;"Ausgabe",M549=""),0,IF(M549="x",-$E549/(COUNTIF($J549:$Q549,"x")+1),-$E549*N(M549)))</f>
        <v/>
      </c>
      <c r="AB549" s="34">
        <f>IF(OR($A549="",$H549&lt;&gt;"Ausgabe",N549=""),0,IF(N549="x",-$E549/(COUNTIF($J549:$Q549,"x")+1),-$E549*N(N549)))</f>
        <v/>
      </c>
      <c r="AC549" s="34">
        <f>IF(OR($A549="",$H549&lt;&gt;"Ausgabe",O549=""),0,IF(O549="x",-$E549/(COUNTIF($J549:$Q549,"x")+1),-$E549*N(O549)))</f>
        <v/>
      </c>
      <c r="AD549" s="34">
        <f>IF(OR($A549="",$H549&lt;&gt;"Ausgabe",P549=""),0,IF(P549="x",-$E549/(COUNTIF($J549:$Q549,"x")+1),-$E549*N(P549)))</f>
        <v/>
      </c>
      <c r="AE549" s="34">
        <f>IF(OR($A549="",$H549&lt;&gt;"Ausgabe",Q549=""),0,IF(Q549="x",-$E549/(COUNTIF($J549:$Q549,"x")+1),-$E549*N(Q549)))</f>
        <v/>
      </c>
    </row>
    <row r="550">
      <c r="A550" s="30" t="n"/>
      <c r="E550" s="31" t="n"/>
      <c r="J550" s="32" t="n"/>
      <c r="K550" s="32" t="n"/>
      <c r="L550" s="32" t="n"/>
      <c r="M550" s="32" t="n"/>
      <c r="N550" s="32" t="n"/>
      <c r="O550" s="32" t="n"/>
      <c r="P550" s="32" t="n"/>
      <c r="Q550" s="32" t="n"/>
      <c r="U550" s="31">
        <f>IF($A550="","",SUM(X550:AE550))</f>
        <v/>
      </c>
      <c r="V550" s="31">
        <f>IF($A550="","",IF($H550&lt;&gt;"Ausgabe",0,-$E550-$U550))</f>
        <v/>
      </c>
      <c r="W550" s="33">
        <f>IF($A550="","",DATE(YEAR($A550),MONTH($A550),1))</f>
        <v/>
      </c>
      <c r="X550" s="34">
        <f>IF(OR($A550="",$H550&lt;&gt;"Ausgabe",J550=""),0,IF(J550="x",-$E550/(COUNTIF($J550:$Q550,"x")+1),-$E550*N(J550)))</f>
        <v/>
      </c>
      <c r="Y550" s="34">
        <f>IF(OR($A550="",$H550&lt;&gt;"Ausgabe",K550=""),0,IF(K550="x",-$E550/(COUNTIF($J550:$Q550,"x")+1),-$E550*N(K550)))</f>
        <v/>
      </c>
      <c r="Z550" s="34">
        <f>IF(OR($A550="",$H550&lt;&gt;"Ausgabe",L550=""),0,IF(L550="x",-$E550/(COUNTIF($J550:$Q550,"x")+1),-$E550*N(L550)))</f>
        <v/>
      </c>
      <c r="AA550" s="34">
        <f>IF(OR($A550="",$H550&lt;&gt;"Ausgabe",M550=""),0,IF(M550="x",-$E550/(COUNTIF($J550:$Q550,"x")+1),-$E550*N(M550)))</f>
        <v/>
      </c>
      <c r="AB550" s="34">
        <f>IF(OR($A550="",$H550&lt;&gt;"Ausgabe",N550=""),0,IF(N550="x",-$E550/(COUNTIF($J550:$Q550,"x")+1),-$E550*N(N550)))</f>
        <v/>
      </c>
      <c r="AC550" s="34">
        <f>IF(OR($A550="",$H550&lt;&gt;"Ausgabe",O550=""),0,IF(O550="x",-$E550/(COUNTIF($J550:$Q550,"x")+1),-$E550*N(O550)))</f>
        <v/>
      </c>
      <c r="AD550" s="34">
        <f>IF(OR($A550="",$H550&lt;&gt;"Ausgabe",P550=""),0,IF(P550="x",-$E550/(COUNTIF($J550:$Q550,"x")+1),-$E550*N(P550)))</f>
        <v/>
      </c>
      <c r="AE550" s="34">
        <f>IF(OR($A550="",$H550&lt;&gt;"Ausgabe",Q550=""),0,IF(Q550="x",-$E550/(COUNTIF($J550:$Q550,"x")+1),-$E550*N(Q550)))</f>
        <v/>
      </c>
    </row>
    <row r="551">
      <c r="A551" s="30" t="n"/>
      <c r="E551" s="31" t="n"/>
      <c r="J551" s="32" t="n"/>
      <c r="K551" s="32" t="n"/>
      <c r="L551" s="32" t="n"/>
      <c r="M551" s="32" t="n"/>
      <c r="N551" s="32" t="n"/>
      <c r="O551" s="32" t="n"/>
      <c r="P551" s="32" t="n"/>
      <c r="Q551" s="32" t="n"/>
      <c r="U551" s="31">
        <f>IF($A551="","",SUM(X551:AE551))</f>
        <v/>
      </c>
      <c r="V551" s="31">
        <f>IF($A551="","",IF($H551&lt;&gt;"Ausgabe",0,-$E551-$U551))</f>
        <v/>
      </c>
      <c r="W551" s="33">
        <f>IF($A551="","",DATE(YEAR($A551),MONTH($A551),1))</f>
        <v/>
      </c>
      <c r="X551" s="34">
        <f>IF(OR($A551="",$H551&lt;&gt;"Ausgabe",J551=""),0,IF(J551="x",-$E551/(COUNTIF($J551:$Q551,"x")+1),-$E551*N(J551)))</f>
        <v/>
      </c>
      <c r="Y551" s="34">
        <f>IF(OR($A551="",$H551&lt;&gt;"Ausgabe",K551=""),0,IF(K551="x",-$E551/(COUNTIF($J551:$Q551,"x")+1),-$E551*N(K551)))</f>
        <v/>
      </c>
      <c r="Z551" s="34">
        <f>IF(OR($A551="",$H551&lt;&gt;"Ausgabe",L551=""),0,IF(L551="x",-$E551/(COUNTIF($J551:$Q551,"x")+1),-$E551*N(L551)))</f>
        <v/>
      </c>
      <c r="AA551" s="34">
        <f>IF(OR($A551="",$H551&lt;&gt;"Ausgabe",M551=""),0,IF(M551="x",-$E551/(COUNTIF($J551:$Q551,"x")+1),-$E551*N(M551)))</f>
        <v/>
      </c>
      <c r="AB551" s="34">
        <f>IF(OR($A551="",$H551&lt;&gt;"Ausgabe",N551=""),0,IF(N551="x",-$E551/(COUNTIF($J551:$Q551,"x")+1),-$E551*N(N551)))</f>
        <v/>
      </c>
      <c r="AC551" s="34">
        <f>IF(OR($A551="",$H551&lt;&gt;"Ausgabe",O551=""),0,IF(O551="x",-$E551/(COUNTIF($J551:$Q551,"x")+1),-$E551*N(O551)))</f>
        <v/>
      </c>
      <c r="AD551" s="34">
        <f>IF(OR($A551="",$H551&lt;&gt;"Ausgabe",P551=""),0,IF(P551="x",-$E551/(COUNTIF($J551:$Q551,"x")+1),-$E551*N(P551)))</f>
        <v/>
      </c>
      <c r="AE551" s="34">
        <f>IF(OR($A551="",$H551&lt;&gt;"Ausgabe",Q551=""),0,IF(Q551="x",-$E551/(COUNTIF($J551:$Q551,"x")+1),-$E551*N(Q551)))</f>
        <v/>
      </c>
    </row>
    <row r="552">
      <c r="A552" s="30" t="n"/>
      <c r="E552" s="31" t="n"/>
      <c r="J552" s="32" t="n"/>
      <c r="K552" s="32" t="n"/>
      <c r="L552" s="32" t="n"/>
      <c r="M552" s="32" t="n"/>
      <c r="N552" s="32" t="n"/>
      <c r="O552" s="32" t="n"/>
      <c r="P552" s="32" t="n"/>
      <c r="Q552" s="32" t="n"/>
      <c r="U552" s="31">
        <f>IF($A552="","",SUM(X552:AE552))</f>
        <v/>
      </c>
      <c r="V552" s="31">
        <f>IF($A552="","",IF($H552&lt;&gt;"Ausgabe",0,-$E552-$U552))</f>
        <v/>
      </c>
      <c r="W552" s="33">
        <f>IF($A552="","",DATE(YEAR($A552),MONTH($A552),1))</f>
        <v/>
      </c>
      <c r="X552" s="34">
        <f>IF(OR($A552="",$H552&lt;&gt;"Ausgabe",J552=""),0,IF(J552="x",-$E552/(COUNTIF($J552:$Q552,"x")+1),-$E552*N(J552)))</f>
        <v/>
      </c>
      <c r="Y552" s="34">
        <f>IF(OR($A552="",$H552&lt;&gt;"Ausgabe",K552=""),0,IF(K552="x",-$E552/(COUNTIF($J552:$Q552,"x")+1),-$E552*N(K552)))</f>
        <v/>
      </c>
      <c r="Z552" s="34">
        <f>IF(OR($A552="",$H552&lt;&gt;"Ausgabe",L552=""),0,IF(L552="x",-$E552/(COUNTIF($J552:$Q552,"x")+1),-$E552*N(L552)))</f>
        <v/>
      </c>
      <c r="AA552" s="34">
        <f>IF(OR($A552="",$H552&lt;&gt;"Ausgabe",M552=""),0,IF(M552="x",-$E552/(COUNTIF($J552:$Q552,"x")+1),-$E552*N(M552)))</f>
        <v/>
      </c>
      <c r="AB552" s="34">
        <f>IF(OR($A552="",$H552&lt;&gt;"Ausgabe",N552=""),0,IF(N552="x",-$E552/(COUNTIF($J552:$Q552,"x")+1),-$E552*N(N552)))</f>
        <v/>
      </c>
      <c r="AC552" s="34">
        <f>IF(OR($A552="",$H552&lt;&gt;"Ausgabe",O552=""),0,IF(O552="x",-$E552/(COUNTIF($J552:$Q552,"x")+1),-$E552*N(O552)))</f>
        <v/>
      </c>
      <c r="AD552" s="34">
        <f>IF(OR($A552="",$H552&lt;&gt;"Ausgabe",P552=""),0,IF(P552="x",-$E552/(COUNTIF($J552:$Q552,"x")+1),-$E552*N(P552)))</f>
        <v/>
      </c>
      <c r="AE552" s="34">
        <f>IF(OR($A552="",$H552&lt;&gt;"Ausgabe",Q552=""),0,IF(Q552="x",-$E552/(COUNTIF($J552:$Q552,"x")+1),-$E552*N(Q552)))</f>
        <v/>
      </c>
    </row>
    <row r="553">
      <c r="A553" s="30" t="n"/>
      <c r="E553" s="31" t="n"/>
      <c r="J553" s="32" t="n"/>
      <c r="K553" s="32" t="n"/>
      <c r="L553" s="32" t="n"/>
      <c r="M553" s="32" t="n"/>
      <c r="N553" s="32" t="n"/>
      <c r="O553" s="32" t="n"/>
      <c r="P553" s="32" t="n"/>
      <c r="Q553" s="32" t="n"/>
      <c r="U553" s="31">
        <f>IF($A553="","",SUM(X553:AE553))</f>
        <v/>
      </c>
      <c r="V553" s="31">
        <f>IF($A553="","",IF($H553&lt;&gt;"Ausgabe",0,-$E553-$U553))</f>
        <v/>
      </c>
      <c r="W553" s="33">
        <f>IF($A553="","",DATE(YEAR($A553),MONTH($A553),1))</f>
        <v/>
      </c>
      <c r="X553" s="34">
        <f>IF(OR($A553="",$H553&lt;&gt;"Ausgabe",J553=""),0,IF(J553="x",-$E553/(COUNTIF($J553:$Q553,"x")+1),-$E553*N(J553)))</f>
        <v/>
      </c>
      <c r="Y553" s="34">
        <f>IF(OR($A553="",$H553&lt;&gt;"Ausgabe",K553=""),0,IF(K553="x",-$E553/(COUNTIF($J553:$Q553,"x")+1),-$E553*N(K553)))</f>
        <v/>
      </c>
      <c r="Z553" s="34">
        <f>IF(OR($A553="",$H553&lt;&gt;"Ausgabe",L553=""),0,IF(L553="x",-$E553/(COUNTIF($J553:$Q553,"x")+1),-$E553*N(L553)))</f>
        <v/>
      </c>
      <c r="AA553" s="34">
        <f>IF(OR($A553="",$H553&lt;&gt;"Ausgabe",M553=""),0,IF(M553="x",-$E553/(COUNTIF($J553:$Q553,"x")+1),-$E553*N(M553)))</f>
        <v/>
      </c>
      <c r="AB553" s="34">
        <f>IF(OR($A553="",$H553&lt;&gt;"Ausgabe",N553=""),0,IF(N553="x",-$E553/(COUNTIF($J553:$Q553,"x")+1),-$E553*N(N553)))</f>
        <v/>
      </c>
      <c r="AC553" s="34">
        <f>IF(OR($A553="",$H553&lt;&gt;"Ausgabe",O553=""),0,IF(O553="x",-$E553/(COUNTIF($J553:$Q553,"x")+1),-$E553*N(O553)))</f>
        <v/>
      </c>
      <c r="AD553" s="34">
        <f>IF(OR($A553="",$H553&lt;&gt;"Ausgabe",P553=""),0,IF(P553="x",-$E553/(COUNTIF($J553:$Q553,"x")+1),-$E553*N(P553)))</f>
        <v/>
      </c>
      <c r="AE553" s="34">
        <f>IF(OR($A553="",$H553&lt;&gt;"Ausgabe",Q553=""),0,IF(Q553="x",-$E553/(COUNTIF($J553:$Q553,"x")+1),-$E553*N(Q553)))</f>
        <v/>
      </c>
    </row>
    <row r="554">
      <c r="A554" s="30" t="n"/>
      <c r="E554" s="31" t="n"/>
      <c r="J554" s="32" t="n"/>
      <c r="K554" s="32" t="n"/>
      <c r="L554" s="32" t="n"/>
      <c r="M554" s="32" t="n"/>
      <c r="N554" s="32" t="n"/>
      <c r="O554" s="32" t="n"/>
      <c r="P554" s="32" t="n"/>
      <c r="Q554" s="32" t="n"/>
      <c r="U554" s="31">
        <f>IF($A554="","",SUM(X554:AE554))</f>
        <v/>
      </c>
      <c r="V554" s="31">
        <f>IF($A554="","",IF($H554&lt;&gt;"Ausgabe",0,-$E554-$U554))</f>
        <v/>
      </c>
      <c r="W554" s="33">
        <f>IF($A554="","",DATE(YEAR($A554),MONTH($A554),1))</f>
        <v/>
      </c>
      <c r="X554" s="34">
        <f>IF(OR($A554="",$H554&lt;&gt;"Ausgabe",J554=""),0,IF(J554="x",-$E554/(COUNTIF($J554:$Q554,"x")+1),-$E554*N(J554)))</f>
        <v/>
      </c>
      <c r="Y554" s="34">
        <f>IF(OR($A554="",$H554&lt;&gt;"Ausgabe",K554=""),0,IF(K554="x",-$E554/(COUNTIF($J554:$Q554,"x")+1),-$E554*N(K554)))</f>
        <v/>
      </c>
      <c r="Z554" s="34">
        <f>IF(OR($A554="",$H554&lt;&gt;"Ausgabe",L554=""),0,IF(L554="x",-$E554/(COUNTIF($J554:$Q554,"x")+1),-$E554*N(L554)))</f>
        <v/>
      </c>
      <c r="AA554" s="34">
        <f>IF(OR($A554="",$H554&lt;&gt;"Ausgabe",M554=""),0,IF(M554="x",-$E554/(COUNTIF($J554:$Q554,"x")+1),-$E554*N(M554)))</f>
        <v/>
      </c>
      <c r="AB554" s="34">
        <f>IF(OR($A554="",$H554&lt;&gt;"Ausgabe",N554=""),0,IF(N554="x",-$E554/(COUNTIF($J554:$Q554,"x")+1),-$E554*N(N554)))</f>
        <v/>
      </c>
      <c r="AC554" s="34">
        <f>IF(OR($A554="",$H554&lt;&gt;"Ausgabe",O554=""),0,IF(O554="x",-$E554/(COUNTIF($J554:$Q554,"x")+1),-$E554*N(O554)))</f>
        <v/>
      </c>
      <c r="AD554" s="34">
        <f>IF(OR($A554="",$H554&lt;&gt;"Ausgabe",P554=""),0,IF(P554="x",-$E554/(COUNTIF($J554:$Q554,"x")+1),-$E554*N(P554)))</f>
        <v/>
      </c>
      <c r="AE554" s="34">
        <f>IF(OR($A554="",$H554&lt;&gt;"Ausgabe",Q554=""),0,IF(Q554="x",-$E554/(COUNTIF($J554:$Q554,"x")+1),-$E554*N(Q554)))</f>
        <v/>
      </c>
    </row>
    <row r="555">
      <c r="A555" s="30" t="n"/>
      <c r="E555" s="31" t="n"/>
      <c r="J555" s="32" t="n"/>
      <c r="K555" s="32" t="n"/>
      <c r="L555" s="32" t="n"/>
      <c r="M555" s="32" t="n"/>
      <c r="N555" s="32" t="n"/>
      <c r="O555" s="32" t="n"/>
      <c r="P555" s="32" t="n"/>
      <c r="Q555" s="32" t="n"/>
      <c r="U555" s="31">
        <f>IF($A555="","",SUM(X555:AE555))</f>
        <v/>
      </c>
      <c r="V555" s="31">
        <f>IF($A555="","",IF($H555&lt;&gt;"Ausgabe",0,-$E555-$U555))</f>
        <v/>
      </c>
      <c r="W555" s="33">
        <f>IF($A555="","",DATE(YEAR($A555),MONTH($A555),1))</f>
        <v/>
      </c>
      <c r="X555" s="34">
        <f>IF(OR($A555="",$H555&lt;&gt;"Ausgabe",J555=""),0,IF(J555="x",-$E555/(COUNTIF($J555:$Q555,"x")+1),-$E555*N(J555)))</f>
        <v/>
      </c>
      <c r="Y555" s="34">
        <f>IF(OR($A555="",$H555&lt;&gt;"Ausgabe",K555=""),0,IF(K555="x",-$E555/(COUNTIF($J555:$Q555,"x")+1),-$E555*N(K555)))</f>
        <v/>
      </c>
      <c r="Z555" s="34">
        <f>IF(OR($A555="",$H555&lt;&gt;"Ausgabe",L555=""),0,IF(L555="x",-$E555/(COUNTIF($J555:$Q555,"x")+1),-$E555*N(L555)))</f>
        <v/>
      </c>
      <c r="AA555" s="34">
        <f>IF(OR($A555="",$H555&lt;&gt;"Ausgabe",M555=""),0,IF(M555="x",-$E555/(COUNTIF($J555:$Q555,"x")+1),-$E555*N(M555)))</f>
        <v/>
      </c>
      <c r="AB555" s="34">
        <f>IF(OR($A555="",$H555&lt;&gt;"Ausgabe",N555=""),0,IF(N555="x",-$E555/(COUNTIF($J555:$Q555,"x")+1),-$E555*N(N555)))</f>
        <v/>
      </c>
      <c r="AC555" s="34">
        <f>IF(OR($A555="",$H555&lt;&gt;"Ausgabe",O555=""),0,IF(O555="x",-$E555/(COUNTIF($J555:$Q555,"x")+1),-$E555*N(O555)))</f>
        <v/>
      </c>
      <c r="AD555" s="34">
        <f>IF(OR($A555="",$H555&lt;&gt;"Ausgabe",P555=""),0,IF(P555="x",-$E555/(COUNTIF($J555:$Q555,"x")+1),-$E555*N(P555)))</f>
        <v/>
      </c>
      <c r="AE555" s="34">
        <f>IF(OR($A555="",$H555&lt;&gt;"Ausgabe",Q555=""),0,IF(Q555="x",-$E555/(COUNTIF($J555:$Q555,"x")+1),-$E555*N(Q555)))</f>
        <v/>
      </c>
    </row>
    <row r="556">
      <c r="A556" s="30" t="n"/>
      <c r="E556" s="31" t="n"/>
      <c r="J556" s="32" t="n"/>
      <c r="K556" s="32" t="n"/>
      <c r="L556" s="32" t="n"/>
      <c r="M556" s="32" t="n"/>
      <c r="N556" s="32" t="n"/>
      <c r="O556" s="32" t="n"/>
      <c r="P556" s="32" t="n"/>
      <c r="Q556" s="32" t="n"/>
      <c r="U556" s="31">
        <f>IF($A556="","",SUM(X556:AE556))</f>
        <v/>
      </c>
      <c r="V556" s="31">
        <f>IF($A556="","",IF($H556&lt;&gt;"Ausgabe",0,-$E556-$U556))</f>
        <v/>
      </c>
      <c r="W556" s="33">
        <f>IF($A556="","",DATE(YEAR($A556),MONTH($A556),1))</f>
        <v/>
      </c>
      <c r="X556" s="34">
        <f>IF(OR($A556="",$H556&lt;&gt;"Ausgabe",J556=""),0,IF(J556="x",-$E556/(COUNTIF($J556:$Q556,"x")+1),-$E556*N(J556)))</f>
        <v/>
      </c>
      <c r="Y556" s="34">
        <f>IF(OR($A556="",$H556&lt;&gt;"Ausgabe",K556=""),0,IF(K556="x",-$E556/(COUNTIF($J556:$Q556,"x")+1),-$E556*N(K556)))</f>
        <v/>
      </c>
      <c r="Z556" s="34">
        <f>IF(OR($A556="",$H556&lt;&gt;"Ausgabe",L556=""),0,IF(L556="x",-$E556/(COUNTIF($J556:$Q556,"x")+1),-$E556*N(L556)))</f>
        <v/>
      </c>
      <c r="AA556" s="34">
        <f>IF(OR($A556="",$H556&lt;&gt;"Ausgabe",M556=""),0,IF(M556="x",-$E556/(COUNTIF($J556:$Q556,"x")+1),-$E556*N(M556)))</f>
        <v/>
      </c>
      <c r="AB556" s="34">
        <f>IF(OR($A556="",$H556&lt;&gt;"Ausgabe",N556=""),0,IF(N556="x",-$E556/(COUNTIF($J556:$Q556,"x")+1),-$E556*N(N556)))</f>
        <v/>
      </c>
      <c r="AC556" s="34">
        <f>IF(OR($A556="",$H556&lt;&gt;"Ausgabe",O556=""),0,IF(O556="x",-$E556/(COUNTIF($J556:$Q556,"x")+1),-$E556*N(O556)))</f>
        <v/>
      </c>
      <c r="AD556" s="34">
        <f>IF(OR($A556="",$H556&lt;&gt;"Ausgabe",P556=""),0,IF(P556="x",-$E556/(COUNTIF($J556:$Q556,"x")+1),-$E556*N(P556)))</f>
        <v/>
      </c>
      <c r="AE556" s="34">
        <f>IF(OR($A556="",$H556&lt;&gt;"Ausgabe",Q556=""),0,IF(Q556="x",-$E556/(COUNTIF($J556:$Q556,"x")+1),-$E556*N(Q556)))</f>
        <v/>
      </c>
    </row>
    <row r="557">
      <c r="A557" s="30" t="n"/>
      <c r="E557" s="31" t="n"/>
      <c r="J557" s="32" t="n"/>
      <c r="K557" s="32" t="n"/>
      <c r="L557" s="32" t="n"/>
      <c r="M557" s="32" t="n"/>
      <c r="N557" s="32" t="n"/>
      <c r="O557" s="32" t="n"/>
      <c r="P557" s="32" t="n"/>
      <c r="Q557" s="32" t="n"/>
      <c r="U557" s="31">
        <f>IF($A557="","",SUM(X557:AE557))</f>
        <v/>
      </c>
      <c r="V557" s="31">
        <f>IF($A557="","",IF($H557&lt;&gt;"Ausgabe",0,-$E557-$U557))</f>
        <v/>
      </c>
      <c r="W557" s="33">
        <f>IF($A557="","",DATE(YEAR($A557),MONTH($A557),1))</f>
        <v/>
      </c>
      <c r="X557" s="34">
        <f>IF(OR($A557="",$H557&lt;&gt;"Ausgabe",J557=""),0,IF(J557="x",-$E557/(COUNTIF($J557:$Q557,"x")+1),-$E557*N(J557)))</f>
        <v/>
      </c>
      <c r="Y557" s="34">
        <f>IF(OR($A557="",$H557&lt;&gt;"Ausgabe",K557=""),0,IF(K557="x",-$E557/(COUNTIF($J557:$Q557,"x")+1),-$E557*N(K557)))</f>
        <v/>
      </c>
      <c r="Z557" s="34">
        <f>IF(OR($A557="",$H557&lt;&gt;"Ausgabe",L557=""),0,IF(L557="x",-$E557/(COUNTIF($J557:$Q557,"x")+1),-$E557*N(L557)))</f>
        <v/>
      </c>
      <c r="AA557" s="34">
        <f>IF(OR($A557="",$H557&lt;&gt;"Ausgabe",M557=""),0,IF(M557="x",-$E557/(COUNTIF($J557:$Q557,"x")+1),-$E557*N(M557)))</f>
        <v/>
      </c>
      <c r="AB557" s="34">
        <f>IF(OR($A557="",$H557&lt;&gt;"Ausgabe",N557=""),0,IF(N557="x",-$E557/(COUNTIF($J557:$Q557,"x")+1),-$E557*N(N557)))</f>
        <v/>
      </c>
      <c r="AC557" s="34">
        <f>IF(OR($A557="",$H557&lt;&gt;"Ausgabe",O557=""),0,IF(O557="x",-$E557/(COUNTIF($J557:$Q557,"x")+1),-$E557*N(O557)))</f>
        <v/>
      </c>
      <c r="AD557" s="34">
        <f>IF(OR($A557="",$H557&lt;&gt;"Ausgabe",P557=""),0,IF(P557="x",-$E557/(COUNTIF($J557:$Q557,"x")+1),-$E557*N(P557)))</f>
        <v/>
      </c>
      <c r="AE557" s="34">
        <f>IF(OR($A557="",$H557&lt;&gt;"Ausgabe",Q557=""),0,IF(Q557="x",-$E557/(COUNTIF($J557:$Q557,"x")+1),-$E557*N(Q557)))</f>
        <v/>
      </c>
    </row>
    <row r="558">
      <c r="A558" s="30" t="n"/>
      <c r="E558" s="31" t="n"/>
      <c r="J558" s="32" t="n"/>
      <c r="K558" s="32" t="n"/>
      <c r="L558" s="32" t="n"/>
      <c r="M558" s="32" t="n"/>
      <c r="N558" s="32" t="n"/>
      <c r="O558" s="32" t="n"/>
      <c r="P558" s="32" t="n"/>
      <c r="Q558" s="32" t="n"/>
      <c r="U558" s="31">
        <f>IF($A558="","",SUM(X558:AE558))</f>
        <v/>
      </c>
      <c r="V558" s="31">
        <f>IF($A558="","",IF($H558&lt;&gt;"Ausgabe",0,-$E558-$U558))</f>
        <v/>
      </c>
      <c r="W558" s="33">
        <f>IF($A558="","",DATE(YEAR($A558),MONTH($A558),1))</f>
        <v/>
      </c>
      <c r="X558" s="34">
        <f>IF(OR($A558="",$H558&lt;&gt;"Ausgabe",J558=""),0,IF(J558="x",-$E558/(COUNTIF($J558:$Q558,"x")+1),-$E558*N(J558)))</f>
        <v/>
      </c>
      <c r="Y558" s="34">
        <f>IF(OR($A558="",$H558&lt;&gt;"Ausgabe",K558=""),0,IF(K558="x",-$E558/(COUNTIF($J558:$Q558,"x")+1),-$E558*N(K558)))</f>
        <v/>
      </c>
      <c r="Z558" s="34">
        <f>IF(OR($A558="",$H558&lt;&gt;"Ausgabe",L558=""),0,IF(L558="x",-$E558/(COUNTIF($J558:$Q558,"x")+1),-$E558*N(L558)))</f>
        <v/>
      </c>
      <c r="AA558" s="34">
        <f>IF(OR($A558="",$H558&lt;&gt;"Ausgabe",M558=""),0,IF(M558="x",-$E558/(COUNTIF($J558:$Q558,"x")+1),-$E558*N(M558)))</f>
        <v/>
      </c>
      <c r="AB558" s="34">
        <f>IF(OR($A558="",$H558&lt;&gt;"Ausgabe",N558=""),0,IF(N558="x",-$E558/(COUNTIF($J558:$Q558,"x")+1),-$E558*N(N558)))</f>
        <v/>
      </c>
      <c r="AC558" s="34">
        <f>IF(OR($A558="",$H558&lt;&gt;"Ausgabe",O558=""),0,IF(O558="x",-$E558/(COUNTIF($J558:$Q558,"x")+1),-$E558*N(O558)))</f>
        <v/>
      </c>
      <c r="AD558" s="34">
        <f>IF(OR($A558="",$H558&lt;&gt;"Ausgabe",P558=""),0,IF(P558="x",-$E558/(COUNTIF($J558:$Q558,"x")+1),-$E558*N(P558)))</f>
        <v/>
      </c>
      <c r="AE558" s="34">
        <f>IF(OR($A558="",$H558&lt;&gt;"Ausgabe",Q558=""),0,IF(Q558="x",-$E558/(COUNTIF($J558:$Q558,"x")+1),-$E558*N(Q558)))</f>
        <v/>
      </c>
    </row>
    <row r="559">
      <c r="A559" s="30" t="n"/>
      <c r="E559" s="31" t="n"/>
      <c r="J559" s="32" t="n"/>
      <c r="K559" s="32" t="n"/>
      <c r="L559" s="32" t="n"/>
      <c r="M559" s="32" t="n"/>
      <c r="N559" s="32" t="n"/>
      <c r="O559" s="32" t="n"/>
      <c r="P559" s="32" t="n"/>
      <c r="Q559" s="32" t="n"/>
      <c r="U559" s="31">
        <f>IF($A559="","",SUM(X559:AE559))</f>
        <v/>
      </c>
      <c r="V559" s="31">
        <f>IF($A559="","",IF($H559&lt;&gt;"Ausgabe",0,-$E559-$U559))</f>
        <v/>
      </c>
      <c r="W559" s="33">
        <f>IF($A559="","",DATE(YEAR($A559),MONTH($A559),1))</f>
        <v/>
      </c>
      <c r="X559" s="34">
        <f>IF(OR($A559="",$H559&lt;&gt;"Ausgabe",J559=""),0,IF(J559="x",-$E559/(COUNTIF($J559:$Q559,"x")+1),-$E559*N(J559)))</f>
        <v/>
      </c>
      <c r="Y559" s="34">
        <f>IF(OR($A559="",$H559&lt;&gt;"Ausgabe",K559=""),0,IF(K559="x",-$E559/(COUNTIF($J559:$Q559,"x")+1),-$E559*N(K559)))</f>
        <v/>
      </c>
      <c r="Z559" s="34">
        <f>IF(OR($A559="",$H559&lt;&gt;"Ausgabe",L559=""),0,IF(L559="x",-$E559/(COUNTIF($J559:$Q559,"x")+1),-$E559*N(L559)))</f>
        <v/>
      </c>
      <c r="AA559" s="34">
        <f>IF(OR($A559="",$H559&lt;&gt;"Ausgabe",M559=""),0,IF(M559="x",-$E559/(COUNTIF($J559:$Q559,"x")+1),-$E559*N(M559)))</f>
        <v/>
      </c>
      <c r="AB559" s="34">
        <f>IF(OR($A559="",$H559&lt;&gt;"Ausgabe",N559=""),0,IF(N559="x",-$E559/(COUNTIF($J559:$Q559,"x")+1),-$E559*N(N559)))</f>
        <v/>
      </c>
      <c r="AC559" s="34">
        <f>IF(OR($A559="",$H559&lt;&gt;"Ausgabe",O559=""),0,IF(O559="x",-$E559/(COUNTIF($J559:$Q559,"x")+1),-$E559*N(O559)))</f>
        <v/>
      </c>
      <c r="AD559" s="34">
        <f>IF(OR($A559="",$H559&lt;&gt;"Ausgabe",P559=""),0,IF(P559="x",-$E559/(COUNTIF($J559:$Q559,"x")+1),-$E559*N(P559)))</f>
        <v/>
      </c>
      <c r="AE559" s="34">
        <f>IF(OR($A559="",$H559&lt;&gt;"Ausgabe",Q559=""),0,IF(Q559="x",-$E559/(COUNTIF($J559:$Q559,"x")+1),-$E559*N(Q559)))</f>
        <v/>
      </c>
    </row>
    <row r="560">
      <c r="A560" s="30" t="n"/>
      <c r="E560" s="31" t="n"/>
      <c r="J560" s="32" t="n"/>
      <c r="K560" s="32" t="n"/>
      <c r="L560" s="32" t="n"/>
      <c r="M560" s="32" t="n"/>
      <c r="N560" s="32" t="n"/>
      <c r="O560" s="32" t="n"/>
      <c r="P560" s="32" t="n"/>
      <c r="Q560" s="32" t="n"/>
      <c r="U560" s="31">
        <f>IF($A560="","",SUM(X560:AE560))</f>
        <v/>
      </c>
      <c r="V560" s="31">
        <f>IF($A560="","",IF($H560&lt;&gt;"Ausgabe",0,-$E560-$U560))</f>
        <v/>
      </c>
      <c r="W560" s="33">
        <f>IF($A560="","",DATE(YEAR($A560),MONTH($A560),1))</f>
        <v/>
      </c>
      <c r="X560" s="34">
        <f>IF(OR($A560="",$H560&lt;&gt;"Ausgabe",J560=""),0,IF(J560="x",-$E560/(COUNTIF($J560:$Q560,"x")+1),-$E560*N(J560)))</f>
        <v/>
      </c>
      <c r="Y560" s="34">
        <f>IF(OR($A560="",$H560&lt;&gt;"Ausgabe",K560=""),0,IF(K560="x",-$E560/(COUNTIF($J560:$Q560,"x")+1),-$E560*N(K560)))</f>
        <v/>
      </c>
      <c r="Z560" s="34">
        <f>IF(OR($A560="",$H560&lt;&gt;"Ausgabe",L560=""),0,IF(L560="x",-$E560/(COUNTIF($J560:$Q560,"x")+1),-$E560*N(L560)))</f>
        <v/>
      </c>
      <c r="AA560" s="34">
        <f>IF(OR($A560="",$H560&lt;&gt;"Ausgabe",M560=""),0,IF(M560="x",-$E560/(COUNTIF($J560:$Q560,"x")+1),-$E560*N(M560)))</f>
        <v/>
      </c>
      <c r="AB560" s="34">
        <f>IF(OR($A560="",$H560&lt;&gt;"Ausgabe",N560=""),0,IF(N560="x",-$E560/(COUNTIF($J560:$Q560,"x")+1),-$E560*N(N560)))</f>
        <v/>
      </c>
      <c r="AC560" s="34">
        <f>IF(OR($A560="",$H560&lt;&gt;"Ausgabe",O560=""),0,IF(O560="x",-$E560/(COUNTIF($J560:$Q560,"x")+1),-$E560*N(O560)))</f>
        <v/>
      </c>
      <c r="AD560" s="34">
        <f>IF(OR($A560="",$H560&lt;&gt;"Ausgabe",P560=""),0,IF(P560="x",-$E560/(COUNTIF($J560:$Q560,"x")+1),-$E560*N(P560)))</f>
        <v/>
      </c>
      <c r="AE560" s="34">
        <f>IF(OR($A560="",$H560&lt;&gt;"Ausgabe",Q560=""),0,IF(Q560="x",-$E560/(COUNTIF($J560:$Q560,"x")+1),-$E560*N(Q560)))</f>
        <v/>
      </c>
    </row>
    <row r="561">
      <c r="A561" s="30" t="n"/>
      <c r="E561" s="31" t="n"/>
      <c r="J561" s="32" t="n"/>
      <c r="K561" s="32" t="n"/>
      <c r="L561" s="32" t="n"/>
      <c r="M561" s="32" t="n"/>
      <c r="N561" s="32" t="n"/>
      <c r="O561" s="32" t="n"/>
      <c r="P561" s="32" t="n"/>
      <c r="Q561" s="32" t="n"/>
      <c r="U561" s="31">
        <f>IF($A561="","",SUM(X561:AE561))</f>
        <v/>
      </c>
      <c r="V561" s="31">
        <f>IF($A561="","",IF($H561&lt;&gt;"Ausgabe",0,-$E561-$U561))</f>
        <v/>
      </c>
      <c r="W561" s="33">
        <f>IF($A561="","",DATE(YEAR($A561),MONTH($A561),1))</f>
        <v/>
      </c>
      <c r="X561" s="34">
        <f>IF(OR($A561="",$H561&lt;&gt;"Ausgabe",J561=""),0,IF(J561="x",-$E561/(COUNTIF($J561:$Q561,"x")+1),-$E561*N(J561)))</f>
        <v/>
      </c>
      <c r="Y561" s="34">
        <f>IF(OR($A561="",$H561&lt;&gt;"Ausgabe",K561=""),0,IF(K561="x",-$E561/(COUNTIF($J561:$Q561,"x")+1),-$E561*N(K561)))</f>
        <v/>
      </c>
      <c r="Z561" s="34">
        <f>IF(OR($A561="",$H561&lt;&gt;"Ausgabe",L561=""),0,IF(L561="x",-$E561/(COUNTIF($J561:$Q561,"x")+1),-$E561*N(L561)))</f>
        <v/>
      </c>
      <c r="AA561" s="34">
        <f>IF(OR($A561="",$H561&lt;&gt;"Ausgabe",M561=""),0,IF(M561="x",-$E561/(COUNTIF($J561:$Q561,"x")+1),-$E561*N(M561)))</f>
        <v/>
      </c>
      <c r="AB561" s="34">
        <f>IF(OR($A561="",$H561&lt;&gt;"Ausgabe",N561=""),0,IF(N561="x",-$E561/(COUNTIF($J561:$Q561,"x")+1),-$E561*N(N561)))</f>
        <v/>
      </c>
      <c r="AC561" s="34">
        <f>IF(OR($A561="",$H561&lt;&gt;"Ausgabe",O561=""),0,IF(O561="x",-$E561/(COUNTIF($J561:$Q561,"x")+1),-$E561*N(O561)))</f>
        <v/>
      </c>
      <c r="AD561" s="34">
        <f>IF(OR($A561="",$H561&lt;&gt;"Ausgabe",P561=""),0,IF(P561="x",-$E561/(COUNTIF($J561:$Q561,"x")+1),-$E561*N(P561)))</f>
        <v/>
      </c>
      <c r="AE561" s="34">
        <f>IF(OR($A561="",$H561&lt;&gt;"Ausgabe",Q561=""),0,IF(Q561="x",-$E561/(COUNTIF($J561:$Q561,"x")+1),-$E561*N(Q561)))</f>
        <v/>
      </c>
    </row>
    <row r="562">
      <c r="A562" s="30" t="n"/>
      <c r="E562" s="31" t="n"/>
      <c r="J562" s="32" t="n"/>
      <c r="K562" s="32" t="n"/>
      <c r="L562" s="32" t="n"/>
      <c r="M562" s="32" t="n"/>
      <c r="N562" s="32" t="n"/>
      <c r="O562" s="32" t="n"/>
      <c r="P562" s="32" t="n"/>
      <c r="Q562" s="32" t="n"/>
      <c r="U562" s="31">
        <f>IF($A562="","",SUM(X562:AE562))</f>
        <v/>
      </c>
      <c r="V562" s="31">
        <f>IF($A562="","",IF($H562&lt;&gt;"Ausgabe",0,-$E562-$U562))</f>
        <v/>
      </c>
      <c r="W562" s="33">
        <f>IF($A562="","",DATE(YEAR($A562),MONTH($A562),1))</f>
        <v/>
      </c>
      <c r="X562" s="34">
        <f>IF(OR($A562="",$H562&lt;&gt;"Ausgabe",J562=""),0,IF(J562="x",-$E562/(COUNTIF($J562:$Q562,"x")+1),-$E562*N(J562)))</f>
        <v/>
      </c>
      <c r="Y562" s="34">
        <f>IF(OR($A562="",$H562&lt;&gt;"Ausgabe",K562=""),0,IF(K562="x",-$E562/(COUNTIF($J562:$Q562,"x")+1),-$E562*N(K562)))</f>
        <v/>
      </c>
      <c r="Z562" s="34">
        <f>IF(OR($A562="",$H562&lt;&gt;"Ausgabe",L562=""),0,IF(L562="x",-$E562/(COUNTIF($J562:$Q562,"x")+1),-$E562*N(L562)))</f>
        <v/>
      </c>
      <c r="AA562" s="34">
        <f>IF(OR($A562="",$H562&lt;&gt;"Ausgabe",M562=""),0,IF(M562="x",-$E562/(COUNTIF($J562:$Q562,"x")+1),-$E562*N(M562)))</f>
        <v/>
      </c>
      <c r="AB562" s="34">
        <f>IF(OR($A562="",$H562&lt;&gt;"Ausgabe",N562=""),0,IF(N562="x",-$E562/(COUNTIF($J562:$Q562,"x")+1),-$E562*N(N562)))</f>
        <v/>
      </c>
      <c r="AC562" s="34">
        <f>IF(OR($A562="",$H562&lt;&gt;"Ausgabe",O562=""),0,IF(O562="x",-$E562/(COUNTIF($J562:$Q562,"x")+1),-$E562*N(O562)))</f>
        <v/>
      </c>
      <c r="AD562" s="34">
        <f>IF(OR($A562="",$H562&lt;&gt;"Ausgabe",P562=""),0,IF(P562="x",-$E562/(COUNTIF($J562:$Q562,"x")+1),-$E562*N(P562)))</f>
        <v/>
      </c>
      <c r="AE562" s="34">
        <f>IF(OR($A562="",$H562&lt;&gt;"Ausgabe",Q562=""),0,IF(Q562="x",-$E562/(COUNTIF($J562:$Q562,"x")+1),-$E562*N(Q562)))</f>
        <v/>
      </c>
    </row>
    <row r="563">
      <c r="A563" s="30" t="n"/>
      <c r="E563" s="31" t="n"/>
      <c r="J563" s="32" t="n"/>
      <c r="K563" s="32" t="n"/>
      <c r="L563" s="32" t="n"/>
      <c r="M563" s="32" t="n"/>
      <c r="N563" s="32" t="n"/>
      <c r="O563" s="32" t="n"/>
      <c r="P563" s="32" t="n"/>
      <c r="Q563" s="32" t="n"/>
      <c r="U563" s="31">
        <f>IF($A563="","",SUM(X563:AE563))</f>
        <v/>
      </c>
      <c r="V563" s="31">
        <f>IF($A563="","",IF($H563&lt;&gt;"Ausgabe",0,-$E563-$U563))</f>
        <v/>
      </c>
      <c r="W563" s="33">
        <f>IF($A563="","",DATE(YEAR($A563),MONTH($A563),1))</f>
        <v/>
      </c>
      <c r="X563" s="34">
        <f>IF(OR($A563="",$H563&lt;&gt;"Ausgabe",J563=""),0,IF(J563="x",-$E563/(COUNTIF($J563:$Q563,"x")+1),-$E563*N(J563)))</f>
        <v/>
      </c>
      <c r="Y563" s="34">
        <f>IF(OR($A563="",$H563&lt;&gt;"Ausgabe",K563=""),0,IF(K563="x",-$E563/(COUNTIF($J563:$Q563,"x")+1),-$E563*N(K563)))</f>
        <v/>
      </c>
      <c r="Z563" s="34">
        <f>IF(OR($A563="",$H563&lt;&gt;"Ausgabe",L563=""),0,IF(L563="x",-$E563/(COUNTIF($J563:$Q563,"x")+1),-$E563*N(L563)))</f>
        <v/>
      </c>
      <c r="AA563" s="34">
        <f>IF(OR($A563="",$H563&lt;&gt;"Ausgabe",M563=""),0,IF(M563="x",-$E563/(COUNTIF($J563:$Q563,"x")+1),-$E563*N(M563)))</f>
        <v/>
      </c>
      <c r="AB563" s="34">
        <f>IF(OR($A563="",$H563&lt;&gt;"Ausgabe",N563=""),0,IF(N563="x",-$E563/(COUNTIF($J563:$Q563,"x")+1),-$E563*N(N563)))</f>
        <v/>
      </c>
      <c r="AC563" s="34">
        <f>IF(OR($A563="",$H563&lt;&gt;"Ausgabe",O563=""),0,IF(O563="x",-$E563/(COUNTIF($J563:$Q563,"x")+1),-$E563*N(O563)))</f>
        <v/>
      </c>
      <c r="AD563" s="34">
        <f>IF(OR($A563="",$H563&lt;&gt;"Ausgabe",P563=""),0,IF(P563="x",-$E563/(COUNTIF($J563:$Q563,"x")+1),-$E563*N(P563)))</f>
        <v/>
      </c>
      <c r="AE563" s="34">
        <f>IF(OR($A563="",$H563&lt;&gt;"Ausgabe",Q563=""),0,IF(Q563="x",-$E563/(COUNTIF($J563:$Q563,"x")+1),-$E563*N(Q563)))</f>
        <v/>
      </c>
    </row>
    <row r="564">
      <c r="A564" s="30" t="n"/>
      <c r="E564" s="31" t="n"/>
      <c r="J564" s="32" t="n"/>
      <c r="K564" s="32" t="n"/>
      <c r="L564" s="32" t="n"/>
      <c r="M564" s="32" t="n"/>
      <c r="N564" s="32" t="n"/>
      <c r="O564" s="32" t="n"/>
      <c r="P564" s="32" t="n"/>
      <c r="Q564" s="32" t="n"/>
      <c r="U564" s="31">
        <f>IF($A564="","",SUM(X564:AE564))</f>
        <v/>
      </c>
      <c r="V564" s="31">
        <f>IF($A564="","",IF($H564&lt;&gt;"Ausgabe",0,-$E564-$U564))</f>
        <v/>
      </c>
      <c r="W564" s="33">
        <f>IF($A564="","",DATE(YEAR($A564),MONTH($A564),1))</f>
        <v/>
      </c>
      <c r="X564" s="34">
        <f>IF(OR($A564="",$H564&lt;&gt;"Ausgabe",J564=""),0,IF(J564="x",-$E564/(COUNTIF($J564:$Q564,"x")+1),-$E564*N(J564)))</f>
        <v/>
      </c>
      <c r="Y564" s="34">
        <f>IF(OR($A564="",$H564&lt;&gt;"Ausgabe",K564=""),0,IF(K564="x",-$E564/(COUNTIF($J564:$Q564,"x")+1),-$E564*N(K564)))</f>
        <v/>
      </c>
      <c r="Z564" s="34">
        <f>IF(OR($A564="",$H564&lt;&gt;"Ausgabe",L564=""),0,IF(L564="x",-$E564/(COUNTIF($J564:$Q564,"x")+1),-$E564*N(L564)))</f>
        <v/>
      </c>
      <c r="AA564" s="34">
        <f>IF(OR($A564="",$H564&lt;&gt;"Ausgabe",M564=""),0,IF(M564="x",-$E564/(COUNTIF($J564:$Q564,"x")+1),-$E564*N(M564)))</f>
        <v/>
      </c>
      <c r="AB564" s="34">
        <f>IF(OR($A564="",$H564&lt;&gt;"Ausgabe",N564=""),0,IF(N564="x",-$E564/(COUNTIF($J564:$Q564,"x")+1),-$E564*N(N564)))</f>
        <v/>
      </c>
      <c r="AC564" s="34">
        <f>IF(OR($A564="",$H564&lt;&gt;"Ausgabe",O564=""),0,IF(O564="x",-$E564/(COUNTIF($J564:$Q564,"x")+1),-$E564*N(O564)))</f>
        <v/>
      </c>
      <c r="AD564" s="34">
        <f>IF(OR($A564="",$H564&lt;&gt;"Ausgabe",P564=""),0,IF(P564="x",-$E564/(COUNTIF($J564:$Q564,"x")+1),-$E564*N(P564)))</f>
        <v/>
      </c>
      <c r="AE564" s="34">
        <f>IF(OR($A564="",$H564&lt;&gt;"Ausgabe",Q564=""),0,IF(Q564="x",-$E564/(COUNTIF($J564:$Q564,"x")+1),-$E564*N(Q564)))</f>
        <v/>
      </c>
    </row>
    <row r="565">
      <c r="A565" s="30" t="n"/>
      <c r="E565" s="31" t="n"/>
      <c r="J565" s="32" t="n"/>
      <c r="K565" s="32" t="n"/>
      <c r="L565" s="32" t="n"/>
      <c r="M565" s="32" t="n"/>
      <c r="N565" s="32" t="n"/>
      <c r="O565" s="32" t="n"/>
      <c r="P565" s="32" t="n"/>
      <c r="Q565" s="32" t="n"/>
      <c r="U565" s="31">
        <f>IF($A565="","",SUM(X565:AE565))</f>
        <v/>
      </c>
      <c r="V565" s="31">
        <f>IF($A565="","",IF($H565&lt;&gt;"Ausgabe",0,-$E565-$U565))</f>
        <v/>
      </c>
      <c r="W565" s="33">
        <f>IF($A565="","",DATE(YEAR($A565),MONTH($A565),1))</f>
        <v/>
      </c>
      <c r="X565" s="34">
        <f>IF(OR($A565="",$H565&lt;&gt;"Ausgabe",J565=""),0,IF(J565="x",-$E565/(COUNTIF($J565:$Q565,"x")+1),-$E565*N(J565)))</f>
        <v/>
      </c>
      <c r="Y565" s="34">
        <f>IF(OR($A565="",$H565&lt;&gt;"Ausgabe",K565=""),0,IF(K565="x",-$E565/(COUNTIF($J565:$Q565,"x")+1),-$E565*N(K565)))</f>
        <v/>
      </c>
      <c r="Z565" s="34">
        <f>IF(OR($A565="",$H565&lt;&gt;"Ausgabe",L565=""),0,IF(L565="x",-$E565/(COUNTIF($J565:$Q565,"x")+1),-$E565*N(L565)))</f>
        <v/>
      </c>
      <c r="AA565" s="34">
        <f>IF(OR($A565="",$H565&lt;&gt;"Ausgabe",M565=""),0,IF(M565="x",-$E565/(COUNTIF($J565:$Q565,"x")+1),-$E565*N(M565)))</f>
        <v/>
      </c>
      <c r="AB565" s="34">
        <f>IF(OR($A565="",$H565&lt;&gt;"Ausgabe",N565=""),0,IF(N565="x",-$E565/(COUNTIF($J565:$Q565,"x")+1),-$E565*N(N565)))</f>
        <v/>
      </c>
      <c r="AC565" s="34">
        <f>IF(OR($A565="",$H565&lt;&gt;"Ausgabe",O565=""),0,IF(O565="x",-$E565/(COUNTIF($J565:$Q565,"x")+1),-$E565*N(O565)))</f>
        <v/>
      </c>
      <c r="AD565" s="34">
        <f>IF(OR($A565="",$H565&lt;&gt;"Ausgabe",P565=""),0,IF(P565="x",-$E565/(COUNTIF($J565:$Q565,"x")+1),-$E565*N(P565)))</f>
        <v/>
      </c>
      <c r="AE565" s="34">
        <f>IF(OR($A565="",$H565&lt;&gt;"Ausgabe",Q565=""),0,IF(Q565="x",-$E565/(COUNTIF($J565:$Q565,"x")+1),-$E565*N(Q565)))</f>
        <v/>
      </c>
    </row>
    <row r="566">
      <c r="A566" s="30" t="n"/>
      <c r="E566" s="31" t="n"/>
      <c r="J566" s="32" t="n"/>
      <c r="K566" s="32" t="n"/>
      <c r="L566" s="32" t="n"/>
      <c r="M566" s="32" t="n"/>
      <c r="N566" s="32" t="n"/>
      <c r="O566" s="32" t="n"/>
      <c r="P566" s="32" t="n"/>
      <c r="Q566" s="32" t="n"/>
      <c r="U566" s="31">
        <f>IF($A566="","",SUM(X566:AE566))</f>
        <v/>
      </c>
      <c r="V566" s="31">
        <f>IF($A566="","",IF($H566&lt;&gt;"Ausgabe",0,-$E566-$U566))</f>
        <v/>
      </c>
      <c r="W566" s="33">
        <f>IF($A566="","",DATE(YEAR($A566),MONTH($A566),1))</f>
        <v/>
      </c>
      <c r="X566" s="34">
        <f>IF(OR($A566="",$H566&lt;&gt;"Ausgabe",J566=""),0,IF(J566="x",-$E566/(COUNTIF($J566:$Q566,"x")+1),-$E566*N(J566)))</f>
        <v/>
      </c>
      <c r="Y566" s="34">
        <f>IF(OR($A566="",$H566&lt;&gt;"Ausgabe",K566=""),0,IF(K566="x",-$E566/(COUNTIF($J566:$Q566,"x")+1),-$E566*N(K566)))</f>
        <v/>
      </c>
      <c r="Z566" s="34">
        <f>IF(OR($A566="",$H566&lt;&gt;"Ausgabe",L566=""),0,IF(L566="x",-$E566/(COUNTIF($J566:$Q566,"x")+1),-$E566*N(L566)))</f>
        <v/>
      </c>
      <c r="AA566" s="34">
        <f>IF(OR($A566="",$H566&lt;&gt;"Ausgabe",M566=""),0,IF(M566="x",-$E566/(COUNTIF($J566:$Q566,"x")+1),-$E566*N(M566)))</f>
        <v/>
      </c>
      <c r="AB566" s="34">
        <f>IF(OR($A566="",$H566&lt;&gt;"Ausgabe",N566=""),0,IF(N566="x",-$E566/(COUNTIF($J566:$Q566,"x")+1),-$E566*N(N566)))</f>
        <v/>
      </c>
      <c r="AC566" s="34">
        <f>IF(OR($A566="",$H566&lt;&gt;"Ausgabe",O566=""),0,IF(O566="x",-$E566/(COUNTIF($J566:$Q566,"x")+1),-$E566*N(O566)))</f>
        <v/>
      </c>
      <c r="AD566" s="34">
        <f>IF(OR($A566="",$H566&lt;&gt;"Ausgabe",P566=""),0,IF(P566="x",-$E566/(COUNTIF($J566:$Q566,"x")+1),-$E566*N(P566)))</f>
        <v/>
      </c>
      <c r="AE566" s="34">
        <f>IF(OR($A566="",$H566&lt;&gt;"Ausgabe",Q566=""),0,IF(Q566="x",-$E566/(COUNTIF($J566:$Q566,"x")+1),-$E566*N(Q566)))</f>
        <v/>
      </c>
    </row>
    <row r="567">
      <c r="A567" s="30" t="n"/>
      <c r="E567" s="31" t="n"/>
      <c r="J567" s="32" t="n"/>
      <c r="K567" s="32" t="n"/>
      <c r="L567" s="32" t="n"/>
      <c r="M567" s="32" t="n"/>
      <c r="N567" s="32" t="n"/>
      <c r="O567" s="32" t="n"/>
      <c r="P567" s="32" t="n"/>
      <c r="Q567" s="32" t="n"/>
      <c r="U567" s="31">
        <f>IF($A567="","",SUM(X567:AE567))</f>
        <v/>
      </c>
      <c r="V567" s="31">
        <f>IF($A567="","",IF($H567&lt;&gt;"Ausgabe",0,-$E567-$U567))</f>
        <v/>
      </c>
      <c r="W567" s="33">
        <f>IF($A567="","",DATE(YEAR($A567),MONTH($A567),1))</f>
        <v/>
      </c>
      <c r="X567" s="34">
        <f>IF(OR($A567="",$H567&lt;&gt;"Ausgabe",J567=""),0,IF(J567="x",-$E567/(COUNTIF($J567:$Q567,"x")+1),-$E567*N(J567)))</f>
        <v/>
      </c>
      <c r="Y567" s="34">
        <f>IF(OR($A567="",$H567&lt;&gt;"Ausgabe",K567=""),0,IF(K567="x",-$E567/(COUNTIF($J567:$Q567,"x")+1),-$E567*N(K567)))</f>
        <v/>
      </c>
      <c r="Z567" s="34">
        <f>IF(OR($A567="",$H567&lt;&gt;"Ausgabe",L567=""),0,IF(L567="x",-$E567/(COUNTIF($J567:$Q567,"x")+1),-$E567*N(L567)))</f>
        <v/>
      </c>
      <c r="AA567" s="34">
        <f>IF(OR($A567="",$H567&lt;&gt;"Ausgabe",M567=""),0,IF(M567="x",-$E567/(COUNTIF($J567:$Q567,"x")+1),-$E567*N(M567)))</f>
        <v/>
      </c>
      <c r="AB567" s="34">
        <f>IF(OR($A567="",$H567&lt;&gt;"Ausgabe",N567=""),0,IF(N567="x",-$E567/(COUNTIF($J567:$Q567,"x")+1),-$E567*N(N567)))</f>
        <v/>
      </c>
      <c r="AC567" s="34">
        <f>IF(OR($A567="",$H567&lt;&gt;"Ausgabe",O567=""),0,IF(O567="x",-$E567/(COUNTIF($J567:$Q567,"x")+1),-$E567*N(O567)))</f>
        <v/>
      </c>
      <c r="AD567" s="34">
        <f>IF(OR($A567="",$H567&lt;&gt;"Ausgabe",P567=""),0,IF(P567="x",-$E567/(COUNTIF($J567:$Q567,"x")+1),-$E567*N(P567)))</f>
        <v/>
      </c>
      <c r="AE567" s="34">
        <f>IF(OR($A567="",$H567&lt;&gt;"Ausgabe",Q567=""),0,IF(Q567="x",-$E567/(COUNTIF($J567:$Q567,"x")+1),-$E567*N(Q567)))</f>
        <v/>
      </c>
    </row>
    <row r="568">
      <c r="A568" s="30" t="n"/>
      <c r="E568" s="31" t="n"/>
      <c r="J568" s="32" t="n"/>
      <c r="K568" s="32" t="n"/>
      <c r="L568" s="32" t="n"/>
      <c r="M568" s="32" t="n"/>
      <c r="N568" s="32" t="n"/>
      <c r="O568" s="32" t="n"/>
      <c r="P568" s="32" t="n"/>
      <c r="Q568" s="32" t="n"/>
      <c r="U568" s="31">
        <f>IF($A568="","",SUM(X568:AE568))</f>
        <v/>
      </c>
      <c r="V568" s="31">
        <f>IF($A568="","",IF($H568&lt;&gt;"Ausgabe",0,-$E568-$U568))</f>
        <v/>
      </c>
      <c r="W568" s="33">
        <f>IF($A568="","",DATE(YEAR($A568),MONTH($A568),1))</f>
        <v/>
      </c>
      <c r="X568" s="34">
        <f>IF(OR($A568="",$H568&lt;&gt;"Ausgabe",J568=""),0,IF(J568="x",-$E568/(COUNTIF($J568:$Q568,"x")+1),-$E568*N(J568)))</f>
        <v/>
      </c>
      <c r="Y568" s="34">
        <f>IF(OR($A568="",$H568&lt;&gt;"Ausgabe",K568=""),0,IF(K568="x",-$E568/(COUNTIF($J568:$Q568,"x")+1),-$E568*N(K568)))</f>
        <v/>
      </c>
      <c r="Z568" s="34">
        <f>IF(OR($A568="",$H568&lt;&gt;"Ausgabe",L568=""),0,IF(L568="x",-$E568/(COUNTIF($J568:$Q568,"x")+1),-$E568*N(L568)))</f>
        <v/>
      </c>
      <c r="AA568" s="34">
        <f>IF(OR($A568="",$H568&lt;&gt;"Ausgabe",M568=""),0,IF(M568="x",-$E568/(COUNTIF($J568:$Q568,"x")+1),-$E568*N(M568)))</f>
        <v/>
      </c>
      <c r="AB568" s="34">
        <f>IF(OR($A568="",$H568&lt;&gt;"Ausgabe",N568=""),0,IF(N568="x",-$E568/(COUNTIF($J568:$Q568,"x")+1),-$E568*N(N568)))</f>
        <v/>
      </c>
      <c r="AC568" s="34">
        <f>IF(OR($A568="",$H568&lt;&gt;"Ausgabe",O568=""),0,IF(O568="x",-$E568/(COUNTIF($J568:$Q568,"x")+1),-$E568*N(O568)))</f>
        <v/>
      </c>
      <c r="AD568" s="34">
        <f>IF(OR($A568="",$H568&lt;&gt;"Ausgabe",P568=""),0,IF(P568="x",-$E568/(COUNTIF($J568:$Q568,"x")+1),-$E568*N(P568)))</f>
        <v/>
      </c>
      <c r="AE568" s="34">
        <f>IF(OR($A568="",$H568&lt;&gt;"Ausgabe",Q568=""),0,IF(Q568="x",-$E568/(COUNTIF($J568:$Q568,"x")+1),-$E568*N(Q568)))</f>
        <v/>
      </c>
    </row>
    <row r="569">
      <c r="A569" s="30" t="n"/>
      <c r="E569" s="31" t="n"/>
      <c r="J569" s="32" t="n"/>
      <c r="K569" s="32" t="n"/>
      <c r="L569" s="32" t="n"/>
      <c r="M569" s="32" t="n"/>
      <c r="N569" s="32" t="n"/>
      <c r="O569" s="32" t="n"/>
      <c r="P569" s="32" t="n"/>
      <c r="Q569" s="32" t="n"/>
      <c r="U569" s="31">
        <f>IF($A569="","",SUM(X569:AE569))</f>
        <v/>
      </c>
      <c r="V569" s="31">
        <f>IF($A569="","",IF($H569&lt;&gt;"Ausgabe",0,-$E569-$U569))</f>
        <v/>
      </c>
      <c r="W569" s="33">
        <f>IF($A569="","",DATE(YEAR($A569),MONTH($A569),1))</f>
        <v/>
      </c>
      <c r="X569" s="34">
        <f>IF(OR($A569="",$H569&lt;&gt;"Ausgabe",J569=""),0,IF(J569="x",-$E569/(COUNTIF($J569:$Q569,"x")+1),-$E569*N(J569)))</f>
        <v/>
      </c>
      <c r="Y569" s="34">
        <f>IF(OR($A569="",$H569&lt;&gt;"Ausgabe",K569=""),0,IF(K569="x",-$E569/(COUNTIF($J569:$Q569,"x")+1),-$E569*N(K569)))</f>
        <v/>
      </c>
      <c r="Z569" s="34">
        <f>IF(OR($A569="",$H569&lt;&gt;"Ausgabe",L569=""),0,IF(L569="x",-$E569/(COUNTIF($J569:$Q569,"x")+1),-$E569*N(L569)))</f>
        <v/>
      </c>
      <c r="AA569" s="34">
        <f>IF(OR($A569="",$H569&lt;&gt;"Ausgabe",M569=""),0,IF(M569="x",-$E569/(COUNTIF($J569:$Q569,"x")+1),-$E569*N(M569)))</f>
        <v/>
      </c>
      <c r="AB569" s="34">
        <f>IF(OR($A569="",$H569&lt;&gt;"Ausgabe",N569=""),0,IF(N569="x",-$E569/(COUNTIF($J569:$Q569,"x")+1),-$E569*N(N569)))</f>
        <v/>
      </c>
      <c r="AC569" s="34">
        <f>IF(OR($A569="",$H569&lt;&gt;"Ausgabe",O569=""),0,IF(O569="x",-$E569/(COUNTIF($J569:$Q569,"x")+1),-$E569*N(O569)))</f>
        <v/>
      </c>
      <c r="AD569" s="34">
        <f>IF(OR($A569="",$H569&lt;&gt;"Ausgabe",P569=""),0,IF(P569="x",-$E569/(COUNTIF($J569:$Q569,"x")+1),-$E569*N(P569)))</f>
        <v/>
      </c>
      <c r="AE569" s="34">
        <f>IF(OR($A569="",$H569&lt;&gt;"Ausgabe",Q569=""),0,IF(Q569="x",-$E569/(COUNTIF($J569:$Q569,"x")+1),-$E569*N(Q569)))</f>
        <v/>
      </c>
    </row>
    <row r="570">
      <c r="A570" s="30" t="n"/>
      <c r="E570" s="31" t="n"/>
      <c r="J570" s="32" t="n"/>
      <c r="K570" s="32" t="n"/>
      <c r="L570" s="32" t="n"/>
      <c r="M570" s="32" t="n"/>
      <c r="N570" s="32" t="n"/>
      <c r="O570" s="32" t="n"/>
      <c r="P570" s="32" t="n"/>
      <c r="Q570" s="32" t="n"/>
      <c r="U570" s="31">
        <f>IF($A570="","",SUM(X570:AE570))</f>
        <v/>
      </c>
      <c r="V570" s="31">
        <f>IF($A570="","",IF($H570&lt;&gt;"Ausgabe",0,-$E570-$U570))</f>
        <v/>
      </c>
      <c r="W570" s="33">
        <f>IF($A570="","",DATE(YEAR($A570),MONTH($A570),1))</f>
        <v/>
      </c>
      <c r="X570" s="34">
        <f>IF(OR($A570="",$H570&lt;&gt;"Ausgabe",J570=""),0,IF(J570="x",-$E570/(COUNTIF($J570:$Q570,"x")+1),-$E570*N(J570)))</f>
        <v/>
      </c>
      <c r="Y570" s="34">
        <f>IF(OR($A570="",$H570&lt;&gt;"Ausgabe",K570=""),0,IF(K570="x",-$E570/(COUNTIF($J570:$Q570,"x")+1),-$E570*N(K570)))</f>
        <v/>
      </c>
      <c r="Z570" s="34">
        <f>IF(OR($A570="",$H570&lt;&gt;"Ausgabe",L570=""),0,IF(L570="x",-$E570/(COUNTIF($J570:$Q570,"x")+1),-$E570*N(L570)))</f>
        <v/>
      </c>
      <c r="AA570" s="34">
        <f>IF(OR($A570="",$H570&lt;&gt;"Ausgabe",M570=""),0,IF(M570="x",-$E570/(COUNTIF($J570:$Q570,"x")+1),-$E570*N(M570)))</f>
        <v/>
      </c>
      <c r="AB570" s="34">
        <f>IF(OR($A570="",$H570&lt;&gt;"Ausgabe",N570=""),0,IF(N570="x",-$E570/(COUNTIF($J570:$Q570,"x")+1),-$E570*N(N570)))</f>
        <v/>
      </c>
      <c r="AC570" s="34">
        <f>IF(OR($A570="",$H570&lt;&gt;"Ausgabe",O570=""),0,IF(O570="x",-$E570/(COUNTIF($J570:$Q570,"x")+1),-$E570*N(O570)))</f>
        <v/>
      </c>
      <c r="AD570" s="34">
        <f>IF(OR($A570="",$H570&lt;&gt;"Ausgabe",P570=""),0,IF(P570="x",-$E570/(COUNTIF($J570:$Q570,"x")+1),-$E570*N(P570)))</f>
        <v/>
      </c>
      <c r="AE570" s="34">
        <f>IF(OR($A570="",$H570&lt;&gt;"Ausgabe",Q570=""),0,IF(Q570="x",-$E570/(COUNTIF($J570:$Q570,"x")+1),-$E570*N(Q570)))</f>
        <v/>
      </c>
    </row>
    <row r="571">
      <c r="A571" s="30" t="n"/>
      <c r="E571" s="31" t="n"/>
      <c r="J571" s="32" t="n"/>
      <c r="K571" s="32" t="n"/>
      <c r="L571" s="32" t="n"/>
      <c r="M571" s="32" t="n"/>
      <c r="N571" s="32" t="n"/>
      <c r="O571" s="32" t="n"/>
      <c r="P571" s="32" t="n"/>
      <c r="Q571" s="32" t="n"/>
      <c r="U571" s="31">
        <f>IF($A571="","",SUM(X571:AE571))</f>
        <v/>
      </c>
      <c r="V571" s="31">
        <f>IF($A571="","",IF($H571&lt;&gt;"Ausgabe",0,-$E571-$U571))</f>
        <v/>
      </c>
      <c r="W571" s="33">
        <f>IF($A571="","",DATE(YEAR($A571),MONTH($A571),1))</f>
        <v/>
      </c>
      <c r="X571" s="34">
        <f>IF(OR($A571="",$H571&lt;&gt;"Ausgabe",J571=""),0,IF(J571="x",-$E571/(COUNTIF($J571:$Q571,"x")+1),-$E571*N(J571)))</f>
        <v/>
      </c>
      <c r="Y571" s="34">
        <f>IF(OR($A571="",$H571&lt;&gt;"Ausgabe",K571=""),0,IF(K571="x",-$E571/(COUNTIF($J571:$Q571,"x")+1),-$E571*N(K571)))</f>
        <v/>
      </c>
      <c r="Z571" s="34">
        <f>IF(OR($A571="",$H571&lt;&gt;"Ausgabe",L571=""),0,IF(L571="x",-$E571/(COUNTIF($J571:$Q571,"x")+1),-$E571*N(L571)))</f>
        <v/>
      </c>
      <c r="AA571" s="34">
        <f>IF(OR($A571="",$H571&lt;&gt;"Ausgabe",M571=""),0,IF(M571="x",-$E571/(COUNTIF($J571:$Q571,"x")+1),-$E571*N(M571)))</f>
        <v/>
      </c>
      <c r="AB571" s="34">
        <f>IF(OR($A571="",$H571&lt;&gt;"Ausgabe",N571=""),0,IF(N571="x",-$E571/(COUNTIF($J571:$Q571,"x")+1),-$E571*N(N571)))</f>
        <v/>
      </c>
      <c r="AC571" s="34">
        <f>IF(OR($A571="",$H571&lt;&gt;"Ausgabe",O571=""),0,IF(O571="x",-$E571/(COUNTIF($J571:$Q571,"x")+1),-$E571*N(O571)))</f>
        <v/>
      </c>
      <c r="AD571" s="34">
        <f>IF(OR($A571="",$H571&lt;&gt;"Ausgabe",P571=""),0,IF(P571="x",-$E571/(COUNTIF($J571:$Q571,"x")+1),-$E571*N(P571)))</f>
        <v/>
      </c>
      <c r="AE571" s="34">
        <f>IF(OR($A571="",$H571&lt;&gt;"Ausgabe",Q571=""),0,IF(Q571="x",-$E571/(COUNTIF($J571:$Q571,"x")+1),-$E571*N(Q571)))</f>
        <v/>
      </c>
    </row>
    <row r="572">
      <c r="A572" s="30" t="n"/>
      <c r="E572" s="31" t="n"/>
      <c r="J572" s="32" t="n"/>
      <c r="K572" s="32" t="n"/>
      <c r="L572" s="32" t="n"/>
      <c r="M572" s="32" t="n"/>
      <c r="N572" s="32" t="n"/>
      <c r="O572" s="32" t="n"/>
      <c r="P572" s="32" t="n"/>
      <c r="Q572" s="32" t="n"/>
      <c r="U572" s="31">
        <f>IF($A572="","",SUM(X572:AE572))</f>
        <v/>
      </c>
      <c r="V572" s="31">
        <f>IF($A572="","",IF($H572&lt;&gt;"Ausgabe",0,-$E572-$U572))</f>
        <v/>
      </c>
      <c r="W572" s="33">
        <f>IF($A572="","",DATE(YEAR($A572),MONTH($A572),1))</f>
        <v/>
      </c>
      <c r="X572" s="34">
        <f>IF(OR($A572="",$H572&lt;&gt;"Ausgabe",J572=""),0,IF(J572="x",-$E572/(COUNTIF($J572:$Q572,"x")+1),-$E572*N(J572)))</f>
        <v/>
      </c>
      <c r="Y572" s="34">
        <f>IF(OR($A572="",$H572&lt;&gt;"Ausgabe",K572=""),0,IF(K572="x",-$E572/(COUNTIF($J572:$Q572,"x")+1),-$E572*N(K572)))</f>
        <v/>
      </c>
      <c r="Z572" s="34">
        <f>IF(OR($A572="",$H572&lt;&gt;"Ausgabe",L572=""),0,IF(L572="x",-$E572/(COUNTIF($J572:$Q572,"x")+1),-$E572*N(L572)))</f>
        <v/>
      </c>
      <c r="AA572" s="34">
        <f>IF(OR($A572="",$H572&lt;&gt;"Ausgabe",M572=""),0,IF(M572="x",-$E572/(COUNTIF($J572:$Q572,"x")+1),-$E572*N(M572)))</f>
        <v/>
      </c>
      <c r="AB572" s="34">
        <f>IF(OR($A572="",$H572&lt;&gt;"Ausgabe",N572=""),0,IF(N572="x",-$E572/(COUNTIF($J572:$Q572,"x")+1),-$E572*N(N572)))</f>
        <v/>
      </c>
      <c r="AC572" s="34">
        <f>IF(OR($A572="",$H572&lt;&gt;"Ausgabe",O572=""),0,IF(O572="x",-$E572/(COUNTIF($J572:$Q572,"x")+1),-$E572*N(O572)))</f>
        <v/>
      </c>
      <c r="AD572" s="34">
        <f>IF(OR($A572="",$H572&lt;&gt;"Ausgabe",P572=""),0,IF(P572="x",-$E572/(COUNTIF($J572:$Q572,"x")+1),-$E572*N(P572)))</f>
        <v/>
      </c>
      <c r="AE572" s="34">
        <f>IF(OR($A572="",$H572&lt;&gt;"Ausgabe",Q572=""),0,IF(Q572="x",-$E572/(COUNTIF($J572:$Q572,"x")+1),-$E572*N(Q572)))</f>
        <v/>
      </c>
    </row>
    <row r="573">
      <c r="A573" s="30" t="n"/>
      <c r="E573" s="31" t="n"/>
      <c r="J573" s="32" t="n"/>
      <c r="K573" s="32" t="n"/>
      <c r="L573" s="32" t="n"/>
      <c r="M573" s="32" t="n"/>
      <c r="N573" s="32" t="n"/>
      <c r="O573" s="32" t="n"/>
      <c r="P573" s="32" t="n"/>
      <c r="Q573" s="32" t="n"/>
      <c r="U573" s="31">
        <f>IF($A573="","",SUM(X573:AE573))</f>
        <v/>
      </c>
      <c r="V573" s="31">
        <f>IF($A573="","",IF($H573&lt;&gt;"Ausgabe",0,-$E573-$U573))</f>
        <v/>
      </c>
      <c r="W573" s="33">
        <f>IF($A573="","",DATE(YEAR($A573),MONTH($A573),1))</f>
        <v/>
      </c>
      <c r="X573" s="34">
        <f>IF(OR($A573="",$H573&lt;&gt;"Ausgabe",J573=""),0,IF(J573="x",-$E573/(COUNTIF($J573:$Q573,"x")+1),-$E573*N(J573)))</f>
        <v/>
      </c>
      <c r="Y573" s="34">
        <f>IF(OR($A573="",$H573&lt;&gt;"Ausgabe",K573=""),0,IF(K573="x",-$E573/(COUNTIF($J573:$Q573,"x")+1),-$E573*N(K573)))</f>
        <v/>
      </c>
      <c r="Z573" s="34">
        <f>IF(OR($A573="",$H573&lt;&gt;"Ausgabe",L573=""),0,IF(L573="x",-$E573/(COUNTIF($J573:$Q573,"x")+1),-$E573*N(L573)))</f>
        <v/>
      </c>
      <c r="AA573" s="34">
        <f>IF(OR($A573="",$H573&lt;&gt;"Ausgabe",M573=""),0,IF(M573="x",-$E573/(COUNTIF($J573:$Q573,"x")+1),-$E573*N(M573)))</f>
        <v/>
      </c>
      <c r="AB573" s="34">
        <f>IF(OR($A573="",$H573&lt;&gt;"Ausgabe",N573=""),0,IF(N573="x",-$E573/(COUNTIF($J573:$Q573,"x")+1),-$E573*N(N573)))</f>
        <v/>
      </c>
      <c r="AC573" s="34">
        <f>IF(OR($A573="",$H573&lt;&gt;"Ausgabe",O573=""),0,IF(O573="x",-$E573/(COUNTIF($J573:$Q573,"x")+1),-$E573*N(O573)))</f>
        <v/>
      </c>
      <c r="AD573" s="34">
        <f>IF(OR($A573="",$H573&lt;&gt;"Ausgabe",P573=""),0,IF(P573="x",-$E573/(COUNTIF($J573:$Q573,"x")+1),-$E573*N(P573)))</f>
        <v/>
      </c>
      <c r="AE573" s="34">
        <f>IF(OR($A573="",$H573&lt;&gt;"Ausgabe",Q573=""),0,IF(Q573="x",-$E573/(COUNTIF($J573:$Q573,"x")+1),-$E573*N(Q573)))</f>
        <v/>
      </c>
    </row>
    <row r="574">
      <c r="A574" s="30" t="n"/>
      <c r="E574" s="31" t="n"/>
      <c r="J574" s="32" t="n"/>
      <c r="K574" s="32" t="n"/>
      <c r="L574" s="32" t="n"/>
      <c r="M574" s="32" t="n"/>
      <c r="N574" s="32" t="n"/>
      <c r="O574" s="32" t="n"/>
      <c r="P574" s="32" t="n"/>
      <c r="Q574" s="32" t="n"/>
      <c r="U574" s="31">
        <f>IF($A574="","",SUM(X574:AE574))</f>
        <v/>
      </c>
      <c r="V574" s="31">
        <f>IF($A574="","",IF($H574&lt;&gt;"Ausgabe",0,-$E574-$U574))</f>
        <v/>
      </c>
      <c r="W574" s="33">
        <f>IF($A574="","",DATE(YEAR($A574),MONTH($A574),1))</f>
        <v/>
      </c>
      <c r="X574" s="34">
        <f>IF(OR($A574="",$H574&lt;&gt;"Ausgabe",J574=""),0,IF(J574="x",-$E574/(COUNTIF($J574:$Q574,"x")+1),-$E574*N(J574)))</f>
        <v/>
      </c>
      <c r="Y574" s="34">
        <f>IF(OR($A574="",$H574&lt;&gt;"Ausgabe",K574=""),0,IF(K574="x",-$E574/(COUNTIF($J574:$Q574,"x")+1),-$E574*N(K574)))</f>
        <v/>
      </c>
      <c r="Z574" s="34">
        <f>IF(OR($A574="",$H574&lt;&gt;"Ausgabe",L574=""),0,IF(L574="x",-$E574/(COUNTIF($J574:$Q574,"x")+1),-$E574*N(L574)))</f>
        <v/>
      </c>
      <c r="AA574" s="34">
        <f>IF(OR($A574="",$H574&lt;&gt;"Ausgabe",M574=""),0,IF(M574="x",-$E574/(COUNTIF($J574:$Q574,"x")+1),-$E574*N(M574)))</f>
        <v/>
      </c>
      <c r="AB574" s="34">
        <f>IF(OR($A574="",$H574&lt;&gt;"Ausgabe",N574=""),0,IF(N574="x",-$E574/(COUNTIF($J574:$Q574,"x")+1),-$E574*N(N574)))</f>
        <v/>
      </c>
      <c r="AC574" s="34">
        <f>IF(OR($A574="",$H574&lt;&gt;"Ausgabe",O574=""),0,IF(O574="x",-$E574/(COUNTIF($J574:$Q574,"x")+1),-$E574*N(O574)))</f>
        <v/>
      </c>
      <c r="AD574" s="34">
        <f>IF(OR($A574="",$H574&lt;&gt;"Ausgabe",P574=""),0,IF(P574="x",-$E574/(COUNTIF($J574:$Q574,"x")+1),-$E574*N(P574)))</f>
        <v/>
      </c>
      <c r="AE574" s="34">
        <f>IF(OR($A574="",$H574&lt;&gt;"Ausgabe",Q574=""),0,IF(Q574="x",-$E574/(COUNTIF($J574:$Q574,"x")+1),-$E574*N(Q574)))</f>
        <v/>
      </c>
    </row>
    <row r="575">
      <c r="A575" s="30" t="n"/>
      <c r="E575" s="31" t="n"/>
      <c r="J575" s="32" t="n"/>
      <c r="K575" s="32" t="n"/>
      <c r="L575" s="32" t="n"/>
      <c r="M575" s="32" t="n"/>
      <c r="N575" s="32" t="n"/>
      <c r="O575" s="32" t="n"/>
      <c r="P575" s="32" t="n"/>
      <c r="Q575" s="32" t="n"/>
      <c r="U575" s="31">
        <f>IF($A575="","",SUM(X575:AE575))</f>
        <v/>
      </c>
      <c r="V575" s="31">
        <f>IF($A575="","",IF($H575&lt;&gt;"Ausgabe",0,-$E575-$U575))</f>
        <v/>
      </c>
      <c r="W575" s="33">
        <f>IF($A575="","",DATE(YEAR($A575),MONTH($A575),1))</f>
        <v/>
      </c>
      <c r="X575" s="34">
        <f>IF(OR($A575="",$H575&lt;&gt;"Ausgabe",J575=""),0,IF(J575="x",-$E575/(COUNTIF($J575:$Q575,"x")+1),-$E575*N(J575)))</f>
        <v/>
      </c>
      <c r="Y575" s="34">
        <f>IF(OR($A575="",$H575&lt;&gt;"Ausgabe",K575=""),0,IF(K575="x",-$E575/(COUNTIF($J575:$Q575,"x")+1),-$E575*N(K575)))</f>
        <v/>
      </c>
      <c r="Z575" s="34">
        <f>IF(OR($A575="",$H575&lt;&gt;"Ausgabe",L575=""),0,IF(L575="x",-$E575/(COUNTIF($J575:$Q575,"x")+1),-$E575*N(L575)))</f>
        <v/>
      </c>
      <c r="AA575" s="34">
        <f>IF(OR($A575="",$H575&lt;&gt;"Ausgabe",M575=""),0,IF(M575="x",-$E575/(COUNTIF($J575:$Q575,"x")+1),-$E575*N(M575)))</f>
        <v/>
      </c>
      <c r="AB575" s="34">
        <f>IF(OR($A575="",$H575&lt;&gt;"Ausgabe",N575=""),0,IF(N575="x",-$E575/(COUNTIF($J575:$Q575,"x")+1),-$E575*N(N575)))</f>
        <v/>
      </c>
      <c r="AC575" s="34">
        <f>IF(OR($A575="",$H575&lt;&gt;"Ausgabe",O575=""),0,IF(O575="x",-$E575/(COUNTIF($J575:$Q575,"x")+1),-$E575*N(O575)))</f>
        <v/>
      </c>
      <c r="AD575" s="34">
        <f>IF(OR($A575="",$H575&lt;&gt;"Ausgabe",P575=""),0,IF(P575="x",-$E575/(COUNTIF($J575:$Q575,"x")+1),-$E575*N(P575)))</f>
        <v/>
      </c>
      <c r="AE575" s="34">
        <f>IF(OR($A575="",$H575&lt;&gt;"Ausgabe",Q575=""),0,IF(Q575="x",-$E575/(COUNTIF($J575:$Q575,"x")+1),-$E575*N(Q575)))</f>
        <v/>
      </c>
    </row>
    <row r="576">
      <c r="A576" s="30" t="n"/>
      <c r="E576" s="31" t="n"/>
      <c r="J576" s="32" t="n"/>
      <c r="K576" s="32" t="n"/>
      <c r="L576" s="32" t="n"/>
      <c r="M576" s="32" t="n"/>
      <c r="N576" s="32" t="n"/>
      <c r="O576" s="32" t="n"/>
      <c r="P576" s="32" t="n"/>
      <c r="Q576" s="32" t="n"/>
      <c r="U576" s="31">
        <f>IF($A576="","",SUM(X576:AE576))</f>
        <v/>
      </c>
      <c r="V576" s="31">
        <f>IF($A576="","",IF($H576&lt;&gt;"Ausgabe",0,-$E576-$U576))</f>
        <v/>
      </c>
      <c r="W576" s="33">
        <f>IF($A576="","",DATE(YEAR($A576),MONTH($A576),1))</f>
        <v/>
      </c>
      <c r="X576" s="34">
        <f>IF(OR($A576="",$H576&lt;&gt;"Ausgabe",J576=""),0,IF(J576="x",-$E576/(COUNTIF($J576:$Q576,"x")+1),-$E576*N(J576)))</f>
        <v/>
      </c>
      <c r="Y576" s="34">
        <f>IF(OR($A576="",$H576&lt;&gt;"Ausgabe",K576=""),0,IF(K576="x",-$E576/(COUNTIF($J576:$Q576,"x")+1),-$E576*N(K576)))</f>
        <v/>
      </c>
      <c r="Z576" s="34">
        <f>IF(OR($A576="",$H576&lt;&gt;"Ausgabe",L576=""),0,IF(L576="x",-$E576/(COUNTIF($J576:$Q576,"x")+1),-$E576*N(L576)))</f>
        <v/>
      </c>
      <c r="AA576" s="34">
        <f>IF(OR($A576="",$H576&lt;&gt;"Ausgabe",M576=""),0,IF(M576="x",-$E576/(COUNTIF($J576:$Q576,"x")+1),-$E576*N(M576)))</f>
        <v/>
      </c>
      <c r="AB576" s="34">
        <f>IF(OR($A576="",$H576&lt;&gt;"Ausgabe",N576=""),0,IF(N576="x",-$E576/(COUNTIF($J576:$Q576,"x")+1),-$E576*N(N576)))</f>
        <v/>
      </c>
      <c r="AC576" s="34">
        <f>IF(OR($A576="",$H576&lt;&gt;"Ausgabe",O576=""),0,IF(O576="x",-$E576/(COUNTIF($J576:$Q576,"x")+1),-$E576*N(O576)))</f>
        <v/>
      </c>
      <c r="AD576" s="34">
        <f>IF(OR($A576="",$H576&lt;&gt;"Ausgabe",P576=""),0,IF(P576="x",-$E576/(COUNTIF($J576:$Q576,"x")+1),-$E576*N(P576)))</f>
        <v/>
      </c>
      <c r="AE576" s="34">
        <f>IF(OR($A576="",$H576&lt;&gt;"Ausgabe",Q576=""),0,IF(Q576="x",-$E576/(COUNTIF($J576:$Q576,"x")+1),-$E576*N(Q576)))</f>
        <v/>
      </c>
    </row>
    <row r="577">
      <c r="A577" s="30" t="n"/>
      <c r="E577" s="31" t="n"/>
      <c r="J577" s="32" t="n"/>
      <c r="K577" s="32" t="n"/>
      <c r="L577" s="32" t="n"/>
      <c r="M577" s="32" t="n"/>
      <c r="N577" s="32" t="n"/>
      <c r="O577" s="32" t="n"/>
      <c r="P577" s="32" t="n"/>
      <c r="Q577" s="32" t="n"/>
      <c r="U577" s="31">
        <f>IF($A577="","",SUM(X577:AE577))</f>
        <v/>
      </c>
      <c r="V577" s="31">
        <f>IF($A577="","",IF($H577&lt;&gt;"Ausgabe",0,-$E577-$U577))</f>
        <v/>
      </c>
      <c r="W577" s="33">
        <f>IF($A577="","",DATE(YEAR($A577),MONTH($A577),1))</f>
        <v/>
      </c>
      <c r="X577" s="34">
        <f>IF(OR($A577="",$H577&lt;&gt;"Ausgabe",J577=""),0,IF(J577="x",-$E577/(COUNTIF($J577:$Q577,"x")+1),-$E577*N(J577)))</f>
        <v/>
      </c>
      <c r="Y577" s="34">
        <f>IF(OR($A577="",$H577&lt;&gt;"Ausgabe",K577=""),0,IF(K577="x",-$E577/(COUNTIF($J577:$Q577,"x")+1),-$E577*N(K577)))</f>
        <v/>
      </c>
      <c r="Z577" s="34">
        <f>IF(OR($A577="",$H577&lt;&gt;"Ausgabe",L577=""),0,IF(L577="x",-$E577/(COUNTIF($J577:$Q577,"x")+1),-$E577*N(L577)))</f>
        <v/>
      </c>
      <c r="AA577" s="34">
        <f>IF(OR($A577="",$H577&lt;&gt;"Ausgabe",M577=""),0,IF(M577="x",-$E577/(COUNTIF($J577:$Q577,"x")+1),-$E577*N(M577)))</f>
        <v/>
      </c>
      <c r="AB577" s="34">
        <f>IF(OR($A577="",$H577&lt;&gt;"Ausgabe",N577=""),0,IF(N577="x",-$E577/(COUNTIF($J577:$Q577,"x")+1),-$E577*N(N577)))</f>
        <v/>
      </c>
      <c r="AC577" s="34">
        <f>IF(OR($A577="",$H577&lt;&gt;"Ausgabe",O577=""),0,IF(O577="x",-$E577/(COUNTIF($J577:$Q577,"x")+1),-$E577*N(O577)))</f>
        <v/>
      </c>
      <c r="AD577" s="34">
        <f>IF(OR($A577="",$H577&lt;&gt;"Ausgabe",P577=""),0,IF(P577="x",-$E577/(COUNTIF($J577:$Q577,"x")+1),-$E577*N(P577)))</f>
        <v/>
      </c>
      <c r="AE577" s="34">
        <f>IF(OR($A577="",$H577&lt;&gt;"Ausgabe",Q577=""),0,IF(Q577="x",-$E577/(COUNTIF($J577:$Q577,"x")+1),-$E577*N(Q577)))</f>
        <v/>
      </c>
    </row>
    <row r="578">
      <c r="A578" s="30" t="n"/>
      <c r="E578" s="31" t="n"/>
      <c r="J578" s="32" t="n"/>
      <c r="K578" s="32" t="n"/>
      <c r="L578" s="32" t="n"/>
      <c r="M578" s="32" t="n"/>
      <c r="N578" s="32" t="n"/>
      <c r="O578" s="32" t="n"/>
      <c r="P578" s="32" t="n"/>
      <c r="Q578" s="32" t="n"/>
      <c r="U578" s="31">
        <f>IF($A578="","",SUM(X578:AE578))</f>
        <v/>
      </c>
      <c r="V578" s="31">
        <f>IF($A578="","",IF($H578&lt;&gt;"Ausgabe",0,-$E578-$U578))</f>
        <v/>
      </c>
      <c r="W578" s="33">
        <f>IF($A578="","",DATE(YEAR($A578),MONTH($A578),1))</f>
        <v/>
      </c>
      <c r="X578" s="34">
        <f>IF(OR($A578="",$H578&lt;&gt;"Ausgabe",J578=""),0,IF(J578="x",-$E578/(COUNTIF($J578:$Q578,"x")+1),-$E578*N(J578)))</f>
        <v/>
      </c>
      <c r="Y578" s="34">
        <f>IF(OR($A578="",$H578&lt;&gt;"Ausgabe",K578=""),0,IF(K578="x",-$E578/(COUNTIF($J578:$Q578,"x")+1),-$E578*N(K578)))</f>
        <v/>
      </c>
      <c r="Z578" s="34">
        <f>IF(OR($A578="",$H578&lt;&gt;"Ausgabe",L578=""),0,IF(L578="x",-$E578/(COUNTIF($J578:$Q578,"x")+1),-$E578*N(L578)))</f>
        <v/>
      </c>
      <c r="AA578" s="34">
        <f>IF(OR($A578="",$H578&lt;&gt;"Ausgabe",M578=""),0,IF(M578="x",-$E578/(COUNTIF($J578:$Q578,"x")+1),-$E578*N(M578)))</f>
        <v/>
      </c>
      <c r="AB578" s="34">
        <f>IF(OR($A578="",$H578&lt;&gt;"Ausgabe",N578=""),0,IF(N578="x",-$E578/(COUNTIF($J578:$Q578,"x")+1),-$E578*N(N578)))</f>
        <v/>
      </c>
      <c r="AC578" s="34">
        <f>IF(OR($A578="",$H578&lt;&gt;"Ausgabe",O578=""),0,IF(O578="x",-$E578/(COUNTIF($J578:$Q578,"x")+1),-$E578*N(O578)))</f>
        <v/>
      </c>
      <c r="AD578" s="34">
        <f>IF(OR($A578="",$H578&lt;&gt;"Ausgabe",P578=""),0,IF(P578="x",-$E578/(COUNTIF($J578:$Q578,"x")+1),-$E578*N(P578)))</f>
        <v/>
      </c>
      <c r="AE578" s="34">
        <f>IF(OR($A578="",$H578&lt;&gt;"Ausgabe",Q578=""),0,IF(Q578="x",-$E578/(COUNTIF($J578:$Q578,"x")+1),-$E578*N(Q578)))</f>
        <v/>
      </c>
    </row>
    <row r="579">
      <c r="A579" s="30" t="n"/>
      <c r="E579" s="31" t="n"/>
      <c r="J579" s="32" t="n"/>
      <c r="K579" s="32" t="n"/>
      <c r="L579" s="32" t="n"/>
      <c r="M579" s="32" t="n"/>
      <c r="N579" s="32" t="n"/>
      <c r="O579" s="32" t="n"/>
      <c r="P579" s="32" t="n"/>
      <c r="Q579" s="32" t="n"/>
      <c r="U579" s="31">
        <f>IF($A579="","",SUM(X579:AE579))</f>
        <v/>
      </c>
      <c r="V579" s="31">
        <f>IF($A579="","",IF($H579&lt;&gt;"Ausgabe",0,-$E579-$U579))</f>
        <v/>
      </c>
      <c r="W579" s="33">
        <f>IF($A579="","",DATE(YEAR($A579),MONTH($A579),1))</f>
        <v/>
      </c>
      <c r="X579" s="34">
        <f>IF(OR($A579="",$H579&lt;&gt;"Ausgabe",J579=""),0,IF(J579="x",-$E579/(COUNTIF($J579:$Q579,"x")+1),-$E579*N(J579)))</f>
        <v/>
      </c>
      <c r="Y579" s="34">
        <f>IF(OR($A579="",$H579&lt;&gt;"Ausgabe",K579=""),0,IF(K579="x",-$E579/(COUNTIF($J579:$Q579,"x")+1),-$E579*N(K579)))</f>
        <v/>
      </c>
      <c r="Z579" s="34">
        <f>IF(OR($A579="",$H579&lt;&gt;"Ausgabe",L579=""),0,IF(L579="x",-$E579/(COUNTIF($J579:$Q579,"x")+1),-$E579*N(L579)))</f>
        <v/>
      </c>
      <c r="AA579" s="34">
        <f>IF(OR($A579="",$H579&lt;&gt;"Ausgabe",M579=""),0,IF(M579="x",-$E579/(COUNTIF($J579:$Q579,"x")+1),-$E579*N(M579)))</f>
        <v/>
      </c>
      <c r="AB579" s="34">
        <f>IF(OR($A579="",$H579&lt;&gt;"Ausgabe",N579=""),0,IF(N579="x",-$E579/(COUNTIF($J579:$Q579,"x")+1),-$E579*N(N579)))</f>
        <v/>
      </c>
      <c r="AC579" s="34">
        <f>IF(OR($A579="",$H579&lt;&gt;"Ausgabe",O579=""),0,IF(O579="x",-$E579/(COUNTIF($J579:$Q579,"x")+1),-$E579*N(O579)))</f>
        <v/>
      </c>
      <c r="AD579" s="34">
        <f>IF(OR($A579="",$H579&lt;&gt;"Ausgabe",P579=""),0,IF(P579="x",-$E579/(COUNTIF($J579:$Q579,"x")+1),-$E579*N(P579)))</f>
        <v/>
      </c>
      <c r="AE579" s="34">
        <f>IF(OR($A579="",$H579&lt;&gt;"Ausgabe",Q579=""),0,IF(Q579="x",-$E579/(COUNTIF($J579:$Q579,"x")+1),-$E579*N(Q579)))</f>
        <v/>
      </c>
    </row>
    <row r="580">
      <c r="A580" s="30" t="n"/>
      <c r="E580" s="31" t="n"/>
      <c r="J580" s="32" t="n"/>
      <c r="K580" s="32" t="n"/>
      <c r="L580" s="32" t="n"/>
      <c r="M580" s="32" t="n"/>
      <c r="N580" s="32" t="n"/>
      <c r="O580" s="32" t="n"/>
      <c r="P580" s="32" t="n"/>
      <c r="Q580" s="32" t="n"/>
      <c r="U580" s="31">
        <f>IF($A580="","",SUM(X580:AE580))</f>
        <v/>
      </c>
      <c r="V580" s="31">
        <f>IF($A580="","",IF($H580&lt;&gt;"Ausgabe",0,-$E580-$U580))</f>
        <v/>
      </c>
      <c r="W580" s="33">
        <f>IF($A580="","",DATE(YEAR($A580),MONTH($A580),1))</f>
        <v/>
      </c>
      <c r="X580" s="34">
        <f>IF(OR($A580="",$H580&lt;&gt;"Ausgabe",J580=""),0,IF(J580="x",-$E580/(COUNTIF($J580:$Q580,"x")+1),-$E580*N(J580)))</f>
        <v/>
      </c>
      <c r="Y580" s="34">
        <f>IF(OR($A580="",$H580&lt;&gt;"Ausgabe",K580=""),0,IF(K580="x",-$E580/(COUNTIF($J580:$Q580,"x")+1),-$E580*N(K580)))</f>
        <v/>
      </c>
      <c r="Z580" s="34">
        <f>IF(OR($A580="",$H580&lt;&gt;"Ausgabe",L580=""),0,IF(L580="x",-$E580/(COUNTIF($J580:$Q580,"x")+1),-$E580*N(L580)))</f>
        <v/>
      </c>
      <c r="AA580" s="34">
        <f>IF(OR($A580="",$H580&lt;&gt;"Ausgabe",M580=""),0,IF(M580="x",-$E580/(COUNTIF($J580:$Q580,"x")+1),-$E580*N(M580)))</f>
        <v/>
      </c>
      <c r="AB580" s="34">
        <f>IF(OR($A580="",$H580&lt;&gt;"Ausgabe",N580=""),0,IF(N580="x",-$E580/(COUNTIF($J580:$Q580,"x")+1),-$E580*N(N580)))</f>
        <v/>
      </c>
      <c r="AC580" s="34">
        <f>IF(OR($A580="",$H580&lt;&gt;"Ausgabe",O580=""),0,IF(O580="x",-$E580/(COUNTIF($J580:$Q580,"x")+1),-$E580*N(O580)))</f>
        <v/>
      </c>
      <c r="AD580" s="34">
        <f>IF(OR($A580="",$H580&lt;&gt;"Ausgabe",P580=""),0,IF(P580="x",-$E580/(COUNTIF($J580:$Q580,"x")+1),-$E580*N(P580)))</f>
        <v/>
      </c>
      <c r="AE580" s="34">
        <f>IF(OR($A580="",$H580&lt;&gt;"Ausgabe",Q580=""),0,IF(Q580="x",-$E580/(COUNTIF($J580:$Q580,"x")+1),-$E580*N(Q580)))</f>
        <v/>
      </c>
    </row>
    <row r="581">
      <c r="A581" s="30" t="n"/>
      <c r="E581" s="31" t="n"/>
      <c r="J581" s="32" t="n"/>
      <c r="K581" s="32" t="n"/>
      <c r="L581" s="32" t="n"/>
      <c r="M581" s="32" t="n"/>
      <c r="N581" s="32" t="n"/>
      <c r="O581" s="32" t="n"/>
      <c r="P581" s="32" t="n"/>
      <c r="Q581" s="32" t="n"/>
      <c r="U581" s="31">
        <f>IF($A581="","",SUM(X581:AE581))</f>
        <v/>
      </c>
      <c r="V581" s="31">
        <f>IF($A581="","",IF($H581&lt;&gt;"Ausgabe",0,-$E581-$U581))</f>
        <v/>
      </c>
      <c r="W581" s="33">
        <f>IF($A581="","",DATE(YEAR($A581),MONTH($A581),1))</f>
        <v/>
      </c>
      <c r="X581" s="34">
        <f>IF(OR($A581="",$H581&lt;&gt;"Ausgabe",J581=""),0,IF(J581="x",-$E581/(COUNTIF($J581:$Q581,"x")+1),-$E581*N(J581)))</f>
        <v/>
      </c>
      <c r="Y581" s="34">
        <f>IF(OR($A581="",$H581&lt;&gt;"Ausgabe",K581=""),0,IF(K581="x",-$E581/(COUNTIF($J581:$Q581,"x")+1),-$E581*N(K581)))</f>
        <v/>
      </c>
      <c r="Z581" s="34">
        <f>IF(OR($A581="",$H581&lt;&gt;"Ausgabe",L581=""),0,IF(L581="x",-$E581/(COUNTIF($J581:$Q581,"x")+1),-$E581*N(L581)))</f>
        <v/>
      </c>
      <c r="AA581" s="34">
        <f>IF(OR($A581="",$H581&lt;&gt;"Ausgabe",M581=""),0,IF(M581="x",-$E581/(COUNTIF($J581:$Q581,"x")+1),-$E581*N(M581)))</f>
        <v/>
      </c>
      <c r="AB581" s="34">
        <f>IF(OR($A581="",$H581&lt;&gt;"Ausgabe",N581=""),0,IF(N581="x",-$E581/(COUNTIF($J581:$Q581,"x")+1),-$E581*N(N581)))</f>
        <v/>
      </c>
      <c r="AC581" s="34">
        <f>IF(OR($A581="",$H581&lt;&gt;"Ausgabe",O581=""),0,IF(O581="x",-$E581/(COUNTIF($J581:$Q581,"x")+1),-$E581*N(O581)))</f>
        <v/>
      </c>
      <c r="AD581" s="34">
        <f>IF(OR($A581="",$H581&lt;&gt;"Ausgabe",P581=""),0,IF(P581="x",-$E581/(COUNTIF($J581:$Q581,"x")+1),-$E581*N(P581)))</f>
        <v/>
      </c>
      <c r="AE581" s="34">
        <f>IF(OR($A581="",$H581&lt;&gt;"Ausgabe",Q581=""),0,IF(Q581="x",-$E581/(COUNTIF($J581:$Q581,"x")+1),-$E581*N(Q581)))</f>
        <v/>
      </c>
    </row>
    <row r="582">
      <c r="A582" s="30" t="n"/>
      <c r="E582" s="31" t="n"/>
      <c r="J582" s="32" t="n"/>
      <c r="K582" s="32" t="n"/>
      <c r="L582" s="32" t="n"/>
      <c r="M582" s="32" t="n"/>
      <c r="N582" s="32" t="n"/>
      <c r="O582" s="32" t="n"/>
      <c r="P582" s="32" t="n"/>
      <c r="Q582" s="32" t="n"/>
      <c r="U582" s="31">
        <f>IF($A582="","",SUM(X582:AE582))</f>
        <v/>
      </c>
      <c r="V582" s="31">
        <f>IF($A582="","",IF($H582&lt;&gt;"Ausgabe",0,-$E582-$U582))</f>
        <v/>
      </c>
      <c r="W582" s="33">
        <f>IF($A582="","",DATE(YEAR($A582),MONTH($A582),1))</f>
        <v/>
      </c>
      <c r="X582" s="34">
        <f>IF(OR($A582="",$H582&lt;&gt;"Ausgabe",J582=""),0,IF(J582="x",-$E582/(COUNTIF($J582:$Q582,"x")+1),-$E582*N(J582)))</f>
        <v/>
      </c>
      <c r="Y582" s="34">
        <f>IF(OR($A582="",$H582&lt;&gt;"Ausgabe",K582=""),0,IF(K582="x",-$E582/(COUNTIF($J582:$Q582,"x")+1),-$E582*N(K582)))</f>
        <v/>
      </c>
      <c r="Z582" s="34">
        <f>IF(OR($A582="",$H582&lt;&gt;"Ausgabe",L582=""),0,IF(L582="x",-$E582/(COUNTIF($J582:$Q582,"x")+1),-$E582*N(L582)))</f>
        <v/>
      </c>
      <c r="AA582" s="34">
        <f>IF(OR($A582="",$H582&lt;&gt;"Ausgabe",M582=""),0,IF(M582="x",-$E582/(COUNTIF($J582:$Q582,"x")+1),-$E582*N(M582)))</f>
        <v/>
      </c>
      <c r="AB582" s="34">
        <f>IF(OR($A582="",$H582&lt;&gt;"Ausgabe",N582=""),0,IF(N582="x",-$E582/(COUNTIF($J582:$Q582,"x")+1),-$E582*N(N582)))</f>
        <v/>
      </c>
      <c r="AC582" s="34">
        <f>IF(OR($A582="",$H582&lt;&gt;"Ausgabe",O582=""),0,IF(O582="x",-$E582/(COUNTIF($J582:$Q582,"x")+1),-$E582*N(O582)))</f>
        <v/>
      </c>
      <c r="AD582" s="34">
        <f>IF(OR($A582="",$H582&lt;&gt;"Ausgabe",P582=""),0,IF(P582="x",-$E582/(COUNTIF($J582:$Q582,"x")+1),-$E582*N(P582)))</f>
        <v/>
      </c>
      <c r="AE582" s="34">
        <f>IF(OR($A582="",$H582&lt;&gt;"Ausgabe",Q582=""),0,IF(Q582="x",-$E582/(COUNTIF($J582:$Q582,"x")+1),-$E582*N(Q582)))</f>
        <v/>
      </c>
    </row>
    <row r="583">
      <c r="A583" s="30" t="n"/>
      <c r="E583" s="31" t="n"/>
      <c r="J583" s="32" t="n"/>
      <c r="K583" s="32" t="n"/>
      <c r="L583" s="32" t="n"/>
      <c r="M583" s="32" t="n"/>
      <c r="N583" s="32" t="n"/>
      <c r="O583" s="32" t="n"/>
      <c r="P583" s="32" t="n"/>
      <c r="Q583" s="32" t="n"/>
      <c r="U583" s="31">
        <f>IF($A583="","",SUM(X583:AE583))</f>
        <v/>
      </c>
      <c r="V583" s="31">
        <f>IF($A583="","",IF($H583&lt;&gt;"Ausgabe",0,-$E583-$U583))</f>
        <v/>
      </c>
      <c r="W583" s="33">
        <f>IF($A583="","",DATE(YEAR($A583),MONTH($A583),1))</f>
        <v/>
      </c>
      <c r="X583" s="34">
        <f>IF(OR($A583="",$H583&lt;&gt;"Ausgabe",J583=""),0,IF(J583="x",-$E583/(COUNTIF($J583:$Q583,"x")+1),-$E583*N(J583)))</f>
        <v/>
      </c>
      <c r="Y583" s="34">
        <f>IF(OR($A583="",$H583&lt;&gt;"Ausgabe",K583=""),0,IF(K583="x",-$E583/(COUNTIF($J583:$Q583,"x")+1),-$E583*N(K583)))</f>
        <v/>
      </c>
      <c r="Z583" s="34">
        <f>IF(OR($A583="",$H583&lt;&gt;"Ausgabe",L583=""),0,IF(L583="x",-$E583/(COUNTIF($J583:$Q583,"x")+1),-$E583*N(L583)))</f>
        <v/>
      </c>
      <c r="AA583" s="34">
        <f>IF(OR($A583="",$H583&lt;&gt;"Ausgabe",M583=""),0,IF(M583="x",-$E583/(COUNTIF($J583:$Q583,"x")+1),-$E583*N(M583)))</f>
        <v/>
      </c>
      <c r="AB583" s="34">
        <f>IF(OR($A583="",$H583&lt;&gt;"Ausgabe",N583=""),0,IF(N583="x",-$E583/(COUNTIF($J583:$Q583,"x")+1),-$E583*N(N583)))</f>
        <v/>
      </c>
      <c r="AC583" s="34">
        <f>IF(OR($A583="",$H583&lt;&gt;"Ausgabe",O583=""),0,IF(O583="x",-$E583/(COUNTIF($J583:$Q583,"x")+1),-$E583*N(O583)))</f>
        <v/>
      </c>
      <c r="AD583" s="34">
        <f>IF(OR($A583="",$H583&lt;&gt;"Ausgabe",P583=""),0,IF(P583="x",-$E583/(COUNTIF($J583:$Q583,"x")+1),-$E583*N(P583)))</f>
        <v/>
      </c>
      <c r="AE583" s="34">
        <f>IF(OR($A583="",$H583&lt;&gt;"Ausgabe",Q583=""),0,IF(Q583="x",-$E583/(COUNTIF($J583:$Q583,"x")+1),-$E583*N(Q583)))</f>
        <v/>
      </c>
    </row>
    <row r="584">
      <c r="A584" s="30" t="n"/>
      <c r="E584" s="31" t="n"/>
      <c r="J584" s="32" t="n"/>
      <c r="K584" s="32" t="n"/>
      <c r="L584" s="32" t="n"/>
      <c r="M584" s="32" t="n"/>
      <c r="N584" s="32" t="n"/>
      <c r="O584" s="32" t="n"/>
      <c r="P584" s="32" t="n"/>
      <c r="Q584" s="32" t="n"/>
      <c r="U584" s="31">
        <f>IF($A584="","",SUM(X584:AE584))</f>
        <v/>
      </c>
      <c r="V584" s="31">
        <f>IF($A584="","",IF($H584&lt;&gt;"Ausgabe",0,-$E584-$U584))</f>
        <v/>
      </c>
      <c r="W584" s="33">
        <f>IF($A584="","",DATE(YEAR($A584),MONTH($A584),1))</f>
        <v/>
      </c>
      <c r="X584" s="34">
        <f>IF(OR($A584="",$H584&lt;&gt;"Ausgabe",J584=""),0,IF(J584="x",-$E584/(COUNTIF($J584:$Q584,"x")+1),-$E584*N(J584)))</f>
        <v/>
      </c>
      <c r="Y584" s="34">
        <f>IF(OR($A584="",$H584&lt;&gt;"Ausgabe",K584=""),0,IF(K584="x",-$E584/(COUNTIF($J584:$Q584,"x")+1),-$E584*N(K584)))</f>
        <v/>
      </c>
      <c r="Z584" s="34">
        <f>IF(OR($A584="",$H584&lt;&gt;"Ausgabe",L584=""),0,IF(L584="x",-$E584/(COUNTIF($J584:$Q584,"x")+1),-$E584*N(L584)))</f>
        <v/>
      </c>
      <c r="AA584" s="34">
        <f>IF(OR($A584="",$H584&lt;&gt;"Ausgabe",M584=""),0,IF(M584="x",-$E584/(COUNTIF($J584:$Q584,"x")+1),-$E584*N(M584)))</f>
        <v/>
      </c>
      <c r="AB584" s="34">
        <f>IF(OR($A584="",$H584&lt;&gt;"Ausgabe",N584=""),0,IF(N584="x",-$E584/(COUNTIF($J584:$Q584,"x")+1),-$E584*N(N584)))</f>
        <v/>
      </c>
      <c r="AC584" s="34">
        <f>IF(OR($A584="",$H584&lt;&gt;"Ausgabe",O584=""),0,IF(O584="x",-$E584/(COUNTIF($J584:$Q584,"x")+1),-$E584*N(O584)))</f>
        <v/>
      </c>
      <c r="AD584" s="34">
        <f>IF(OR($A584="",$H584&lt;&gt;"Ausgabe",P584=""),0,IF(P584="x",-$E584/(COUNTIF($J584:$Q584,"x")+1),-$E584*N(P584)))</f>
        <v/>
      </c>
      <c r="AE584" s="34">
        <f>IF(OR($A584="",$H584&lt;&gt;"Ausgabe",Q584=""),0,IF(Q584="x",-$E584/(COUNTIF($J584:$Q584,"x")+1),-$E584*N(Q584)))</f>
        <v/>
      </c>
    </row>
    <row r="585">
      <c r="A585" s="30" t="n"/>
      <c r="E585" s="31" t="n"/>
      <c r="J585" s="32" t="n"/>
      <c r="K585" s="32" t="n"/>
      <c r="L585" s="32" t="n"/>
      <c r="M585" s="32" t="n"/>
      <c r="N585" s="32" t="n"/>
      <c r="O585" s="32" t="n"/>
      <c r="P585" s="32" t="n"/>
      <c r="Q585" s="32" t="n"/>
      <c r="U585" s="31">
        <f>IF($A585="","",SUM(X585:AE585))</f>
        <v/>
      </c>
      <c r="V585" s="31">
        <f>IF($A585="","",IF($H585&lt;&gt;"Ausgabe",0,-$E585-$U585))</f>
        <v/>
      </c>
      <c r="W585" s="33">
        <f>IF($A585="","",DATE(YEAR($A585),MONTH($A585),1))</f>
        <v/>
      </c>
      <c r="X585" s="34">
        <f>IF(OR($A585="",$H585&lt;&gt;"Ausgabe",J585=""),0,IF(J585="x",-$E585/(COUNTIF($J585:$Q585,"x")+1),-$E585*N(J585)))</f>
        <v/>
      </c>
      <c r="Y585" s="34">
        <f>IF(OR($A585="",$H585&lt;&gt;"Ausgabe",K585=""),0,IF(K585="x",-$E585/(COUNTIF($J585:$Q585,"x")+1),-$E585*N(K585)))</f>
        <v/>
      </c>
      <c r="Z585" s="34">
        <f>IF(OR($A585="",$H585&lt;&gt;"Ausgabe",L585=""),0,IF(L585="x",-$E585/(COUNTIF($J585:$Q585,"x")+1),-$E585*N(L585)))</f>
        <v/>
      </c>
      <c r="AA585" s="34">
        <f>IF(OR($A585="",$H585&lt;&gt;"Ausgabe",M585=""),0,IF(M585="x",-$E585/(COUNTIF($J585:$Q585,"x")+1),-$E585*N(M585)))</f>
        <v/>
      </c>
      <c r="AB585" s="34">
        <f>IF(OR($A585="",$H585&lt;&gt;"Ausgabe",N585=""),0,IF(N585="x",-$E585/(COUNTIF($J585:$Q585,"x")+1),-$E585*N(N585)))</f>
        <v/>
      </c>
      <c r="AC585" s="34">
        <f>IF(OR($A585="",$H585&lt;&gt;"Ausgabe",O585=""),0,IF(O585="x",-$E585/(COUNTIF($J585:$Q585,"x")+1),-$E585*N(O585)))</f>
        <v/>
      </c>
      <c r="AD585" s="34">
        <f>IF(OR($A585="",$H585&lt;&gt;"Ausgabe",P585=""),0,IF(P585="x",-$E585/(COUNTIF($J585:$Q585,"x")+1),-$E585*N(P585)))</f>
        <v/>
      </c>
      <c r="AE585" s="34">
        <f>IF(OR($A585="",$H585&lt;&gt;"Ausgabe",Q585=""),0,IF(Q585="x",-$E585/(COUNTIF($J585:$Q585,"x")+1),-$E585*N(Q585)))</f>
        <v/>
      </c>
    </row>
    <row r="586">
      <c r="A586" s="30" t="n"/>
      <c r="E586" s="31" t="n"/>
      <c r="J586" s="32" t="n"/>
      <c r="K586" s="32" t="n"/>
      <c r="L586" s="32" t="n"/>
      <c r="M586" s="32" t="n"/>
      <c r="N586" s="32" t="n"/>
      <c r="O586" s="32" t="n"/>
      <c r="P586" s="32" t="n"/>
      <c r="Q586" s="32" t="n"/>
      <c r="U586" s="31">
        <f>IF($A586="","",SUM(X586:AE586))</f>
        <v/>
      </c>
      <c r="V586" s="31">
        <f>IF($A586="","",IF($H586&lt;&gt;"Ausgabe",0,-$E586-$U586))</f>
        <v/>
      </c>
      <c r="W586" s="33">
        <f>IF($A586="","",DATE(YEAR($A586),MONTH($A586),1))</f>
        <v/>
      </c>
      <c r="X586" s="34">
        <f>IF(OR($A586="",$H586&lt;&gt;"Ausgabe",J586=""),0,IF(J586="x",-$E586/(COUNTIF($J586:$Q586,"x")+1),-$E586*N(J586)))</f>
        <v/>
      </c>
      <c r="Y586" s="34">
        <f>IF(OR($A586="",$H586&lt;&gt;"Ausgabe",K586=""),0,IF(K586="x",-$E586/(COUNTIF($J586:$Q586,"x")+1),-$E586*N(K586)))</f>
        <v/>
      </c>
      <c r="Z586" s="34">
        <f>IF(OR($A586="",$H586&lt;&gt;"Ausgabe",L586=""),0,IF(L586="x",-$E586/(COUNTIF($J586:$Q586,"x")+1),-$E586*N(L586)))</f>
        <v/>
      </c>
      <c r="AA586" s="34">
        <f>IF(OR($A586="",$H586&lt;&gt;"Ausgabe",M586=""),0,IF(M586="x",-$E586/(COUNTIF($J586:$Q586,"x")+1),-$E586*N(M586)))</f>
        <v/>
      </c>
      <c r="AB586" s="34">
        <f>IF(OR($A586="",$H586&lt;&gt;"Ausgabe",N586=""),0,IF(N586="x",-$E586/(COUNTIF($J586:$Q586,"x")+1),-$E586*N(N586)))</f>
        <v/>
      </c>
      <c r="AC586" s="34">
        <f>IF(OR($A586="",$H586&lt;&gt;"Ausgabe",O586=""),0,IF(O586="x",-$E586/(COUNTIF($J586:$Q586,"x")+1),-$E586*N(O586)))</f>
        <v/>
      </c>
      <c r="AD586" s="34">
        <f>IF(OR($A586="",$H586&lt;&gt;"Ausgabe",P586=""),0,IF(P586="x",-$E586/(COUNTIF($J586:$Q586,"x")+1),-$E586*N(P586)))</f>
        <v/>
      </c>
      <c r="AE586" s="34">
        <f>IF(OR($A586="",$H586&lt;&gt;"Ausgabe",Q586=""),0,IF(Q586="x",-$E586/(COUNTIF($J586:$Q586,"x")+1),-$E586*N(Q586)))</f>
        <v/>
      </c>
    </row>
    <row r="587">
      <c r="A587" s="30" t="n"/>
      <c r="E587" s="31" t="n"/>
      <c r="J587" s="32" t="n"/>
      <c r="K587" s="32" t="n"/>
      <c r="L587" s="32" t="n"/>
      <c r="M587" s="32" t="n"/>
      <c r="N587" s="32" t="n"/>
      <c r="O587" s="32" t="n"/>
      <c r="P587" s="32" t="n"/>
      <c r="Q587" s="32" t="n"/>
      <c r="U587" s="31">
        <f>IF($A587="","",SUM(X587:AE587))</f>
        <v/>
      </c>
      <c r="V587" s="31">
        <f>IF($A587="","",IF($H587&lt;&gt;"Ausgabe",0,-$E587-$U587))</f>
        <v/>
      </c>
      <c r="W587" s="33">
        <f>IF($A587="","",DATE(YEAR($A587),MONTH($A587),1))</f>
        <v/>
      </c>
      <c r="X587" s="34">
        <f>IF(OR($A587="",$H587&lt;&gt;"Ausgabe",J587=""),0,IF(J587="x",-$E587/(COUNTIF($J587:$Q587,"x")+1),-$E587*N(J587)))</f>
        <v/>
      </c>
      <c r="Y587" s="34">
        <f>IF(OR($A587="",$H587&lt;&gt;"Ausgabe",K587=""),0,IF(K587="x",-$E587/(COUNTIF($J587:$Q587,"x")+1),-$E587*N(K587)))</f>
        <v/>
      </c>
      <c r="Z587" s="34">
        <f>IF(OR($A587="",$H587&lt;&gt;"Ausgabe",L587=""),0,IF(L587="x",-$E587/(COUNTIF($J587:$Q587,"x")+1),-$E587*N(L587)))</f>
        <v/>
      </c>
      <c r="AA587" s="34">
        <f>IF(OR($A587="",$H587&lt;&gt;"Ausgabe",M587=""),0,IF(M587="x",-$E587/(COUNTIF($J587:$Q587,"x")+1),-$E587*N(M587)))</f>
        <v/>
      </c>
      <c r="AB587" s="34">
        <f>IF(OR($A587="",$H587&lt;&gt;"Ausgabe",N587=""),0,IF(N587="x",-$E587/(COUNTIF($J587:$Q587,"x")+1),-$E587*N(N587)))</f>
        <v/>
      </c>
      <c r="AC587" s="34">
        <f>IF(OR($A587="",$H587&lt;&gt;"Ausgabe",O587=""),0,IF(O587="x",-$E587/(COUNTIF($J587:$Q587,"x")+1),-$E587*N(O587)))</f>
        <v/>
      </c>
      <c r="AD587" s="34">
        <f>IF(OR($A587="",$H587&lt;&gt;"Ausgabe",P587=""),0,IF(P587="x",-$E587/(COUNTIF($J587:$Q587,"x")+1),-$E587*N(P587)))</f>
        <v/>
      </c>
      <c r="AE587" s="34">
        <f>IF(OR($A587="",$H587&lt;&gt;"Ausgabe",Q587=""),0,IF(Q587="x",-$E587/(COUNTIF($J587:$Q587,"x")+1),-$E587*N(Q587)))</f>
        <v/>
      </c>
    </row>
    <row r="588">
      <c r="A588" s="30" t="n"/>
      <c r="E588" s="31" t="n"/>
      <c r="J588" s="32" t="n"/>
      <c r="K588" s="32" t="n"/>
      <c r="L588" s="32" t="n"/>
      <c r="M588" s="32" t="n"/>
      <c r="N588" s="32" t="n"/>
      <c r="O588" s="32" t="n"/>
      <c r="P588" s="32" t="n"/>
      <c r="Q588" s="32" t="n"/>
      <c r="U588" s="31">
        <f>IF($A588="","",SUM(X588:AE588))</f>
        <v/>
      </c>
      <c r="V588" s="31">
        <f>IF($A588="","",IF($H588&lt;&gt;"Ausgabe",0,-$E588-$U588))</f>
        <v/>
      </c>
      <c r="W588" s="33">
        <f>IF($A588="","",DATE(YEAR($A588),MONTH($A588),1))</f>
        <v/>
      </c>
      <c r="X588" s="34">
        <f>IF(OR($A588="",$H588&lt;&gt;"Ausgabe",J588=""),0,IF(J588="x",-$E588/(COUNTIF($J588:$Q588,"x")+1),-$E588*N(J588)))</f>
        <v/>
      </c>
      <c r="Y588" s="34">
        <f>IF(OR($A588="",$H588&lt;&gt;"Ausgabe",K588=""),0,IF(K588="x",-$E588/(COUNTIF($J588:$Q588,"x")+1),-$E588*N(K588)))</f>
        <v/>
      </c>
      <c r="Z588" s="34">
        <f>IF(OR($A588="",$H588&lt;&gt;"Ausgabe",L588=""),0,IF(L588="x",-$E588/(COUNTIF($J588:$Q588,"x")+1),-$E588*N(L588)))</f>
        <v/>
      </c>
      <c r="AA588" s="34">
        <f>IF(OR($A588="",$H588&lt;&gt;"Ausgabe",M588=""),0,IF(M588="x",-$E588/(COUNTIF($J588:$Q588,"x")+1),-$E588*N(M588)))</f>
        <v/>
      </c>
      <c r="AB588" s="34">
        <f>IF(OR($A588="",$H588&lt;&gt;"Ausgabe",N588=""),0,IF(N588="x",-$E588/(COUNTIF($J588:$Q588,"x")+1),-$E588*N(N588)))</f>
        <v/>
      </c>
      <c r="AC588" s="34">
        <f>IF(OR($A588="",$H588&lt;&gt;"Ausgabe",O588=""),0,IF(O588="x",-$E588/(COUNTIF($J588:$Q588,"x")+1),-$E588*N(O588)))</f>
        <v/>
      </c>
      <c r="AD588" s="34">
        <f>IF(OR($A588="",$H588&lt;&gt;"Ausgabe",P588=""),0,IF(P588="x",-$E588/(COUNTIF($J588:$Q588,"x")+1),-$E588*N(P588)))</f>
        <v/>
      </c>
      <c r="AE588" s="34">
        <f>IF(OR($A588="",$H588&lt;&gt;"Ausgabe",Q588=""),0,IF(Q588="x",-$E588/(COUNTIF($J588:$Q588,"x")+1),-$E588*N(Q588)))</f>
        <v/>
      </c>
    </row>
    <row r="589">
      <c r="A589" s="30" t="n"/>
      <c r="E589" s="31" t="n"/>
      <c r="J589" s="32" t="n"/>
      <c r="K589" s="32" t="n"/>
      <c r="L589" s="32" t="n"/>
      <c r="M589" s="32" t="n"/>
      <c r="N589" s="32" t="n"/>
      <c r="O589" s="32" t="n"/>
      <c r="P589" s="32" t="n"/>
      <c r="Q589" s="32" t="n"/>
      <c r="U589" s="31">
        <f>IF($A589="","",SUM(X589:AE589))</f>
        <v/>
      </c>
      <c r="V589" s="31">
        <f>IF($A589="","",IF($H589&lt;&gt;"Ausgabe",0,-$E589-$U589))</f>
        <v/>
      </c>
      <c r="W589" s="33">
        <f>IF($A589="","",DATE(YEAR($A589),MONTH($A589),1))</f>
        <v/>
      </c>
      <c r="X589" s="34">
        <f>IF(OR($A589="",$H589&lt;&gt;"Ausgabe",J589=""),0,IF(J589="x",-$E589/(COUNTIF($J589:$Q589,"x")+1),-$E589*N(J589)))</f>
        <v/>
      </c>
      <c r="Y589" s="34">
        <f>IF(OR($A589="",$H589&lt;&gt;"Ausgabe",K589=""),0,IF(K589="x",-$E589/(COUNTIF($J589:$Q589,"x")+1),-$E589*N(K589)))</f>
        <v/>
      </c>
      <c r="Z589" s="34">
        <f>IF(OR($A589="",$H589&lt;&gt;"Ausgabe",L589=""),0,IF(L589="x",-$E589/(COUNTIF($J589:$Q589,"x")+1),-$E589*N(L589)))</f>
        <v/>
      </c>
      <c r="AA589" s="34">
        <f>IF(OR($A589="",$H589&lt;&gt;"Ausgabe",M589=""),0,IF(M589="x",-$E589/(COUNTIF($J589:$Q589,"x")+1),-$E589*N(M589)))</f>
        <v/>
      </c>
      <c r="AB589" s="34">
        <f>IF(OR($A589="",$H589&lt;&gt;"Ausgabe",N589=""),0,IF(N589="x",-$E589/(COUNTIF($J589:$Q589,"x")+1),-$E589*N(N589)))</f>
        <v/>
      </c>
      <c r="AC589" s="34">
        <f>IF(OR($A589="",$H589&lt;&gt;"Ausgabe",O589=""),0,IF(O589="x",-$E589/(COUNTIF($J589:$Q589,"x")+1),-$E589*N(O589)))</f>
        <v/>
      </c>
      <c r="AD589" s="34">
        <f>IF(OR($A589="",$H589&lt;&gt;"Ausgabe",P589=""),0,IF(P589="x",-$E589/(COUNTIF($J589:$Q589,"x")+1),-$E589*N(P589)))</f>
        <v/>
      </c>
      <c r="AE589" s="34">
        <f>IF(OR($A589="",$H589&lt;&gt;"Ausgabe",Q589=""),0,IF(Q589="x",-$E589/(COUNTIF($J589:$Q589,"x")+1),-$E589*N(Q589)))</f>
        <v/>
      </c>
    </row>
    <row r="590">
      <c r="A590" s="30" t="n"/>
      <c r="E590" s="31" t="n"/>
      <c r="J590" s="32" t="n"/>
      <c r="K590" s="32" t="n"/>
      <c r="L590" s="32" t="n"/>
      <c r="M590" s="32" t="n"/>
      <c r="N590" s="32" t="n"/>
      <c r="O590" s="32" t="n"/>
      <c r="P590" s="32" t="n"/>
      <c r="Q590" s="32" t="n"/>
      <c r="U590" s="31">
        <f>IF($A590="","",SUM(X590:AE590))</f>
        <v/>
      </c>
      <c r="V590" s="31">
        <f>IF($A590="","",IF($H590&lt;&gt;"Ausgabe",0,-$E590-$U590))</f>
        <v/>
      </c>
      <c r="W590" s="33">
        <f>IF($A590="","",DATE(YEAR($A590),MONTH($A590),1))</f>
        <v/>
      </c>
      <c r="X590" s="34">
        <f>IF(OR($A590="",$H590&lt;&gt;"Ausgabe",J590=""),0,IF(J590="x",-$E590/(COUNTIF($J590:$Q590,"x")+1),-$E590*N(J590)))</f>
        <v/>
      </c>
      <c r="Y590" s="34">
        <f>IF(OR($A590="",$H590&lt;&gt;"Ausgabe",K590=""),0,IF(K590="x",-$E590/(COUNTIF($J590:$Q590,"x")+1),-$E590*N(K590)))</f>
        <v/>
      </c>
      <c r="Z590" s="34">
        <f>IF(OR($A590="",$H590&lt;&gt;"Ausgabe",L590=""),0,IF(L590="x",-$E590/(COUNTIF($J590:$Q590,"x")+1),-$E590*N(L590)))</f>
        <v/>
      </c>
      <c r="AA590" s="34">
        <f>IF(OR($A590="",$H590&lt;&gt;"Ausgabe",M590=""),0,IF(M590="x",-$E590/(COUNTIF($J590:$Q590,"x")+1),-$E590*N(M590)))</f>
        <v/>
      </c>
      <c r="AB590" s="34">
        <f>IF(OR($A590="",$H590&lt;&gt;"Ausgabe",N590=""),0,IF(N590="x",-$E590/(COUNTIF($J590:$Q590,"x")+1),-$E590*N(N590)))</f>
        <v/>
      </c>
      <c r="AC590" s="34">
        <f>IF(OR($A590="",$H590&lt;&gt;"Ausgabe",O590=""),0,IF(O590="x",-$E590/(COUNTIF($J590:$Q590,"x")+1),-$E590*N(O590)))</f>
        <v/>
      </c>
      <c r="AD590" s="34">
        <f>IF(OR($A590="",$H590&lt;&gt;"Ausgabe",P590=""),0,IF(P590="x",-$E590/(COUNTIF($J590:$Q590,"x")+1),-$E590*N(P590)))</f>
        <v/>
      </c>
      <c r="AE590" s="34">
        <f>IF(OR($A590="",$H590&lt;&gt;"Ausgabe",Q590=""),0,IF(Q590="x",-$E590/(COUNTIF($J590:$Q590,"x")+1),-$E590*N(Q590)))</f>
        <v/>
      </c>
    </row>
    <row r="591">
      <c r="A591" s="30" t="n"/>
      <c r="E591" s="31" t="n"/>
      <c r="J591" s="32" t="n"/>
      <c r="K591" s="32" t="n"/>
      <c r="L591" s="32" t="n"/>
      <c r="M591" s="32" t="n"/>
      <c r="N591" s="32" t="n"/>
      <c r="O591" s="32" t="n"/>
      <c r="P591" s="32" t="n"/>
      <c r="Q591" s="32" t="n"/>
      <c r="U591" s="31">
        <f>IF($A591="","",SUM(X591:AE591))</f>
        <v/>
      </c>
      <c r="V591" s="31">
        <f>IF($A591="","",IF($H591&lt;&gt;"Ausgabe",0,-$E591-$U591))</f>
        <v/>
      </c>
      <c r="W591" s="33">
        <f>IF($A591="","",DATE(YEAR($A591),MONTH($A591),1))</f>
        <v/>
      </c>
      <c r="X591" s="34">
        <f>IF(OR($A591="",$H591&lt;&gt;"Ausgabe",J591=""),0,IF(J591="x",-$E591/(COUNTIF($J591:$Q591,"x")+1),-$E591*N(J591)))</f>
        <v/>
      </c>
      <c r="Y591" s="34">
        <f>IF(OR($A591="",$H591&lt;&gt;"Ausgabe",K591=""),0,IF(K591="x",-$E591/(COUNTIF($J591:$Q591,"x")+1),-$E591*N(K591)))</f>
        <v/>
      </c>
      <c r="Z591" s="34">
        <f>IF(OR($A591="",$H591&lt;&gt;"Ausgabe",L591=""),0,IF(L591="x",-$E591/(COUNTIF($J591:$Q591,"x")+1),-$E591*N(L591)))</f>
        <v/>
      </c>
      <c r="AA591" s="34">
        <f>IF(OR($A591="",$H591&lt;&gt;"Ausgabe",M591=""),0,IF(M591="x",-$E591/(COUNTIF($J591:$Q591,"x")+1),-$E591*N(M591)))</f>
        <v/>
      </c>
      <c r="AB591" s="34">
        <f>IF(OR($A591="",$H591&lt;&gt;"Ausgabe",N591=""),0,IF(N591="x",-$E591/(COUNTIF($J591:$Q591,"x")+1),-$E591*N(N591)))</f>
        <v/>
      </c>
      <c r="AC591" s="34">
        <f>IF(OR($A591="",$H591&lt;&gt;"Ausgabe",O591=""),0,IF(O591="x",-$E591/(COUNTIF($J591:$Q591,"x")+1),-$E591*N(O591)))</f>
        <v/>
      </c>
      <c r="AD591" s="34">
        <f>IF(OR($A591="",$H591&lt;&gt;"Ausgabe",P591=""),0,IF(P591="x",-$E591/(COUNTIF($J591:$Q591,"x")+1),-$E591*N(P591)))</f>
        <v/>
      </c>
      <c r="AE591" s="34">
        <f>IF(OR($A591="",$H591&lt;&gt;"Ausgabe",Q591=""),0,IF(Q591="x",-$E591/(COUNTIF($J591:$Q591,"x")+1),-$E591*N(Q591)))</f>
        <v/>
      </c>
    </row>
    <row r="592">
      <c r="A592" s="30" t="n"/>
      <c r="E592" s="31" t="n"/>
      <c r="J592" s="32" t="n"/>
      <c r="K592" s="32" t="n"/>
      <c r="L592" s="32" t="n"/>
      <c r="M592" s="32" t="n"/>
      <c r="N592" s="32" t="n"/>
      <c r="O592" s="32" t="n"/>
      <c r="P592" s="32" t="n"/>
      <c r="Q592" s="32" t="n"/>
      <c r="U592" s="31">
        <f>IF($A592="","",SUM(X592:AE592))</f>
        <v/>
      </c>
      <c r="V592" s="31">
        <f>IF($A592="","",IF($H592&lt;&gt;"Ausgabe",0,-$E592-$U592))</f>
        <v/>
      </c>
      <c r="W592" s="33">
        <f>IF($A592="","",DATE(YEAR($A592),MONTH($A592),1))</f>
        <v/>
      </c>
      <c r="X592" s="34">
        <f>IF(OR($A592="",$H592&lt;&gt;"Ausgabe",J592=""),0,IF(J592="x",-$E592/(COUNTIF($J592:$Q592,"x")+1),-$E592*N(J592)))</f>
        <v/>
      </c>
      <c r="Y592" s="34">
        <f>IF(OR($A592="",$H592&lt;&gt;"Ausgabe",K592=""),0,IF(K592="x",-$E592/(COUNTIF($J592:$Q592,"x")+1),-$E592*N(K592)))</f>
        <v/>
      </c>
      <c r="Z592" s="34">
        <f>IF(OR($A592="",$H592&lt;&gt;"Ausgabe",L592=""),0,IF(L592="x",-$E592/(COUNTIF($J592:$Q592,"x")+1),-$E592*N(L592)))</f>
        <v/>
      </c>
      <c r="AA592" s="34">
        <f>IF(OR($A592="",$H592&lt;&gt;"Ausgabe",M592=""),0,IF(M592="x",-$E592/(COUNTIF($J592:$Q592,"x")+1),-$E592*N(M592)))</f>
        <v/>
      </c>
      <c r="AB592" s="34">
        <f>IF(OR($A592="",$H592&lt;&gt;"Ausgabe",N592=""),0,IF(N592="x",-$E592/(COUNTIF($J592:$Q592,"x")+1),-$E592*N(N592)))</f>
        <v/>
      </c>
      <c r="AC592" s="34">
        <f>IF(OR($A592="",$H592&lt;&gt;"Ausgabe",O592=""),0,IF(O592="x",-$E592/(COUNTIF($J592:$Q592,"x")+1),-$E592*N(O592)))</f>
        <v/>
      </c>
      <c r="AD592" s="34">
        <f>IF(OR($A592="",$H592&lt;&gt;"Ausgabe",P592=""),0,IF(P592="x",-$E592/(COUNTIF($J592:$Q592,"x")+1),-$E592*N(P592)))</f>
        <v/>
      </c>
      <c r="AE592" s="34">
        <f>IF(OR($A592="",$H592&lt;&gt;"Ausgabe",Q592=""),0,IF(Q592="x",-$E592/(COUNTIF($J592:$Q592,"x")+1),-$E592*N(Q592)))</f>
        <v/>
      </c>
    </row>
    <row r="593">
      <c r="A593" s="30" t="n"/>
      <c r="E593" s="31" t="n"/>
      <c r="J593" s="32" t="n"/>
      <c r="K593" s="32" t="n"/>
      <c r="L593" s="32" t="n"/>
      <c r="M593" s="32" t="n"/>
      <c r="N593" s="32" t="n"/>
      <c r="O593" s="32" t="n"/>
      <c r="P593" s="32" t="n"/>
      <c r="Q593" s="32" t="n"/>
      <c r="U593" s="31">
        <f>IF($A593="","",SUM(X593:AE593))</f>
        <v/>
      </c>
      <c r="V593" s="31">
        <f>IF($A593="","",IF($H593&lt;&gt;"Ausgabe",0,-$E593-$U593))</f>
        <v/>
      </c>
      <c r="W593" s="33">
        <f>IF($A593="","",DATE(YEAR($A593),MONTH($A593),1))</f>
        <v/>
      </c>
      <c r="X593" s="34">
        <f>IF(OR($A593="",$H593&lt;&gt;"Ausgabe",J593=""),0,IF(J593="x",-$E593/(COUNTIF($J593:$Q593,"x")+1),-$E593*N(J593)))</f>
        <v/>
      </c>
      <c r="Y593" s="34">
        <f>IF(OR($A593="",$H593&lt;&gt;"Ausgabe",K593=""),0,IF(K593="x",-$E593/(COUNTIF($J593:$Q593,"x")+1),-$E593*N(K593)))</f>
        <v/>
      </c>
      <c r="Z593" s="34">
        <f>IF(OR($A593="",$H593&lt;&gt;"Ausgabe",L593=""),0,IF(L593="x",-$E593/(COUNTIF($J593:$Q593,"x")+1),-$E593*N(L593)))</f>
        <v/>
      </c>
      <c r="AA593" s="34">
        <f>IF(OR($A593="",$H593&lt;&gt;"Ausgabe",M593=""),0,IF(M593="x",-$E593/(COUNTIF($J593:$Q593,"x")+1),-$E593*N(M593)))</f>
        <v/>
      </c>
      <c r="AB593" s="34">
        <f>IF(OR($A593="",$H593&lt;&gt;"Ausgabe",N593=""),0,IF(N593="x",-$E593/(COUNTIF($J593:$Q593,"x")+1),-$E593*N(N593)))</f>
        <v/>
      </c>
      <c r="AC593" s="34">
        <f>IF(OR($A593="",$H593&lt;&gt;"Ausgabe",O593=""),0,IF(O593="x",-$E593/(COUNTIF($J593:$Q593,"x")+1),-$E593*N(O593)))</f>
        <v/>
      </c>
      <c r="AD593" s="34">
        <f>IF(OR($A593="",$H593&lt;&gt;"Ausgabe",P593=""),0,IF(P593="x",-$E593/(COUNTIF($J593:$Q593,"x")+1),-$E593*N(P593)))</f>
        <v/>
      </c>
      <c r="AE593" s="34">
        <f>IF(OR($A593="",$H593&lt;&gt;"Ausgabe",Q593=""),0,IF(Q593="x",-$E593/(COUNTIF($J593:$Q593,"x")+1),-$E593*N(Q593)))</f>
        <v/>
      </c>
    </row>
    <row r="594">
      <c r="A594" s="30" t="n"/>
      <c r="E594" s="31" t="n"/>
      <c r="J594" s="32" t="n"/>
      <c r="K594" s="32" t="n"/>
      <c r="L594" s="32" t="n"/>
      <c r="M594" s="32" t="n"/>
      <c r="N594" s="32" t="n"/>
      <c r="O594" s="32" t="n"/>
      <c r="P594" s="32" t="n"/>
      <c r="Q594" s="32" t="n"/>
      <c r="U594" s="31">
        <f>IF($A594="","",SUM(X594:AE594))</f>
        <v/>
      </c>
      <c r="V594" s="31">
        <f>IF($A594="","",IF($H594&lt;&gt;"Ausgabe",0,-$E594-$U594))</f>
        <v/>
      </c>
      <c r="W594" s="33">
        <f>IF($A594="","",DATE(YEAR($A594),MONTH($A594),1))</f>
        <v/>
      </c>
      <c r="X594" s="34">
        <f>IF(OR($A594="",$H594&lt;&gt;"Ausgabe",J594=""),0,IF(J594="x",-$E594/(COUNTIF($J594:$Q594,"x")+1),-$E594*N(J594)))</f>
        <v/>
      </c>
      <c r="Y594" s="34">
        <f>IF(OR($A594="",$H594&lt;&gt;"Ausgabe",K594=""),0,IF(K594="x",-$E594/(COUNTIF($J594:$Q594,"x")+1),-$E594*N(K594)))</f>
        <v/>
      </c>
      <c r="Z594" s="34">
        <f>IF(OR($A594="",$H594&lt;&gt;"Ausgabe",L594=""),0,IF(L594="x",-$E594/(COUNTIF($J594:$Q594,"x")+1),-$E594*N(L594)))</f>
        <v/>
      </c>
      <c r="AA594" s="34">
        <f>IF(OR($A594="",$H594&lt;&gt;"Ausgabe",M594=""),0,IF(M594="x",-$E594/(COUNTIF($J594:$Q594,"x")+1),-$E594*N(M594)))</f>
        <v/>
      </c>
      <c r="AB594" s="34">
        <f>IF(OR($A594="",$H594&lt;&gt;"Ausgabe",N594=""),0,IF(N594="x",-$E594/(COUNTIF($J594:$Q594,"x")+1),-$E594*N(N594)))</f>
        <v/>
      </c>
      <c r="AC594" s="34">
        <f>IF(OR($A594="",$H594&lt;&gt;"Ausgabe",O594=""),0,IF(O594="x",-$E594/(COUNTIF($J594:$Q594,"x")+1),-$E594*N(O594)))</f>
        <v/>
      </c>
      <c r="AD594" s="34">
        <f>IF(OR($A594="",$H594&lt;&gt;"Ausgabe",P594=""),0,IF(P594="x",-$E594/(COUNTIF($J594:$Q594,"x")+1),-$E594*N(P594)))</f>
        <v/>
      </c>
      <c r="AE594" s="34">
        <f>IF(OR($A594="",$H594&lt;&gt;"Ausgabe",Q594=""),0,IF(Q594="x",-$E594/(COUNTIF($J594:$Q594,"x")+1),-$E594*N(Q594)))</f>
        <v/>
      </c>
    </row>
    <row r="595">
      <c r="A595" s="30" t="n"/>
      <c r="E595" s="31" t="n"/>
      <c r="J595" s="32" t="n"/>
      <c r="K595" s="32" t="n"/>
      <c r="L595" s="32" t="n"/>
      <c r="M595" s="32" t="n"/>
      <c r="N595" s="32" t="n"/>
      <c r="O595" s="32" t="n"/>
      <c r="P595" s="32" t="n"/>
      <c r="Q595" s="32" t="n"/>
      <c r="U595" s="31">
        <f>IF($A595="","",SUM(X595:AE595))</f>
        <v/>
      </c>
      <c r="V595" s="31">
        <f>IF($A595="","",IF($H595&lt;&gt;"Ausgabe",0,-$E595-$U595))</f>
        <v/>
      </c>
      <c r="W595" s="33">
        <f>IF($A595="","",DATE(YEAR($A595),MONTH($A595),1))</f>
        <v/>
      </c>
      <c r="X595" s="34">
        <f>IF(OR($A595="",$H595&lt;&gt;"Ausgabe",J595=""),0,IF(J595="x",-$E595/(COUNTIF($J595:$Q595,"x")+1),-$E595*N(J595)))</f>
        <v/>
      </c>
      <c r="Y595" s="34">
        <f>IF(OR($A595="",$H595&lt;&gt;"Ausgabe",K595=""),0,IF(K595="x",-$E595/(COUNTIF($J595:$Q595,"x")+1),-$E595*N(K595)))</f>
        <v/>
      </c>
      <c r="Z595" s="34">
        <f>IF(OR($A595="",$H595&lt;&gt;"Ausgabe",L595=""),0,IF(L595="x",-$E595/(COUNTIF($J595:$Q595,"x")+1),-$E595*N(L595)))</f>
        <v/>
      </c>
      <c r="AA595" s="34">
        <f>IF(OR($A595="",$H595&lt;&gt;"Ausgabe",M595=""),0,IF(M595="x",-$E595/(COUNTIF($J595:$Q595,"x")+1),-$E595*N(M595)))</f>
        <v/>
      </c>
      <c r="AB595" s="34">
        <f>IF(OR($A595="",$H595&lt;&gt;"Ausgabe",N595=""),0,IF(N595="x",-$E595/(COUNTIF($J595:$Q595,"x")+1),-$E595*N(N595)))</f>
        <v/>
      </c>
      <c r="AC595" s="34">
        <f>IF(OR($A595="",$H595&lt;&gt;"Ausgabe",O595=""),0,IF(O595="x",-$E595/(COUNTIF($J595:$Q595,"x")+1),-$E595*N(O595)))</f>
        <v/>
      </c>
      <c r="AD595" s="34">
        <f>IF(OR($A595="",$H595&lt;&gt;"Ausgabe",P595=""),0,IF(P595="x",-$E595/(COUNTIF($J595:$Q595,"x")+1),-$E595*N(P595)))</f>
        <v/>
      </c>
      <c r="AE595" s="34">
        <f>IF(OR($A595="",$H595&lt;&gt;"Ausgabe",Q595=""),0,IF(Q595="x",-$E595/(COUNTIF($J595:$Q595,"x")+1),-$E595*N(Q595)))</f>
        <v/>
      </c>
    </row>
    <row r="596">
      <c r="A596" s="30" t="n"/>
      <c r="E596" s="31" t="n"/>
      <c r="J596" s="32" t="n"/>
      <c r="K596" s="32" t="n"/>
      <c r="L596" s="32" t="n"/>
      <c r="M596" s="32" t="n"/>
      <c r="N596" s="32" t="n"/>
      <c r="O596" s="32" t="n"/>
      <c r="P596" s="32" t="n"/>
      <c r="Q596" s="32" t="n"/>
      <c r="U596" s="31">
        <f>IF($A596="","",SUM(X596:AE596))</f>
        <v/>
      </c>
      <c r="V596" s="31">
        <f>IF($A596="","",IF($H596&lt;&gt;"Ausgabe",0,-$E596-$U596))</f>
        <v/>
      </c>
      <c r="W596" s="33">
        <f>IF($A596="","",DATE(YEAR($A596),MONTH($A596),1))</f>
        <v/>
      </c>
      <c r="X596" s="34">
        <f>IF(OR($A596="",$H596&lt;&gt;"Ausgabe",J596=""),0,IF(J596="x",-$E596/(COUNTIF($J596:$Q596,"x")+1),-$E596*N(J596)))</f>
        <v/>
      </c>
      <c r="Y596" s="34">
        <f>IF(OR($A596="",$H596&lt;&gt;"Ausgabe",K596=""),0,IF(K596="x",-$E596/(COUNTIF($J596:$Q596,"x")+1),-$E596*N(K596)))</f>
        <v/>
      </c>
      <c r="Z596" s="34">
        <f>IF(OR($A596="",$H596&lt;&gt;"Ausgabe",L596=""),0,IF(L596="x",-$E596/(COUNTIF($J596:$Q596,"x")+1),-$E596*N(L596)))</f>
        <v/>
      </c>
      <c r="AA596" s="34">
        <f>IF(OR($A596="",$H596&lt;&gt;"Ausgabe",M596=""),0,IF(M596="x",-$E596/(COUNTIF($J596:$Q596,"x")+1),-$E596*N(M596)))</f>
        <v/>
      </c>
      <c r="AB596" s="34">
        <f>IF(OR($A596="",$H596&lt;&gt;"Ausgabe",N596=""),0,IF(N596="x",-$E596/(COUNTIF($J596:$Q596,"x")+1),-$E596*N(N596)))</f>
        <v/>
      </c>
      <c r="AC596" s="34">
        <f>IF(OR($A596="",$H596&lt;&gt;"Ausgabe",O596=""),0,IF(O596="x",-$E596/(COUNTIF($J596:$Q596,"x")+1),-$E596*N(O596)))</f>
        <v/>
      </c>
      <c r="AD596" s="34">
        <f>IF(OR($A596="",$H596&lt;&gt;"Ausgabe",P596=""),0,IF(P596="x",-$E596/(COUNTIF($J596:$Q596,"x")+1),-$E596*N(P596)))</f>
        <v/>
      </c>
      <c r="AE596" s="34">
        <f>IF(OR($A596="",$H596&lt;&gt;"Ausgabe",Q596=""),0,IF(Q596="x",-$E596/(COUNTIF($J596:$Q596,"x")+1),-$E596*N(Q596)))</f>
        <v/>
      </c>
    </row>
    <row r="597">
      <c r="A597" s="30" t="n"/>
      <c r="E597" s="31" t="n"/>
      <c r="J597" s="32" t="n"/>
      <c r="K597" s="32" t="n"/>
      <c r="L597" s="32" t="n"/>
      <c r="M597" s="32" t="n"/>
      <c r="N597" s="32" t="n"/>
      <c r="O597" s="32" t="n"/>
      <c r="P597" s="32" t="n"/>
      <c r="Q597" s="32" t="n"/>
      <c r="U597" s="31">
        <f>IF($A597="","",SUM(X597:AE597))</f>
        <v/>
      </c>
      <c r="V597" s="31">
        <f>IF($A597="","",IF($H597&lt;&gt;"Ausgabe",0,-$E597-$U597))</f>
        <v/>
      </c>
      <c r="W597" s="33">
        <f>IF($A597="","",DATE(YEAR($A597),MONTH($A597),1))</f>
        <v/>
      </c>
      <c r="X597" s="34">
        <f>IF(OR($A597="",$H597&lt;&gt;"Ausgabe",J597=""),0,IF(J597="x",-$E597/(COUNTIF($J597:$Q597,"x")+1),-$E597*N(J597)))</f>
        <v/>
      </c>
      <c r="Y597" s="34">
        <f>IF(OR($A597="",$H597&lt;&gt;"Ausgabe",K597=""),0,IF(K597="x",-$E597/(COUNTIF($J597:$Q597,"x")+1),-$E597*N(K597)))</f>
        <v/>
      </c>
      <c r="Z597" s="34">
        <f>IF(OR($A597="",$H597&lt;&gt;"Ausgabe",L597=""),0,IF(L597="x",-$E597/(COUNTIF($J597:$Q597,"x")+1),-$E597*N(L597)))</f>
        <v/>
      </c>
      <c r="AA597" s="34">
        <f>IF(OR($A597="",$H597&lt;&gt;"Ausgabe",M597=""),0,IF(M597="x",-$E597/(COUNTIF($J597:$Q597,"x")+1),-$E597*N(M597)))</f>
        <v/>
      </c>
      <c r="AB597" s="34">
        <f>IF(OR($A597="",$H597&lt;&gt;"Ausgabe",N597=""),0,IF(N597="x",-$E597/(COUNTIF($J597:$Q597,"x")+1),-$E597*N(N597)))</f>
        <v/>
      </c>
      <c r="AC597" s="34">
        <f>IF(OR($A597="",$H597&lt;&gt;"Ausgabe",O597=""),0,IF(O597="x",-$E597/(COUNTIF($J597:$Q597,"x")+1),-$E597*N(O597)))</f>
        <v/>
      </c>
      <c r="AD597" s="34">
        <f>IF(OR($A597="",$H597&lt;&gt;"Ausgabe",P597=""),0,IF(P597="x",-$E597/(COUNTIF($J597:$Q597,"x")+1),-$E597*N(P597)))</f>
        <v/>
      </c>
      <c r="AE597" s="34">
        <f>IF(OR($A597="",$H597&lt;&gt;"Ausgabe",Q597=""),0,IF(Q597="x",-$E597/(COUNTIF($J597:$Q597,"x")+1),-$E597*N(Q597)))</f>
        <v/>
      </c>
    </row>
    <row r="598">
      <c r="A598" s="30" t="n"/>
      <c r="E598" s="31" t="n"/>
      <c r="J598" s="32" t="n"/>
      <c r="K598" s="32" t="n"/>
      <c r="L598" s="32" t="n"/>
      <c r="M598" s="32" t="n"/>
      <c r="N598" s="32" t="n"/>
      <c r="O598" s="32" t="n"/>
      <c r="P598" s="32" t="n"/>
      <c r="Q598" s="32" t="n"/>
      <c r="U598" s="31">
        <f>IF($A598="","",SUM(X598:AE598))</f>
        <v/>
      </c>
      <c r="V598" s="31">
        <f>IF($A598="","",IF($H598&lt;&gt;"Ausgabe",0,-$E598-$U598))</f>
        <v/>
      </c>
      <c r="W598" s="33">
        <f>IF($A598="","",DATE(YEAR($A598),MONTH($A598),1))</f>
        <v/>
      </c>
      <c r="X598" s="34">
        <f>IF(OR($A598="",$H598&lt;&gt;"Ausgabe",J598=""),0,IF(J598="x",-$E598/(COUNTIF($J598:$Q598,"x")+1),-$E598*N(J598)))</f>
        <v/>
      </c>
      <c r="Y598" s="34">
        <f>IF(OR($A598="",$H598&lt;&gt;"Ausgabe",K598=""),0,IF(K598="x",-$E598/(COUNTIF($J598:$Q598,"x")+1),-$E598*N(K598)))</f>
        <v/>
      </c>
      <c r="Z598" s="34">
        <f>IF(OR($A598="",$H598&lt;&gt;"Ausgabe",L598=""),0,IF(L598="x",-$E598/(COUNTIF($J598:$Q598,"x")+1),-$E598*N(L598)))</f>
        <v/>
      </c>
      <c r="AA598" s="34">
        <f>IF(OR($A598="",$H598&lt;&gt;"Ausgabe",M598=""),0,IF(M598="x",-$E598/(COUNTIF($J598:$Q598,"x")+1),-$E598*N(M598)))</f>
        <v/>
      </c>
      <c r="AB598" s="34">
        <f>IF(OR($A598="",$H598&lt;&gt;"Ausgabe",N598=""),0,IF(N598="x",-$E598/(COUNTIF($J598:$Q598,"x")+1),-$E598*N(N598)))</f>
        <v/>
      </c>
      <c r="AC598" s="34">
        <f>IF(OR($A598="",$H598&lt;&gt;"Ausgabe",O598=""),0,IF(O598="x",-$E598/(COUNTIF($J598:$Q598,"x")+1),-$E598*N(O598)))</f>
        <v/>
      </c>
      <c r="AD598" s="34">
        <f>IF(OR($A598="",$H598&lt;&gt;"Ausgabe",P598=""),0,IF(P598="x",-$E598/(COUNTIF($J598:$Q598,"x")+1),-$E598*N(P598)))</f>
        <v/>
      </c>
      <c r="AE598" s="34">
        <f>IF(OR($A598="",$H598&lt;&gt;"Ausgabe",Q598=""),0,IF(Q598="x",-$E598/(COUNTIF($J598:$Q598,"x")+1),-$E598*N(Q598)))</f>
        <v/>
      </c>
    </row>
    <row r="599">
      <c r="A599" s="30" t="n"/>
      <c r="E599" s="31" t="n"/>
      <c r="J599" s="32" t="n"/>
      <c r="K599" s="32" t="n"/>
      <c r="L599" s="32" t="n"/>
      <c r="M599" s="32" t="n"/>
      <c r="N599" s="32" t="n"/>
      <c r="O599" s="32" t="n"/>
      <c r="P599" s="32" t="n"/>
      <c r="Q599" s="32" t="n"/>
      <c r="U599" s="31">
        <f>IF($A599="","",SUM(X599:AE599))</f>
        <v/>
      </c>
      <c r="V599" s="31">
        <f>IF($A599="","",IF($H599&lt;&gt;"Ausgabe",0,-$E599-$U599))</f>
        <v/>
      </c>
      <c r="W599" s="33">
        <f>IF($A599="","",DATE(YEAR($A599),MONTH($A599),1))</f>
        <v/>
      </c>
      <c r="X599" s="34">
        <f>IF(OR($A599="",$H599&lt;&gt;"Ausgabe",J599=""),0,IF(J599="x",-$E599/(COUNTIF($J599:$Q599,"x")+1),-$E599*N(J599)))</f>
        <v/>
      </c>
      <c r="Y599" s="34">
        <f>IF(OR($A599="",$H599&lt;&gt;"Ausgabe",K599=""),0,IF(K599="x",-$E599/(COUNTIF($J599:$Q599,"x")+1),-$E599*N(K599)))</f>
        <v/>
      </c>
      <c r="Z599" s="34">
        <f>IF(OR($A599="",$H599&lt;&gt;"Ausgabe",L599=""),0,IF(L599="x",-$E599/(COUNTIF($J599:$Q599,"x")+1),-$E599*N(L599)))</f>
        <v/>
      </c>
      <c r="AA599" s="34">
        <f>IF(OR($A599="",$H599&lt;&gt;"Ausgabe",M599=""),0,IF(M599="x",-$E599/(COUNTIF($J599:$Q599,"x")+1),-$E599*N(M599)))</f>
        <v/>
      </c>
      <c r="AB599" s="34">
        <f>IF(OR($A599="",$H599&lt;&gt;"Ausgabe",N599=""),0,IF(N599="x",-$E599/(COUNTIF($J599:$Q599,"x")+1),-$E599*N(N599)))</f>
        <v/>
      </c>
      <c r="AC599" s="34">
        <f>IF(OR($A599="",$H599&lt;&gt;"Ausgabe",O599=""),0,IF(O599="x",-$E599/(COUNTIF($J599:$Q599,"x")+1),-$E599*N(O599)))</f>
        <v/>
      </c>
      <c r="AD599" s="34">
        <f>IF(OR($A599="",$H599&lt;&gt;"Ausgabe",P599=""),0,IF(P599="x",-$E599/(COUNTIF($J599:$Q599,"x")+1),-$E599*N(P599)))</f>
        <v/>
      </c>
      <c r="AE599" s="34">
        <f>IF(OR($A599="",$H599&lt;&gt;"Ausgabe",Q599=""),0,IF(Q599="x",-$E599/(COUNTIF($J599:$Q599,"x")+1),-$E599*N(Q599)))</f>
        <v/>
      </c>
    </row>
    <row r="600">
      <c r="A600" s="30" t="n"/>
      <c r="E600" s="31" t="n"/>
      <c r="J600" s="32" t="n"/>
      <c r="K600" s="32" t="n"/>
      <c r="L600" s="32" t="n"/>
      <c r="M600" s="32" t="n"/>
      <c r="N600" s="32" t="n"/>
      <c r="O600" s="32" t="n"/>
      <c r="P600" s="32" t="n"/>
      <c r="Q600" s="32" t="n"/>
      <c r="U600" s="31">
        <f>IF($A600="","",SUM(X600:AE600))</f>
        <v/>
      </c>
      <c r="V600" s="31">
        <f>IF($A600="","",IF($H600&lt;&gt;"Ausgabe",0,-$E600-$U600))</f>
        <v/>
      </c>
      <c r="W600" s="33">
        <f>IF($A600="","",DATE(YEAR($A600),MONTH($A600),1))</f>
        <v/>
      </c>
      <c r="X600" s="34">
        <f>IF(OR($A600="",$H600&lt;&gt;"Ausgabe",J600=""),0,IF(J600="x",-$E600/(COUNTIF($J600:$Q600,"x")+1),-$E600*N(J600)))</f>
        <v/>
      </c>
      <c r="Y600" s="34">
        <f>IF(OR($A600="",$H600&lt;&gt;"Ausgabe",K600=""),0,IF(K600="x",-$E600/(COUNTIF($J600:$Q600,"x")+1),-$E600*N(K600)))</f>
        <v/>
      </c>
      <c r="Z600" s="34">
        <f>IF(OR($A600="",$H600&lt;&gt;"Ausgabe",L600=""),0,IF(L600="x",-$E600/(COUNTIF($J600:$Q600,"x")+1),-$E600*N(L600)))</f>
        <v/>
      </c>
      <c r="AA600" s="34">
        <f>IF(OR($A600="",$H600&lt;&gt;"Ausgabe",M600=""),0,IF(M600="x",-$E600/(COUNTIF($J600:$Q600,"x")+1),-$E600*N(M600)))</f>
        <v/>
      </c>
      <c r="AB600" s="34">
        <f>IF(OR($A600="",$H600&lt;&gt;"Ausgabe",N600=""),0,IF(N600="x",-$E600/(COUNTIF($J600:$Q600,"x")+1),-$E600*N(N600)))</f>
        <v/>
      </c>
      <c r="AC600" s="34">
        <f>IF(OR($A600="",$H600&lt;&gt;"Ausgabe",O600=""),0,IF(O600="x",-$E600/(COUNTIF($J600:$Q600,"x")+1),-$E600*N(O600)))</f>
        <v/>
      </c>
      <c r="AD600" s="34">
        <f>IF(OR($A600="",$H600&lt;&gt;"Ausgabe",P600=""),0,IF(P600="x",-$E600/(COUNTIF($J600:$Q600,"x")+1),-$E600*N(P600)))</f>
        <v/>
      </c>
      <c r="AE600" s="34">
        <f>IF(OR($A600="",$H600&lt;&gt;"Ausgabe",Q600=""),0,IF(Q600="x",-$E600/(COUNTIF($J600:$Q600,"x")+1),-$E600*N(Q600)))</f>
        <v/>
      </c>
    </row>
    <row r="601">
      <c r="A601" s="30" t="n"/>
      <c r="E601" s="31" t="n"/>
      <c r="J601" s="32" t="n"/>
      <c r="K601" s="32" t="n"/>
      <c r="L601" s="32" t="n"/>
      <c r="M601" s="32" t="n"/>
      <c r="N601" s="32" t="n"/>
      <c r="O601" s="32" t="n"/>
      <c r="P601" s="32" t="n"/>
      <c r="Q601" s="32" t="n"/>
      <c r="U601" s="31">
        <f>IF($A601="","",SUM(X601:AE601))</f>
        <v/>
      </c>
      <c r="V601" s="31">
        <f>IF($A601="","",IF($H601&lt;&gt;"Ausgabe",0,-$E601-$U601))</f>
        <v/>
      </c>
      <c r="W601" s="33">
        <f>IF($A601="","",DATE(YEAR($A601),MONTH($A601),1))</f>
        <v/>
      </c>
      <c r="X601" s="34">
        <f>IF(OR($A601="",$H601&lt;&gt;"Ausgabe",J601=""),0,IF(J601="x",-$E601/(COUNTIF($J601:$Q601,"x")+1),-$E601*N(J601)))</f>
        <v/>
      </c>
      <c r="Y601" s="34">
        <f>IF(OR($A601="",$H601&lt;&gt;"Ausgabe",K601=""),0,IF(K601="x",-$E601/(COUNTIF($J601:$Q601,"x")+1),-$E601*N(K601)))</f>
        <v/>
      </c>
      <c r="Z601" s="34">
        <f>IF(OR($A601="",$H601&lt;&gt;"Ausgabe",L601=""),0,IF(L601="x",-$E601/(COUNTIF($J601:$Q601,"x")+1),-$E601*N(L601)))</f>
        <v/>
      </c>
      <c r="AA601" s="34">
        <f>IF(OR($A601="",$H601&lt;&gt;"Ausgabe",M601=""),0,IF(M601="x",-$E601/(COUNTIF($J601:$Q601,"x")+1),-$E601*N(M601)))</f>
        <v/>
      </c>
      <c r="AB601" s="34">
        <f>IF(OR($A601="",$H601&lt;&gt;"Ausgabe",N601=""),0,IF(N601="x",-$E601/(COUNTIF($J601:$Q601,"x")+1),-$E601*N(N601)))</f>
        <v/>
      </c>
      <c r="AC601" s="34">
        <f>IF(OR($A601="",$H601&lt;&gt;"Ausgabe",O601=""),0,IF(O601="x",-$E601/(COUNTIF($J601:$Q601,"x")+1),-$E601*N(O601)))</f>
        <v/>
      </c>
      <c r="AD601" s="34">
        <f>IF(OR($A601="",$H601&lt;&gt;"Ausgabe",P601=""),0,IF(P601="x",-$E601/(COUNTIF($J601:$Q601,"x")+1),-$E601*N(P601)))</f>
        <v/>
      </c>
      <c r="AE601" s="34">
        <f>IF(OR($A601="",$H601&lt;&gt;"Ausgabe",Q601=""),0,IF(Q601="x",-$E601/(COUNTIF($J601:$Q601,"x")+1),-$E601*N(Q601)))</f>
        <v/>
      </c>
    </row>
    <row r="602">
      <c r="A602" s="30" t="n"/>
      <c r="E602" s="31" t="n"/>
      <c r="J602" s="32" t="n"/>
      <c r="K602" s="32" t="n"/>
      <c r="L602" s="32" t="n"/>
      <c r="M602" s="32" t="n"/>
      <c r="N602" s="32" t="n"/>
      <c r="O602" s="32" t="n"/>
      <c r="P602" s="32" t="n"/>
      <c r="Q602" s="32" t="n"/>
      <c r="U602" s="31">
        <f>IF($A602="","",SUM(X602:AE602))</f>
        <v/>
      </c>
      <c r="V602" s="31">
        <f>IF($A602="","",IF($H602&lt;&gt;"Ausgabe",0,-$E602-$U602))</f>
        <v/>
      </c>
      <c r="W602" s="33">
        <f>IF($A602="","",DATE(YEAR($A602),MONTH($A602),1))</f>
        <v/>
      </c>
      <c r="X602" s="34">
        <f>IF(OR($A602="",$H602&lt;&gt;"Ausgabe",J602=""),0,IF(J602="x",-$E602/(COUNTIF($J602:$Q602,"x")+1),-$E602*N(J602)))</f>
        <v/>
      </c>
      <c r="Y602" s="34">
        <f>IF(OR($A602="",$H602&lt;&gt;"Ausgabe",K602=""),0,IF(K602="x",-$E602/(COUNTIF($J602:$Q602,"x")+1),-$E602*N(K602)))</f>
        <v/>
      </c>
      <c r="Z602" s="34">
        <f>IF(OR($A602="",$H602&lt;&gt;"Ausgabe",L602=""),0,IF(L602="x",-$E602/(COUNTIF($J602:$Q602,"x")+1),-$E602*N(L602)))</f>
        <v/>
      </c>
      <c r="AA602" s="34">
        <f>IF(OR($A602="",$H602&lt;&gt;"Ausgabe",M602=""),0,IF(M602="x",-$E602/(COUNTIF($J602:$Q602,"x")+1),-$E602*N(M602)))</f>
        <v/>
      </c>
      <c r="AB602" s="34">
        <f>IF(OR($A602="",$H602&lt;&gt;"Ausgabe",N602=""),0,IF(N602="x",-$E602/(COUNTIF($J602:$Q602,"x")+1),-$E602*N(N602)))</f>
        <v/>
      </c>
      <c r="AC602" s="34">
        <f>IF(OR($A602="",$H602&lt;&gt;"Ausgabe",O602=""),0,IF(O602="x",-$E602/(COUNTIF($J602:$Q602,"x")+1),-$E602*N(O602)))</f>
        <v/>
      </c>
      <c r="AD602" s="34">
        <f>IF(OR($A602="",$H602&lt;&gt;"Ausgabe",P602=""),0,IF(P602="x",-$E602/(COUNTIF($J602:$Q602,"x")+1),-$E602*N(P602)))</f>
        <v/>
      </c>
      <c r="AE602" s="34">
        <f>IF(OR($A602="",$H602&lt;&gt;"Ausgabe",Q602=""),0,IF(Q602="x",-$E602/(COUNTIF($J602:$Q602,"x")+1),-$E602*N(Q602)))</f>
        <v/>
      </c>
    </row>
    <row r="603">
      <c r="A603" s="30" t="n"/>
      <c r="E603" s="31" t="n"/>
      <c r="J603" s="32" t="n"/>
      <c r="K603" s="32" t="n"/>
      <c r="L603" s="32" t="n"/>
      <c r="M603" s="32" t="n"/>
      <c r="N603" s="32" t="n"/>
      <c r="O603" s="32" t="n"/>
      <c r="P603" s="32" t="n"/>
      <c r="Q603" s="32" t="n"/>
      <c r="U603" s="31">
        <f>IF($A603="","",SUM(X603:AE603))</f>
        <v/>
      </c>
      <c r="V603" s="31">
        <f>IF($A603="","",IF($H603&lt;&gt;"Ausgabe",0,-$E603-$U603))</f>
        <v/>
      </c>
      <c r="W603" s="33">
        <f>IF($A603="","",DATE(YEAR($A603),MONTH($A603),1))</f>
        <v/>
      </c>
      <c r="X603" s="34">
        <f>IF(OR($A603="",$H603&lt;&gt;"Ausgabe",J603=""),0,IF(J603="x",-$E603/(COUNTIF($J603:$Q603,"x")+1),-$E603*N(J603)))</f>
        <v/>
      </c>
      <c r="Y603" s="34">
        <f>IF(OR($A603="",$H603&lt;&gt;"Ausgabe",K603=""),0,IF(K603="x",-$E603/(COUNTIF($J603:$Q603,"x")+1),-$E603*N(K603)))</f>
        <v/>
      </c>
      <c r="Z603" s="34">
        <f>IF(OR($A603="",$H603&lt;&gt;"Ausgabe",L603=""),0,IF(L603="x",-$E603/(COUNTIF($J603:$Q603,"x")+1),-$E603*N(L603)))</f>
        <v/>
      </c>
      <c r="AA603" s="34">
        <f>IF(OR($A603="",$H603&lt;&gt;"Ausgabe",M603=""),0,IF(M603="x",-$E603/(COUNTIF($J603:$Q603,"x")+1),-$E603*N(M603)))</f>
        <v/>
      </c>
      <c r="AB603" s="34">
        <f>IF(OR($A603="",$H603&lt;&gt;"Ausgabe",N603=""),0,IF(N603="x",-$E603/(COUNTIF($J603:$Q603,"x")+1),-$E603*N(N603)))</f>
        <v/>
      </c>
      <c r="AC603" s="34">
        <f>IF(OR($A603="",$H603&lt;&gt;"Ausgabe",O603=""),0,IF(O603="x",-$E603/(COUNTIF($J603:$Q603,"x")+1),-$E603*N(O603)))</f>
        <v/>
      </c>
      <c r="AD603" s="34">
        <f>IF(OR($A603="",$H603&lt;&gt;"Ausgabe",P603=""),0,IF(P603="x",-$E603/(COUNTIF($J603:$Q603,"x")+1),-$E603*N(P603)))</f>
        <v/>
      </c>
      <c r="AE603" s="34">
        <f>IF(OR($A603="",$H603&lt;&gt;"Ausgabe",Q603=""),0,IF(Q603="x",-$E603/(COUNTIF($J603:$Q603,"x")+1),-$E603*N(Q603)))</f>
        <v/>
      </c>
    </row>
    <row r="604">
      <c r="A604" s="30" t="n"/>
      <c r="E604" s="31" t="n"/>
      <c r="J604" s="32" t="n"/>
      <c r="K604" s="32" t="n"/>
      <c r="L604" s="32" t="n"/>
      <c r="M604" s="32" t="n"/>
      <c r="N604" s="32" t="n"/>
      <c r="O604" s="32" t="n"/>
      <c r="P604" s="32" t="n"/>
      <c r="Q604" s="32" t="n"/>
      <c r="U604" s="31">
        <f>IF($A604="","",SUM(X604:AE604))</f>
        <v/>
      </c>
      <c r="V604" s="31">
        <f>IF($A604="","",IF($H604&lt;&gt;"Ausgabe",0,-$E604-$U604))</f>
        <v/>
      </c>
      <c r="W604" s="33">
        <f>IF($A604="","",DATE(YEAR($A604),MONTH($A604),1))</f>
        <v/>
      </c>
      <c r="X604" s="34">
        <f>IF(OR($A604="",$H604&lt;&gt;"Ausgabe",J604=""),0,IF(J604="x",-$E604/(COUNTIF($J604:$Q604,"x")+1),-$E604*N(J604)))</f>
        <v/>
      </c>
      <c r="Y604" s="34">
        <f>IF(OR($A604="",$H604&lt;&gt;"Ausgabe",K604=""),0,IF(K604="x",-$E604/(COUNTIF($J604:$Q604,"x")+1),-$E604*N(K604)))</f>
        <v/>
      </c>
      <c r="Z604" s="34">
        <f>IF(OR($A604="",$H604&lt;&gt;"Ausgabe",L604=""),0,IF(L604="x",-$E604/(COUNTIF($J604:$Q604,"x")+1),-$E604*N(L604)))</f>
        <v/>
      </c>
      <c r="AA604" s="34">
        <f>IF(OR($A604="",$H604&lt;&gt;"Ausgabe",M604=""),0,IF(M604="x",-$E604/(COUNTIF($J604:$Q604,"x")+1),-$E604*N(M604)))</f>
        <v/>
      </c>
      <c r="AB604" s="34">
        <f>IF(OR($A604="",$H604&lt;&gt;"Ausgabe",N604=""),0,IF(N604="x",-$E604/(COUNTIF($J604:$Q604,"x")+1),-$E604*N(N604)))</f>
        <v/>
      </c>
      <c r="AC604" s="34">
        <f>IF(OR($A604="",$H604&lt;&gt;"Ausgabe",O604=""),0,IF(O604="x",-$E604/(COUNTIF($J604:$Q604,"x")+1),-$E604*N(O604)))</f>
        <v/>
      </c>
      <c r="AD604" s="34">
        <f>IF(OR($A604="",$H604&lt;&gt;"Ausgabe",P604=""),0,IF(P604="x",-$E604/(COUNTIF($J604:$Q604,"x")+1),-$E604*N(P604)))</f>
        <v/>
      </c>
      <c r="AE604" s="34">
        <f>IF(OR($A604="",$H604&lt;&gt;"Ausgabe",Q604=""),0,IF(Q604="x",-$E604/(COUNTIF($J604:$Q604,"x")+1),-$E604*N(Q604)))</f>
        <v/>
      </c>
    </row>
    <row r="605">
      <c r="A605" s="30" t="n"/>
      <c r="E605" s="31" t="n"/>
      <c r="J605" s="32" t="n"/>
      <c r="K605" s="32" t="n"/>
      <c r="L605" s="32" t="n"/>
      <c r="M605" s="32" t="n"/>
      <c r="N605" s="32" t="n"/>
      <c r="O605" s="32" t="n"/>
      <c r="P605" s="32" t="n"/>
      <c r="Q605" s="32" t="n"/>
      <c r="U605" s="31">
        <f>IF($A605="","",SUM(X605:AE605))</f>
        <v/>
      </c>
      <c r="V605" s="31">
        <f>IF($A605="","",IF($H605&lt;&gt;"Ausgabe",0,-$E605-$U605))</f>
        <v/>
      </c>
      <c r="W605" s="33">
        <f>IF($A605="","",DATE(YEAR($A605),MONTH($A605),1))</f>
        <v/>
      </c>
      <c r="X605" s="34">
        <f>IF(OR($A605="",$H605&lt;&gt;"Ausgabe",J605=""),0,IF(J605="x",-$E605/(COUNTIF($J605:$Q605,"x")+1),-$E605*N(J605)))</f>
        <v/>
      </c>
      <c r="Y605" s="34">
        <f>IF(OR($A605="",$H605&lt;&gt;"Ausgabe",K605=""),0,IF(K605="x",-$E605/(COUNTIF($J605:$Q605,"x")+1),-$E605*N(K605)))</f>
        <v/>
      </c>
      <c r="Z605" s="34">
        <f>IF(OR($A605="",$H605&lt;&gt;"Ausgabe",L605=""),0,IF(L605="x",-$E605/(COUNTIF($J605:$Q605,"x")+1),-$E605*N(L605)))</f>
        <v/>
      </c>
      <c r="AA605" s="34">
        <f>IF(OR($A605="",$H605&lt;&gt;"Ausgabe",M605=""),0,IF(M605="x",-$E605/(COUNTIF($J605:$Q605,"x")+1),-$E605*N(M605)))</f>
        <v/>
      </c>
      <c r="AB605" s="34">
        <f>IF(OR($A605="",$H605&lt;&gt;"Ausgabe",N605=""),0,IF(N605="x",-$E605/(COUNTIF($J605:$Q605,"x")+1),-$E605*N(N605)))</f>
        <v/>
      </c>
      <c r="AC605" s="34">
        <f>IF(OR($A605="",$H605&lt;&gt;"Ausgabe",O605=""),0,IF(O605="x",-$E605/(COUNTIF($J605:$Q605,"x")+1),-$E605*N(O605)))</f>
        <v/>
      </c>
      <c r="AD605" s="34">
        <f>IF(OR($A605="",$H605&lt;&gt;"Ausgabe",P605=""),0,IF(P605="x",-$E605/(COUNTIF($J605:$Q605,"x")+1),-$E605*N(P605)))</f>
        <v/>
      </c>
      <c r="AE605" s="34">
        <f>IF(OR($A605="",$H605&lt;&gt;"Ausgabe",Q605=""),0,IF(Q605="x",-$E605/(COUNTIF($J605:$Q605,"x")+1),-$E605*N(Q605)))</f>
        <v/>
      </c>
    </row>
    <row r="606">
      <c r="A606" s="30" t="n"/>
      <c r="E606" s="31" t="n"/>
      <c r="J606" s="32" t="n"/>
      <c r="K606" s="32" t="n"/>
      <c r="L606" s="32" t="n"/>
      <c r="M606" s="32" t="n"/>
      <c r="N606" s="32" t="n"/>
      <c r="O606" s="32" t="n"/>
      <c r="P606" s="32" t="n"/>
      <c r="Q606" s="32" t="n"/>
      <c r="U606" s="31">
        <f>IF($A606="","",SUM(X606:AE606))</f>
        <v/>
      </c>
      <c r="V606" s="31">
        <f>IF($A606="","",IF($H606&lt;&gt;"Ausgabe",0,-$E606-$U606))</f>
        <v/>
      </c>
      <c r="W606" s="33">
        <f>IF($A606="","",DATE(YEAR($A606),MONTH($A606),1))</f>
        <v/>
      </c>
      <c r="X606" s="34">
        <f>IF(OR($A606="",$H606&lt;&gt;"Ausgabe",J606=""),0,IF(J606="x",-$E606/(COUNTIF($J606:$Q606,"x")+1),-$E606*N(J606)))</f>
        <v/>
      </c>
      <c r="Y606" s="34">
        <f>IF(OR($A606="",$H606&lt;&gt;"Ausgabe",K606=""),0,IF(K606="x",-$E606/(COUNTIF($J606:$Q606,"x")+1),-$E606*N(K606)))</f>
        <v/>
      </c>
      <c r="Z606" s="34">
        <f>IF(OR($A606="",$H606&lt;&gt;"Ausgabe",L606=""),0,IF(L606="x",-$E606/(COUNTIF($J606:$Q606,"x")+1),-$E606*N(L606)))</f>
        <v/>
      </c>
      <c r="AA606" s="34">
        <f>IF(OR($A606="",$H606&lt;&gt;"Ausgabe",M606=""),0,IF(M606="x",-$E606/(COUNTIF($J606:$Q606,"x")+1),-$E606*N(M606)))</f>
        <v/>
      </c>
      <c r="AB606" s="34">
        <f>IF(OR($A606="",$H606&lt;&gt;"Ausgabe",N606=""),0,IF(N606="x",-$E606/(COUNTIF($J606:$Q606,"x")+1),-$E606*N(N606)))</f>
        <v/>
      </c>
      <c r="AC606" s="34">
        <f>IF(OR($A606="",$H606&lt;&gt;"Ausgabe",O606=""),0,IF(O606="x",-$E606/(COUNTIF($J606:$Q606,"x")+1),-$E606*N(O606)))</f>
        <v/>
      </c>
      <c r="AD606" s="34">
        <f>IF(OR($A606="",$H606&lt;&gt;"Ausgabe",P606=""),0,IF(P606="x",-$E606/(COUNTIF($J606:$Q606,"x")+1),-$E606*N(P606)))</f>
        <v/>
      </c>
      <c r="AE606" s="34">
        <f>IF(OR($A606="",$H606&lt;&gt;"Ausgabe",Q606=""),0,IF(Q606="x",-$E606/(COUNTIF($J606:$Q606,"x")+1),-$E606*N(Q606)))</f>
        <v/>
      </c>
    </row>
    <row r="607">
      <c r="A607" s="30" t="n"/>
      <c r="E607" s="31" t="n"/>
      <c r="J607" s="32" t="n"/>
      <c r="K607" s="32" t="n"/>
      <c r="L607" s="32" t="n"/>
      <c r="M607" s="32" t="n"/>
      <c r="N607" s="32" t="n"/>
      <c r="O607" s="32" t="n"/>
      <c r="P607" s="32" t="n"/>
      <c r="Q607" s="32" t="n"/>
      <c r="U607" s="31">
        <f>IF($A607="","",SUM(X607:AE607))</f>
        <v/>
      </c>
      <c r="V607" s="31">
        <f>IF($A607="","",IF($H607&lt;&gt;"Ausgabe",0,-$E607-$U607))</f>
        <v/>
      </c>
      <c r="W607" s="33">
        <f>IF($A607="","",DATE(YEAR($A607),MONTH($A607),1))</f>
        <v/>
      </c>
      <c r="X607" s="34">
        <f>IF(OR($A607="",$H607&lt;&gt;"Ausgabe",J607=""),0,IF(J607="x",-$E607/(COUNTIF($J607:$Q607,"x")+1),-$E607*N(J607)))</f>
        <v/>
      </c>
      <c r="Y607" s="34">
        <f>IF(OR($A607="",$H607&lt;&gt;"Ausgabe",K607=""),0,IF(K607="x",-$E607/(COUNTIF($J607:$Q607,"x")+1),-$E607*N(K607)))</f>
        <v/>
      </c>
      <c r="Z607" s="34">
        <f>IF(OR($A607="",$H607&lt;&gt;"Ausgabe",L607=""),0,IF(L607="x",-$E607/(COUNTIF($J607:$Q607,"x")+1),-$E607*N(L607)))</f>
        <v/>
      </c>
      <c r="AA607" s="34">
        <f>IF(OR($A607="",$H607&lt;&gt;"Ausgabe",M607=""),0,IF(M607="x",-$E607/(COUNTIF($J607:$Q607,"x")+1),-$E607*N(M607)))</f>
        <v/>
      </c>
      <c r="AB607" s="34">
        <f>IF(OR($A607="",$H607&lt;&gt;"Ausgabe",N607=""),0,IF(N607="x",-$E607/(COUNTIF($J607:$Q607,"x")+1),-$E607*N(N607)))</f>
        <v/>
      </c>
      <c r="AC607" s="34">
        <f>IF(OR($A607="",$H607&lt;&gt;"Ausgabe",O607=""),0,IF(O607="x",-$E607/(COUNTIF($J607:$Q607,"x")+1),-$E607*N(O607)))</f>
        <v/>
      </c>
      <c r="AD607" s="34">
        <f>IF(OR($A607="",$H607&lt;&gt;"Ausgabe",P607=""),0,IF(P607="x",-$E607/(COUNTIF($J607:$Q607,"x")+1),-$E607*N(P607)))</f>
        <v/>
      </c>
      <c r="AE607" s="34">
        <f>IF(OR($A607="",$H607&lt;&gt;"Ausgabe",Q607=""),0,IF(Q607="x",-$E607/(COUNTIF($J607:$Q607,"x")+1),-$E607*N(Q607)))</f>
        <v/>
      </c>
    </row>
    <row r="608">
      <c r="A608" s="30" t="n"/>
      <c r="E608" s="31" t="n"/>
      <c r="J608" s="32" t="n"/>
      <c r="K608" s="32" t="n"/>
      <c r="L608" s="32" t="n"/>
      <c r="M608" s="32" t="n"/>
      <c r="N608" s="32" t="n"/>
      <c r="O608" s="32" t="n"/>
      <c r="P608" s="32" t="n"/>
      <c r="Q608" s="32" t="n"/>
      <c r="U608" s="31">
        <f>IF($A608="","",SUM(X608:AE608))</f>
        <v/>
      </c>
      <c r="V608" s="31">
        <f>IF($A608="","",IF($H608&lt;&gt;"Ausgabe",0,-$E608-$U608))</f>
        <v/>
      </c>
      <c r="W608" s="33">
        <f>IF($A608="","",DATE(YEAR($A608),MONTH($A608),1))</f>
        <v/>
      </c>
      <c r="X608" s="34">
        <f>IF(OR($A608="",$H608&lt;&gt;"Ausgabe",J608=""),0,IF(J608="x",-$E608/(COUNTIF($J608:$Q608,"x")+1),-$E608*N(J608)))</f>
        <v/>
      </c>
      <c r="Y608" s="34">
        <f>IF(OR($A608="",$H608&lt;&gt;"Ausgabe",K608=""),0,IF(K608="x",-$E608/(COUNTIF($J608:$Q608,"x")+1),-$E608*N(K608)))</f>
        <v/>
      </c>
      <c r="Z608" s="34">
        <f>IF(OR($A608="",$H608&lt;&gt;"Ausgabe",L608=""),0,IF(L608="x",-$E608/(COUNTIF($J608:$Q608,"x")+1),-$E608*N(L608)))</f>
        <v/>
      </c>
      <c r="AA608" s="34">
        <f>IF(OR($A608="",$H608&lt;&gt;"Ausgabe",M608=""),0,IF(M608="x",-$E608/(COUNTIF($J608:$Q608,"x")+1),-$E608*N(M608)))</f>
        <v/>
      </c>
      <c r="AB608" s="34">
        <f>IF(OR($A608="",$H608&lt;&gt;"Ausgabe",N608=""),0,IF(N608="x",-$E608/(COUNTIF($J608:$Q608,"x")+1),-$E608*N(N608)))</f>
        <v/>
      </c>
      <c r="AC608" s="34">
        <f>IF(OR($A608="",$H608&lt;&gt;"Ausgabe",O608=""),0,IF(O608="x",-$E608/(COUNTIF($J608:$Q608,"x")+1),-$E608*N(O608)))</f>
        <v/>
      </c>
      <c r="AD608" s="34">
        <f>IF(OR($A608="",$H608&lt;&gt;"Ausgabe",P608=""),0,IF(P608="x",-$E608/(COUNTIF($J608:$Q608,"x")+1),-$E608*N(P608)))</f>
        <v/>
      </c>
      <c r="AE608" s="34">
        <f>IF(OR($A608="",$H608&lt;&gt;"Ausgabe",Q608=""),0,IF(Q608="x",-$E608/(COUNTIF($J608:$Q608,"x")+1),-$E608*N(Q608)))</f>
        <v/>
      </c>
    </row>
    <row r="609">
      <c r="A609" s="30" t="n"/>
      <c r="E609" s="31" t="n"/>
      <c r="J609" s="32" t="n"/>
      <c r="K609" s="32" t="n"/>
      <c r="L609" s="32" t="n"/>
      <c r="M609" s="32" t="n"/>
      <c r="N609" s="32" t="n"/>
      <c r="O609" s="32" t="n"/>
      <c r="P609" s="32" t="n"/>
      <c r="Q609" s="32" t="n"/>
      <c r="U609" s="31">
        <f>IF($A609="","",SUM(X609:AE609))</f>
        <v/>
      </c>
      <c r="V609" s="31">
        <f>IF($A609="","",IF($H609&lt;&gt;"Ausgabe",0,-$E609-$U609))</f>
        <v/>
      </c>
      <c r="W609" s="33">
        <f>IF($A609="","",DATE(YEAR($A609),MONTH($A609),1))</f>
        <v/>
      </c>
      <c r="X609" s="34">
        <f>IF(OR($A609="",$H609&lt;&gt;"Ausgabe",J609=""),0,IF(J609="x",-$E609/(COUNTIF($J609:$Q609,"x")+1),-$E609*N(J609)))</f>
        <v/>
      </c>
      <c r="Y609" s="34">
        <f>IF(OR($A609="",$H609&lt;&gt;"Ausgabe",K609=""),0,IF(K609="x",-$E609/(COUNTIF($J609:$Q609,"x")+1),-$E609*N(K609)))</f>
        <v/>
      </c>
      <c r="Z609" s="34">
        <f>IF(OR($A609="",$H609&lt;&gt;"Ausgabe",L609=""),0,IF(L609="x",-$E609/(COUNTIF($J609:$Q609,"x")+1),-$E609*N(L609)))</f>
        <v/>
      </c>
      <c r="AA609" s="34">
        <f>IF(OR($A609="",$H609&lt;&gt;"Ausgabe",M609=""),0,IF(M609="x",-$E609/(COUNTIF($J609:$Q609,"x")+1),-$E609*N(M609)))</f>
        <v/>
      </c>
      <c r="AB609" s="34">
        <f>IF(OR($A609="",$H609&lt;&gt;"Ausgabe",N609=""),0,IF(N609="x",-$E609/(COUNTIF($J609:$Q609,"x")+1),-$E609*N(N609)))</f>
        <v/>
      </c>
      <c r="AC609" s="34">
        <f>IF(OR($A609="",$H609&lt;&gt;"Ausgabe",O609=""),0,IF(O609="x",-$E609/(COUNTIF($J609:$Q609,"x")+1),-$E609*N(O609)))</f>
        <v/>
      </c>
      <c r="AD609" s="34">
        <f>IF(OR($A609="",$H609&lt;&gt;"Ausgabe",P609=""),0,IF(P609="x",-$E609/(COUNTIF($J609:$Q609,"x")+1),-$E609*N(P609)))</f>
        <v/>
      </c>
      <c r="AE609" s="34">
        <f>IF(OR($A609="",$H609&lt;&gt;"Ausgabe",Q609=""),0,IF(Q609="x",-$E609/(COUNTIF($J609:$Q609,"x")+1),-$E609*N(Q609)))</f>
        <v/>
      </c>
    </row>
    <row r="610">
      <c r="A610" s="30" t="n"/>
      <c r="E610" s="31" t="n"/>
      <c r="J610" s="32" t="n"/>
      <c r="K610" s="32" t="n"/>
      <c r="L610" s="32" t="n"/>
      <c r="M610" s="32" t="n"/>
      <c r="N610" s="32" t="n"/>
      <c r="O610" s="32" t="n"/>
      <c r="P610" s="32" t="n"/>
      <c r="Q610" s="32" t="n"/>
      <c r="U610" s="31">
        <f>IF($A610="","",SUM(X610:AE610))</f>
        <v/>
      </c>
      <c r="V610" s="31">
        <f>IF($A610="","",IF($H610&lt;&gt;"Ausgabe",0,-$E610-$U610))</f>
        <v/>
      </c>
      <c r="W610" s="33">
        <f>IF($A610="","",DATE(YEAR($A610),MONTH($A610),1))</f>
        <v/>
      </c>
      <c r="X610" s="34">
        <f>IF(OR($A610="",$H610&lt;&gt;"Ausgabe",J610=""),0,IF(J610="x",-$E610/(COUNTIF($J610:$Q610,"x")+1),-$E610*N(J610)))</f>
        <v/>
      </c>
      <c r="Y610" s="34">
        <f>IF(OR($A610="",$H610&lt;&gt;"Ausgabe",K610=""),0,IF(K610="x",-$E610/(COUNTIF($J610:$Q610,"x")+1),-$E610*N(K610)))</f>
        <v/>
      </c>
      <c r="Z610" s="34">
        <f>IF(OR($A610="",$H610&lt;&gt;"Ausgabe",L610=""),0,IF(L610="x",-$E610/(COUNTIF($J610:$Q610,"x")+1),-$E610*N(L610)))</f>
        <v/>
      </c>
      <c r="AA610" s="34">
        <f>IF(OR($A610="",$H610&lt;&gt;"Ausgabe",M610=""),0,IF(M610="x",-$E610/(COUNTIF($J610:$Q610,"x")+1),-$E610*N(M610)))</f>
        <v/>
      </c>
      <c r="AB610" s="34">
        <f>IF(OR($A610="",$H610&lt;&gt;"Ausgabe",N610=""),0,IF(N610="x",-$E610/(COUNTIF($J610:$Q610,"x")+1),-$E610*N(N610)))</f>
        <v/>
      </c>
      <c r="AC610" s="34">
        <f>IF(OR($A610="",$H610&lt;&gt;"Ausgabe",O610=""),0,IF(O610="x",-$E610/(COUNTIF($J610:$Q610,"x")+1),-$E610*N(O610)))</f>
        <v/>
      </c>
      <c r="AD610" s="34">
        <f>IF(OR($A610="",$H610&lt;&gt;"Ausgabe",P610=""),0,IF(P610="x",-$E610/(COUNTIF($J610:$Q610,"x")+1),-$E610*N(P610)))</f>
        <v/>
      </c>
      <c r="AE610" s="34">
        <f>IF(OR($A610="",$H610&lt;&gt;"Ausgabe",Q610=""),0,IF(Q610="x",-$E610/(COUNTIF($J610:$Q610,"x")+1),-$E610*N(Q610)))</f>
        <v/>
      </c>
    </row>
    <row r="611">
      <c r="A611" s="30" t="n"/>
      <c r="E611" s="31" t="n"/>
      <c r="J611" s="32" t="n"/>
      <c r="K611" s="32" t="n"/>
      <c r="L611" s="32" t="n"/>
      <c r="M611" s="32" t="n"/>
      <c r="N611" s="32" t="n"/>
      <c r="O611" s="32" t="n"/>
      <c r="P611" s="32" t="n"/>
      <c r="Q611" s="32" t="n"/>
      <c r="U611" s="31">
        <f>IF($A611="","",SUM(X611:AE611))</f>
        <v/>
      </c>
      <c r="V611" s="31">
        <f>IF($A611="","",IF($H611&lt;&gt;"Ausgabe",0,-$E611-$U611))</f>
        <v/>
      </c>
      <c r="W611" s="33">
        <f>IF($A611="","",DATE(YEAR($A611),MONTH($A611),1))</f>
        <v/>
      </c>
      <c r="X611" s="34">
        <f>IF(OR($A611="",$H611&lt;&gt;"Ausgabe",J611=""),0,IF(J611="x",-$E611/(COUNTIF($J611:$Q611,"x")+1),-$E611*N(J611)))</f>
        <v/>
      </c>
      <c r="Y611" s="34">
        <f>IF(OR($A611="",$H611&lt;&gt;"Ausgabe",K611=""),0,IF(K611="x",-$E611/(COUNTIF($J611:$Q611,"x")+1),-$E611*N(K611)))</f>
        <v/>
      </c>
      <c r="Z611" s="34">
        <f>IF(OR($A611="",$H611&lt;&gt;"Ausgabe",L611=""),0,IF(L611="x",-$E611/(COUNTIF($J611:$Q611,"x")+1),-$E611*N(L611)))</f>
        <v/>
      </c>
      <c r="AA611" s="34">
        <f>IF(OR($A611="",$H611&lt;&gt;"Ausgabe",M611=""),0,IF(M611="x",-$E611/(COUNTIF($J611:$Q611,"x")+1),-$E611*N(M611)))</f>
        <v/>
      </c>
      <c r="AB611" s="34">
        <f>IF(OR($A611="",$H611&lt;&gt;"Ausgabe",N611=""),0,IF(N611="x",-$E611/(COUNTIF($J611:$Q611,"x")+1),-$E611*N(N611)))</f>
        <v/>
      </c>
      <c r="AC611" s="34">
        <f>IF(OR($A611="",$H611&lt;&gt;"Ausgabe",O611=""),0,IF(O611="x",-$E611/(COUNTIF($J611:$Q611,"x")+1),-$E611*N(O611)))</f>
        <v/>
      </c>
      <c r="AD611" s="34">
        <f>IF(OR($A611="",$H611&lt;&gt;"Ausgabe",P611=""),0,IF(P611="x",-$E611/(COUNTIF($J611:$Q611,"x")+1),-$E611*N(P611)))</f>
        <v/>
      </c>
      <c r="AE611" s="34">
        <f>IF(OR($A611="",$H611&lt;&gt;"Ausgabe",Q611=""),0,IF(Q611="x",-$E611/(COUNTIF($J611:$Q611,"x")+1),-$E611*N(Q611)))</f>
        <v/>
      </c>
    </row>
    <row r="612">
      <c r="A612" s="30" t="n"/>
      <c r="E612" s="31" t="n"/>
      <c r="J612" s="32" t="n"/>
      <c r="K612" s="32" t="n"/>
      <c r="L612" s="32" t="n"/>
      <c r="M612" s="32" t="n"/>
      <c r="N612" s="32" t="n"/>
      <c r="O612" s="32" t="n"/>
      <c r="P612" s="32" t="n"/>
      <c r="Q612" s="32" t="n"/>
      <c r="U612" s="31">
        <f>IF($A612="","",SUM(X612:AE612))</f>
        <v/>
      </c>
      <c r="V612" s="31">
        <f>IF($A612="","",IF($H612&lt;&gt;"Ausgabe",0,-$E612-$U612))</f>
        <v/>
      </c>
      <c r="W612" s="33">
        <f>IF($A612="","",DATE(YEAR($A612),MONTH($A612),1))</f>
        <v/>
      </c>
      <c r="X612" s="34">
        <f>IF(OR($A612="",$H612&lt;&gt;"Ausgabe",J612=""),0,IF(J612="x",-$E612/(COUNTIF($J612:$Q612,"x")+1),-$E612*N(J612)))</f>
        <v/>
      </c>
      <c r="Y612" s="34">
        <f>IF(OR($A612="",$H612&lt;&gt;"Ausgabe",K612=""),0,IF(K612="x",-$E612/(COUNTIF($J612:$Q612,"x")+1),-$E612*N(K612)))</f>
        <v/>
      </c>
      <c r="Z612" s="34">
        <f>IF(OR($A612="",$H612&lt;&gt;"Ausgabe",L612=""),0,IF(L612="x",-$E612/(COUNTIF($J612:$Q612,"x")+1),-$E612*N(L612)))</f>
        <v/>
      </c>
      <c r="AA612" s="34">
        <f>IF(OR($A612="",$H612&lt;&gt;"Ausgabe",M612=""),0,IF(M612="x",-$E612/(COUNTIF($J612:$Q612,"x")+1),-$E612*N(M612)))</f>
        <v/>
      </c>
      <c r="AB612" s="34">
        <f>IF(OR($A612="",$H612&lt;&gt;"Ausgabe",N612=""),0,IF(N612="x",-$E612/(COUNTIF($J612:$Q612,"x")+1),-$E612*N(N612)))</f>
        <v/>
      </c>
      <c r="AC612" s="34">
        <f>IF(OR($A612="",$H612&lt;&gt;"Ausgabe",O612=""),0,IF(O612="x",-$E612/(COUNTIF($J612:$Q612,"x")+1),-$E612*N(O612)))</f>
        <v/>
      </c>
      <c r="AD612" s="34">
        <f>IF(OR($A612="",$H612&lt;&gt;"Ausgabe",P612=""),0,IF(P612="x",-$E612/(COUNTIF($J612:$Q612,"x")+1),-$E612*N(P612)))</f>
        <v/>
      </c>
      <c r="AE612" s="34">
        <f>IF(OR($A612="",$H612&lt;&gt;"Ausgabe",Q612=""),0,IF(Q612="x",-$E612/(COUNTIF($J612:$Q612,"x")+1),-$E612*N(Q612)))</f>
        <v/>
      </c>
    </row>
    <row r="613">
      <c r="A613" s="30" t="n"/>
      <c r="E613" s="31" t="n"/>
      <c r="J613" s="32" t="n"/>
      <c r="K613" s="32" t="n"/>
      <c r="L613" s="32" t="n"/>
      <c r="M613" s="32" t="n"/>
      <c r="N613" s="32" t="n"/>
      <c r="O613" s="32" t="n"/>
      <c r="P613" s="32" t="n"/>
      <c r="Q613" s="32" t="n"/>
      <c r="U613" s="31">
        <f>IF($A613="","",SUM(X613:AE613))</f>
        <v/>
      </c>
      <c r="V613" s="31">
        <f>IF($A613="","",IF($H613&lt;&gt;"Ausgabe",0,-$E613-$U613))</f>
        <v/>
      </c>
      <c r="W613" s="33">
        <f>IF($A613="","",DATE(YEAR($A613),MONTH($A613),1))</f>
        <v/>
      </c>
      <c r="X613" s="34">
        <f>IF(OR($A613="",$H613&lt;&gt;"Ausgabe",J613=""),0,IF(J613="x",-$E613/(COUNTIF($J613:$Q613,"x")+1),-$E613*N(J613)))</f>
        <v/>
      </c>
      <c r="Y613" s="34">
        <f>IF(OR($A613="",$H613&lt;&gt;"Ausgabe",K613=""),0,IF(K613="x",-$E613/(COUNTIF($J613:$Q613,"x")+1),-$E613*N(K613)))</f>
        <v/>
      </c>
      <c r="Z613" s="34">
        <f>IF(OR($A613="",$H613&lt;&gt;"Ausgabe",L613=""),0,IF(L613="x",-$E613/(COUNTIF($J613:$Q613,"x")+1),-$E613*N(L613)))</f>
        <v/>
      </c>
      <c r="AA613" s="34">
        <f>IF(OR($A613="",$H613&lt;&gt;"Ausgabe",M613=""),0,IF(M613="x",-$E613/(COUNTIF($J613:$Q613,"x")+1),-$E613*N(M613)))</f>
        <v/>
      </c>
      <c r="AB613" s="34">
        <f>IF(OR($A613="",$H613&lt;&gt;"Ausgabe",N613=""),0,IF(N613="x",-$E613/(COUNTIF($J613:$Q613,"x")+1),-$E613*N(N613)))</f>
        <v/>
      </c>
      <c r="AC613" s="34">
        <f>IF(OR($A613="",$H613&lt;&gt;"Ausgabe",O613=""),0,IF(O613="x",-$E613/(COUNTIF($J613:$Q613,"x")+1),-$E613*N(O613)))</f>
        <v/>
      </c>
      <c r="AD613" s="34">
        <f>IF(OR($A613="",$H613&lt;&gt;"Ausgabe",P613=""),0,IF(P613="x",-$E613/(COUNTIF($J613:$Q613,"x")+1),-$E613*N(P613)))</f>
        <v/>
      </c>
      <c r="AE613" s="34">
        <f>IF(OR($A613="",$H613&lt;&gt;"Ausgabe",Q613=""),0,IF(Q613="x",-$E613/(COUNTIF($J613:$Q613,"x")+1),-$E613*N(Q613)))</f>
        <v/>
      </c>
    </row>
    <row r="614">
      <c r="A614" s="30" t="n"/>
      <c r="E614" s="31" t="n"/>
      <c r="J614" s="32" t="n"/>
      <c r="K614" s="32" t="n"/>
      <c r="L614" s="32" t="n"/>
      <c r="M614" s="32" t="n"/>
      <c r="N614" s="32" t="n"/>
      <c r="O614" s="32" t="n"/>
      <c r="P614" s="32" t="n"/>
      <c r="Q614" s="32" t="n"/>
      <c r="U614" s="31">
        <f>IF($A614="","",SUM(X614:AE614))</f>
        <v/>
      </c>
      <c r="V614" s="31">
        <f>IF($A614="","",IF($H614&lt;&gt;"Ausgabe",0,-$E614-$U614))</f>
        <v/>
      </c>
      <c r="W614" s="33">
        <f>IF($A614="","",DATE(YEAR($A614),MONTH($A614),1))</f>
        <v/>
      </c>
      <c r="X614" s="34">
        <f>IF(OR($A614="",$H614&lt;&gt;"Ausgabe",J614=""),0,IF(J614="x",-$E614/(COUNTIF($J614:$Q614,"x")+1),-$E614*N(J614)))</f>
        <v/>
      </c>
      <c r="Y614" s="34">
        <f>IF(OR($A614="",$H614&lt;&gt;"Ausgabe",K614=""),0,IF(K614="x",-$E614/(COUNTIF($J614:$Q614,"x")+1),-$E614*N(K614)))</f>
        <v/>
      </c>
      <c r="Z614" s="34">
        <f>IF(OR($A614="",$H614&lt;&gt;"Ausgabe",L614=""),0,IF(L614="x",-$E614/(COUNTIF($J614:$Q614,"x")+1),-$E614*N(L614)))</f>
        <v/>
      </c>
      <c r="AA614" s="34">
        <f>IF(OR($A614="",$H614&lt;&gt;"Ausgabe",M614=""),0,IF(M614="x",-$E614/(COUNTIF($J614:$Q614,"x")+1),-$E614*N(M614)))</f>
        <v/>
      </c>
      <c r="AB614" s="34">
        <f>IF(OR($A614="",$H614&lt;&gt;"Ausgabe",N614=""),0,IF(N614="x",-$E614/(COUNTIF($J614:$Q614,"x")+1),-$E614*N(N614)))</f>
        <v/>
      </c>
      <c r="AC614" s="34">
        <f>IF(OR($A614="",$H614&lt;&gt;"Ausgabe",O614=""),0,IF(O614="x",-$E614/(COUNTIF($J614:$Q614,"x")+1),-$E614*N(O614)))</f>
        <v/>
      </c>
      <c r="AD614" s="34">
        <f>IF(OR($A614="",$H614&lt;&gt;"Ausgabe",P614=""),0,IF(P614="x",-$E614/(COUNTIF($J614:$Q614,"x")+1),-$E614*N(P614)))</f>
        <v/>
      </c>
      <c r="AE614" s="34">
        <f>IF(OR($A614="",$H614&lt;&gt;"Ausgabe",Q614=""),0,IF(Q614="x",-$E614/(COUNTIF($J614:$Q614,"x")+1),-$E614*N(Q614)))</f>
        <v/>
      </c>
    </row>
    <row r="615">
      <c r="A615" s="30" t="n"/>
      <c r="E615" s="31" t="n"/>
      <c r="J615" s="32" t="n"/>
      <c r="K615" s="32" t="n"/>
      <c r="L615" s="32" t="n"/>
      <c r="M615" s="32" t="n"/>
      <c r="N615" s="32" t="n"/>
      <c r="O615" s="32" t="n"/>
      <c r="P615" s="32" t="n"/>
      <c r="Q615" s="32" t="n"/>
      <c r="U615" s="31">
        <f>IF($A615="","",SUM(X615:AE615))</f>
        <v/>
      </c>
      <c r="V615" s="31">
        <f>IF($A615="","",IF($H615&lt;&gt;"Ausgabe",0,-$E615-$U615))</f>
        <v/>
      </c>
      <c r="W615" s="33">
        <f>IF($A615="","",DATE(YEAR($A615),MONTH($A615),1))</f>
        <v/>
      </c>
      <c r="X615" s="34">
        <f>IF(OR($A615="",$H615&lt;&gt;"Ausgabe",J615=""),0,IF(J615="x",-$E615/(COUNTIF($J615:$Q615,"x")+1),-$E615*N(J615)))</f>
        <v/>
      </c>
      <c r="Y615" s="34">
        <f>IF(OR($A615="",$H615&lt;&gt;"Ausgabe",K615=""),0,IF(K615="x",-$E615/(COUNTIF($J615:$Q615,"x")+1),-$E615*N(K615)))</f>
        <v/>
      </c>
      <c r="Z615" s="34">
        <f>IF(OR($A615="",$H615&lt;&gt;"Ausgabe",L615=""),0,IF(L615="x",-$E615/(COUNTIF($J615:$Q615,"x")+1),-$E615*N(L615)))</f>
        <v/>
      </c>
      <c r="AA615" s="34">
        <f>IF(OR($A615="",$H615&lt;&gt;"Ausgabe",M615=""),0,IF(M615="x",-$E615/(COUNTIF($J615:$Q615,"x")+1),-$E615*N(M615)))</f>
        <v/>
      </c>
      <c r="AB615" s="34">
        <f>IF(OR($A615="",$H615&lt;&gt;"Ausgabe",N615=""),0,IF(N615="x",-$E615/(COUNTIF($J615:$Q615,"x")+1),-$E615*N(N615)))</f>
        <v/>
      </c>
      <c r="AC615" s="34">
        <f>IF(OR($A615="",$H615&lt;&gt;"Ausgabe",O615=""),0,IF(O615="x",-$E615/(COUNTIF($J615:$Q615,"x")+1),-$E615*N(O615)))</f>
        <v/>
      </c>
      <c r="AD615" s="34">
        <f>IF(OR($A615="",$H615&lt;&gt;"Ausgabe",P615=""),0,IF(P615="x",-$E615/(COUNTIF($J615:$Q615,"x")+1),-$E615*N(P615)))</f>
        <v/>
      </c>
      <c r="AE615" s="34">
        <f>IF(OR($A615="",$H615&lt;&gt;"Ausgabe",Q615=""),0,IF(Q615="x",-$E615/(COUNTIF($J615:$Q615,"x")+1),-$E615*N(Q615)))</f>
        <v/>
      </c>
    </row>
    <row r="616">
      <c r="A616" s="30" t="n"/>
      <c r="E616" s="31" t="n"/>
      <c r="J616" s="32" t="n"/>
      <c r="K616" s="32" t="n"/>
      <c r="L616" s="32" t="n"/>
      <c r="M616" s="32" t="n"/>
      <c r="N616" s="32" t="n"/>
      <c r="O616" s="32" t="n"/>
      <c r="P616" s="32" t="n"/>
      <c r="Q616" s="32" t="n"/>
      <c r="U616" s="31">
        <f>IF($A616="","",SUM(X616:AE616))</f>
        <v/>
      </c>
      <c r="V616" s="31">
        <f>IF($A616="","",IF($H616&lt;&gt;"Ausgabe",0,-$E616-$U616))</f>
        <v/>
      </c>
      <c r="W616" s="33">
        <f>IF($A616="","",DATE(YEAR($A616),MONTH($A616),1))</f>
        <v/>
      </c>
      <c r="X616" s="34">
        <f>IF(OR($A616="",$H616&lt;&gt;"Ausgabe",J616=""),0,IF(J616="x",-$E616/(COUNTIF($J616:$Q616,"x")+1),-$E616*N(J616)))</f>
        <v/>
      </c>
      <c r="Y616" s="34">
        <f>IF(OR($A616="",$H616&lt;&gt;"Ausgabe",K616=""),0,IF(K616="x",-$E616/(COUNTIF($J616:$Q616,"x")+1),-$E616*N(K616)))</f>
        <v/>
      </c>
      <c r="Z616" s="34">
        <f>IF(OR($A616="",$H616&lt;&gt;"Ausgabe",L616=""),0,IF(L616="x",-$E616/(COUNTIF($J616:$Q616,"x")+1),-$E616*N(L616)))</f>
        <v/>
      </c>
      <c r="AA616" s="34">
        <f>IF(OR($A616="",$H616&lt;&gt;"Ausgabe",M616=""),0,IF(M616="x",-$E616/(COUNTIF($J616:$Q616,"x")+1),-$E616*N(M616)))</f>
        <v/>
      </c>
      <c r="AB616" s="34">
        <f>IF(OR($A616="",$H616&lt;&gt;"Ausgabe",N616=""),0,IF(N616="x",-$E616/(COUNTIF($J616:$Q616,"x")+1),-$E616*N(N616)))</f>
        <v/>
      </c>
      <c r="AC616" s="34">
        <f>IF(OR($A616="",$H616&lt;&gt;"Ausgabe",O616=""),0,IF(O616="x",-$E616/(COUNTIF($J616:$Q616,"x")+1),-$E616*N(O616)))</f>
        <v/>
      </c>
      <c r="AD616" s="34">
        <f>IF(OR($A616="",$H616&lt;&gt;"Ausgabe",P616=""),0,IF(P616="x",-$E616/(COUNTIF($J616:$Q616,"x")+1),-$E616*N(P616)))</f>
        <v/>
      </c>
      <c r="AE616" s="34">
        <f>IF(OR($A616="",$H616&lt;&gt;"Ausgabe",Q616=""),0,IF(Q616="x",-$E616/(COUNTIF($J616:$Q616,"x")+1),-$E616*N(Q616)))</f>
        <v/>
      </c>
    </row>
    <row r="617">
      <c r="A617" s="30" t="n"/>
      <c r="E617" s="31" t="n"/>
      <c r="J617" s="32" t="n"/>
      <c r="K617" s="32" t="n"/>
      <c r="L617" s="32" t="n"/>
      <c r="M617" s="32" t="n"/>
      <c r="N617" s="32" t="n"/>
      <c r="O617" s="32" t="n"/>
      <c r="P617" s="32" t="n"/>
      <c r="Q617" s="32" t="n"/>
      <c r="U617" s="31">
        <f>IF($A617="","",SUM(X617:AE617))</f>
        <v/>
      </c>
      <c r="V617" s="31">
        <f>IF($A617="","",IF($H617&lt;&gt;"Ausgabe",0,-$E617-$U617))</f>
        <v/>
      </c>
      <c r="W617" s="33">
        <f>IF($A617="","",DATE(YEAR($A617),MONTH($A617),1))</f>
        <v/>
      </c>
      <c r="X617" s="34">
        <f>IF(OR($A617="",$H617&lt;&gt;"Ausgabe",J617=""),0,IF(J617="x",-$E617/(COUNTIF($J617:$Q617,"x")+1),-$E617*N(J617)))</f>
        <v/>
      </c>
      <c r="Y617" s="34">
        <f>IF(OR($A617="",$H617&lt;&gt;"Ausgabe",K617=""),0,IF(K617="x",-$E617/(COUNTIF($J617:$Q617,"x")+1),-$E617*N(K617)))</f>
        <v/>
      </c>
      <c r="Z617" s="34">
        <f>IF(OR($A617="",$H617&lt;&gt;"Ausgabe",L617=""),0,IF(L617="x",-$E617/(COUNTIF($J617:$Q617,"x")+1),-$E617*N(L617)))</f>
        <v/>
      </c>
      <c r="AA617" s="34">
        <f>IF(OR($A617="",$H617&lt;&gt;"Ausgabe",M617=""),0,IF(M617="x",-$E617/(COUNTIF($J617:$Q617,"x")+1),-$E617*N(M617)))</f>
        <v/>
      </c>
      <c r="AB617" s="34">
        <f>IF(OR($A617="",$H617&lt;&gt;"Ausgabe",N617=""),0,IF(N617="x",-$E617/(COUNTIF($J617:$Q617,"x")+1),-$E617*N(N617)))</f>
        <v/>
      </c>
      <c r="AC617" s="34">
        <f>IF(OR($A617="",$H617&lt;&gt;"Ausgabe",O617=""),0,IF(O617="x",-$E617/(COUNTIF($J617:$Q617,"x")+1),-$E617*N(O617)))</f>
        <v/>
      </c>
      <c r="AD617" s="34">
        <f>IF(OR($A617="",$H617&lt;&gt;"Ausgabe",P617=""),0,IF(P617="x",-$E617/(COUNTIF($J617:$Q617,"x")+1),-$E617*N(P617)))</f>
        <v/>
      </c>
      <c r="AE617" s="34">
        <f>IF(OR($A617="",$H617&lt;&gt;"Ausgabe",Q617=""),0,IF(Q617="x",-$E617/(COUNTIF($J617:$Q617,"x")+1),-$E617*N(Q617)))</f>
        <v/>
      </c>
    </row>
    <row r="618">
      <c r="A618" s="30" t="n"/>
      <c r="E618" s="31" t="n"/>
      <c r="J618" s="32" t="n"/>
      <c r="K618" s="32" t="n"/>
      <c r="L618" s="32" t="n"/>
      <c r="M618" s="32" t="n"/>
      <c r="N618" s="32" t="n"/>
      <c r="O618" s="32" t="n"/>
      <c r="P618" s="32" t="n"/>
      <c r="Q618" s="32" t="n"/>
      <c r="U618" s="31">
        <f>IF($A618="","",SUM(X618:AE618))</f>
        <v/>
      </c>
      <c r="V618" s="31">
        <f>IF($A618="","",IF($H618&lt;&gt;"Ausgabe",0,-$E618-$U618))</f>
        <v/>
      </c>
      <c r="W618" s="33">
        <f>IF($A618="","",DATE(YEAR($A618),MONTH($A618),1))</f>
        <v/>
      </c>
      <c r="X618" s="34">
        <f>IF(OR($A618="",$H618&lt;&gt;"Ausgabe",J618=""),0,IF(J618="x",-$E618/(COUNTIF($J618:$Q618,"x")+1),-$E618*N(J618)))</f>
        <v/>
      </c>
      <c r="Y618" s="34">
        <f>IF(OR($A618="",$H618&lt;&gt;"Ausgabe",K618=""),0,IF(K618="x",-$E618/(COUNTIF($J618:$Q618,"x")+1),-$E618*N(K618)))</f>
        <v/>
      </c>
      <c r="Z618" s="34">
        <f>IF(OR($A618="",$H618&lt;&gt;"Ausgabe",L618=""),0,IF(L618="x",-$E618/(COUNTIF($J618:$Q618,"x")+1),-$E618*N(L618)))</f>
        <v/>
      </c>
      <c r="AA618" s="34">
        <f>IF(OR($A618="",$H618&lt;&gt;"Ausgabe",M618=""),0,IF(M618="x",-$E618/(COUNTIF($J618:$Q618,"x")+1),-$E618*N(M618)))</f>
        <v/>
      </c>
      <c r="AB618" s="34">
        <f>IF(OR($A618="",$H618&lt;&gt;"Ausgabe",N618=""),0,IF(N618="x",-$E618/(COUNTIF($J618:$Q618,"x")+1),-$E618*N(N618)))</f>
        <v/>
      </c>
      <c r="AC618" s="34">
        <f>IF(OR($A618="",$H618&lt;&gt;"Ausgabe",O618=""),0,IF(O618="x",-$E618/(COUNTIF($J618:$Q618,"x")+1),-$E618*N(O618)))</f>
        <v/>
      </c>
      <c r="AD618" s="34">
        <f>IF(OR($A618="",$H618&lt;&gt;"Ausgabe",P618=""),0,IF(P618="x",-$E618/(COUNTIF($J618:$Q618,"x")+1),-$E618*N(P618)))</f>
        <v/>
      </c>
      <c r="AE618" s="34">
        <f>IF(OR($A618="",$H618&lt;&gt;"Ausgabe",Q618=""),0,IF(Q618="x",-$E618/(COUNTIF($J618:$Q618,"x")+1),-$E618*N(Q618)))</f>
        <v/>
      </c>
    </row>
    <row r="619">
      <c r="A619" s="30" t="n"/>
      <c r="E619" s="31" t="n"/>
      <c r="J619" s="32" t="n"/>
      <c r="K619" s="32" t="n"/>
      <c r="L619" s="32" t="n"/>
      <c r="M619" s="32" t="n"/>
      <c r="N619" s="32" t="n"/>
      <c r="O619" s="32" t="n"/>
      <c r="P619" s="32" t="n"/>
      <c r="Q619" s="32" t="n"/>
      <c r="U619" s="31">
        <f>IF($A619="","",SUM(X619:AE619))</f>
        <v/>
      </c>
      <c r="V619" s="31">
        <f>IF($A619="","",IF($H619&lt;&gt;"Ausgabe",0,-$E619-$U619))</f>
        <v/>
      </c>
      <c r="W619" s="33">
        <f>IF($A619="","",DATE(YEAR($A619),MONTH($A619),1))</f>
        <v/>
      </c>
      <c r="X619" s="34">
        <f>IF(OR($A619="",$H619&lt;&gt;"Ausgabe",J619=""),0,IF(J619="x",-$E619/(COUNTIF($J619:$Q619,"x")+1),-$E619*N(J619)))</f>
        <v/>
      </c>
      <c r="Y619" s="34">
        <f>IF(OR($A619="",$H619&lt;&gt;"Ausgabe",K619=""),0,IF(K619="x",-$E619/(COUNTIF($J619:$Q619,"x")+1),-$E619*N(K619)))</f>
        <v/>
      </c>
      <c r="Z619" s="34">
        <f>IF(OR($A619="",$H619&lt;&gt;"Ausgabe",L619=""),0,IF(L619="x",-$E619/(COUNTIF($J619:$Q619,"x")+1),-$E619*N(L619)))</f>
        <v/>
      </c>
      <c r="AA619" s="34">
        <f>IF(OR($A619="",$H619&lt;&gt;"Ausgabe",M619=""),0,IF(M619="x",-$E619/(COUNTIF($J619:$Q619,"x")+1),-$E619*N(M619)))</f>
        <v/>
      </c>
      <c r="AB619" s="34">
        <f>IF(OR($A619="",$H619&lt;&gt;"Ausgabe",N619=""),0,IF(N619="x",-$E619/(COUNTIF($J619:$Q619,"x")+1),-$E619*N(N619)))</f>
        <v/>
      </c>
      <c r="AC619" s="34">
        <f>IF(OR($A619="",$H619&lt;&gt;"Ausgabe",O619=""),0,IF(O619="x",-$E619/(COUNTIF($J619:$Q619,"x")+1),-$E619*N(O619)))</f>
        <v/>
      </c>
      <c r="AD619" s="34">
        <f>IF(OR($A619="",$H619&lt;&gt;"Ausgabe",P619=""),0,IF(P619="x",-$E619/(COUNTIF($J619:$Q619,"x")+1),-$E619*N(P619)))</f>
        <v/>
      </c>
      <c r="AE619" s="34">
        <f>IF(OR($A619="",$H619&lt;&gt;"Ausgabe",Q619=""),0,IF(Q619="x",-$E619/(COUNTIF($J619:$Q619,"x")+1),-$E619*N(Q619)))</f>
        <v/>
      </c>
    </row>
    <row r="620">
      <c r="A620" s="30" t="n"/>
      <c r="E620" s="31" t="n"/>
      <c r="J620" s="32" t="n"/>
      <c r="K620" s="32" t="n"/>
      <c r="L620" s="32" t="n"/>
      <c r="M620" s="32" t="n"/>
      <c r="N620" s="32" t="n"/>
      <c r="O620" s="32" t="n"/>
      <c r="P620" s="32" t="n"/>
      <c r="Q620" s="32" t="n"/>
      <c r="U620" s="31">
        <f>IF($A620="","",SUM(X620:AE620))</f>
        <v/>
      </c>
      <c r="V620" s="31">
        <f>IF($A620="","",IF($H620&lt;&gt;"Ausgabe",0,-$E620-$U620))</f>
        <v/>
      </c>
      <c r="W620" s="33">
        <f>IF($A620="","",DATE(YEAR($A620),MONTH($A620),1))</f>
        <v/>
      </c>
      <c r="X620" s="34">
        <f>IF(OR($A620="",$H620&lt;&gt;"Ausgabe",J620=""),0,IF(J620="x",-$E620/(COUNTIF($J620:$Q620,"x")+1),-$E620*N(J620)))</f>
        <v/>
      </c>
      <c r="Y620" s="34">
        <f>IF(OR($A620="",$H620&lt;&gt;"Ausgabe",K620=""),0,IF(K620="x",-$E620/(COUNTIF($J620:$Q620,"x")+1),-$E620*N(K620)))</f>
        <v/>
      </c>
      <c r="Z620" s="34">
        <f>IF(OR($A620="",$H620&lt;&gt;"Ausgabe",L620=""),0,IF(L620="x",-$E620/(COUNTIF($J620:$Q620,"x")+1),-$E620*N(L620)))</f>
        <v/>
      </c>
      <c r="AA620" s="34">
        <f>IF(OR($A620="",$H620&lt;&gt;"Ausgabe",M620=""),0,IF(M620="x",-$E620/(COUNTIF($J620:$Q620,"x")+1),-$E620*N(M620)))</f>
        <v/>
      </c>
      <c r="AB620" s="34">
        <f>IF(OR($A620="",$H620&lt;&gt;"Ausgabe",N620=""),0,IF(N620="x",-$E620/(COUNTIF($J620:$Q620,"x")+1),-$E620*N(N620)))</f>
        <v/>
      </c>
      <c r="AC620" s="34">
        <f>IF(OR($A620="",$H620&lt;&gt;"Ausgabe",O620=""),0,IF(O620="x",-$E620/(COUNTIF($J620:$Q620,"x")+1),-$E620*N(O620)))</f>
        <v/>
      </c>
      <c r="AD620" s="34">
        <f>IF(OR($A620="",$H620&lt;&gt;"Ausgabe",P620=""),0,IF(P620="x",-$E620/(COUNTIF($J620:$Q620,"x")+1),-$E620*N(P620)))</f>
        <v/>
      </c>
      <c r="AE620" s="34">
        <f>IF(OR($A620="",$H620&lt;&gt;"Ausgabe",Q620=""),0,IF(Q620="x",-$E620/(COUNTIF($J620:$Q620,"x")+1),-$E620*N(Q620)))</f>
        <v/>
      </c>
    </row>
    <row r="621">
      <c r="A621" s="30" t="n"/>
      <c r="E621" s="31" t="n"/>
      <c r="J621" s="32" t="n"/>
      <c r="K621" s="32" t="n"/>
      <c r="L621" s="32" t="n"/>
      <c r="M621" s="32" t="n"/>
      <c r="N621" s="32" t="n"/>
      <c r="O621" s="32" t="n"/>
      <c r="P621" s="32" t="n"/>
      <c r="Q621" s="32" t="n"/>
      <c r="U621" s="31">
        <f>IF($A621="","",SUM(X621:AE621))</f>
        <v/>
      </c>
      <c r="V621" s="31">
        <f>IF($A621="","",IF($H621&lt;&gt;"Ausgabe",0,-$E621-$U621))</f>
        <v/>
      </c>
      <c r="W621" s="33">
        <f>IF($A621="","",DATE(YEAR($A621),MONTH($A621),1))</f>
        <v/>
      </c>
      <c r="X621" s="34">
        <f>IF(OR($A621="",$H621&lt;&gt;"Ausgabe",J621=""),0,IF(J621="x",-$E621/(COUNTIF($J621:$Q621,"x")+1),-$E621*N(J621)))</f>
        <v/>
      </c>
      <c r="Y621" s="34">
        <f>IF(OR($A621="",$H621&lt;&gt;"Ausgabe",K621=""),0,IF(K621="x",-$E621/(COUNTIF($J621:$Q621,"x")+1),-$E621*N(K621)))</f>
        <v/>
      </c>
      <c r="Z621" s="34">
        <f>IF(OR($A621="",$H621&lt;&gt;"Ausgabe",L621=""),0,IF(L621="x",-$E621/(COUNTIF($J621:$Q621,"x")+1),-$E621*N(L621)))</f>
        <v/>
      </c>
      <c r="AA621" s="34">
        <f>IF(OR($A621="",$H621&lt;&gt;"Ausgabe",M621=""),0,IF(M621="x",-$E621/(COUNTIF($J621:$Q621,"x")+1),-$E621*N(M621)))</f>
        <v/>
      </c>
      <c r="AB621" s="34">
        <f>IF(OR($A621="",$H621&lt;&gt;"Ausgabe",N621=""),0,IF(N621="x",-$E621/(COUNTIF($J621:$Q621,"x")+1),-$E621*N(N621)))</f>
        <v/>
      </c>
      <c r="AC621" s="34">
        <f>IF(OR($A621="",$H621&lt;&gt;"Ausgabe",O621=""),0,IF(O621="x",-$E621/(COUNTIF($J621:$Q621,"x")+1),-$E621*N(O621)))</f>
        <v/>
      </c>
      <c r="AD621" s="34">
        <f>IF(OR($A621="",$H621&lt;&gt;"Ausgabe",P621=""),0,IF(P621="x",-$E621/(COUNTIF($J621:$Q621,"x")+1),-$E621*N(P621)))</f>
        <v/>
      </c>
      <c r="AE621" s="34">
        <f>IF(OR($A621="",$H621&lt;&gt;"Ausgabe",Q621=""),0,IF(Q621="x",-$E621/(COUNTIF($J621:$Q621,"x")+1),-$E621*N(Q621)))</f>
        <v/>
      </c>
    </row>
    <row r="622">
      <c r="A622" s="30" t="n"/>
      <c r="E622" s="31" t="n"/>
      <c r="J622" s="32" t="n"/>
      <c r="K622" s="32" t="n"/>
      <c r="L622" s="32" t="n"/>
      <c r="M622" s="32" t="n"/>
      <c r="N622" s="32" t="n"/>
      <c r="O622" s="32" t="n"/>
      <c r="P622" s="32" t="n"/>
      <c r="Q622" s="32" t="n"/>
      <c r="U622" s="31">
        <f>IF($A622="","",SUM(X622:AE622))</f>
        <v/>
      </c>
      <c r="V622" s="31">
        <f>IF($A622="","",IF($H622&lt;&gt;"Ausgabe",0,-$E622-$U622))</f>
        <v/>
      </c>
      <c r="W622" s="33">
        <f>IF($A622="","",DATE(YEAR($A622),MONTH($A622),1))</f>
        <v/>
      </c>
      <c r="X622" s="34">
        <f>IF(OR($A622="",$H622&lt;&gt;"Ausgabe",J622=""),0,IF(J622="x",-$E622/(COUNTIF($J622:$Q622,"x")+1),-$E622*N(J622)))</f>
        <v/>
      </c>
      <c r="Y622" s="34">
        <f>IF(OR($A622="",$H622&lt;&gt;"Ausgabe",K622=""),0,IF(K622="x",-$E622/(COUNTIF($J622:$Q622,"x")+1),-$E622*N(K622)))</f>
        <v/>
      </c>
      <c r="Z622" s="34">
        <f>IF(OR($A622="",$H622&lt;&gt;"Ausgabe",L622=""),0,IF(L622="x",-$E622/(COUNTIF($J622:$Q622,"x")+1),-$E622*N(L622)))</f>
        <v/>
      </c>
      <c r="AA622" s="34">
        <f>IF(OR($A622="",$H622&lt;&gt;"Ausgabe",M622=""),0,IF(M622="x",-$E622/(COUNTIF($J622:$Q622,"x")+1),-$E622*N(M622)))</f>
        <v/>
      </c>
      <c r="AB622" s="34">
        <f>IF(OR($A622="",$H622&lt;&gt;"Ausgabe",N622=""),0,IF(N622="x",-$E622/(COUNTIF($J622:$Q622,"x")+1),-$E622*N(N622)))</f>
        <v/>
      </c>
      <c r="AC622" s="34">
        <f>IF(OR($A622="",$H622&lt;&gt;"Ausgabe",O622=""),0,IF(O622="x",-$E622/(COUNTIF($J622:$Q622,"x")+1),-$E622*N(O622)))</f>
        <v/>
      </c>
      <c r="AD622" s="34">
        <f>IF(OR($A622="",$H622&lt;&gt;"Ausgabe",P622=""),0,IF(P622="x",-$E622/(COUNTIF($J622:$Q622,"x")+1),-$E622*N(P622)))</f>
        <v/>
      </c>
      <c r="AE622" s="34">
        <f>IF(OR($A622="",$H622&lt;&gt;"Ausgabe",Q622=""),0,IF(Q622="x",-$E622/(COUNTIF($J622:$Q622,"x")+1),-$E622*N(Q622)))</f>
        <v/>
      </c>
    </row>
    <row r="623">
      <c r="A623" s="30" t="n"/>
      <c r="E623" s="31" t="n"/>
      <c r="J623" s="32" t="n"/>
      <c r="K623" s="32" t="n"/>
      <c r="L623" s="32" t="n"/>
      <c r="M623" s="32" t="n"/>
      <c r="N623" s="32" t="n"/>
      <c r="O623" s="32" t="n"/>
      <c r="P623" s="32" t="n"/>
      <c r="Q623" s="32" t="n"/>
      <c r="U623" s="31">
        <f>IF($A623="","",SUM(X623:AE623))</f>
        <v/>
      </c>
      <c r="V623" s="31">
        <f>IF($A623="","",IF($H623&lt;&gt;"Ausgabe",0,-$E623-$U623))</f>
        <v/>
      </c>
      <c r="W623" s="33">
        <f>IF($A623="","",DATE(YEAR($A623),MONTH($A623),1))</f>
        <v/>
      </c>
      <c r="X623" s="34">
        <f>IF(OR($A623="",$H623&lt;&gt;"Ausgabe",J623=""),0,IF(J623="x",-$E623/(COUNTIF($J623:$Q623,"x")+1),-$E623*N(J623)))</f>
        <v/>
      </c>
      <c r="Y623" s="34">
        <f>IF(OR($A623="",$H623&lt;&gt;"Ausgabe",K623=""),0,IF(K623="x",-$E623/(COUNTIF($J623:$Q623,"x")+1),-$E623*N(K623)))</f>
        <v/>
      </c>
      <c r="Z623" s="34">
        <f>IF(OR($A623="",$H623&lt;&gt;"Ausgabe",L623=""),0,IF(L623="x",-$E623/(COUNTIF($J623:$Q623,"x")+1),-$E623*N(L623)))</f>
        <v/>
      </c>
      <c r="AA623" s="34">
        <f>IF(OR($A623="",$H623&lt;&gt;"Ausgabe",M623=""),0,IF(M623="x",-$E623/(COUNTIF($J623:$Q623,"x")+1),-$E623*N(M623)))</f>
        <v/>
      </c>
      <c r="AB623" s="34">
        <f>IF(OR($A623="",$H623&lt;&gt;"Ausgabe",N623=""),0,IF(N623="x",-$E623/(COUNTIF($J623:$Q623,"x")+1),-$E623*N(N623)))</f>
        <v/>
      </c>
      <c r="AC623" s="34">
        <f>IF(OR($A623="",$H623&lt;&gt;"Ausgabe",O623=""),0,IF(O623="x",-$E623/(COUNTIF($J623:$Q623,"x")+1),-$E623*N(O623)))</f>
        <v/>
      </c>
      <c r="AD623" s="34">
        <f>IF(OR($A623="",$H623&lt;&gt;"Ausgabe",P623=""),0,IF(P623="x",-$E623/(COUNTIF($J623:$Q623,"x")+1),-$E623*N(P623)))</f>
        <v/>
      </c>
      <c r="AE623" s="34">
        <f>IF(OR($A623="",$H623&lt;&gt;"Ausgabe",Q623=""),0,IF(Q623="x",-$E623/(COUNTIF($J623:$Q623,"x")+1),-$E623*N(Q623)))</f>
        <v/>
      </c>
    </row>
    <row r="624">
      <c r="A624" s="30" t="n"/>
      <c r="E624" s="31" t="n"/>
      <c r="J624" s="32" t="n"/>
      <c r="K624" s="32" t="n"/>
      <c r="L624" s="32" t="n"/>
      <c r="M624" s="32" t="n"/>
      <c r="N624" s="32" t="n"/>
      <c r="O624" s="32" t="n"/>
      <c r="P624" s="32" t="n"/>
      <c r="Q624" s="32" t="n"/>
      <c r="U624" s="31">
        <f>IF($A624="","",SUM(X624:AE624))</f>
        <v/>
      </c>
      <c r="V624" s="31">
        <f>IF($A624="","",IF($H624&lt;&gt;"Ausgabe",0,-$E624-$U624))</f>
        <v/>
      </c>
      <c r="W624" s="33">
        <f>IF($A624="","",DATE(YEAR($A624),MONTH($A624),1))</f>
        <v/>
      </c>
      <c r="X624" s="34">
        <f>IF(OR($A624="",$H624&lt;&gt;"Ausgabe",J624=""),0,IF(J624="x",-$E624/(COUNTIF($J624:$Q624,"x")+1),-$E624*N(J624)))</f>
        <v/>
      </c>
      <c r="Y624" s="34">
        <f>IF(OR($A624="",$H624&lt;&gt;"Ausgabe",K624=""),0,IF(K624="x",-$E624/(COUNTIF($J624:$Q624,"x")+1),-$E624*N(K624)))</f>
        <v/>
      </c>
      <c r="Z624" s="34">
        <f>IF(OR($A624="",$H624&lt;&gt;"Ausgabe",L624=""),0,IF(L624="x",-$E624/(COUNTIF($J624:$Q624,"x")+1),-$E624*N(L624)))</f>
        <v/>
      </c>
      <c r="AA624" s="34">
        <f>IF(OR($A624="",$H624&lt;&gt;"Ausgabe",M624=""),0,IF(M624="x",-$E624/(COUNTIF($J624:$Q624,"x")+1),-$E624*N(M624)))</f>
        <v/>
      </c>
      <c r="AB624" s="34">
        <f>IF(OR($A624="",$H624&lt;&gt;"Ausgabe",N624=""),0,IF(N624="x",-$E624/(COUNTIF($J624:$Q624,"x")+1),-$E624*N(N624)))</f>
        <v/>
      </c>
      <c r="AC624" s="34">
        <f>IF(OR($A624="",$H624&lt;&gt;"Ausgabe",O624=""),0,IF(O624="x",-$E624/(COUNTIF($J624:$Q624,"x")+1),-$E624*N(O624)))</f>
        <v/>
      </c>
      <c r="AD624" s="34">
        <f>IF(OR($A624="",$H624&lt;&gt;"Ausgabe",P624=""),0,IF(P624="x",-$E624/(COUNTIF($J624:$Q624,"x")+1),-$E624*N(P624)))</f>
        <v/>
      </c>
      <c r="AE624" s="34">
        <f>IF(OR($A624="",$H624&lt;&gt;"Ausgabe",Q624=""),0,IF(Q624="x",-$E624/(COUNTIF($J624:$Q624,"x")+1),-$E624*N(Q624)))</f>
        <v/>
      </c>
    </row>
    <row r="625">
      <c r="A625" s="30" t="n"/>
      <c r="E625" s="31" t="n"/>
      <c r="J625" s="32" t="n"/>
      <c r="K625" s="32" t="n"/>
      <c r="L625" s="32" t="n"/>
      <c r="M625" s="32" t="n"/>
      <c r="N625" s="32" t="n"/>
      <c r="O625" s="32" t="n"/>
      <c r="P625" s="32" t="n"/>
      <c r="Q625" s="32" t="n"/>
      <c r="U625" s="31">
        <f>IF($A625="","",SUM(X625:AE625))</f>
        <v/>
      </c>
      <c r="V625" s="31">
        <f>IF($A625="","",IF($H625&lt;&gt;"Ausgabe",0,-$E625-$U625))</f>
        <v/>
      </c>
      <c r="W625" s="33">
        <f>IF($A625="","",DATE(YEAR($A625),MONTH($A625),1))</f>
        <v/>
      </c>
      <c r="X625" s="34">
        <f>IF(OR($A625="",$H625&lt;&gt;"Ausgabe",J625=""),0,IF(J625="x",-$E625/(COUNTIF($J625:$Q625,"x")+1),-$E625*N(J625)))</f>
        <v/>
      </c>
      <c r="Y625" s="34">
        <f>IF(OR($A625="",$H625&lt;&gt;"Ausgabe",K625=""),0,IF(K625="x",-$E625/(COUNTIF($J625:$Q625,"x")+1),-$E625*N(K625)))</f>
        <v/>
      </c>
      <c r="Z625" s="34">
        <f>IF(OR($A625="",$H625&lt;&gt;"Ausgabe",L625=""),0,IF(L625="x",-$E625/(COUNTIF($J625:$Q625,"x")+1),-$E625*N(L625)))</f>
        <v/>
      </c>
      <c r="AA625" s="34">
        <f>IF(OR($A625="",$H625&lt;&gt;"Ausgabe",M625=""),0,IF(M625="x",-$E625/(COUNTIF($J625:$Q625,"x")+1),-$E625*N(M625)))</f>
        <v/>
      </c>
      <c r="AB625" s="34">
        <f>IF(OR($A625="",$H625&lt;&gt;"Ausgabe",N625=""),0,IF(N625="x",-$E625/(COUNTIF($J625:$Q625,"x")+1),-$E625*N(N625)))</f>
        <v/>
      </c>
      <c r="AC625" s="34">
        <f>IF(OR($A625="",$H625&lt;&gt;"Ausgabe",O625=""),0,IF(O625="x",-$E625/(COUNTIF($J625:$Q625,"x")+1),-$E625*N(O625)))</f>
        <v/>
      </c>
      <c r="AD625" s="34">
        <f>IF(OR($A625="",$H625&lt;&gt;"Ausgabe",P625=""),0,IF(P625="x",-$E625/(COUNTIF($J625:$Q625,"x")+1),-$E625*N(P625)))</f>
        <v/>
      </c>
      <c r="AE625" s="34">
        <f>IF(OR($A625="",$H625&lt;&gt;"Ausgabe",Q625=""),0,IF(Q625="x",-$E625/(COUNTIF($J625:$Q625,"x")+1),-$E625*N(Q625)))</f>
        <v/>
      </c>
    </row>
    <row r="626">
      <c r="A626" s="30" t="n"/>
      <c r="E626" s="31" t="n"/>
      <c r="J626" s="32" t="n"/>
      <c r="K626" s="32" t="n"/>
      <c r="L626" s="32" t="n"/>
      <c r="M626" s="32" t="n"/>
      <c r="N626" s="32" t="n"/>
      <c r="O626" s="32" t="n"/>
      <c r="P626" s="32" t="n"/>
      <c r="Q626" s="32" t="n"/>
      <c r="U626" s="31">
        <f>IF($A626="","",SUM(X626:AE626))</f>
        <v/>
      </c>
      <c r="V626" s="31">
        <f>IF($A626="","",IF($H626&lt;&gt;"Ausgabe",0,-$E626-$U626))</f>
        <v/>
      </c>
      <c r="W626" s="33">
        <f>IF($A626="","",DATE(YEAR($A626),MONTH($A626),1))</f>
        <v/>
      </c>
      <c r="X626" s="34">
        <f>IF(OR($A626="",$H626&lt;&gt;"Ausgabe",J626=""),0,IF(J626="x",-$E626/(COUNTIF($J626:$Q626,"x")+1),-$E626*N(J626)))</f>
        <v/>
      </c>
      <c r="Y626" s="34">
        <f>IF(OR($A626="",$H626&lt;&gt;"Ausgabe",K626=""),0,IF(K626="x",-$E626/(COUNTIF($J626:$Q626,"x")+1),-$E626*N(K626)))</f>
        <v/>
      </c>
      <c r="Z626" s="34">
        <f>IF(OR($A626="",$H626&lt;&gt;"Ausgabe",L626=""),0,IF(L626="x",-$E626/(COUNTIF($J626:$Q626,"x")+1),-$E626*N(L626)))</f>
        <v/>
      </c>
      <c r="AA626" s="34">
        <f>IF(OR($A626="",$H626&lt;&gt;"Ausgabe",M626=""),0,IF(M626="x",-$E626/(COUNTIF($J626:$Q626,"x")+1),-$E626*N(M626)))</f>
        <v/>
      </c>
      <c r="AB626" s="34">
        <f>IF(OR($A626="",$H626&lt;&gt;"Ausgabe",N626=""),0,IF(N626="x",-$E626/(COUNTIF($J626:$Q626,"x")+1),-$E626*N(N626)))</f>
        <v/>
      </c>
      <c r="AC626" s="34">
        <f>IF(OR($A626="",$H626&lt;&gt;"Ausgabe",O626=""),0,IF(O626="x",-$E626/(COUNTIF($J626:$Q626,"x")+1),-$E626*N(O626)))</f>
        <v/>
      </c>
      <c r="AD626" s="34">
        <f>IF(OR($A626="",$H626&lt;&gt;"Ausgabe",P626=""),0,IF(P626="x",-$E626/(COUNTIF($J626:$Q626,"x")+1),-$E626*N(P626)))</f>
        <v/>
      </c>
      <c r="AE626" s="34">
        <f>IF(OR($A626="",$H626&lt;&gt;"Ausgabe",Q626=""),0,IF(Q626="x",-$E626/(COUNTIF($J626:$Q626,"x")+1),-$E626*N(Q626)))</f>
        <v/>
      </c>
    </row>
    <row r="627">
      <c r="A627" s="30" t="n"/>
      <c r="E627" s="31" t="n"/>
      <c r="J627" s="32" t="n"/>
      <c r="K627" s="32" t="n"/>
      <c r="L627" s="32" t="n"/>
      <c r="M627" s="32" t="n"/>
      <c r="N627" s="32" t="n"/>
      <c r="O627" s="32" t="n"/>
      <c r="P627" s="32" t="n"/>
      <c r="Q627" s="32" t="n"/>
      <c r="U627" s="31">
        <f>IF($A627="","",SUM(X627:AE627))</f>
        <v/>
      </c>
      <c r="V627" s="31">
        <f>IF($A627="","",IF($H627&lt;&gt;"Ausgabe",0,-$E627-$U627))</f>
        <v/>
      </c>
      <c r="W627" s="33">
        <f>IF($A627="","",DATE(YEAR($A627),MONTH($A627),1))</f>
        <v/>
      </c>
      <c r="X627" s="34">
        <f>IF(OR($A627="",$H627&lt;&gt;"Ausgabe",J627=""),0,IF(J627="x",-$E627/(COUNTIF($J627:$Q627,"x")+1),-$E627*N(J627)))</f>
        <v/>
      </c>
      <c r="Y627" s="34">
        <f>IF(OR($A627="",$H627&lt;&gt;"Ausgabe",K627=""),0,IF(K627="x",-$E627/(COUNTIF($J627:$Q627,"x")+1),-$E627*N(K627)))</f>
        <v/>
      </c>
      <c r="Z627" s="34">
        <f>IF(OR($A627="",$H627&lt;&gt;"Ausgabe",L627=""),0,IF(L627="x",-$E627/(COUNTIF($J627:$Q627,"x")+1),-$E627*N(L627)))</f>
        <v/>
      </c>
      <c r="AA627" s="34">
        <f>IF(OR($A627="",$H627&lt;&gt;"Ausgabe",M627=""),0,IF(M627="x",-$E627/(COUNTIF($J627:$Q627,"x")+1),-$E627*N(M627)))</f>
        <v/>
      </c>
      <c r="AB627" s="34">
        <f>IF(OR($A627="",$H627&lt;&gt;"Ausgabe",N627=""),0,IF(N627="x",-$E627/(COUNTIF($J627:$Q627,"x")+1),-$E627*N(N627)))</f>
        <v/>
      </c>
      <c r="AC627" s="34">
        <f>IF(OR($A627="",$H627&lt;&gt;"Ausgabe",O627=""),0,IF(O627="x",-$E627/(COUNTIF($J627:$Q627,"x")+1),-$E627*N(O627)))</f>
        <v/>
      </c>
      <c r="AD627" s="34">
        <f>IF(OR($A627="",$H627&lt;&gt;"Ausgabe",P627=""),0,IF(P627="x",-$E627/(COUNTIF($J627:$Q627,"x")+1),-$E627*N(P627)))</f>
        <v/>
      </c>
      <c r="AE627" s="34">
        <f>IF(OR($A627="",$H627&lt;&gt;"Ausgabe",Q627=""),0,IF(Q627="x",-$E627/(COUNTIF($J627:$Q627,"x")+1),-$E627*N(Q627)))</f>
        <v/>
      </c>
    </row>
    <row r="628">
      <c r="A628" s="30" t="n"/>
      <c r="E628" s="31" t="n"/>
      <c r="J628" s="32" t="n"/>
      <c r="K628" s="32" t="n"/>
      <c r="L628" s="32" t="n"/>
      <c r="M628" s="32" t="n"/>
      <c r="N628" s="32" t="n"/>
      <c r="O628" s="32" t="n"/>
      <c r="P628" s="32" t="n"/>
      <c r="Q628" s="32" t="n"/>
      <c r="U628" s="31">
        <f>IF($A628="","",SUM(X628:AE628))</f>
        <v/>
      </c>
      <c r="V628" s="31">
        <f>IF($A628="","",IF($H628&lt;&gt;"Ausgabe",0,-$E628-$U628))</f>
        <v/>
      </c>
      <c r="W628" s="33">
        <f>IF($A628="","",DATE(YEAR($A628),MONTH($A628),1))</f>
        <v/>
      </c>
      <c r="X628" s="34">
        <f>IF(OR($A628="",$H628&lt;&gt;"Ausgabe",J628=""),0,IF(J628="x",-$E628/(COUNTIF($J628:$Q628,"x")+1),-$E628*N(J628)))</f>
        <v/>
      </c>
      <c r="Y628" s="34">
        <f>IF(OR($A628="",$H628&lt;&gt;"Ausgabe",K628=""),0,IF(K628="x",-$E628/(COUNTIF($J628:$Q628,"x")+1),-$E628*N(K628)))</f>
        <v/>
      </c>
      <c r="Z628" s="34">
        <f>IF(OR($A628="",$H628&lt;&gt;"Ausgabe",L628=""),0,IF(L628="x",-$E628/(COUNTIF($J628:$Q628,"x")+1),-$E628*N(L628)))</f>
        <v/>
      </c>
      <c r="AA628" s="34">
        <f>IF(OR($A628="",$H628&lt;&gt;"Ausgabe",M628=""),0,IF(M628="x",-$E628/(COUNTIF($J628:$Q628,"x")+1),-$E628*N(M628)))</f>
        <v/>
      </c>
      <c r="AB628" s="34">
        <f>IF(OR($A628="",$H628&lt;&gt;"Ausgabe",N628=""),0,IF(N628="x",-$E628/(COUNTIF($J628:$Q628,"x")+1),-$E628*N(N628)))</f>
        <v/>
      </c>
      <c r="AC628" s="34">
        <f>IF(OR($A628="",$H628&lt;&gt;"Ausgabe",O628=""),0,IF(O628="x",-$E628/(COUNTIF($J628:$Q628,"x")+1),-$E628*N(O628)))</f>
        <v/>
      </c>
      <c r="AD628" s="34">
        <f>IF(OR($A628="",$H628&lt;&gt;"Ausgabe",P628=""),0,IF(P628="x",-$E628/(COUNTIF($J628:$Q628,"x")+1),-$E628*N(P628)))</f>
        <v/>
      </c>
      <c r="AE628" s="34">
        <f>IF(OR($A628="",$H628&lt;&gt;"Ausgabe",Q628=""),0,IF(Q628="x",-$E628/(COUNTIF($J628:$Q628,"x")+1),-$E628*N(Q628)))</f>
        <v/>
      </c>
    </row>
    <row r="629">
      <c r="A629" s="30" t="n"/>
      <c r="E629" s="31" t="n"/>
      <c r="J629" s="32" t="n"/>
      <c r="K629" s="32" t="n"/>
      <c r="L629" s="32" t="n"/>
      <c r="M629" s="32" t="n"/>
      <c r="N629" s="32" t="n"/>
      <c r="O629" s="32" t="n"/>
      <c r="P629" s="32" t="n"/>
      <c r="Q629" s="32" t="n"/>
      <c r="U629" s="31">
        <f>IF($A629="","",SUM(X629:AE629))</f>
        <v/>
      </c>
      <c r="V629" s="31">
        <f>IF($A629="","",IF($H629&lt;&gt;"Ausgabe",0,-$E629-$U629))</f>
        <v/>
      </c>
      <c r="W629" s="33">
        <f>IF($A629="","",DATE(YEAR($A629),MONTH($A629),1))</f>
        <v/>
      </c>
      <c r="X629" s="34">
        <f>IF(OR($A629="",$H629&lt;&gt;"Ausgabe",J629=""),0,IF(J629="x",-$E629/(COUNTIF($J629:$Q629,"x")+1),-$E629*N(J629)))</f>
        <v/>
      </c>
      <c r="Y629" s="34">
        <f>IF(OR($A629="",$H629&lt;&gt;"Ausgabe",K629=""),0,IF(K629="x",-$E629/(COUNTIF($J629:$Q629,"x")+1),-$E629*N(K629)))</f>
        <v/>
      </c>
      <c r="Z629" s="34">
        <f>IF(OR($A629="",$H629&lt;&gt;"Ausgabe",L629=""),0,IF(L629="x",-$E629/(COUNTIF($J629:$Q629,"x")+1),-$E629*N(L629)))</f>
        <v/>
      </c>
      <c r="AA629" s="34">
        <f>IF(OR($A629="",$H629&lt;&gt;"Ausgabe",M629=""),0,IF(M629="x",-$E629/(COUNTIF($J629:$Q629,"x")+1),-$E629*N(M629)))</f>
        <v/>
      </c>
      <c r="AB629" s="34">
        <f>IF(OR($A629="",$H629&lt;&gt;"Ausgabe",N629=""),0,IF(N629="x",-$E629/(COUNTIF($J629:$Q629,"x")+1),-$E629*N(N629)))</f>
        <v/>
      </c>
      <c r="AC629" s="34">
        <f>IF(OR($A629="",$H629&lt;&gt;"Ausgabe",O629=""),0,IF(O629="x",-$E629/(COUNTIF($J629:$Q629,"x")+1),-$E629*N(O629)))</f>
        <v/>
      </c>
      <c r="AD629" s="34">
        <f>IF(OR($A629="",$H629&lt;&gt;"Ausgabe",P629=""),0,IF(P629="x",-$E629/(COUNTIF($J629:$Q629,"x")+1),-$E629*N(P629)))</f>
        <v/>
      </c>
      <c r="AE629" s="34">
        <f>IF(OR($A629="",$H629&lt;&gt;"Ausgabe",Q629=""),0,IF(Q629="x",-$E629/(COUNTIF($J629:$Q629,"x")+1),-$E629*N(Q629)))</f>
        <v/>
      </c>
    </row>
    <row r="630">
      <c r="A630" s="30" t="n"/>
      <c r="E630" s="31" t="n"/>
      <c r="J630" s="32" t="n"/>
      <c r="K630" s="32" t="n"/>
      <c r="L630" s="32" t="n"/>
      <c r="M630" s="32" t="n"/>
      <c r="N630" s="32" t="n"/>
      <c r="O630" s="32" t="n"/>
      <c r="P630" s="32" t="n"/>
      <c r="Q630" s="32" t="n"/>
      <c r="U630" s="31">
        <f>IF($A630="","",SUM(X630:AE630))</f>
        <v/>
      </c>
      <c r="V630" s="31">
        <f>IF($A630="","",IF($H630&lt;&gt;"Ausgabe",0,-$E630-$U630))</f>
        <v/>
      </c>
      <c r="W630" s="33">
        <f>IF($A630="","",DATE(YEAR($A630),MONTH($A630),1))</f>
        <v/>
      </c>
      <c r="X630" s="34">
        <f>IF(OR($A630="",$H630&lt;&gt;"Ausgabe",J630=""),0,IF(J630="x",-$E630/(COUNTIF($J630:$Q630,"x")+1),-$E630*N(J630)))</f>
        <v/>
      </c>
      <c r="Y630" s="34">
        <f>IF(OR($A630="",$H630&lt;&gt;"Ausgabe",K630=""),0,IF(K630="x",-$E630/(COUNTIF($J630:$Q630,"x")+1),-$E630*N(K630)))</f>
        <v/>
      </c>
      <c r="Z630" s="34">
        <f>IF(OR($A630="",$H630&lt;&gt;"Ausgabe",L630=""),0,IF(L630="x",-$E630/(COUNTIF($J630:$Q630,"x")+1),-$E630*N(L630)))</f>
        <v/>
      </c>
      <c r="AA630" s="34">
        <f>IF(OR($A630="",$H630&lt;&gt;"Ausgabe",M630=""),0,IF(M630="x",-$E630/(COUNTIF($J630:$Q630,"x")+1),-$E630*N(M630)))</f>
        <v/>
      </c>
      <c r="AB630" s="34">
        <f>IF(OR($A630="",$H630&lt;&gt;"Ausgabe",N630=""),0,IF(N630="x",-$E630/(COUNTIF($J630:$Q630,"x")+1),-$E630*N(N630)))</f>
        <v/>
      </c>
      <c r="AC630" s="34">
        <f>IF(OR($A630="",$H630&lt;&gt;"Ausgabe",O630=""),0,IF(O630="x",-$E630/(COUNTIF($J630:$Q630,"x")+1),-$E630*N(O630)))</f>
        <v/>
      </c>
      <c r="AD630" s="34">
        <f>IF(OR($A630="",$H630&lt;&gt;"Ausgabe",P630=""),0,IF(P630="x",-$E630/(COUNTIF($J630:$Q630,"x")+1),-$E630*N(P630)))</f>
        <v/>
      </c>
      <c r="AE630" s="34">
        <f>IF(OR($A630="",$H630&lt;&gt;"Ausgabe",Q630=""),0,IF(Q630="x",-$E630/(COUNTIF($J630:$Q630,"x")+1),-$E630*N(Q630)))</f>
        <v/>
      </c>
    </row>
    <row r="631">
      <c r="A631" s="30" t="n"/>
      <c r="E631" s="31" t="n"/>
      <c r="J631" s="32" t="n"/>
      <c r="K631" s="32" t="n"/>
      <c r="L631" s="32" t="n"/>
      <c r="M631" s="32" t="n"/>
      <c r="N631" s="32" t="n"/>
      <c r="O631" s="32" t="n"/>
      <c r="P631" s="32" t="n"/>
      <c r="Q631" s="32" t="n"/>
      <c r="U631" s="31">
        <f>IF($A631="","",SUM(X631:AE631))</f>
        <v/>
      </c>
      <c r="V631" s="31">
        <f>IF($A631="","",IF($H631&lt;&gt;"Ausgabe",0,-$E631-$U631))</f>
        <v/>
      </c>
      <c r="W631" s="33">
        <f>IF($A631="","",DATE(YEAR($A631),MONTH($A631),1))</f>
        <v/>
      </c>
      <c r="X631" s="34">
        <f>IF(OR($A631="",$H631&lt;&gt;"Ausgabe",J631=""),0,IF(J631="x",-$E631/(COUNTIF($J631:$Q631,"x")+1),-$E631*N(J631)))</f>
        <v/>
      </c>
      <c r="Y631" s="34">
        <f>IF(OR($A631="",$H631&lt;&gt;"Ausgabe",K631=""),0,IF(K631="x",-$E631/(COUNTIF($J631:$Q631,"x")+1),-$E631*N(K631)))</f>
        <v/>
      </c>
      <c r="Z631" s="34">
        <f>IF(OR($A631="",$H631&lt;&gt;"Ausgabe",L631=""),0,IF(L631="x",-$E631/(COUNTIF($J631:$Q631,"x")+1),-$E631*N(L631)))</f>
        <v/>
      </c>
      <c r="AA631" s="34">
        <f>IF(OR($A631="",$H631&lt;&gt;"Ausgabe",M631=""),0,IF(M631="x",-$E631/(COUNTIF($J631:$Q631,"x")+1),-$E631*N(M631)))</f>
        <v/>
      </c>
      <c r="AB631" s="34">
        <f>IF(OR($A631="",$H631&lt;&gt;"Ausgabe",N631=""),0,IF(N631="x",-$E631/(COUNTIF($J631:$Q631,"x")+1),-$E631*N(N631)))</f>
        <v/>
      </c>
      <c r="AC631" s="34">
        <f>IF(OR($A631="",$H631&lt;&gt;"Ausgabe",O631=""),0,IF(O631="x",-$E631/(COUNTIF($J631:$Q631,"x")+1),-$E631*N(O631)))</f>
        <v/>
      </c>
      <c r="AD631" s="34">
        <f>IF(OR($A631="",$H631&lt;&gt;"Ausgabe",P631=""),0,IF(P631="x",-$E631/(COUNTIF($J631:$Q631,"x")+1),-$E631*N(P631)))</f>
        <v/>
      </c>
      <c r="AE631" s="34">
        <f>IF(OR($A631="",$H631&lt;&gt;"Ausgabe",Q631=""),0,IF(Q631="x",-$E631/(COUNTIF($J631:$Q631,"x")+1),-$E631*N(Q631)))</f>
        <v/>
      </c>
    </row>
    <row r="632">
      <c r="A632" s="30" t="n"/>
      <c r="E632" s="31" t="n"/>
      <c r="J632" s="32" t="n"/>
      <c r="K632" s="32" t="n"/>
      <c r="L632" s="32" t="n"/>
      <c r="M632" s="32" t="n"/>
      <c r="N632" s="32" t="n"/>
      <c r="O632" s="32" t="n"/>
      <c r="P632" s="32" t="n"/>
      <c r="Q632" s="32" t="n"/>
      <c r="U632" s="31">
        <f>IF($A632="","",SUM(X632:AE632))</f>
        <v/>
      </c>
      <c r="V632" s="31">
        <f>IF($A632="","",IF($H632&lt;&gt;"Ausgabe",0,-$E632-$U632))</f>
        <v/>
      </c>
      <c r="W632" s="33">
        <f>IF($A632="","",DATE(YEAR($A632),MONTH($A632),1))</f>
        <v/>
      </c>
      <c r="X632" s="34">
        <f>IF(OR($A632="",$H632&lt;&gt;"Ausgabe",J632=""),0,IF(J632="x",-$E632/(COUNTIF($J632:$Q632,"x")+1),-$E632*N(J632)))</f>
        <v/>
      </c>
      <c r="Y632" s="34">
        <f>IF(OR($A632="",$H632&lt;&gt;"Ausgabe",K632=""),0,IF(K632="x",-$E632/(COUNTIF($J632:$Q632,"x")+1),-$E632*N(K632)))</f>
        <v/>
      </c>
      <c r="Z632" s="34">
        <f>IF(OR($A632="",$H632&lt;&gt;"Ausgabe",L632=""),0,IF(L632="x",-$E632/(COUNTIF($J632:$Q632,"x")+1),-$E632*N(L632)))</f>
        <v/>
      </c>
      <c r="AA632" s="34">
        <f>IF(OR($A632="",$H632&lt;&gt;"Ausgabe",M632=""),0,IF(M632="x",-$E632/(COUNTIF($J632:$Q632,"x")+1),-$E632*N(M632)))</f>
        <v/>
      </c>
      <c r="AB632" s="34">
        <f>IF(OR($A632="",$H632&lt;&gt;"Ausgabe",N632=""),0,IF(N632="x",-$E632/(COUNTIF($J632:$Q632,"x")+1),-$E632*N(N632)))</f>
        <v/>
      </c>
      <c r="AC632" s="34">
        <f>IF(OR($A632="",$H632&lt;&gt;"Ausgabe",O632=""),0,IF(O632="x",-$E632/(COUNTIF($J632:$Q632,"x")+1),-$E632*N(O632)))</f>
        <v/>
      </c>
      <c r="AD632" s="34">
        <f>IF(OR($A632="",$H632&lt;&gt;"Ausgabe",P632=""),0,IF(P632="x",-$E632/(COUNTIF($J632:$Q632,"x")+1),-$E632*N(P632)))</f>
        <v/>
      </c>
      <c r="AE632" s="34">
        <f>IF(OR($A632="",$H632&lt;&gt;"Ausgabe",Q632=""),0,IF(Q632="x",-$E632/(COUNTIF($J632:$Q632,"x")+1),-$E632*N(Q632)))</f>
        <v/>
      </c>
    </row>
    <row r="633">
      <c r="A633" s="30" t="n"/>
      <c r="E633" s="31" t="n"/>
      <c r="J633" s="32" t="n"/>
      <c r="K633" s="32" t="n"/>
      <c r="L633" s="32" t="n"/>
      <c r="M633" s="32" t="n"/>
      <c r="N633" s="32" t="n"/>
      <c r="O633" s="32" t="n"/>
      <c r="P633" s="32" t="n"/>
      <c r="Q633" s="32" t="n"/>
      <c r="U633" s="31">
        <f>IF($A633="","",SUM(X633:AE633))</f>
        <v/>
      </c>
      <c r="V633" s="31">
        <f>IF($A633="","",IF($H633&lt;&gt;"Ausgabe",0,-$E633-$U633))</f>
        <v/>
      </c>
      <c r="W633" s="33">
        <f>IF($A633="","",DATE(YEAR($A633),MONTH($A633),1))</f>
        <v/>
      </c>
      <c r="X633" s="34">
        <f>IF(OR($A633="",$H633&lt;&gt;"Ausgabe",J633=""),0,IF(J633="x",-$E633/(COUNTIF($J633:$Q633,"x")+1),-$E633*N(J633)))</f>
        <v/>
      </c>
      <c r="Y633" s="34">
        <f>IF(OR($A633="",$H633&lt;&gt;"Ausgabe",K633=""),0,IF(K633="x",-$E633/(COUNTIF($J633:$Q633,"x")+1),-$E633*N(K633)))</f>
        <v/>
      </c>
      <c r="Z633" s="34">
        <f>IF(OR($A633="",$H633&lt;&gt;"Ausgabe",L633=""),0,IF(L633="x",-$E633/(COUNTIF($J633:$Q633,"x")+1),-$E633*N(L633)))</f>
        <v/>
      </c>
      <c r="AA633" s="34">
        <f>IF(OR($A633="",$H633&lt;&gt;"Ausgabe",M633=""),0,IF(M633="x",-$E633/(COUNTIF($J633:$Q633,"x")+1),-$E633*N(M633)))</f>
        <v/>
      </c>
      <c r="AB633" s="34">
        <f>IF(OR($A633="",$H633&lt;&gt;"Ausgabe",N633=""),0,IF(N633="x",-$E633/(COUNTIF($J633:$Q633,"x")+1),-$E633*N(N633)))</f>
        <v/>
      </c>
      <c r="AC633" s="34">
        <f>IF(OR($A633="",$H633&lt;&gt;"Ausgabe",O633=""),0,IF(O633="x",-$E633/(COUNTIF($J633:$Q633,"x")+1),-$E633*N(O633)))</f>
        <v/>
      </c>
      <c r="AD633" s="34">
        <f>IF(OR($A633="",$H633&lt;&gt;"Ausgabe",P633=""),0,IF(P633="x",-$E633/(COUNTIF($J633:$Q633,"x")+1),-$E633*N(P633)))</f>
        <v/>
      </c>
      <c r="AE633" s="34">
        <f>IF(OR($A633="",$H633&lt;&gt;"Ausgabe",Q633=""),0,IF(Q633="x",-$E633/(COUNTIF($J633:$Q633,"x")+1),-$E633*N(Q633)))</f>
        <v/>
      </c>
    </row>
    <row r="634">
      <c r="A634" s="30" t="n"/>
      <c r="E634" s="31" t="n"/>
      <c r="J634" s="32" t="n"/>
      <c r="K634" s="32" t="n"/>
      <c r="L634" s="32" t="n"/>
      <c r="M634" s="32" t="n"/>
      <c r="N634" s="32" t="n"/>
      <c r="O634" s="32" t="n"/>
      <c r="P634" s="32" t="n"/>
      <c r="Q634" s="32" t="n"/>
      <c r="U634" s="31">
        <f>IF($A634="","",SUM(X634:AE634))</f>
        <v/>
      </c>
      <c r="V634" s="31">
        <f>IF($A634="","",IF($H634&lt;&gt;"Ausgabe",0,-$E634-$U634))</f>
        <v/>
      </c>
      <c r="W634" s="33">
        <f>IF($A634="","",DATE(YEAR($A634),MONTH($A634),1))</f>
        <v/>
      </c>
      <c r="X634" s="34">
        <f>IF(OR($A634="",$H634&lt;&gt;"Ausgabe",J634=""),0,IF(J634="x",-$E634/(COUNTIF($J634:$Q634,"x")+1),-$E634*N(J634)))</f>
        <v/>
      </c>
      <c r="Y634" s="34">
        <f>IF(OR($A634="",$H634&lt;&gt;"Ausgabe",K634=""),0,IF(K634="x",-$E634/(COUNTIF($J634:$Q634,"x")+1),-$E634*N(K634)))</f>
        <v/>
      </c>
      <c r="Z634" s="34">
        <f>IF(OR($A634="",$H634&lt;&gt;"Ausgabe",L634=""),0,IF(L634="x",-$E634/(COUNTIF($J634:$Q634,"x")+1),-$E634*N(L634)))</f>
        <v/>
      </c>
      <c r="AA634" s="34">
        <f>IF(OR($A634="",$H634&lt;&gt;"Ausgabe",M634=""),0,IF(M634="x",-$E634/(COUNTIF($J634:$Q634,"x")+1),-$E634*N(M634)))</f>
        <v/>
      </c>
      <c r="AB634" s="34">
        <f>IF(OR($A634="",$H634&lt;&gt;"Ausgabe",N634=""),0,IF(N634="x",-$E634/(COUNTIF($J634:$Q634,"x")+1),-$E634*N(N634)))</f>
        <v/>
      </c>
      <c r="AC634" s="34">
        <f>IF(OR($A634="",$H634&lt;&gt;"Ausgabe",O634=""),0,IF(O634="x",-$E634/(COUNTIF($J634:$Q634,"x")+1),-$E634*N(O634)))</f>
        <v/>
      </c>
      <c r="AD634" s="34">
        <f>IF(OR($A634="",$H634&lt;&gt;"Ausgabe",P634=""),0,IF(P634="x",-$E634/(COUNTIF($J634:$Q634,"x")+1),-$E634*N(P634)))</f>
        <v/>
      </c>
      <c r="AE634" s="34">
        <f>IF(OR($A634="",$H634&lt;&gt;"Ausgabe",Q634=""),0,IF(Q634="x",-$E634/(COUNTIF($J634:$Q634,"x")+1),-$E634*N(Q634)))</f>
        <v/>
      </c>
    </row>
    <row r="635">
      <c r="A635" s="30" t="n"/>
      <c r="E635" s="31" t="n"/>
      <c r="J635" s="32" t="n"/>
      <c r="K635" s="32" t="n"/>
      <c r="L635" s="32" t="n"/>
      <c r="M635" s="32" t="n"/>
      <c r="N635" s="32" t="n"/>
      <c r="O635" s="32" t="n"/>
      <c r="P635" s="32" t="n"/>
      <c r="Q635" s="32" t="n"/>
      <c r="U635" s="31">
        <f>IF($A635="","",SUM(X635:AE635))</f>
        <v/>
      </c>
      <c r="V635" s="31">
        <f>IF($A635="","",IF($H635&lt;&gt;"Ausgabe",0,-$E635-$U635))</f>
        <v/>
      </c>
      <c r="W635" s="33">
        <f>IF($A635="","",DATE(YEAR($A635),MONTH($A635),1))</f>
        <v/>
      </c>
      <c r="X635" s="34">
        <f>IF(OR($A635="",$H635&lt;&gt;"Ausgabe",J635=""),0,IF(J635="x",-$E635/(COUNTIF($J635:$Q635,"x")+1),-$E635*N(J635)))</f>
        <v/>
      </c>
      <c r="Y635" s="34">
        <f>IF(OR($A635="",$H635&lt;&gt;"Ausgabe",K635=""),0,IF(K635="x",-$E635/(COUNTIF($J635:$Q635,"x")+1),-$E635*N(K635)))</f>
        <v/>
      </c>
      <c r="Z635" s="34">
        <f>IF(OR($A635="",$H635&lt;&gt;"Ausgabe",L635=""),0,IF(L635="x",-$E635/(COUNTIF($J635:$Q635,"x")+1),-$E635*N(L635)))</f>
        <v/>
      </c>
      <c r="AA635" s="34">
        <f>IF(OR($A635="",$H635&lt;&gt;"Ausgabe",M635=""),0,IF(M635="x",-$E635/(COUNTIF($J635:$Q635,"x")+1),-$E635*N(M635)))</f>
        <v/>
      </c>
      <c r="AB635" s="34">
        <f>IF(OR($A635="",$H635&lt;&gt;"Ausgabe",N635=""),0,IF(N635="x",-$E635/(COUNTIF($J635:$Q635,"x")+1),-$E635*N(N635)))</f>
        <v/>
      </c>
      <c r="AC635" s="34">
        <f>IF(OR($A635="",$H635&lt;&gt;"Ausgabe",O635=""),0,IF(O635="x",-$E635/(COUNTIF($J635:$Q635,"x")+1),-$E635*N(O635)))</f>
        <v/>
      </c>
      <c r="AD635" s="34">
        <f>IF(OR($A635="",$H635&lt;&gt;"Ausgabe",P635=""),0,IF(P635="x",-$E635/(COUNTIF($J635:$Q635,"x")+1),-$E635*N(P635)))</f>
        <v/>
      </c>
      <c r="AE635" s="34">
        <f>IF(OR($A635="",$H635&lt;&gt;"Ausgabe",Q635=""),0,IF(Q635="x",-$E635/(COUNTIF($J635:$Q635,"x")+1),-$E635*N(Q635)))</f>
        <v/>
      </c>
    </row>
    <row r="636">
      <c r="A636" s="30" t="n"/>
      <c r="E636" s="31" t="n"/>
      <c r="J636" s="32" t="n"/>
      <c r="K636" s="32" t="n"/>
      <c r="L636" s="32" t="n"/>
      <c r="M636" s="32" t="n"/>
      <c r="N636" s="32" t="n"/>
      <c r="O636" s="32" t="n"/>
      <c r="P636" s="32" t="n"/>
      <c r="Q636" s="32" t="n"/>
      <c r="U636" s="31">
        <f>IF($A636="","",SUM(X636:AE636))</f>
        <v/>
      </c>
      <c r="V636" s="31">
        <f>IF($A636="","",IF($H636&lt;&gt;"Ausgabe",0,-$E636-$U636))</f>
        <v/>
      </c>
      <c r="W636" s="33">
        <f>IF($A636="","",DATE(YEAR($A636),MONTH($A636),1))</f>
        <v/>
      </c>
      <c r="X636" s="34">
        <f>IF(OR($A636="",$H636&lt;&gt;"Ausgabe",J636=""),0,IF(J636="x",-$E636/(COUNTIF($J636:$Q636,"x")+1),-$E636*N(J636)))</f>
        <v/>
      </c>
      <c r="Y636" s="34">
        <f>IF(OR($A636="",$H636&lt;&gt;"Ausgabe",K636=""),0,IF(K636="x",-$E636/(COUNTIF($J636:$Q636,"x")+1),-$E636*N(K636)))</f>
        <v/>
      </c>
      <c r="Z636" s="34">
        <f>IF(OR($A636="",$H636&lt;&gt;"Ausgabe",L636=""),0,IF(L636="x",-$E636/(COUNTIF($J636:$Q636,"x")+1),-$E636*N(L636)))</f>
        <v/>
      </c>
      <c r="AA636" s="34">
        <f>IF(OR($A636="",$H636&lt;&gt;"Ausgabe",M636=""),0,IF(M636="x",-$E636/(COUNTIF($J636:$Q636,"x")+1),-$E636*N(M636)))</f>
        <v/>
      </c>
      <c r="AB636" s="34">
        <f>IF(OR($A636="",$H636&lt;&gt;"Ausgabe",N636=""),0,IF(N636="x",-$E636/(COUNTIF($J636:$Q636,"x")+1),-$E636*N(N636)))</f>
        <v/>
      </c>
      <c r="AC636" s="34">
        <f>IF(OR($A636="",$H636&lt;&gt;"Ausgabe",O636=""),0,IF(O636="x",-$E636/(COUNTIF($J636:$Q636,"x")+1),-$E636*N(O636)))</f>
        <v/>
      </c>
      <c r="AD636" s="34">
        <f>IF(OR($A636="",$H636&lt;&gt;"Ausgabe",P636=""),0,IF(P636="x",-$E636/(COUNTIF($J636:$Q636,"x")+1),-$E636*N(P636)))</f>
        <v/>
      </c>
      <c r="AE636" s="34">
        <f>IF(OR($A636="",$H636&lt;&gt;"Ausgabe",Q636=""),0,IF(Q636="x",-$E636/(COUNTIF($J636:$Q636,"x")+1),-$E636*N(Q636)))</f>
        <v/>
      </c>
    </row>
    <row r="637">
      <c r="A637" s="30" t="n"/>
      <c r="E637" s="31" t="n"/>
      <c r="J637" s="32" t="n"/>
      <c r="K637" s="32" t="n"/>
      <c r="L637" s="32" t="n"/>
      <c r="M637" s="32" t="n"/>
      <c r="N637" s="32" t="n"/>
      <c r="O637" s="32" t="n"/>
      <c r="P637" s="32" t="n"/>
      <c r="Q637" s="32" t="n"/>
      <c r="U637" s="31">
        <f>IF($A637="","",SUM(X637:AE637))</f>
        <v/>
      </c>
      <c r="V637" s="31">
        <f>IF($A637="","",IF($H637&lt;&gt;"Ausgabe",0,-$E637-$U637))</f>
        <v/>
      </c>
      <c r="W637" s="33">
        <f>IF($A637="","",DATE(YEAR($A637),MONTH($A637),1))</f>
        <v/>
      </c>
      <c r="X637" s="34">
        <f>IF(OR($A637="",$H637&lt;&gt;"Ausgabe",J637=""),0,IF(J637="x",-$E637/(COUNTIF($J637:$Q637,"x")+1),-$E637*N(J637)))</f>
        <v/>
      </c>
      <c r="Y637" s="34">
        <f>IF(OR($A637="",$H637&lt;&gt;"Ausgabe",K637=""),0,IF(K637="x",-$E637/(COUNTIF($J637:$Q637,"x")+1),-$E637*N(K637)))</f>
        <v/>
      </c>
      <c r="Z637" s="34">
        <f>IF(OR($A637="",$H637&lt;&gt;"Ausgabe",L637=""),0,IF(L637="x",-$E637/(COUNTIF($J637:$Q637,"x")+1),-$E637*N(L637)))</f>
        <v/>
      </c>
      <c r="AA637" s="34">
        <f>IF(OR($A637="",$H637&lt;&gt;"Ausgabe",M637=""),0,IF(M637="x",-$E637/(COUNTIF($J637:$Q637,"x")+1),-$E637*N(M637)))</f>
        <v/>
      </c>
      <c r="AB637" s="34">
        <f>IF(OR($A637="",$H637&lt;&gt;"Ausgabe",N637=""),0,IF(N637="x",-$E637/(COUNTIF($J637:$Q637,"x")+1),-$E637*N(N637)))</f>
        <v/>
      </c>
      <c r="AC637" s="34">
        <f>IF(OR($A637="",$H637&lt;&gt;"Ausgabe",O637=""),0,IF(O637="x",-$E637/(COUNTIF($J637:$Q637,"x")+1),-$E637*N(O637)))</f>
        <v/>
      </c>
      <c r="AD637" s="34">
        <f>IF(OR($A637="",$H637&lt;&gt;"Ausgabe",P637=""),0,IF(P637="x",-$E637/(COUNTIF($J637:$Q637,"x")+1),-$E637*N(P637)))</f>
        <v/>
      </c>
      <c r="AE637" s="34">
        <f>IF(OR($A637="",$H637&lt;&gt;"Ausgabe",Q637=""),0,IF(Q637="x",-$E637/(COUNTIF($J637:$Q637,"x")+1),-$E637*N(Q637)))</f>
        <v/>
      </c>
    </row>
    <row r="638">
      <c r="A638" s="30" t="n"/>
      <c r="E638" s="31" t="n"/>
      <c r="J638" s="32" t="n"/>
      <c r="K638" s="32" t="n"/>
      <c r="L638" s="32" t="n"/>
      <c r="M638" s="32" t="n"/>
      <c r="N638" s="32" t="n"/>
      <c r="O638" s="32" t="n"/>
      <c r="P638" s="32" t="n"/>
      <c r="Q638" s="32" t="n"/>
      <c r="U638" s="31">
        <f>IF($A638="","",SUM(X638:AE638))</f>
        <v/>
      </c>
      <c r="V638" s="31">
        <f>IF($A638="","",IF($H638&lt;&gt;"Ausgabe",0,-$E638-$U638))</f>
        <v/>
      </c>
      <c r="W638" s="33">
        <f>IF($A638="","",DATE(YEAR($A638),MONTH($A638),1))</f>
        <v/>
      </c>
      <c r="X638" s="34">
        <f>IF(OR($A638="",$H638&lt;&gt;"Ausgabe",J638=""),0,IF(J638="x",-$E638/(COUNTIF($J638:$Q638,"x")+1),-$E638*N(J638)))</f>
        <v/>
      </c>
      <c r="Y638" s="34">
        <f>IF(OR($A638="",$H638&lt;&gt;"Ausgabe",K638=""),0,IF(K638="x",-$E638/(COUNTIF($J638:$Q638,"x")+1),-$E638*N(K638)))</f>
        <v/>
      </c>
      <c r="Z638" s="34">
        <f>IF(OR($A638="",$H638&lt;&gt;"Ausgabe",L638=""),0,IF(L638="x",-$E638/(COUNTIF($J638:$Q638,"x")+1),-$E638*N(L638)))</f>
        <v/>
      </c>
      <c r="AA638" s="34">
        <f>IF(OR($A638="",$H638&lt;&gt;"Ausgabe",M638=""),0,IF(M638="x",-$E638/(COUNTIF($J638:$Q638,"x")+1),-$E638*N(M638)))</f>
        <v/>
      </c>
      <c r="AB638" s="34">
        <f>IF(OR($A638="",$H638&lt;&gt;"Ausgabe",N638=""),0,IF(N638="x",-$E638/(COUNTIF($J638:$Q638,"x")+1),-$E638*N(N638)))</f>
        <v/>
      </c>
      <c r="AC638" s="34">
        <f>IF(OR($A638="",$H638&lt;&gt;"Ausgabe",O638=""),0,IF(O638="x",-$E638/(COUNTIF($J638:$Q638,"x")+1),-$E638*N(O638)))</f>
        <v/>
      </c>
      <c r="AD638" s="34">
        <f>IF(OR($A638="",$H638&lt;&gt;"Ausgabe",P638=""),0,IF(P638="x",-$E638/(COUNTIF($J638:$Q638,"x")+1),-$E638*N(P638)))</f>
        <v/>
      </c>
      <c r="AE638" s="34">
        <f>IF(OR($A638="",$H638&lt;&gt;"Ausgabe",Q638=""),0,IF(Q638="x",-$E638/(COUNTIF($J638:$Q638,"x")+1),-$E638*N(Q638)))</f>
        <v/>
      </c>
    </row>
    <row r="639">
      <c r="A639" s="30" t="n"/>
      <c r="E639" s="31" t="n"/>
      <c r="J639" s="32" t="n"/>
      <c r="K639" s="32" t="n"/>
      <c r="L639" s="32" t="n"/>
      <c r="M639" s="32" t="n"/>
      <c r="N639" s="32" t="n"/>
      <c r="O639" s="32" t="n"/>
      <c r="P639" s="32" t="n"/>
      <c r="Q639" s="32" t="n"/>
      <c r="U639" s="31">
        <f>IF($A639="","",SUM(X639:AE639))</f>
        <v/>
      </c>
      <c r="V639" s="31">
        <f>IF($A639="","",IF($H639&lt;&gt;"Ausgabe",0,-$E639-$U639))</f>
        <v/>
      </c>
      <c r="W639" s="33">
        <f>IF($A639="","",DATE(YEAR($A639),MONTH($A639),1))</f>
        <v/>
      </c>
      <c r="X639" s="34">
        <f>IF(OR($A639="",$H639&lt;&gt;"Ausgabe",J639=""),0,IF(J639="x",-$E639/(COUNTIF($J639:$Q639,"x")+1),-$E639*N(J639)))</f>
        <v/>
      </c>
      <c r="Y639" s="34">
        <f>IF(OR($A639="",$H639&lt;&gt;"Ausgabe",K639=""),0,IF(K639="x",-$E639/(COUNTIF($J639:$Q639,"x")+1),-$E639*N(K639)))</f>
        <v/>
      </c>
      <c r="Z639" s="34">
        <f>IF(OR($A639="",$H639&lt;&gt;"Ausgabe",L639=""),0,IF(L639="x",-$E639/(COUNTIF($J639:$Q639,"x")+1),-$E639*N(L639)))</f>
        <v/>
      </c>
      <c r="AA639" s="34">
        <f>IF(OR($A639="",$H639&lt;&gt;"Ausgabe",M639=""),0,IF(M639="x",-$E639/(COUNTIF($J639:$Q639,"x")+1),-$E639*N(M639)))</f>
        <v/>
      </c>
      <c r="AB639" s="34">
        <f>IF(OR($A639="",$H639&lt;&gt;"Ausgabe",N639=""),0,IF(N639="x",-$E639/(COUNTIF($J639:$Q639,"x")+1),-$E639*N(N639)))</f>
        <v/>
      </c>
      <c r="AC639" s="34">
        <f>IF(OR($A639="",$H639&lt;&gt;"Ausgabe",O639=""),0,IF(O639="x",-$E639/(COUNTIF($J639:$Q639,"x")+1),-$E639*N(O639)))</f>
        <v/>
      </c>
      <c r="AD639" s="34">
        <f>IF(OR($A639="",$H639&lt;&gt;"Ausgabe",P639=""),0,IF(P639="x",-$E639/(COUNTIF($J639:$Q639,"x")+1),-$E639*N(P639)))</f>
        <v/>
      </c>
      <c r="AE639" s="34">
        <f>IF(OR($A639="",$H639&lt;&gt;"Ausgabe",Q639=""),0,IF(Q639="x",-$E639/(COUNTIF($J639:$Q639,"x")+1),-$E639*N(Q639)))</f>
        <v/>
      </c>
    </row>
    <row r="640">
      <c r="A640" s="30" t="n"/>
      <c r="E640" s="31" t="n"/>
      <c r="J640" s="32" t="n"/>
      <c r="K640" s="32" t="n"/>
      <c r="L640" s="32" t="n"/>
      <c r="M640" s="32" t="n"/>
      <c r="N640" s="32" t="n"/>
      <c r="O640" s="32" t="n"/>
      <c r="P640" s="32" t="n"/>
      <c r="Q640" s="32" t="n"/>
      <c r="U640" s="31">
        <f>IF($A640="","",SUM(X640:AE640))</f>
        <v/>
      </c>
      <c r="V640" s="31">
        <f>IF($A640="","",IF($H640&lt;&gt;"Ausgabe",0,-$E640-$U640))</f>
        <v/>
      </c>
      <c r="W640" s="33">
        <f>IF($A640="","",DATE(YEAR($A640),MONTH($A640),1))</f>
        <v/>
      </c>
      <c r="X640" s="34">
        <f>IF(OR($A640="",$H640&lt;&gt;"Ausgabe",J640=""),0,IF(J640="x",-$E640/(COUNTIF($J640:$Q640,"x")+1),-$E640*N(J640)))</f>
        <v/>
      </c>
      <c r="Y640" s="34">
        <f>IF(OR($A640="",$H640&lt;&gt;"Ausgabe",K640=""),0,IF(K640="x",-$E640/(COUNTIF($J640:$Q640,"x")+1),-$E640*N(K640)))</f>
        <v/>
      </c>
      <c r="Z640" s="34">
        <f>IF(OR($A640="",$H640&lt;&gt;"Ausgabe",L640=""),0,IF(L640="x",-$E640/(COUNTIF($J640:$Q640,"x")+1),-$E640*N(L640)))</f>
        <v/>
      </c>
      <c r="AA640" s="34">
        <f>IF(OR($A640="",$H640&lt;&gt;"Ausgabe",M640=""),0,IF(M640="x",-$E640/(COUNTIF($J640:$Q640,"x")+1),-$E640*N(M640)))</f>
        <v/>
      </c>
      <c r="AB640" s="34">
        <f>IF(OR($A640="",$H640&lt;&gt;"Ausgabe",N640=""),0,IF(N640="x",-$E640/(COUNTIF($J640:$Q640,"x")+1),-$E640*N(N640)))</f>
        <v/>
      </c>
      <c r="AC640" s="34">
        <f>IF(OR($A640="",$H640&lt;&gt;"Ausgabe",O640=""),0,IF(O640="x",-$E640/(COUNTIF($J640:$Q640,"x")+1),-$E640*N(O640)))</f>
        <v/>
      </c>
      <c r="AD640" s="34">
        <f>IF(OR($A640="",$H640&lt;&gt;"Ausgabe",P640=""),0,IF(P640="x",-$E640/(COUNTIF($J640:$Q640,"x")+1),-$E640*N(P640)))</f>
        <v/>
      </c>
      <c r="AE640" s="34">
        <f>IF(OR($A640="",$H640&lt;&gt;"Ausgabe",Q640=""),0,IF(Q640="x",-$E640/(COUNTIF($J640:$Q640,"x")+1),-$E640*N(Q640)))</f>
        <v/>
      </c>
    </row>
    <row r="641">
      <c r="A641" s="30" t="n"/>
      <c r="E641" s="31" t="n"/>
      <c r="J641" s="32" t="n"/>
      <c r="K641" s="32" t="n"/>
      <c r="L641" s="32" t="n"/>
      <c r="M641" s="32" t="n"/>
      <c r="N641" s="32" t="n"/>
      <c r="O641" s="32" t="n"/>
      <c r="P641" s="32" t="n"/>
      <c r="Q641" s="32" t="n"/>
      <c r="U641" s="31">
        <f>IF($A641="","",SUM(X641:AE641))</f>
        <v/>
      </c>
      <c r="V641" s="31">
        <f>IF($A641="","",IF($H641&lt;&gt;"Ausgabe",0,-$E641-$U641))</f>
        <v/>
      </c>
      <c r="W641" s="33">
        <f>IF($A641="","",DATE(YEAR($A641),MONTH($A641),1))</f>
        <v/>
      </c>
      <c r="X641" s="34">
        <f>IF(OR($A641="",$H641&lt;&gt;"Ausgabe",J641=""),0,IF(J641="x",-$E641/(COUNTIF($J641:$Q641,"x")+1),-$E641*N(J641)))</f>
        <v/>
      </c>
      <c r="Y641" s="34">
        <f>IF(OR($A641="",$H641&lt;&gt;"Ausgabe",K641=""),0,IF(K641="x",-$E641/(COUNTIF($J641:$Q641,"x")+1),-$E641*N(K641)))</f>
        <v/>
      </c>
      <c r="Z641" s="34">
        <f>IF(OR($A641="",$H641&lt;&gt;"Ausgabe",L641=""),0,IF(L641="x",-$E641/(COUNTIF($J641:$Q641,"x")+1),-$E641*N(L641)))</f>
        <v/>
      </c>
      <c r="AA641" s="34">
        <f>IF(OR($A641="",$H641&lt;&gt;"Ausgabe",M641=""),0,IF(M641="x",-$E641/(COUNTIF($J641:$Q641,"x")+1),-$E641*N(M641)))</f>
        <v/>
      </c>
      <c r="AB641" s="34">
        <f>IF(OR($A641="",$H641&lt;&gt;"Ausgabe",N641=""),0,IF(N641="x",-$E641/(COUNTIF($J641:$Q641,"x")+1),-$E641*N(N641)))</f>
        <v/>
      </c>
      <c r="AC641" s="34">
        <f>IF(OR($A641="",$H641&lt;&gt;"Ausgabe",O641=""),0,IF(O641="x",-$E641/(COUNTIF($J641:$Q641,"x")+1),-$E641*N(O641)))</f>
        <v/>
      </c>
      <c r="AD641" s="34">
        <f>IF(OR($A641="",$H641&lt;&gt;"Ausgabe",P641=""),0,IF(P641="x",-$E641/(COUNTIF($J641:$Q641,"x")+1),-$E641*N(P641)))</f>
        <v/>
      </c>
      <c r="AE641" s="34">
        <f>IF(OR($A641="",$H641&lt;&gt;"Ausgabe",Q641=""),0,IF(Q641="x",-$E641/(COUNTIF($J641:$Q641,"x")+1),-$E641*N(Q641)))</f>
        <v/>
      </c>
    </row>
    <row r="642">
      <c r="A642" s="30" t="n"/>
      <c r="E642" s="31" t="n"/>
      <c r="J642" s="32" t="n"/>
      <c r="K642" s="32" t="n"/>
      <c r="L642" s="32" t="n"/>
      <c r="M642" s="32" t="n"/>
      <c r="N642" s="32" t="n"/>
      <c r="O642" s="32" t="n"/>
      <c r="P642" s="32" t="n"/>
      <c r="Q642" s="32" t="n"/>
      <c r="U642" s="31">
        <f>IF($A642="","",SUM(X642:AE642))</f>
        <v/>
      </c>
      <c r="V642" s="31">
        <f>IF($A642="","",IF($H642&lt;&gt;"Ausgabe",0,-$E642-$U642))</f>
        <v/>
      </c>
      <c r="W642" s="33">
        <f>IF($A642="","",DATE(YEAR($A642),MONTH($A642),1))</f>
        <v/>
      </c>
      <c r="X642" s="34">
        <f>IF(OR($A642="",$H642&lt;&gt;"Ausgabe",J642=""),0,IF(J642="x",-$E642/(COUNTIF($J642:$Q642,"x")+1),-$E642*N(J642)))</f>
        <v/>
      </c>
      <c r="Y642" s="34">
        <f>IF(OR($A642="",$H642&lt;&gt;"Ausgabe",K642=""),0,IF(K642="x",-$E642/(COUNTIF($J642:$Q642,"x")+1),-$E642*N(K642)))</f>
        <v/>
      </c>
      <c r="Z642" s="34">
        <f>IF(OR($A642="",$H642&lt;&gt;"Ausgabe",L642=""),0,IF(L642="x",-$E642/(COUNTIF($J642:$Q642,"x")+1),-$E642*N(L642)))</f>
        <v/>
      </c>
      <c r="AA642" s="34">
        <f>IF(OR($A642="",$H642&lt;&gt;"Ausgabe",M642=""),0,IF(M642="x",-$E642/(COUNTIF($J642:$Q642,"x")+1),-$E642*N(M642)))</f>
        <v/>
      </c>
      <c r="AB642" s="34">
        <f>IF(OR($A642="",$H642&lt;&gt;"Ausgabe",N642=""),0,IF(N642="x",-$E642/(COUNTIF($J642:$Q642,"x")+1),-$E642*N(N642)))</f>
        <v/>
      </c>
      <c r="AC642" s="34">
        <f>IF(OR($A642="",$H642&lt;&gt;"Ausgabe",O642=""),0,IF(O642="x",-$E642/(COUNTIF($J642:$Q642,"x")+1),-$E642*N(O642)))</f>
        <v/>
      </c>
      <c r="AD642" s="34">
        <f>IF(OR($A642="",$H642&lt;&gt;"Ausgabe",P642=""),0,IF(P642="x",-$E642/(COUNTIF($J642:$Q642,"x")+1),-$E642*N(P642)))</f>
        <v/>
      </c>
      <c r="AE642" s="34">
        <f>IF(OR($A642="",$H642&lt;&gt;"Ausgabe",Q642=""),0,IF(Q642="x",-$E642/(COUNTIF($J642:$Q642,"x")+1),-$E642*N(Q642)))</f>
        <v/>
      </c>
    </row>
    <row r="643">
      <c r="A643" s="30" t="n"/>
      <c r="E643" s="31" t="n"/>
      <c r="J643" s="32" t="n"/>
      <c r="K643" s="32" t="n"/>
      <c r="L643" s="32" t="n"/>
      <c r="M643" s="32" t="n"/>
      <c r="N643" s="32" t="n"/>
      <c r="O643" s="32" t="n"/>
      <c r="P643" s="32" t="n"/>
      <c r="Q643" s="32" t="n"/>
      <c r="U643" s="31">
        <f>IF($A643="","",SUM(X643:AE643))</f>
        <v/>
      </c>
      <c r="V643" s="31">
        <f>IF($A643="","",IF($H643&lt;&gt;"Ausgabe",0,-$E643-$U643))</f>
        <v/>
      </c>
      <c r="W643" s="33">
        <f>IF($A643="","",DATE(YEAR($A643),MONTH($A643),1))</f>
        <v/>
      </c>
      <c r="X643" s="34">
        <f>IF(OR($A643="",$H643&lt;&gt;"Ausgabe",J643=""),0,IF(J643="x",-$E643/(COUNTIF($J643:$Q643,"x")+1),-$E643*N(J643)))</f>
        <v/>
      </c>
      <c r="Y643" s="34">
        <f>IF(OR($A643="",$H643&lt;&gt;"Ausgabe",K643=""),0,IF(K643="x",-$E643/(COUNTIF($J643:$Q643,"x")+1),-$E643*N(K643)))</f>
        <v/>
      </c>
      <c r="Z643" s="34">
        <f>IF(OR($A643="",$H643&lt;&gt;"Ausgabe",L643=""),0,IF(L643="x",-$E643/(COUNTIF($J643:$Q643,"x")+1),-$E643*N(L643)))</f>
        <v/>
      </c>
      <c r="AA643" s="34">
        <f>IF(OR($A643="",$H643&lt;&gt;"Ausgabe",M643=""),0,IF(M643="x",-$E643/(COUNTIF($J643:$Q643,"x")+1),-$E643*N(M643)))</f>
        <v/>
      </c>
      <c r="AB643" s="34">
        <f>IF(OR($A643="",$H643&lt;&gt;"Ausgabe",N643=""),0,IF(N643="x",-$E643/(COUNTIF($J643:$Q643,"x")+1),-$E643*N(N643)))</f>
        <v/>
      </c>
      <c r="AC643" s="34">
        <f>IF(OR($A643="",$H643&lt;&gt;"Ausgabe",O643=""),0,IF(O643="x",-$E643/(COUNTIF($J643:$Q643,"x")+1),-$E643*N(O643)))</f>
        <v/>
      </c>
      <c r="AD643" s="34">
        <f>IF(OR($A643="",$H643&lt;&gt;"Ausgabe",P643=""),0,IF(P643="x",-$E643/(COUNTIF($J643:$Q643,"x")+1),-$E643*N(P643)))</f>
        <v/>
      </c>
      <c r="AE643" s="34">
        <f>IF(OR($A643="",$H643&lt;&gt;"Ausgabe",Q643=""),0,IF(Q643="x",-$E643/(COUNTIF($J643:$Q643,"x")+1),-$E643*N(Q643)))</f>
        <v/>
      </c>
    </row>
    <row r="644">
      <c r="A644" s="30" t="n"/>
      <c r="E644" s="31" t="n"/>
      <c r="J644" s="32" t="n"/>
      <c r="K644" s="32" t="n"/>
      <c r="L644" s="32" t="n"/>
      <c r="M644" s="32" t="n"/>
      <c r="N644" s="32" t="n"/>
      <c r="O644" s="32" t="n"/>
      <c r="P644" s="32" t="n"/>
      <c r="Q644" s="32" t="n"/>
      <c r="U644" s="31">
        <f>IF($A644="","",SUM(X644:AE644))</f>
        <v/>
      </c>
      <c r="V644" s="31">
        <f>IF($A644="","",IF($H644&lt;&gt;"Ausgabe",0,-$E644-$U644))</f>
        <v/>
      </c>
      <c r="W644" s="33">
        <f>IF($A644="","",DATE(YEAR($A644),MONTH($A644),1))</f>
        <v/>
      </c>
      <c r="X644" s="34">
        <f>IF(OR($A644="",$H644&lt;&gt;"Ausgabe",J644=""),0,IF(J644="x",-$E644/(COUNTIF($J644:$Q644,"x")+1),-$E644*N(J644)))</f>
        <v/>
      </c>
      <c r="Y644" s="34">
        <f>IF(OR($A644="",$H644&lt;&gt;"Ausgabe",K644=""),0,IF(K644="x",-$E644/(COUNTIF($J644:$Q644,"x")+1),-$E644*N(K644)))</f>
        <v/>
      </c>
      <c r="Z644" s="34">
        <f>IF(OR($A644="",$H644&lt;&gt;"Ausgabe",L644=""),0,IF(L644="x",-$E644/(COUNTIF($J644:$Q644,"x")+1),-$E644*N(L644)))</f>
        <v/>
      </c>
      <c r="AA644" s="34">
        <f>IF(OR($A644="",$H644&lt;&gt;"Ausgabe",M644=""),0,IF(M644="x",-$E644/(COUNTIF($J644:$Q644,"x")+1),-$E644*N(M644)))</f>
        <v/>
      </c>
      <c r="AB644" s="34">
        <f>IF(OR($A644="",$H644&lt;&gt;"Ausgabe",N644=""),0,IF(N644="x",-$E644/(COUNTIF($J644:$Q644,"x")+1),-$E644*N(N644)))</f>
        <v/>
      </c>
      <c r="AC644" s="34">
        <f>IF(OR($A644="",$H644&lt;&gt;"Ausgabe",O644=""),0,IF(O644="x",-$E644/(COUNTIF($J644:$Q644,"x")+1),-$E644*N(O644)))</f>
        <v/>
      </c>
      <c r="AD644" s="34">
        <f>IF(OR($A644="",$H644&lt;&gt;"Ausgabe",P644=""),0,IF(P644="x",-$E644/(COUNTIF($J644:$Q644,"x")+1),-$E644*N(P644)))</f>
        <v/>
      </c>
      <c r="AE644" s="34">
        <f>IF(OR($A644="",$H644&lt;&gt;"Ausgabe",Q644=""),0,IF(Q644="x",-$E644/(COUNTIF($J644:$Q644,"x")+1),-$E644*N(Q644)))</f>
        <v/>
      </c>
    </row>
    <row r="645">
      <c r="A645" s="30" t="n"/>
      <c r="E645" s="31" t="n"/>
      <c r="J645" s="32" t="n"/>
      <c r="K645" s="32" t="n"/>
      <c r="L645" s="32" t="n"/>
      <c r="M645" s="32" t="n"/>
      <c r="N645" s="32" t="n"/>
      <c r="O645" s="32" t="n"/>
      <c r="P645" s="32" t="n"/>
      <c r="Q645" s="32" t="n"/>
      <c r="U645" s="31">
        <f>IF($A645="","",SUM(X645:AE645))</f>
        <v/>
      </c>
      <c r="V645" s="31">
        <f>IF($A645="","",IF($H645&lt;&gt;"Ausgabe",0,-$E645-$U645))</f>
        <v/>
      </c>
      <c r="W645" s="33">
        <f>IF($A645="","",DATE(YEAR($A645),MONTH($A645),1))</f>
        <v/>
      </c>
      <c r="X645" s="34">
        <f>IF(OR($A645="",$H645&lt;&gt;"Ausgabe",J645=""),0,IF(J645="x",-$E645/(COUNTIF($J645:$Q645,"x")+1),-$E645*N(J645)))</f>
        <v/>
      </c>
      <c r="Y645" s="34">
        <f>IF(OR($A645="",$H645&lt;&gt;"Ausgabe",K645=""),0,IF(K645="x",-$E645/(COUNTIF($J645:$Q645,"x")+1),-$E645*N(K645)))</f>
        <v/>
      </c>
      <c r="Z645" s="34">
        <f>IF(OR($A645="",$H645&lt;&gt;"Ausgabe",L645=""),0,IF(L645="x",-$E645/(COUNTIF($J645:$Q645,"x")+1),-$E645*N(L645)))</f>
        <v/>
      </c>
      <c r="AA645" s="34">
        <f>IF(OR($A645="",$H645&lt;&gt;"Ausgabe",M645=""),0,IF(M645="x",-$E645/(COUNTIF($J645:$Q645,"x")+1),-$E645*N(M645)))</f>
        <v/>
      </c>
      <c r="AB645" s="34">
        <f>IF(OR($A645="",$H645&lt;&gt;"Ausgabe",N645=""),0,IF(N645="x",-$E645/(COUNTIF($J645:$Q645,"x")+1),-$E645*N(N645)))</f>
        <v/>
      </c>
      <c r="AC645" s="34">
        <f>IF(OR($A645="",$H645&lt;&gt;"Ausgabe",O645=""),0,IF(O645="x",-$E645/(COUNTIF($J645:$Q645,"x")+1),-$E645*N(O645)))</f>
        <v/>
      </c>
      <c r="AD645" s="34">
        <f>IF(OR($A645="",$H645&lt;&gt;"Ausgabe",P645=""),0,IF(P645="x",-$E645/(COUNTIF($J645:$Q645,"x")+1),-$E645*N(P645)))</f>
        <v/>
      </c>
      <c r="AE645" s="34">
        <f>IF(OR($A645="",$H645&lt;&gt;"Ausgabe",Q645=""),0,IF(Q645="x",-$E645/(COUNTIF($J645:$Q645,"x")+1),-$E645*N(Q645)))</f>
        <v/>
      </c>
    </row>
    <row r="646">
      <c r="A646" s="30" t="n"/>
      <c r="E646" s="31" t="n"/>
      <c r="J646" s="32" t="n"/>
      <c r="K646" s="32" t="n"/>
      <c r="L646" s="32" t="n"/>
      <c r="M646" s="32" t="n"/>
      <c r="N646" s="32" t="n"/>
      <c r="O646" s="32" t="n"/>
      <c r="P646" s="32" t="n"/>
      <c r="Q646" s="32" t="n"/>
      <c r="U646" s="31">
        <f>IF($A646="","",SUM(X646:AE646))</f>
        <v/>
      </c>
      <c r="V646" s="31">
        <f>IF($A646="","",IF($H646&lt;&gt;"Ausgabe",0,-$E646-$U646))</f>
        <v/>
      </c>
      <c r="W646" s="33">
        <f>IF($A646="","",DATE(YEAR($A646),MONTH($A646),1))</f>
        <v/>
      </c>
      <c r="X646" s="34">
        <f>IF(OR($A646="",$H646&lt;&gt;"Ausgabe",J646=""),0,IF(J646="x",-$E646/(COUNTIF($J646:$Q646,"x")+1),-$E646*N(J646)))</f>
        <v/>
      </c>
      <c r="Y646" s="34">
        <f>IF(OR($A646="",$H646&lt;&gt;"Ausgabe",K646=""),0,IF(K646="x",-$E646/(COUNTIF($J646:$Q646,"x")+1),-$E646*N(K646)))</f>
        <v/>
      </c>
      <c r="Z646" s="34">
        <f>IF(OR($A646="",$H646&lt;&gt;"Ausgabe",L646=""),0,IF(L646="x",-$E646/(COUNTIF($J646:$Q646,"x")+1),-$E646*N(L646)))</f>
        <v/>
      </c>
      <c r="AA646" s="34">
        <f>IF(OR($A646="",$H646&lt;&gt;"Ausgabe",M646=""),0,IF(M646="x",-$E646/(COUNTIF($J646:$Q646,"x")+1),-$E646*N(M646)))</f>
        <v/>
      </c>
      <c r="AB646" s="34">
        <f>IF(OR($A646="",$H646&lt;&gt;"Ausgabe",N646=""),0,IF(N646="x",-$E646/(COUNTIF($J646:$Q646,"x")+1),-$E646*N(N646)))</f>
        <v/>
      </c>
      <c r="AC646" s="34">
        <f>IF(OR($A646="",$H646&lt;&gt;"Ausgabe",O646=""),0,IF(O646="x",-$E646/(COUNTIF($J646:$Q646,"x")+1),-$E646*N(O646)))</f>
        <v/>
      </c>
      <c r="AD646" s="34">
        <f>IF(OR($A646="",$H646&lt;&gt;"Ausgabe",P646=""),0,IF(P646="x",-$E646/(COUNTIF($J646:$Q646,"x")+1),-$E646*N(P646)))</f>
        <v/>
      </c>
      <c r="AE646" s="34">
        <f>IF(OR($A646="",$H646&lt;&gt;"Ausgabe",Q646=""),0,IF(Q646="x",-$E646/(COUNTIF($J646:$Q646,"x")+1),-$E646*N(Q646)))</f>
        <v/>
      </c>
    </row>
    <row r="647">
      <c r="A647" s="30" t="n"/>
      <c r="E647" s="31" t="n"/>
      <c r="J647" s="32" t="n"/>
      <c r="K647" s="32" t="n"/>
      <c r="L647" s="32" t="n"/>
      <c r="M647" s="32" t="n"/>
      <c r="N647" s="32" t="n"/>
      <c r="O647" s="32" t="n"/>
      <c r="P647" s="32" t="n"/>
      <c r="Q647" s="32" t="n"/>
      <c r="U647" s="31">
        <f>IF($A647="","",SUM(X647:AE647))</f>
        <v/>
      </c>
      <c r="V647" s="31">
        <f>IF($A647="","",IF($H647&lt;&gt;"Ausgabe",0,-$E647-$U647))</f>
        <v/>
      </c>
      <c r="W647" s="33">
        <f>IF($A647="","",DATE(YEAR($A647),MONTH($A647),1))</f>
        <v/>
      </c>
      <c r="X647" s="34">
        <f>IF(OR($A647="",$H647&lt;&gt;"Ausgabe",J647=""),0,IF(J647="x",-$E647/(COUNTIF($J647:$Q647,"x")+1),-$E647*N(J647)))</f>
        <v/>
      </c>
      <c r="Y647" s="34">
        <f>IF(OR($A647="",$H647&lt;&gt;"Ausgabe",K647=""),0,IF(K647="x",-$E647/(COUNTIF($J647:$Q647,"x")+1),-$E647*N(K647)))</f>
        <v/>
      </c>
      <c r="Z647" s="34">
        <f>IF(OR($A647="",$H647&lt;&gt;"Ausgabe",L647=""),0,IF(L647="x",-$E647/(COUNTIF($J647:$Q647,"x")+1),-$E647*N(L647)))</f>
        <v/>
      </c>
      <c r="AA647" s="34">
        <f>IF(OR($A647="",$H647&lt;&gt;"Ausgabe",M647=""),0,IF(M647="x",-$E647/(COUNTIF($J647:$Q647,"x")+1),-$E647*N(M647)))</f>
        <v/>
      </c>
      <c r="AB647" s="34">
        <f>IF(OR($A647="",$H647&lt;&gt;"Ausgabe",N647=""),0,IF(N647="x",-$E647/(COUNTIF($J647:$Q647,"x")+1),-$E647*N(N647)))</f>
        <v/>
      </c>
      <c r="AC647" s="34">
        <f>IF(OR($A647="",$H647&lt;&gt;"Ausgabe",O647=""),0,IF(O647="x",-$E647/(COUNTIF($J647:$Q647,"x")+1),-$E647*N(O647)))</f>
        <v/>
      </c>
      <c r="AD647" s="34">
        <f>IF(OR($A647="",$H647&lt;&gt;"Ausgabe",P647=""),0,IF(P647="x",-$E647/(COUNTIF($J647:$Q647,"x")+1),-$E647*N(P647)))</f>
        <v/>
      </c>
      <c r="AE647" s="34">
        <f>IF(OR($A647="",$H647&lt;&gt;"Ausgabe",Q647=""),0,IF(Q647="x",-$E647/(COUNTIF($J647:$Q647,"x")+1),-$E647*N(Q647)))</f>
        <v/>
      </c>
    </row>
    <row r="648">
      <c r="A648" s="30" t="n"/>
      <c r="E648" s="31" t="n"/>
      <c r="J648" s="32" t="n"/>
      <c r="K648" s="32" t="n"/>
      <c r="L648" s="32" t="n"/>
      <c r="M648" s="32" t="n"/>
      <c r="N648" s="32" t="n"/>
      <c r="O648" s="32" t="n"/>
      <c r="P648" s="32" t="n"/>
      <c r="Q648" s="32" t="n"/>
      <c r="U648" s="31">
        <f>IF($A648="","",SUM(X648:AE648))</f>
        <v/>
      </c>
      <c r="V648" s="31">
        <f>IF($A648="","",IF($H648&lt;&gt;"Ausgabe",0,-$E648-$U648))</f>
        <v/>
      </c>
      <c r="W648" s="33">
        <f>IF($A648="","",DATE(YEAR($A648),MONTH($A648),1))</f>
        <v/>
      </c>
      <c r="X648" s="34">
        <f>IF(OR($A648="",$H648&lt;&gt;"Ausgabe",J648=""),0,IF(J648="x",-$E648/(COUNTIF($J648:$Q648,"x")+1),-$E648*N(J648)))</f>
        <v/>
      </c>
      <c r="Y648" s="34">
        <f>IF(OR($A648="",$H648&lt;&gt;"Ausgabe",K648=""),0,IF(K648="x",-$E648/(COUNTIF($J648:$Q648,"x")+1),-$E648*N(K648)))</f>
        <v/>
      </c>
      <c r="Z648" s="34">
        <f>IF(OR($A648="",$H648&lt;&gt;"Ausgabe",L648=""),0,IF(L648="x",-$E648/(COUNTIF($J648:$Q648,"x")+1),-$E648*N(L648)))</f>
        <v/>
      </c>
      <c r="AA648" s="34">
        <f>IF(OR($A648="",$H648&lt;&gt;"Ausgabe",M648=""),0,IF(M648="x",-$E648/(COUNTIF($J648:$Q648,"x")+1),-$E648*N(M648)))</f>
        <v/>
      </c>
      <c r="AB648" s="34">
        <f>IF(OR($A648="",$H648&lt;&gt;"Ausgabe",N648=""),0,IF(N648="x",-$E648/(COUNTIF($J648:$Q648,"x")+1),-$E648*N(N648)))</f>
        <v/>
      </c>
      <c r="AC648" s="34">
        <f>IF(OR($A648="",$H648&lt;&gt;"Ausgabe",O648=""),0,IF(O648="x",-$E648/(COUNTIF($J648:$Q648,"x")+1),-$E648*N(O648)))</f>
        <v/>
      </c>
      <c r="AD648" s="34">
        <f>IF(OR($A648="",$H648&lt;&gt;"Ausgabe",P648=""),0,IF(P648="x",-$E648/(COUNTIF($J648:$Q648,"x")+1),-$E648*N(P648)))</f>
        <v/>
      </c>
      <c r="AE648" s="34">
        <f>IF(OR($A648="",$H648&lt;&gt;"Ausgabe",Q648=""),0,IF(Q648="x",-$E648/(COUNTIF($J648:$Q648,"x")+1),-$E648*N(Q648)))</f>
        <v/>
      </c>
    </row>
    <row r="649">
      <c r="A649" s="30" t="n"/>
      <c r="E649" s="31" t="n"/>
      <c r="J649" s="32" t="n"/>
      <c r="K649" s="32" t="n"/>
      <c r="L649" s="32" t="n"/>
      <c r="M649" s="32" t="n"/>
      <c r="N649" s="32" t="n"/>
      <c r="O649" s="32" t="n"/>
      <c r="P649" s="32" t="n"/>
      <c r="Q649" s="32" t="n"/>
      <c r="U649" s="31">
        <f>IF($A649="","",SUM(X649:AE649))</f>
        <v/>
      </c>
      <c r="V649" s="31">
        <f>IF($A649="","",IF($H649&lt;&gt;"Ausgabe",0,-$E649-$U649))</f>
        <v/>
      </c>
      <c r="W649" s="33">
        <f>IF($A649="","",DATE(YEAR($A649),MONTH($A649),1))</f>
        <v/>
      </c>
      <c r="X649" s="34">
        <f>IF(OR($A649="",$H649&lt;&gt;"Ausgabe",J649=""),0,IF(J649="x",-$E649/(COUNTIF($J649:$Q649,"x")+1),-$E649*N(J649)))</f>
        <v/>
      </c>
      <c r="Y649" s="34">
        <f>IF(OR($A649="",$H649&lt;&gt;"Ausgabe",K649=""),0,IF(K649="x",-$E649/(COUNTIF($J649:$Q649,"x")+1),-$E649*N(K649)))</f>
        <v/>
      </c>
      <c r="Z649" s="34">
        <f>IF(OR($A649="",$H649&lt;&gt;"Ausgabe",L649=""),0,IF(L649="x",-$E649/(COUNTIF($J649:$Q649,"x")+1),-$E649*N(L649)))</f>
        <v/>
      </c>
      <c r="AA649" s="34">
        <f>IF(OR($A649="",$H649&lt;&gt;"Ausgabe",M649=""),0,IF(M649="x",-$E649/(COUNTIF($J649:$Q649,"x")+1),-$E649*N(M649)))</f>
        <v/>
      </c>
      <c r="AB649" s="34">
        <f>IF(OR($A649="",$H649&lt;&gt;"Ausgabe",N649=""),0,IF(N649="x",-$E649/(COUNTIF($J649:$Q649,"x")+1),-$E649*N(N649)))</f>
        <v/>
      </c>
      <c r="AC649" s="34">
        <f>IF(OR($A649="",$H649&lt;&gt;"Ausgabe",O649=""),0,IF(O649="x",-$E649/(COUNTIF($J649:$Q649,"x")+1),-$E649*N(O649)))</f>
        <v/>
      </c>
      <c r="AD649" s="34">
        <f>IF(OR($A649="",$H649&lt;&gt;"Ausgabe",P649=""),0,IF(P649="x",-$E649/(COUNTIF($J649:$Q649,"x")+1),-$E649*N(P649)))</f>
        <v/>
      </c>
      <c r="AE649" s="34">
        <f>IF(OR($A649="",$H649&lt;&gt;"Ausgabe",Q649=""),0,IF(Q649="x",-$E649/(COUNTIF($J649:$Q649,"x")+1),-$E649*N(Q649)))</f>
        <v/>
      </c>
    </row>
    <row r="650">
      <c r="A650" s="30" t="n"/>
      <c r="E650" s="31" t="n"/>
      <c r="J650" s="32" t="n"/>
      <c r="K650" s="32" t="n"/>
      <c r="L650" s="32" t="n"/>
      <c r="M650" s="32" t="n"/>
      <c r="N650" s="32" t="n"/>
      <c r="O650" s="32" t="n"/>
      <c r="P650" s="32" t="n"/>
      <c r="Q650" s="32" t="n"/>
      <c r="U650" s="31">
        <f>IF($A650="","",SUM(X650:AE650))</f>
        <v/>
      </c>
      <c r="V650" s="31">
        <f>IF($A650="","",IF($H650&lt;&gt;"Ausgabe",0,-$E650-$U650))</f>
        <v/>
      </c>
      <c r="W650" s="33">
        <f>IF($A650="","",DATE(YEAR($A650),MONTH($A650),1))</f>
        <v/>
      </c>
      <c r="X650" s="34">
        <f>IF(OR($A650="",$H650&lt;&gt;"Ausgabe",J650=""),0,IF(J650="x",-$E650/(COUNTIF($J650:$Q650,"x")+1),-$E650*N(J650)))</f>
        <v/>
      </c>
      <c r="Y650" s="34">
        <f>IF(OR($A650="",$H650&lt;&gt;"Ausgabe",K650=""),0,IF(K650="x",-$E650/(COUNTIF($J650:$Q650,"x")+1),-$E650*N(K650)))</f>
        <v/>
      </c>
      <c r="Z650" s="34">
        <f>IF(OR($A650="",$H650&lt;&gt;"Ausgabe",L650=""),0,IF(L650="x",-$E650/(COUNTIF($J650:$Q650,"x")+1),-$E650*N(L650)))</f>
        <v/>
      </c>
      <c r="AA650" s="34">
        <f>IF(OR($A650="",$H650&lt;&gt;"Ausgabe",M650=""),0,IF(M650="x",-$E650/(COUNTIF($J650:$Q650,"x")+1),-$E650*N(M650)))</f>
        <v/>
      </c>
      <c r="AB650" s="34">
        <f>IF(OR($A650="",$H650&lt;&gt;"Ausgabe",N650=""),0,IF(N650="x",-$E650/(COUNTIF($J650:$Q650,"x")+1),-$E650*N(N650)))</f>
        <v/>
      </c>
      <c r="AC650" s="34">
        <f>IF(OR($A650="",$H650&lt;&gt;"Ausgabe",O650=""),0,IF(O650="x",-$E650/(COUNTIF($J650:$Q650,"x")+1),-$E650*N(O650)))</f>
        <v/>
      </c>
      <c r="AD650" s="34">
        <f>IF(OR($A650="",$H650&lt;&gt;"Ausgabe",P650=""),0,IF(P650="x",-$E650/(COUNTIF($J650:$Q650,"x")+1),-$E650*N(P650)))</f>
        <v/>
      </c>
      <c r="AE650" s="34">
        <f>IF(OR($A650="",$H650&lt;&gt;"Ausgabe",Q650=""),0,IF(Q650="x",-$E650/(COUNTIF($J650:$Q650,"x")+1),-$E650*N(Q650)))</f>
        <v/>
      </c>
    </row>
    <row r="651">
      <c r="A651" s="30" t="n"/>
      <c r="E651" s="31" t="n"/>
      <c r="J651" s="32" t="n"/>
      <c r="K651" s="32" t="n"/>
      <c r="L651" s="32" t="n"/>
      <c r="M651" s="32" t="n"/>
      <c r="N651" s="32" t="n"/>
      <c r="O651" s="32" t="n"/>
      <c r="P651" s="32" t="n"/>
      <c r="Q651" s="32" t="n"/>
      <c r="U651" s="31">
        <f>IF($A651="","",SUM(X651:AE651))</f>
        <v/>
      </c>
      <c r="V651" s="31">
        <f>IF($A651="","",IF($H651&lt;&gt;"Ausgabe",0,-$E651-$U651))</f>
        <v/>
      </c>
      <c r="W651" s="33">
        <f>IF($A651="","",DATE(YEAR($A651),MONTH($A651),1))</f>
        <v/>
      </c>
      <c r="X651" s="34">
        <f>IF(OR($A651="",$H651&lt;&gt;"Ausgabe",J651=""),0,IF(J651="x",-$E651/(COUNTIF($J651:$Q651,"x")+1),-$E651*N(J651)))</f>
        <v/>
      </c>
      <c r="Y651" s="34">
        <f>IF(OR($A651="",$H651&lt;&gt;"Ausgabe",K651=""),0,IF(K651="x",-$E651/(COUNTIF($J651:$Q651,"x")+1),-$E651*N(K651)))</f>
        <v/>
      </c>
      <c r="Z651" s="34">
        <f>IF(OR($A651="",$H651&lt;&gt;"Ausgabe",L651=""),0,IF(L651="x",-$E651/(COUNTIF($J651:$Q651,"x")+1),-$E651*N(L651)))</f>
        <v/>
      </c>
      <c r="AA651" s="34">
        <f>IF(OR($A651="",$H651&lt;&gt;"Ausgabe",M651=""),0,IF(M651="x",-$E651/(COUNTIF($J651:$Q651,"x")+1),-$E651*N(M651)))</f>
        <v/>
      </c>
      <c r="AB651" s="34">
        <f>IF(OR($A651="",$H651&lt;&gt;"Ausgabe",N651=""),0,IF(N651="x",-$E651/(COUNTIF($J651:$Q651,"x")+1),-$E651*N(N651)))</f>
        <v/>
      </c>
      <c r="AC651" s="34">
        <f>IF(OR($A651="",$H651&lt;&gt;"Ausgabe",O651=""),0,IF(O651="x",-$E651/(COUNTIF($J651:$Q651,"x")+1),-$E651*N(O651)))</f>
        <v/>
      </c>
      <c r="AD651" s="34">
        <f>IF(OR($A651="",$H651&lt;&gt;"Ausgabe",P651=""),0,IF(P651="x",-$E651/(COUNTIF($J651:$Q651,"x")+1),-$E651*N(P651)))</f>
        <v/>
      </c>
      <c r="AE651" s="34">
        <f>IF(OR($A651="",$H651&lt;&gt;"Ausgabe",Q651=""),0,IF(Q651="x",-$E651/(COUNTIF($J651:$Q651,"x")+1),-$E651*N(Q651)))</f>
        <v/>
      </c>
    </row>
    <row r="652">
      <c r="A652" s="30" t="n"/>
      <c r="E652" s="31" t="n"/>
      <c r="J652" s="32" t="n"/>
      <c r="K652" s="32" t="n"/>
      <c r="L652" s="32" t="n"/>
      <c r="M652" s="32" t="n"/>
      <c r="N652" s="32" t="n"/>
      <c r="O652" s="32" t="n"/>
      <c r="P652" s="32" t="n"/>
      <c r="Q652" s="32" t="n"/>
      <c r="U652" s="31">
        <f>IF($A652="","",SUM(X652:AE652))</f>
        <v/>
      </c>
      <c r="V652" s="31">
        <f>IF($A652="","",IF($H652&lt;&gt;"Ausgabe",0,-$E652-$U652))</f>
        <v/>
      </c>
      <c r="W652" s="33">
        <f>IF($A652="","",DATE(YEAR($A652),MONTH($A652),1))</f>
        <v/>
      </c>
      <c r="X652" s="34">
        <f>IF(OR($A652="",$H652&lt;&gt;"Ausgabe",J652=""),0,IF(J652="x",-$E652/(COUNTIF($J652:$Q652,"x")+1),-$E652*N(J652)))</f>
        <v/>
      </c>
      <c r="Y652" s="34">
        <f>IF(OR($A652="",$H652&lt;&gt;"Ausgabe",K652=""),0,IF(K652="x",-$E652/(COUNTIF($J652:$Q652,"x")+1),-$E652*N(K652)))</f>
        <v/>
      </c>
      <c r="Z652" s="34">
        <f>IF(OR($A652="",$H652&lt;&gt;"Ausgabe",L652=""),0,IF(L652="x",-$E652/(COUNTIF($J652:$Q652,"x")+1),-$E652*N(L652)))</f>
        <v/>
      </c>
      <c r="AA652" s="34">
        <f>IF(OR($A652="",$H652&lt;&gt;"Ausgabe",M652=""),0,IF(M652="x",-$E652/(COUNTIF($J652:$Q652,"x")+1),-$E652*N(M652)))</f>
        <v/>
      </c>
      <c r="AB652" s="34">
        <f>IF(OR($A652="",$H652&lt;&gt;"Ausgabe",N652=""),0,IF(N652="x",-$E652/(COUNTIF($J652:$Q652,"x")+1),-$E652*N(N652)))</f>
        <v/>
      </c>
      <c r="AC652" s="34">
        <f>IF(OR($A652="",$H652&lt;&gt;"Ausgabe",O652=""),0,IF(O652="x",-$E652/(COUNTIF($J652:$Q652,"x")+1),-$E652*N(O652)))</f>
        <v/>
      </c>
      <c r="AD652" s="34">
        <f>IF(OR($A652="",$H652&lt;&gt;"Ausgabe",P652=""),0,IF(P652="x",-$E652/(COUNTIF($J652:$Q652,"x")+1),-$E652*N(P652)))</f>
        <v/>
      </c>
      <c r="AE652" s="34">
        <f>IF(OR($A652="",$H652&lt;&gt;"Ausgabe",Q652=""),0,IF(Q652="x",-$E652/(COUNTIF($J652:$Q652,"x")+1),-$E652*N(Q652)))</f>
        <v/>
      </c>
    </row>
    <row r="653">
      <c r="A653" s="30" t="n"/>
      <c r="E653" s="31" t="n"/>
      <c r="J653" s="32" t="n"/>
      <c r="K653" s="32" t="n"/>
      <c r="L653" s="32" t="n"/>
      <c r="M653" s="32" t="n"/>
      <c r="N653" s="32" t="n"/>
      <c r="O653" s="32" t="n"/>
      <c r="P653" s="32" t="n"/>
      <c r="Q653" s="32" t="n"/>
      <c r="U653" s="31">
        <f>IF($A653="","",SUM(X653:AE653))</f>
        <v/>
      </c>
      <c r="V653" s="31">
        <f>IF($A653="","",IF($H653&lt;&gt;"Ausgabe",0,-$E653-$U653))</f>
        <v/>
      </c>
      <c r="W653" s="33">
        <f>IF($A653="","",DATE(YEAR($A653),MONTH($A653),1))</f>
        <v/>
      </c>
      <c r="X653" s="34">
        <f>IF(OR($A653="",$H653&lt;&gt;"Ausgabe",J653=""),0,IF(J653="x",-$E653/(COUNTIF($J653:$Q653,"x")+1),-$E653*N(J653)))</f>
        <v/>
      </c>
      <c r="Y653" s="34">
        <f>IF(OR($A653="",$H653&lt;&gt;"Ausgabe",K653=""),0,IF(K653="x",-$E653/(COUNTIF($J653:$Q653,"x")+1),-$E653*N(K653)))</f>
        <v/>
      </c>
      <c r="Z653" s="34">
        <f>IF(OR($A653="",$H653&lt;&gt;"Ausgabe",L653=""),0,IF(L653="x",-$E653/(COUNTIF($J653:$Q653,"x")+1),-$E653*N(L653)))</f>
        <v/>
      </c>
      <c r="AA653" s="34">
        <f>IF(OR($A653="",$H653&lt;&gt;"Ausgabe",M653=""),0,IF(M653="x",-$E653/(COUNTIF($J653:$Q653,"x")+1),-$E653*N(M653)))</f>
        <v/>
      </c>
      <c r="AB653" s="34">
        <f>IF(OR($A653="",$H653&lt;&gt;"Ausgabe",N653=""),0,IF(N653="x",-$E653/(COUNTIF($J653:$Q653,"x")+1),-$E653*N(N653)))</f>
        <v/>
      </c>
      <c r="AC653" s="34">
        <f>IF(OR($A653="",$H653&lt;&gt;"Ausgabe",O653=""),0,IF(O653="x",-$E653/(COUNTIF($J653:$Q653,"x")+1),-$E653*N(O653)))</f>
        <v/>
      </c>
      <c r="AD653" s="34">
        <f>IF(OR($A653="",$H653&lt;&gt;"Ausgabe",P653=""),0,IF(P653="x",-$E653/(COUNTIF($J653:$Q653,"x")+1),-$E653*N(P653)))</f>
        <v/>
      </c>
      <c r="AE653" s="34">
        <f>IF(OR($A653="",$H653&lt;&gt;"Ausgabe",Q653=""),0,IF(Q653="x",-$E653/(COUNTIF($J653:$Q653,"x")+1),-$E653*N(Q653)))</f>
        <v/>
      </c>
    </row>
    <row r="654">
      <c r="A654" s="30" t="n"/>
      <c r="E654" s="31" t="n"/>
      <c r="J654" s="32" t="n"/>
      <c r="K654" s="32" t="n"/>
      <c r="L654" s="32" t="n"/>
      <c r="M654" s="32" t="n"/>
      <c r="N654" s="32" t="n"/>
      <c r="O654" s="32" t="n"/>
      <c r="P654" s="32" t="n"/>
      <c r="Q654" s="32" t="n"/>
      <c r="U654" s="31">
        <f>IF($A654="","",SUM(X654:AE654))</f>
        <v/>
      </c>
      <c r="V654" s="31">
        <f>IF($A654="","",IF($H654&lt;&gt;"Ausgabe",0,-$E654-$U654))</f>
        <v/>
      </c>
      <c r="W654" s="33">
        <f>IF($A654="","",DATE(YEAR($A654),MONTH($A654),1))</f>
        <v/>
      </c>
      <c r="X654" s="34">
        <f>IF(OR($A654="",$H654&lt;&gt;"Ausgabe",J654=""),0,IF(J654="x",-$E654/(COUNTIF($J654:$Q654,"x")+1),-$E654*N(J654)))</f>
        <v/>
      </c>
      <c r="Y654" s="34">
        <f>IF(OR($A654="",$H654&lt;&gt;"Ausgabe",K654=""),0,IF(K654="x",-$E654/(COUNTIF($J654:$Q654,"x")+1),-$E654*N(K654)))</f>
        <v/>
      </c>
      <c r="Z654" s="34">
        <f>IF(OR($A654="",$H654&lt;&gt;"Ausgabe",L654=""),0,IF(L654="x",-$E654/(COUNTIF($J654:$Q654,"x")+1),-$E654*N(L654)))</f>
        <v/>
      </c>
      <c r="AA654" s="34">
        <f>IF(OR($A654="",$H654&lt;&gt;"Ausgabe",M654=""),0,IF(M654="x",-$E654/(COUNTIF($J654:$Q654,"x")+1),-$E654*N(M654)))</f>
        <v/>
      </c>
      <c r="AB654" s="34">
        <f>IF(OR($A654="",$H654&lt;&gt;"Ausgabe",N654=""),0,IF(N654="x",-$E654/(COUNTIF($J654:$Q654,"x")+1),-$E654*N(N654)))</f>
        <v/>
      </c>
      <c r="AC654" s="34">
        <f>IF(OR($A654="",$H654&lt;&gt;"Ausgabe",O654=""),0,IF(O654="x",-$E654/(COUNTIF($J654:$Q654,"x")+1),-$E654*N(O654)))</f>
        <v/>
      </c>
      <c r="AD654" s="34">
        <f>IF(OR($A654="",$H654&lt;&gt;"Ausgabe",P654=""),0,IF(P654="x",-$E654/(COUNTIF($J654:$Q654,"x")+1),-$E654*N(P654)))</f>
        <v/>
      </c>
      <c r="AE654" s="34">
        <f>IF(OR($A654="",$H654&lt;&gt;"Ausgabe",Q654=""),0,IF(Q654="x",-$E654/(COUNTIF($J654:$Q654,"x")+1),-$E654*N(Q654)))</f>
        <v/>
      </c>
    </row>
    <row r="655">
      <c r="A655" s="30" t="n"/>
      <c r="E655" s="31" t="n"/>
      <c r="J655" s="32" t="n"/>
      <c r="K655" s="32" t="n"/>
      <c r="L655" s="32" t="n"/>
      <c r="M655" s="32" t="n"/>
      <c r="N655" s="32" t="n"/>
      <c r="O655" s="32" t="n"/>
      <c r="P655" s="32" t="n"/>
      <c r="Q655" s="32" t="n"/>
      <c r="U655" s="31">
        <f>IF($A655="","",SUM(X655:AE655))</f>
        <v/>
      </c>
      <c r="V655" s="31">
        <f>IF($A655="","",IF($H655&lt;&gt;"Ausgabe",0,-$E655-$U655))</f>
        <v/>
      </c>
      <c r="W655" s="33">
        <f>IF($A655="","",DATE(YEAR($A655),MONTH($A655),1))</f>
        <v/>
      </c>
      <c r="X655" s="34">
        <f>IF(OR($A655="",$H655&lt;&gt;"Ausgabe",J655=""),0,IF(J655="x",-$E655/(COUNTIF($J655:$Q655,"x")+1),-$E655*N(J655)))</f>
        <v/>
      </c>
      <c r="Y655" s="34">
        <f>IF(OR($A655="",$H655&lt;&gt;"Ausgabe",K655=""),0,IF(K655="x",-$E655/(COUNTIF($J655:$Q655,"x")+1),-$E655*N(K655)))</f>
        <v/>
      </c>
      <c r="Z655" s="34">
        <f>IF(OR($A655="",$H655&lt;&gt;"Ausgabe",L655=""),0,IF(L655="x",-$E655/(COUNTIF($J655:$Q655,"x")+1),-$E655*N(L655)))</f>
        <v/>
      </c>
      <c r="AA655" s="34">
        <f>IF(OR($A655="",$H655&lt;&gt;"Ausgabe",M655=""),0,IF(M655="x",-$E655/(COUNTIF($J655:$Q655,"x")+1),-$E655*N(M655)))</f>
        <v/>
      </c>
      <c r="AB655" s="34">
        <f>IF(OR($A655="",$H655&lt;&gt;"Ausgabe",N655=""),0,IF(N655="x",-$E655/(COUNTIF($J655:$Q655,"x")+1),-$E655*N(N655)))</f>
        <v/>
      </c>
      <c r="AC655" s="34">
        <f>IF(OR($A655="",$H655&lt;&gt;"Ausgabe",O655=""),0,IF(O655="x",-$E655/(COUNTIF($J655:$Q655,"x")+1),-$E655*N(O655)))</f>
        <v/>
      </c>
      <c r="AD655" s="34">
        <f>IF(OR($A655="",$H655&lt;&gt;"Ausgabe",P655=""),0,IF(P655="x",-$E655/(COUNTIF($J655:$Q655,"x")+1),-$E655*N(P655)))</f>
        <v/>
      </c>
      <c r="AE655" s="34">
        <f>IF(OR($A655="",$H655&lt;&gt;"Ausgabe",Q655=""),0,IF(Q655="x",-$E655/(COUNTIF($J655:$Q655,"x")+1),-$E655*N(Q655)))</f>
        <v/>
      </c>
    </row>
    <row r="656">
      <c r="A656" s="30" t="n"/>
      <c r="E656" s="31" t="n"/>
      <c r="J656" s="32" t="n"/>
      <c r="K656" s="32" t="n"/>
      <c r="L656" s="32" t="n"/>
      <c r="M656" s="32" t="n"/>
      <c r="N656" s="32" t="n"/>
      <c r="O656" s="32" t="n"/>
      <c r="P656" s="32" t="n"/>
      <c r="Q656" s="32" t="n"/>
      <c r="U656" s="31">
        <f>IF($A656="","",SUM(X656:AE656))</f>
        <v/>
      </c>
      <c r="V656" s="31">
        <f>IF($A656="","",IF($H656&lt;&gt;"Ausgabe",0,-$E656-$U656))</f>
        <v/>
      </c>
      <c r="W656" s="33">
        <f>IF($A656="","",DATE(YEAR($A656),MONTH($A656),1))</f>
        <v/>
      </c>
      <c r="X656" s="34">
        <f>IF(OR($A656="",$H656&lt;&gt;"Ausgabe",J656=""),0,IF(J656="x",-$E656/(COUNTIF($J656:$Q656,"x")+1),-$E656*N(J656)))</f>
        <v/>
      </c>
      <c r="Y656" s="34">
        <f>IF(OR($A656="",$H656&lt;&gt;"Ausgabe",K656=""),0,IF(K656="x",-$E656/(COUNTIF($J656:$Q656,"x")+1),-$E656*N(K656)))</f>
        <v/>
      </c>
      <c r="Z656" s="34">
        <f>IF(OR($A656="",$H656&lt;&gt;"Ausgabe",L656=""),0,IF(L656="x",-$E656/(COUNTIF($J656:$Q656,"x")+1),-$E656*N(L656)))</f>
        <v/>
      </c>
      <c r="AA656" s="34">
        <f>IF(OR($A656="",$H656&lt;&gt;"Ausgabe",M656=""),0,IF(M656="x",-$E656/(COUNTIF($J656:$Q656,"x")+1),-$E656*N(M656)))</f>
        <v/>
      </c>
      <c r="AB656" s="34">
        <f>IF(OR($A656="",$H656&lt;&gt;"Ausgabe",N656=""),0,IF(N656="x",-$E656/(COUNTIF($J656:$Q656,"x")+1),-$E656*N(N656)))</f>
        <v/>
      </c>
      <c r="AC656" s="34">
        <f>IF(OR($A656="",$H656&lt;&gt;"Ausgabe",O656=""),0,IF(O656="x",-$E656/(COUNTIF($J656:$Q656,"x")+1),-$E656*N(O656)))</f>
        <v/>
      </c>
      <c r="AD656" s="34">
        <f>IF(OR($A656="",$H656&lt;&gt;"Ausgabe",P656=""),0,IF(P656="x",-$E656/(COUNTIF($J656:$Q656,"x")+1),-$E656*N(P656)))</f>
        <v/>
      </c>
      <c r="AE656" s="34">
        <f>IF(OR($A656="",$H656&lt;&gt;"Ausgabe",Q656=""),0,IF(Q656="x",-$E656/(COUNTIF($J656:$Q656,"x")+1),-$E656*N(Q656)))</f>
        <v/>
      </c>
    </row>
    <row r="657">
      <c r="A657" s="30" t="n"/>
      <c r="E657" s="31" t="n"/>
      <c r="J657" s="32" t="n"/>
      <c r="K657" s="32" t="n"/>
      <c r="L657" s="32" t="n"/>
      <c r="M657" s="32" t="n"/>
      <c r="N657" s="32" t="n"/>
      <c r="O657" s="32" t="n"/>
      <c r="P657" s="32" t="n"/>
      <c r="Q657" s="32" t="n"/>
      <c r="U657" s="31">
        <f>IF($A657="","",SUM(X657:AE657))</f>
        <v/>
      </c>
      <c r="V657" s="31">
        <f>IF($A657="","",IF($H657&lt;&gt;"Ausgabe",0,-$E657-$U657))</f>
        <v/>
      </c>
      <c r="W657" s="33">
        <f>IF($A657="","",DATE(YEAR($A657),MONTH($A657),1))</f>
        <v/>
      </c>
      <c r="X657" s="34">
        <f>IF(OR($A657="",$H657&lt;&gt;"Ausgabe",J657=""),0,IF(J657="x",-$E657/(COUNTIF($J657:$Q657,"x")+1),-$E657*N(J657)))</f>
        <v/>
      </c>
      <c r="Y657" s="34">
        <f>IF(OR($A657="",$H657&lt;&gt;"Ausgabe",K657=""),0,IF(K657="x",-$E657/(COUNTIF($J657:$Q657,"x")+1),-$E657*N(K657)))</f>
        <v/>
      </c>
      <c r="Z657" s="34">
        <f>IF(OR($A657="",$H657&lt;&gt;"Ausgabe",L657=""),0,IF(L657="x",-$E657/(COUNTIF($J657:$Q657,"x")+1),-$E657*N(L657)))</f>
        <v/>
      </c>
      <c r="AA657" s="34">
        <f>IF(OR($A657="",$H657&lt;&gt;"Ausgabe",M657=""),0,IF(M657="x",-$E657/(COUNTIF($J657:$Q657,"x")+1),-$E657*N(M657)))</f>
        <v/>
      </c>
      <c r="AB657" s="34">
        <f>IF(OR($A657="",$H657&lt;&gt;"Ausgabe",N657=""),0,IF(N657="x",-$E657/(COUNTIF($J657:$Q657,"x")+1),-$E657*N(N657)))</f>
        <v/>
      </c>
      <c r="AC657" s="34">
        <f>IF(OR($A657="",$H657&lt;&gt;"Ausgabe",O657=""),0,IF(O657="x",-$E657/(COUNTIF($J657:$Q657,"x")+1),-$E657*N(O657)))</f>
        <v/>
      </c>
      <c r="AD657" s="34">
        <f>IF(OR($A657="",$H657&lt;&gt;"Ausgabe",P657=""),0,IF(P657="x",-$E657/(COUNTIF($J657:$Q657,"x")+1),-$E657*N(P657)))</f>
        <v/>
      </c>
      <c r="AE657" s="34">
        <f>IF(OR($A657="",$H657&lt;&gt;"Ausgabe",Q657=""),0,IF(Q657="x",-$E657/(COUNTIF($J657:$Q657,"x")+1),-$E657*N(Q657)))</f>
        <v/>
      </c>
    </row>
    <row r="658">
      <c r="A658" s="30" t="n"/>
      <c r="E658" s="31" t="n"/>
      <c r="J658" s="32" t="n"/>
      <c r="K658" s="32" t="n"/>
      <c r="L658" s="32" t="n"/>
      <c r="M658" s="32" t="n"/>
      <c r="N658" s="32" t="n"/>
      <c r="O658" s="32" t="n"/>
      <c r="P658" s="32" t="n"/>
      <c r="Q658" s="32" t="n"/>
      <c r="U658" s="31">
        <f>IF($A658="","",SUM(X658:AE658))</f>
        <v/>
      </c>
      <c r="V658" s="31">
        <f>IF($A658="","",IF($H658&lt;&gt;"Ausgabe",0,-$E658-$U658))</f>
        <v/>
      </c>
      <c r="W658" s="33">
        <f>IF($A658="","",DATE(YEAR($A658),MONTH($A658),1))</f>
        <v/>
      </c>
      <c r="X658" s="34">
        <f>IF(OR($A658="",$H658&lt;&gt;"Ausgabe",J658=""),0,IF(J658="x",-$E658/(COUNTIF($J658:$Q658,"x")+1),-$E658*N(J658)))</f>
        <v/>
      </c>
      <c r="Y658" s="34">
        <f>IF(OR($A658="",$H658&lt;&gt;"Ausgabe",K658=""),0,IF(K658="x",-$E658/(COUNTIF($J658:$Q658,"x")+1),-$E658*N(K658)))</f>
        <v/>
      </c>
      <c r="Z658" s="34">
        <f>IF(OR($A658="",$H658&lt;&gt;"Ausgabe",L658=""),0,IF(L658="x",-$E658/(COUNTIF($J658:$Q658,"x")+1),-$E658*N(L658)))</f>
        <v/>
      </c>
      <c r="AA658" s="34">
        <f>IF(OR($A658="",$H658&lt;&gt;"Ausgabe",M658=""),0,IF(M658="x",-$E658/(COUNTIF($J658:$Q658,"x")+1),-$E658*N(M658)))</f>
        <v/>
      </c>
      <c r="AB658" s="34">
        <f>IF(OR($A658="",$H658&lt;&gt;"Ausgabe",N658=""),0,IF(N658="x",-$E658/(COUNTIF($J658:$Q658,"x")+1),-$E658*N(N658)))</f>
        <v/>
      </c>
      <c r="AC658" s="34">
        <f>IF(OR($A658="",$H658&lt;&gt;"Ausgabe",O658=""),0,IF(O658="x",-$E658/(COUNTIF($J658:$Q658,"x")+1),-$E658*N(O658)))</f>
        <v/>
      </c>
      <c r="AD658" s="34">
        <f>IF(OR($A658="",$H658&lt;&gt;"Ausgabe",P658=""),0,IF(P658="x",-$E658/(COUNTIF($J658:$Q658,"x")+1),-$E658*N(P658)))</f>
        <v/>
      </c>
      <c r="AE658" s="34">
        <f>IF(OR($A658="",$H658&lt;&gt;"Ausgabe",Q658=""),0,IF(Q658="x",-$E658/(COUNTIF($J658:$Q658,"x")+1),-$E658*N(Q658)))</f>
        <v/>
      </c>
    </row>
    <row r="659">
      <c r="A659" s="30" t="n"/>
      <c r="E659" s="31" t="n"/>
      <c r="J659" s="32" t="n"/>
      <c r="K659" s="32" t="n"/>
      <c r="L659" s="32" t="n"/>
      <c r="M659" s="32" t="n"/>
      <c r="N659" s="32" t="n"/>
      <c r="O659" s="32" t="n"/>
      <c r="P659" s="32" t="n"/>
      <c r="Q659" s="32" t="n"/>
      <c r="U659" s="31">
        <f>IF($A659="","",SUM(X659:AE659))</f>
        <v/>
      </c>
      <c r="V659" s="31">
        <f>IF($A659="","",IF($H659&lt;&gt;"Ausgabe",0,-$E659-$U659))</f>
        <v/>
      </c>
      <c r="W659" s="33">
        <f>IF($A659="","",DATE(YEAR($A659),MONTH($A659),1))</f>
        <v/>
      </c>
      <c r="X659" s="34">
        <f>IF(OR($A659="",$H659&lt;&gt;"Ausgabe",J659=""),0,IF(J659="x",-$E659/(COUNTIF($J659:$Q659,"x")+1),-$E659*N(J659)))</f>
        <v/>
      </c>
      <c r="Y659" s="34">
        <f>IF(OR($A659="",$H659&lt;&gt;"Ausgabe",K659=""),0,IF(K659="x",-$E659/(COUNTIF($J659:$Q659,"x")+1),-$E659*N(K659)))</f>
        <v/>
      </c>
      <c r="Z659" s="34">
        <f>IF(OR($A659="",$H659&lt;&gt;"Ausgabe",L659=""),0,IF(L659="x",-$E659/(COUNTIF($J659:$Q659,"x")+1),-$E659*N(L659)))</f>
        <v/>
      </c>
      <c r="AA659" s="34">
        <f>IF(OR($A659="",$H659&lt;&gt;"Ausgabe",M659=""),0,IF(M659="x",-$E659/(COUNTIF($J659:$Q659,"x")+1),-$E659*N(M659)))</f>
        <v/>
      </c>
      <c r="AB659" s="34">
        <f>IF(OR($A659="",$H659&lt;&gt;"Ausgabe",N659=""),0,IF(N659="x",-$E659/(COUNTIF($J659:$Q659,"x")+1),-$E659*N(N659)))</f>
        <v/>
      </c>
      <c r="AC659" s="34">
        <f>IF(OR($A659="",$H659&lt;&gt;"Ausgabe",O659=""),0,IF(O659="x",-$E659/(COUNTIF($J659:$Q659,"x")+1),-$E659*N(O659)))</f>
        <v/>
      </c>
      <c r="AD659" s="34">
        <f>IF(OR($A659="",$H659&lt;&gt;"Ausgabe",P659=""),0,IF(P659="x",-$E659/(COUNTIF($J659:$Q659,"x")+1),-$E659*N(P659)))</f>
        <v/>
      </c>
      <c r="AE659" s="34">
        <f>IF(OR($A659="",$H659&lt;&gt;"Ausgabe",Q659=""),0,IF(Q659="x",-$E659/(COUNTIF($J659:$Q659,"x")+1),-$E659*N(Q659)))</f>
        <v/>
      </c>
    </row>
    <row r="660">
      <c r="A660" s="30" t="n"/>
      <c r="E660" s="31" t="n"/>
      <c r="J660" s="32" t="n"/>
      <c r="K660" s="32" t="n"/>
      <c r="L660" s="32" t="n"/>
      <c r="M660" s="32" t="n"/>
      <c r="N660" s="32" t="n"/>
      <c r="O660" s="32" t="n"/>
      <c r="P660" s="32" t="n"/>
      <c r="Q660" s="32" t="n"/>
      <c r="U660" s="31">
        <f>IF($A660="","",SUM(X660:AE660))</f>
        <v/>
      </c>
      <c r="V660" s="31">
        <f>IF($A660="","",IF($H660&lt;&gt;"Ausgabe",0,-$E660-$U660))</f>
        <v/>
      </c>
      <c r="W660" s="33">
        <f>IF($A660="","",DATE(YEAR($A660),MONTH($A660),1))</f>
        <v/>
      </c>
      <c r="X660" s="34">
        <f>IF(OR($A660="",$H660&lt;&gt;"Ausgabe",J660=""),0,IF(J660="x",-$E660/(COUNTIF($J660:$Q660,"x")+1),-$E660*N(J660)))</f>
        <v/>
      </c>
      <c r="Y660" s="34">
        <f>IF(OR($A660="",$H660&lt;&gt;"Ausgabe",K660=""),0,IF(K660="x",-$E660/(COUNTIF($J660:$Q660,"x")+1),-$E660*N(K660)))</f>
        <v/>
      </c>
      <c r="Z660" s="34">
        <f>IF(OR($A660="",$H660&lt;&gt;"Ausgabe",L660=""),0,IF(L660="x",-$E660/(COUNTIF($J660:$Q660,"x")+1),-$E660*N(L660)))</f>
        <v/>
      </c>
      <c r="AA660" s="34">
        <f>IF(OR($A660="",$H660&lt;&gt;"Ausgabe",M660=""),0,IF(M660="x",-$E660/(COUNTIF($J660:$Q660,"x")+1),-$E660*N(M660)))</f>
        <v/>
      </c>
      <c r="AB660" s="34">
        <f>IF(OR($A660="",$H660&lt;&gt;"Ausgabe",N660=""),0,IF(N660="x",-$E660/(COUNTIF($J660:$Q660,"x")+1),-$E660*N(N660)))</f>
        <v/>
      </c>
      <c r="AC660" s="34">
        <f>IF(OR($A660="",$H660&lt;&gt;"Ausgabe",O660=""),0,IF(O660="x",-$E660/(COUNTIF($J660:$Q660,"x")+1),-$E660*N(O660)))</f>
        <v/>
      </c>
      <c r="AD660" s="34">
        <f>IF(OR($A660="",$H660&lt;&gt;"Ausgabe",P660=""),0,IF(P660="x",-$E660/(COUNTIF($J660:$Q660,"x")+1),-$E660*N(P660)))</f>
        <v/>
      </c>
      <c r="AE660" s="34">
        <f>IF(OR($A660="",$H660&lt;&gt;"Ausgabe",Q660=""),0,IF(Q660="x",-$E660/(COUNTIF($J660:$Q660,"x")+1),-$E660*N(Q660)))</f>
        <v/>
      </c>
    </row>
    <row r="661">
      <c r="A661" s="30" t="n"/>
      <c r="E661" s="31" t="n"/>
      <c r="J661" s="32" t="n"/>
      <c r="K661" s="32" t="n"/>
      <c r="L661" s="32" t="n"/>
      <c r="M661" s="32" t="n"/>
      <c r="N661" s="32" t="n"/>
      <c r="O661" s="32" t="n"/>
      <c r="P661" s="32" t="n"/>
      <c r="Q661" s="32" t="n"/>
      <c r="U661" s="31">
        <f>IF($A661="","",SUM(X661:AE661))</f>
        <v/>
      </c>
      <c r="V661" s="31">
        <f>IF($A661="","",IF($H661&lt;&gt;"Ausgabe",0,-$E661-$U661))</f>
        <v/>
      </c>
      <c r="W661" s="33">
        <f>IF($A661="","",DATE(YEAR($A661),MONTH($A661),1))</f>
        <v/>
      </c>
      <c r="X661" s="34">
        <f>IF(OR($A661="",$H661&lt;&gt;"Ausgabe",J661=""),0,IF(J661="x",-$E661/(COUNTIF($J661:$Q661,"x")+1),-$E661*N(J661)))</f>
        <v/>
      </c>
      <c r="Y661" s="34">
        <f>IF(OR($A661="",$H661&lt;&gt;"Ausgabe",K661=""),0,IF(K661="x",-$E661/(COUNTIF($J661:$Q661,"x")+1),-$E661*N(K661)))</f>
        <v/>
      </c>
      <c r="Z661" s="34">
        <f>IF(OR($A661="",$H661&lt;&gt;"Ausgabe",L661=""),0,IF(L661="x",-$E661/(COUNTIF($J661:$Q661,"x")+1),-$E661*N(L661)))</f>
        <v/>
      </c>
      <c r="AA661" s="34">
        <f>IF(OR($A661="",$H661&lt;&gt;"Ausgabe",M661=""),0,IF(M661="x",-$E661/(COUNTIF($J661:$Q661,"x")+1),-$E661*N(M661)))</f>
        <v/>
      </c>
      <c r="AB661" s="34">
        <f>IF(OR($A661="",$H661&lt;&gt;"Ausgabe",N661=""),0,IF(N661="x",-$E661/(COUNTIF($J661:$Q661,"x")+1),-$E661*N(N661)))</f>
        <v/>
      </c>
      <c r="AC661" s="34">
        <f>IF(OR($A661="",$H661&lt;&gt;"Ausgabe",O661=""),0,IF(O661="x",-$E661/(COUNTIF($J661:$Q661,"x")+1),-$E661*N(O661)))</f>
        <v/>
      </c>
      <c r="AD661" s="34">
        <f>IF(OR($A661="",$H661&lt;&gt;"Ausgabe",P661=""),0,IF(P661="x",-$E661/(COUNTIF($J661:$Q661,"x")+1),-$E661*N(P661)))</f>
        <v/>
      </c>
      <c r="AE661" s="34">
        <f>IF(OR($A661="",$H661&lt;&gt;"Ausgabe",Q661=""),0,IF(Q661="x",-$E661/(COUNTIF($J661:$Q661,"x")+1),-$E661*N(Q661)))</f>
        <v/>
      </c>
    </row>
    <row r="662">
      <c r="A662" s="30" t="n"/>
      <c r="E662" s="31" t="n"/>
      <c r="J662" s="32" t="n"/>
      <c r="K662" s="32" t="n"/>
      <c r="L662" s="32" t="n"/>
      <c r="M662" s="32" t="n"/>
      <c r="N662" s="32" t="n"/>
      <c r="O662" s="32" t="n"/>
      <c r="P662" s="32" t="n"/>
      <c r="Q662" s="32" t="n"/>
      <c r="U662" s="31">
        <f>IF($A662="","",SUM(X662:AE662))</f>
        <v/>
      </c>
      <c r="V662" s="31">
        <f>IF($A662="","",IF($H662&lt;&gt;"Ausgabe",0,-$E662-$U662))</f>
        <v/>
      </c>
      <c r="W662" s="33">
        <f>IF($A662="","",DATE(YEAR($A662),MONTH($A662),1))</f>
        <v/>
      </c>
      <c r="X662" s="34">
        <f>IF(OR($A662="",$H662&lt;&gt;"Ausgabe",J662=""),0,IF(J662="x",-$E662/(COUNTIF($J662:$Q662,"x")+1),-$E662*N(J662)))</f>
        <v/>
      </c>
      <c r="Y662" s="34">
        <f>IF(OR($A662="",$H662&lt;&gt;"Ausgabe",K662=""),0,IF(K662="x",-$E662/(COUNTIF($J662:$Q662,"x")+1),-$E662*N(K662)))</f>
        <v/>
      </c>
      <c r="Z662" s="34">
        <f>IF(OR($A662="",$H662&lt;&gt;"Ausgabe",L662=""),0,IF(L662="x",-$E662/(COUNTIF($J662:$Q662,"x")+1),-$E662*N(L662)))</f>
        <v/>
      </c>
      <c r="AA662" s="34">
        <f>IF(OR($A662="",$H662&lt;&gt;"Ausgabe",M662=""),0,IF(M662="x",-$E662/(COUNTIF($J662:$Q662,"x")+1),-$E662*N(M662)))</f>
        <v/>
      </c>
      <c r="AB662" s="34">
        <f>IF(OR($A662="",$H662&lt;&gt;"Ausgabe",N662=""),0,IF(N662="x",-$E662/(COUNTIF($J662:$Q662,"x")+1),-$E662*N(N662)))</f>
        <v/>
      </c>
      <c r="AC662" s="34">
        <f>IF(OR($A662="",$H662&lt;&gt;"Ausgabe",O662=""),0,IF(O662="x",-$E662/(COUNTIF($J662:$Q662,"x")+1),-$E662*N(O662)))</f>
        <v/>
      </c>
      <c r="AD662" s="34">
        <f>IF(OR($A662="",$H662&lt;&gt;"Ausgabe",P662=""),0,IF(P662="x",-$E662/(COUNTIF($J662:$Q662,"x")+1),-$E662*N(P662)))</f>
        <v/>
      </c>
      <c r="AE662" s="34">
        <f>IF(OR($A662="",$H662&lt;&gt;"Ausgabe",Q662=""),0,IF(Q662="x",-$E662/(COUNTIF($J662:$Q662,"x")+1),-$E662*N(Q662)))</f>
        <v/>
      </c>
    </row>
    <row r="663">
      <c r="A663" s="30" t="n"/>
      <c r="E663" s="31" t="n"/>
      <c r="J663" s="32" t="n"/>
      <c r="K663" s="32" t="n"/>
      <c r="L663" s="32" t="n"/>
      <c r="M663" s="32" t="n"/>
      <c r="N663" s="32" t="n"/>
      <c r="O663" s="32" t="n"/>
      <c r="P663" s="32" t="n"/>
      <c r="Q663" s="32" t="n"/>
      <c r="U663" s="31">
        <f>IF($A663="","",SUM(X663:AE663))</f>
        <v/>
      </c>
      <c r="V663" s="31">
        <f>IF($A663="","",IF($H663&lt;&gt;"Ausgabe",0,-$E663-$U663))</f>
        <v/>
      </c>
      <c r="W663" s="33">
        <f>IF($A663="","",DATE(YEAR($A663),MONTH($A663),1))</f>
        <v/>
      </c>
      <c r="X663" s="34">
        <f>IF(OR($A663="",$H663&lt;&gt;"Ausgabe",J663=""),0,IF(J663="x",-$E663/(COUNTIF($J663:$Q663,"x")+1),-$E663*N(J663)))</f>
        <v/>
      </c>
      <c r="Y663" s="34">
        <f>IF(OR($A663="",$H663&lt;&gt;"Ausgabe",K663=""),0,IF(K663="x",-$E663/(COUNTIF($J663:$Q663,"x")+1),-$E663*N(K663)))</f>
        <v/>
      </c>
      <c r="Z663" s="34">
        <f>IF(OR($A663="",$H663&lt;&gt;"Ausgabe",L663=""),0,IF(L663="x",-$E663/(COUNTIF($J663:$Q663,"x")+1),-$E663*N(L663)))</f>
        <v/>
      </c>
      <c r="AA663" s="34">
        <f>IF(OR($A663="",$H663&lt;&gt;"Ausgabe",M663=""),0,IF(M663="x",-$E663/(COUNTIF($J663:$Q663,"x")+1),-$E663*N(M663)))</f>
        <v/>
      </c>
      <c r="AB663" s="34">
        <f>IF(OR($A663="",$H663&lt;&gt;"Ausgabe",N663=""),0,IF(N663="x",-$E663/(COUNTIF($J663:$Q663,"x")+1),-$E663*N(N663)))</f>
        <v/>
      </c>
      <c r="AC663" s="34">
        <f>IF(OR($A663="",$H663&lt;&gt;"Ausgabe",O663=""),0,IF(O663="x",-$E663/(COUNTIF($J663:$Q663,"x")+1),-$E663*N(O663)))</f>
        <v/>
      </c>
      <c r="AD663" s="34">
        <f>IF(OR($A663="",$H663&lt;&gt;"Ausgabe",P663=""),0,IF(P663="x",-$E663/(COUNTIF($J663:$Q663,"x")+1),-$E663*N(P663)))</f>
        <v/>
      </c>
      <c r="AE663" s="34">
        <f>IF(OR($A663="",$H663&lt;&gt;"Ausgabe",Q663=""),0,IF(Q663="x",-$E663/(COUNTIF($J663:$Q663,"x")+1),-$E663*N(Q663)))</f>
        <v/>
      </c>
    </row>
    <row r="664">
      <c r="A664" s="30" t="n"/>
      <c r="E664" s="31" t="n"/>
      <c r="J664" s="32" t="n"/>
      <c r="K664" s="32" t="n"/>
      <c r="L664" s="32" t="n"/>
      <c r="M664" s="32" t="n"/>
      <c r="N664" s="32" t="n"/>
      <c r="O664" s="32" t="n"/>
      <c r="P664" s="32" t="n"/>
      <c r="Q664" s="32" t="n"/>
      <c r="U664" s="31">
        <f>IF($A664="","",SUM(X664:AE664))</f>
        <v/>
      </c>
      <c r="V664" s="31">
        <f>IF($A664="","",IF($H664&lt;&gt;"Ausgabe",0,-$E664-$U664))</f>
        <v/>
      </c>
      <c r="W664" s="33">
        <f>IF($A664="","",DATE(YEAR($A664),MONTH($A664),1))</f>
        <v/>
      </c>
      <c r="X664" s="34">
        <f>IF(OR($A664="",$H664&lt;&gt;"Ausgabe",J664=""),0,IF(J664="x",-$E664/(COUNTIF($J664:$Q664,"x")+1),-$E664*N(J664)))</f>
        <v/>
      </c>
      <c r="Y664" s="34">
        <f>IF(OR($A664="",$H664&lt;&gt;"Ausgabe",K664=""),0,IF(K664="x",-$E664/(COUNTIF($J664:$Q664,"x")+1),-$E664*N(K664)))</f>
        <v/>
      </c>
      <c r="Z664" s="34">
        <f>IF(OR($A664="",$H664&lt;&gt;"Ausgabe",L664=""),0,IF(L664="x",-$E664/(COUNTIF($J664:$Q664,"x")+1),-$E664*N(L664)))</f>
        <v/>
      </c>
      <c r="AA664" s="34">
        <f>IF(OR($A664="",$H664&lt;&gt;"Ausgabe",M664=""),0,IF(M664="x",-$E664/(COUNTIF($J664:$Q664,"x")+1),-$E664*N(M664)))</f>
        <v/>
      </c>
      <c r="AB664" s="34">
        <f>IF(OR($A664="",$H664&lt;&gt;"Ausgabe",N664=""),0,IF(N664="x",-$E664/(COUNTIF($J664:$Q664,"x")+1),-$E664*N(N664)))</f>
        <v/>
      </c>
      <c r="AC664" s="34">
        <f>IF(OR($A664="",$H664&lt;&gt;"Ausgabe",O664=""),0,IF(O664="x",-$E664/(COUNTIF($J664:$Q664,"x")+1),-$E664*N(O664)))</f>
        <v/>
      </c>
      <c r="AD664" s="34">
        <f>IF(OR($A664="",$H664&lt;&gt;"Ausgabe",P664=""),0,IF(P664="x",-$E664/(COUNTIF($J664:$Q664,"x")+1),-$E664*N(P664)))</f>
        <v/>
      </c>
      <c r="AE664" s="34">
        <f>IF(OR($A664="",$H664&lt;&gt;"Ausgabe",Q664=""),0,IF(Q664="x",-$E664/(COUNTIF($J664:$Q664,"x")+1),-$E664*N(Q664)))</f>
        <v/>
      </c>
    </row>
    <row r="665">
      <c r="A665" s="30" t="n"/>
      <c r="E665" s="31" t="n"/>
      <c r="J665" s="32" t="n"/>
      <c r="K665" s="32" t="n"/>
      <c r="L665" s="32" t="n"/>
      <c r="M665" s="32" t="n"/>
      <c r="N665" s="32" t="n"/>
      <c r="O665" s="32" t="n"/>
      <c r="P665" s="32" t="n"/>
      <c r="Q665" s="32" t="n"/>
      <c r="U665" s="31">
        <f>IF($A665="","",SUM(X665:AE665))</f>
        <v/>
      </c>
      <c r="V665" s="31">
        <f>IF($A665="","",IF($H665&lt;&gt;"Ausgabe",0,-$E665-$U665))</f>
        <v/>
      </c>
      <c r="W665" s="33">
        <f>IF($A665="","",DATE(YEAR($A665),MONTH($A665),1))</f>
        <v/>
      </c>
      <c r="X665" s="34">
        <f>IF(OR($A665="",$H665&lt;&gt;"Ausgabe",J665=""),0,IF(J665="x",-$E665/(COUNTIF($J665:$Q665,"x")+1),-$E665*N(J665)))</f>
        <v/>
      </c>
      <c r="Y665" s="34">
        <f>IF(OR($A665="",$H665&lt;&gt;"Ausgabe",K665=""),0,IF(K665="x",-$E665/(COUNTIF($J665:$Q665,"x")+1),-$E665*N(K665)))</f>
        <v/>
      </c>
      <c r="Z665" s="34">
        <f>IF(OR($A665="",$H665&lt;&gt;"Ausgabe",L665=""),0,IF(L665="x",-$E665/(COUNTIF($J665:$Q665,"x")+1),-$E665*N(L665)))</f>
        <v/>
      </c>
      <c r="AA665" s="34">
        <f>IF(OR($A665="",$H665&lt;&gt;"Ausgabe",M665=""),0,IF(M665="x",-$E665/(COUNTIF($J665:$Q665,"x")+1),-$E665*N(M665)))</f>
        <v/>
      </c>
      <c r="AB665" s="34">
        <f>IF(OR($A665="",$H665&lt;&gt;"Ausgabe",N665=""),0,IF(N665="x",-$E665/(COUNTIF($J665:$Q665,"x")+1),-$E665*N(N665)))</f>
        <v/>
      </c>
      <c r="AC665" s="34">
        <f>IF(OR($A665="",$H665&lt;&gt;"Ausgabe",O665=""),0,IF(O665="x",-$E665/(COUNTIF($J665:$Q665,"x")+1),-$E665*N(O665)))</f>
        <v/>
      </c>
      <c r="AD665" s="34">
        <f>IF(OR($A665="",$H665&lt;&gt;"Ausgabe",P665=""),0,IF(P665="x",-$E665/(COUNTIF($J665:$Q665,"x")+1),-$E665*N(P665)))</f>
        <v/>
      </c>
      <c r="AE665" s="34">
        <f>IF(OR($A665="",$H665&lt;&gt;"Ausgabe",Q665=""),0,IF(Q665="x",-$E665/(COUNTIF($J665:$Q665,"x")+1),-$E665*N(Q665)))</f>
        <v/>
      </c>
    </row>
    <row r="666">
      <c r="A666" s="30" t="n"/>
      <c r="E666" s="31" t="n"/>
      <c r="J666" s="32" t="n"/>
      <c r="K666" s="32" t="n"/>
      <c r="L666" s="32" t="n"/>
      <c r="M666" s="32" t="n"/>
      <c r="N666" s="32" t="n"/>
      <c r="O666" s="32" t="n"/>
      <c r="P666" s="32" t="n"/>
      <c r="Q666" s="32" t="n"/>
      <c r="U666" s="31">
        <f>IF($A666="","",SUM(X666:AE666))</f>
        <v/>
      </c>
      <c r="V666" s="31">
        <f>IF($A666="","",IF($H666&lt;&gt;"Ausgabe",0,-$E666-$U666))</f>
        <v/>
      </c>
      <c r="W666" s="33">
        <f>IF($A666="","",DATE(YEAR($A666),MONTH($A666),1))</f>
        <v/>
      </c>
      <c r="X666" s="34">
        <f>IF(OR($A666="",$H666&lt;&gt;"Ausgabe",J666=""),0,IF(J666="x",-$E666/(COUNTIF($J666:$Q666,"x")+1),-$E666*N(J666)))</f>
        <v/>
      </c>
      <c r="Y666" s="34">
        <f>IF(OR($A666="",$H666&lt;&gt;"Ausgabe",K666=""),0,IF(K666="x",-$E666/(COUNTIF($J666:$Q666,"x")+1),-$E666*N(K666)))</f>
        <v/>
      </c>
      <c r="Z666" s="34">
        <f>IF(OR($A666="",$H666&lt;&gt;"Ausgabe",L666=""),0,IF(L666="x",-$E666/(COUNTIF($J666:$Q666,"x")+1),-$E666*N(L666)))</f>
        <v/>
      </c>
      <c r="AA666" s="34">
        <f>IF(OR($A666="",$H666&lt;&gt;"Ausgabe",M666=""),0,IF(M666="x",-$E666/(COUNTIF($J666:$Q666,"x")+1),-$E666*N(M666)))</f>
        <v/>
      </c>
      <c r="AB666" s="34">
        <f>IF(OR($A666="",$H666&lt;&gt;"Ausgabe",N666=""),0,IF(N666="x",-$E666/(COUNTIF($J666:$Q666,"x")+1),-$E666*N(N666)))</f>
        <v/>
      </c>
      <c r="AC666" s="34">
        <f>IF(OR($A666="",$H666&lt;&gt;"Ausgabe",O666=""),0,IF(O666="x",-$E666/(COUNTIF($J666:$Q666,"x")+1),-$E666*N(O666)))</f>
        <v/>
      </c>
      <c r="AD666" s="34">
        <f>IF(OR($A666="",$H666&lt;&gt;"Ausgabe",P666=""),0,IF(P666="x",-$E666/(COUNTIF($J666:$Q666,"x")+1),-$E666*N(P666)))</f>
        <v/>
      </c>
      <c r="AE666" s="34">
        <f>IF(OR($A666="",$H666&lt;&gt;"Ausgabe",Q666=""),0,IF(Q666="x",-$E666/(COUNTIF($J666:$Q666,"x")+1),-$E666*N(Q666)))</f>
        <v/>
      </c>
    </row>
    <row r="667">
      <c r="A667" s="30" t="n"/>
      <c r="E667" s="31" t="n"/>
      <c r="J667" s="32" t="n"/>
      <c r="K667" s="32" t="n"/>
      <c r="L667" s="32" t="n"/>
      <c r="M667" s="32" t="n"/>
      <c r="N667" s="32" t="n"/>
      <c r="O667" s="32" t="n"/>
      <c r="P667" s="32" t="n"/>
      <c r="Q667" s="32" t="n"/>
      <c r="U667" s="31">
        <f>IF($A667="","",SUM(X667:AE667))</f>
        <v/>
      </c>
      <c r="V667" s="31">
        <f>IF($A667="","",IF($H667&lt;&gt;"Ausgabe",0,-$E667-$U667))</f>
        <v/>
      </c>
      <c r="W667" s="33">
        <f>IF($A667="","",DATE(YEAR($A667),MONTH($A667),1))</f>
        <v/>
      </c>
      <c r="X667" s="34">
        <f>IF(OR($A667="",$H667&lt;&gt;"Ausgabe",J667=""),0,IF(J667="x",-$E667/(COUNTIF($J667:$Q667,"x")+1),-$E667*N(J667)))</f>
        <v/>
      </c>
      <c r="Y667" s="34">
        <f>IF(OR($A667="",$H667&lt;&gt;"Ausgabe",K667=""),0,IF(K667="x",-$E667/(COUNTIF($J667:$Q667,"x")+1),-$E667*N(K667)))</f>
        <v/>
      </c>
      <c r="Z667" s="34">
        <f>IF(OR($A667="",$H667&lt;&gt;"Ausgabe",L667=""),0,IF(L667="x",-$E667/(COUNTIF($J667:$Q667,"x")+1),-$E667*N(L667)))</f>
        <v/>
      </c>
      <c r="AA667" s="34">
        <f>IF(OR($A667="",$H667&lt;&gt;"Ausgabe",M667=""),0,IF(M667="x",-$E667/(COUNTIF($J667:$Q667,"x")+1),-$E667*N(M667)))</f>
        <v/>
      </c>
      <c r="AB667" s="34">
        <f>IF(OR($A667="",$H667&lt;&gt;"Ausgabe",N667=""),0,IF(N667="x",-$E667/(COUNTIF($J667:$Q667,"x")+1),-$E667*N(N667)))</f>
        <v/>
      </c>
      <c r="AC667" s="34">
        <f>IF(OR($A667="",$H667&lt;&gt;"Ausgabe",O667=""),0,IF(O667="x",-$E667/(COUNTIF($J667:$Q667,"x")+1),-$E667*N(O667)))</f>
        <v/>
      </c>
      <c r="AD667" s="34">
        <f>IF(OR($A667="",$H667&lt;&gt;"Ausgabe",P667=""),0,IF(P667="x",-$E667/(COUNTIF($J667:$Q667,"x")+1),-$E667*N(P667)))</f>
        <v/>
      </c>
      <c r="AE667" s="34">
        <f>IF(OR($A667="",$H667&lt;&gt;"Ausgabe",Q667=""),0,IF(Q667="x",-$E667/(COUNTIF($J667:$Q667,"x")+1),-$E667*N(Q667)))</f>
        <v/>
      </c>
    </row>
    <row r="668">
      <c r="A668" s="30" t="n"/>
      <c r="E668" s="31" t="n"/>
      <c r="J668" s="32" t="n"/>
      <c r="K668" s="32" t="n"/>
      <c r="L668" s="32" t="n"/>
      <c r="M668" s="32" t="n"/>
      <c r="N668" s="32" t="n"/>
      <c r="O668" s="32" t="n"/>
      <c r="P668" s="32" t="n"/>
      <c r="Q668" s="32" t="n"/>
      <c r="U668" s="31">
        <f>IF($A668="","",SUM(X668:AE668))</f>
        <v/>
      </c>
      <c r="V668" s="31">
        <f>IF($A668="","",IF($H668&lt;&gt;"Ausgabe",0,-$E668-$U668))</f>
        <v/>
      </c>
      <c r="W668" s="33">
        <f>IF($A668="","",DATE(YEAR($A668),MONTH($A668),1))</f>
        <v/>
      </c>
      <c r="X668" s="34">
        <f>IF(OR($A668="",$H668&lt;&gt;"Ausgabe",J668=""),0,IF(J668="x",-$E668/(COUNTIF($J668:$Q668,"x")+1),-$E668*N(J668)))</f>
        <v/>
      </c>
      <c r="Y668" s="34">
        <f>IF(OR($A668="",$H668&lt;&gt;"Ausgabe",K668=""),0,IF(K668="x",-$E668/(COUNTIF($J668:$Q668,"x")+1),-$E668*N(K668)))</f>
        <v/>
      </c>
      <c r="Z668" s="34">
        <f>IF(OR($A668="",$H668&lt;&gt;"Ausgabe",L668=""),0,IF(L668="x",-$E668/(COUNTIF($J668:$Q668,"x")+1),-$E668*N(L668)))</f>
        <v/>
      </c>
      <c r="AA668" s="34">
        <f>IF(OR($A668="",$H668&lt;&gt;"Ausgabe",M668=""),0,IF(M668="x",-$E668/(COUNTIF($J668:$Q668,"x")+1),-$E668*N(M668)))</f>
        <v/>
      </c>
      <c r="AB668" s="34">
        <f>IF(OR($A668="",$H668&lt;&gt;"Ausgabe",N668=""),0,IF(N668="x",-$E668/(COUNTIF($J668:$Q668,"x")+1),-$E668*N(N668)))</f>
        <v/>
      </c>
      <c r="AC668" s="34">
        <f>IF(OR($A668="",$H668&lt;&gt;"Ausgabe",O668=""),0,IF(O668="x",-$E668/(COUNTIF($J668:$Q668,"x")+1),-$E668*N(O668)))</f>
        <v/>
      </c>
      <c r="AD668" s="34">
        <f>IF(OR($A668="",$H668&lt;&gt;"Ausgabe",P668=""),0,IF(P668="x",-$E668/(COUNTIF($J668:$Q668,"x")+1),-$E668*N(P668)))</f>
        <v/>
      </c>
      <c r="AE668" s="34">
        <f>IF(OR($A668="",$H668&lt;&gt;"Ausgabe",Q668=""),0,IF(Q668="x",-$E668/(COUNTIF($J668:$Q668,"x")+1),-$E668*N(Q668)))</f>
        <v/>
      </c>
    </row>
    <row r="669">
      <c r="A669" s="30" t="n"/>
      <c r="E669" s="31" t="n"/>
      <c r="J669" s="32" t="n"/>
      <c r="K669" s="32" t="n"/>
      <c r="L669" s="32" t="n"/>
      <c r="M669" s="32" t="n"/>
      <c r="N669" s="32" t="n"/>
      <c r="O669" s="32" t="n"/>
      <c r="P669" s="32" t="n"/>
      <c r="Q669" s="32" t="n"/>
      <c r="U669" s="31">
        <f>IF($A669="","",SUM(X669:AE669))</f>
        <v/>
      </c>
      <c r="V669" s="31">
        <f>IF($A669="","",IF($H669&lt;&gt;"Ausgabe",0,-$E669-$U669))</f>
        <v/>
      </c>
      <c r="W669" s="33">
        <f>IF($A669="","",DATE(YEAR($A669),MONTH($A669),1))</f>
        <v/>
      </c>
      <c r="X669" s="34">
        <f>IF(OR($A669="",$H669&lt;&gt;"Ausgabe",J669=""),0,IF(J669="x",-$E669/(COUNTIF($J669:$Q669,"x")+1),-$E669*N(J669)))</f>
        <v/>
      </c>
      <c r="Y669" s="34">
        <f>IF(OR($A669="",$H669&lt;&gt;"Ausgabe",K669=""),0,IF(K669="x",-$E669/(COUNTIF($J669:$Q669,"x")+1),-$E669*N(K669)))</f>
        <v/>
      </c>
      <c r="Z669" s="34">
        <f>IF(OR($A669="",$H669&lt;&gt;"Ausgabe",L669=""),0,IF(L669="x",-$E669/(COUNTIF($J669:$Q669,"x")+1),-$E669*N(L669)))</f>
        <v/>
      </c>
      <c r="AA669" s="34">
        <f>IF(OR($A669="",$H669&lt;&gt;"Ausgabe",M669=""),0,IF(M669="x",-$E669/(COUNTIF($J669:$Q669,"x")+1),-$E669*N(M669)))</f>
        <v/>
      </c>
      <c r="AB669" s="34">
        <f>IF(OR($A669="",$H669&lt;&gt;"Ausgabe",N669=""),0,IF(N669="x",-$E669/(COUNTIF($J669:$Q669,"x")+1),-$E669*N(N669)))</f>
        <v/>
      </c>
      <c r="AC669" s="34">
        <f>IF(OR($A669="",$H669&lt;&gt;"Ausgabe",O669=""),0,IF(O669="x",-$E669/(COUNTIF($J669:$Q669,"x")+1),-$E669*N(O669)))</f>
        <v/>
      </c>
      <c r="AD669" s="34">
        <f>IF(OR($A669="",$H669&lt;&gt;"Ausgabe",P669=""),0,IF(P669="x",-$E669/(COUNTIF($J669:$Q669,"x")+1),-$E669*N(P669)))</f>
        <v/>
      </c>
      <c r="AE669" s="34">
        <f>IF(OR($A669="",$H669&lt;&gt;"Ausgabe",Q669=""),0,IF(Q669="x",-$E669/(COUNTIF($J669:$Q669,"x")+1),-$E669*N(Q669)))</f>
        <v/>
      </c>
    </row>
    <row r="670">
      <c r="A670" s="30" t="n"/>
      <c r="E670" s="31" t="n"/>
      <c r="J670" s="32" t="n"/>
      <c r="K670" s="32" t="n"/>
      <c r="L670" s="32" t="n"/>
      <c r="M670" s="32" t="n"/>
      <c r="N670" s="32" t="n"/>
      <c r="O670" s="32" t="n"/>
      <c r="P670" s="32" t="n"/>
      <c r="Q670" s="32" t="n"/>
      <c r="U670" s="31">
        <f>IF($A670="","",SUM(X670:AE670))</f>
        <v/>
      </c>
      <c r="V670" s="31">
        <f>IF($A670="","",IF($H670&lt;&gt;"Ausgabe",0,-$E670-$U670))</f>
        <v/>
      </c>
      <c r="W670" s="33">
        <f>IF($A670="","",DATE(YEAR($A670),MONTH($A670),1))</f>
        <v/>
      </c>
      <c r="X670" s="34">
        <f>IF(OR($A670="",$H670&lt;&gt;"Ausgabe",J670=""),0,IF(J670="x",-$E670/(COUNTIF($J670:$Q670,"x")+1),-$E670*N(J670)))</f>
        <v/>
      </c>
      <c r="Y670" s="34">
        <f>IF(OR($A670="",$H670&lt;&gt;"Ausgabe",K670=""),0,IF(K670="x",-$E670/(COUNTIF($J670:$Q670,"x")+1),-$E670*N(K670)))</f>
        <v/>
      </c>
      <c r="Z670" s="34">
        <f>IF(OR($A670="",$H670&lt;&gt;"Ausgabe",L670=""),0,IF(L670="x",-$E670/(COUNTIF($J670:$Q670,"x")+1),-$E670*N(L670)))</f>
        <v/>
      </c>
      <c r="AA670" s="34">
        <f>IF(OR($A670="",$H670&lt;&gt;"Ausgabe",M670=""),0,IF(M670="x",-$E670/(COUNTIF($J670:$Q670,"x")+1),-$E670*N(M670)))</f>
        <v/>
      </c>
      <c r="AB670" s="34">
        <f>IF(OR($A670="",$H670&lt;&gt;"Ausgabe",N670=""),0,IF(N670="x",-$E670/(COUNTIF($J670:$Q670,"x")+1),-$E670*N(N670)))</f>
        <v/>
      </c>
      <c r="AC670" s="34">
        <f>IF(OR($A670="",$H670&lt;&gt;"Ausgabe",O670=""),0,IF(O670="x",-$E670/(COUNTIF($J670:$Q670,"x")+1),-$E670*N(O670)))</f>
        <v/>
      </c>
      <c r="AD670" s="34">
        <f>IF(OR($A670="",$H670&lt;&gt;"Ausgabe",P670=""),0,IF(P670="x",-$E670/(COUNTIF($J670:$Q670,"x")+1),-$E670*N(P670)))</f>
        <v/>
      </c>
      <c r="AE670" s="34">
        <f>IF(OR($A670="",$H670&lt;&gt;"Ausgabe",Q670=""),0,IF(Q670="x",-$E670/(COUNTIF($J670:$Q670,"x")+1),-$E670*N(Q670)))</f>
        <v/>
      </c>
    </row>
    <row r="671">
      <c r="A671" s="30" t="n"/>
      <c r="E671" s="31" t="n"/>
      <c r="J671" s="32" t="n"/>
      <c r="K671" s="32" t="n"/>
      <c r="L671" s="32" t="n"/>
      <c r="M671" s="32" t="n"/>
      <c r="N671" s="32" t="n"/>
      <c r="O671" s="32" t="n"/>
      <c r="P671" s="32" t="n"/>
      <c r="Q671" s="32" t="n"/>
      <c r="U671" s="31">
        <f>IF($A671="","",SUM(X671:AE671))</f>
        <v/>
      </c>
      <c r="V671" s="31">
        <f>IF($A671="","",IF($H671&lt;&gt;"Ausgabe",0,-$E671-$U671))</f>
        <v/>
      </c>
      <c r="W671" s="33">
        <f>IF($A671="","",DATE(YEAR($A671),MONTH($A671),1))</f>
        <v/>
      </c>
      <c r="X671" s="34">
        <f>IF(OR($A671="",$H671&lt;&gt;"Ausgabe",J671=""),0,IF(J671="x",-$E671/(COUNTIF($J671:$Q671,"x")+1),-$E671*N(J671)))</f>
        <v/>
      </c>
      <c r="Y671" s="34">
        <f>IF(OR($A671="",$H671&lt;&gt;"Ausgabe",K671=""),0,IF(K671="x",-$E671/(COUNTIF($J671:$Q671,"x")+1),-$E671*N(K671)))</f>
        <v/>
      </c>
      <c r="Z671" s="34">
        <f>IF(OR($A671="",$H671&lt;&gt;"Ausgabe",L671=""),0,IF(L671="x",-$E671/(COUNTIF($J671:$Q671,"x")+1),-$E671*N(L671)))</f>
        <v/>
      </c>
      <c r="AA671" s="34">
        <f>IF(OR($A671="",$H671&lt;&gt;"Ausgabe",M671=""),0,IF(M671="x",-$E671/(COUNTIF($J671:$Q671,"x")+1),-$E671*N(M671)))</f>
        <v/>
      </c>
      <c r="AB671" s="34">
        <f>IF(OR($A671="",$H671&lt;&gt;"Ausgabe",N671=""),0,IF(N671="x",-$E671/(COUNTIF($J671:$Q671,"x")+1),-$E671*N(N671)))</f>
        <v/>
      </c>
      <c r="AC671" s="34">
        <f>IF(OR($A671="",$H671&lt;&gt;"Ausgabe",O671=""),0,IF(O671="x",-$E671/(COUNTIF($J671:$Q671,"x")+1),-$E671*N(O671)))</f>
        <v/>
      </c>
      <c r="AD671" s="34">
        <f>IF(OR($A671="",$H671&lt;&gt;"Ausgabe",P671=""),0,IF(P671="x",-$E671/(COUNTIF($J671:$Q671,"x")+1),-$E671*N(P671)))</f>
        <v/>
      </c>
      <c r="AE671" s="34">
        <f>IF(OR($A671="",$H671&lt;&gt;"Ausgabe",Q671=""),0,IF(Q671="x",-$E671/(COUNTIF($J671:$Q671,"x")+1),-$E671*N(Q671)))</f>
        <v/>
      </c>
    </row>
    <row r="672">
      <c r="A672" s="30" t="n"/>
      <c r="E672" s="31" t="n"/>
      <c r="J672" s="32" t="n"/>
      <c r="K672" s="32" t="n"/>
      <c r="L672" s="32" t="n"/>
      <c r="M672" s="32" t="n"/>
      <c r="N672" s="32" t="n"/>
      <c r="O672" s="32" t="n"/>
      <c r="P672" s="32" t="n"/>
      <c r="Q672" s="32" t="n"/>
      <c r="U672" s="31">
        <f>IF($A672="","",SUM(X672:AE672))</f>
        <v/>
      </c>
      <c r="V672" s="31">
        <f>IF($A672="","",IF($H672&lt;&gt;"Ausgabe",0,-$E672-$U672))</f>
        <v/>
      </c>
      <c r="W672" s="33">
        <f>IF($A672="","",DATE(YEAR($A672),MONTH($A672),1))</f>
        <v/>
      </c>
      <c r="X672" s="34">
        <f>IF(OR($A672="",$H672&lt;&gt;"Ausgabe",J672=""),0,IF(J672="x",-$E672/(COUNTIF($J672:$Q672,"x")+1),-$E672*N(J672)))</f>
        <v/>
      </c>
      <c r="Y672" s="34">
        <f>IF(OR($A672="",$H672&lt;&gt;"Ausgabe",K672=""),0,IF(K672="x",-$E672/(COUNTIF($J672:$Q672,"x")+1),-$E672*N(K672)))</f>
        <v/>
      </c>
      <c r="Z672" s="34">
        <f>IF(OR($A672="",$H672&lt;&gt;"Ausgabe",L672=""),0,IF(L672="x",-$E672/(COUNTIF($J672:$Q672,"x")+1),-$E672*N(L672)))</f>
        <v/>
      </c>
      <c r="AA672" s="34">
        <f>IF(OR($A672="",$H672&lt;&gt;"Ausgabe",M672=""),0,IF(M672="x",-$E672/(COUNTIF($J672:$Q672,"x")+1),-$E672*N(M672)))</f>
        <v/>
      </c>
      <c r="AB672" s="34">
        <f>IF(OR($A672="",$H672&lt;&gt;"Ausgabe",N672=""),0,IF(N672="x",-$E672/(COUNTIF($J672:$Q672,"x")+1),-$E672*N(N672)))</f>
        <v/>
      </c>
      <c r="AC672" s="34">
        <f>IF(OR($A672="",$H672&lt;&gt;"Ausgabe",O672=""),0,IF(O672="x",-$E672/(COUNTIF($J672:$Q672,"x")+1),-$E672*N(O672)))</f>
        <v/>
      </c>
      <c r="AD672" s="34">
        <f>IF(OR($A672="",$H672&lt;&gt;"Ausgabe",P672=""),0,IF(P672="x",-$E672/(COUNTIF($J672:$Q672,"x")+1),-$E672*N(P672)))</f>
        <v/>
      </c>
      <c r="AE672" s="34">
        <f>IF(OR($A672="",$H672&lt;&gt;"Ausgabe",Q672=""),0,IF(Q672="x",-$E672/(COUNTIF($J672:$Q672,"x")+1),-$E672*N(Q672)))</f>
        <v/>
      </c>
    </row>
    <row r="673">
      <c r="A673" s="30" t="n"/>
      <c r="E673" s="31" t="n"/>
      <c r="J673" s="32" t="n"/>
      <c r="K673" s="32" t="n"/>
      <c r="L673" s="32" t="n"/>
      <c r="M673" s="32" t="n"/>
      <c r="N673" s="32" t="n"/>
      <c r="O673" s="32" t="n"/>
      <c r="P673" s="32" t="n"/>
      <c r="Q673" s="32" t="n"/>
      <c r="U673" s="31">
        <f>IF($A673="","",SUM(X673:AE673))</f>
        <v/>
      </c>
      <c r="V673" s="31">
        <f>IF($A673="","",IF($H673&lt;&gt;"Ausgabe",0,-$E673-$U673))</f>
        <v/>
      </c>
      <c r="W673" s="33">
        <f>IF($A673="","",DATE(YEAR($A673),MONTH($A673),1))</f>
        <v/>
      </c>
      <c r="X673" s="34">
        <f>IF(OR($A673="",$H673&lt;&gt;"Ausgabe",J673=""),0,IF(J673="x",-$E673/(COUNTIF($J673:$Q673,"x")+1),-$E673*N(J673)))</f>
        <v/>
      </c>
      <c r="Y673" s="34">
        <f>IF(OR($A673="",$H673&lt;&gt;"Ausgabe",K673=""),0,IF(K673="x",-$E673/(COUNTIF($J673:$Q673,"x")+1),-$E673*N(K673)))</f>
        <v/>
      </c>
      <c r="Z673" s="34">
        <f>IF(OR($A673="",$H673&lt;&gt;"Ausgabe",L673=""),0,IF(L673="x",-$E673/(COUNTIF($J673:$Q673,"x")+1),-$E673*N(L673)))</f>
        <v/>
      </c>
      <c r="AA673" s="34">
        <f>IF(OR($A673="",$H673&lt;&gt;"Ausgabe",M673=""),0,IF(M673="x",-$E673/(COUNTIF($J673:$Q673,"x")+1),-$E673*N(M673)))</f>
        <v/>
      </c>
      <c r="AB673" s="34">
        <f>IF(OR($A673="",$H673&lt;&gt;"Ausgabe",N673=""),0,IF(N673="x",-$E673/(COUNTIF($J673:$Q673,"x")+1),-$E673*N(N673)))</f>
        <v/>
      </c>
      <c r="AC673" s="34">
        <f>IF(OR($A673="",$H673&lt;&gt;"Ausgabe",O673=""),0,IF(O673="x",-$E673/(COUNTIF($J673:$Q673,"x")+1),-$E673*N(O673)))</f>
        <v/>
      </c>
      <c r="AD673" s="34">
        <f>IF(OR($A673="",$H673&lt;&gt;"Ausgabe",P673=""),0,IF(P673="x",-$E673/(COUNTIF($J673:$Q673,"x")+1),-$E673*N(P673)))</f>
        <v/>
      </c>
      <c r="AE673" s="34">
        <f>IF(OR($A673="",$H673&lt;&gt;"Ausgabe",Q673=""),0,IF(Q673="x",-$E673/(COUNTIF($J673:$Q673,"x")+1),-$E673*N(Q673)))</f>
        <v/>
      </c>
    </row>
    <row r="674">
      <c r="A674" s="30" t="n"/>
      <c r="E674" s="31" t="n"/>
      <c r="J674" s="32" t="n"/>
      <c r="K674" s="32" t="n"/>
      <c r="L674" s="32" t="n"/>
      <c r="M674" s="32" t="n"/>
      <c r="N674" s="32" t="n"/>
      <c r="O674" s="32" t="n"/>
      <c r="P674" s="32" t="n"/>
      <c r="Q674" s="32" t="n"/>
      <c r="U674" s="31">
        <f>IF($A674="","",SUM(X674:AE674))</f>
        <v/>
      </c>
      <c r="V674" s="31">
        <f>IF($A674="","",IF($H674&lt;&gt;"Ausgabe",0,-$E674-$U674))</f>
        <v/>
      </c>
      <c r="W674" s="33">
        <f>IF($A674="","",DATE(YEAR($A674),MONTH($A674),1))</f>
        <v/>
      </c>
      <c r="X674" s="34">
        <f>IF(OR($A674="",$H674&lt;&gt;"Ausgabe",J674=""),0,IF(J674="x",-$E674/(COUNTIF($J674:$Q674,"x")+1),-$E674*N(J674)))</f>
        <v/>
      </c>
      <c r="Y674" s="34">
        <f>IF(OR($A674="",$H674&lt;&gt;"Ausgabe",K674=""),0,IF(K674="x",-$E674/(COUNTIF($J674:$Q674,"x")+1),-$E674*N(K674)))</f>
        <v/>
      </c>
      <c r="Z674" s="34">
        <f>IF(OR($A674="",$H674&lt;&gt;"Ausgabe",L674=""),0,IF(L674="x",-$E674/(COUNTIF($J674:$Q674,"x")+1),-$E674*N(L674)))</f>
        <v/>
      </c>
      <c r="AA674" s="34">
        <f>IF(OR($A674="",$H674&lt;&gt;"Ausgabe",M674=""),0,IF(M674="x",-$E674/(COUNTIF($J674:$Q674,"x")+1),-$E674*N(M674)))</f>
        <v/>
      </c>
      <c r="AB674" s="34">
        <f>IF(OR($A674="",$H674&lt;&gt;"Ausgabe",N674=""),0,IF(N674="x",-$E674/(COUNTIF($J674:$Q674,"x")+1),-$E674*N(N674)))</f>
        <v/>
      </c>
      <c r="AC674" s="34">
        <f>IF(OR($A674="",$H674&lt;&gt;"Ausgabe",O674=""),0,IF(O674="x",-$E674/(COUNTIF($J674:$Q674,"x")+1),-$E674*N(O674)))</f>
        <v/>
      </c>
      <c r="AD674" s="34">
        <f>IF(OR($A674="",$H674&lt;&gt;"Ausgabe",P674=""),0,IF(P674="x",-$E674/(COUNTIF($J674:$Q674,"x")+1),-$E674*N(P674)))</f>
        <v/>
      </c>
      <c r="AE674" s="34">
        <f>IF(OR($A674="",$H674&lt;&gt;"Ausgabe",Q674=""),0,IF(Q674="x",-$E674/(COUNTIF($J674:$Q674,"x")+1),-$E674*N(Q674)))</f>
        <v/>
      </c>
    </row>
    <row r="675">
      <c r="A675" s="30" t="n"/>
      <c r="E675" s="31" t="n"/>
      <c r="J675" s="32" t="n"/>
      <c r="K675" s="32" t="n"/>
      <c r="L675" s="32" t="n"/>
      <c r="M675" s="32" t="n"/>
      <c r="N675" s="32" t="n"/>
      <c r="O675" s="32" t="n"/>
      <c r="P675" s="32" t="n"/>
      <c r="Q675" s="32" t="n"/>
      <c r="U675" s="31">
        <f>IF($A675="","",SUM(X675:AE675))</f>
        <v/>
      </c>
      <c r="V675" s="31">
        <f>IF($A675="","",IF($H675&lt;&gt;"Ausgabe",0,-$E675-$U675))</f>
        <v/>
      </c>
      <c r="W675" s="33">
        <f>IF($A675="","",DATE(YEAR($A675),MONTH($A675),1))</f>
        <v/>
      </c>
      <c r="X675" s="34">
        <f>IF(OR($A675="",$H675&lt;&gt;"Ausgabe",J675=""),0,IF(J675="x",-$E675/(COUNTIF($J675:$Q675,"x")+1),-$E675*N(J675)))</f>
        <v/>
      </c>
      <c r="Y675" s="34">
        <f>IF(OR($A675="",$H675&lt;&gt;"Ausgabe",K675=""),0,IF(K675="x",-$E675/(COUNTIF($J675:$Q675,"x")+1),-$E675*N(K675)))</f>
        <v/>
      </c>
      <c r="Z675" s="34">
        <f>IF(OR($A675="",$H675&lt;&gt;"Ausgabe",L675=""),0,IF(L675="x",-$E675/(COUNTIF($J675:$Q675,"x")+1),-$E675*N(L675)))</f>
        <v/>
      </c>
      <c r="AA675" s="34">
        <f>IF(OR($A675="",$H675&lt;&gt;"Ausgabe",M675=""),0,IF(M675="x",-$E675/(COUNTIF($J675:$Q675,"x")+1),-$E675*N(M675)))</f>
        <v/>
      </c>
      <c r="AB675" s="34">
        <f>IF(OR($A675="",$H675&lt;&gt;"Ausgabe",N675=""),0,IF(N675="x",-$E675/(COUNTIF($J675:$Q675,"x")+1),-$E675*N(N675)))</f>
        <v/>
      </c>
      <c r="AC675" s="34">
        <f>IF(OR($A675="",$H675&lt;&gt;"Ausgabe",O675=""),0,IF(O675="x",-$E675/(COUNTIF($J675:$Q675,"x")+1),-$E675*N(O675)))</f>
        <v/>
      </c>
      <c r="AD675" s="34">
        <f>IF(OR($A675="",$H675&lt;&gt;"Ausgabe",P675=""),0,IF(P675="x",-$E675/(COUNTIF($J675:$Q675,"x")+1),-$E675*N(P675)))</f>
        <v/>
      </c>
      <c r="AE675" s="34">
        <f>IF(OR($A675="",$H675&lt;&gt;"Ausgabe",Q675=""),0,IF(Q675="x",-$E675/(COUNTIF($J675:$Q675,"x")+1),-$E675*N(Q675)))</f>
        <v/>
      </c>
    </row>
    <row r="676">
      <c r="A676" s="30" t="n"/>
      <c r="E676" s="31" t="n"/>
      <c r="J676" s="32" t="n"/>
      <c r="K676" s="32" t="n"/>
      <c r="L676" s="32" t="n"/>
      <c r="M676" s="32" t="n"/>
      <c r="N676" s="32" t="n"/>
      <c r="O676" s="32" t="n"/>
      <c r="P676" s="32" t="n"/>
      <c r="Q676" s="32" t="n"/>
      <c r="U676" s="31">
        <f>IF($A676="","",SUM(X676:AE676))</f>
        <v/>
      </c>
      <c r="V676" s="31">
        <f>IF($A676="","",IF($H676&lt;&gt;"Ausgabe",0,-$E676-$U676))</f>
        <v/>
      </c>
      <c r="W676" s="33">
        <f>IF($A676="","",DATE(YEAR($A676),MONTH($A676),1))</f>
        <v/>
      </c>
      <c r="X676" s="34">
        <f>IF(OR($A676="",$H676&lt;&gt;"Ausgabe",J676=""),0,IF(J676="x",-$E676/(COUNTIF($J676:$Q676,"x")+1),-$E676*N(J676)))</f>
        <v/>
      </c>
      <c r="Y676" s="34">
        <f>IF(OR($A676="",$H676&lt;&gt;"Ausgabe",K676=""),0,IF(K676="x",-$E676/(COUNTIF($J676:$Q676,"x")+1),-$E676*N(K676)))</f>
        <v/>
      </c>
      <c r="Z676" s="34">
        <f>IF(OR($A676="",$H676&lt;&gt;"Ausgabe",L676=""),0,IF(L676="x",-$E676/(COUNTIF($J676:$Q676,"x")+1),-$E676*N(L676)))</f>
        <v/>
      </c>
      <c r="AA676" s="34">
        <f>IF(OR($A676="",$H676&lt;&gt;"Ausgabe",M676=""),0,IF(M676="x",-$E676/(COUNTIF($J676:$Q676,"x")+1),-$E676*N(M676)))</f>
        <v/>
      </c>
      <c r="AB676" s="34">
        <f>IF(OR($A676="",$H676&lt;&gt;"Ausgabe",N676=""),0,IF(N676="x",-$E676/(COUNTIF($J676:$Q676,"x")+1),-$E676*N(N676)))</f>
        <v/>
      </c>
      <c r="AC676" s="34">
        <f>IF(OR($A676="",$H676&lt;&gt;"Ausgabe",O676=""),0,IF(O676="x",-$E676/(COUNTIF($J676:$Q676,"x")+1),-$E676*N(O676)))</f>
        <v/>
      </c>
      <c r="AD676" s="34">
        <f>IF(OR($A676="",$H676&lt;&gt;"Ausgabe",P676=""),0,IF(P676="x",-$E676/(COUNTIF($J676:$Q676,"x")+1),-$E676*N(P676)))</f>
        <v/>
      </c>
      <c r="AE676" s="34">
        <f>IF(OR($A676="",$H676&lt;&gt;"Ausgabe",Q676=""),0,IF(Q676="x",-$E676/(COUNTIF($J676:$Q676,"x")+1),-$E676*N(Q676)))</f>
        <v/>
      </c>
    </row>
    <row r="677">
      <c r="A677" s="30" t="n"/>
      <c r="E677" s="31" t="n"/>
      <c r="J677" s="32" t="n"/>
      <c r="K677" s="32" t="n"/>
      <c r="L677" s="32" t="n"/>
      <c r="M677" s="32" t="n"/>
      <c r="N677" s="32" t="n"/>
      <c r="O677" s="32" t="n"/>
      <c r="P677" s="32" t="n"/>
      <c r="Q677" s="32" t="n"/>
      <c r="U677" s="31">
        <f>IF($A677="","",SUM(X677:AE677))</f>
        <v/>
      </c>
      <c r="V677" s="31">
        <f>IF($A677="","",IF($H677&lt;&gt;"Ausgabe",0,-$E677-$U677))</f>
        <v/>
      </c>
      <c r="W677" s="33">
        <f>IF($A677="","",DATE(YEAR($A677),MONTH($A677),1))</f>
        <v/>
      </c>
      <c r="X677" s="34">
        <f>IF(OR($A677="",$H677&lt;&gt;"Ausgabe",J677=""),0,IF(J677="x",-$E677/(COUNTIF($J677:$Q677,"x")+1),-$E677*N(J677)))</f>
        <v/>
      </c>
      <c r="Y677" s="34">
        <f>IF(OR($A677="",$H677&lt;&gt;"Ausgabe",K677=""),0,IF(K677="x",-$E677/(COUNTIF($J677:$Q677,"x")+1),-$E677*N(K677)))</f>
        <v/>
      </c>
      <c r="Z677" s="34">
        <f>IF(OR($A677="",$H677&lt;&gt;"Ausgabe",L677=""),0,IF(L677="x",-$E677/(COUNTIF($J677:$Q677,"x")+1),-$E677*N(L677)))</f>
        <v/>
      </c>
      <c r="AA677" s="34">
        <f>IF(OR($A677="",$H677&lt;&gt;"Ausgabe",M677=""),0,IF(M677="x",-$E677/(COUNTIF($J677:$Q677,"x")+1),-$E677*N(M677)))</f>
        <v/>
      </c>
      <c r="AB677" s="34">
        <f>IF(OR($A677="",$H677&lt;&gt;"Ausgabe",N677=""),0,IF(N677="x",-$E677/(COUNTIF($J677:$Q677,"x")+1),-$E677*N(N677)))</f>
        <v/>
      </c>
      <c r="AC677" s="34">
        <f>IF(OR($A677="",$H677&lt;&gt;"Ausgabe",O677=""),0,IF(O677="x",-$E677/(COUNTIF($J677:$Q677,"x")+1),-$E677*N(O677)))</f>
        <v/>
      </c>
      <c r="AD677" s="34">
        <f>IF(OR($A677="",$H677&lt;&gt;"Ausgabe",P677=""),0,IF(P677="x",-$E677/(COUNTIF($J677:$Q677,"x")+1),-$E677*N(P677)))</f>
        <v/>
      </c>
      <c r="AE677" s="34">
        <f>IF(OR($A677="",$H677&lt;&gt;"Ausgabe",Q677=""),0,IF(Q677="x",-$E677/(COUNTIF($J677:$Q677,"x")+1),-$E677*N(Q677)))</f>
        <v/>
      </c>
    </row>
    <row r="678">
      <c r="A678" s="30" t="n"/>
      <c r="E678" s="31" t="n"/>
      <c r="J678" s="32" t="n"/>
      <c r="K678" s="32" t="n"/>
      <c r="L678" s="32" t="n"/>
      <c r="M678" s="32" t="n"/>
      <c r="N678" s="32" t="n"/>
      <c r="O678" s="32" t="n"/>
      <c r="P678" s="32" t="n"/>
      <c r="Q678" s="32" t="n"/>
      <c r="U678" s="31">
        <f>IF($A678="","",SUM(X678:AE678))</f>
        <v/>
      </c>
      <c r="V678" s="31">
        <f>IF($A678="","",IF($H678&lt;&gt;"Ausgabe",0,-$E678-$U678))</f>
        <v/>
      </c>
      <c r="W678" s="33">
        <f>IF($A678="","",DATE(YEAR($A678),MONTH($A678),1))</f>
        <v/>
      </c>
      <c r="X678" s="34">
        <f>IF(OR($A678="",$H678&lt;&gt;"Ausgabe",J678=""),0,IF(J678="x",-$E678/(COUNTIF($J678:$Q678,"x")+1),-$E678*N(J678)))</f>
        <v/>
      </c>
      <c r="Y678" s="34">
        <f>IF(OR($A678="",$H678&lt;&gt;"Ausgabe",K678=""),0,IF(K678="x",-$E678/(COUNTIF($J678:$Q678,"x")+1),-$E678*N(K678)))</f>
        <v/>
      </c>
      <c r="Z678" s="34">
        <f>IF(OR($A678="",$H678&lt;&gt;"Ausgabe",L678=""),0,IF(L678="x",-$E678/(COUNTIF($J678:$Q678,"x")+1),-$E678*N(L678)))</f>
        <v/>
      </c>
      <c r="AA678" s="34">
        <f>IF(OR($A678="",$H678&lt;&gt;"Ausgabe",M678=""),0,IF(M678="x",-$E678/(COUNTIF($J678:$Q678,"x")+1),-$E678*N(M678)))</f>
        <v/>
      </c>
      <c r="AB678" s="34">
        <f>IF(OR($A678="",$H678&lt;&gt;"Ausgabe",N678=""),0,IF(N678="x",-$E678/(COUNTIF($J678:$Q678,"x")+1),-$E678*N(N678)))</f>
        <v/>
      </c>
      <c r="AC678" s="34">
        <f>IF(OR($A678="",$H678&lt;&gt;"Ausgabe",O678=""),0,IF(O678="x",-$E678/(COUNTIF($J678:$Q678,"x")+1),-$E678*N(O678)))</f>
        <v/>
      </c>
      <c r="AD678" s="34">
        <f>IF(OR($A678="",$H678&lt;&gt;"Ausgabe",P678=""),0,IF(P678="x",-$E678/(COUNTIF($J678:$Q678,"x")+1),-$E678*N(P678)))</f>
        <v/>
      </c>
      <c r="AE678" s="34">
        <f>IF(OR($A678="",$H678&lt;&gt;"Ausgabe",Q678=""),0,IF(Q678="x",-$E678/(COUNTIF($J678:$Q678,"x")+1),-$E678*N(Q678)))</f>
        <v/>
      </c>
    </row>
    <row r="679">
      <c r="A679" s="30" t="n"/>
      <c r="E679" s="31" t="n"/>
      <c r="J679" s="32" t="n"/>
      <c r="K679" s="32" t="n"/>
      <c r="L679" s="32" t="n"/>
      <c r="M679" s="32" t="n"/>
      <c r="N679" s="32" t="n"/>
      <c r="O679" s="32" t="n"/>
      <c r="P679" s="32" t="n"/>
      <c r="Q679" s="32" t="n"/>
      <c r="U679" s="31">
        <f>IF($A679="","",SUM(X679:AE679))</f>
        <v/>
      </c>
      <c r="V679" s="31">
        <f>IF($A679="","",IF($H679&lt;&gt;"Ausgabe",0,-$E679-$U679))</f>
        <v/>
      </c>
      <c r="W679" s="33">
        <f>IF($A679="","",DATE(YEAR($A679),MONTH($A679),1))</f>
        <v/>
      </c>
      <c r="X679" s="34">
        <f>IF(OR($A679="",$H679&lt;&gt;"Ausgabe",J679=""),0,IF(J679="x",-$E679/(COUNTIF($J679:$Q679,"x")+1),-$E679*N(J679)))</f>
        <v/>
      </c>
      <c r="Y679" s="34">
        <f>IF(OR($A679="",$H679&lt;&gt;"Ausgabe",K679=""),0,IF(K679="x",-$E679/(COUNTIF($J679:$Q679,"x")+1),-$E679*N(K679)))</f>
        <v/>
      </c>
      <c r="Z679" s="34">
        <f>IF(OR($A679="",$H679&lt;&gt;"Ausgabe",L679=""),0,IF(L679="x",-$E679/(COUNTIF($J679:$Q679,"x")+1),-$E679*N(L679)))</f>
        <v/>
      </c>
      <c r="AA679" s="34">
        <f>IF(OR($A679="",$H679&lt;&gt;"Ausgabe",M679=""),0,IF(M679="x",-$E679/(COUNTIF($J679:$Q679,"x")+1),-$E679*N(M679)))</f>
        <v/>
      </c>
      <c r="AB679" s="34">
        <f>IF(OR($A679="",$H679&lt;&gt;"Ausgabe",N679=""),0,IF(N679="x",-$E679/(COUNTIF($J679:$Q679,"x")+1),-$E679*N(N679)))</f>
        <v/>
      </c>
      <c r="AC679" s="34">
        <f>IF(OR($A679="",$H679&lt;&gt;"Ausgabe",O679=""),0,IF(O679="x",-$E679/(COUNTIF($J679:$Q679,"x")+1),-$E679*N(O679)))</f>
        <v/>
      </c>
      <c r="AD679" s="34">
        <f>IF(OR($A679="",$H679&lt;&gt;"Ausgabe",P679=""),0,IF(P679="x",-$E679/(COUNTIF($J679:$Q679,"x")+1),-$E679*N(P679)))</f>
        <v/>
      </c>
      <c r="AE679" s="34">
        <f>IF(OR($A679="",$H679&lt;&gt;"Ausgabe",Q679=""),0,IF(Q679="x",-$E679/(COUNTIF($J679:$Q679,"x")+1),-$E679*N(Q679)))</f>
        <v/>
      </c>
    </row>
    <row r="680">
      <c r="A680" s="30" t="n"/>
      <c r="E680" s="31" t="n"/>
      <c r="J680" s="32" t="n"/>
      <c r="K680" s="32" t="n"/>
      <c r="L680" s="32" t="n"/>
      <c r="M680" s="32" t="n"/>
      <c r="N680" s="32" t="n"/>
      <c r="O680" s="32" t="n"/>
      <c r="P680" s="32" t="n"/>
      <c r="Q680" s="32" t="n"/>
      <c r="U680" s="31">
        <f>IF($A680="","",SUM(X680:AE680))</f>
        <v/>
      </c>
      <c r="V680" s="31">
        <f>IF($A680="","",IF($H680&lt;&gt;"Ausgabe",0,-$E680-$U680))</f>
        <v/>
      </c>
      <c r="W680" s="33">
        <f>IF($A680="","",DATE(YEAR($A680),MONTH($A680),1))</f>
        <v/>
      </c>
      <c r="X680" s="34">
        <f>IF(OR($A680="",$H680&lt;&gt;"Ausgabe",J680=""),0,IF(J680="x",-$E680/(COUNTIF($J680:$Q680,"x")+1),-$E680*N(J680)))</f>
        <v/>
      </c>
      <c r="Y680" s="34">
        <f>IF(OR($A680="",$H680&lt;&gt;"Ausgabe",K680=""),0,IF(K680="x",-$E680/(COUNTIF($J680:$Q680,"x")+1),-$E680*N(K680)))</f>
        <v/>
      </c>
      <c r="Z680" s="34">
        <f>IF(OR($A680="",$H680&lt;&gt;"Ausgabe",L680=""),0,IF(L680="x",-$E680/(COUNTIF($J680:$Q680,"x")+1),-$E680*N(L680)))</f>
        <v/>
      </c>
      <c r="AA680" s="34">
        <f>IF(OR($A680="",$H680&lt;&gt;"Ausgabe",M680=""),0,IF(M680="x",-$E680/(COUNTIF($J680:$Q680,"x")+1),-$E680*N(M680)))</f>
        <v/>
      </c>
      <c r="AB680" s="34">
        <f>IF(OR($A680="",$H680&lt;&gt;"Ausgabe",N680=""),0,IF(N680="x",-$E680/(COUNTIF($J680:$Q680,"x")+1),-$E680*N(N680)))</f>
        <v/>
      </c>
      <c r="AC680" s="34">
        <f>IF(OR($A680="",$H680&lt;&gt;"Ausgabe",O680=""),0,IF(O680="x",-$E680/(COUNTIF($J680:$Q680,"x")+1),-$E680*N(O680)))</f>
        <v/>
      </c>
      <c r="AD680" s="34">
        <f>IF(OR($A680="",$H680&lt;&gt;"Ausgabe",P680=""),0,IF(P680="x",-$E680/(COUNTIF($J680:$Q680,"x")+1),-$E680*N(P680)))</f>
        <v/>
      </c>
      <c r="AE680" s="34">
        <f>IF(OR($A680="",$H680&lt;&gt;"Ausgabe",Q680=""),0,IF(Q680="x",-$E680/(COUNTIF($J680:$Q680,"x")+1),-$E680*N(Q680)))</f>
        <v/>
      </c>
    </row>
    <row r="681">
      <c r="A681" s="30" t="n"/>
      <c r="E681" s="31" t="n"/>
      <c r="J681" s="32" t="n"/>
      <c r="K681" s="32" t="n"/>
      <c r="L681" s="32" t="n"/>
      <c r="M681" s="32" t="n"/>
      <c r="N681" s="32" t="n"/>
      <c r="O681" s="32" t="n"/>
      <c r="P681" s="32" t="n"/>
      <c r="Q681" s="32" t="n"/>
      <c r="U681" s="31">
        <f>IF($A681="","",SUM(X681:AE681))</f>
        <v/>
      </c>
      <c r="V681" s="31">
        <f>IF($A681="","",IF($H681&lt;&gt;"Ausgabe",0,-$E681-$U681))</f>
        <v/>
      </c>
      <c r="W681" s="33">
        <f>IF($A681="","",DATE(YEAR($A681),MONTH($A681),1))</f>
        <v/>
      </c>
      <c r="X681" s="34">
        <f>IF(OR($A681="",$H681&lt;&gt;"Ausgabe",J681=""),0,IF(J681="x",-$E681/(COUNTIF($J681:$Q681,"x")+1),-$E681*N(J681)))</f>
        <v/>
      </c>
      <c r="Y681" s="34">
        <f>IF(OR($A681="",$H681&lt;&gt;"Ausgabe",K681=""),0,IF(K681="x",-$E681/(COUNTIF($J681:$Q681,"x")+1),-$E681*N(K681)))</f>
        <v/>
      </c>
      <c r="Z681" s="34">
        <f>IF(OR($A681="",$H681&lt;&gt;"Ausgabe",L681=""),0,IF(L681="x",-$E681/(COUNTIF($J681:$Q681,"x")+1),-$E681*N(L681)))</f>
        <v/>
      </c>
      <c r="AA681" s="34">
        <f>IF(OR($A681="",$H681&lt;&gt;"Ausgabe",M681=""),0,IF(M681="x",-$E681/(COUNTIF($J681:$Q681,"x")+1),-$E681*N(M681)))</f>
        <v/>
      </c>
      <c r="AB681" s="34">
        <f>IF(OR($A681="",$H681&lt;&gt;"Ausgabe",N681=""),0,IF(N681="x",-$E681/(COUNTIF($J681:$Q681,"x")+1),-$E681*N(N681)))</f>
        <v/>
      </c>
      <c r="AC681" s="34">
        <f>IF(OR($A681="",$H681&lt;&gt;"Ausgabe",O681=""),0,IF(O681="x",-$E681/(COUNTIF($J681:$Q681,"x")+1),-$E681*N(O681)))</f>
        <v/>
      </c>
      <c r="AD681" s="34">
        <f>IF(OR($A681="",$H681&lt;&gt;"Ausgabe",P681=""),0,IF(P681="x",-$E681/(COUNTIF($J681:$Q681,"x")+1),-$E681*N(P681)))</f>
        <v/>
      </c>
      <c r="AE681" s="34">
        <f>IF(OR($A681="",$H681&lt;&gt;"Ausgabe",Q681=""),0,IF(Q681="x",-$E681/(COUNTIF($J681:$Q681,"x")+1),-$E681*N(Q681)))</f>
        <v/>
      </c>
    </row>
    <row r="682">
      <c r="A682" s="30" t="n"/>
      <c r="E682" s="31" t="n"/>
      <c r="J682" s="32" t="n"/>
      <c r="K682" s="32" t="n"/>
      <c r="L682" s="32" t="n"/>
      <c r="M682" s="32" t="n"/>
      <c r="N682" s="32" t="n"/>
      <c r="O682" s="32" t="n"/>
      <c r="P682" s="32" t="n"/>
      <c r="Q682" s="32" t="n"/>
      <c r="U682" s="31">
        <f>IF($A682="","",SUM(X682:AE682))</f>
        <v/>
      </c>
      <c r="V682" s="31">
        <f>IF($A682="","",IF($H682&lt;&gt;"Ausgabe",0,-$E682-$U682))</f>
        <v/>
      </c>
      <c r="W682" s="33">
        <f>IF($A682="","",DATE(YEAR($A682),MONTH($A682),1))</f>
        <v/>
      </c>
      <c r="X682" s="34">
        <f>IF(OR($A682="",$H682&lt;&gt;"Ausgabe",J682=""),0,IF(J682="x",-$E682/(COUNTIF($J682:$Q682,"x")+1),-$E682*N(J682)))</f>
        <v/>
      </c>
      <c r="Y682" s="34">
        <f>IF(OR($A682="",$H682&lt;&gt;"Ausgabe",K682=""),0,IF(K682="x",-$E682/(COUNTIF($J682:$Q682,"x")+1),-$E682*N(K682)))</f>
        <v/>
      </c>
      <c r="Z682" s="34">
        <f>IF(OR($A682="",$H682&lt;&gt;"Ausgabe",L682=""),0,IF(L682="x",-$E682/(COUNTIF($J682:$Q682,"x")+1),-$E682*N(L682)))</f>
        <v/>
      </c>
      <c r="AA682" s="34">
        <f>IF(OR($A682="",$H682&lt;&gt;"Ausgabe",M682=""),0,IF(M682="x",-$E682/(COUNTIF($J682:$Q682,"x")+1),-$E682*N(M682)))</f>
        <v/>
      </c>
      <c r="AB682" s="34">
        <f>IF(OR($A682="",$H682&lt;&gt;"Ausgabe",N682=""),0,IF(N682="x",-$E682/(COUNTIF($J682:$Q682,"x")+1),-$E682*N(N682)))</f>
        <v/>
      </c>
      <c r="AC682" s="34">
        <f>IF(OR($A682="",$H682&lt;&gt;"Ausgabe",O682=""),0,IF(O682="x",-$E682/(COUNTIF($J682:$Q682,"x")+1),-$E682*N(O682)))</f>
        <v/>
      </c>
      <c r="AD682" s="34">
        <f>IF(OR($A682="",$H682&lt;&gt;"Ausgabe",P682=""),0,IF(P682="x",-$E682/(COUNTIF($J682:$Q682,"x")+1),-$E682*N(P682)))</f>
        <v/>
      </c>
      <c r="AE682" s="34">
        <f>IF(OR($A682="",$H682&lt;&gt;"Ausgabe",Q682=""),0,IF(Q682="x",-$E682/(COUNTIF($J682:$Q682,"x")+1),-$E682*N(Q682)))</f>
        <v/>
      </c>
    </row>
    <row r="683">
      <c r="A683" s="30" t="n"/>
      <c r="E683" s="31" t="n"/>
      <c r="J683" s="32" t="n"/>
      <c r="K683" s="32" t="n"/>
      <c r="L683" s="32" t="n"/>
      <c r="M683" s="32" t="n"/>
      <c r="N683" s="32" t="n"/>
      <c r="O683" s="32" t="n"/>
      <c r="P683" s="32" t="n"/>
      <c r="Q683" s="32" t="n"/>
      <c r="U683" s="31">
        <f>IF($A683="","",SUM(X683:AE683))</f>
        <v/>
      </c>
      <c r="V683" s="31">
        <f>IF($A683="","",IF($H683&lt;&gt;"Ausgabe",0,-$E683-$U683))</f>
        <v/>
      </c>
      <c r="W683" s="33">
        <f>IF($A683="","",DATE(YEAR($A683),MONTH($A683),1))</f>
        <v/>
      </c>
      <c r="X683" s="34">
        <f>IF(OR($A683="",$H683&lt;&gt;"Ausgabe",J683=""),0,IF(J683="x",-$E683/(COUNTIF($J683:$Q683,"x")+1),-$E683*N(J683)))</f>
        <v/>
      </c>
      <c r="Y683" s="34">
        <f>IF(OR($A683="",$H683&lt;&gt;"Ausgabe",K683=""),0,IF(K683="x",-$E683/(COUNTIF($J683:$Q683,"x")+1),-$E683*N(K683)))</f>
        <v/>
      </c>
      <c r="Z683" s="34">
        <f>IF(OR($A683="",$H683&lt;&gt;"Ausgabe",L683=""),0,IF(L683="x",-$E683/(COUNTIF($J683:$Q683,"x")+1),-$E683*N(L683)))</f>
        <v/>
      </c>
      <c r="AA683" s="34">
        <f>IF(OR($A683="",$H683&lt;&gt;"Ausgabe",M683=""),0,IF(M683="x",-$E683/(COUNTIF($J683:$Q683,"x")+1),-$E683*N(M683)))</f>
        <v/>
      </c>
      <c r="AB683" s="34">
        <f>IF(OR($A683="",$H683&lt;&gt;"Ausgabe",N683=""),0,IF(N683="x",-$E683/(COUNTIF($J683:$Q683,"x")+1),-$E683*N(N683)))</f>
        <v/>
      </c>
      <c r="AC683" s="34">
        <f>IF(OR($A683="",$H683&lt;&gt;"Ausgabe",O683=""),0,IF(O683="x",-$E683/(COUNTIF($J683:$Q683,"x")+1),-$E683*N(O683)))</f>
        <v/>
      </c>
      <c r="AD683" s="34">
        <f>IF(OR($A683="",$H683&lt;&gt;"Ausgabe",P683=""),0,IF(P683="x",-$E683/(COUNTIF($J683:$Q683,"x")+1),-$E683*N(P683)))</f>
        <v/>
      </c>
      <c r="AE683" s="34">
        <f>IF(OR($A683="",$H683&lt;&gt;"Ausgabe",Q683=""),0,IF(Q683="x",-$E683/(COUNTIF($J683:$Q683,"x")+1),-$E683*N(Q683)))</f>
        <v/>
      </c>
    </row>
    <row r="684">
      <c r="A684" s="30" t="n"/>
      <c r="E684" s="31" t="n"/>
      <c r="J684" s="32" t="n"/>
      <c r="K684" s="32" t="n"/>
      <c r="L684" s="32" t="n"/>
      <c r="M684" s="32" t="n"/>
      <c r="N684" s="32" t="n"/>
      <c r="O684" s="32" t="n"/>
      <c r="P684" s="32" t="n"/>
      <c r="Q684" s="32" t="n"/>
      <c r="U684" s="31">
        <f>IF($A684="","",SUM(X684:AE684))</f>
        <v/>
      </c>
      <c r="V684" s="31">
        <f>IF($A684="","",IF($H684&lt;&gt;"Ausgabe",0,-$E684-$U684))</f>
        <v/>
      </c>
      <c r="W684" s="33">
        <f>IF($A684="","",DATE(YEAR($A684),MONTH($A684),1))</f>
        <v/>
      </c>
      <c r="X684" s="34">
        <f>IF(OR($A684="",$H684&lt;&gt;"Ausgabe",J684=""),0,IF(J684="x",-$E684/(COUNTIF($J684:$Q684,"x")+1),-$E684*N(J684)))</f>
        <v/>
      </c>
      <c r="Y684" s="34">
        <f>IF(OR($A684="",$H684&lt;&gt;"Ausgabe",K684=""),0,IF(K684="x",-$E684/(COUNTIF($J684:$Q684,"x")+1),-$E684*N(K684)))</f>
        <v/>
      </c>
      <c r="Z684" s="34">
        <f>IF(OR($A684="",$H684&lt;&gt;"Ausgabe",L684=""),0,IF(L684="x",-$E684/(COUNTIF($J684:$Q684,"x")+1),-$E684*N(L684)))</f>
        <v/>
      </c>
      <c r="AA684" s="34">
        <f>IF(OR($A684="",$H684&lt;&gt;"Ausgabe",M684=""),0,IF(M684="x",-$E684/(COUNTIF($J684:$Q684,"x")+1),-$E684*N(M684)))</f>
        <v/>
      </c>
      <c r="AB684" s="34">
        <f>IF(OR($A684="",$H684&lt;&gt;"Ausgabe",N684=""),0,IF(N684="x",-$E684/(COUNTIF($J684:$Q684,"x")+1),-$E684*N(N684)))</f>
        <v/>
      </c>
      <c r="AC684" s="34">
        <f>IF(OR($A684="",$H684&lt;&gt;"Ausgabe",O684=""),0,IF(O684="x",-$E684/(COUNTIF($J684:$Q684,"x")+1),-$E684*N(O684)))</f>
        <v/>
      </c>
      <c r="AD684" s="34">
        <f>IF(OR($A684="",$H684&lt;&gt;"Ausgabe",P684=""),0,IF(P684="x",-$E684/(COUNTIF($J684:$Q684,"x")+1),-$E684*N(P684)))</f>
        <v/>
      </c>
      <c r="AE684" s="34">
        <f>IF(OR($A684="",$H684&lt;&gt;"Ausgabe",Q684=""),0,IF(Q684="x",-$E684/(COUNTIF($J684:$Q684,"x")+1),-$E684*N(Q684)))</f>
        <v/>
      </c>
    </row>
    <row r="685">
      <c r="A685" s="30" t="n"/>
      <c r="E685" s="31" t="n"/>
      <c r="J685" s="32" t="n"/>
      <c r="K685" s="32" t="n"/>
      <c r="L685" s="32" t="n"/>
      <c r="M685" s="32" t="n"/>
      <c r="N685" s="32" t="n"/>
      <c r="O685" s="32" t="n"/>
      <c r="P685" s="32" t="n"/>
      <c r="Q685" s="32" t="n"/>
      <c r="U685" s="31">
        <f>IF($A685="","",SUM(X685:AE685))</f>
        <v/>
      </c>
      <c r="V685" s="31">
        <f>IF($A685="","",IF($H685&lt;&gt;"Ausgabe",0,-$E685-$U685))</f>
        <v/>
      </c>
      <c r="W685" s="33">
        <f>IF($A685="","",DATE(YEAR($A685),MONTH($A685),1))</f>
        <v/>
      </c>
      <c r="X685" s="34">
        <f>IF(OR($A685="",$H685&lt;&gt;"Ausgabe",J685=""),0,IF(J685="x",-$E685/(COUNTIF($J685:$Q685,"x")+1),-$E685*N(J685)))</f>
        <v/>
      </c>
      <c r="Y685" s="34">
        <f>IF(OR($A685="",$H685&lt;&gt;"Ausgabe",K685=""),0,IF(K685="x",-$E685/(COUNTIF($J685:$Q685,"x")+1),-$E685*N(K685)))</f>
        <v/>
      </c>
      <c r="Z685" s="34">
        <f>IF(OR($A685="",$H685&lt;&gt;"Ausgabe",L685=""),0,IF(L685="x",-$E685/(COUNTIF($J685:$Q685,"x")+1),-$E685*N(L685)))</f>
        <v/>
      </c>
      <c r="AA685" s="34">
        <f>IF(OR($A685="",$H685&lt;&gt;"Ausgabe",M685=""),0,IF(M685="x",-$E685/(COUNTIF($J685:$Q685,"x")+1),-$E685*N(M685)))</f>
        <v/>
      </c>
      <c r="AB685" s="34">
        <f>IF(OR($A685="",$H685&lt;&gt;"Ausgabe",N685=""),0,IF(N685="x",-$E685/(COUNTIF($J685:$Q685,"x")+1),-$E685*N(N685)))</f>
        <v/>
      </c>
      <c r="AC685" s="34">
        <f>IF(OR($A685="",$H685&lt;&gt;"Ausgabe",O685=""),0,IF(O685="x",-$E685/(COUNTIF($J685:$Q685,"x")+1),-$E685*N(O685)))</f>
        <v/>
      </c>
      <c r="AD685" s="34">
        <f>IF(OR($A685="",$H685&lt;&gt;"Ausgabe",P685=""),0,IF(P685="x",-$E685/(COUNTIF($J685:$Q685,"x")+1),-$E685*N(P685)))</f>
        <v/>
      </c>
      <c r="AE685" s="34">
        <f>IF(OR($A685="",$H685&lt;&gt;"Ausgabe",Q685=""),0,IF(Q685="x",-$E685/(COUNTIF($J685:$Q685,"x")+1),-$E685*N(Q685)))</f>
        <v/>
      </c>
    </row>
    <row r="686">
      <c r="A686" s="30" t="n"/>
      <c r="E686" s="31" t="n"/>
      <c r="J686" s="32" t="n"/>
      <c r="K686" s="32" t="n"/>
      <c r="L686" s="32" t="n"/>
      <c r="M686" s="32" t="n"/>
      <c r="N686" s="32" t="n"/>
      <c r="O686" s="32" t="n"/>
      <c r="P686" s="32" t="n"/>
      <c r="Q686" s="32" t="n"/>
      <c r="U686" s="31">
        <f>IF($A686="","",SUM(X686:AE686))</f>
        <v/>
      </c>
      <c r="V686" s="31">
        <f>IF($A686="","",IF($H686&lt;&gt;"Ausgabe",0,-$E686-$U686))</f>
        <v/>
      </c>
      <c r="W686" s="33">
        <f>IF($A686="","",DATE(YEAR($A686),MONTH($A686),1))</f>
        <v/>
      </c>
      <c r="X686" s="34">
        <f>IF(OR($A686="",$H686&lt;&gt;"Ausgabe",J686=""),0,IF(J686="x",-$E686/(COUNTIF($J686:$Q686,"x")+1),-$E686*N(J686)))</f>
        <v/>
      </c>
      <c r="Y686" s="34">
        <f>IF(OR($A686="",$H686&lt;&gt;"Ausgabe",K686=""),0,IF(K686="x",-$E686/(COUNTIF($J686:$Q686,"x")+1),-$E686*N(K686)))</f>
        <v/>
      </c>
      <c r="Z686" s="34">
        <f>IF(OR($A686="",$H686&lt;&gt;"Ausgabe",L686=""),0,IF(L686="x",-$E686/(COUNTIF($J686:$Q686,"x")+1),-$E686*N(L686)))</f>
        <v/>
      </c>
      <c r="AA686" s="34">
        <f>IF(OR($A686="",$H686&lt;&gt;"Ausgabe",M686=""),0,IF(M686="x",-$E686/(COUNTIF($J686:$Q686,"x")+1),-$E686*N(M686)))</f>
        <v/>
      </c>
      <c r="AB686" s="34">
        <f>IF(OR($A686="",$H686&lt;&gt;"Ausgabe",N686=""),0,IF(N686="x",-$E686/(COUNTIF($J686:$Q686,"x")+1),-$E686*N(N686)))</f>
        <v/>
      </c>
      <c r="AC686" s="34">
        <f>IF(OR($A686="",$H686&lt;&gt;"Ausgabe",O686=""),0,IF(O686="x",-$E686/(COUNTIF($J686:$Q686,"x")+1),-$E686*N(O686)))</f>
        <v/>
      </c>
      <c r="AD686" s="34">
        <f>IF(OR($A686="",$H686&lt;&gt;"Ausgabe",P686=""),0,IF(P686="x",-$E686/(COUNTIF($J686:$Q686,"x")+1),-$E686*N(P686)))</f>
        <v/>
      </c>
      <c r="AE686" s="34">
        <f>IF(OR($A686="",$H686&lt;&gt;"Ausgabe",Q686=""),0,IF(Q686="x",-$E686/(COUNTIF($J686:$Q686,"x")+1),-$E686*N(Q686)))</f>
        <v/>
      </c>
    </row>
    <row r="687">
      <c r="A687" s="30" t="n"/>
      <c r="E687" s="31" t="n"/>
      <c r="J687" s="32" t="n"/>
      <c r="K687" s="32" t="n"/>
      <c r="L687" s="32" t="n"/>
      <c r="M687" s="32" t="n"/>
      <c r="N687" s="32" t="n"/>
      <c r="O687" s="32" t="n"/>
      <c r="P687" s="32" t="n"/>
      <c r="Q687" s="32" t="n"/>
      <c r="U687" s="31">
        <f>IF($A687="","",SUM(X687:AE687))</f>
        <v/>
      </c>
      <c r="V687" s="31">
        <f>IF($A687="","",IF($H687&lt;&gt;"Ausgabe",0,-$E687-$U687))</f>
        <v/>
      </c>
      <c r="W687" s="33">
        <f>IF($A687="","",DATE(YEAR($A687),MONTH($A687),1))</f>
        <v/>
      </c>
      <c r="X687" s="34">
        <f>IF(OR($A687="",$H687&lt;&gt;"Ausgabe",J687=""),0,IF(J687="x",-$E687/(COUNTIF($J687:$Q687,"x")+1),-$E687*N(J687)))</f>
        <v/>
      </c>
      <c r="Y687" s="34">
        <f>IF(OR($A687="",$H687&lt;&gt;"Ausgabe",K687=""),0,IF(K687="x",-$E687/(COUNTIF($J687:$Q687,"x")+1),-$E687*N(K687)))</f>
        <v/>
      </c>
      <c r="Z687" s="34">
        <f>IF(OR($A687="",$H687&lt;&gt;"Ausgabe",L687=""),0,IF(L687="x",-$E687/(COUNTIF($J687:$Q687,"x")+1),-$E687*N(L687)))</f>
        <v/>
      </c>
      <c r="AA687" s="34">
        <f>IF(OR($A687="",$H687&lt;&gt;"Ausgabe",M687=""),0,IF(M687="x",-$E687/(COUNTIF($J687:$Q687,"x")+1),-$E687*N(M687)))</f>
        <v/>
      </c>
      <c r="AB687" s="34">
        <f>IF(OR($A687="",$H687&lt;&gt;"Ausgabe",N687=""),0,IF(N687="x",-$E687/(COUNTIF($J687:$Q687,"x")+1),-$E687*N(N687)))</f>
        <v/>
      </c>
      <c r="AC687" s="34">
        <f>IF(OR($A687="",$H687&lt;&gt;"Ausgabe",O687=""),0,IF(O687="x",-$E687/(COUNTIF($J687:$Q687,"x")+1),-$E687*N(O687)))</f>
        <v/>
      </c>
      <c r="AD687" s="34">
        <f>IF(OR($A687="",$H687&lt;&gt;"Ausgabe",P687=""),0,IF(P687="x",-$E687/(COUNTIF($J687:$Q687,"x")+1),-$E687*N(P687)))</f>
        <v/>
      </c>
      <c r="AE687" s="34">
        <f>IF(OR($A687="",$H687&lt;&gt;"Ausgabe",Q687=""),0,IF(Q687="x",-$E687/(COUNTIF($J687:$Q687,"x")+1),-$E687*N(Q687)))</f>
        <v/>
      </c>
    </row>
    <row r="688">
      <c r="A688" s="30" t="n"/>
      <c r="E688" s="31" t="n"/>
      <c r="J688" s="32" t="n"/>
      <c r="K688" s="32" t="n"/>
      <c r="L688" s="32" t="n"/>
      <c r="M688" s="32" t="n"/>
      <c r="N688" s="32" t="n"/>
      <c r="O688" s="32" t="n"/>
      <c r="P688" s="32" t="n"/>
      <c r="Q688" s="32" t="n"/>
      <c r="U688" s="31">
        <f>IF($A688="","",SUM(X688:AE688))</f>
        <v/>
      </c>
      <c r="V688" s="31">
        <f>IF($A688="","",IF($H688&lt;&gt;"Ausgabe",0,-$E688-$U688))</f>
        <v/>
      </c>
      <c r="W688" s="33">
        <f>IF($A688="","",DATE(YEAR($A688),MONTH($A688),1))</f>
        <v/>
      </c>
      <c r="X688" s="34">
        <f>IF(OR($A688="",$H688&lt;&gt;"Ausgabe",J688=""),0,IF(J688="x",-$E688/(COUNTIF($J688:$Q688,"x")+1),-$E688*N(J688)))</f>
        <v/>
      </c>
      <c r="Y688" s="34">
        <f>IF(OR($A688="",$H688&lt;&gt;"Ausgabe",K688=""),0,IF(K688="x",-$E688/(COUNTIF($J688:$Q688,"x")+1),-$E688*N(K688)))</f>
        <v/>
      </c>
      <c r="Z688" s="34">
        <f>IF(OR($A688="",$H688&lt;&gt;"Ausgabe",L688=""),0,IF(L688="x",-$E688/(COUNTIF($J688:$Q688,"x")+1),-$E688*N(L688)))</f>
        <v/>
      </c>
      <c r="AA688" s="34">
        <f>IF(OR($A688="",$H688&lt;&gt;"Ausgabe",M688=""),0,IF(M688="x",-$E688/(COUNTIF($J688:$Q688,"x")+1),-$E688*N(M688)))</f>
        <v/>
      </c>
      <c r="AB688" s="34">
        <f>IF(OR($A688="",$H688&lt;&gt;"Ausgabe",N688=""),0,IF(N688="x",-$E688/(COUNTIF($J688:$Q688,"x")+1),-$E688*N(N688)))</f>
        <v/>
      </c>
      <c r="AC688" s="34">
        <f>IF(OR($A688="",$H688&lt;&gt;"Ausgabe",O688=""),0,IF(O688="x",-$E688/(COUNTIF($J688:$Q688,"x")+1),-$E688*N(O688)))</f>
        <v/>
      </c>
      <c r="AD688" s="34">
        <f>IF(OR($A688="",$H688&lt;&gt;"Ausgabe",P688=""),0,IF(P688="x",-$E688/(COUNTIF($J688:$Q688,"x")+1),-$E688*N(P688)))</f>
        <v/>
      </c>
      <c r="AE688" s="34">
        <f>IF(OR($A688="",$H688&lt;&gt;"Ausgabe",Q688=""),0,IF(Q688="x",-$E688/(COUNTIF($J688:$Q688,"x")+1),-$E688*N(Q688)))</f>
        <v/>
      </c>
    </row>
    <row r="689">
      <c r="A689" s="30" t="n"/>
      <c r="E689" s="31" t="n"/>
      <c r="J689" s="32" t="n"/>
      <c r="K689" s="32" t="n"/>
      <c r="L689" s="32" t="n"/>
      <c r="M689" s="32" t="n"/>
      <c r="N689" s="32" t="n"/>
      <c r="O689" s="32" t="n"/>
      <c r="P689" s="32" t="n"/>
      <c r="Q689" s="32" t="n"/>
      <c r="U689" s="31">
        <f>IF($A689="","",SUM(X689:AE689))</f>
        <v/>
      </c>
      <c r="V689" s="31">
        <f>IF($A689="","",IF($H689&lt;&gt;"Ausgabe",0,-$E689-$U689))</f>
        <v/>
      </c>
      <c r="W689" s="33">
        <f>IF($A689="","",DATE(YEAR($A689),MONTH($A689),1))</f>
        <v/>
      </c>
      <c r="X689" s="34">
        <f>IF(OR($A689="",$H689&lt;&gt;"Ausgabe",J689=""),0,IF(J689="x",-$E689/(COUNTIF($J689:$Q689,"x")+1),-$E689*N(J689)))</f>
        <v/>
      </c>
      <c r="Y689" s="34">
        <f>IF(OR($A689="",$H689&lt;&gt;"Ausgabe",K689=""),0,IF(K689="x",-$E689/(COUNTIF($J689:$Q689,"x")+1),-$E689*N(K689)))</f>
        <v/>
      </c>
      <c r="Z689" s="34">
        <f>IF(OR($A689="",$H689&lt;&gt;"Ausgabe",L689=""),0,IF(L689="x",-$E689/(COUNTIF($J689:$Q689,"x")+1),-$E689*N(L689)))</f>
        <v/>
      </c>
      <c r="AA689" s="34">
        <f>IF(OR($A689="",$H689&lt;&gt;"Ausgabe",M689=""),0,IF(M689="x",-$E689/(COUNTIF($J689:$Q689,"x")+1),-$E689*N(M689)))</f>
        <v/>
      </c>
      <c r="AB689" s="34">
        <f>IF(OR($A689="",$H689&lt;&gt;"Ausgabe",N689=""),0,IF(N689="x",-$E689/(COUNTIF($J689:$Q689,"x")+1),-$E689*N(N689)))</f>
        <v/>
      </c>
      <c r="AC689" s="34">
        <f>IF(OR($A689="",$H689&lt;&gt;"Ausgabe",O689=""),0,IF(O689="x",-$E689/(COUNTIF($J689:$Q689,"x")+1),-$E689*N(O689)))</f>
        <v/>
      </c>
      <c r="AD689" s="34">
        <f>IF(OR($A689="",$H689&lt;&gt;"Ausgabe",P689=""),0,IF(P689="x",-$E689/(COUNTIF($J689:$Q689,"x")+1),-$E689*N(P689)))</f>
        <v/>
      </c>
      <c r="AE689" s="34">
        <f>IF(OR($A689="",$H689&lt;&gt;"Ausgabe",Q689=""),0,IF(Q689="x",-$E689/(COUNTIF($J689:$Q689,"x")+1),-$E689*N(Q689)))</f>
        <v/>
      </c>
    </row>
    <row r="690">
      <c r="A690" s="30" t="n"/>
      <c r="E690" s="31" t="n"/>
      <c r="J690" s="32" t="n"/>
      <c r="K690" s="32" t="n"/>
      <c r="L690" s="32" t="n"/>
      <c r="M690" s="32" t="n"/>
      <c r="N690" s="32" t="n"/>
      <c r="O690" s="32" t="n"/>
      <c r="P690" s="32" t="n"/>
      <c r="Q690" s="32" t="n"/>
      <c r="U690" s="31">
        <f>IF($A690="","",SUM(X690:AE690))</f>
        <v/>
      </c>
      <c r="V690" s="31">
        <f>IF($A690="","",IF($H690&lt;&gt;"Ausgabe",0,-$E690-$U690))</f>
        <v/>
      </c>
      <c r="W690" s="33">
        <f>IF($A690="","",DATE(YEAR($A690),MONTH($A690),1))</f>
        <v/>
      </c>
      <c r="X690" s="34">
        <f>IF(OR($A690="",$H690&lt;&gt;"Ausgabe",J690=""),0,IF(J690="x",-$E690/(COUNTIF($J690:$Q690,"x")+1),-$E690*N(J690)))</f>
        <v/>
      </c>
      <c r="Y690" s="34">
        <f>IF(OR($A690="",$H690&lt;&gt;"Ausgabe",K690=""),0,IF(K690="x",-$E690/(COUNTIF($J690:$Q690,"x")+1),-$E690*N(K690)))</f>
        <v/>
      </c>
      <c r="Z690" s="34">
        <f>IF(OR($A690="",$H690&lt;&gt;"Ausgabe",L690=""),0,IF(L690="x",-$E690/(COUNTIF($J690:$Q690,"x")+1),-$E690*N(L690)))</f>
        <v/>
      </c>
      <c r="AA690" s="34">
        <f>IF(OR($A690="",$H690&lt;&gt;"Ausgabe",M690=""),0,IF(M690="x",-$E690/(COUNTIF($J690:$Q690,"x")+1),-$E690*N(M690)))</f>
        <v/>
      </c>
      <c r="AB690" s="34">
        <f>IF(OR($A690="",$H690&lt;&gt;"Ausgabe",N690=""),0,IF(N690="x",-$E690/(COUNTIF($J690:$Q690,"x")+1),-$E690*N(N690)))</f>
        <v/>
      </c>
      <c r="AC690" s="34">
        <f>IF(OR($A690="",$H690&lt;&gt;"Ausgabe",O690=""),0,IF(O690="x",-$E690/(COUNTIF($J690:$Q690,"x")+1),-$E690*N(O690)))</f>
        <v/>
      </c>
      <c r="AD690" s="34">
        <f>IF(OR($A690="",$H690&lt;&gt;"Ausgabe",P690=""),0,IF(P690="x",-$E690/(COUNTIF($J690:$Q690,"x")+1),-$E690*N(P690)))</f>
        <v/>
      </c>
      <c r="AE690" s="34">
        <f>IF(OR($A690="",$H690&lt;&gt;"Ausgabe",Q690=""),0,IF(Q690="x",-$E690/(COUNTIF($J690:$Q690,"x")+1),-$E690*N(Q690)))</f>
        <v/>
      </c>
    </row>
    <row r="691">
      <c r="A691" s="30" t="n"/>
      <c r="E691" s="31" t="n"/>
      <c r="J691" s="32" t="n"/>
      <c r="K691" s="32" t="n"/>
      <c r="L691" s="32" t="n"/>
      <c r="M691" s="32" t="n"/>
      <c r="N691" s="32" t="n"/>
      <c r="O691" s="32" t="n"/>
      <c r="P691" s="32" t="n"/>
      <c r="Q691" s="32" t="n"/>
      <c r="U691" s="31">
        <f>IF($A691="","",SUM(X691:AE691))</f>
        <v/>
      </c>
      <c r="V691" s="31">
        <f>IF($A691="","",IF($H691&lt;&gt;"Ausgabe",0,-$E691-$U691))</f>
        <v/>
      </c>
      <c r="W691" s="33">
        <f>IF($A691="","",DATE(YEAR($A691),MONTH($A691),1))</f>
        <v/>
      </c>
      <c r="X691" s="34">
        <f>IF(OR($A691="",$H691&lt;&gt;"Ausgabe",J691=""),0,IF(J691="x",-$E691/(COUNTIF($J691:$Q691,"x")+1),-$E691*N(J691)))</f>
        <v/>
      </c>
      <c r="Y691" s="34">
        <f>IF(OR($A691="",$H691&lt;&gt;"Ausgabe",K691=""),0,IF(K691="x",-$E691/(COUNTIF($J691:$Q691,"x")+1),-$E691*N(K691)))</f>
        <v/>
      </c>
      <c r="Z691" s="34">
        <f>IF(OR($A691="",$H691&lt;&gt;"Ausgabe",L691=""),0,IF(L691="x",-$E691/(COUNTIF($J691:$Q691,"x")+1),-$E691*N(L691)))</f>
        <v/>
      </c>
      <c r="AA691" s="34">
        <f>IF(OR($A691="",$H691&lt;&gt;"Ausgabe",M691=""),0,IF(M691="x",-$E691/(COUNTIF($J691:$Q691,"x")+1),-$E691*N(M691)))</f>
        <v/>
      </c>
      <c r="AB691" s="34">
        <f>IF(OR($A691="",$H691&lt;&gt;"Ausgabe",N691=""),0,IF(N691="x",-$E691/(COUNTIF($J691:$Q691,"x")+1),-$E691*N(N691)))</f>
        <v/>
      </c>
      <c r="AC691" s="34">
        <f>IF(OR($A691="",$H691&lt;&gt;"Ausgabe",O691=""),0,IF(O691="x",-$E691/(COUNTIF($J691:$Q691,"x")+1),-$E691*N(O691)))</f>
        <v/>
      </c>
      <c r="AD691" s="34">
        <f>IF(OR($A691="",$H691&lt;&gt;"Ausgabe",P691=""),0,IF(P691="x",-$E691/(COUNTIF($J691:$Q691,"x")+1),-$E691*N(P691)))</f>
        <v/>
      </c>
      <c r="AE691" s="34">
        <f>IF(OR($A691="",$H691&lt;&gt;"Ausgabe",Q691=""),0,IF(Q691="x",-$E691/(COUNTIF($J691:$Q691,"x")+1),-$E691*N(Q691)))</f>
        <v/>
      </c>
    </row>
    <row r="692">
      <c r="A692" s="30" t="n"/>
      <c r="E692" s="31" t="n"/>
      <c r="J692" s="32" t="n"/>
      <c r="K692" s="32" t="n"/>
      <c r="L692" s="32" t="n"/>
      <c r="M692" s="32" t="n"/>
      <c r="N692" s="32" t="n"/>
      <c r="O692" s="32" t="n"/>
      <c r="P692" s="32" t="n"/>
      <c r="Q692" s="32" t="n"/>
      <c r="U692" s="31">
        <f>IF($A692="","",SUM(X692:AE692))</f>
        <v/>
      </c>
      <c r="V692" s="31">
        <f>IF($A692="","",IF($H692&lt;&gt;"Ausgabe",0,-$E692-$U692))</f>
        <v/>
      </c>
      <c r="W692" s="33">
        <f>IF($A692="","",DATE(YEAR($A692),MONTH($A692),1))</f>
        <v/>
      </c>
      <c r="X692" s="34">
        <f>IF(OR($A692="",$H692&lt;&gt;"Ausgabe",J692=""),0,IF(J692="x",-$E692/(COUNTIF($J692:$Q692,"x")+1),-$E692*N(J692)))</f>
        <v/>
      </c>
      <c r="Y692" s="34">
        <f>IF(OR($A692="",$H692&lt;&gt;"Ausgabe",K692=""),0,IF(K692="x",-$E692/(COUNTIF($J692:$Q692,"x")+1),-$E692*N(K692)))</f>
        <v/>
      </c>
      <c r="Z692" s="34">
        <f>IF(OR($A692="",$H692&lt;&gt;"Ausgabe",L692=""),0,IF(L692="x",-$E692/(COUNTIF($J692:$Q692,"x")+1),-$E692*N(L692)))</f>
        <v/>
      </c>
      <c r="AA692" s="34">
        <f>IF(OR($A692="",$H692&lt;&gt;"Ausgabe",M692=""),0,IF(M692="x",-$E692/(COUNTIF($J692:$Q692,"x")+1),-$E692*N(M692)))</f>
        <v/>
      </c>
      <c r="AB692" s="34">
        <f>IF(OR($A692="",$H692&lt;&gt;"Ausgabe",N692=""),0,IF(N692="x",-$E692/(COUNTIF($J692:$Q692,"x")+1),-$E692*N(N692)))</f>
        <v/>
      </c>
      <c r="AC692" s="34">
        <f>IF(OR($A692="",$H692&lt;&gt;"Ausgabe",O692=""),0,IF(O692="x",-$E692/(COUNTIF($J692:$Q692,"x")+1),-$E692*N(O692)))</f>
        <v/>
      </c>
      <c r="AD692" s="34">
        <f>IF(OR($A692="",$H692&lt;&gt;"Ausgabe",P692=""),0,IF(P692="x",-$E692/(COUNTIF($J692:$Q692,"x")+1),-$E692*N(P692)))</f>
        <v/>
      </c>
      <c r="AE692" s="34">
        <f>IF(OR($A692="",$H692&lt;&gt;"Ausgabe",Q692=""),0,IF(Q692="x",-$E692/(COUNTIF($J692:$Q692,"x")+1),-$E692*N(Q692)))</f>
        <v/>
      </c>
    </row>
    <row r="693">
      <c r="A693" s="30" t="n"/>
      <c r="E693" s="31" t="n"/>
      <c r="J693" s="32" t="n"/>
      <c r="K693" s="32" t="n"/>
      <c r="L693" s="32" t="n"/>
      <c r="M693" s="32" t="n"/>
      <c r="N693" s="32" t="n"/>
      <c r="O693" s="32" t="n"/>
      <c r="P693" s="32" t="n"/>
      <c r="Q693" s="32" t="n"/>
      <c r="U693" s="31">
        <f>IF($A693="","",SUM(X693:AE693))</f>
        <v/>
      </c>
      <c r="V693" s="31">
        <f>IF($A693="","",IF($H693&lt;&gt;"Ausgabe",0,-$E693-$U693))</f>
        <v/>
      </c>
      <c r="W693" s="33">
        <f>IF($A693="","",DATE(YEAR($A693),MONTH($A693),1))</f>
        <v/>
      </c>
      <c r="X693" s="34">
        <f>IF(OR($A693="",$H693&lt;&gt;"Ausgabe",J693=""),0,IF(J693="x",-$E693/(COUNTIF($J693:$Q693,"x")+1),-$E693*N(J693)))</f>
        <v/>
      </c>
      <c r="Y693" s="34">
        <f>IF(OR($A693="",$H693&lt;&gt;"Ausgabe",K693=""),0,IF(K693="x",-$E693/(COUNTIF($J693:$Q693,"x")+1),-$E693*N(K693)))</f>
        <v/>
      </c>
      <c r="Z693" s="34">
        <f>IF(OR($A693="",$H693&lt;&gt;"Ausgabe",L693=""),0,IF(L693="x",-$E693/(COUNTIF($J693:$Q693,"x")+1),-$E693*N(L693)))</f>
        <v/>
      </c>
      <c r="AA693" s="34">
        <f>IF(OR($A693="",$H693&lt;&gt;"Ausgabe",M693=""),0,IF(M693="x",-$E693/(COUNTIF($J693:$Q693,"x")+1),-$E693*N(M693)))</f>
        <v/>
      </c>
      <c r="AB693" s="34">
        <f>IF(OR($A693="",$H693&lt;&gt;"Ausgabe",N693=""),0,IF(N693="x",-$E693/(COUNTIF($J693:$Q693,"x")+1),-$E693*N(N693)))</f>
        <v/>
      </c>
      <c r="AC693" s="34">
        <f>IF(OR($A693="",$H693&lt;&gt;"Ausgabe",O693=""),0,IF(O693="x",-$E693/(COUNTIF($J693:$Q693,"x")+1),-$E693*N(O693)))</f>
        <v/>
      </c>
      <c r="AD693" s="34">
        <f>IF(OR($A693="",$H693&lt;&gt;"Ausgabe",P693=""),0,IF(P693="x",-$E693/(COUNTIF($J693:$Q693,"x")+1),-$E693*N(P693)))</f>
        <v/>
      </c>
      <c r="AE693" s="34">
        <f>IF(OR($A693="",$H693&lt;&gt;"Ausgabe",Q693=""),0,IF(Q693="x",-$E693/(COUNTIF($J693:$Q693,"x")+1),-$E693*N(Q693)))</f>
        <v/>
      </c>
    </row>
    <row r="694">
      <c r="A694" s="30" t="n"/>
      <c r="E694" s="31" t="n"/>
      <c r="J694" s="32" t="n"/>
      <c r="K694" s="32" t="n"/>
      <c r="L694" s="32" t="n"/>
      <c r="M694" s="32" t="n"/>
      <c r="N694" s="32" t="n"/>
      <c r="O694" s="32" t="n"/>
      <c r="P694" s="32" t="n"/>
      <c r="Q694" s="32" t="n"/>
      <c r="U694" s="31">
        <f>IF($A694="","",SUM(X694:AE694))</f>
        <v/>
      </c>
      <c r="V694" s="31">
        <f>IF($A694="","",IF($H694&lt;&gt;"Ausgabe",0,-$E694-$U694))</f>
        <v/>
      </c>
      <c r="W694" s="33">
        <f>IF($A694="","",DATE(YEAR($A694),MONTH($A694),1))</f>
        <v/>
      </c>
      <c r="X694" s="34">
        <f>IF(OR($A694="",$H694&lt;&gt;"Ausgabe",J694=""),0,IF(J694="x",-$E694/(COUNTIF($J694:$Q694,"x")+1),-$E694*N(J694)))</f>
        <v/>
      </c>
      <c r="Y694" s="34">
        <f>IF(OR($A694="",$H694&lt;&gt;"Ausgabe",K694=""),0,IF(K694="x",-$E694/(COUNTIF($J694:$Q694,"x")+1),-$E694*N(K694)))</f>
        <v/>
      </c>
      <c r="Z694" s="34">
        <f>IF(OR($A694="",$H694&lt;&gt;"Ausgabe",L694=""),0,IF(L694="x",-$E694/(COUNTIF($J694:$Q694,"x")+1),-$E694*N(L694)))</f>
        <v/>
      </c>
      <c r="AA694" s="34">
        <f>IF(OR($A694="",$H694&lt;&gt;"Ausgabe",M694=""),0,IF(M694="x",-$E694/(COUNTIF($J694:$Q694,"x")+1),-$E694*N(M694)))</f>
        <v/>
      </c>
      <c r="AB694" s="34">
        <f>IF(OR($A694="",$H694&lt;&gt;"Ausgabe",N694=""),0,IF(N694="x",-$E694/(COUNTIF($J694:$Q694,"x")+1),-$E694*N(N694)))</f>
        <v/>
      </c>
      <c r="AC694" s="34">
        <f>IF(OR($A694="",$H694&lt;&gt;"Ausgabe",O694=""),0,IF(O694="x",-$E694/(COUNTIF($J694:$Q694,"x")+1),-$E694*N(O694)))</f>
        <v/>
      </c>
      <c r="AD694" s="34">
        <f>IF(OR($A694="",$H694&lt;&gt;"Ausgabe",P694=""),0,IF(P694="x",-$E694/(COUNTIF($J694:$Q694,"x")+1),-$E694*N(P694)))</f>
        <v/>
      </c>
      <c r="AE694" s="34">
        <f>IF(OR($A694="",$H694&lt;&gt;"Ausgabe",Q694=""),0,IF(Q694="x",-$E694/(COUNTIF($J694:$Q694,"x")+1),-$E694*N(Q694)))</f>
        <v/>
      </c>
    </row>
    <row r="695">
      <c r="A695" s="30" t="n"/>
      <c r="E695" s="31" t="n"/>
      <c r="J695" s="32" t="n"/>
      <c r="K695" s="32" t="n"/>
      <c r="L695" s="32" t="n"/>
      <c r="M695" s="32" t="n"/>
      <c r="N695" s="32" t="n"/>
      <c r="O695" s="32" t="n"/>
      <c r="P695" s="32" t="n"/>
      <c r="Q695" s="32" t="n"/>
      <c r="U695" s="31">
        <f>IF($A695="","",SUM(X695:AE695))</f>
        <v/>
      </c>
      <c r="V695" s="31">
        <f>IF($A695="","",IF($H695&lt;&gt;"Ausgabe",0,-$E695-$U695))</f>
        <v/>
      </c>
      <c r="W695" s="33">
        <f>IF($A695="","",DATE(YEAR($A695),MONTH($A695),1))</f>
        <v/>
      </c>
      <c r="X695" s="34">
        <f>IF(OR($A695="",$H695&lt;&gt;"Ausgabe",J695=""),0,IF(J695="x",-$E695/(COUNTIF($J695:$Q695,"x")+1),-$E695*N(J695)))</f>
        <v/>
      </c>
      <c r="Y695" s="34">
        <f>IF(OR($A695="",$H695&lt;&gt;"Ausgabe",K695=""),0,IF(K695="x",-$E695/(COUNTIF($J695:$Q695,"x")+1),-$E695*N(K695)))</f>
        <v/>
      </c>
      <c r="Z695" s="34">
        <f>IF(OR($A695="",$H695&lt;&gt;"Ausgabe",L695=""),0,IF(L695="x",-$E695/(COUNTIF($J695:$Q695,"x")+1),-$E695*N(L695)))</f>
        <v/>
      </c>
      <c r="AA695" s="34">
        <f>IF(OR($A695="",$H695&lt;&gt;"Ausgabe",M695=""),0,IF(M695="x",-$E695/(COUNTIF($J695:$Q695,"x")+1),-$E695*N(M695)))</f>
        <v/>
      </c>
      <c r="AB695" s="34">
        <f>IF(OR($A695="",$H695&lt;&gt;"Ausgabe",N695=""),0,IF(N695="x",-$E695/(COUNTIF($J695:$Q695,"x")+1),-$E695*N(N695)))</f>
        <v/>
      </c>
      <c r="AC695" s="34">
        <f>IF(OR($A695="",$H695&lt;&gt;"Ausgabe",O695=""),0,IF(O695="x",-$E695/(COUNTIF($J695:$Q695,"x")+1),-$E695*N(O695)))</f>
        <v/>
      </c>
      <c r="AD695" s="34">
        <f>IF(OR($A695="",$H695&lt;&gt;"Ausgabe",P695=""),0,IF(P695="x",-$E695/(COUNTIF($J695:$Q695,"x")+1),-$E695*N(P695)))</f>
        <v/>
      </c>
      <c r="AE695" s="34">
        <f>IF(OR($A695="",$H695&lt;&gt;"Ausgabe",Q695=""),0,IF(Q695="x",-$E695/(COUNTIF($J695:$Q695,"x")+1),-$E695*N(Q695)))</f>
        <v/>
      </c>
    </row>
    <row r="696">
      <c r="A696" s="30" t="n"/>
      <c r="E696" s="31" t="n"/>
      <c r="J696" s="32" t="n"/>
      <c r="K696" s="32" t="n"/>
      <c r="L696" s="32" t="n"/>
      <c r="M696" s="32" t="n"/>
      <c r="N696" s="32" t="n"/>
      <c r="O696" s="32" t="n"/>
      <c r="P696" s="32" t="n"/>
      <c r="Q696" s="32" t="n"/>
      <c r="U696" s="31">
        <f>IF($A696="","",SUM(X696:AE696))</f>
        <v/>
      </c>
      <c r="V696" s="31">
        <f>IF($A696="","",IF($H696&lt;&gt;"Ausgabe",0,-$E696-$U696))</f>
        <v/>
      </c>
      <c r="W696" s="33">
        <f>IF($A696="","",DATE(YEAR($A696),MONTH($A696),1))</f>
        <v/>
      </c>
      <c r="X696" s="34">
        <f>IF(OR($A696="",$H696&lt;&gt;"Ausgabe",J696=""),0,IF(J696="x",-$E696/(COUNTIF($J696:$Q696,"x")+1),-$E696*N(J696)))</f>
        <v/>
      </c>
      <c r="Y696" s="34">
        <f>IF(OR($A696="",$H696&lt;&gt;"Ausgabe",K696=""),0,IF(K696="x",-$E696/(COUNTIF($J696:$Q696,"x")+1),-$E696*N(K696)))</f>
        <v/>
      </c>
      <c r="Z696" s="34">
        <f>IF(OR($A696="",$H696&lt;&gt;"Ausgabe",L696=""),0,IF(L696="x",-$E696/(COUNTIF($J696:$Q696,"x")+1),-$E696*N(L696)))</f>
        <v/>
      </c>
      <c r="AA696" s="34">
        <f>IF(OR($A696="",$H696&lt;&gt;"Ausgabe",M696=""),0,IF(M696="x",-$E696/(COUNTIF($J696:$Q696,"x")+1),-$E696*N(M696)))</f>
        <v/>
      </c>
      <c r="AB696" s="34">
        <f>IF(OR($A696="",$H696&lt;&gt;"Ausgabe",N696=""),0,IF(N696="x",-$E696/(COUNTIF($J696:$Q696,"x")+1),-$E696*N(N696)))</f>
        <v/>
      </c>
      <c r="AC696" s="34">
        <f>IF(OR($A696="",$H696&lt;&gt;"Ausgabe",O696=""),0,IF(O696="x",-$E696/(COUNTIF($J696:$Q696,"x")+1),-$E696*N(O696)))</f>
        <v/>
      </c>
      <c r="AD696" s="34">
        <f>IF(OR($A696="",$H696&lt;&gt;"Ausgabe",P696=""),0,IF(P696="x",-$E696/(COUNTIF($J696:$Q696,"x")+1),-$E696*N(P696)))</f>
        <v/>
      </c>
      <c r="AE696" s="34">
        <f>IF(OR($A696="",$H696&lt;&gt;"Ausgabe",Q696=""),0,IF(Q696="x",-$E696/(COUNTIF($J696:$Q696,"x")+1),-$E696*N(Q696)))</f>
        <v/>
      </c>
    </row>
    <row r="697">
      <c r="A697" s="30" t="n"/>
      <c r="E697" s="31" t="n"/>
      <c r="J697" s="32" t="n"/>
      <c r="K697" s="32" t="n"/>
      <c r="L697" s="32" t="n"/>
      <c r="M697" s="32" t="n"/>
      <c r="N697" s="32" t="n"/>
      <c r="O697" s="32" t="n"/>
      <c r="P697" s="32" t="n"/>
      <c r="Q697" s="32" t="n"/>
      <c r="U697" s="31">
        <f>IF($A697="","",SUM(X697:AE697))</f>
        <v/>
      </c>
      <c r="V697" s="31">
        <f>IF($A697="","",IF($H697&lt;&gt;"Ausgabe",0,-$E697-$U697))</f>
        <v/>
      </c>
      <c r="W697" s="33">
        <f>IF($A697="","",DATE(YEAR($A697),MONTH($A697),1))</f>
        <v/>
      </c>
      <c r="X697" s="34">
        <f>IF(OR($A697="",$H697&lt;&gt;"Ausgabe",J697=""),0,IF(J697="x",-$E697/(COUNTIF($J697:$Q697,"x")+1),-$E697*N(J697)))</f>
        <v/>
      </c>
      <c r="Y697" s="34">
        <f>IF(OR($A697="",$H697&lt;&gt;"Ausgabe",K697=""),0,IF(K697="x",-$E697/(COUNTIF($J697:$Q697,"x")+1),-$E697*N(K697)))</f>
        <v/>
      </c>
      <c r="Z697" s="34">
        <f>IF(OR($A697="",$H697&lt;&gt;"Ausgabe",L697=""),0,IF(L697="x",-$E697/(COUNTIF($J697:$Q697,"x")+1),-$E697*N(L697)))</f>
        <v/>
      </c>
      <c r="AA697" s="34">
        <f>IF(OR($A697="",$H697&lt;&gt;"Ausgabe",M697=""),0,IF(M697="x",-$E697/(COUNTIF($J697:$Q697,"x")+1),-$E697*N(M697)))</f>
        <v/>
      </c>
      <c r="AB697" s="34">
        <f>IF(OR($A697="",$H697&lt;&gt;"Ausgabe",N697=""),0,IF(N697="x",-$E697/(COUNTIF($J697:$Q697,"x")+1),-$E697*N(N697)))</f>
        <v/>
      </c>
      <c r="AC697" s="34">
        <f>IF(OR($A697="",$H697&lt;&gt;"Ausgabe",O697=""),0,IF(O697="x",-$E697/(COUNTIF($J697:$Q697,"x")+1),-$E697*N(O697)))</f>
        <v/>
      </c>
      <c r="AD697" s="34">
        <f>IF(OR($A697="",$H697&lt;&gt;"Ausgabe",P697=""),0,IF(P697="x",-$E697/(COUNTIF($J697:$Q697,"x")+1),-$E697*N(P697)))</f>
        <v/>
      </c>
      <c r="AE697" s="34">
        <f>IF(OR($A697="",$H697&lt;&gt;"Ausgabe",Q697=""),0,IF(Q697="x",-$E697/(COUNTIF($J697:$Q697,"x")+1),-$E697*N(Q697)))</f>
        <v/>
      </c>
    </row>
    <row r="698">
      <c r="A698" s="30" t="n"/>
      <c r="E698" s="31" t="n"/>
      <c r="J698" s="32" t="n"/>
      <c r="K698" s="32" t="n"/>
      <c r="L698" s="32" t="n"/>
      <c r="M698" s="32" t="n"/>
      <c r="N698" s="32" t="n"/>
      <c r="O698" s="32" t="n"/>
      <c r="P698" s="32" t="n"/>
      <c r="Q698" s="32" t="n"/>
      <c r="U698" s="31">
        <f>IF($A698="","",SUM(X698:AE698))</f>
        <v/>
      </c>
      <c r="V698" s="31">
        <f>IF($A698="","",IF($H698&lt;&gt;"Ausgabe",0,-$E698-$U698))</f>
        <v/>
      </c>
      <c r="W698" s="33">
        <f>IF($A698="","",DATE(YEAR($A698),MONTH($A698),1))</f>
        <v/>
      </c>
      <c r="X698" s="34">
        <f>IF(OR($A698="",$H698&lt;&gt;"Ausgabe",J698=""),0,IF(J698="x",-$E698/(COUNTIF($J698:$Q698,"x")+1),-$E698*N(J698)))</f>
        <v/>
      </c>
      <c r="Y698" s="34">
        <f>IF(OR($A698="",$H698&lt;&gt;"Ausgabe",K698=""),0,IF(K698="x",-$E698/(COUNTIF($J698:$Q698,"x")+1),-$E698*N(K698)))</f>
        <v/>
      </c>
      <c r="Z698" s="34">
        <f>IF(OR($A698="",$H698&lt;&gt;"Ausgabe",L698=""),0,IF(L698="x",-$E698/(COUNTIF($J698:$Q698,"x")+1),-$E698*N(L698)))</f>
        <v/>
      </c>
      <c r="AA698" s="34">
        <f>IF(OR($A698="",$H698&lt;&gt;"Ausgabe",M698=""),0,IF(M698="x",-$E698/(COUNTIF($J698:$Q698,"x")+1),-$E698*N(M698)))</f>
        <v/>
      </c>
      <c r="AB698" s="34">
        <f>IF(OR($A698="",$H698&lt;&gt;"Ausgabe",N698=""),0,IF(N698="x",-$E698/(COUNTIF($J698:$Q698,"x")+1),-$E698*N(N698)))</f>
        <v/>
      </c>
      <c r="AC698" s="34">
        <f>IF(OR($A698="",$H698&lt;&gt;"Ausgabe",O698=""),0,IF(O698="x",-$E698/(COUNTIF($J698:$Q698,"x")+1),-$E698*N(O698)))</f>
        <v/>
      </c>
      <c r="AD698" s="34">
        <f>IF(OR($A698="",$H698&lt;&gt;"Ausgabe",P698=""),0,IF(P698="x",-$E698/(COUNTIF($J698:$Q698,"x")+1),-$E698*N(P698)))</f>
        <v/>
      </c>
      <c r="AE698" s="34">
        <f>IF(OR($A698="",$H698&lt;&gt;"Ausgabe",Q698=""),0,IF(Q698="x",-$E698/(COUNTIF($J698:$Q698,"x")+1),-$E698*N(Q698)))</f>
        <v/>
      </c>
    </row>
    <row r="699">
      <c r="A699" s="30" t="n"/>
      <c r="E699" s="31" t="n"/>
      <c r="J699" s="32" t="n"/>
      <c r="K699" s="32" t="n"/>
      <c r="L699" s="32" t="n"/>
      <c r="M699" s="32" t="n"/>
      <c r="N699" s="32" t="n"/>
      <c r="O699" s="32" t="n"/>
      <c r="P699" s="32" t="n"/>
      <c r="Q699" s="32" t="n"/>
      <c r="U699" s="31">
        <f>IF($A699="","",SUM(X699:AE699))</f>
        <v/>
      </c>
      <c r="V699" s="31">
        <f>IF($A699="","",IF($H699&lt;&gt;"Ausgabe",0,-$E699-$U699))</f>
        <v/>
      </c>
      <c r="W699" s="33">
        <f>IF($A699="","",DATE(YEAR($A699),MONTH($A699),1))</f>
        <v/>
      </c>
      <c r="X699" s="34">
        <f>IF(OR($A699="",$H699&lt;&gt;"Ausgabe",J699=""),0,IF(J699="x",-$E699/(COUNTIF($J699:$Q699,"x")+1),-$E699*N(J699)))</f>
        <v/>
      </c>
      <c r="Y699" s="34">
        <f>IF(OR($A699="",$H699&lt;&gt;"Ausgabe",K699=""),0,IF(K699="x",-$E699/(COUNTIF($J699:$Q699,"x")+1),-$E699*N(K699)))</f>
        <v/>
      </c>
      <c r="Z699" s="34">
        <f>IF(OR($A699="",$H699&lt;&gt;"Ausgabe",L699=""),0,IF(L699="x",-$E699/(COUNTIF($J699:$Q699,"x")+1),-$E699*N(L699)))</f>
        <v/>
      </c>
      <c r="AA699" s="34">
        <f>IF(OR($A699="",$H699&lt;&gt;"Ausgabe",M699=""),0,IF(M699="x",-$E699/(COUNTIF($J699:$Q699,"x")+1),-$E699*N(M699)))</f>
        <v/>
      </c>
      <c r="AB699" s="34">
        <f>IF(OR($A699="",$H699&lt;&gt;"Ausgabe",N699=""),0,IF(N699="x",-$E699/(COUNTIF($J699:$Q699,"x")+1),-$E699*N(N699)))</f>
        <v/>
      </c>
      <c r="AC699" s="34">
        <f>IF(OR($A699="",$H699&lt;&gt;"Ausgabe",O699=""),0,IF(O699="x",-$E699/(COUNTIF($J699:$Q699,"x")+1),-$E699*N(O699)))</f>
        <v/>
      </c>
      <c r="AD699" s="34">
        <f>IF(OR($A699="",$H699&lt;&gt;"Ausgabe",P699=""),0,IF(P699="x",-$E699/(COUNTIF($J699:$Q699,"x")+1),-$E699*N(P699)))</f>
        <v/>
      </c>
      <c r="AE699" s="34">
        <f>IF(OR($A699="",$H699&lt;&gt;"Ausgabe",Q699=""),0,IF(Q699="x",-$E699/(COUNTIF($J699:$Q699,"x")+1),-$E699*N(Q699)))</f>
        <v/>
      </c>
    </row>
    <row r="700">
      <c r="A700" s="30" t="n"/>
      <c r="E700" s="31" t="n"/>
      <c r="J700" s="32" t="n"/>
      <c r="K700" s="32" t="n"/>
      <c r="L700" s="32" t="n"/>
      <c r="M700" s="32" t="n"/>
      <c r="N700" s="32" t="n"/>
      <c r="O700" s="32" t="n"/>
      <c r="P700" s="32" t="n"/>
      <c r="Q700" s="32" t="n"/>
      <c r="U700" s="31">
        <f>IF($A700="","",SUM(X700:AE700))</f>
        <v/>
      </c>
      <c r="V700" s="31">
        <f>IF($A700="","",IF($H700&lt;&gt;"Ausgabe",0,-$E700-$U700))</f>
        <v/>
      </c>
      <c r="W700" s="33">
        <f>IF($A700="","",DATE(YEAR($A700),MONTH($A700),1))</f>
        <v/>
      </c>
      <c r="X700" s="34">
        <f>IF(OR($A700="",$H700&lt;&gt;"Ausgabe",J700=""),0,IF(J700="x",-$E700/(COUNTIF($J700:$Q700,"x")+1),-$E700*N(J700)))</f>
        <v/>
      </c>
      <c r="Y700" s="34">
        <f>IF(OR($A700="",$H700&lt;&gt;"Ausgabe",K700=""),0,IF(K700="x",-$E700/(COUNTIF($J700:$Q700,"x")+1),-$E700*N(K700)))</f>
        <v/>
      </c>
      <c r="Z700" s="34">
        <f>IF(OR($A700="",$H700&lt;&gt;"Ausgabe",L700=""),0,IF(L700="x",-$E700/(COUNTIF($J700:$Q700,"x")+1),-$E700*N(L700)))</f>
        <v/>
      </c>
      <c r="AA700" s="34">
        <f>IF(OR($A700="",$H700&lt;&gt;"Ausgabe",M700=""),0,IF(M700="x",-$E700/(COUNTIF($J700:$Q700,"x")+1),-$E700*N(M700)))</f>
        <v/>
      </c>
      <c r="AB700" s="34">
        <f>IF(OR($A700="",$H700&lt;&gt;"Ausgabe",N700=""),0,IF(N700="x",-$E700/(COUNTIF($J700:$Q700,"x")+1),-$E700*N(N700)))</f>
        <v/>
      </c>
      <c r="AC700" s="34">
        <f>IF(OR($A700="",$H700&lt;&gt;"Ausgabe",O700=""),0,IF(O700="x",-$E700/(COUNTIF($J700:$Q700,"x")+1),-$E700*N(O700)))</f>
        <v/>
      </c>
      <c r="AD700" s="34">
        <f>IF(OR($A700="",$H700&lt;&gt;"Ausgabe",P700=""),0,IF(P700="x",-$E700/(COUNTIF($J700:$Q700,"x")+1),-$E700*N(P700)))</f>
        <v/>
      </c>
      <c r="AE700" s="34">
        <f>IF(OR($A700="",$H700&lt;&gt;"Ausgabe",Q700=""),0,IF(Q700="x",-$E700/(COUNTIF($J700:$Q700,"x")+1),-$E700*N(Q700)))</f>
        <v/>
      </c>
    </row>
    <row r="701">
      <c r="A701" s="30" t="n"/>
      <c r="E701" s="31" t="n"/>
      <c r="J701" s="32" t="n"/>
      <c r="K701" s="32" t="n"/>
      <c r="L701" s="32" t="n"/>
      <c r="M701" s="32" t="n"/>
      <c r="N701" s="32" t="n"/>
      <c r="O701" s="32" t="n"/>
      <c r="P701" s="32" t="n"/>
      <c r="Q701" s="32" t="n"/>
      <c r="U701" s="31">
        <f>IF($A701="","",SUM(X701:AE701))</f>
        <v/>
      </c>
      <c r="V701" s="31">
        <f>IF($A701="","",IF($H701&lt;&gt;"Ausgabe",0,-$E701-$U701))</f>
        <v/>
      </c>
      <c r="W701" s="33">
        <f>IF($A701="","",DATE(YEAR($A701),MONTH($A701),1))</f>
        <v/>
      </c>
      <c r="X701" s="34">
        <f>IF(OR($A701="",$H701&lt;&gt;"Ausgabe",J701=""),0,IF(J701="x",-$E701/(COUNTIF($J701:$Q701,"x")+1),-$E701*N(J701)))</f>
        <v/>
      </c>
      <c r="Y701" s="34">
        <f>IF(OR($A701="",$H701&lt;&gt;"Ausgabe",K701=""),0,IF(K701="x",-$E701/(COUNTIF($J701:$Q701,"x")+1),-$E701*N(K701)))</f>
        <v/>
      </c>
      <c r="Z701" s="34">
        <f>IF(OR($A701="",$H701&lt;&gt;"Ausgabe",L701=""),0,IF(L701="x",-$E701/(COUNTIF($J701:$Q701,"x")+1),-$E701*N(L701)))</f>
        <v/>
      </c>
      <c r="AA701" s="34">
        <f>IF(OR($A701="",$H701&lt;&gt;"Ausgabe",M701=""),0,IF(M701="x",-$E701/(COUNTIF($J701:$Q701,"x")+1),-$E701*N(M701)))</f>
        <v/>
      </c>
      <c r="AB701" s="34">
        <f>IF(OR($A701="",$H701&lt;&gt;"Ausgabe",N701=""),0,IF(N701="x",-$E701/(COUNTIF($J701:$Q701,"x")+1),-$E701*N(N701)))</f>
        <v/>
      </c>
      <c r="AC701" s="34">
        <f>IF(OR($A701="",$H701&lt;&gt;"Ausgabe",O701=""),0,IF(O701="x",-$E701/(COUNTIF($J701:$Q701,"x")+1),-$E701*N(O701)))</f>
        <v/>
      </c>
      <c r="AD701" s="34">
        <f>IF(OR($A701="",$H701&lt;&gt;"Ausgabe",P701=""),0,IF(P701="x",-$E701/(COUNTIF($J701:$Q701,"x")+1),-$E701*N(P701)))</f>
        <v/>
      </c>
      <c r="AE701" s="34">
        <f>IF(OR($A701="",$H701&lt;&gt;"Ausgabe",Q701=""),0,IF(Q701="x",-$E701/(COUNTIF($J701:$Q701,"x")+1),-$E701*N(Q701)))</f>
        <v/>
      </c>
    </row>
    <row r="702">
      <c r="A702" s="30" t="n"/>
      <c r="E702" s="31" t="n"/>
      <c r="J702" s="32" t="n"/>
      <c r="K702" s="32" t="n"/>
      <c r="L702" s="32" t="n"/>
      <c r="M702" s="32" t="n"/>
      <c r="N702" s="32" t="n"/>
      <c r="O702" s="32" t="n"/>
      <c r="P702" s="32" t="n"/>
      <c r="Q702" s="32" t="n"/>
      <c r="U702" s="31">
        <f>IF($A702="","",SUM(X702:AE702))</f>
        <v/>
      </c>
      <c r="V702" s="31">
        <f>IF($A702="","",IF($H702&lt;&gt;"Ausgabe",0,-$E702-$U702))</f>
        <v/>
      </c>
      <c r="W702" s="33">
        <f>IF($A702="","",DATE(YEAR($A702),MONTH($A702),1))</f>
        <v/>
      </c>
      <c r="X702" s="34">
        <f>IF(OR($A702="",$H702&lt;&gt;"Ausgabe",J702=""),0,IF(J702="x",-$E702/(COUNTIF($J702:$Q702,"x")+1),-$E702*N(J702)))</f>
        <v/>
      </c>
      <c r="Y702" s="34">
        <f>IF(OR($A702="",$H702&lt;&gt;"Ausgabe",K702=""),0,IF(K702="x",-$E702/(COUNTIF($J702:$Q702,"x")+1),-$E702*N(K702)))</f>
        <v/>
      </c>
      <c r="Z702" s="34">
        <f>IF(OR($A702="",$H702&lt;&gt;"Ausgabe",L702=""),0,IF(L702="x",-$E702/(COUNTIF($J702:$Q702,"x")+1),-$E702*N(L702)))</f>
        <v/>
      </c>
      <c r="AA702" s="34">
        <f>IF(OR($A702="",$H702&lt;&gt;"Ausgabe",M702=""),0,IF(M702="x",-$E702/(COUNTIF($J702:$Q702,"x")+1),-$E702*N(M702)))</f>
        <v/>
      </c>
      <c r="AB702" s="34">
        <f>IF(OR($A702="",$H702&lt;&gt;"Ausgabe",N702=""),0,IF(N702="x",-$E702/(COUNTIF($J702:$Q702,"x")+1),-$E702*N(N702)))</f>
        <v/>
      </c>
      <c r="AC702" s="34">
        <f>IF(OR($A702="",$H702&lt;&gt;"Ausgabe",O702=""),0,IF(O702="x",-$E702/(COUNTIF($J702:$Q702,"x")+1),-$E702*N(O702)))</f>
        <v/>
      </c>
      <c r="AD702" s="34">
        <f>IF(OR($A702="",$H702&lt;&gt;"Ausgabe",P702=""),0,IF(P702="x",-$E702/(COUNTIF($J702:$Q702,"x")+1),-$E702*N(P702)))</f>
        <v/>
      </c>
      <c r="AE702" s="34">
        <f>IF(OR($A702="",$H702&lt;&gt;"Ausgabe",Q702=""),0,IF(Q702="x",-$E702/(COUNTIF($J702:$Q702,"x")+1),-$E702*N(Q702)))</f>
        <v/>
      </c>
    </row>
    <row r="703">
      <c r="A703" s="30" t="n"/>
      <c r="E703" s="31" t="n"/>
      <c r="J703" s="32" t="n"/>
      <c r="K703" s="32" t="n"/>
      <c r="L703" s="32" t="n"/>
      <c r="M703" s="32" t="n"/>
      <c r="N703" s="32" t="n"/>
      <c r="O703" s="32" t="n"/>
      <c r="P703" s="32" t="n"/>
      <c r="Q703" s="32" t="n"/>
      <c r="U703" s="31">
        <f>IF($A703="","",SUM(X703:AE703))</f>
        <v/>
      </c>
      <c r="V703" s="31">
        <f>IF($A703="","",IF($H703&lt;&gt;"Ausgabe",0,-$E703-$U703))</f>
        <v/>
      </c>
      <c r="W703" s="33">
        <f>IF($A703="","",DATE(YEAR($A703),MONTH($A703),1))</f>
        <v/>
      </c>
      <c r="X703" s="34">
        <f>IF(OR($A703="",$H703&lt;&gt;"Ausgabe",J703=""),0,IF(J703="x",-$E703/(COUNTIF($J703:$Q703,"x")+1),-$E703*N(J703)))</f>
        <v/>
      </c>
      <c r="Y703" s="34">
        <f>IF(OR($A703="",$H703&lt;&gt;"Ausgabe",K703=""),0,IF(K703="x",-$E703/(COUNTIF($J703:$Q703,"x")+1),-$E703*N(K703)))</f>
        <v/>
      </c>
      <c r="Z703" s="34">
        <f>IF(OR($A703="",$H703&lt;&gt;"Ausgabe",L703=""),0,IF(L703="x",-$E703/(COUNTIF($J703:$Q703,"x")+1),-$E703*N(L703)))</f>
        <v/>
      </c>
      <c r="AA703" s="34">
        <f>IF(OR($A703="",$H703&lt;&gt;"Ausgabe",M703=""),0,IF(M703="x",-$E703/(COUNTIF($J703:$Q703,"x")+1),-$E703*N(M703)))</f>
        <v/>
      </c>
      <c r="AB703" s="34">
        <f>IF(OR($A703="",$H703&lt;&gt;"Ausgabe",N703=""),0,IF(N703="x",-$E703/(COUNTIF($J703:$Q703,"x")+1),-$E703*N(N703)))</f>
        <v/>
      </c>
      <c r="AC703" s="34">
        <f>IF(OR($A703="",$H703&lt;&gt;"Ausgabe",O703=""),0,IF(O703="x",-$E703/(COUNTIF($J703:$Q703,"x")+1),-$E703*N(O703)))</f>
        <v/>
      </c>
      <c r="AD703" s="34">
        <f>IF(OR($A703="",$H703&lt;&gt;"Ausgabe",P703=""),0,IF(P703="x",-$E703/(COUNTIF($J703:$Q703,"x")+1),-$E703*N(P703)))</f>
        <v/>
      </c>
      <c r="AE703" s="34">
        <f>IF(OR($A703="",$H703&lt;&gt;"Ausgabe",Q703=""),0,IF(Q703="x",-$E703/(COUNTIF($J703:$Q703,"x")+1),-$E703*N(Q703)))</f>
        <v/>
      </c>
    </row>
    <row r="704">
      <c r="A704" s="30" t="n"/>
      <c r="E704" s="31" t="n"/>
      <c r="J704" s="32" t="n"/>
      <c r="K704" s="32" t="n"/>
      <c r="L704" s="32" t="n"/>
      <c r="M704" s="32" t="n"/>
      <c r="N704" s="32" t="n"/>
      <c r="O704" s="32" t="n"/>
      <c r="P704" s="32" t="n"/>
      <c r="Q704" s="32" t="n"/>
      <c r="U704" s="31">
        <f>IF($A704="","",SUM(X704:AE704))</f>
        <v/>
      </c>
      <c r="V704" s="31">
        <f>IF($A704="","",IF($H704&lt;&gt;"Ausgabe",0,-$E704-$U704))</f>
        <v/>
      </c>
      <c r="W704" s="33">
        <f>IF($A704="","",DATE(YEAR($A704),MONTH($A704),1))</f>
        <v/>
      </c>
      <c r="X704" s="34">
        <f>IF(OR($A704="",$H704&lt;&gt;"Ausgabe",J704=""),0,IF(J704="x",-$E704/(COUNTIF($J704:$Q704,"x")+1),-$E704*N(J704)))</f>
        <v/>
      </c>
      <c r="Y704" s="34">
        <f>IF(OR($A704="",$H704&lt;&gt;"Ausgabe",K704=""),0,IF(K704="x",-$E704/(COUNTIF($J704:$Q704,"x")+1),-$E704*N(K704)))</f>
        <v/>
      </c>
      <c r="Z704" s="34">
        <f>IF(OR($A704="",$H704&lt;&gt;"Ausgabe",L704=""),0,IF(L704="x",-$E704/(COUNTIF($J704:$Q704,"x")+1),-$E704*N(L704)))</f>
        <v/>
      </c>
      <c r="AA704" s="34">
        <f>IF(OR($A704="",$H704&lt;&gt;"Ausgabe",M704=""),0,IF(M704="x",-$E704/(COUNTIF($J704:$Q704,"x")+1),-$E704*N(M704)))</f>
        <v/>
      </c>
      <c r="AB704" s="34">
        <f>IF(OR($A704="",$H704&lt;&gt;"Ausgabe",N704=""),0,IF(N704="x",-$E704/(COUNTIF($J704:$Q704,"x")+1),-$E704*N(N704)))</f>
        <v/>
      </c>
      <c r="AC704" s="34">
        <f>IF(OR($A704="",$H704&lt;&gt;"Ausgabe",O704=""),0,IF(O704="x",-$E704/(COUNTIF($J704:$Q704,"x")+1),-$E704*N(O704)))</f>
        <v/>
      </c>
      <c r="AD704" s="34">
        <f>IF(OR($A704="",$H704&lt;&gt;"Ausgabe",P704=""),0,IF(P704="x",-$E704/(COUNTIF($J704:$Q704,"x")+1),-$E704*N(P704)))</f>
        <v/>
      </c>
      <c r="AE704" s="34">
        <f>IF(OR($A704="",$H704&lt;&gt;"Ausgabe",Q704=""),0,IF(Q704="x",-$E704/(COUNTIF($J704:$Q704,"x")+1),-$E704*N(Q704)))</f>
        <v/>
      </c>
    </row>
    <row r="705">
      <c r="A705" s="30" t="n"/>
      <c r="E705" s="31" t="n"/>
      <c r="J705" s="32" t="n"/>
      <c r="K705" s="32" t="n"/>
      <c r="L705" s="32" t="n"/>
      <c r="M705" s="32" t="n"/>
      <c r="N705" s="32" t="n"/>
      <c r="O705" s="32" t="n"/>
      <c r="P705" s="32" t="n"/>
      <c r="Q705" s="32" t="n"/>
      <c r="U705" s="31">
        <f>IF($A705="","",SUM(X705:AE705))</f>
        <v/>
      </c>
      <c r="V705" s="31">
        <f>IF($A705="","",IF($H705&lt;&gt;"Ausgabe",0,-$E705-$U705))</f>
        <v/>
      </c>
      <c r="W705" s="33">
        <f>IF($A705="","",DATE(YEAR($A705),MONTH($A705),1))</f>
        <v/>
      </c>
      <c r="X705" s="34">
        <f>IF(OR($A705="",$H705&lt;&gt;"Ausgabe",J705=""),0,IF(J705="x",-$E705/(COUNTIF($J705:$Q705,"x")+1),-$E705*N(J705)))</f>
        <v/>
      </c>
      <c r="Y705" s="34">
        <f>IF(OR($A705="",$H705&lt;&gt;"Ausgabe",K705=""),0,IF(K705="x",-$E705/(COUNTIF($J705:$Q705,"x")+1),-$E705*N(K705)))</f>
        <v/>
      </c>
      <c r="Z705" s="34">
        <f>IF(OR($A705="",$H705&lt;&gt;"Ausgabe",L705=""),0,IF(L705="x",-$E705/(COUNTIF($J705:$Q705,"x")+1),-$E705*N(L705)))</f>
        <v/>
      </c>
      <c r="AA705" s="34">
        <f>IF(OR($A705="",$H705&lt;&gt;"Ausgabe",M705=""),0,IF(M705="x",-$E705/(COUNTIF($J705:$Q705,"x")+1),-$E705*N(M705)))</f>
        <v/>
      </c>
      <c r="AB705" s="34">
        <f>IF(OR($A705="",$H705&lt;&gt;"Ausgabe",N705=""),0,IF(N705="x",-$E705/(COUNTIF($J705:$Q705,"x")+1),-$E705*N(N705)))</f>
        <v/>
      </c>
      <c r="AC705" s="34">
        <f>IF(OR($A705="",$H705&lt;&gt;"Ausgabe",O705=""),0,IF(O705="x",-$E705/(COUNTIF($J705:$Q705,"x")+1),-$E705*N(O705)))</f>
        <v/>
      </c>
      <c r="AD705" s="34">
        <f>IF(OR($A705="",$H705&lt;&gt;"Ausgabe",P705=""),0,IF(P705="x",-$E705/(COUNTIF($J705:$Q705,"x")+1),-$E705*N(P705)))</f>
        <v/>
      </c>
      <c r="AE705" s="34">
        <f>IF(OR($A705="",$H705&lt;&gt;"Ausgabe",Q705=""),0,IF(Q705="x",-$E705/(COUNTIF($J705:$Q705,"x")+1),-$E705*N(Q705)))</f>
        <v/>
      </c>
    </row>
    <row r="706">
      <c r="A706" s="30" t="n"/>
      <c r="E706" s="31" t="n"/>
      <c r="J706" s="32" t="n"/>
      <c r="K706" s="32" t="n"/>
      <c r="L706" s="32" t="n"/>
      <c r="M706" s="32" t="n"/>
      <c r="N706" s="32" t="n"/>
      <c r="O706" s="32" t="n"/>
      <c r="P706" s="32" t="n"/>
      <c r="Q706" s="32" t="n"/>
      <c r="U706" s="31">
        <f>IF($A706="","",SUM(X706:AE706))</f>
        <v/>
      </c>
      <c r="V706" s="31">
        <f>IF($A706="","",IF($H706&lt;&gt;"Ausgabe",0,-$E706-$U706))</f>
        <v/>
      </c>
      <c r="W706" s="33">
        <f>IF($A706="","",DATE(YEAR($A706),MONTH($A706),1))</f>
        <v/>
      </c>
      <c r="X706" s="34">
        <f>IF(OR($A706="",$H706&lt;&gt;"Ausgabe",J706=""),0,IF(J706="x",-$E706/(COUNTIF($J706:$Q706,"x")+1),-$E706*N(J706)))</f>
        <v/>
      </c>
      <c r="Y706" s="34">
        <f>IF(OR($A706="",$H706&lt;&gt;"Ausgabe",K706=""),0,IF(K706="x",-$E706/(COUNTIF($J706:$Q706,"x")+1),-$E706*N(K706)))</f>
        <v/>
      </c>
      <c r="Z706" s="34">
        <f>IF(OR($A706="",$H706&lt;&gt;"Ausgabe",L706=""),0,IF(L706="x",-$E706/(COUNTIF($J706:$Q706,"x")+1),-$E706*N(L706)))</f>
        <v/>
      </c>
      <c r="AA706" s="34">
        <f>IF(OR($A706="",$H706&lt;&gt;"Ausgabe",M706=""),0,IF(M706="x",-$E706/(COUNTIF($J706:$Q706,"x")+1),-$E706*N(M706)))</f>
        <v/>
      </c>
      <c r="AB706" s="34">
        <f>IF(OR($A706="",$H706&lt;&gt;"Ausgabe",N706=""),0,IF(N706="x",-$E706/(COUNTIF($J706:$Q706,"x")+1),-$E706*N(N706)))</f>
        <v/>
      </c>
      <c r="AC706" s="34">
        <f>IF(OR($A706="",$H706&lt;&gt;"Ausgabe",O706=""),0,IF(O706="x",-$E706/(COUNTIF($J706:$Q706,"x")+1),-$E706*N(O706)))</f>
        <v/>
      </c>
      <c r="AD706" s="34">
        <f>IF(OR($A706="",$H706&lt;&gt;"Ausgabe",P706=""),0,IF(P706="x",-$E706/(COUNTIF($J706:$Q706,"x")+1),-$E706*N(P706)))</f>
        <v/>
      </c>
      <c r="AE706" s="34">
        <f>IF(OR($A706="",$H706&lt;&gt;"Ausgabe",Q706=""),0,IF(Q706="x",-$E706/(COUNTIF($J706:$Q706,"x")+1),-$E706*N(Q706)))</f>
        <v/>
      </c>
    </row>
    <row r="707">
      <c r="A707" s="30" t="n"/>
      <c r="E707" s="31" t="n"/>
      <c r="J707" s="32" t="n"/>
      <c r="K707" s="32" t="n"/>
      <c r="L707" s="32" t="n"/>
      <c r="M707" s="32" t="n"/>
      <c r="N707" s="32" t="n"/>
      <c r="O707" s="32" t="n"/>
      <c r="P707" s="32" t="n"/>
      <c r="Q707" s="32" t="n"/>
      <c r="U707" s="31">
        <f>IF($A707="","",SUM(X707:AE707))</f>
        <v/>
      </c>
      <c r="V707" s="31">
        <f>IF($A707="","",IF($H707&lt;&gt;"Ausgabe",0,-$E707-$U707))</f>
        <v/>
      </c>
      <c r="W707" s="33">
        <f>IF($A707="","",DATE(YEAR($A707),MONTH($A707),1))</f>
        <v/>
      </c>
      <c r="X707" s="34">
        <f>IF(OR($A707="",$H707&lt;&gt;"Ausgabe",J707=""),0,IF(J707="x",-$E707/(COUNTIF($J707:$Q707,"x")+1),-$E707*N(J707)))</f>
        <v/>
      </c>
      <c r="Y707" s="34">
        <f>IF(OR($A707="",$H707&lt;&gt;"Ausgabe",K707=""),0,IF(K707="x",-$E707/(COUNTIF($J707:$Q707,"x")+1),-$E707*N(K707)))</f>
        <v/>
      </c>
      <c r="Z707" s="34">
        <f>IF(OR($A707="",$H707&lt;&gt;"Ausgabe",L707=""),0,IF(L707="x",-$E707/(COUNTIF($J707:$Q707,"x")+1),-$E707*N(L707)))</f>
        <v/>
      </c>
      <c r="AA707" s="34">
        <f>IF(OR($A707="",$H707&lt;&gt;"Ausgabe",M707=""),0,IF(M707="x",-$E707/(COUNTIF($J707:$Q707,"x")+1),-$E707*N(M707)))</f>
        <v/>
      </c>
      <c r="AB707" s="34">
        <f>IF(OR($A707="",$H707&lt;&gt;"Ausgabe",N707=""),0,IF(N707="x",-$E707/(COUNTIF($J707:$Q707,"x")+1),-$E707*N(N707)))</f>
        <v/>
      </c>
      <c r="AC707" s="34">
        <f>IF(OR($A707="",$H707&lt;&gt;"Ausgabe",O707=""),0,IF(O707="x",-$E707/(COUNTIF($J707:$Q707,"x")+1),-$E707*N(O707)))</f>
        <v/>
      </c>
      <c r="AD707" s="34">
        <f>IF(OR($A707="",$H707&lt;&gt;"Ausgabe",P707=""),0,IF(P707="x",-$E707/(COUNTIF($J707:$Q707,"x")+1),-$E707*N(P707)))</f>
        <v/>
      </c>
      <c r="AE707" s="34">
        <f>IF(OR($A707="",$H707&lt;&gt;"Ausgabe",Q707=""),0,IF(Q707="x",-$E707/(COUNTIF($J707:$Q707,"x")+1),-$E707*N(Q707)))</f>
        <v/>
      </c>
    </row>
    <row r="708">
      <c r="A708" s="30" t="n"/>
      <c r="E708" s="31" t="n"/>
      <c r="J708" s="32" t="n"/>
      <c r="K708" s="32" t="n"/>
      <c r="L708" s="32" t="n"/>
      <c r="M708" s="32" t="n"/>
      <c r="N708" s="32" t="n"/>
      <c r="O708" s="32" t="n"/>
      <c r="P708" s="32" t="n"/>
      <c r="Q708" s="32" t="n"/>
      <c r="U708" s="31">
        <f>IF($A708="","",SUM(X708:AE708))</f>
        <v/>
      </c>
      <c r="V708" s="31">
        <f>IF($A708="","",IF($H708&lt;&gt;"Ausgabe",0,-$E708-$U708))</f>
        <v/>
      </c>
      <c r="W708" s="33">
        <f>IF($A708="","",DATE(YEAR($A708),MONTH($A708),1))</f>
        <v/>
      </c>
      <c r="X708" s="34">
        <f>IF(OR($A708="",$H708&lt;&gt;"Ausgabe",J708=""),0,IF(J708="x",-$E708/(COUNTIF($J708:$Q708,"x")+1),-$E708*N(J708)))</f>
        <v/>
      </c>
      <c r="Y708" s="34">
        <f>IF(OR($A708="",$H708&lt;&gt;"Ausgabe",K708=""),0,IF(K708="x",-$E708/(COUNTIF($J708:$Q708,"x")+1),-$E708*N(K708)))</f>
        <v/>
      </c>
      <c r="Z708" s="34">
        <f>IF(OR($A708="",$H708&lt;&gt;"Ausgabe",L708=""),0,IF(L708="x",-$E708/(COUNTIF($J708:$Q708,"x")+1),-$E708*N(L708)))</f>
        <v/>
      </c>
      <c r="AA708" s="34">
        <f>IF(OR($A708="",$H708&lt;&gt;"Ausgabe",M708=""),0,IF(M708="x",-$E708/(COUNTIF($J708:$Q708,"x")+1),-$E708*N(M708)))</f>
        <v/>
      </c>
      <c r="AB708" s="34">
        <f>IF(OR($A708="",$H708&lt;&gt;"Ausgabe",N708=""),0,IF(N708="x",-$E708/(COUNTIF($J708:$Q708,"x")+1),-$E708*N(N708)))</f>
        <v/>
      </c>
      <c r="AC708" s="34">
        <f>IF(OR($A708="",$H708&lt;&gt;"Ausgabe",O708=""),0,IF(O708="x",-$E708/(COUNTIF($J708:$Q708,"x")+1),-$E708*N(O708)))</f>
        <v/>
      </c>
      <c r="AD708" s="34">
        <f>IF(OR($A708="",$H708&lt;&gt;"Ausgabe",P708=""),0,IF(P708="x",-$E708/(COUNTIF($J708:$Q708,"x")+1),-$E708*N(P708)))</f>
        <v/>
      </c>
      <c r="AE708" s="34">
        <f>IF(OR($A708="",$H708&lt;&gt;"Ausgabe",Q708=""),0,IF(Q708="x",-$E708/(COUNTIF($J708:$Q708,"x")+1),-$E708*N(Q708)))</f>
        <v/>
      </c>
    </row>
    <row r="709">
      <c r="A709" s="30" t="n"/>
      <c r="E709" s="31" t="n"/>
      <c r="J709" s="32" t="n"/>
      <c r="K709" s="32" t="n"/>
      <c r="L709" s="32" t="n"/>
      <c r="M709" s="32" t="n"/>
      <c r="N709" s="32" t="n"/>
      <c r="O709" s="32" t="n"/>
      <c r="P709" s="32" t="n"/>
      <c r="Q709" s="32" t="n"/>
      <c r="U709" s="31">
        <f>IF($A709="","",SUM(X709:AE709))</f>
        <v/>
      </c>
      <c r="V709" s="31">
        <f>IF($A709="","",IF($H709&lt;&gt;"Ausgabe",0,-$E709-$U709))</f>
        <v/>
      </c>
      <c r="W709" s="33">
        <f>IF($A709="","",DATE(YEAR($A709),MONTH($A709),1))</f>
        <v/>
      </c>
      <c r="X709" s="34">
        <f>IF(OR($A709="",$H709&lt;&gt;"Ausgabe",J709=""),0,IF(J709="x",-$E709/(COUNTIF($J709:$Q709,"x")+1),-$E709*N(J709)))</f>
        <v/>
      </c>
      <c r="Y709" s="34">
        <f>IF(OR($A709="",$H709&lt;&gt;"Ausgabe",K709=""),0,IF(K709="x",-$E709/(COUNTIF($J709:$Q709,"x")+1),-$E709*N(K709)))</f>
        <v/>
      </c>
      <c r="Z709" s="34">
        <f>IF(OR($A709="",$H709&lt;&gt;"Ausgabe",L709=""),0,IF(L709="x",-$E709/(COUNTIF($J709:$Q709,"x")+1),-$E709*N(L709)))</f>
        <v/>
      </c>
      <c r="AA709" s="34">
        <f>IF(OR($A709="",$H709&lt;&gt;"Ausgabe",M709=""),0,IF(M709="x",-$E709/(COUNTIF($J709:$Q709,"x")+1),-$E709*N(M709)))</f>
        <v/>
      </c>
      <c r="AB709" s="34">
        <f>IF(OR($A709="",$H709&lt;&gt;"Ausgabe",N709=""),0,IF(N709="x",-$E709/(COUNTIF($J709:$Q709,"x")+1),-$E709*N(N709)))</f>
        <v/>
      </c>
      <c r="AC709" s="34">
        <f>IF(OR($A709="",$H709&lt;&gt;"Ausgabe",O709=""),0,IF(O709="x",-$E709/(COUNTIF($J709:$Q709,"x")+1),-$E709*N(O709)))</f>
        <v/>
      </c>
      <c r="AD709" s="34">
        <f>IF(OR($A709="",$H709&lt;&gt;"Ausgabe",P709=""),0,IF(P709="x",-$E709/(COUNTIF($J709:$Q709,"x")+1),-$E709*N(P709)))</f>
        <v/>
      </c>
      <c r="AE709" s="34">
        <f>IF(OR($A709="",$H709&lt;&gt;"Ausgabe",Q709=""),0,IF(Q709="x",-$E709/(COUNTIF($J709:$Q709,"x")+1),-$E709*N(Q709)))</f>
        <v/>
      </c>
    </row>
    <row r="710">
      <c r="A710" s="30" t="n"/>
      <c r="E710" s="31" t="n"/>
      <c r="J710" s="32" t="n"/>
      <c r="K710" s="32" t="n"/>
      <c r="L710" s="32" t="n"/>
      <c r="M710" s="32" t="n"/>
      <c r="N710" s="32" t="n"/>
      <c r="O710" s="32" t="n"/>
      <c r="P710" s="32" t="n"/>
      <c r="Q710" s="32" t="n"/>
      <c r="U710" s="31">
        <f>IF($A710="","",SUM(X710:AE710))</f>
        <v/>
      </c>
      <c r="V710" s="31">
        <f>IF($A710="","",IF($H710&lt;&gt;"Ausgabe",0,-$E710-$U710))</f>
        <v/>
      </c>
      <c r="W710" s="33">
        <f>IF($A710="","",DATE(YEAR($A710),MONTH($A710),1))</f>
        <v/>
      </c>
      <c r="X710" s="34">
        <f>IF(OR($A710="",$H710&lt;&gt;"Ausgabe",J710=""),0,IF(J710="x",-$E710/(COUNTIF($J710:$Q710,"x")+1),-$E710*N(J710)))</f>
        <v/>
      </c>
      <c r="Y710" s="34">
        <f>IF(OR($A710="",$H710&lt;&gt;"Ausgabe",K710=""),0,IF(K710="x",-$E710/(COUNTIF($J710:$Q710,"x")+1),-$E710*N(K710)))</f>
        <v/>
      </c>
      <c r="Z710" s="34">
        <f>IF(OR($A710="",$H710&lt;&gt;"Ausgabe",L710=""),0,IF(L710="x",-$E710/(COUNTIF($J710:$Q710,"x")+1),-$E710*N(L710)))</f>
        <v/>
      </c>
      <c r="AA710" s="34">
        <f>IF(OR($A710="",$H710&lt;&gt;"Ausgabe",M710=""),0,IF(M710="x",-$E710/(COUNTIF($J710:$Q710,"x")+1),-$E710*N(M710)))</f>
        <v/>
      </c>
      <c r="AB710" s="34">
        <f>IF(OR($A710="",$H710&lt;&gt;"Ausgabe",N710=""),0,IF(N710="x",-$E710/(COUNTIF($J710:$Q710,"x")+1),-$E710*N(N710)))</f>
        <v/>
      </c>
      <c r="AC710" s="34">
        <f>IF(OR($A710="",$H710&lt;&gt;"Ausgabe",O710=""),0,IF(O710="x",-$E710/(COUNTIF($J710:$Q710,"x")+1),-$E710*N(O710)))</f>
        <v/>
      </c>
      <c r="AD710" s="34">
        <f>IF(OR($A710="",$H710&lt;&gt;"Ausgabe",P710=""),0,IF(P710="x",-$E710/(COUNTIF($J710:$Q710,"x")+1),-$E710*N(P710)))</f>
        <v/>
      </c>
      <c r="AE710" s="34">
        <f>IF(OR($A710="",$H710&lt;&gt;"Ausgabe",Q710=""),0,IF(Q710="x",-$E710/(COUNTIF($J710:$Q710,"x")+1),-$E710*N(Q710)))</f>
        <v/>
      </c>
    </row>
    <row r="711">
      <c r="A711" s="30" t="n"/>
      <c r="E711" s="31" t="n"/>
      <c r="J711" s="32" t="n"/>
      <c r="K711" s="32" t="n"/>
      <c r="L711" s="32" t="n"/>
      <c r="M711" s="32" t="n"/>
      <c r="N711" s="32" t="n"/>
      <c r="O711" s="32" t="n"/>
      <c r="P711" s="32" t="n"/>
      <c r="Q711" s="32" t="n"/>
      <c r="U711" s="31">
        <f>IF($A711="","",SUM(X711:AE711))</f>
        <v/>
      </c>
      <c r="V711" s="31">
        <f>IF($A711="","",IF($H711&lt;&gt;"Ausgabe",0,-$E711-$U711))</f>
        <v/>
      </c>
      <c r="W711" s="33">
        <f>IF($A711="","",DATE(YEAR($A711),MONTH($A711),1))</f>
        <v/>
      </c>
      <c r="X711" s="34">
        <f>IF(OR($A711="",$H711&lt;&gt;"Ausgabe",J711=""),0,IF(J711="x",-$E711/(COUNTIF($J711:$Q711,"x")+1),-$E711*N(J711)))</f>
        <v/>
      </c>
      <c r="Y711" s="34">
        <f>IF(OR($A711="",$H711&lt;&gt;"Ausgabe",K711=""),0,IF(K711="x",-$E711/(COUNTIF($J711:$Q711,"x")+1),-$E711*N(K711)))</f>
        <v/>
      </c>
      <c r="Z711" s="34">
        <f>IF(OR($A711="",$H711&lt;&gt;"Ausgabe",L711=""),0,IF(L711="x",-$E711/(COUNTIF($J711:$Q711,"x")+1),-$E711*N(L711)))</f>
        <v/>
      </c>
      <c r="AA711" s="34">
        <f>IF(OR($A711="",$H711&lt;&gt;"Ausgabe",M711=""),0,IF(M711="x",-$E711/(COUNTIF($J711:$Q711,"x")+1),-$E711*N(M711)))</f>
        <v/>
      </c>
      <c r="AB711" s="34">
        <f>IF(OR($A711="",$H711&lt;&gt;"Ausgabe",N711=""),0,IF(N711="x",-$E711/(COUNTIF($J711:$Q711,"x")+1),-$E711*N(N711)))</f>
        <v/>
      </c>
      <c r="AC711" s="34">
        <f>IF(OR($A711="",$H711&lt;&gt;"Ausgabe",O711=""),0,IF(O711="x",-$E711/(COUNTIF($J711:$Q711,"x")+1),-$E711*N(O711)))</f>
        <v/>
      </c>
      <c r="AD711" s="34">
        <f>IF(OR($A711="",$H711&lt;&gt;"Ausgabe",P711=""),0,IF(P711="x",-$E711/(COUNTIF($J711:$Q711,"x")+1),-$E711*N(P711)))</f>
        <v/>
      </c>
      <c r="AE711" s="34">
        <f>IF(OR($A711="",$H711&lt;&gt;"Ausgabe",Q711=""),0,IF(Q711="x",-$E711/(COUNTIF($J711:$Q711,"x")+1),-$E711*N(Q711)))</f>
        <v/>
      </c>
    </row>
    <row r="712">
      <c r="A712" s="30" t="n"/>
      <c r="E712" s="31" t="n"/>
      <c r="J712" s="32" t="n"/>
      <c r="K712" s="32" t="n"/>
      <c r="L712" s="32" t="n"/>
      <c r="M712" s="32" t="n"/>
      <c r="N712" s="32" t="n"/>
      <c r="O712" s="32" t="n"/>
      <c r="P712" s="32" t="n"/>
      <c r="Q712" s="32" t="n"/>
      <c r="U712" s="31">
        <f>IF($A712="","",SUM(X712:AE712))</f>
        <v/>
      </c>
      <c r="V712" s="31">
        <f>IF($A712="","",IF($H712&lt;&gt;"Ausgabe",0,-$E712-$U712))</f>
        <v/>
      </c>
      <c r="W712" s="33">
        <f>IF($A712="","",DATE(YEAR($A712),MONTH($A712),1))</f>
        <v/>
      </c>
      <c r="X712" s="34">
        <f>IF(OR($A712="",$H712&lt;&gt;"Ausgabe",J712=""),0,IF(J712="x",-$E712/(COUNTIF($J712:$Q712,"x")+1),-$E712*N(J712)))</f>
        <v/>
      </c>
      <c r="Y712" s="34">
        <f>IF(OR($A712="",$H712&lt;&gt;"Ausgabe",K712=""),0,IF(K712="x",-$E712/(COUNTIF($J712:$Q712,"x")+1),-$E712*N(K712)))</f>
        <v/>
      </c>
      <c r="Z712" s="34">
        <f>IF(OR($A712="",$H712&lt;&gt;"Ausgabe",L712=""),0,IF(L712="x",-$E712/(COUNTIF($J712:$Q712,"x")+1),-$E712*N(L712)))</f>
        <v/>
      </c>
      <c r="AA712" s="34">
        <f>IF(OR($A712="",$H712&lt;&gt;"Ausgabe",M712=""),0,IF(M712="x",-$E712/(COUNTIF($J712:$Q712,"x")+1),-$E712*N(M712)))</f>
        <v/>
      </c>
      <c r="AB712" s="34">
        <f>IF(OR($A712="",$H712&lt;&gt;"Ausgabe",N712=""),0,IF(N712="x",-$E712/(COUNTIF($J712:$Q712,"x")+1),-$E712*N(N712)))</f>
        <v/>
      </c>
      <c r="AC712" s="34">
        <f>IF(OR($A712="",$H712&lt;&gt;"Ausgabe",O712=""),0,IF(O712="x",-$E712/(COUNTIF($J712:$Q712,"x")+1),-$E712*N(O712)))</f>
        <v/>
      </c>
      <c r="AD712" s="34">
        <f>IF(OR($A712="",$H712&lt;&gt;"Ausgabe",P712=""),0,IF(P712="x",-$E712/(COUNTIF($J712:$Q712,"x")+1),-$E712*N(P712)))</f>
        <v/>
      </c>
      <c r="AE712" s="34">
        <f>IF(OR($A712="",$H712&lt;&gt;"Ausgabe",Q712=""),0,IF(Q712="x",-$E712/(COUNTIF($J712:$Q712,"x")+1),-$E712*N(Q712)))</f>
        <v/>
      </c>
    </row>
    <row r="713">
      <c r="A713" s="30" t="n"/>
      <c r="E713" s="31" t="n"/>
      <c r="J713" s="32" t="n"/>
      <c r="K713" s="32" t="n"/>
      <c r="L713" s="32" t="n"/>
      <c r="M713" s="32" t="n"/>
      <c r="N713" s="32" t="n"/>
      <c r="O713" s="32" t="n"/>
      <c r="P713" s="32" t="n"/>
      <c r="Q713" s="32" t="n"/>
      <c r="U713" s="31">
        <f>IF($A713="","",SUM(X713:AE713))</f>
        <v/>
      </c>
      <c r="V713" s="31">
        <f>IF($A713="","",IF($H713&lt;&gt;"Ausgabe",0,-$E713-$U713))</f>
        <v/>
      </c>
      <c r="W713" s="33">
        <f>IF($A713="","",DATE(YEAR($A713),MONTH($A713),1))</f>
        <v/>
      </c>
      <c r="X713" s="34">
        <f>IF(OR($A713="",$H713&lt;&gt;"Ausgabe",J713=""),0,IF(J713="x",-$E713/(COUNTIF($J713:$Q713,"x")+1),-$E713*N(J713)))</f>
        <v/>
      </c>
      <c r="Y713" s="34">
        <f>IF(OR($A713="",$H713&lt;&gt;"Ausgabe",K713=""),0,IF(K713="x",-$E713/(COUNTIF($J713:$Q713,"x")+1),-$E713*N(K713)))</f>
        <v/>
      </c>
      <c r="Z713" s="34">
        <f>IF(OR($A713="",$H713&lt;&gt;"Ausgabe",L713=""),0,IF(L713="x",-$E713/(COUNTIF($J713:$Q713,"x")+1),-$E713*N(L713)))</f>
        <v/>
      </c>
      <c r="AA713" s="34">
        <f>IF(OR($A713="",$H713&lt;&gt;"Ausgabe",M713=""),0,IF(M713="x",-$E713/(COUNTIF($J713:$Q713,"x")+1),-$E713*N(M713)))</f>
        <v/>
      </c>
      <c r="AB713" s="34">
        <f>IF(OR($A713="",$H713&lt;&gt;"Ausgabe",N713=""),0,IF(N713="x",-$E713/(COUNTIF($J713:$Q713,"x")+1),-$E713*N(N713)))</f>
        <v/>
      </c>
      <c r="AC713" s="34">
        <f>IF(OR($A713="",$H713&lt;&gt;"Ausgabe",O713=""),0,IF(O713="x",-$E713/(COUNTIF($J713:$Q713,"x")+1),-$E713*N(O713)))</f>
        <v/>
      </c>
      <c r="AD713" s="34">
        <f>IF(OR($A713="",$H713&lt;&gt;"Ausgabe",P713=""),0,IF(P713="x",-$E713/(COUNTIF($J713:$Q713,"x")+1),-$E713*N(P713)))</f>
        <v/>
      </c>
      <c r="AE713" s="34">
        <f>IF(OR($A713="",$H713&lt;&gt;"Ausgabe",Q713=""),0,IF(Q713="x",-$E713/(COUNTIF($J713:$Q713,"x")+1),-$E713*N(Q713)))</f>
        <v/>
      </c>
    </row>
    <row r="714">
      <c r="A714" s="30" t="n"/>
      <c r="E714" s="31" t="n"/>
      <c r="J714" s="32" t="n"/>
      <c r="K714" s="32" t="n"/>
      <c r="L714" s="32" t="n"/>
      <c r="M714" s="32" t="n"/>
      <c r="N714" s="32" t="n"/>
      <c r="O714" s="32" t="n"/>
      <c r="P714" s="32" t="n"/>
      <c r="Q714" s="32" t="n"/>
      <c r="U714" s="31">
        <f>IF($A714="","",SUM(X714:AE714))</f>
        <v/>
      </c>
      <c r="V714" s="31">
        <f>IF($A714="","",IF($H714&lt;&gt;"Ausgabe",0,-$E714-$U714))</f>
        <v/>
      </c>
      <c r="W714" s="33">
        <f>IF($A714="","",DATE(YEAR($A714),MONTH($A714),1))</f>
        <v/>
      </c>
      <c r="X714" s="34">
        <f>IF(OR($A714="",$H714&lt;&gt;"Ausgabe",J714=""),0,IF(J714="x",-$E714/(COUNTIF($J714:$Q714,"x")+1),-$E714*N(J714)))</f>
        <v/>
      </c>
      <c r="Y714" s="34">
        <f>IF(OR($A714="",$H714&lt;&gt;"Ausgabe",K714=""),0,IF(K714="x",-$E714/(COUNTIF($J714:$Q714,"x")+1),-$E714*N(K714)))</f>
        <v/>
      </c>
      <c r="Z714" s="34">
        <f>IF(OR($A714="",$H714&lt;&gt;"Ausgabe",L714=""),0,IF(L714="x",-$E714/(COUNTIF($J714:$Q714,"x")+1),-$E714*N(L714)))</f>
        <v/>
      </c>
      <c r="AA714" s="34">
        <f>IF(OR($A714="",$H714&lt;&gt;"Ausgabe",M714=""),0,IF(M714="x",-$E714/(COUNTIF($J714:$Q714,"x")+1),-$E714*N(M714)))</f>
        <v/>
      </c>
      <c r="AB714" s="34">
        <f>IF(OR($A714="",$H714&lt;&gt;"Ausgabe",N714=""),0,IF(N714="x",-$E714/(COUNTIF($J714:$Q714,"x")+1),-$E714*N(N714)))</f>
        <v/>
      </c>
      <c r="AC714" s="34">
        <f>IF(OR($A714="",$H714&lt;&gt;"Ausgabe",O714=""),0,IF(O714="x",-$E714/(COUNTIF($J714:$Q714,"x")+1),-$E714*N(O714)))</f>
        <v/>
      </c>
      <c r="AD714" s="34">
        <f>IF(OR($A714="",$H714&lt;&gt;"Ausgabe",P714=""),0,IF(P714="x",-$E714/(COUNTIF($J714:$Q714,"x")+1),-$E714*N(P714)))</f>
        <v/>
      </c>
      <c r="AE714" s="34">
        <f>IF(OR($A714="",$H714&lt;&gt;"Ausgabe",Q714=""),0,IF(Q714="x",-$E714/(COUNTIF($J714:$Q714,"x")+1),-$E714*N(Q714)))</f>
        <v/>
      </c>
    </row>
    <row r="715">
      <c r="A715" s="30" t="n"/>
      <c r="E715" s="31" t="n"/>
      <c r="J715" s="32" t="n"/>
      <c r="K715" s="32" t="n"/>
      <c r="L715" s="32" t="n"/>
      <c r="M715" s="32" t="n"/>
      <c r="N715" s="32" t="n"/>
      <c r="O715" s="32" t="n"/>
      <c r="P715" s="32" t="n"/>
      <c r="Q715" s="32" t="n"/>
      <c r="U715" s="31">
        <f>IF($A715="","",SUM(X715:AE715))</f>
        <v/>
      </c>
      <c r="V715" s="31">
        <f>IF($A715="","",IF($H715&lt;&gt;"Ausgabe",0,-$E715-$U715))</f>
        <v/>
      </c>
      <c r="W715" s="33">
        <f>IF($A715="","",DATE(YEAR($A715),MONTH($A715),1))</f>
        <v/>
      </c>
      <c r="X715" s="34">
        <f>IF(OR($A715="",$H715&lt;&gt;"Ausgabe",J715=""),0,IF(J715="x",-$E715/(COUNTIF($J715:$Q715,"x")+1),-$E715*N(J715)))</f>
        <v/>
      </c>
      <c r="Y715" s="34">
        <f>IF(OR($A715="",$H715&lt;&gt;"Ausgabe",K715=""),0,IF(K715="x",-$E715/(COUNTIF($J715:$Q715,"x")+1),-$E715*N(K715)))</f>
        <v/>
      </c>
      <c r="Z715" s="34">
        <f>IF(OR($A715="",$H715&lt;&gt;"Ausgabe",L715=""),0,IF(L715="x",-$E715/(COUNTIF($J715:$Q715,"x")+1),-$E715*N(L715)))</f>
        <v/>
      </c>
      <c r="AA715" s="34">
        <f>IF(OR($A715="",$H715&lt;&gt;"Ausgabe",M715=""),0,IF(M715="x",-$E715/(COUNTIF($J715:$Q715,"x")+1),-$E715*N(M715)))</f>
        <v/>
      </c>
      <c r="AB715" s="34">
        <f>IF(OR($A715="",$H715&lt;&gt;"Ausgabe",N715=""),0,IF(N715="x",-$E715/(COUNTIF($J715:$Q715,"x")+1),-$E715*N(N715)))</f>
        <v/>
      </c>
      <c r="AC715" s="34">
        <f>IF(OR($A715="",$H715&lt;&gt;"Ausgabe",O715=""),0,IF(O715="x",-$E715/(COUNTIF($J715:$Q715,"x")+1),-$E715*N(O715)))</f>
        <v/>
      </c>
      <c r="AD715" s="34">
        <f>IF(OR($A715="",$H715&lt;&gt;"Ausgabe",P715=""),0,IF(P715="x",-$E715/(COUNTIF($J715:$Q715,"x")+1),-$E715*N(P715)))</f>
        <v/>
      </c>
      <c r="AE715" s="34">
        <f>IF(OR($A715="",$H715&lt;&gt;"Ausgabe",Q715=""),0,IF(Q715="x",-$E715/(COUNTIF($J715:$Q715,"x")+1),-$E715*N(Q715)))</f>
        <v/>
      </c>
    </row>
    <row r="716">
      <c r="A716" s="30" t="n"/>
      <c r="E716" s="31" t="n"/>
      <c r="J716" s="32" t="n"/>
      <c r="K716" s="32" t="n"/>
      <c r="L716" s="32" t="n"/>
      <c r="M716" s="32" t="n"/>
      <c r="N716" s="32" t="n"/>
      <c r="O716" s="32" t="n"/>
      <c r="P716" s="32" t="n"/>
      <c r="Q716" s="32" t="n"/>
      <c r="U716" s="31">
        <f>IF($A716="","",SUM(X716:AE716))</f>
        <v/>
      </c>
      <c r="V716" s="31">
        <f>IF($A716="","",IF($H716&lt;&gt;"Ausgabe",0,-$E716-$U716))</f>
        <v/>
      </c>
      <c r="W716" s="33">
        <f>IF($A716="","",DATE(YEAR($A716),MONTH($A716),1))</f>
        <v/>
      </c>
      <c r="X716" s="34">
        <f>IF(OR($A716="",$H716&lt;&gt;"Ausgabe",J716=""),0,IF(J716="x",-$E716/(COUNTIF($J716:$Q716,"x")+1),-$E716*N(J716)))</f>
        <v/>
      </c>
      <c r="Y716" s="34">
        <f>IF(OR($A716="",$H716&lt;&gt;"Ausgabe",K716=""),0,IF(K716="x",-$E716/(COUNTIF($J716:$Q716,"x")+1),-$E716*N(K716)))</f>
        <v/>
      </c>
      <c r="Z716" s="34">
        <f>IF(OR($A716="",$H716&lt;&gt;"Ausgabe",L716=""),0,IF(L716="x",-$E716/(COUNTIF($J716:$Q716,"x")+1),-$E716*N(L716)))</f>
        <v/>
      </c>
      <c r="AA716" s="34">
        <f>IF(OR($A716="",$H716&lt;&gt;"Ausgabe",M716=""),0,IF(M716="x",-$E716/(COUNTIF($J716:$Q716,"x")+1),-$E716*N(M716)))</f>
        <v/>
      </c>
      <c r="AB716" s="34">
        <f>IF(OR($A716="",$H716&lt;&gt;"Ausgabe",N716=""),0,IF(N716="x",-$E716/(COUNTIF($J716:$Q716,"x")+1),-$E716*N(N716)))</f>
        <v/>
      </c>
      <c r="AC716" s="34">
        <f>IF(OR($A716="",$H716&lt;&gt;"Ausgabe",O716=""),0,IF(O716="x",-$E716/(COUNTIF($J716:$Q716,"x")+1),-$E716*N(O716)))</f>
        <v/>
      </c>
      <c r="AD716" s="34">
        <f>IF(OR($A716="",$H716&lt;&gt;"Ausgabe",P716=""),0,IF(P716="x",-$E716/(COUNTIF($J716:$Q716,"x")+1),-$E716*N(P716)))</f>
        <v/>
      </c>
      <c r="AE716" s="34">
        <f>IF(OR($A716="",$H716&lt;&gt;"Ausgabe",Q716=""),0,IF(Q716="x",-$E716/(COUNTIF($J716:$Q716,"x")+1),-$E716*N(Q716)))</f>
        <v/>
      </c>
    </row>
    <row r="717">
      <c r="A717" s="30" t="n"/>
      <c r="E717" s="31" t="n"/>
      <c r="J717" s="32" t="n"/>
      <c r="K717" s="32" t="n"/>
      <c r="L717" s="32" t="n"/>
      <c r="M717" s="32" t="n"/>
      <c r="N717" s="32" t="n"/>
      <c r="O717" s="32" t="n"/>
      <c r="P717" s="32" t="n"/>
      <c r="Q717" s="32" t="n"/>
      <c r="U717" s="31">
        <f>IF($A717="","",SUM(X717:AE717))</f>
        <v/>
      </c>
      <c r="V717" s="31">
        <f>IF($A717="","",IF($H717&lt;&gt;"Ausgabe",0,-$E717-$U717))</f>
        <v/>
      </c>
      <c r="W717" s="33">
        <f>IF($A717="","",DATE(YEAR($A717),MONTH($A717),1))</f>
        <v/>
      </c>
      <c r="X717" s="34">
        <f>IF(OR($A717="",$H717&lt;&gt;"Ausgabe",J717=""),0,IF(J717="x",-$E717/(COUNTIF($J717:$Q717,"x")+1),-$E717*N(J717)))</f>
        <v/>
      </c>
      <c r="Y717" s="34">
        <f>IF(OR($A717="",$H717&lt;&gt;"Ausgabe",K717=""),0,IF(K717="x",-$E717/(COUNTIF($J717:$Q717,"x")+1),-$E717*N(K717)))</f>
        <v/>
      </c>
      <c r="Z717" s="34">
        <f>IF(OR($A717="",$H717&lt;&gt;"Ausgabe",L717=""),0,IF(L717="x",-$E717/(COUNTIF($J717:$Q717,"x")+1),-$E717*N(L717)))</f>
        <v/>
      </c>
      <c r="AA717" s="34">
        <f>IF(OR($A717="",$H717&lt;&gt;"Ausgabe",M717=""),0,IF(M717="x",-$E717/(COUNTIF($J717:$Q717,"x")+1),-$E717*N(M717)))</f>
        <v/>
      </c>
      <c r="AB717" s="34">
        <f>IF(OR($A717="",$H717&lt;&gt;"Ausgabe",N717=""),0,IF(N717="x",-$E717/(COUNTIF($J717:$Q717,"x")+1),-$E717*N(N717)))</f>
        <v/>
      </c>
      <c r="AC717" s="34">
        <f>IF(OR($A717="",$H717&lt;&gt;"Ausgabe",O717=""),0,IF(O717="x",-$E717/(COUNTIF($J717:$Q717,"x")+1),-$E717*N(O717)))</f>
        <v/>
      </c>
      <c r="AD717" s="34">
        <f>IF(OR($A717="",$H717&lt;&gt;"Ausgabe",P717=""),0,IF(P717="x",-$E717/(COUNTIF($J717:$Q717,"x")+1),-$E717*N(P717)))</f>
        <v/>
      </c>
      <c r="AE717" s="34">
        <f>IF(OR($A717="",$H717&lt;&gt;"Ausgabe",Q717=""),0,IF(Q717="x",-$E717/(COUNTIF($J717:$Q717,"x")+1),-$E717*N(Q717)))</f>
        <v/>
      </c>
    </row>
    <row r="718">
      <c r="A718" s="30" t="n"/>
      <c r="E718" s="31" t="n"/>
      <c r="J718" s="32" t="n"/>
      <c r="K718" s="32" t="n"/>
      <c r="L718" s="32" t="n"/>
      <c r="M718" s="32" t="n"/>
      <c r="N718" s="32" t="n"/>
      <c r="O718" s="32" t="n"/>
      <c r="P718" s="32" t="n"/>
      <c r="Q718" s="32" t="n"/>
      <c r="U718" s="31">
        <f>IF($A718="","",SUM(X718:AE718))</f>
        <v/>
      </c>
      <c r="V718" s="31">
        <f>IF($A718="","",IF($H718&lt;&gt;"Ausgabe",0,-$E718-$U718))</f>
        <v/>
      </c>
      <c r="W718" s="33">
        <f>IF($A718="","",DATE(YEAR($A718),MONTH($A718),1))</f>
        <v/>
      </c>
      <c r="X718" s="34">
        <f>IF(OR($A718="",$H718&lt;&gt;"Ausgabe",J718=""),0,IF(J718="x",-$E718/(COUNTIF($J718:$Q718,"x")+1),-$E718*N(J718)))</f>
        <v/>
      </c>
      <c r="Y718" s="34">
        <f>IF(OR($A718="",$H718&lt;&gt;"Ausgabe",K718=""),0,IF(K718="x",-$E718/(COUNTIF($J718:$Q718,"x")+1),-$E718*N(K718)))</f>
        <v/>
      </c>
      <c r="Z718" s="34">
        <f>IF(OR($A718="",$H718&lt;&gt;"Ausgabe",L718=""),0,IF(L718="x",-$E718/(COUNTIF($J718:$Q718,"x")+1),-$E718*N(L718)))</f>
        <v/>
      </c>
      <c r="AA718" s="34">
        <f>IF(OR($A718="",$H718&lt;&gt;"Ausgabe",M718=""),0,IF(M718="x",-$E718/(COUNTIF($J718:$Q718,"x")+1),-$E718*N(M718)))</f>
        <v/>
      </c>
      <c r="AB718" s="34">
        <f>IF(OR($A718="",$H718&lt;&gt;"Ausgabe",N718=""),0,IF(N718="x",-$E718/(COUNTIF($J718:$Q718,"x")+1),-$E718*N(N718)))</f>
        <v/>
      </c>
      <c r="AC718" s="34">
        <f>IF(OR($A718="",$H718&lt;&gt;"Ausgabe",O718=""),0,IF(O718="x",-$E718/(COUNTIF($J718:$Q718,"x")+1),-$E718*N(O718)))</f>
        <v/>
      </c>
      <c r="AD718" s="34">
        <f>IF(OR($A718="",$H718&lt;&gt;"Ausgabe",P718=""),0,IF(P718="x",-$E718/(COUNTIF($J718:$Q718,"x")+1),-$E718*N(P718)))</f>
        <v/>
      </c>
      <c r="AE718" s="34">
        <f>IF(OR($A718="",$H718&lt;&gt;"Ausgabe",Q718=""),0,IF(Q718="x",-$E718/(COUNTIF($J718:$Q718,"x")+1),-$E718*N(Q718)))</f>
        <v/>
      </c>
    </row>
    <row r="719">
      <c r="A719" s="30" t="n"/>
      <c r="E719" s="31" t="n"/>
      <c r="J719" s="32" t="n"/>
      <c r="K719" s="32" t="n"/>
      <c r="L719" s="32" t="n"/>
      <c r="M719" s="32" t="n"/>
      <c r="N719" s="32" t="n"/>
      <c r="O719" s="32" t="n"/>
      <c r="P719" s="32" t="n"/>
      <c r="Q719" s="32" t="n"/>
      <c r="U719" s="31">
        <f>IF($A719="","",SUM(X719:AE719))</f>
        <v/>
      </c>
      <c r="V719" s="31">
        <f>IF($A719="","",IF($H719&lt;&gt;"Ausgabe",0,-$E719-$U719))</f>
        <v/>
      </c>
      <c r="W719" s="33">
        <f>IF($A719="","",DATE(YEAR($A719),MONTH($A719),1))</f>
        <v/>
      </c>
      <c r="X719" s="34">
        <f>IF(OR($A719="",$H719&lt;&gt;"Ausgabe",J719=""),0,IF(J719="x",-$E719/(COUNTIF($J719:$Q719,"x")+1),-$E719*N(J719)))</f>
        <v/>
      </c>
      <c r="Y719" s="34">
        <f>IF(OR($A719="",$H719&lt;&gt;"Ausgabe",K719=""),0,IF(K719="x",-$E719/(COUNTIF($J719:$Q719,"x")+1),-$E719*N(K719)))</f>
        <v/>
      </c>
      <c r="Z719" s="34">
        <f>IF(OR($A719="",$H719&lt;&gt;"Ausgabe",L719=""),0,IF(L719="x",-$E719/(COUNTIF($J719:$Q719,"x")+1),-$E719*N(L719)))</f>
        <v/>
      </c>
      <c r="AA719" s="34">
        <f>IF(OR($A719="",$H719&lt;&gt;"Ausgabe",M719=""),0,IF(M719="x",-$E719/(COUNTIF($J719:$Q719,"x")+1),-$E719*N(M719)))</f>
        <v/>
      </c>
      <c r="AB719" s="34">
        <f>IF(OR($A719="",$H719&lt;&gt;"Ausgabe",N719=""),0,IF(N719="x",-$E719/(COUNTIF($J719:$Q719,"x")+1),-$E719*N(N719)))</f>
        <v/>
      </c>
      <c r="AC719" s="34">
        <f>IF(OR($A719="",$H719&lt;&gt;"Ausgabe",O719=""),0,IF(O719="x",-$E719/(COUNTIF($J719:$Q719,"x")+1),-$E719*N(O719)))</f>
        <v/>
      </c>
      <c r="AD719" s="34">
        <f>IF(OR($A719="",$H719&lt;&gt;"Ausgabe",P719=""),0,IF(P719="x",-$E719/(COUNTIF($J719:$Q719,"x")+1),-$E719*N(P719)))</f>
        <v/>
      </c>
      <c r="AE719" s="34">
        <f>IF(OR($A719="",$H719&lt;&gt;"Ausgabe",Q719=""),0,IF(Q719="x",-$E719/(COUNTIF($J719:$Q719,"x")+1),-$E719*N(Q719)))</f>
        <v/>
      </c>
    </row>
    <row r="720">
      <c r="A720" s="30" t="n"/>
      <c r="E720" s="31" t="n"/>
      <c r="J720" s="32" t="n"/>
      <c r="K720" s="32" t="n"/>
      <c r="L720" s="32" t="n"/>
      <c r="M720" s="32" t="n"/>
      <c r="N720" s="32" t="n"/>
      <c r="O720" s="32" t="n"/>
      <c r="P720" s="32" t="n"/>
      <c r="Q720" s="32" t="n"/>
      <c r="U720" s="31">
        <f>IF($A720="","",SUM(X720:AE720))</f>
        <v/>
      </c>
      <c r="V720" s="31">
        <f>IF($A720="","",IF($H720&lt;&gt;"Ausgabe",0,-$E720-$U720))</f>
        <v/>
      </c>
      <c r="W720" s="33">
        <f>IF($A720="","",DATE(YEAR($A720),MONTH($A720),1))</f>
        <v/>
      </c>
      <c r="X720" s="34">
        <f>IF(OR($A720="",$H720&lt;&gt;"Ausgabe",J720=""),0,IF(J720="x",-$E720/(COUNTIF($J720:$Q720,"x")+1),-$E720*N(J720)))</f>
        <v/>
      </c>
      <c r="Y720" s="34">
        <f>IF(OR($A720="",$H720&lt;&gt;"Ausgabe",K720=""),0,IF(K720="x",-$E720/(COUNTIF($J720:$Q720,"x")+1),-$E720*N(K720)))</f>
        <v/>
      </c>
      <c r="Z720" s="34">
        <f>IF(OR($A720="",$H720&lt;&gt;"Ausgabe",L720=""),0,IF(L720="x",-$E720/(COUNTIF($J720:$Q720,"x")+1),-$E720*N(L720)))</f>
        <v/>
      </c>
      <c r="AA720" s="34">
        <f>IF(OR($A720="",$H720&lt;&gt;"Ausgabe",M720=""),0,IF(M720="x",-$E720/(COUNTIF($J720:$Q720,"x")+1),-$E720*N(M720)))</f>
        <v/>
      </c>
      <c r="AB720" s="34">
        <f>IF(OR($A720="",$H720&lt;&gt;"Ausgabe",N720=""),0,IF(N720="x",-$E720/(COUNTIF($J720:$Q720,"x")+1),-$E720*N(N720)))</f>
        <v/>
      </c>
      <c r="AC720" s="34">
        <f>IF(OR($A720="",$H720&lt;&gt;"Ausgabe",O720=""),0,IF(O720="x",-$E720/(COUNTIF($J720:$Q720,"x")+1),-$E720*N(O720)))</f>
        <v/>
      </c>
      <c r="AD720" s="34">
        <f>IF(OR($A720="",$H720&lt;&gt;"Ausgabe",P720=""),0,IF(P720="x",-$E720/(COUNTIF($J720:$Q720,"x")+1),-$E720*N(P720)))</f>
        <v/>
      </c>
      <c r="AE720" s="34">
        <f>IF(OR($A720="",$H720&lt;&gt;"Ausgabe",Q720=""),0,IF(Q720="x",-$E720/(COUNTIF($J720:$Q720,"x")+1),-$E720*N(Q720)))</f>
        <v/>
      </c>
    </row>
    <row r="721">
      <c r="A721" s="30" t="n"/>
      <c r="E721" s="31" t="n"/>
      <c r="J721" s="32" t="n"/>
      <c r="K721" s="32" t="n"/>
      <c r="L721" s="32" t="n"/>
      <c r="M721" s="32" t="n"/>
      <c r="N721" s="32" t="n"/>
      <c r="O721" s="32" t="n"/>
      <c r="P721" s="32" t="n"/>
      <c r="Q721" s="32" t="n"/>
      <c r="U721" s="31">
        <f>IF($A721="","",SUM(X721:AE721))</f>
        <v/>
      </c>
      <c r="V721" s="31">
        <f>IF($A721="","",IF($H721&lt;&gt;"Ausgabe",0,-$E721-$U721))</f>
        <v/>
      </c>
      <c r="W721" s="33">
        <f>IF($A721="","",DATE(YEAR($A721),MONTH($A721),1))</f>
        <v/>
      </c>
      <c r="X721" s="34">
        <f>IF(OR($A721="",$H721&lt;&gt;"Ausgabe",J721=""),0,IF(J721="x",-$E721/(COUNTIF($J721:$Q721,"x")+1),-$E721*N(J721)))</f>
        <v/>
      </c>
      <c r="Y721" s="34">
        <f>IF(OR($A721="",$H721&lt;&gt;"Ausgabe",K721=""),0,IF(K721="x",-$E721/(COUNTIF($J721:$Q721,"x")+1),-$E721*N(K721)))</f>
        <v/>
      </c>
      <c r="Z721" s="34">
        <f>IF(OR($A721="",$H721&lt;&gt;"Ausgabe",L721=""),0,IF(L721="x",-$E721/(COUNTIF($J721:$Q721,"x")+1),-$E721*N(L721)))</f>
        <v/>
      </c>
      <c r="AA721" s="34">
        <f>IF(OR($A721="",$H721&lt;&gt;"Ausgabe",M721=""),0,IF(M721="x",-$E721/(COUNTIF($J721:$Q721,"x")+1),-$E721*N(M721)))</f>
        <v/>
      </c>
      <c r="AB721" s="34">
        <f>IF(OR($A721="",$H721&lt;&gt;"Ausgabe",N721=""),0,IF(N721="x",-$E721/(COUNTIF($J721:$Q721,"x")+1),-$E721*N(N721)))</f>
        <v/>
      </c>
      <c r="AC721" s="34">
        <f>IF(OR($A721="",$H721&lt;&gt;"Ausgabe",O721=""),0,IF(O721="x",-$E721/(COUNTIF($J721:$Q721,"x")+1),-$E721*N(O721)))</f>
        <v/>
      </c>
      <c r="AD721" s="34">
        <f>IF(OR($A721="",$H721&lt;&gt;"Ausgabe",P721=""),0,IF(P721="x",-$E721/(COUNTIF($J721:$Q721,"x")+1),-$E721*N(P721)))</f>
        <v/>
      </c>
      <c r="AE721" s="34">
        <f>IF(OR($A721="",$H721&lt;&gt;"Ausgabe",Q721=""),0,IF(Q721="x",-$E721/(COUNTIF($J721:$Q721,"x")+1),-$E721*N(Q721)))</f>
        <v/>
      </c>
    </row>
    <row r="722">
      <c r="A722" s="30" t="n"/>
      <c r="E722" s="31" t="n"/>
      <c r="J722" s="32" t="n"/>
      <c r="K722" s="32" t="n"/>
      <c r="L722" s="32" t="n"/>
      <c r="M722" s="32" t="n"/>
      <c r="N722" s="32" t="n"/>
      <c r="O722" s="32" t="n"/>
      <c r="P722" s="32" t="n"/>
      <c r="Q722" s="32" t="n"/>
      <c r="U722" s="31">
        <f>IF($A722="","",SUM(X722:AE722))</f>
        <v/>
      </c>
      <c r="V722" s="31">
        <f>IF($A722="","",IF($H722&lt;&gt;"Ausgabe",0,-$E722-$U722))</f>
        <v/>
      </c>
      <c r="W722" s="33">
        <f>IF($A722="","",DATE(YEAR($A722),MONTH($A722),1))</f>
        <v/>
      </c>
      <c r="X722" s="34">
        <f>IF(OR($A722="",$H722&lt;&gt;"Ausgabe",J722=""),0,IF(J722="x",-$E722/(COUNTIF($J722:$Q722,"x")+1),-$E722*N(J722)))</f>
        <v/>
      </c>
      <c r="Y722" s="34">
        <f>IF(OR($A722="",$H722&lt;&gt;"Ausgabe",K722=""),0,IF(K722="x",-$E722/(COUNTIF($J722:$Q722,"x")+1),-$E722*N(K722)))</f>
        <v/>
      </c>
      <c r="Z722" s="34">
        <f>IF(OR($A722="",$H722&lt;&gt;"Ausgabe",L722=""),0,IF(L722="x",-$E722/(COUNTIF($J722:$Q722,"x")+1),-$E722*N(L722)))</f>
        <v/>
      </c>
      <c r="AA722" s="34">
        <f>IF(OR($A722="",$H722&lt;&gt;"Ausgabe",M722=""),0,IF(M722="x",-$E722/(COUNTIF($J722:$Q722,"x")+1),-$E722*N(M722)))</f>
        <v/>
      </c>
      <c r="AB722" s="34">
        <f>IF(OR($A722="",$H722&lt;&gt;"Ausgabe",N722=""),0,IF(N722="x",-$E722/(COUNTIF($J722:$Q722,"x")+1),-$E722*N(N722)))</f>
        <v/>
      </c>
      <c r="AC722" s="34">
        <f>IF(OR($A722="",$H722&lt;&gt;"Ausgabe",O722=""),0,IF(O722="x",-$E722/(COUNTIF($J722:$Q722,"x")+1),-$E722*N(O722)))</f>
        <v/>
      </c>
      <c r="AD722" s="34">
        <f>IF(OR($A722="",$H722&lt;&gt;"Ausgabe",P722=""),0,IF(P722="x",-$E722/(COUNTIF($J722:$Q722,"x")+1),-$E722*N(P722)))</f>
        <v/>
      </c>
      <c r="AE722" s="34">
        <f>IF(OR($A722="",$H722&lt;&gt;"Ausgabe",Q722=""),0,IF(Q722="x",-$E722/(COUNTIF($J722:$Q722,"x")+1),-$E722*N(Q722)))</f>
        <v/>
      </c>
    </row>
    <row r="723">
      <c r="A723" s="30" t="n"/>
      <c r="E723" s="31" t="n"/>
      <c r="J723" s="32" t="n"/>
      <c r="K723" s="32" t="n"/>
      <c r="L723" s="32" t="n"/>
      <c r="M723" s="32" t="n"/>
      <c r="N723" s="32" t="n"/>
      <c r="O723" s="32" t="n"/>
      <c r="P723" s="32" t="n"/>
      <c r="Q723" s="32" t="n"/>
      <c r="U723" s="31">
        <f>IF($A723="","",SUM(X723:AE723))</f>
        <v/>
      </c>
      <c r="V723" s="31">
        <f>IF($A723="","",IF($H723&lt;&gt;"Ausgabe",0,-$E723-$U723))</f>
        <v/>
      </c>
      <c r="W723" s="33">
        <f>IF($A723="","",DATE(YEAR($A723),MONTH($A723),1))</f>
        <v/>
      </c>
      <c r="X723" s="34">
        <f>IF(OR($A723="",$H723&lt;&gt;"Ausgabe",J723=""),0,IF(J723="x",-$E723/(COUNTIF($J723:$Q723,"x")+1),-$E723*N(J723)))</f>
        <v/>
      </c>
      <c r="Y723" s="34">
        <f>IF(OR($A723="",$H723&lt;&gt;"Ausgabe",K723=""),0,IF(K723="x",-$E723/(COUNTIF($J723:$Q723,"x")+1),-$E723*N(K723)))</f>
        <v/>
      </c>
      <c r="Z723" s="34">
        <f>IF(OR($A723="",$H723&lt;&gt;"Ausgabe",L723=""),0,IF(L723="x",-$E723/(COUNTIF($J723:$Q723,"x")+1),-$E723*N(L723)))</f>
        <v/>
      </c>
      <c r="AA723" s="34">
        <f>IF(OR($A723="",$H723&lt;&gt;"Ausgabe",M723=""),0,IF(M723="x",-$E723/(COUNTIF($J723:$Q723,"x")+1),-$E723*N(M723)))</f>
        <v/>
      </c>
      <c r="AB723" s="34">
        <f>IF(OR($A723="",$H723&lt;&gt;"Ausgabe",N723=""),0,IF(N723="x",-$E723/(COUNTIF($J723:$Q723,"x")+1),-$E723*N(N723)))</f>
        <v/>
      </c>
      <c r="AC723" s="34">
        <f>IF(OR($A723="",$H723&lt;&gt;"Ausgabe",O723=""),0,IF(O723="x",-$E723/(COUNTIF($J723:$Q723,"x")+1),-$E723*N(O723)))</f>
        <v/>
      </c>
      <c r="AD723" s="34">
        <f>IF(OR($A723="",$H723&lt;&gt;"Ausgabe",P723=""),0,IF(P723="x",-$E723/(COUNTIF($J723:$Q723,"x")+1),-$E723*N(P723)))</f>
        <v/>
      </c>
      <c r="AE723" s="34">
        <f>IF(OR($A723="",$H723&lt;&gt;"Ausgabe",Q723=""),0,IF(Q723="x",-$E723/(COUNTIF($J723:$Q723,"x")+1),-$E723*N(Q723)))</f>
        <v/>
      </c>
    </row>
    <row r="724">
      <c r="A724" s="30" t="n"/>
      <c r="E724" s="31" t="n"/>
      <c r="J724" s="32" t="n"/>
      <c r="K724" s="32" t="n"/>
      <c r="L724" s="32" t="n"/>
      <c r="M724" s="32" t="n"/>
      <c r="N724" s="32" t="n"/>
      <c r="O724" s="32" t="n"/>
      <c r="P724" s="32" t="n"/>
      <c r="Q724" s="32" t="n"/>
      <c r="U724" s="31">
        <f>IF($A724="","",SUM(X724:AE724))</f>
        <v/>
      </c>
      <c r="V724" s="31">
        <f>IF($A724="","",IF($H724&lt;&gt;"Ausgabe",0,-$E724-$U724))</f>
        <v/>
      </c>
      <c r="W724" s="33">
        <f>IF($A724="","",DATE(YEAR($A724),MONTH($A724),1))</f>
        <v/>
      </c>
      <c r="X724" s="34">
        <f>IF(OR($A724="",$H724&lt;&gt;"Ausgabe",J724=""),0,IF(J724="x",-$E724/(COUNTIF($J724:$Q724,"x")+1),-$E724*N(J724)))</f>
        <v/>
      </c>
      <c r="Y724" s="34">
        <f>IF(OR($A724="",$H724&lt;&gt;"Ausgabe",K724=""),0,IF(K724="x",-$E724/(COUNTIF($J724:$Q724,"x")+1),-$E724*N(K724)))</f>
        <v/>
      </c>
      <c r="Z724" s="34">
        <f>IF(OR($A724="",$H724&lt;&gt;"Ausgabe",L724=""),0,IF(L724="x",-$E724/(COUNTIF($J724:$Q724,"x")+1),-$E724*N(L724)))</f>
        <v/>
      </c>
      <c r="AA724" s="34">
        <f>IF(OR($A724="",$H724&lt;&gt;"Ausgabe",M724=""),0,IF(M724="x",-$E724/(COUNTIF($J724:$Q724,"x")+1),-$E724*N(M724)))</f>
        <v/>
      </c>
      <c r="AB724" s="34">
        <f>IF(OR($A724="",$H724&lt;&gt;"Ausgabe",N724=""),0,IF(N724="x",-$E724/(COUNTIF($J724:$Q724,"x")+1),-$E724*N(N724)))</f>
        <v/>
      </c>
      <c r="AC724" s="34">
        <f>IF(OR($A724="",$H724&lt;&gt;"Ausgabe",O724=""),0,IF(O724="x",-$E724/(COUNTIF($J724:$Q724,"x")+1),-$E724*N(O724)))</f>
        <v/>
      </c>
      <c r="AD724" s="34">
        <f>IF(OR($A724="",$H724&lt;&gt;"Ausgabe",P724=""),0,IF(P724="x",-$E724/(COUNTIF($J724:$Q724,"x")+1),-$E724*N(P724)))</f>
        <v/>
      </c>
      <c r="AE724" s="34">
        <f>IF(OR($A724="",$H724&lt;&gt;"Ausgabe",Q724=""),0,IF(Q724="x",-$E724/(COUNTIF($J724:$Q724,"x")+1),-$E724*N(Q724)))</f>
        <v/>
      </c>
    </row>
    <row r="725">
      <c r="A725" s="30" t="n"/>
      <c r="E725" s="31" t="n"/>
      <c r="J725" s="32" t="n"/>
      <c r="K725" s="32" t="n"/>
      <c r="L725" s="32" t="n"/>
      <c r="M725" s="32" t="n"/>
      <c r="N725" s="32" t="n"/>
      <c r="O725" s="32" t="n"/>
      <c r="P725" s="32" t="n"/>
      <c r="Q725" s="32" t="n"/>
      <c r="U725" s="31">
        <f>IF($A725="","",SUM(X725:AE725))</f>
        <v/>
      </c>
      <c r="V725" s="31">
        <f>IF($A725="","",IF($H725&lt;&gt;"Ausgabe",0,-$E725-$U725))</f>
        <v/>
      </c>
      <c r="W725" s="33">
        <f>IF($A725="","",DATE(YEAR($A725),MONTH($A725),1))</f>
        <v/>
      </c>
      <c r="X725" s="34">
        <f>IF(OR($A725="",$H725&lt;&gt;"Ausgabe",J725=""),0,IF(J725="x",-$E725/(COUNTIF($J725:$Q725,"x")+1),-$E725*N(J725)))</f>
        <v/>
      </c>
      <c r="Y725" s="34">
        <f>IF(OR($A725="",$H725&lt;&gt;"Ausgabe",K725=""),0,IF(K725="x",-$E725/(COUNTIF($J725:$Q725,"x")+1),-$E725*N(K725)))</f>
        <v/>
      </c>
      <c r="Z725" s="34">
        <f>IF(OR($A725="",$H725&lt;&gt;"Ausgabe",L725=""),0,IF(L725="x",-$E725/(COUNTIF($J725:$Q725,"x")+1),-$E725*N(L725)))</f>
        <v/>
      </c>
      <c r="AA725" s="34">
        <f>IF(OR($A725="",$H725&lt;&gt;"Ausgabe",M725=""),0,IF(M725="x",-$E725/(COUNTIF($J725:$Q725,"x")+1),-$E725*N(M725)))</f>
        <v/>
      </c>
      <c r="AB725" s="34">
        <f>IF(OR($A725="",$H725&lt;&gt;"Ausgabe",N725=""),0,IF(N725="x",-$E725/(COUNTIF($J725:$Q725,"x")+1),-$E725*N(N725)))</f>
        <v/>
      </c>
      <c r="AC725" s="34">
        <f>IF(OR($A725="",$H725&lt;&gt;"Ausgabe",O725=""),0,IF(O725="x",-$E725/(COUNTIF($J725:$Q725,"x")+1),-$E725*N(O725)))</f>
        <v/>
      </c>
      <c r="AD725" s="34">
        <f>IF(OR($A725="",$H725&lt;&gt;"Ausgabe",P725=""),0,IF(P725="x",-$E725/(COUNTIF($J725:$Q725,"x")+1),-$E725*N(P725)))</f>
        <v/>
      </c>
      <c r="AE725" s="34">
        <f>IF(OR($A725="",$H725&lt;&gt;"Ausgabe",Q725=""),0,IF(Q725="x",-$E725/(COUNTIF($J725:$Q725,"x")+1),-$E725*N(Q725)))</f>
        <v/>
      </c>
    </row>
    <row r="726">
      <c r="A726" s="30" t="n"/>
      <c r="E726" s="31" t="n"/>
      <c r="J726" s="32" t="n"/>
      <c r="K726" s="32" t="n"/>
      <c r="L726" s="32" t="n"/>
      <c r="M726" s="32" t="n"/>
      <c r="N726" s="32" t="n"/>
      <c r="O726" s="32" t="n"/>
      <c r="P726" s="32" t="n"/>
      <c r="Q726" s="32" t="n"/>
      <c r="U726" s="31">
        <f>IF($A726="","",SUM(X726:AE726))</f>
        <v/>
      </c>
      <c r="V726" s="31">
        <f>IF($A726="","",IF($H726&lt;&gt;"Ausgabe",0,-$E726-$U726))</f>
        <v/>
      </c>
      <c r="W726" s="33">
        <f>IF($A726="","",DATE(YEAR($A726),MONTH($A726),1))</f>
        <v/>
      </c>
      <c r="X726" s="34">
        <f>IF(OR($A726="",$H726&lt;&gt;"Ausgabe",J726=""),0,IF(J726="x",-$E726/(COUNTIF($J726:$Q726,"x")+1),-$E726*N(J726)))</f>
        <v/>
      </c>
      <c r="Y726" s="34">
        <f>IF(OR($A726="",$H726&lt;&gt;"Ausgabe",K726=""),0,IF(K726="x",-$E726/(COUNTIF($J726:$Q726,"x")+1),-$E726*N(K726)))</f>
        <v/>
      </c>
      <c r="Z726" s="34">
        <f>IF(OR($A726="",$H726&lt;&gt;"Ausgabe",L726=""),0,IF(L726="x",-$E726/(COUNTIF($J726:$Q726,"x")+1),-$E726*N(L726)))</f>
        <v/>
      </c>
      <c r="AA726" s="34">
        <f>IF(OR($A726="",$H726&lt;&gt;"Ausgabe",M726=""),0,IF(M726="x",-$E726/(COUNTIF($J726:$Q726,"x")+1),-$E726*N(M726)))</f>
        <v/>
      </c>
      <c r="AB726" s="34">
        <f>IF(OR($A726="",$H726&lt;&gt;"Ausgabe",N726=""),0,IF(N726="x",-$E726/(COUNTIF($J726:$Q726,"x")+1),-$E726*N(N726)))</f>
        <v/>
      </c>
      <c r="AC726" s="34">
        <f>IF(OR($A726="",$H726&lt;&gt;"Ausgabe",O726=""),0,IF(O726="x",-$E726/(COUNTIF($J726:$Q726,"x")+1),-$E726*N(O726)))</f>
        <v/>
      </c>
      <c r="AD726" s="34">
        <f>IF(OR($A726="",$H726&lt;&gt;"Ausgabe",P726=""),0,IF(P726="x",-$E726/(COUNTIF($J726:$Q726,"x")+1),-$E726*N(P726)))</f>
        <v/>
      </c>
      <c r="AE726" s="34">
        <f>IF(OR($A726="",$H726&lt;&gt;"Ausgabe",Q726=""),0,IF(Q726="x",-$E726/(COUNTIF($J726:$Q726,"x")+1),-$E726*N(Q726)))</f>
        <v/>
      </c>
    </row>
    <row r="727">
      <c r="A727" s="30" t="n"/>
      <c r="E727" s="31" t="n"/>
      <c r="J727" s="32" t="n"/>
      <c r="K727" s="32" t="n"/>
      <c r="L727" s="32" t="n"/>
      <c r="M727" s="32" t="n"/>
      <c r="N727" s="32" t="n"/>
      <c r="O727" s="32" t="n"/>
      <c r="P727" s="32" t="n"/>
      <c r="Q727" s="32" t="n"/>
      <c r="U727" s="31">
        <f>IF($A727="","",SUM(X727:AE727))</f>
        <v/>
      </c>
      <c r="V727" s="31">
        <f>IF($A727="","",IF($H727&lt;&gt;"Ausgabe",0,-$E727-$U727))</f>
        <v/>
      </c>
      <c r="W727" s="33">
        <f>IF($A727="","",DATE(YEAR($A727),MONTH($A727),1))</f>
        <v/>
      </c>
      <c r="X727" s="34">
        <f>IF(OR($A727="",$H727&lt;&gt;"Ausgabe",J727=""),0,IF(J727="x",-$E727/(COUNTIF($J727:$Q727,"x")+1),-$E727*N(J727)))</f>
        <v/>
      </c>
      <c r="Y727" s="34">
        <f>IF(OR($A727="",$H727&lt;&gt;"Ausgabe",K727=""),0,IF(K727="x",-$E727/(COUNTIF($J727:$Q727,"x")+1),-$E727*N(K727)))</f>
        <v/>
      </c>
      <c r="Z727" s="34">
        <f>IF(OR($A727="",$H727&lt;&gt;"Ausgabe",L727=""),0,IF(L727="x",-$E727/(COUNTIF($J727:$Q727,"x")+1),-$E727*N(L727)))</f>
        <v/>
      </c>
      <c r="AA727" s="34">
        <f>IF(OR($A727="",$H727&lt;&gt;"Ausgabe",M727=""),0,IF(M727="x",-$E727/(COUNTIF($J727:$Q727,"x")+1),-$E727*N(M727)))</f>
        <v/>
      </c>
      <c r="AB727" s="34">
        <f>IF(OR($A727="",$H727&lt;&gt;"Ausgabe",N727=""),0,IF(N727="x",-$E727/(COUNTIF($J727:$Q727,"x")+1),-$E727*N(N727)))</f>
        <v/>
      </c>
      <c r="AC727" s="34">
        <f>IF(OR($A727="",$H727&lt;&gt;"Ausgabe",O727=""),0,IF(O727="x",-$E727/(COUNTIF($J727:$Q727,"x")+1),-$E727*N(O727)))</f>
        <v/>
      </c>
      <c r="AD727" s="34">
        <f>IF(OR($A727="",$H727&lt;&gt;"Ausgabe",P727=""),0,IF(P727="x",-$E727/(COUNTIF($J727:$Q727,"x")+1),-$E727*N(P727)))</f>
        <v/>
      </c>
      <c r="AE727" s="34">
        <f>IF(OR($A727="",$H727&lt;&gt;"Ausgabe",Q727=""),0,IF(Q727="x",-$E727/(COUNTIF($J727:$Q727,"x")+1),-$E727*N(Q727)))</f>
        <v/>
      </c>
    </row>
    <row r="728">
      <c r="A728" s="30" t="n"/>
      <c r="E728" s="31" t="n"/>
      <c r="J728" s="32" t="n"/>
      <c r="K728" s="32" t="n"/>
      <c r="L728" s="32" t="n"/>
      <c r="M728" s="32" t="n"/>
      <c r="N728" s="32" t="n"/>
      <c r="O728" s="32" t="n"/>
      <c r="P728" s="32" t="n"/>
      <c r="Q728" s="32" t="n"/>
      <c r="U728" s="31">
        <f>IF($A728="","",SUM(X728:AE728))</f>
        <v/>
      </c>
      <c r="V728" s="31">
        <f>IF($A728="","",IF($H728&lt;&gt;"Ausgabe",0,-$E728-$U728))</f>
        <v/>
      </c>
      <c r="W728" s="33">
        <f>IF($A728="","",DATE(YEAR($A728),MONTH($A728),1))</f>
        <v/>
      </c>
      <c r="X728" s="34">
        <f>IF(OR($A728="",$H728&lt;&gt;"Ausgabe",J728=""),0,IF(J728="x",-$E728/(COUNTIF($J728:$Q728,"x")+1),-$E728*N(J728)))</f>
        <v/>
      </c>
      <c r="Y728" s="34">
        <f>IF(OR($A728="",$H728&lt;&gt;"Ausgabe",K728=""),0,IF(K728="x",-$E728/(COUNTIF($J728:$Q728,"x")+1),-$E728*N(K728)))</f>
        <v/>
      </c>
      <c r="Z728" s="34">
        <f>IF(OR($A728="",$H728&lt;&gt;"Ausgabe",L728=""),0,IF(L728="x",-$E728/(COUNTIF($J728:$Q728,"x")+1),-$E728*N(L728)))</f>
        <v/>
      </c>
      <c r="AA728" s="34">
        <f>IF(OR($A728="",$H728&lt;&gt;"Ausgabe",M728=""),0,IF(M728="x",-$E728/(COUNTIF($J728:$Q728,"x")+1),-$E728*N(M728)))</f>
        <v/>
      </c>
      <c r="AB728" s="34">
        <f>IF(OR($A728="",$H728&lt;&gt;"Ausgabe",N728=""),0,IF(N728="x",-$E728/(COUNTIF($J728:$Q728,"x")+1),-$E728*N(N728)))</f>
        <v/>
      </c>
      <c r="AC728" s="34">
        <f>IF(OR($A728="",$H728&lt;&gt;"Ausgabe",O728=""),0,IF(O728="x",-$E728/(COUNTIF($J728:$Q728,"x")+1),-$E728*N(O728)))</f>
        <v/>
      </c>
      <c r="AD728" s="34">
        <f>IF(OR($A728="",$H728&lt;&gt;"Ausgabe",P728=""),0,IF(P728="x",-$E728/(COUNTIF($J728:$Q728,"x")+1),-$E728*N(P728)))</f>
        <v/>
      </c>
      <c r="AE728" s="34">
        <f>IF(OR($A728="",$H728&lt;&gt;"Ausgabe",Q728=""),0,IF(Q728="x",-$E728/(COUNTIF($J728:$Q728,"x")+1),-$E728*N(Q728)))</f>
        <v/>
      </c>
    </row>
    <row r="729">
      <c r="A729" s="30" t="n"/>
      <c r="E729" s="31" t="n"/>
      <c r="J729" s="32" t="n"/>
      <c r="K729" s="32" t="n"/>
      <c r="L729" s="32" t="n"/>
      <c r="M729" s="32" t="n"/>
      <c r="N729" s="32" t="n"/>
      <c r="O729" s="32" t="n"/>
      <c r="P729" s="32" t="n"/>
      <c r="Q729" s="32" t="n"/>
      <c r="U729" s="31">
        <f>IF($A729="","",SUM(X729:AE729))</f>
        <v/>
      </c>
      <c r="V729" s="31">
        <f>IF($A729="","",IF($H729&lt;&gt;"Ausgabe",0,-$E729-$U729))</f>
        <v/>
      </c>
      <c r="W729" s="33">
        <f>IF($A729="","",DATE(YEAR($A729),MONTH($A729),1))</f>
        <v/>
      </c>
      <c r="X729" s="34">
        <f>IF(OR($A729="",$H729&lt;&gt;"Ausgabe",J729=""),0,IF(J729="x",-$E729/(COUNTIF($J729:$Q729,"x")+1),-$E729*N(J729)))</f>
        <v/>
      </c>
      <c r="Y729" s="34">
        <f>IF(OR($A729="",$H729&lt;&gt;"Ausgabe",K729=""),0,IF(K729="x",-$E729/(COUNTIF($J729:$Q729,"x")+1),-$E729*N(K729)))</f>
        <v/>
      </c>
      <c r="Z729" s="34">
        <f>IF(OR($A729="",$H729&lt;&gt;"Ausgabe",L729=""),0,IF(L729="x",-$E729/(COUNTIF($J729:$Q729,"x")+1),-$E729*N(L729)))</f>
        <v/>
      </c>
      <c r="AA729" s="34">
        <f>IF(OR($A729="",$H729&lt;&gt;"Ausgabe",M729=""),0,IF(M729="x",-$E729/(COUNTIF($J729:$Q729,"x")+1),-$E729*N(M729)))</f>
        <v/>
      </c>
      <c r="AB729" s="34">
        <f>IF(OR($A729="",$H729&lt;&gt;"Ausgabe",N729=""),0,IF(N729="x",-$E729/(COUNTIF($J729:$Q729,"x")+1),-$E729*N(N729)))</f>
        <v/>
      </c>
      <c r="AC729" s="34">
        <f>IF(OR($A729="",$H729&lt;&gt;"Ausgabe",O729=""),0,IF(O729="x",-$E729/(COUNTIF($J729:$Q729,"x")+1),-$E729*N(O729)))</f>
        <v/>
      </c>
      <c r="AD729" s="34">
        <f>IF(OR($A729="",$H729&lt;&gt;"Ausgabe",P729=""),0,IF(P729="x",-$E729/(COUNTIF($J729:$Q729,"x")+1),-$E729*N(P729)))</f>
        <v/>
      </c>
      <c r="AE729" s="34">
        <f>IF(OR($A729="",$H729&lt;&gt;"Ausgabe",Q729=""),0,IF(Q729="x",-$E729/(COUNTIF($J729:$Q729,"x")+1),-$E729*N(Q729)))</f>
        <v/>
      </c>
    </row>
    <row r="730">
      <c r="A730" s="30" t="n"/>
      <c r="E730" s="31" t="n"/>
      <c r="J730" s="32" t="n"/>
      <c r="K730" s="32" t="n"/>
      <c r="L730" s="32" t="n"/>
      <c r="M730" s="32" t="n"/>
      <c r="N730" s="32" t="n"/>
      <c r="O730" s="32" t="n"/>
      <c r="P730" s="32" t="n"/>
      <c r="Q730" s="32" t="n"/>
      <c r="U730" s="31">
        <f>IF($A730="","",SUM(X730:AE730))</f>
        <v/>
      </c>
      <c r="V730" s="31">
        <f>IF($A730="","",IF($H730&lt;&gt;"Ausgabe",0,-$E730-$U730))</f>
        <v/>
      </c>
      <c r="W730" s="33">
        <f>IF($A730="","",DATE(YEAR($A730),MONTH($A730),1))</f>
        <v/>
      </c>
      <c r="X730" s="34">
        <f>IF(OR($A730="",$H730&lt;&gt;"Ausgabe",J730=""),0,IF(J730="x",-$E730/(COUNTIF($J730:$Q730,"x")+1),-$E730*N(J730)))</f>
        <v/>
      </c>
      <c r="Y730" s="34">
        <f>IF(OR($A730="",$H730&lt;&gt;"Ausgabe",K730=""),0,IF(K730="x",-$E730/(COUNTIF($J730:$Q730,"x")+1),-$E730*N(K730)))</f>
        <v/>
      </c>
      <c r="Z730" s="34">
        <f>IF(OR($A730="",$H730&lt;&gt;"Ausgabe",L730=""),0,IF(L730="x",-$E730/(COUNTIF($J730:$Q730,"x")+1),-$E730*N(L730)))</f>
        <v/>
      </c>
      <c r="AA730" s="34">
        <f>IF(OR($A730="",$H730&lt;&gt;"Ausgabe",M730=""),0,IF(M730="x",-$E730/(COUNTIF($J730:$Q730,"x")+1),-$E730*N(M730)))</f>
        <v/>
      </c>
      <c r="AB730" s="34">
        <f>IF(OR($A730="",$H730&lt;&gt;"Ausgabe",N730=""),0,IF(N730="x",-$E730/(COUNTIF($J730:$Q730,"x")+1),-$E730*N(N730)))</f>
        <v/>
      </c>
      <c r="AC730" s="34">
        <f>IF(OR($A730="",$H730&lt;&gt;"Ausgabe",O730=""),0,IF(O730="x",-$E730/(COUNTIF($J730:$Q730,"x")+1),-$E730*N(O730)))</f>
        <v/>
      </c>
      <c r="AD730" s="34">
        <f>IF(OR($A730="",$H730&lt;&gt;"Ausgabe",P730=""),0,IF(P730="x",-$E730/(COUNTIF($J730:$Q730,"x")+1),-$E730*N(P730)))</f>
        <v/>
      </c>
      <c r="AE730" s="34">
        <f>IF(OR($A730="",$H730&lt;&gt;"Ausgabe",Q730=""),0,IF(Q730="x",-$E730/(COUNTIF($J730:$Q730,"x")+1),-$E730*N(Q730)))</f>
        <v/>
      </c>
    </row>
    <row r="731">
      <c r="A731" s="30" t="n"/>
      <c r="E731" s="31" t="n"/>
      <c r="J731" s="32" t="n"/>
      <c r="K731" s="32" t="n"/>
      <c r="L731" s="32" t="n"/>
      <c r="M731" s="32" t="n"/>
      <c r="N731" s="32" t="n"/>
      <c r="O731" s="32" t="n"/>
      <c r="P731" s="32" t="n"/>
      <c r="Q731" s="32" t="n"/>
      <c r="U731" s="31">
        <f>IF($A731="","",SUM(X731:AE731))</f>
        <v/>
      </c>
      <c r="V731" s="31">
        <f>IF($A731="","",IF($H731&lt;&gt;"Ausgabe",0,-$E731-$U731))</f>
        <v/>
      </c>
      <c r="W731" s="33">
        <f>IF($A731="","",DATE(YEAR($A731),MONTH($A731),1))</f>
        <v/>
      </c>
      <c r="X731" s="34">
        <f>IF(OR($A731="",$H731&lt;&gt;"Ausgabe",J731=""),0,IF(J731="x",-$E731/(COUNTIF($J731:$Q731,"x")+1),-$E731*N(J731)))</f>
        <v/>
      </c>
      <c r="Y731" s="34">
        <f>IF(OR($A731="",$H731&lt;&gt;"Ausgabe",K731=""),0,IF(K731="x",-$E731/(COUNTIF($J731:$Q731,"x")+1),-$E731*N(K731)))</f>
        <v/>
      </c>
      <c r="Z731" s="34">
        <f>IF(OR($A731="",$H731&lt;&gt;"Ausgabe",L731=""),0,IF(L731="x",-$E731/(COUNTIF($J731:$Q731,"x")+1),-$E731*N(L731)))</f>
        <v/>
      </c>
      <c r="AA731" s="34">
        <f>IF(OR($A731="",$H731&lt;&gt;"Ausgabe",M731=""),0,IF(M731="x",-$E731/(COUNTIF($J731:$Q731,"x")+1),-$E731*N(M731)))</f>
        <v/>
      </c>
      <c r="AB731" s="34">
        <f>IF(OR($A731="",$H731&lt;&gt;"Ausgabe",N731=""),0,IF(N731="x",-$E731/(COUNTIF($J731:$Q731,"x")+1),-$E731*N(N731)))</f>
        <v/>
      </c>
      <c r="AC731" s="34">
        <f>IF(OR($A731="",$H731&lt;&gt;"Ausgabe",O731=""),0,IF(O731="x",-$E731/(COUNTIF($J731:$Q731,"x")+1),-$E731*N(O731)))</f>
        <v/>
      </c>
      <c r="AD731" s="34">
        <f>IF(OR($A731="",$H731&lt;&gt;"Ausgabe",P731=""),0,IF(P731="x",-$E731/(COUNTIF($J731:$Q731,"x")+1),-$E731*N(P731)))</f>
        <v/>
      </c>
      <c r="AE731" s="34">
        <f>IF(OR($A731="",$H731&lt;&gt;"Ausgabe",Q731=""),0,IF(Q731="x",-$E731/(COUNTIF($J731:$Q731,"x")+1),-$E731*N(Q731)))</f>
        <v/>
      </c>
    </row>
    <row r="732">
      <c r="A732" s="30" t="n"/>
      <c r="E732" s="31" t="n"/>
      <c r="J732" s="32" t="n"/>
      <c r="K732" s="32" t="n"/>
      <c r="L732" s="32" t="n"/>
      <c r="M732" s="32" t="n"/>
      <c r="N732" s="32" t="n"/>
      <c r="O732" s="32" t="n"/>
      <c r="P732" s="32" t="n"/>
      <c r="Q732" s="32" t="n"/>
      <c r="U732" s="31">
        <f>IF($A732="","",SUM(X732:AE732))</f>
        <v/>
      </c>
      <c r="V732" s="31">
        <f>IF($A732="","",IF($H732&lt;&gt;"Ausgabe",0,-$E732-$U732))</f>
        <v/>
      </c>
      <c r="W732" s="33">
        <f>IF($A732="","",DATE(YEAR($A732),MONTH($A732),1))</f>
        <v/>
      </c>
      <c r="X732" s="34">
        <f>IF(OR($A732="",$H732&lt;&gt;"Ausgabe",J732=""),0,IF(J732="x",-$E732/(COUNTIF($J732:$Q732,"x")+1),-$E732*N(J732)))</f>
        <v/>
      </c>
      <c r="Y732" s="34">
        <f>IF(OR($A732="",$H732&lt;&gt;"Ausgabe",K732=""),0,IF(K732="x",-$E732/(COUNTIF($J732:$Q732,"x")+1),-$E732*N(K732)))</f>
        <v/>
      </c>
      <c r="Z732" s="34">
        <f>IF(OR($A732="",$H732&lt;&gt;"Ausgabe",L732=""),0,IF(L732="x",-$E732/(COUNTIF($J732:$Q732,"x")+1),-$E732*N(L732)))</f>
        <v/>
      </c>
      <c r="AA732" s="34">
        <f>IF(OR($A732="",$H732&lt;&gt;"Ausgabe",M732=""),0,IF(M732="x",-$E732/(COUNTIF($J732:$Q732,"x")+1),-$E732*N(M732)))</f>
        <v/>
      </c>
      <c r="AB732" s="34">
        <f>IF(OR($A732="",$H732&lt;&gt;"Ausgabe",N732=""),0,IF(N732="x",-$E732/(COUNTIF($J732:$Q732,"x")+1),-$E732*N(N732)))</f>
        <v/>
      </c>
      <c r="AC732" s="34">
        <f>IF(OR($A732="",$H732&lt;&gt;"Ausgabe",O732=""),0,IF(O732="x",-$E732/(COUNTIF($J732:$Q732,"x")+1),-$E732*N(O732)))</f>
        <v/>
      </c>
      <c r="AD732" s="34">
        <f>IF(OR($A732="",$H732&lt;&gt;"Ausgabe",P732=""),0,IF(P732="x",-$E732/(COUNTIF($J732:$Q732,"x")+1),-$E732*N(P732)))</f>
        <v/>
      </c>
      <c r="AE732" s="34">
        <f>IF(OR($A732="",$H732&lt;&gt;"Ausgabe",Q732=""),0,IF(Q732="x",-$E732/(COUNTIF($J732:$Q732,"x")+1),-$E732*N(Q732)))</f>
        <v/>
      </c>
    </row>
    <row r="733">
      <c r="A733" s="30" t="n"/>
      <c r="E733" s="31" t="n"/>
      <c r="J733" s="32" t="n"/>
      <c r="K733" s="32" t="n"/>
      <c r="L733" s="32" t="n"/>
      <c r="M733" s="32" t="n"/>
      <c r="N733" s="32" t="n"/>
      <c r="O733" s="32" t="n"/>
      <c r="P733" s="32" t="n"/>
      <c r="Q733" s="32" t="n"/>
      <c r="U733" s="31">
        <f>IF($A733="","",SUM(X733:AE733))</f>
        <v/>
      </c>
      <c r="V733" s="31">
        <f>IF($A733="","",IF($H733&lt;&gt;"Ausgabe",0,-$E733-$U733))</f>
        <v/>
      </c>
      <c r="W733" s="33">
        <f>IF($A733="","",DATE(YEAR($A733),MONTH($A733),1))</f>
        <v/>
      </c>
      <c r="X733" s="34">
        <f>IF(OR($A733="",$H733&lt;&gt;"Ausgabe",J733=""),0,IF(J733="x",-$E733/(COUNTIF($J733:$Q733,"x")+1),-$E733*N(J733)))</f>
        <v/>
      </c>
      <c r="Y733" s="34">
        <f>IF(OR($A733="",$H733&lt;&gt;"Ausgabe",K733=""),0,IF(K733="x",-$E733/(COUNTIF($J733:$Q733,"x")+1),-$E733*N(K733)))</f>
        <v/>
      </c>
      <c r="Z733" s="34">
        <f>IF(OR($A733="",$H733&lt;&gt;"Ausgabe",L733=""),0,IF(L733="x",-$E733/(COUNTIF($J733:$Q733,"x")+1),-$E733*N(L733)))</f>
        <v/>
      </c>
      <c r="AA733" s="34">
        <f>IF(OR($A733="",$H733&lt;&gt;"Ausgabe",M733=""),0,IF(M733="x",-$E733/(COUNTIF($J733:$Q733,"x")+1),-$E733*N(M733)))</f>
        <v/>
      </c>
      <c r="AB733" s="34">
        <f>IF(OR($A733="",$H733&lt;&gt;"Ausgabe",N733=""),0,IF(N733="x",-$E733/(COUNTIF($J733:$Q733,"x")+1),-$E733*N(N733)))</f>
        <v/>
      </c>
      <c r="AC733" s="34">
        <f>IF(OR($A733="",$H733&lt;&gt;"Ausgabe",O733=""),0,IF(O733="x",-$E733/(COUNTIF($J733:$Q733,"x")+1),-$E733*N(O733)))</f>
        <v/>
      </c>
      <c r="AD733" s="34">
        <f>IF(OR($A733="",$H733&lt;&gt;"Ausgabe",P733=""),0,IF(P733="x",-$E733/(COUNTIF($J733:$Q733,"x")+1),-$E733*N(P733)))</f>
        <v/>
      </c>
      <c r="AE733" s="34">
        <f>IF(OR($A733="",$H733&lt;&gt;"Ausgabe",Q733=""),0,IF(Q733="x",-$E733/(COUNTIF($J733:$Q733,"x")+1),-$E733*N(Q733)))</f>
        <v/>
      </c>
    </row>
    <row r="734">
      <c r="A734" s="30" t="n"/>
      <c r="E734" s="31" t="n"/>
      <c r="J734" s="32" t="n"/>
      <c r="K734" s="32" t="n"/>
      <c r="L734" s="32" t="n"/>
      <c r="M734" s="32" t="n"/>
      <c r="N734" s="32" t="n"/>
      <c r="O734" s="32" t="n"/>
      <c r="P734" s="32" t="n"/>
      <c r="Q734" s="32" t="n"/>
      <c r="U734" s="31">
        <f>IF($A734="","",SUM(X734:AE734))</f>
        <v/>
      </c>
      <c r="V734" s="31">
        <f>IF($A734="","",IF($H734&lt;&gt;"Ausgabe",0,-$E734-$U734))</f>
        <v/>
      </c>
      <c r="W734" s="33">
        <f>IF($A734="","",DATE(YEAR($A734),MONTH($A734),1))</f>
        <v/>
      </c>
      <c r="X734" s="34">
        <f>IF(OR($A734="",$H734&lt;&gt;"Ausgabe",J734=""),0,IF(J734="x",-$E734/(COUNTIF($J734:$Q734,"x")+1),-$E734*N(J734)))</f>
        <v/>
      </c>
      <c r="Y734" s="34">
        <f>IF(OR($A734="",$H734&lt;&gt;"Ausgabe",K734=""),0,IF(K734="x",-$E734/(COUNTIF($J734:$Q734,"x")+1),-$E734*N(K734)))</f>
        <v/>
      </c>
      <c r="Z734" s="34">
        <f>IF(OR($A734="",$H734&lt;&gt;"Ausgabe",L734=""),0,IF(L734="x",-$E734/(COUNTIF($J734:$Q734,"x")+1),-$E734*N(L734)))</f>
        <v/>
      </c>
      <c r="AA734" s="34">
        <f>IF(OR($A734="",$H734&lt;&gt;"Ausgabe",M734=""),0,IF(M734="x",-$E734/(COUNTIF($J734:$Q734,"x")+1),-$E734*N(M734)))</f>
        <v/>
      </c>
      <c r="AB734" s="34">
        <f>IF(OR($A734="",$H734&lt;&gt;"Ausgabe",N734=""),0,IF(N734="x",-$E734/(COUNTIF($J734:$Q734,"x")+1),-$E734*N(N734)))</f>
        <v/>
      </c>
      <c r="AC734" s="34">
        <f>IF(OR($A734="",$H734&lt;&gt;"Ausgabe",O734=""),0,IF(O734="x",-$E734/(COUNTIF($J734:$Q734,"x")+1),-$E734*N(O734)))</f>
        <v/>
      </c>
      <c r="AD734" s="34">
        <f>IF(OR($A734="",$H734&lt;&gt;"Ausgabe",P734=""),0,IF(P734="x",-$E734/(COUNTIF($J734:$Q734,"x")+1),-$E734*N(P734)))</f>
        <v/>
      </c>
      <c r="AE734" s="34">
        <f>IF(OR($A734="",$H734&lt;&gt;"Ausgabe",Q734=""),0,IF(Q734="x",-$E734/(COUNTIF($J734:$Q734,"x")+1),-$E734*N(Q734)))</f>
        <v/>
      </c>
    </row>
    <row r="735">
      <c r="A735" s="30" t="n"/>
      <c r="E735" s="31" t="n"/>
      <c r="J735" s="32" t="n"/>
      <c r="K735" s="32" t="n"/>
      <c r="L735" s="32" t="n"/>
      <c r="M735" s="32" t="n"/>
      <c r="N735" s="32" t="n"/>
      <c r="O735" s="32" t="n"/>
      <c r="P735" s="32" t="n"/>
      <c r="Q735" s="32" t="n"/>
      <c r="U735" s="31">
        <f>IF($A735="","",SUM(X735:AE735))</f>
        <v/>
      </c>
      <c r="V735" s="31">
        <f>IF($A735="","",IF($H735&lt;&gt;"Ausgabe",0,-$E735-$U735))</f>
        <v/>
      </c>
      <c r="W735" s="33">
        <f>IF($A735="","",DATE(YEAR($A735),MONTH($A735),1))</f>
        <v/>
      </c>
      <c r="X735" s="34">
        <f>IF(OR($A735="",$H735&lt;&gt;"Ausgabe",J735=""),0,IF(J735="x",-$E735/(COUNTIF($J735:$Q735,"x")+1),-$E735*N(J735)))</f>
        <v/>
      </c>
      <c r="Y735" s="34">
        <f>IF(OR($A735="",$H735&lt;&gt;"Ausgabe",K735=""),0,IF(K735="x",-$E735/(COUNTIF($J735:$Q735,"x")+1),-$E735*N(K735)))</f>
        <v/>
      </c>
      <c r="Z735" s="34">
        <f>IF(OR($A735="",$H735&lt;&gt;"Ausgabe",L735=""),0,IF(L735="x",-$E735/(COUNTIF($J735:$Q735,"x")+1),-$E735*N(L735)))</f>
        <v/>
      </c>
      <c r="AA735" s="34">
        <f>IF(OR($A735="",$H735&lt;&gt;"Ausgabe",M735=""),0,IF(M735="x",-$E735/(COUNTIF($J735:$Q735,"x")+1),-$E735*N(M735)))</f>
        <v/>
      </c>
      <c r="AB735" s="34">
        <f>IF(OR($A735="",$H735&lt;&gt;"Ausgabe",N735=""),0,IF(N735="x",-$E735/(COUNTIF($J735:$Q735,"x")+1),-$E735*N(N735)))</f>
        <v/>
      </c>
      <c r="AC735" s="34">
        <f>IF(OR($A735="",$H735&lt;&gt;"Ausgabe",O735=""),0,IF(O735="x",-$E735/(COUNTIF($J735:$Q735,"x")+1),-$E735*N(O735)))</f>
        <v/>
      </c>
      <c r="AD735" s="34">
        <f>IF(OR($A735="",$H735&lt;&gt;"Ausgabe",P735=""),0,IF(P735="x",-$E735/(COUNTIF($J735:$Q735,"x")+1),-$E735*N(P735)))</f>
        <v/>
      </c>
      <c r="AE735" s="34">
        <f>IF(OR($A735="",$H735&lt;&gt;"Ausgabe",Q735=""),0,IF(Q735="x",-$E735/(COUNTIF($J735:$Q735,"x")+1),-$E735*N(Q735)))</f>
        <v/>
      </c>
    </row>
    <row r="736">
      <c r="A736" s="30" t="n"/>
      <c r="E736" s="31" t="n"/>
      <c r="J736" s="32" t="n"/>
      <c r="K736" s="32" t="n"/>
      <c r="L736" s="32" t="n"/>
      <c r="M736" s="32" t="n"/>
      <c r="N736" s="32" t="n"/>
      <c r="O736" s="32" t="n"/>
      <c r="P736" s="32" t="n"/>
      <c r="Q736" s="32" t="n"/>
      <c r="U736" s="31">
        <f>IF($A736="","",SUM(X736:AE736))</f>
        <v/>
      </c>
      <c r="V736" s="31">
        <f>IF($A736="","",IF($H736&lt;&gt;"Ausgabe",0,-$E736-$U736))</f>
        <v/>
      </c>
      <c r="W736" s="33">
        <f>IF($A736="","",DATE(YEAR($A736),MONTH($A736),1))</f>
        <v/>
      </c>
      <c r="X736" s="34">
        <f>IF(OR($A736="",$H736&lt;&gt;"Ausgabe",J736=""),0,IF(J736="x",-$E736/(COUNTIF($J736:$Q736,"x")+1),-$E736*N(J736)))</f>
        <v/>
      </c>
      <c r="Y736" s="34">
        <f>IF(OR($A736="",$H736&lt;&gt;"Ausgabe",K736=""),0,IF(K736="x",-$E736/(COUNTIF($J736:$Q736,"x")+1),-$E736*N(K736)))</f>
        <v/>
      </c>
      <c r="Z736" s="34">
        <f>IF(OR($A736="",$H736&lt;&gt;"Ausgabe",L736=""),0,IF(L736="x",-$E736/(COUNTIF($J736:$Q736,"x")+1),-$E736*N(L736)))</f>
        <v/>
      </c>
      <c r="AA736" s="34">
        <f>IF(OR($A736="",$H736&lt;&gt;"Ausgabe",M736=""),0,IF(M736="x",-$E736/(COUNTIF($J736:$Q736,"x")+1),-$E736*N(M736)))</f>
        <v/>
      </c>
      <c r="AB736" s="34">
        <f>IF(OR($A736="",$H736&lt;&gt;"Ausgabe",N736=""),0,IF(N736="x",-$E736/(COUNTIF($J736:$Q736,"x")+1),-$E736*N(N736)))</f>
        <v/>
      </c>
      <c r="AC736" s="34">
        <f>IF(OR($A736="",$H736&lt;&gt;"Ausgabe",O736=""),0,IF(O736="x",-$E736/(COUNTIF($J736:$Q736,"x")+1),-$E736*N(O736)))</f>
        <v/>
      </c>
      <c r="AD736" s="34">
        <f>IF(OR($A736="",$H736&lt;&gt;"Ausgabe",P736=""),0,IF(P736="x",-$E736/(COUNTIF($J736:$Q736,"x")+1),-$E736*N(P736)))</f>
        <v/>
      </c>
      <c r="AE736" s="34">
        <f>IF(OR($A736="",$H736&lt;&gt;"Ausgabe",Q736=""),0,IF(Q736="x",-$E736/(COUNTIF($J736:$Q736,"x")+1),-$E736*N(Q736)))</f>
        <v/>
      </c>
    </row>
    <row r="737">
      <c r="A737" s="30" t="n"/>
      <c r="E737" s="31" t="n"/>
      <c r="J737" s="32" t="n"/>
      <c r="K737" s="32" t="n"/>
      <c r="L737" s="32" t="n"/>
      <c r="M737" s="32" t="n"/>
      <c r="N737" s="32" t="n"/>
      <c r="O737" s="32" t="n"/>
      <c r="P737" s="32" t="n"/>
      <c r="Q737" s="32" t="n"/>
      <c r="U737" s="31">
        <f>IF($A737="","",SUM(X737:AE737))</f>
        <v/>
      </c>
      <c r="V737" s="31">
        <f>IF($A737="","",IF($H737&lt;&gt;"Ausgabe",0,-$E737-$U737))</f>
        <v/>
      </c>
      <c r="W737" s="33">
        <f>IF($A737="","",DATE(YEAR($A737),MONTH($A737),1))</f>
        <v/>
      </c>
      <c r="X737" s="34">
        <f>IF(OR($A737="",$H737&lt;&gt;"Ausgabe",J737=""),0,IF(J737="x",-$E737/(COUNTIF($J737:$Q737,"x")+1),-$E737*N(J737)))</f>
        <v/>
      </c>
      <c r="Y737" s="34">
        <f>IF(OR($A737="",$H737&lt;&gt;"Ausgabe",K737=""),0,IF(K737="x",-$E737/(COUNTIF($J737:$Q737,"x")+1),-$E737*N(K737)))</f>
        <v/>
      </c>
      <c r="Z737" s="34">
        <f>IF(OR($A737="",$H737&lt;&gt;"Ausgabe",L737=""),0,IF(L737="x",-$E737/(COUNTIF($J737:$Q737,"x")+1),-$E737*N(L737)))</f>
        <v/>
      </c>
      <c r="AA737" s="34">
        <f>IF(OR($A737="",$H737&lt;&gt;"Ausgabe",M737=""),0,IF(M737="x",-$E737/(COUNTIF($J737:$Q737,"x")+1),-$E737*N(M737)))</f>
        <v/>
      </c>
      <c r="AB737" s="34">
        <f>IF(OR($A737="",$H737&lt;&gt;"Ausgabe",N737=""),0,IF(N737="x",-$E737/(COUNTIF($J737:$Q737,"x")+1),-$E737*N(N737)))</f>
        <v/>
      </c>
      <c r="AC737" s="34">
        <f>IF(OR($A737="",$H737&lt;&gt;"Ausgabe",O737=""),0,IF(O737="x",-$E737/(COUNTIF($J737:$Q737,"x")+1),-$E737*N(O737)))</f>
        <v/>
      </c>
      <c r="AD737" s="34">
        <f>IF(OR($A737="",$H737&lt;&gt;"Ausgabe",P737=""),0,IF(P737="x",-$E737/(COUNTIF($J737:$Q737,"x")+1),-$E737*N(P737)))</f>
        <v/>
      </c>
      <c r="AE737" s="34">
        <f>IF(OR($A737="",$H737&lt;&gt;"Ausgabe",Q737=""),0,IF(Q737="x",-$E737/(COUNTIF($J737:$Q737,"x")+1),-$E737*N(Q737)))</f>
        <v/>
      </c>
    </row>
    <row r="738">
      <c r="A738" s="30" t="n"/>
      <c r="E738" s="31" t="n"/>
      <c r="J738" s="32" t="n"/>
      <c r="K738" s="32" t="n"/>
      <c r="L738" s="32" t="n"/>
      <c r="M738" s="32" t="n"/>
      <c r="N738" s="32" t="n"/>
      <c r="O738" s="32" t="n"/>
      <c r="P738" s="32" t="n"/>
      <c r="Q738" s="32" t="n"/>
      <c r="U738" s="31">
        <f>IF($A738="","",SUM(X738:AE738))</f>
        <v/>
      </c>
      <c r="V738" s="31">
        <f>IF($A738="","",IF($H738&lt;&gt;"Ausgabe",0,-$E738-$U738))</f>
        <v/>
      </c>
      <c r="W738" s="33">
        <f>IF($A738="","",DATE(YEAR($A738),MONTH($A738),1))</f>
        <v/>
      </c>
      <c r="X738" s="34">
        <f>IF(OR($A738="",$H738&lt;&gt;"Ausgabe",J738=""),0,IF(J738="x",-$E738/(COUNTIF($J738:$Q738,"x")+1),-$E738*N(J738)))</f>
        <v/>
      </c>
      <c r="Y738" s="34">
        <f>IF(OR($A738="",$H738&lt;&gt;"Ausgabe",K738=""),0,IF(K738="x",-$E738/(COUNTIF($J738:$Q738,"x")+1),-$E738*N(K738)))</f>
        <v/>
      </c>
      <c r="Z738" s="34">
        <f>IF(OR($A738="",$H738&lt;&gt;"Ausgabe",L738=""),0,IF(L738="x",-$E738/(COUNTIF($J738:$Q738,"x")+1),-$E738*N(L738)))</f>
        <v/>
      </c>
      <c r="AA738" s="34">
        <f>IF(OR($A738="",$H738&lt;&gt;"Ausgabe",M738=""),0,IF(M738="x",-$E738/(COUNTIF($J738:$Q738,"x")+1),-$E738*N(M738)))</f>
        <v/>
      </c>
      <c r="AB738" s="34">
        <f>IF(OR($A738="",$H738&lt;&gt;"Ausgabe",N738=""),0,IF(N738="x",-$E738/(COUNTIF($J738:$Q738,"x")+1),-$E738*N(N738)))</f>
        <v/>
      </c>
      <c r="AC738" s="34">
        <f>IF(OR($A738="",$H738&lt;&gt;"Ausgabe",O738=""),0,IF(O738="x",-$E738/(COUNTIF($J738:$Q738,"x")+1),-$E738*N(O738)))</f>
        <v/>
      </c>
      <c r="AD738" s="34">
        <f>IF(OR($A738="",$H738&lt;&gt;"Ausgabe",P738=""),0,IF(P738="x",-$E738/(COUNTIF($J738:$Q738,"x")+1),-$E738*N(P738)))</f>
        <v/>
      </c>
      <c r="AE738" s="34">
        <f>IF(OR($A738="",$H738&lt;&gt;"Ausgabe",Q738=""),0,IF(Q738="x",-$E738/(COUNTIF($J738:$Q738,"x")+1),-$E738*N(Q738)))</f>
        <v/>
      </c>
    </row>
    <row r="739">
      <c r="A739" s="30" t="n"/>
      <c r="E739" s="31" t="n"/>
      <c r="J739" s="32" t="n"/>
      <c r="K739" s="32" t="n"/>
      <c r="L739" s="32" t="n"/>
      <c r="M739" s="32" t="n"/>
      <c r="N739" s="32" t="n"/>
      <c r="O739" s="32" t="n"/>
      <c r="P739" s="32" t="n"/>
      <c r="Q739" s="32" t="n"/>
      <c r="U739" s="31">
        <f>IF($A739="","",SUM(X739:AE739))</f>
        <v/>
      </c>
      <c r="V739" s="31">
        <f>IF($A739="","",IF($H739&lt;&gt;"Ausgabe",0,-$E739-$U739))</f>
        <v/>
      </c>
      <c r="W739" s="33">
        <f>IF($A739="","",DATE(YEAR($A739),MONTH($A739),1))</f>
        <v/>
      </c>
      <c r="X739" s="34">
        <f>IF(OR($A739="",$H739&lt;&gt;"Ausgabe",J739=""),0,IF(J739="x",-$E739/(COUNTIF($J739:$Q739,"x")+1),-$E739*N(J739)))</f>
        <v/>
      </c>
      <c r="Y739" s="34">
        <f>IF(OR($A739="",$H739&lt;&gt;"Ausgabe",K739=""),0,IF(K739="x",-$E739/(COUNTIF($J739:$Q739,"x")+1),-$E739*N(K739)))</f>
        <v/>
      </c>
      <c r="Z739" s="34">
        <f>IF(OR($A739="",$H739&lt;&gt;"Ausgabe",L739=""),0,IF(L739="x",-$E739/(COUNTIF($J739:$Q739,"x")+1),-$E739*N(L739)))</f>
        <v/>
      </c>
      <c r="AA739" s="34">
        <f>IF(OR($A739="",$H739&lt;&gt;"Ausgabe",M739=""),0,IF(M739="x",-$E739/(COUNTIF($J739:$Q739,"x")+1),-$E739*N(M739)))</f>
        <v/>
      </c>
      <c r="AB739" s="34">
        <f>IF(OR($A739="",$H739&lt;&gt;"Ausgabe",N739=""),0,IF(N739="x",-$E739/(COUNTIF($J739:$Q739,"x")+1),-$E739*N(N739)))</f>
        <v/>
      </c>
      <c r="AC739" s="34">
        <f>IF(OR($A739="",$H739&lt;&gt;"Ausgabe",O739=""),0,IF(O739="x",-$E739/(COUNTIF($J739:$Q739,"x")+1),-$E739*N(O739)))</f>
        <v/>
      </c>
      <c r="AD739" s="34">
        <f>IF(OR($A739="",$H739&lt;&gt;"Ausgabe",P739=""),0,IF(P739="x",-$E739/(COUNTIF($J739:$Q739,"x")+1),-$E739*N(P739)))</f>
        <v/>
      </c>
      <c r="AE739" s="34">
        <f>IF(OR($A739="",$H739&lt;&gt;"Ausgabe",Q739=""),0,IF(Q739="x",-$E739/(COUNTIF($J739:$Q739,"x")+1),-$E739*N(Q739)))</f>
        <v/>
      </c>
    </row>
    <row r="740">
      <c r="A740" s="30" t="n"/>
      <c r="E740" s="31" t="n"/>
      <c r="J740" s="32" t="n"/>
      <c r="K740" s="32" t="n"/>
      <c r="L740" s="32" t="n"/>
      <c r="M740" s="32" t="n"/>
      <c r="N740" s="32" t="n"/>
      <c r="O740" s="32" t="n"/>
      <c r="P740" s="32" t="n"/>
      <c r="Q740" s="32" t="n"/>
      <c r="U740" s="31">
        <f>IF($A740="","",SUM(X740:AE740))</f>
        <v/>
      </c>
      <c r="V740" s="31">
        <f>IF($A740="","",IF($H740&lt;&gt;"Ausgabe",0,-$E740-$U740))</f>
        <v/>
      </c>
      <c r="W740" s="33">
        <f>IF($A740="","",DATE(YEAR($A740),MONTH($A740),1))</f>
        <v/>
      </c>
      <c r="X740" s="34">
        <f>IF(OR($A740="",$H740&lt;&gt;"Ausgabe",J740=""),0,IF(J740="x",-$E740/(COUNTIF($J740:$Q740,"x")+1),-$E740*N(J740)))</f>
        <v/>
      </c>
      <c r="Y740" s="34">
        <f>IF(OR($A740="",$H740&lt;&gt;"Ausgabe",K740=""),0,IF(K740="x",-$E740/(COUNTIF($J740:$Q740,"x")+1),-$E740*N(K740)))</f>
        <v/>
      </c>
      <c r="Z740" s="34">
        <f>IF(OR($A740="",$H740&lt;&gt;"Ausgabe",L740=""),0,IF(L740="x",-$E740/(COUNTIF($J740:$Q740,"x")+1),-$E740*N(L740)))</f>
        <v/>
      </c>
      <c r="AA740" s="34">
        <f>IF(OR($A740="",$H740&lt;&gt;"Ausgabe",M740=""),0,IF(M740="x",-$E740/(COUNTIF($J740:$Q740,"x")+1),-$E740*N(M740)))</f>
        <v/>
      </c>
      <c r="AB740" s="34">
        <f>IF(OR($A740="",$H740&lt;&gt;"Ausgabe",N740=""),0,IF(N740="x",-$E740/(COUNTIF($J740:$Q740,"x")+1),-$E740*N(N740)))</f>
        <v/>
      </c>
      <c r="AC740" s="34">
        <f>IF(OR($A740="",$H740&lt;&gt;"Ausgabe",O740=""),0,IF(O740="x",-$E740/(COUNTIF($J740:$Q740,"x")+1),-$E740*N(O740)))</f>
        <v/>
      </c>
      <c r="AD740" s="34">
        <f>IF(OR($A740="",$H740&lt;&gt;"Ausgabe",P740=""),0,IF(P740="x",-$E740/(COUNTIF($J740:$Q740,"x")+1),-$E740*N(P740)))</f>
        <v/>
      </c>
      <c r="AE740" s="34">
        <f>IF(OR($A740="",$H740&lt;&gt;"Ausgabe",Q740=""),0,IF(Q740="x",-$E740/(COUNTIF($J740:$Q740,"x")+1),-$E740*N(Q740)))</f>
        <v/>
      </c>
    </row>
    <row r="741">
      <c r="A741" s="30" t="n"/>
      <c r="E741" s="31" t="n"/>
      <c r="J741" s="32" t="n"/>
      <c r="K741" s="32" t="n"/>
      <c r="L741" s="32" t="n"/>
      <c r="M741" s="32" t="n"/>
      <c r="N741" s="32" t="n"/>
      <c r="O741" s="32" t="n"/>
      <c r="P741" s="32" t="n"/>
      <c r="Q741" s="32" t="n"/>
      <c r="U741" s="31">
        <f>IF($A741="","",SUM(X741:AE741))</f>
        <v/>
      </c>
      <c r="V741" s="31">
        <f>IF($A741="","",IF($H741&lt;&gt;"Ausgabe",0,-$E741-$U741))</f>
        <v/>
      </c>
      <c r="W741" s="33">
        <f>IF($A741="","",DATE(YEAR($A741),MONTH($A741),1))</f>
        <v/>
      </c>
      <c r="X741" s="34">
        <f>IF(OR($A741="",$H741&lt;&gt;"Ausgabe",J741=""),0,IF(J741="x",-$E741/(COUNTIF($J741:$Q741,"x")+1),-$E741*N(J741)))</f>
        <v/>
      </c>
      <c r="Y741" s="34">
        <f>IF(OR($A741="",$H741&lt;&gt;"Ausgabe",K741=""),0,IF(K741="x",-$E741/(COUNTIF($J741:$Q741,"x")+1),-$E741*N(K741)))</f>
        <v/>
      </c>
      <c r="Z741" s="34">
        <f>IF(OR($A741="",$H741&lt;&gt;"Ausgabe",L741=""),0,IF(L741="x",-$E741/(COUNTIF($J741:$Q741,"x")+1),-$E741*N(L741)))</f>
        <v/>
      </c>
      <c r="AA741" s="34">
        <f>IF(OR($A741="",$H741&lt;&gt;"Ausgabe",M741=""),0,IF(M741="x",-$E741/(COUNTIF($J741:$Q741,"x")+1),-$E741*N(M741)))</f>
        <v/>
      </c>
      <c r="AB741" s="34">
        <f>IF(OR($A741="",$H741&lt;&gt;"Ausgabe",N741=""),0,IF(N741="x",-$E741/(COUNTIF($J741:$Q741,"x")+1),-$E741*N(N741)))</f>
        <v/>
      </c>
      <c r="AC741" s="34">
        <f>IF(OR($A741="",$H741&lt;&gt;"Ausgabe",O741=""),0,IF(O741="x",-$E741/(COUNTIF($J741:$Q741,"x")+1),-$E741*N(O741)))</f>
        <v/>
      </c>
      <c r="AD741" s="34">
        <f>IF(OR($A741="",$H741&lt;&gt;"Ausgabe",P741=""),0,IF(P741="x",-$E741/(COUNTIF($J741:$Q741,"x")+1),-$E741*N(P741)))</f>
        <v/>
      </c>
      <c r="AE741" s="34">
        <f>IF(OR($A741="",$H741&lt;&gt;"Ausgabe",Q741=""),0,IF(Q741="x",-$E741/(COUNTIF($J741:$Q741,"x")+1),-$E741*N(Q741)))</f>
        <v/>
      </c>
    </row>
    <row r="742">
      <c r="A742" s="30" t="n"/>
      <c r="E742" s="31" t="n"/>
      <c r="J742" s="32" t="n"/>
      <c r="K742" s="32" t="n"/>
      <c r="L742" s="32" t="n"/>
      <c r="M742" s="32" t="n"/>
      <c r="N742" s="32" t="n"/>
      <c r="O742" s="32" t="n"/>
      <c r="P742" s="32" t="n"/>
      <c r="Q742" s="32" t="n"/>
      <c r="U742" s="31">
        <f>IF($A742="","",SUM(X742:AE742))</f>
        <v/>
      </c>
      <c r="V742" s="31">
        <f>IF($A742="","",IF($H742&lt;&gt;"Ausgabe",0,-$E742-$U742))</f>
        <v/>
      </c>
      <c r="W742" s="33">
        <f>IF($A742="","",DATE(YEAR($A742),MONTH($A742),1))</f>
        <v/>
      </c>
      <c r="X742" s="34">
        <f>IF(OR($A742="",$H742&lt;&gt;"Ausgabe",J742=""),0,IF(J742="x",-$E742/(COUNTIF($J742:$Q742,"x")+1),-$E742*N(J742)))</f>
        <v/>
      </c>
      <c r="Y742" s="34">
        <f>IF(OR($A742="",$H742&lt;&gt;"Ausgabe",K742=""),0,IF(K742="x",-$E742/(COUNTIF($J742:$Q742,"x")+1),-$E742*N(K742)))</f>
        <v/>
      </c>
      <c r="Z742" s="34">
        <f>IF(OR($A742="",$H742&lt;&gt;"Ausgabe",L742=""),0,IF(L742="x",-$E742/(COUNTIF($J742:$Q742,"x")+1),-$E742*N(L742)))</f>
        <v/>
      </c>
      <c r="AA742" s="34">
        <f>IF(OR($A742="",$H742&lt;&gt;"Ausgabe",M742=""),0,IF(M742="x",-$E742/(COUNTIF($J742:$Q742,"x")+1),-$E742*N(M742)))</f>
        <v/>
      </c>
      <c r="AB742" s="34">
        <f>IF(OR($A742="",$H742&lt;&gt;"Ausgabe",N742=""),0,IF(N742="x",-$E742/(COUNTIF($J742:$Q742,"x")+1),-$E742*N(N742)))</f>
        <v/>
      </c>
      <c r="AC742" s="34">
        <f>IF(OR($A742="",$H742&lt;&gt;"Ausgabe",O742=""),0,IF(O742="x",-$E742/(COUNTIF($J742:$Q742,"x")+1),-$E742*N(O742)))</f>
        <v/>
      </c>
      <c r="AD742" s="34">
        <f>IF(OR($A742="",$H742&lt;&gt;"Ausgabe",P742=""),0,IF(P742="x",-$E742/(COUNTIF($J742:$Q742,"x")+1),-$E742*N(P742)))</f>
        <v/>
      </c>
      <c r="AE742" s="34">
        <f>IF(OR($A742="",$H742&lt;&gt;"Ausgabe",Q742=""),0,IF(Q742="x",-$E742/(COUNTIF($J742:$Q742,"x")+1),-$E742*N(Q742)))</f>
        <v/>
      </c>
    </row>
    <row r="743">
      <c r="A743" s="30" t="n"/>
      <c r="E743" s="31" t="n"/>
      <c r="J743" s="32" t="n"/>
      <c r="K743" s="32" t="n"/>
      <c r="L743" s="32" t="n"/>
      <c r="M743" s="32" t="n"/>
      <c r="N743" s="32" t="n"/>
      <c r="O743" s="32" t="n"/>
      <c r="P743" s="32" t="n"/>
      <c r="Q743" s="32" t="n"/>
      <c r="U743" s="31">
        <f>IF($A743="","",SUM(X743:AE743))</f>
        <v/>
      </c>
      <c r="V743" s="31">
        <f>IF($A743="","",IF($H743&lt;&gt;"Ausgabe",0,-$E743-$U743))</f>
        <v/>
      </c>
      <c r="W743" s="33">
        <f>IF($A743="","",DATE(YEAR($A743),MONTH($A743),1))</f>
        <v/>
      </c>
      <c r="X743" s="34">
        <f>IF(OR($A743="",$H743&lt;&gt;"Ausgabe",J743=""),0,IF(J743="x",-$E743/(COUNTIF($J743:$Q743,"x")+1),-$E743*N(J743)))</f>
        <v/>
      </c>
      <c r="Y743" s="34">
        <f>IF(OR($A743="",$H743&lt;&gt;"Ausgabe",K743=""),0,IF(K743="x",-$E743/(COUNTIF($J743:$Q743,"x")+1),-$E743*N(K743)))</f>
        <v/>
      </c>
      <c r="Z743" s="34">
        <f>IF(OR($A743="",$H743&lt;&gt;"Ausgabe",L743=""),0,IF(L743="x",-$E743/(COUNTIF($J743:$Q743,"x")+1),-$E743*N(L743)))</f>
        <v/>
      </c>
      <c r="AA743" s="34">
        <f>IF(OR($A743="",$H743&lt;&gt;"Ausgabe",M743=""),0,IF(M743="x",-$E743/(COUNTIF($J743:$Q743,"x")+1),-$E743*N(M743)))</f>
        <v/>
      </c>
      <c r="AB743" s="34">
        <f>IF(OR($A743="",$H743&lt;&gt;"Ausgabe",N743=""),0,IF(N743="x",-$E743/(COUNTIF($J743:$Q743,"x")+1),-$E743*N(N743)))</f>
        <v/>
      </c>
      <c r="AC743" s="34">
        <f>IF(OR($A743="",$H743&lt;&gt;"Ausgabe",O743=""),0,IF(O743="x",-$E743/(COUNTIF($J743:$Q743,"x")+1),-$E743*N(O743)))</f>
        <v/>
      </c>
      <c r="AD743" s="34">
        <f>IF(OR($A743="",$H743&lt;&gt;"Ausgabe",P743=""),0,IF(P743="x",-$E743/(COUNTIF($J743:$Q743,"x")+1),-$E743*N(P743)))</f>
        <v/>
      </c>
      <c r="AE743" s="34">
        <f>IF(OR($A743="",$H743&lt;&gt;"Ausgabe",Q743=""),0,IF(Q743="x",-$E743/(COUNTIF($J743:$Q743,"x")+1),-$E743*N(Q743)))</f>
        <v/>
      </c>
    </row>
    <row r="744">
      <c r="A744" s="30" t="n"/>
      <c r="E744" s="31" t="n"/>
      <c r="J744" s="32" t="n"/>
      <c r="K744" s="32" t="n"/>
      <c r="L744" s="32" t="n"/>
      <c r="M744" s="32" t="n"/>
      <c r="N744" s="32" t="n"/>
      <c r="O744" s="32" t="n"/>
      <c r="P744" s="32" t="n"/>
      <c r="Q744" s="32" t="n"/>
      <c r="U744" s="31">
        <f>IF($A744="","",SUM(X744:AE744))</f>
        <v/>
      </c>
      <c r="V744" s="31">
        <f>IF($A744="","",IF($H744&lt;&gt;"Ausgabe",0,-$E744-$U744))</f>
        <v/>
      </c>
      <c r="W744" s="33">
        <f>IF($A744="","",DATE(YEAR($A744),MONTH($A744),1))</f>
        <v/>
      </c>
      <c r="X744" s="34">
        <f>IF(OR($A744="",$H744&lt;&gt;"Ausgabe",J744=""),0,IF(J744="x",-$E744/(COUNTIF($J744:$Q744,"x")+1),-$E744*N(J744)))</f>
        <v/>
      </c>
      <c r="Y744" s="34">
        <f>IF(OR($A744="",$H744&lt;&gt;"Ausgabe",K744=""),0,IF(K744="x",-$E744/(COUNTIF($J744:$Q744,"x")+1),-$E744*N(K744)))</f>
        <v/>
      </c>
      <c r="Z744" s="34">
        <f>IF(OR($A744="",$H744&lt;&gt;"Ausgabe",L744=""),0,IF(L744="x",-$E744/(COUNTIF($J744:$Q744,"x")+1),-$E744*N(L744)))</f>
        <v/>
      </c>
      <c r="AA744" s="34">
        <f>IF(OR($A744="",$H744&lt;&gt;"Ausgabe",M744=""),0,IF(M744="x",-$E744/(COUNTIF($J744:$Q744,"x")+1),-$E744*N(M744)))</f>
        <v/>
      </c>
      <c r="AB744" s="34">
        <f>IF(OR($A744="",$H744&lt;&gt;"Ausgabe",N744=""),0,IF(N744="x",-$E744/(COUNTIF($J744:$Q744,"x")+1),-$E744*N(N744)))</f>
        <v/>
      </c>
      <c r="AC744" s="34">
        <f>IF(OR($A744="",$H744&lt;&gt;"Ausgabe",O744=""),0,IF(O744="x",-$E744/(COUNTIF($J744:$Q744,"x")+1),-$E744*N(O744)))</f>
        <v/>
      </c>
      <c r="AD744" s="34">
        <f>IF(OR($A744="",$H744&lt;&gt;"Ausgabe",P744=""),0,IF(P744="x",-$E744/(COUNTIF($J744:$Q744,"x")+1),-$E744*N(P744)))</f>
        <v/>
      </c>
      <c r="AE744" s="34">
        <f>IF(OR($A744="",$H744&lt;&gt;"Ausgabe",Q744=""),0,IF(Q744="x",-$E744/(COUNTIF($J744:$Q744,"x")+1),-$E744*N(Q744)))</f>
        <v/>
      </c>
    </row>
    <row r="745">
      <c r="A745" s="30" t="n"/>
      <c r="E745" s="31" t="n"/>
      <c r="J745" s="32" t="n"/>
      <c r="K745" s="32" t="n"/>
      <c r="L745" s="32" t="n"/>
      <c r="M745" s="32" t="n"/>
      <c r="N745" s="32" t="n"/>
      <c r="O745" s="32" t="n"/>
      <c r="P745" s="32" t="n"/>
      <c r="Q745" s="32" t="n"/>
      <c r="U745" s="31">
        <f>IF($A745="","",SUM(X745:AE745))</f>
        <v/>
      </c>
      <c r="V745" s="31">
        <f>IF($A745="","",IF($H745&lt;&gt;"Ausgabe",0,-$E745-$U745))</f>
        <v/>
      </c>
      <c r="W745" s="33">
        <f>IF($A745="","",DATE(YEAR($A745),MONTH($A745),1))</f>
        <v/>
      </c>
      <c r="X745" s="34">
        <f>IF(OR($A745="",$H745&lt;&gt;"Ausgabe",J745=""),0,IF(J745="x",-$E745/(COUNTIF($J745:$Q745,"x")+1),-$E745*N(J745)))</f>
        <v/>
      </c>
      <c r="Y745" s="34">
        <f>IF(OR($A745="",$H745&lt;&gt;"Ausgabe",K745=""),0,IF(K745="x",-$E745/(COUNTIF($J745:$Q745,"x")+1),-$E745*N(K745)))</f>
        <v/>
      </c>
      <c r="Z745" s="34">
        <f>IF(OR($A745="",$H745&lt;&gt;"Ausgabe",L745=""),0,IF(L745="x",-$E745/(COUNTIF($J745:$Q745,"x")+1),-$E745*N(L745)))</f>
        <v/>
      </c>
      <c r="AA745" s="34">
        <f>IF(OR($A745="",$H745&lt;&gt;"Ausgabe",M745=""),0,IF(M745="x",-$E745/(COUNTIF($J745:$Q745,"x")+1),-$E745*N(M745)))</f>
        <v/>
      </c>
      <c r="AB745" s="34">
        <f>IF(OR($A745="",$H745&lt;&gt;"Ausgabe",N745=""),0,IF(N745="x",-$E745/(COUNTIF($J745:$Q745,"x")+1),-$E745*N(N745)))</f>
        <v/>
      </c>
      <c r="AC745" s="34">
        <f>IF(OR($A745="",$H745&lt;&gt;"Ausgabe",O745=""),0,IF(O745="x",-$E745/(COUNTIF($J745:$Q745,"x")+1),-$E745*N(O745)))</f>
        <v/>
      </c>
      <c r="AD745" s="34">
        <f>IF(OR($A745="",$H745&lt;&gt;"Ausgabe",P745=""),0,IF(P745="x",-$E745/(COUNTIF($J745:$Q745,"x")+1),-$E745*N(P745)))</f>
        <v/>
      </c>
      <c r="AE745" s="34">
        <f>IF(OR($A745="",$H745&lt;&gt;"Ausgabe",Q745=""),0,IF(Q745="x",-$E745/(COUNTIF($J745:$Q745,"x")+1),-$E745*N(Q745)))</f>
        <v/>
      </c>
    </row>
    <row r="746">
      <c r="A746" s="30" t="n"/>
      <c r="E746" s="31" t="n"/>
      <c r="J746" s="32" t="n"/>
      <c r="K746" s="32" t="n"/>
      <c r="L746" s="32" t="n"/>
      <c r="M746" s="32" t="n"/>
      <c r="N746" s="32" t="n"/>
      <c r="O746" s="32" t="n"/>
      <c r="P746" s="32" t="n"/>
      <c r="Q746" s="32" t="n"/>
      <c r="U746" s="31">
        <f>IF($A746="","",SUM(X746:AE746))</f>
        <v/>
      </c>
      <c r="V746" s="31">
        <f>IF($A746="","",IF($H746&lt;&gt;"Ausgabe",0,-$E746-$U746))</f>
        <v/>
      </c>
      <c r="W746" s="33">
        <f>IF($A746="","",DATE(YEAR($A746),MONTH($A746),1))</f>
        <v/>
      </c>
      <c r="X746" s="34">
        <f>IF(OR($A746="",$H746&lt;&gt;"Ausgabe",J746=""),0,IF(J746="x",-$E746/(COUNTIF($J746:$Q746,"x")+1),-$E746*N(J746)))</f>
        <v/>
      </c>
      <c r="Y746" s="34">
        <f>IF(OR($A746="",$H746&lt;&gt;"Ausgabe",K746=""),0,IF(K746="x",-$E746/(COUNTIF($J746:$Q746,"x")+1),-$E746*N(K746)))</f>
        <v/>
      </c>
      <c r="Z746" s="34">
        <f>IF(OR($A746="",$H746&lt;&gt;"Ausgabe",L746=""),0,IF(L746="x",-$E746/(COUNTIF($J746:$Q746,"x")+1),-$E746*N(L746)))</f>
        <v/>
      </c>
      <c r="AA746" s="34">
        <f>IF(OR($A746="",$H746&lt;&gt;"Ausgabe",M746=""),0,IF(M746="x",-$E746/(COUNTIF($J746:$Q746,"x")+1),-$E746*N(M746)))</f>
        <v/>
      </c>
      <c r="AB746" s="34">
        <f>IF(OR($A746="",$H746&lt;&gt;"Ausgabe",N746=""),0,IF(N746="x",-$E746/(COUNTIF($J746:$Q746,"x")+1),-$E746*N(N746)))</f>
        <v/>
      </c>
      <c r="AC746" s="34">
        <f>IF(OR($A746="",$H746&lt;&gt;"Ausgabe",O746=""),0,IF(O746="x",-$E746/(COUNTIF($J746:$Q746,"x")+1),-$E746*N(O746)))</f>
        <v/>
      </c>
      <c r="AD746" s="34">
        <f>IF(OR($A746="",$H746&lt;&gt;"Ausgabe",P746=""),0,IF(P746="x",-$E746/(COUNTIF($J746:$Q746,"x")+1),-$E746*N(P746)))</f>
        <v/>
      </c>
      <c r="AE746" s="34">
        <f>IF(OR($A746="",$H746&lt;&gt;"Ausgabe",Q746=""),0,IF(Q746="x",-$E746/(COUNTIF($J746:$Q746,"x")+1),-$E746*N(Q746)))</f>
        <v/>
      </c>
    </row>
    <row r="747">
      <c r="A747" s="30" t="n"/>
      <c r="E747" s="31" t="n"/>
      <c r="J747" s="32" t="n"/>
      <c r="K747" s="32" t="n"/>
      <c r="L747" s="32" t="n"/>
      <c r="M747" s="32" t="n"/>
      <c r="N747" s="32" t="n"/>
      <c r="O747" s="32" t="n"/>
      <c r="P747" s="32" t="n"/>
      <c r="Q747" s="32" t="n"/>
      <c r="U747" s="31">
        <f>IF($A747="","",SUM(X747:AE747))</f>
        <v/>
      </c>
      <c r="V747" s="31">
        <f>IF($A747="","",IF($H747&lt;&gt;"Ausgabe",0,-$E747-$U747))</f>
        <v/>
      </c>
      <c r="W747" s="33">
        <f>IF($A747="","",DATE(YEAR($A747),MONTH($A747),1))</f>
        <v/>
      </c>
      <c r="X747" s="34">
        <f>IF(OR($A747="",$H747&lt;&gt;"Ausgabe",J747=""),0,IF(J747="x",-$E747/(COUNTIF($J747:$Q747,"x")+1),-$E747*N(J747)))</f>
        <v/>
      </c>
      <c r="Y747" s="34">
        <f>IF(OR($A747="",$H747&lt;&gt;"Ausgabe",K747=""),0,IF(K747="x",-$E747/(COUNTIF($J747:$Q747,"x")+1),-$E747*N(K747)))</f>
        <v/>
      </c>
      <c r="Z747" s="34">
        <f>IF(OR($A747="",$H747&lt;&gt;"Ausgabe",L747=""),0,IF(L747="x",-$E747/(COUNTIF($J747:$Q747,"x")+1),-$E747*N(L747)))</f>
        <v/>
      </c>
      <c r="AA747" s="34">
        <f>IF(OR($A747="",$H747&lt;&gt;"Ausgabe",M747=""),0,IF(M747="x",-$E747/(COUNTIF($J747:$Q747,"x")+1),-$E747*N(M747)))</f>
        <v/>
      </c>
      <c r="AB747" s="34">
        <f>IF(OR($A747="",$H747&lt;&gt;"Ausgabe",N747=""),0,IF(N747="x",-$E747/(COUNTIF($J747:$Q747,"x")+1),-$E747*N(N747)))</f>
        <v/>
      </c>
      <c r="AC747" s="34">
        <f>IF(OR($A747="",$H747&lt;&gt;"Ausgabe",O747=""),0,IF(O747="x",-$E747/(COUNTIF($J747:$Q747,"x")+1),-$E747*N(O747)))</f>
        <v/>
      </c>
      <c r="AD747" s="34">
        <f>IF(OR($A747="",$H747&lt;&gt;"Ausgabe",P747=""),0,IF(P747="x",-$E747/(COUNTIF($J747:$Q747,"x")+1),-$E747*N(P747)))</f>
        <v/>
      </c>
      <c r="AE747" s="34">
        <f>IF(OR($A747="",$H747&lt;&gt;"Ausgabe",Q747=""),0,IF(Q747="x",-$E747/(COUNTIF($J747:$Q747,"x")+1),-$E747*N(Q747)))</f>
        <v/>
      </c>
    </row>
    <row r="748">
      <c r="A748" s="30" t="n"/>
      <c r="E748" s="31" t="n"/>
      <c r="J748" s="32" t="n"/>
      <c r="K748" s="32" t="n"/>
      <c r="L748" s="32" t="n"/>
      <c r="M748" s="32" t="n"/>
      <c r="N748" s="32" t="n"/>
      <c r="O748" s="32" t="n"/>
      <c r="P748" s="32" t="n"/>
      <c r="Q748" s="32" t="n"/>
      <c r="U748" s="31">
        <f>IF($A748="","",SUM(X748:AE748))</f>
        <v/>
      </c>
      <c r="V748" s="31">
        <f>IF($A748="","",IF($H748&lt;&gt;"Ausgabe",0,-$E748-$U748))</f>
        <v/>
      </c>
      <c r="W748" s="33">
        <f>IF($A748="","",DATE(YEAR($A748),MONTH($A748),1))</f>
        <v/>
      </c>
      <c r="X748" s="34">
        <f>IF(OR($A748="",$H748&lt;&gt;"Ausgabe",J748=""),0,IF(J748="x",-$E748/(COUNTIF($J748:$Q748,"x")+1),-$E748*N(J748)))</f>
        <v/>
      </c>
      <c r="Y748" s="34">
        <f>IF(OR($A748="",$H748&lt;&gt;"Ausgabe",K748=""),0,IF(K748="x",-$E748/(COUNTIF($J748:$Q748,"x")+1),-$E748*N(K748)))</f>
        <v/>
      </c>
      <c r="Z748" s="34">
        <f>IF(OR($A748="",$H748&lt;&gt;"Ausgabe",L748=""),0,IF(L748="x",-$E748/(COUNTIF($J748:$Q748,"x")+1),-$E748*N(L748)))</f>
        <v/>
      </c>
      <c r="AA748" s="34">
        <f>IF(OR($A748="",$H748&lt;&gt;"Ausgabe",M748=""),0,IF(M748="x",-$E748/(COUNTIF($J748:$Q748,"x")+1),-$E748*N(M748)))</f>
        <v/>
      </c>
      <c r="AB748" s="34">
        <f>IF(OR($A748="",$H748&lt;&gt;"Ausgabe",N748=""),0,IF(N748="x",-$E748/(COUNTIF($J748:$Q748,"x")+1),-$E748*N(N748)))</f>
        <v/>
      </c>
      <c r="AC748" s="34">
        <f>IF(OR($A748="",$H748&lt;&gt;"Ausgabe",O748=""),0,IF(O748="x",-$E748/(COUNTIF($J748:$Q748,"x")+1),-$E748*N(O748)))</f>
        <v/>
      </c>
      <c r="AD748" s="34">
        <f>IF(OR($A748="",$H748&lt;&gt;"Ausgabe",P748=""),0,IF(P748="x",-$E748/(COUNTIF($J748:$Q748,"x")+1),-$E748*N(P748)))</f>
        <v/>
      </c>
      <c r="AE748" s="34">
        <f>IF(OR($A748="",$H748&lt;&gt;"Ausgabe",Q748=""),0,IF(Q748="x",-$E748/(COUNTIF($J748:$Q748,"x")+1),-$E748*N(Q748)))</f>
        <v/>
      </c>
    </row>
    <row r="749">
      <c r="A749" s="30" t="n"/>
      <c r="E749" s="31" t="n"/>
      <c r="J749" s="32" t="n"/>
      <c r="K749" s="32" t="n"/>
      <c r="L749" s="32" t="n"/>
      <c r="M749" s="32" t="n"/>
      <c r="N749" s="32" t="n"/>
      <c r="O749" s="32" t="n"/>
      <c r="P749" s="32" t="n"/>
      <c r="Q749" s="32" t="n"/>
      <c r="U749" s="31">
        <f>IF($A749="","",SUM(X749:AE749))</f>
        <v/>
      </c>
      <c r="V749" s="31">
        <f>IF($A749="","",IF($H749&lt;&gt;"Ausgabe",0,-$E749-$U749))</f>
        <v/>
      </c>
      <c r="W749" s="33">
        <f>IF($A749="","",DATE(YEAR($A749),MONTH($A749),1))</f>
        <v/>
      </c>
      <c r="X749" s="34">
        <f>IF(OR($A749="",$H749&lt;&gt;"Ausgabe",J749=""),0,IF(J749="x",-$E749/(COUNTIF($J749:$Q749,"x")+1),-$E749*N(J749)))</f>
        <v/>
      </c>
      <c r="Y749" s="34">
        <f>IF(OR($A749="",$H749&lt;&gt;"Ausgabe",K749=""),0,IF(K749="x",-$E749/(COUNTIF($J749:$Q749,"x")+1),-$E749*N(K749)))</f>
        <v/>
      </c>
      <c r="Z749" s="34">
        <f>IF(OR($A749="",$H749&lt;&gt;"Ausgabe",L749=""),0,IF(L749="x",-$E749/(COUNTIF($J749:$Q749,"x")+1),-$E749*N(L749)))</f>
        <v/>
      </c>
      <c r="AA749" s="34">
        <f>IF(OR($A749="",$H749&lt;&gt;"Ausgabe",M749=""),0,IF(M749="x",-$E749/(COUNTIF($J749:$Q749,"x")+1),-$E749*N(M749)))</f>
        <v/>
      </c>
      <c r="AB749" s="34">
        <f>IF(OR($A749="",$H749&lt;&gt;"Ausgabe",N749=""),0,IF(N749="x",-$E749/(COUNTIF($J749:$Q749,"x")+1),-$E749*N(N749)))</f>
        <v/>
      </c>
      <c r="AC749" s="34">
        <f>IF(OR($A749="",$H749&lt;&gt;"Ausgabe",O749=""),0,IF(O749="x",-$E749/(COUNTIF($J749:$Q749,"x")+1),-$E749*N(O749)))</f>
        <v/>
      </c>
      <c r="AD749" s="34">
        <f>IF(OR($A749="",$H749&lt;&gt;"Ausgabe",P749=""),0,IF(P749="x",-$E749/(COUNTIF($J749:$Q749,"x")+1),-$E749*N(P749)))</f>
        <v/>
      </c>
      <c r="AE749" s="34">
        <f>IF(OR($A749="",$H749&lt;&gt;"Ausgabe",Q749=""),0,IF(Q749="x",-$E749/(COUNTIF($J749:$Q749,"x")+1),-$E749*N(Q749)))</f>
        <v/>
      </c>
    </row>
    <row r="750">
      <c r="A750" s="30" t="n"/>
      <c r="E750" s="31" t="n"/>
      <c r="J750" s="32" t="n"/>
      <c r="K750" s="32" t="n"/>
      <c r="L750" s="32" t="n"/>
      <c r="M750" s="32" t="n"/>
      <c r="N750" s="32" t="n"/>
      <c r="O750" s="32" t="n"/>
      <c r="P750" s="32" t="n"/>
      <c r="Q750" s="32" t="n"/>
      <c r="U750" s="31">
        <f>IF($A750="","",SUM(X750:AE750))</f>
        <v/>
      </c>
      <c r="V750" s="31">
        <f>IF($A750="","",IF($H750&lt;&gt;"Ausgabe",0,-$E750-$U750))</f>
        <v/>
      </c>
      <c r="W750" s="33">
        <f>IF($A750="","",DATE(YEAR($A750),MONTH($A750),1))</f>
        <v/>
      </c>
      <c r="X750" s="34">
        <f>IF(OR($A750="",$H750&lt;&gt;"Ausgabe",J750=""),0,IF(J750="x",-$E750/(COUNTIF($J750:$Q750,"x")+1),-$E750*N(J750)))</f>
        <v/>
      </c>
      <c r="Y750" s="34">
        <f>IF(OR($A750="",$H750&lt;&gt;"Ausgabe",K750=""),0,IF(K750="x",-$E750/(COUNTIF($J750:$Q750,"x")+1),-$E750*N(K750)))</f>
        <v/>
      </c>
      <c r="Z750" s="34">
        <f>IF(OR($A750="",$H750&lt;&gt;"Ausgabe",L750=""),0,IF(L750="x",-$E750/(COUNTIF($J750:$Q750,"x")+1),-$E750*N(L750)))</f>
        <v/>
      </c>
      <c r="AA750" s="34">
        <f>IF(OR($A750="",$H750&lt;&gt;"Ausgabe",M750=""),0,IF(M750="x",-$E750/(COUNTIF($J750:$Q750,"x")+1),-$E750*N(M750)))</f>
        <v/>
      </c>
      <c r="AB750" s="34">
        <f>IF(OR($A750="",$H750&lt;&gt;"Ausgabe",N750=""),0,IF(N750="x",-$E750/(COUNTIF($J750:$Q750,"x")+1),-$E750*N(N750)))</f>
        <v/>
      </c>
      <c r="AC750" s="34">
        <f>IF(OR($A750="",$H750&lt;&gt;"Ausgabe",O750=""),0,IF(O750="x",-$E750/(COUNTIF($J750:$Q750,"x")+1),-$E750*N(O750)))</f>
        <v/>
      </c>
      <c r="AD750" s="34">
        <f>IF(OR($A750="",$H750&lt;&gt;"Ausgabe",P750=""),0,IF(P750="x",-$E750/(COUNTIF($J750:$Q750,"x")+1),-$E750*N(P750)))</f>
        <v/>
      </c>
      <c r="AE750" s="34">
        <f>IF(OR($A750="",$H750&lt;&gt;"Ausgabe",Q750=""),0,IF(Q750="x",-$E750/(COUNTIF($J750:$Q750,"x")+1),-$E750*N(Q750)))</f>
        <v/>
      </c>
    </row>
    <row r="751">
      <c r="A751" s="30" t="n"/>
      <c r="E751" s="31" t="n"/>
      <c r="J751" s="32" t="n"/>
      <c r="K751" s="32" t="n"/>
      <c r="L751" s="32" t="n"/>
      <c r="M751" s="32" t="n"/>
      <c r="N751" s="32" t="n"/>
      <c r="O751" s="32" t="n"/>
      <c r="P751" s="32" t="n"/>
      <c r="Q751" s="32" t="n"/>
      <c r="U751" s="31">
        <f>IF($A751="","",SUM(X751:AE751))</f>
        <v/>
      </c>
      <c r="V751" s="31">
        <f>IF($A751="","",IF($H751&lt;&gt;"Ausgabe",0,-$E751-$U751))</f>
        <v/>
      </c>
      <c r="W751" s="33">
        <f>IF($A751="","",DATE(YEAR($A751),MONTH($A751),1))</f>
        <v/>
      </c>
      <c r="X751" s="34">
        <f>IF(OR($A751="",$H751&lt;&gt;"Ausgabe",J751=""),0,IF(J751="x",-$E751/(COUNTIF($J751:$Q751,"x")+1),-$E751*N(J751)))</f>
        <v/>
      </c>
      <c r="Y751" s="34">
        <f>IF(OR($A751="",$H751&lt;&gt;"Ausgabe",K751=""),0,IF(K751="x",-$E751/(COUNTIF($J751:$Q751,"x")+1),-$E751*N(K751)))</f>
        <v/>
      </c>
      <c r="Z751" s="34">
        <f>IF(OR($A751="",$H751&lt;&gt;"Ausgabe",L751=""),0,IF(L751="x",-$E751/(COUNTIF($J751:$Q751,"x")+1),-$E751*N(L751)))</f>
        <v/>
      </c>
      <c r="AA751" s="34">
        <f>IF(OR($A751="",$H751&lt;&gt;"Ausgabe",M751=""),0,IF(M751="x",-$E751/(COUNTIF($J751:$Q751,"x")+1),-$E751*N(M751)))</f>
        <v/>
      </c>
      <c r="AB751" s="34">
        <f>IF(OR($A751="",$H751&lt;&gt;"Ausgabe",N751=""),0,IF(N751="x",-$E751/(COUNTIF($J751:$Q751,"x")+1),-$E751*N(N751)))</f>
        <v/>
      </c>
      <c r="AC751" s="34">
        <f>IF(OR($A751="",$H751&lt;&gt;"Ausgabe",O751=""),0,IF(O751="x",-$E751/(COUNTIF($J751:$Q751,"x")+1),-$E751*N(O751)))</f>
        <v/>
      </c>
      <c r="AD751" s="34">
        <f>IF(OR($A751="",$H751&lt;&gt;"Ausgabe",P751=""),0,IF(P751="x",-$E751/(COUNTIF($J751:$Q751,"x")+1),-$E751*N(P751)))</f>
        <v/>
      </c>
      <c r="AE751" s="34">
        <f>IF(OR($A751="",$H751&lt;&gt;"Ausgabe",Q751=""),0,IF(Q751="x",-$E751/(COUNTIF($J751:$Q751,"x")+1),-$E751*N(Q751)))</f>
        <v/>
      </c>
    </row>
    <row r="752">
      <c r="A752" s="30" t="n"/>
      <c r="E752" s="31" t="n"/>
      <c r="J752" s="32" t="n"/>
      <c r="K752" s="32" t="n"/>
      <c r="L752" s="32" t="n"/>
      <c r="M752" s="32" t="n"/>
      <c r="N752" s="32" t="n"/>
      <c r="O752" s="32" t="n"/>
      <c r="P752" s="32" t="n"/>
      <c r="Q752" s="32" t="n"/>
      <c r="U752" s="31">
        <f>IF($A752="","",SUM(X752:AE752))</f>
        <v/>
      </c>
      <c r="V752" s="31">
        <f>IF($A752="","",IF($H752&lt;&gt;"Ausgabe",0,-$E752-$U752))</f>
        <v/>
      </c>
      <c r="W752" s="33">
        <f>IF($A752="","",DATE(YEAR($A752),MONTH($A752),1))</f>
        <v/>
      </c>
      <c r="X752" s="34">
        <f>IF(OR($A752="",$H752&lt;&gt;"Ausgabe",J752=""),0,IF(J752="x",-$E752/(COUNTIF($J752:$Q752,"x")+1),-$E752*N(J752)))</f>
        <v/>
      </c>
      <c r="Y752" s="34">
        <f>IF(OR($A752="",$H752&lt;&gt;"Ausgabe",K752=""),0,IF(K752="x",-$E752/(COUNTIF($J752:$Q752,"x")+1),-$E752*N(K752)))</f>
        <v/>
      </c>
      <c r="Z752" s="34">
        <f>IF(OR($A752="",$H752&lt;&gt;"Ausgabe",L752=""),0,IF(L752="x",-$E752/(COUNTIF($J752:$Q752,"x")+1),-$E752*N(L752)))</f>
        <v/>
      </c>
      <c r="AA752" s="34">
        <f>IF(OR($A752="",$H752&lt;&gt;"Ausgabe",M752=""),0,IF(M752="x",-$E752/(COUNTIF($J752:$Q752,"x")+1),-$E752*N(M752)))</f>
        <v/>
      </c>
      <c r="AB752" s="34">
        <f>IF(OR($A752="",$H752&lt;&gt;"Ausgabe",N752=""),0,IF(N752="x",-$E752/(COUNTIF($J752:$Q752,"x")+1),-$E752*N(N752)))</f>
        <v/>
      </c>
      <c r="AC752" s="34">
        <f>IF(OR($A752="",$H752&lt;&gt;"Ausgabe",O752=""),0,IF(O752="x",-$E752/(COUNTIF($J752:$Q752,"x")+1),-$E752*N(O752)))</f>
        <v/>
      </c>
      <c r="AD752" s="34">
        <f>IF(OR($A752="",$H752&lt;&gt;"Ausgabe",P752=""),0,IF(P752="x",-$E752/(COUNTIF($J752:$Q752,"x")+1),-$E752*N(P752)))</f>
        <v/>
      </c>
      <c r="AE752" s="34">
        <f>IF(OR($A752="",$H752&lt;&gt;"Ausgabe",Q752=""),0,IF(Q752="x",-$E752/(COUNTIF($J752:$Q752,"x")+1),-$E752*N(Q752)))</f>
        <v/>
      </c>
    </row>
    <row r="753">
      <c r="A753" s="30" t="n"/>
      <c r="E753" s="31" t="n"/>
      <c r="J753" s="32" t="n"/>
      <c r="K753" s="32" t="n"/>
      <c r="L753" s="32" t="n"/>
      <c r="M753" s="32" t="n"/>
      <c r="N753" s="32" t="n"/>
      <c r="O753" s="32" t="n"/>
      <c r="P753" s="32" t="n"/>
      <c r="Q753" s="32" t="n"/>
      <c r="U753" s="31">
        <f>IF($A753="","",SUM(X753:AE753))</f>
        <v/>
      </c>
      <c r="V753" s="31">
        <f>IF($A753="","",IF($H753&lt;&gt;"Ausgabe",0,-$E753-$U753))</f>
        <v/>
      </c>
      <c r="W753" s="33">
        <f>IF($A753="","",DATE(YEAR($A753),MONTH($A753),1))</f>
        <v/>
      </c>
      <c r="X753" s="34">
        <f>IF(OR($A753="",$H753&lt;&gt;"Ausgabe",J753=""),0,IF(J753="x",-$E753/(COUNTIF($J753:$Q753,"x")+1),-$E753*N(J753)))</f>
        <v/>
      </c>
      <c r="Y753" s="34">
        <f>IF(OR($A753="",$H753&lt;&gt;"Ausgabe",K753=""),0,IF(K753="x",-$E753/(COUNTIF($J753:$Q753,"x")+1),-$E753*N(K753)))</f>
        <v/>
      </c>
      <c r="Z753" s="34">
        <f>IF(OR($A753="",$H753&lt;&gt;"Ausgabe",L753=""),0,IF(L753="x",-$E753/(COUNTIF($J753:$Q753,"x")+1),-$E753*N(L753)))</f>
        <v/>
      </c>
      <c r="AA753" s="34">
        <f>IF(OR($A753="",$H753&lt;&gt;"Ausgabe",M753=""),0,IF(M753="x",-$E753/(COUNTIF($J753:$Q753,"x")+1),-$E753*N(M753)))</f>
        <v/>
      </c>
      <c r="AB753" s="34">
        <f>IF(OR($A753="",$H753&lt;&gt;"Ausgabe",N753=""),0,IF(N753="x",-$E753/(COUNTIF($J753:$Q753,"x")+1),-$E753*N(N753)))</f>
        <v/>
      </c>
      <c r="AC753" s="34">
        <f>IF(OR($A753="",$H753&lt;&gt;"Ausgabe",O753=""),0,IF(O753="x",-$E753/(COUNTIF($J753:$Q753,"x")+1),-$E753*N(O753)))</f>
        <v/>
      </c>
      <c r="AD753" s="34">
        <f>IF(OR($A753="",$H753&lt;&gt;"Ausgabe",P753=""),0,IF(P753="x",-$E753/(COUNTIF($J753:$Q753,"x")+1),-$E753*N(P753)))</f>
        <v/>
      </c>
      <c r="AE753" s="34">
        <f>IF(OR($A753="",$H753&lt;&gt;"Ausgabe",Q753=""),0,IF(Q753="x",-$E753/(COUNTIF($J753:$Q753,"x")+1),-$E753*N(Q753)))</f>
        <v/>
      </c>
    </row>
    <row r="754">
      <c r="A754" s="30" t="n"/>
      <c r="E754" s="31" t="n"/>
      <c r="J754" s="32" t="n"/>
      <c r="K754" s="32" t="n"/>
      <c r="L754" s="32" t="n"/>
      <c r="M754" s="32" t="n"/>
      <c r="N754" s="32" t="n"/>
      <c r="O754" s="32" t="n"/>
      <c r="P754" s="32" t="n"/>
      <c r="Q754" s="32" t="n"/>
      <c r="U754" s="31">
        <f>IF($A754="","",SUM(X754:AE754))</f>
        <v/>
      </c>
      <c r="V754" s="31">
        <f>IF($A754="","",IF($H754&lt;&gt;"Ausgabe",0,-$E754-$U754))</f>
        <v/>
      </c>
      <c r="W754" s="33">
        <f>IF($A754="","",DATE(YEAR($A754),MONTH($A754),1))</f>
        <v/>
      </c>
      <c r="X754" s="34">
        <f>IF(OR($A754="",$H754&lt;&gt;"Ausgabe",J754=""),0,IF(J754="x",-$E754/(COUNTIF($J754:$Q754,"x")+1),-$E754*N(J754)))</f>
        <v/>
      </c>
      <c r="Y754" s="34">
        <f>IF(OR($A754="",$H754&lt;&gt;"Ausgabe",K754=""),0,IF(K754="x",-$E754/(COUNTIF($J754:$Q754,"x")+1),-$E754*N(K754)))</f>
        <v/>
      </c>
      <c r="Z754" s="34">
        <f>IF(OR($A754="",$H754&lt;&gt;"Ausgabe",L754=""),0,IF(L754="x",-$E754/(COUNTIF($J754:$Q754,"x")+1),-$E754*N(L754)))</f>
        <v/>
      </c>
      <c r="AA754" s="34">
        <f>IF(OR($A754="",$H754&lt;&gt;"Ausgabe",M754=""),0,IF(M754="x",-$E754/(COUNTIF($J754:$Q754,"x")+1),-$E754*N(M754)))</f>
        <v/>
      </c>
      <c r="AB754" s="34">
        <f>IF(OR($A754="",$H754&lt;&gt;"Ausgabe",N754=""),0,IF(N754="x",-$E754/(COUNTIF($J754:$Q754,"x")+1),-$E754*N(N754)))</f>
        <v/>
      </c>
      <c r="AC754" s="34">
        <f>IF(OR($A754="",$H754&lt;&gt;"Ausgabe",O754=""),0,IF(O754="x",-$E754/(COUNTIF($J754:$Q754,"x")+1),-$E754*N(O754)))</f>
        <v/>
      </c>
      <c r="AD754" s="34">
        <f>IF(OR($A754="",$H754&lt;&gt;"Ausgabe",P754=""),0,IF(P754="x",-$E754/(COUNTIF($J754:$Q754,"x")+1),-$E754*N(P754)))</f>
        <v/>
      </c>
      <c r="AE754" s="34">
        <f>IF(OR($A754="",$H754&lt;&gt;"Ausgabe",Q754=""),0,IF(Q754="x",-$E754/(COUNTIF($J754:$Q754,"x")+1),-$E754*N(Q754)))</f>
        <v/>
      </c>
    </row>
    <row r="755">
      <c r="A755" s="30" t="n"/>
      <c r="E755" s="31" t="n"/>
      <c r="J755" s="32" t="n"/>
      <c r="K755" s="32" t="n"/>
      <c r="L755" s="32" t="n"/>
      <c r="M755" s="32" t="n"/>
      <c r="N755" s="32" t="n"/>
      <c r="O755" s="32" t="n"/>
      <c r="P755" s="32" t="n"/>
      <c r="Q755" s="32" t="n"/>
      <c r="U755" s="31">
        <f>IF($A755="","",SUM(X755:AE755))</f>
        <v/>
      </c>
      <c r="V755" s="31">
        <f>IF($A755="","",IF($H755&lt;&gt;"Ausgabe",0,-$E755-$U755))</f>
        <v/>
      </c>
      <c r="W755" s="33">
        <f>IF($A755="","",DATE(YEAR($A755),MONTH($A755),1))</f>
        <v/>
      </c>
      <c r="X755" s="34">
        <f>IF(OR($A755="",$H755&lt;&gt;"Ausgabe",J755=""),0,IF(J755="x",-$E755/(COUNTIF($J755:$Q755,"x")+1),-$E755*N(J755)))</f>
        <v/>
      </c>
      <c r="Y755" s="34">
        <f>IF(OR($A755="",$H755&lt;&gt;"Ausgabe",K755=""),0,IF(K755="x",-$E755/(COUNTIF($J755:$Q755,"x")+1),-$E755*N(K755)))</f>
        <v/>
      </c>
      <c r="Z755" s="34">
        <f>IF(OR($A755="",$H755&lt;&gt;"Ausgabe",L755=""),0,IF(L755="x",-$E755/(COUNTIF($J755:$Q755,"x")+1),-$E755*N(L755)))</f>
        <v/>
      </c>
      <c r="AA755" s="34">
        <f>IF(OR($A755="",$H755&lt;&gt;"Ausgabe",M755=""),0,IF(M755="x",-$E755/(COUNTIF($J755:$Q755,"x")+1),-$E755*N(M755)))</f>
        <v/>
      </c>
      <c r="AB755" s="34">
        <f>IF(OR($A755="",$H755&lt;&gt;"Ausgabe",N755=""),0,IF(N755="x",-$E755/(COUNTIF($J755:$Q755,"x")+1),-$E755*N(N755)))</f>
        <v/>
      </c>
      <c r="AC755" s="34">
        <f>IF(OR($A755="",$H755&lt;&gt;"Ausgabe",O755=""),0,IF(O755="x",-$E755/(COUNTIF($J755:$Q755,"x")+1),-$E755*N(O755)))</f>
        <v/>
      </c>
      <c r="AD755" s="34">
        <f>IF(OR($A755="",$H755&lt;&gt;"Ausgabe",P755=""),0,IF(P755="x",-$E755/(COUNTIF($J755:$Q755,"x")+1),-$E755*N(P755)))</f>
        <v/>
      </c>
      <c r="AE755" s="34">
        <f>IF(OR($A755="",$H755&lt;&gt;"Ausgabe",Q755=""),0,IF(Q755="x",-$E755/(COUNTIF($J755:$Q755,"x")+1),-$E755*N(Q755)))</f>
        <v/>
      </c>
    </row>
    <row r="756">
      <c r="A756" s="30" t="n"/>
      <c r="E756" s="31" t="n"/>
      <c r="J756" s="32" t="n"/>
      <c r="K756" s="32" t="n"/>
      <c r="L756" s="32" t="n"/>
      <c r="M756" s="32" t="n"/>
      <c r="N756" s="32" t="n"/>
      <c r="O756" s="32" t="n"/>
      <c r="P756" s="32" t="n"/>
      <c r="Q756" s="32" t="n"/>
      <c r="U756" s="31">
        <f>IF($A756="","",SUM(X756:AE756))</f>
        <v/>
      </c>
      <c r="V756" s="31">
        <f>IF($A756="","",IF($H756&lt;&gt;"Ausgabe",0,-$E756-$U756))</f>
        <v/>
      </c>
      <c r="W756" s="33">
        <f>IF($A756="","",DATE(YEAR($A756),MONTH($A756),1))</f>
        <v/>
      </c>
      <c r="X756" s="34">
        <f>IF(OR($A756="",$H756&lt;&gt;"Ausgabe",J756=""),0,IF(J756="x",-$E756/(COUNTIF($J756:$Q756,"x")+1),-$E756*N(J756)))</f>
        <v/>
      </c>
      <c r="Y756" s="34">
        <f>IF(OR($A756="",$H756&lt;&gt;"Ausgabe",K756=""),0,IF(K756="x",-$E756/(COUNTIF($J756:$Q756,"x")+1),-$E756*N(K756)))</f>
        <v/>
      </c>
      <c r="Z756" s="34">
        <f>IF(OR($A756="",$H756&lt;&gt;"Ausgabe",L756=""),0,IF(L756="x",-$E756/(COUNTIF($J756:$Q756,"x")+1),-$E756*N(L756)))</f>
        <v/>
      </c>
      <c r="AA756" s="34">
        <f>IF(OR($A756="",$H756&lt;&gt;"Ausgabe",M756=""),0,IF(M756="x",-$E756/(COUNTIF($J756:$Q756,"x")+1),-$E756*N(M756)))</f>
        <v/>
      </c>
      <c r="AB756" s="34">
        <f>IF(OR($A756="",$H756&lt;&gt;"Ausgabe",N756=""),0,IF(N756="x",-$E756/(COUNTIF($J756:$Q756,"x")+1),-$E756*N(N756)))</f>
        <v/>
      </c>
      <c r="AC756" s="34">
        <f>IF(OR($A756="",$H756&lt;&gt;"Ausgabe",O756=""),0,IF(O756="x",-$E756/(COUNTIF($J756:$Q756,"x")+1),-$E756*N(O756)))</f>
        <v/>
      </c>
      <c r="AD756" s="34">
        <f>IF(OR($A756="",$H756&lt;&gt;"Ausgabe",P756=""),0,IF(P756="x",-$E756/(COUNTIF($J756:$Q756,"x")+1),-$E756*N(P756)))</f>
        <v/>
      </c>
      <c r="AE756" s="34">
        <f>IF(OR($A756="",$H756&lt;&gt;"Ausgabe",Q756=""),0,IF(Q756="x",-$E756/(COUNTIF($J756:$Q756,"x")+1),-$E756*N(Q756)))</f>
        <v/>
      </c>
    </row>
    <row r="757">
      <c r="A757" s="30" t="n"/>
      <c r="E757" s="31" t="n"/>
      <c r="J757" s="32" t="n"/>
      <c r="K757" s="32" t="n"/>
      <c r="L757" s="32" t="n"/>
      <c r="M757" s="32" t="n"/>
      <c r="N757" s="32" t="n"/>
      <c r="O757" s="32" t="n"/>
      <c r="P757" s="32" t="n"/>
      <c r="Q757" s="32" t="n"/>
      <c r="U757" s="31">
        <f>IF($A757="","",SUM(X757:AE757))</f>
        <v/>
      </c>
      <c r="V757" s="31">
        <f>IF($A757="","",IF($H757&lt;&gt;"Ausgabe",0,-$E757-$U757))</f>
        <v/>
      </c>
      <c r="W757" s="33">
        <f>IF($A757="","",DATE(YEAR($A757),MONTH($A757),1))</f>
        <v/>
      </c>
      <c r="X757" s="34">
        <f>IF(OR($A757="",$H757&lt;&gt;"Ausgabe",J757=""),0,IF(J757="x",-$E757/(COUNTIF($J757:$Q757,"x")+1),-$E757*N(J757)))</f>
        <v/>
      </c>
      <c r="Y757" s="34">
        <f>IF(OR($A757="",$H757&lt;&gt;"Ausgabe",K757=""),0,IF(K757="x",-$E757/(COUNTIF($J757:$Q757,"x")+1),-$E757*N(K757)))</f>
        <v/>
      </c>
      <c r="Z757" s="34">
        <f>IF(OR($A757="",$H757&lt;&gt;"Ausgabe",L757=""),0,IF(L757="x",-$E757/(COUNTIF($J757:$Q757,"x")+1),-$E757*N(L757)))</f>
        <v/>
      </c>
      <c r="AA757" s="34">
        <f>IF(OR($A757="",$H757&lt;&gt;"Ausgabe",M757=""),0,IF(M757="x",-$E757/(COUNTIF($J757:$Q757,"x")+1),-$E757*N(M757)))</f>
        <v/>
      </c>
      <c r="AB757" s="34">
        <f>IF(OR($A757="",$H757&lt;&gt;"Ausgabe",N757=""),0,IF(N757="x",-$E757/(COUNTIF($J757:$Q757,"x")+1),-$E757*N(N757)))</f>
        <v/>
      </c>
      <c r="AC757" s="34">
        <f>IF(OR($A757="",$H757&lt;&gt;"Ausgabe",O757=""),0,IF(O757="x",-$E757/(COUNTIF($J757:$Q757,"x")+1),-$E757*N(O757)))</f>
        <v/>
      </c>
      <c r="AD757" s="34">
        <f>IF(OR($A757="",$H757&lt;&gt;"Ausgabe",P757=""),0,IF(P757="x",-$E757/(COUNTIF($J757:$Q757,"x")+1),-$E757*N(P757)))</f>
        <v/>
      </c>
      <c r="AE757" s="34">
        <f>IF(OR($A757="",$H757&lt;&gt;"Ausgabe",Q757=""),0,IF(Q757="x",-$E757/(COUNTIF($J757:$Q757,"x")+1),-$E757*N(Q757)))</f>
        <v/>
      </c>
    </row>
    <row r="758">
      <c r="A758" s="30" t="n"/>
      <c r="E758" s="31" t="n"/>
      <c r="J758" s="32" t="n"/>
      <c r="K758" s="32" t="n"/>
      <c r="L758" s="32" t="n"/>
      <c r="M758" s="32" t="n"/>
      <c r="N758" s="32" t="n"/>
      <c r="O758" s="32" t="n"/>
      <c r="P758" s="32" t="n"/>
      <c r="Q758" s="32" t="n"/>
      <c r="U758" s="31">
        <f>IF($A758="","",SUM(X758:AE758))</f>
        <v/>
      </c>
      <c r="V758" s="31">
        <f>IF($A758="","",IF($H758&lt;&gt;"Ausgabe",0,-$E758-$U758))</f>
        <v/>
      </c>
      <c r="W758" s="33">
        <f>IF($A758="","",DATE(YEAR($A758),MONTH($A758),1))</f>
        <v/>
      </c>
      <c r="X758" s="34">
        <f>IF(OR($A758="",$H758&lt;&gt;"Ausgabe",J758=""),0,IF(J758="x",-$E758/(COUNTIF($J758:$Q758,"x")+1),-$E758*N(J758)))</f>
        <v/>
      </c>
      <c r="Y758" s="34">
        <f>IF(OR($A758="",$H758&lt;&gt;"Ausgabe",K758=""),0,IF(K758="x",-$E758/(COUNTIF($J758:$Q758,"x")+1),-$E758*N(K758)))</f>
        <v/>
      </c>
      <c r="Z758" s="34">
        <f>IF(OR($A758="",$H758&lt;&gt;"Ausgabe",L758=""),0,IF(L758="x",-$E758/(COUNTIF($J758:$Q758,"x")+1),-$E758*N(L758)))</f>
        <v/>
      </c>
      <c r="AA758" s="34">
        <f>IF(OR($A758="",$H758&lt;&gt;"Ausgabe",M758=""),0,IF(M758="x",-$E758/(COUNTIF($J758:$Q758,"x")+1),-$E758*N(M758)))</f>
        <v/>
      </c>
      <c r="AB758" s="34">
        <f>IF(OR($A758="",$H758&lt;&gt;"Ausgabe",N758=""),0,IF(N758="x",-$E758/(COUNTIF($J758:$Q758,"x")+1),-$E758*N(N758)))</f>
        <v/>
      </c>
      <c r="AC758" s="34">
        <f>IF(OR($A758="",$H758&lt;&gt;"Ausgabe",O758=""),0,IF(O758="x",-$E758/(COUNTIF($J758:$Q758,"x")+1),-$E758*N(O758)))</f>
        <v/>
      </c>
      <c r="AD758" s="34">
        <f>IF(OR($A758="",$H758&lt;&gt;"Ausgabe",P758=""),0,IF(P758="x",-$E758/(COUNTIF($J758:$Q758,"x")+1),-$E758*N(P758)))</f>
        <v/>
      </c>
      <c r="AE758" s="34">
        <f>IF(OR($A758="",$H758&lt;&gt;"Ausgabe",Q758=""),0,IF(Q758="x",-$E758/(COUNTIF($J758:$Q758,"x")+1),-$E758*N(Q758)))</f>
        <v/>
      </c>
    </row>
    <row r="759">
      <c r="A759" s="30" t="n"/>
      <c r="E759" s="31" t="n"/>
      <c r="J759" s="32" t="n"/>
      <c r="K759" s="32" t="n"/>
      <c r="L759" s="32" t="n"/>
      <c r="M759" s="32" t="n"/>
      <c r="N759" s="32" t="n"/>
      <c r="O759" s="32" t="n"/>
      <c r="P759" s="32" t="n"/>
      <c r="Q759" s="32" t="n"/>
      <c r="U759" s="31">
        <f>IF($A759="","",SUM(X759:AE759))</f>
        <v/>
      </c>
      <c r="V759" s="31">
        <f>IF($A759="","",IF($H759&lt;&gt;"Ausgabe",0,-$E759-$U759))</f>
        <v/>
      </c>
      <c r="W759" s="33">
        <f>IF($A759="","",DATE(YEAR($A759),MONTH($A759),1))</f>
        <v/>
      </c>
      <c r="X759" s="34">
        <f>IF(OR($A759="",$H759&lt;&gt;"Ausgabe",J759=""),0,IF(J759="x",-$E759/(COUNTIF($J759:$Q759,"x")+1),-$E759*N(J759)))</f>
        <v/>
      </c>
      <c r="Y759" s="34">
        <f>IF(OR($A759="",$H759&lt;&gt;"Ausgabe",K759=""),0,IF(K759="x",-$E759/(COUNTIF($J759:$Q759,"x")+1),-$E759*N(K759)))</f>
        <v/>
      </c>
      <c r="Z759" s="34">
        <f>IF(OR($A759="",$H759&lt;&gt;"Ausgabe",L759=""),0,IF(L759="x",-$E759/(COUNTIF($J759:$Q759,"x")+1),-$E759*N(L759)))</f>
        <v/>
      </c>
      <c r="AA759" s="34">
        <f>IF(OR($A759="",$H759&lt;&gt;"Ausgabe",M759=""),0,IF(M759="x",-$E759/(COUNTIF($J759:$Q759,"x")+1),-$E759*N(M759)))</f>
        <v/>
      </c>
      <c r="AB759" s="34">
        <f>IF(OR($A759="",$H759&lt;&gt;"Ausgabe",N759=""),0,IF(N759="x",-$E759/(COUNTIF($J759:$Q759,"x")+1),-$E759*N(N759)))</f>
        <v/>
      </c>
      <c r="AC759" s="34">
        <f>IF(OR($A759="",$H759&lt;&gt;"Ausgabe",O759=""),0,IF(O759="x",-$E759/(COUNTIF($J759:$Q759,"x")+1),-$E759*N(O759)))</f>
        <v/>
      </c>
      <c r="AD759" s="34">
        <f>IF(OR($A759="",$H759&lt;&gt;"Ausgabe",P759=""),0,IF(P759="x",-$E759/(COUNTIF($J759:$Q759,"x")+1),-$E759*N(P759)))</f>
        <v/>
      </c>
      <c r="AE759" s="34">
        <f>IF(OR($A759="",$H759&lt;&gt;"Ausgabe",Q759=""),0,IF(Q759="x",-$E759/(COUNTIF($J759:$Q759,"x")+1),-$E759*N(Q759)))</f>
        <v/>
      </c>
    </row>
    <row r="760">
      <c r="A760" s="30" t="n"/>
      <c r="E760" s="31" t="n"/>
      <c r="J760" s="32" t="n"/>
      <c r="K760" s="32" t="n"/>
      <c r="L760" s="32" t="n"/>
      <c r="M760" s="32" t="n"/>
      <c r="N760" s="32" t="n"/>
      <c r="O760" s="32" t="n"/>
      <c r="P760" s="32" t="n"/>
      <c r="Q760" s="32" t="n"/>
      <c r="U760" s="31">
        <f>IF($A760="","",SUM(X760:AE760))</f>
        <v/>
      </c>
      <c r="V760" s="31">
        <f>IF($A760="","",IF($H760&lt;&gt;"Ausgabe",0,-$E760-$U760))</f>
        <v/>
      </c>
      <c r="W760" s="33">
        <f>IF($A760="","",DATE(YEAR($A760),MONTH($A760),1))</f>
        <v/>
      </c>
      <c r="X760" s="34">
        <f>IF(OR($A760="",$H760&lt;&gt;"Ausgabe",J760=""),0,IF(J760="x",-$E760/(COUNTIF($J760:$Q760,"x")+1),-$E760*N(J760)))</f>
        <v/>
      </c>
      <c r="Y760" s="34">
        <f>IF(OR($A760="",$H760&lt;&gt;"Ausgabe",K760=""),0,IF(K760="x",-$E760/(COUNTIF($J760:$Q760,"x")+1),-$E760*N(K760)))</f>
        <v/>
      </c>
      <c r="Z760" s="34">
        <f>IF(OR($A760="",$H760&lt;&gt;"Ausgabe",L760=""),0,IF(L760="x",-$E760/(COUNTIF($J760:$Q760,"x")+1),-$E760*N(L760)))</f>
        <v/>
      </c>
      <c r="AA760" s="34">
        <f>IF(OR($A760="",$H760&lt;&gt;"Ausgabe",M760=""),0,IF(M760="x",-$E760/(COUNTIF($J760:$Q760,"x")+1),-$E760*N(M760)))</f>
        <v/>
      </c>
      <c r="AB760" s="34">
        <f>IF(OR($A760="",$H760&lt;&gt;"Ausgabe",N760=""),0,IF(N760="x",-$E760/(COUNTIF($J760:$Q760,"x")+1),-$E760*N(N760)))</f>
        <v/>
      </c>
      <c r="AC760" s="34">
        <f>IF(OR($A760="",$H760&lt;&gt;"Ausgabe",O760=""),0,IF(O760="x",-$E760/(COUNTIF($J760:$Q760,"x")+1),-$E760*N(O760)))</f>
        <v/>
      </c>
      <c r="AD760" s="34">
        <f>IF(OR($A760="",$H760&lt;&gt;"Ausgabe",P760=""),0,IF(P760="x",-$E760/(COUNTIF($J760:$Q760,"x")+1),-$E760*N(P760)))</f>
        <v/>
      </c>
      <c r="AE760" s="34">
        <f>IF(OR($A760="",$H760&lt;&gt;"Ausgabe",Q760=""),0,IF(Q760="x",-$E760/(COUNTIF($J760:$Q760,"x")+1),-$E760*N(Q760)))</f>
        <v/>
      </c>
    </row>
    <row r="761">
      <c r="A761" s="30" t="n"/>
      <c r="E761" s="31" t="n"/>
      <c r="J761" s="32" t="n"/>
      <c r="K761" s="32" t="n"/>
      <c r="L761" s="32" t="n"/>
      <c r="M761" s="32" t="n"/>
      <c r="N761" s="32" t="n"/>
      <c r="O761" s="32" t="n"/>
      <c r="P761" s="32" t="n"/>
      <c r="Q761" s="32" t="n"/>
      <c r="U761" s="31">
        <f>IF($A761="","",SUM(X761:AE761))</f>
        <v/>
      </c>
      <c r="V761" s="31">
        <f>IF($A761="","",IF($H761&lt;&gt;"Ausgabe",0,-$E761-$U761))</f>
        <v/>
      </c>
      <c r="W761" s="33">
        <f>IF($A761="","",DATE(YEAR($A761),MONTH($A761),1))</f>
        <v/>
      </c>
      <c r="X761" s="34">
        <f>IF(OR($A761="",$H761&lt;&gt;"Ausgabe",J761=""),0,IF(J761="x",-$E761/(COUNTIF($J761:$Q761,"x")+1),-$E761*N(J761)))</f>
        <v/>
      </c>
      <c r="Y761" s="34">
        <f>IF(OR($A761="",$H761&lt;&gt;"Ausgabe",K761=""),0,IF(K761="x",-$E761/(COUNTIF($J761:$Q761,"x")+1),-$E761*N(K761)))</f>
        <v/>
      </c>
      <c r="Z761" s="34">
        <f>IF(OR($A761="",$H761&lt;&gt;"Ausgabe",L761=""),0,IF(L761="x",-$E761/(COUNTIF($J761:$Q761,"x")+1),-$E761*N(L761)))</f>
        <v/>
      </c>
      <c r="AA761" s="34">
        <f>IF(OR($A761="",$H761&lt;&gt;"Ausgabe",M761=""),0,IF(M761="x",-$E761/(COUNTIF($J761:$Q761,"x")+1),-$E761*N(M761)))</f>
        <v/>
      </c>
      <c r="AB761" s="34">
        <f>IF(OR($A761="",$H761&lt;&gt;"Ausgabe",N761=""),0,IF(N761="x",-$E761/(COUNTIF($J761:$Q761,"x")+1),-$E761*N(N761)))</f>
        <v/>
      </c>
      <c r="AC761" s="34">
        <f>IF(OR($A761="",$H761&lt;&gt;"Ausgabe",O761=""),0,IF(O761="x",-$E761/(COUNTIF($J761:$Q761,"x")+1),-$E761*N(O761)))</f>
        <v/>
      </c>
      <c r="AD761" s="34">
        <f>IF(OR($A761="",$H761&lt;&gt;"Ausgabe",P761=""),0,IF(P761="x",-$E761/(COUNTIF($J761:$Q761,"x")+1),-$E761*N(P761)))</f>
        <v/>
      </c>
      <c r="AE761" s="34">
        <f>IF(OR($A761="",$H761&lt;&gt;"Ausgabe",Q761=""),0,IF(Q761="x",-$E761/(COUNTIF($J761:$Q761,"x")+1),-$E761*N(Q761)))</f>
        <v/>
      </c>
    </row>
    <row r="762">
      <c r="A762" s="30" t="n"/>
      <c r="E762" s="31" t="n"/>
      <c r="J762" s="32" t="n"/>
      <c r="K762" s="32" t="n"/>
      <c r="L762" s="32" t="n"/>
      <c r="M762" s="32" t="n"/>
      <c r="N762" s="32" t="n"/>
      <c r="O762" s="32" t="n"/>
      <c r="P762" s="32" t="n"/>
      <c r="Q762" s="32" t="n"/>
      <c r="U762" s="31">
        <f>IF($A762="","",SUM(X762:AE762))</f>
        <v/>
      </c>
      <c r="V762" s="31">
        <f>IF($A762="","",IF($H762&lt;&gt;"Ausgabe",0,-$E762-$U762))</f>
        <v/>
      </c>
      <c r="W762" s="33">
        <f>IF($A762="","",DATE(YEAR($A762),MONTH($A762),1))</f>
        <v/>
      </c>
      <c r="X762" s="34">
        <f>IF(OR($A762="",$H762&lt;&gt;"Ausgabe",J762=""),0,IF(J762="x",-$E762/(COUNTIF($J762:$Q762,"x")+1),-$E762*N(J762)))</f>
        <v/>
      </c>
      <c r="Y762" s="34">
        <f>IF(OR($A762="",$H762&lt;&gt;"Ausgabe",K762=""),0,IF(K762="x",-$E762/(COUNTIF($J762:$Q762,"x")+1),-$E762*N(K762)))</f>
        <v/>
      </c>
      <c r="Z762" s="34">
        <f>IF(OR($A762="",$H762&lt;&gt;"Ausgabe",L762=""),0,IF(L762="x",-$E762/(COUNTIF($J762:$Q762,"x")+1),-$E762*N(L762)))</f>
        <v/>
      </c>
      <c r="AA762" s="34">
        <f>IF(OR($A762="",$H762&lt;&gt;"Ausgabe",M762=""),0,IF(M762="x",-$E762/(COUNTIF($J762:$Q762,"x")+1),-$E762*N(M762)))</f>
        <v/>
      </c>
      <c r="AB762" s="34">
        <f>IF(OR($A762="",$H762&lt;&gt;"Ausgabe",N762=""),0,IF(N762="x",-$E762/(COUNTIF($J762:$Q762,"x")+1),-$E762*N(N762)))</f>
        <v/>
      </c>
      <c r="AC762" s="34">
        <f>IF(OR($A762="",$H762&lt;&gt;"Ausgabe",O762=""),0,IF(O762="x",-$E762/(COUNTIF($J762:$Q762,"x")+1),-$E762*N(O762)))</f>
        <v/>
      </c>
      <c r="AD762" s="34">
        <f>IF(OR($A762="",$H762&lt;&gt;"Ausgabe",P762=""),0,IF(P762="x",-$E762/(COUNTIF($J762:$Q762,"x")+1),-$E762*N(P762)))</f>
        <v/>
      </c>
      <c r="AE762" s="34">
        <f>IF(OR($A762="",$H762&lt;&gt;"Ausgabe",Q762=""),0,IF(Q762="x",-$E762/(COUNTIF($J762:$Q762,"x")+1),-$E762*N(Q762)))</f>
        <v/>
      </c>
    </row>
    <row r="763">
      <c r="A763" s="30" t="n"/>
      <c r="E763" s="31" t="n"/>
      <c r="J763" s="32" t="n"/>
      <c r="K763" s="32" t="n"/>
      <c r="L763" s="32" t="n"/>
      <c r="M763" s="32" t="n"/>
      <c r="N763" s="32" t="n"/>
      <c r="O763" s="32" t="n"/>
      <c r="P763" s="32" t="n"/>
      <c r="Q763" s="32" t="n"/>
      <c r="U763" s="31">
        <f>IF($A763="","",SUM(X763:AE763))</f>
        <v/>
      </c>
      <c r="V763" s="31">
        <f>IF($A763="","",IF($H763&lt;&gt;"Ausgabe",0,-$E763-$U763))</f>
        <v/>
      </c>
      <c r="W763" s="33">
        <f>IF($A763="","",DATE(YEAR($A763),MONTH($A763),1))</f>
        <v/>
      </c>
      <c r="X763" s="34">
        <f>IF(OR($A763="",$H763&lt;&gt;"Ausgabe",J763=""),0,IF(J763="x",-$E763/(COUNTIF($J763:$Q763,"x")+1),-$E763*N(J763)))</f>
        <v/>
      </c>
      <c r="Y763" s="34">
        <f>IF(OR($A763="",$H763&lt;&gt;"Ausgabe",K763=""),0,IF(K763="x",-$E763/(COUNTIF($J763:$Q763,"x")+1),-$E763*N(K763)))</f>
        <v/>
      </c>
      <c r="Z763" s="34">
        <f>IF(OR($A763="",$H763&lt;&gt;"Ausgabe",L763=""),0,IF(L763="x",-$E763/(COUNTIF($J763:$Q763,"x")+1),-$E763*N(L763)))</f>
        <v/>
      </c>
      <c r="AA763" s="34">
        <f>IF(OR($A763="",$H763&lt;&gt;"Ausgabe",M763=""),0,IF(M763="x",-$E763/(COUNTIF($J763:$Q763,"x")+1),-$E763*N(M763)))</f>
        <v/>
      </c>
      <c r="AB763" s="34">
        <f>IF(OR($A763="",$H763&lt;&gt;"Ausgabe",N763=""),0,IF(N763="x",-$E763/(COUNTIF($J763:$Q763,"x")+1),-$E763*N(N763)))</f>
        <v/>
      </c>
      <c r="AC763" s="34">
        <f>IF(OR($A763="",$H763&lt;&gt;"Ausgabe",O763=""),0,IF(O763="x",-$E763/(COUNTIF($J763:$Q763,"x")+1),-$E763*N(O763)))</f>
        <v/>
      </c>
      <c r="AD763" s="34">
        <f>IF(OR($A763="",$H763&lt;&gt;"Ausgabe",P763=""),0,IF(P763="x",-$E763/(COUNTIF($J763:$Q763,"x")+1),-$E763*N(P763)))</f>
        <v/>
      </c>
      <c r="AE763" s="34">
        <f>IF(OR($A763="",$H763&lt;&gt;"Ausgabe",Q763=""),0,IF(Q763="x",-$E763/(COUNTIF($J763:$Q763,"x")+1),-$E763*N(Q763)))</f>
        <v/>
      </c>
    </row>
    <row r="764">
      <c r="A764" s="30" t="n"/>
      <c r="E764" s="31" t="n"/>
      <c r="J764" s="32" t="n"/>
      <c r="K764" s="32" t="n"/>
      <c r="L764" s="32" t="n"/>
      <c r="M764" s="32" t="n"/>
      <c r="N764" s="32" t="n"/>
      <c r="O764" s="32" t="n"/>
      <c r="P764" s="32" t="n"/>
      <c r="Q764" s="32" t="n"/>
      <c r="U764" s="31">
        <f>IF($A764="","",SUM(X764:AE764))</f>
        <v/>
      </c>
      <c r="V764" s="31">
        <f>IF($A764="","",IF($H764&lt;&gt;"Ausgabe",0,-$E764-$U764))</f>
        <v/>
      </c>
      <c r="W764" s="33">
        <f>IF($A764="","",DATE(YEAR($A764),MONTH($A764),1))</f>
        <v/>
      </c>
      <c r="X764" s="34">
        <f>IF(OR($A764="",$H764&lt;&gt;"Ausgabe",J764=""),0,IF(J764="x",-$E764/(COUNTIF($J764:$Q764,"x")+1),-$E764*N(J764)))</f>
        <v/>
      </c>
      <c r="Y764" s="34">
        <f>IF(OR($A764="",$H764&lt;&gt;"Ausgabe",K764=""),0,IF(K764="x",-$E764/(COUNTIF($J764:$Q764,"x")+1),-$E764*N(K764)))</f>
        <v/>
      </c>
      <c r="Z764" s="34">
        <f>IF(OR($A764="",$H764&lt;&gt;"Ausgabe",L764=""),0,IF(L764="x",-$E764/(COUNTIF($J764:$Q764,"x")+1),-$E764*N(L764)))</f>
        <v/>
      </c>
      <c r="AA764" s="34">
        <f>IF(OR($A764="",$H764&lt;&gt;"Ausgabe",M764=""),0,IF(M764="x",-$E764/(COUNTIF($J764:$Q764,"x")+1),-$E764*N(M764)))</f>
        <v/>
      </c>
      <c r="AB764" s="34">
        <f>IF(OR($A764="",$H764&lt;&gt;"Ausgabe",N764=""),0,IF(N764="x",-$E764/(COUNTIF($J764:$Q764,"x")+1),-$E764*N(N764)))</f>
        <v/>
      </c>
      <c r="AC764" s="34">
        <f>IF(OR($A764="",$H764&lt;&gt;"Ausgabe",O764=""),0,IF(O764="x",-$E764/(COUNTIF($J764:$Q764,"x")+1),-$E764*N(O764)))</f>
        <v/>
      </c>
      <c r="AD764" s="34">
        <f>IF(OR($A764="",$H764&lt;&gt;"Ausgabe",P764=""),0,IF(P764="x",-$E764/(COUNTIF($J764:$Q764,"x")+1),-$E764*N(P764)))</f>
        <v/>
      </c>
      <c r="AE764" s="34">
        <f>IF(OR($A764="",$H764&lt;&gt;"Ausgabe",Q764=""),0,IF(Q764="x",-$E764/(COUNTIF($J764:$Q764,"x")+1),-$E764*N(Q764)))</f>
        <v/>
      </c>
    </row>
    <row r="765">
      <c r="A765" s="30" t="n"/>
      <c r="E765" s="31" t="n"/>
      <c r="J765" s="32" t="n"/>
      <c r="K765" s="32" t="n"/>
      <c r="L765" s="32" t="n"/>
      <c r="M765" s="32" t="n"/>
      <c r="N765" s="32" t="n"/>
      <c r="O765" s="32" t="n"/>
      <c r="P765" s="32" t="n"/>
      <c r="Q765" s="32" t="n"/>
      <c r="U765" s="31">
        <f>IF($A765="","",SUM(X765:AE765))</f>
        <v/>
      </c>
      <c r="V765" s="31">
        <f>IF($A765="","",IF($H765&lt;&gt;"Ausgabe",0,-$E765-$U765))</f>
        <v/>
      </c>
      <c r="W765" s="33">
        <f>IF($A765="","",DATE(YEAR($A765),MONTH($A765),1))</f>
        <v/>
      </c>
      <c r="X765" s="34">
        <f>IF(OR($A765="",$H765&lt;&gt;"Ausgabe",J765=""),0,IF(J765="x",-$E765/(COUNTIF($J765:$Q765,"x")+1),-$E765*N(J765)))</f>
        <v/>
      </c>
      <c r="Y765" s="34">
        <f>IF(OR($A765="",$H765&lt;&gt;"Ausgabe",K765=""),0,IF(K765="x",-$E765/(COUNTIF($J765:$Q765,"x")+1),-$E765*N(K765)))</f>
        <v/>
      </c>
      <c r="Z765" s="34">
        <f>IF(OR($A765="",$H765&lt;&gt;"Ausgabe",L765=""),0,IF(L765="x",-$E765/(COUNTIF($J765:$Q765,"x")+1),-$E765*N(L765)))</f>
        <v/>
      </c>
      <c r="AA765" s="34">
        <f>IF(OR($A765="",$H765&lt;&gt;"Ausgabe",M765=""),0,IF(M765="x",-$E765/(COUNTIF($J765:$Q765,"x")+1),-$E765*N(M765)))</f>
        <v/>
      </c>
      <c r="AB765" s="34">
        <f>IF(OR($A765="",$H765&lt;&gt;"Ausgabe",N765=""),0,IF(N765="x",-$E765/(COUNTIF($J765:$Q765,"x")+1),-$E765*N(N765)))</f>
        <v/>
      </c>
      <c r="AC765" s="34">
        <f>IF(OR($A765="",$H765&lt;&gt;"Ausgabe",O765=""),0,IF(O765="x",-$E765/(COUNTIF($J765:$Q765,"x")+1),-$E765*N(O765)))</f>
        <v/>
      </c>
      <c r="AD765" s="34">
        <f>IF(OR($A765="",$H765&lt;&gt;"Ausgabe",P765=""),0,IF(P765="x",-$E765/(COUNTIF($J765:$Q765,"x")+1),-$E765*N(P765)))</f>
        <v/>
      </c>
      <c r="AE765" s="34">
        <f>IF(OR($A765="",$H765&lt;&gt;"Ausgabe",Q765=""),0,IF(Q765="x",-$E765/(COUNTIF($J765:$Q765,"x")+1),-$E765*N(Q765)))</f>
        <v/>
      </c>
    </row>
    <row r="766">
      <c r="A766" s="30" t="n"/>
      <c r="E766" s="31" t="n"/>
      <c r="J766" s="32" t="n"/>
      <c r="K766" s="32" t="n"/>
      <c r="L766" s="32" t="n"/>
      <c r="M766" s="32" t="n"/>
      <c r="N766" s="32" t="n"/>
      <c r="O766" s="32" t="n"/>
      <c r="P766" s="32" t="n"/>
      <c r="Q766" s="32" t="n"/>
      <c r="U766" s="31">
        <f>IF($A766="","",SUM(X766:AE766))</f>
        <v/>
      </c>
      <c r="V766" s="31">
        <f>IF($A766="","",IF($H766&lt;&gt;"Ausgabe",0,-$E766-$U766))</f>
        <v/>
      </c>
      <c r="W766" s="33">
        <f>IF($A766="","",DATE(YEAR($A766),MONTH($A766),1))</f>
        <v/>
      </c>
      <c r="X766" s="34">
        <f>IF(OR($A766="",$H766&lt;&gt;"Ausgabe",J766=""),0,IF(J766="x",-$E766/(COUNTIF($J766:$Q766,"x")+1),-$E766*N(J766)))</f>
        <v/>
      </c>
      <c r="Y766" s="34">
        <f>IF(OR($A766="",$H766&lt;&gt;"Ausgabe",K766=""),0,IF(K766="x",-$E766/(COUNTIF($J766:$Q766,"x")+1),-$E766*N(K766)))</f>
        <v/>
      </c>
      <c r="Z766" s="34">
        <f>IF(OR($A766="",$H766&lt;&gt;"Ausgabe",L766=""),0,IF(L766="x",-$E766/(COUNTIF($J766:$Q766,"x")+1),-$E766*N(L766)))</f>
        <v/>
      </c>
      <c r="AA766" s="34">
        <f>IF(OR($A766="",$H766&lt;&gt;"Ausgabe",M766=""),0,IF(M766="x",-$E766/(COUNTIF($J766:$Q766,"x")+1),-$E766*N(M766)))</f>
        <v/>
      </c>
      <c r="AB766" s="34">
        <f>IF(OR($A766="",$H766&lt;&gt;"Ausgabe",N766=""),0,IF(N766="x",-$E766/(COUNTIF($J766:$Q766,"x")+1),-$E766*N(N766)))</f>
        <v/>
      </c>
      <c r="AC766" s="34">
        <f>IF(OR($A766="",$H766&lt;&gt;"Ausgabe",O766=""),0,IF(O766="x",-$E766/(COUNTIF($J766:$Q766,"x")+1),-$E766*N(O766)))</f>
        <v/>
      </c>
      <c r="AD766" s="34">
        <f>IF(OR($A766="",$H766&lt;&gt;"Ausgabe",P766=""),0,IF(P766="x",-$E766/(COUNTIF($J766:$Q766,"x")+1),-$E766*N(P766)))</f>
        <v/>
      </c>
      <c r="AE766" s="34">
        <f>IF(OR($A766="",$H766&lt;&gt;"Ausgabe",Q766=""),0,IF(Q766="x",-$E766/(COUNTIF($J766:$Q766,"x")+1),-$E766*N(Q766)))</f>
        <v/>
      </c>
    </row>
    <row r="767">
      <c r="A767" s="30" t="n"/>
      <c r="E767" s="31" t="n"/>
      <c r="J767" s="32" t="n"/>
      <c r="K767" s="32" t="n"/>
      <c r="L767" s="32" t="n"/>
      <c r="M767" s="32" t="n"/>
      <c r="N767" s="32" t="n"/>
      <c r="O767" s="32" t="n"/>
      <c r="P767" s="32" t="n"/>
      <c r="Q767" s="32" t="n"/>
      <c r="U767" s="31">
        <f>IF($A767="","",SUM(X767:AE767))</f>
        <v/>
      </c>
      <c r="V767" s="31">
        <f>IF($A767="","",IF($H767&lt;&gt;"Ausgabe",0,-$E767-$U767))</f>
        <v/>
      </c>
      <c r="W767" s="33">
        <f>IF($A767="","",DATE(YEAR($A767),MONTH($A767),1))</f>
        <v/>
      </c>
      <c r="X767" s="34">
        <f>IF(OR($A767="",$H767&lt;&gt;"Ausgabe",J767=""),0,IF(J767="x",-$E767/(COUNTIF($J767:$Q767,"x")+1),-$E767*N(J767)))</f>
        <v/>
      </c>
      <c r="Y767" s="34">
        <f>IF(OR($A767="",$H767&lt;&gt;"Ausgabe",K767=""),0,IF(K767="x",-$E767/(COUNTIF($J767:$Q767,"x")+1),-$E767*N(K767)))</f>
        <v/>
      </c>
      <c r="Z767" s="34">
        <f>IF(OR($A767="",$H767&lt;&gt;"Ausgabe",L767=""),0,IF(L767="x",-$E767/(COUNTIF($J767:$Q767,"x")+1),-$E767*N(L767)))</f>
        <v/>
      </c>
      <c r="AA767" s="34">
        <f>IF(OR($A767="",$H767&lt;&gt;"Ausgabe",M767=""),0,IF(M767="x",-$E767/(COUNTIF($J767:$Q767,"x")+1),-$E767*N(M767)))</f>
        <v/>
      </c>
      <c r="AB767" s="34">
        <f>IF(OR($A767="",$H767&lt;&gt;"Ausgabe",N767=""),0,IF(N767="x",-$E767/(COUNTIF($J767:$Q767,"x")+1),-$E767*N(N767)))</f>
        <v/>
      </c>
      <c r="AC767" s="34">
        <f>IF(OR($A767="",$H767&lt;&gt;"Ausgabe",O767=""),0,IF(O767="x",-$E767/(COUNTIF($J767:$Q767,"x")+1),-$E767*N(O767)))</f>
        <v/>
      </c>
      <c r="AD767" s="34">
        <f>IF(OR($A767="",$H767&lt;&gt;"Ausgabe",P767=""),0,IF(P767="x",-$E767/(COUNTIF($J767:$Q767,"x")+1),-$E767*N(P767)))</f>
        <v/>
      </c>
      <c r="AE767" s="34">
        <f>IF(OR($A767="",$H767&lt;&gt;"Ausgabe",Q767=""),0,IF(Q767="x",-$E767/(COUNTIF($J767:$Q767,"x")+1),-$E767*N(Q767)))</f>
        <v/>
      </c>
    </row>
    <row r="768">
      <c r="A768" s="30" t="n"/>
      <c r="E768" s="31" t="n"/>
      <c r="J768" s="32" t="n"/>
      <c r="K768" s="32" t="n"/>
      <c r="L768" s="32" t="n"/>
      <c r="M768" s="32" t="n"/>
      <c r="N768" s="32" t="n"/>
      <c r="O768" s="32" t="n"/>
      <c r="P768" s="32" t="n"/>
      <c r="Q768" s="32" t="n"/>
      <c r="U768" s="31">
        <f>IF($A768="","",SUM(X768:AE768))</f>
        <v/>
      </c>
      <c r="V768" s="31">
        <f>IF($A768="","",IF($H768&lt;&gt;"Ausgabe",0,-$E768-$U768))</f>
        <v/>
      </c>
      <c r="W768" s="33">
        <f>IF($A768="","",DATE(YEAR($A768),MONTH($A768),1))</f>
        <v/>
      </c>
      <c r="X768" s="34">
        <f>IF(OR($A768="",$H768&lt;&gt;"Ausgabe",J768=""),0,IF(J768="x",-$E768/(COUNTIF($J768:$Q768,"x")+1),-$E768*N(J768)))</f>
        <v/>
      </c>
      <c r="Y768" s="34">
        <f>IF(OR($A768="",$H768&lt;&gt;"Ausgabe",K768=""),0,IF(K768="x",-$E768/(COUNTIF($J768:$Q768,"x")+1),-$E768*N(K768)))</f>
        <v/>
      </c>
      <c r="Z768" s="34">
        <f>IF(OR($A768="",$H768&lt;&gt;"Ausgabe",L768=""),0,IF(L768="x",-$E768/(COUNTIF($J768:$Q768,"x")+1),-$E768*N(L768)))</f>
        <v/>
      </c>
      <c r="AA768" s="34">
        <f>IF(OR($A768="",$H768&lt;&gt;"Ausgabe",M768=""),0,IF(M768="x",-$E768/(COUNTIF($J768:$Q768,"x")+1),-$E768*N(M768)))</f>
        <v/>
      </c>
      <c r="AB768" s="34">
        <f>IF(OR($A768="",$H768&lt;&gt;"Ausgabe",N768=""),0,IF(N768="x",-$E768/(COUNTIF($J768:$Q768,"x")+1),-$E768*N(N768)))</f>
        <v/>
      </c>
      <c r="AC768" s="34">
        <f>IF(OR($A768="",$H768&lt;&gt;"Ausgabe",O768=""),0,IF(O768="x",-$E768/(COUNTIF($J768:$Q768,"x")+1),-$E768*N(O768)))</f>
        <v/>
      </c>
      <c r="AD768" s="34">
        <f>IF(OR($A768="",$H768&lt;&gt;"Ausgabe",P768=""),0,IF(P768="x",-$E768/(COUNTIF($J768:$Q768,"x")+1),-$E768*N(P768)))</f>
        <v/>
      </c>
      <c r="AE768" s="34">
        <f>IF(OR($A768="",$H768&lt;&gt;"Ausgabe",Q768=""),0,IF(Q768="x",-$E768/(COUNTIF($J768:$Q768,"x")+1),-$E768*N(Q768)))</f>
        <v/>
      </c>
    </row>
    <row r="769">
      <c r="A769" s="30" t="n"/>
      <c r="E769" s="31" t="n"/>
      <c r="J769" s="32" t="n"/>
      <c r="K769" s="32" t="n"/>
      <c r="L769" s="32" t="n"/>
      <c r="M769" s="32" t="n"/>
      <c r="N769" s="32" t="n"/>
      <c r="O769" s="32" t="n"/>
      <c r="P769" s="32" t="n"/>
      <c r="Q769" s="32" t="n"/>
      <c r="U769" s="31">
        <f>IF($A769="","",SUM(X769:AE769))</f>
        <v/>
      </c>
      <c r="V769" s="31">
        <f>IF($A769="","",IF($H769&lt;&gt;"Ausgabe",0,-$E769-$U769))</f>
        <v/>
      </c>
      <c r="W769" s="33">
        <f>IF($A769="","",DATE(YEAR($A769),MONTH($A769),1))</f>
        <v/>
      </c>
      <c r="X769" s="34">
        <f>IF(OR($A769="",$H769&lt;&gt;"Ausgabe",J769=""),0,IF(J769="x",-$E769/(COUNTIF($J769:$Q769,"x")+1),-$E769*N(J769)))</f>
        <v/>
      </c>
      <c r="Y769" s="34">
        <f>IF(OR($A769="",$H769&lt;&gt;"Ausgabe",K769=""),0,IF(K769="x",-$E769/(COUNTIF($J769:$Q769,"x")+1),-$E769*N(K769)))</f>
        <v/>
      </c>
      <c r="Z769" s="34">
        <f>IF(OR($A769="",$H769&lt;&gt;"Ausgabe",L769=""),0,IF(L769="x",-$E769/(COUNTIF($J769:$Q769,"x")+1),-$E769*N(L769)))</f>
        <v/>
      </c>
      <c r="AA769" s="34">
        <f>IF(OR($A769="",$H769&lt;&gt;"Ausgabe",M769=""),0,IF(M769="x",-$E769/(COUNTIF($J769:$Q769,"x")+1),-$E769*N(M769)))</f>
        <v/>
      </c>
      <c r="AB769" s="34">
        <f>IF(OR($A769="",$H769&lt;&gt;"Ausgabe",N769=""),0,IF(N769="x",-$E769/(COUNTIF($J769:$Q769,"x")+1),-$E769*N(N769)))</f>
        <v/>
      </c>
      <c r="AC769" s="34">
        <f>IF(OR($A769="",$H769&lt;&gt;"Ausgabe",O769=""),0,IF(O769="x",-$E769/(COUNTIF($J769:$Q769,"x")+1),-$E769*N(O769)))</f>
        <v/>
      </c>
      <c r="AD769" s="34">
        <f>IF(OR($A769="",$H769&lt;&gt;"Ausgabe",P769=""),0,IF(P769="x",-$E769/(COUNTIF($J769:$Q769,"x")+1),-$E769*N(P769)))</f>
        <v/>
      </c>
      <c r="AE769" s="34">
        <f>IF(OR($A769="",$H769&lt;&gt;"Ausgabe",Q769=""),0,IF(Q769="x",-$E769/(COUNTIF($J769:$Q769,"x")+1),-$E769*N(Q769)))</f>
        <v/>
      </c>
    </row>
    <row r="770">
      <c r="A770" s="30" t="n"/>
      <c r="E770" s="31" t="n"/>
      <c r="J770" s="32" t="n"/>
      <c r="K770" s="32" t="n"/>
      <c r="L770" s="32" t="n"/>
      <c r="M770" s="32" t="n"/>
      <c r="N770" s="32" t="n"/>
      <c r="O770" s="32" t="n"/>
      <c r="P770" s="32" t="n"/>
      <c r="Q770" s="32" t="n"/>
      <c r="U770" s="31">
        <f>IF($A770="","",SUM(X770:AE770))</f>
        <v/>
      </c>
      <c r="V770" s="31">
        <f>IF($A770="","",IF($H770&lt;&gt;"Ausgabe",0,-$E770-$U770))</f>
        <v/>
      </c>
      <c r="W770" s="33">
        <f>IF($A770="","",DATE(YEAR($A770),MONTH($A770),1))</f>
        <v/>
      </c>
      <c r="X770" s="34">
        <f>IF(OR($A770="",$H770&lt;&gt;"Ausgabe",J770=""),0,IF(J770="x",-$E770/(COUNTIF($J770:$Q770,"x")+1),-$E770*N(J770)))</f>
        <v/>
      </c>
      <c r="Y770" s="34">
        <f>IF(OR($A770="",$H770&lt;&gt;"Ausgabe",K770=""),0,IF(K770="x",-$E770/(COUNTIF($J770:$Q770,"x")+1),-$E770*N(K770)))</f>
        <v/>
      </c>
      <c r="Z770" s="34">
        <f>IF(OR($A770="",$H770&lt;&gt;"Ausgabe",L770=""),0,IF(L770="x",-$E770/(COUNTIF($J770:$Q770,"x")+1),-$E770*N(L770)))</f>
        <v/>
      </c>
      <c r="AA770" s="34">
        <f>IF(OR($A770="",$H770&lt;&gt;"Ausgabe",M770=""),0,IF(M770="x",-$E770/(COUNTIF($J770:$Q770,"x")+1),-$E770*N(M770)))</f>
        <v/>
      </c>
      <c r="AB770" s="34">
        <f>IF(OR($A770="",$H770&lt;&gt;"Ausgabe",N770=""),0,IF(N770="x",-$E770/(COUNTIF($J770:$Q770,"x")+1),-$E770*N(N770)))</f>
        <v/>
      </c>
      <c r="AC770" s="34">
        <f>IF(OR($A770="",$H770&lt;&gt;"Ausgabe",O770=""),0,IF(O770="x",-$E770/(COUNTIF($J770:$Q770,"x")+1),-$E770*N(O770)))</f>
        <v/>
      </c>
      <c r="AD770" s="34">
        <f>IF(OR($A770="",$H770&lt;&gt;"Ausgabe",P770=""),0,IF(P770="x",-$E770/(COUNTIF($J770:$Q770,"x")+1),-$E770*N(P770)))</f>
        <v/>
      </c>
      <c r="AE770" s="34">
        <f>IF(OR($A770="",$H770&lt;&gt;"Ausgabe",Q770=""),0,IF(Q770="x",-$E770/(COUNTIF($J770:$Q770,"x")+1),-$E770*N(Q770)))</f>
        <v/>
      </c>
    </row>
    <row r="771">
      <c r="A771" s="30" t="n"/>
      <c r="E771" s="31" t="n"/>
      <c r="J771" s="32" t="n"/>
      <c r="K771" s="32" t="n"/>
      <c r="L771" s="32" t="n"/>
      <c r="M771" s="32" t="n"/>
      <c r="N771" s="32" t="n"/>
      <c r="O771" s="32" t="n"/>
      <c r="P771" s="32" t="n"/>
      <c r="Q771" s="32" t="n"/>
      <c r="U771" s="31">
        <f>IF($A771="","",SUM(X771:AE771))</f>
        <v/>
      </c>
      <c r="V771" s="31">
        <f>IF($A771="","",IF($H771&lt;&gt;"Ausgabe",0,-$E771-$U771))</f>
        <v/>
      </c>
      <c r="W771" s="33">
        <f>IF($A771="","",DATE(YEAR($A771),MONTH($A771),1))</f>
        <v/>
      </c>
      <c r="X771" s="34">
        <f>IF(OR($A771="",$H771&lt;&gt;"Ausgabe",J771=""),0,IF(J771="x",-$E771/(COUNTIF($J771:$Q771,"x")+1),-$E771*N(J771)))</f>
        <v/>
      </c>
      <c r="Y771" s="34">
        <f>IF(OR($A771="",$H771&lt;&gt;"Ausgabe",K771=""),0,IF(K771="x",-$E771/(COUNTIF($J771:$Q771,"x")+1),-$E771*N(K771)))</f>
        <v/>
      </c>
      <c r="Z771" s="34">
        <f>IF(OR($A771="",$H771&lt;&gt;"Ausgabe",L771=""),0,IF(L771="x",-$E771/(COUNTIF($J771:$Q771,"x")+1),-$E771*N(L771)))</f>
        <v/>
      </c>
      <c r="AA771" s="34">
        <f>IF(OR($A771="",$H771&lt;&gt;"Ausgabe",M771=""),0,IF(M771="x",-$E771/(COUNTIF($J771:$Q771,"x")+1),-$E771*N(M771)))</f>
        <v/>
      </c>
      <c r="AB771" s="34">
        <f>IF(OR($A771="",$H771&lt;&gt;"Ausgabe",N771=""),0,IF(N771="x",-$E771/(COUNTIF($J771:$Q771,"x")+1),-$E771*N(N771)))</f>
        <v/>
      </c>
      <c r="AC771" s="34">
        <f>IF(OR($A771="",$H771&lt;&gt;"Ausgabe",O771=""),0,IF(O771="x",-$E771/(COUNTIF($J771:$Q771,"x")+1),-$E771*N(O771)))</f>
        <v/>
      </c>
      <c r="AD771" s="34">
        <f>IF(OR($A771="",$H771&lt;&gt;"Ausgabe",P771=""),0,IF(P771="x",-$E771/(COUNTIF($J771:$Q771,"x")+1),-$E771*N(P771)))</f>
        <v/>
      </c>
      <c r="AE771" s="34">
        <f>IF(OR($A771="",$H771&lt;&gt;"Ausgabe",Q771=""),0,IF(Q771="x",-$E771/(COUNTIF($J771:$Q771,"x")+1),-$E771*N(Q771)))</f>
        <v/>
      </c>
    </row>
    <row r="772">
      <c r="A772" s="30" t="n"/>
      <c r="E772" s="31" t="n"/>
      <c r="J772" s="32" t="n"/>
      <c r="K772" s="32" t="n"/>
      <c r="L772" s="32" t="n"/>
      <c r="M772" s="32" t="n"/>
      <c r="N772" s="32" t="n"/>
      <c r="O772" s="32" t="n"/>
      <c r="P772" s="32" t="n"/>
      <c r="Q772" s="32" t="n"/>
      <c r="U772" s="31">
        <f>IF($A772="","",SUM(X772:AE772))</f>
        <v/>
      </c>
      <c r="V772" s="31">
        <f>IF($A772="","",IF($H772&lt;&gt;"Ausgabe",0,-$E772-$U772))</f>
        <v/>
      </c>
      <c r="W772" s="33">
        <f>IF($A772="","",DATE(YEAR($A772),MONTH($A772),1))</f>
        <v/>
      </c>
      <c r="X772" s="34">
        <f>IF(OR($A772="",$H772&lt;&gt;"Ausgabe",J772=""),0,IF(J772="x",-$E772/(COUNTIF($J772:$Q772,"x")+1),-$E772*N(J772)))</f>
        <v/>
      </c>
      <c r="Y772" s="34">
        <f>IF(OR($A772="",$H772&lt;&gt;"Ausgabe",K772=""),0,IF(K772="x",-$E772/(COUNTIF($J772:$Q772,"x")+1),-$E772*N(K772)))</f>
        <v/>
      </c>
      <c r="Z772" s="34">
        <f>IF(OR($A772="",$H772&lt;&gt;"Ausgabe",L772=""),0,IF(L772="x",-$E772/(COUNTIF($J772:$Q772,"x")+1),-$E772*N(L772)))</f>
        <v/>
      </c>
      <c r="AA772" s="34">
        <f>IF(OR($A772="",$H772&lt;&gt;"Ausgabe",M772=""),0,IF(M772="x",-$E772/(COUNTIF($J772:$Q772,"x")+1),-$E772*N(M772)))</f>
        <v/>
      </c>
      <c r="AB772" s="34">
        <f>IF(OR($A772="",$H772&lt;&gt;"Ausgabe",N772=""),0,IF(N772="x",-$E772/(COUNTIF($J772:$Q772,"x")+1),-$E772*N(N772)))</f>
        <v/>
      </c>
      <c r="AC772" s="34">
        <f>IF(OR($A772="",$H772&lt;&gt;"Ausgabe",O772=""),0,IF(O772="x",-$E772/(COUNTIF($J772:$Q772,"x")+1),-$E772*N(O772)))</f>
        <v/>
      </c>
      <c r="AD772" s="34">
        <f>IF(OR($A772="",$H772&lt;&gt;"Ausgabe",P772=""),0,IF(P772="x",-$E772/(COUNTIF($J772:$Q772,"x")+1),-$E772*N(P772)))</f>
        <v/>
      </c>
      <c r="AE772" s="34">
        <f>IF(OR($A772="",$H772&lt;&gt;"Ausgabe",Q772=""),0,IF(Q772="x",-$E772/(COUNTIF($J772:$Q772,"x")+1),-$E772*N(Q772)))</f>
        <v/>
      </c>
    </row>
    <row r="773">
      <c r="A773" s="30" t="n"/>
      <c r="E773" s="31" t="n"/>
      <c r="J773" s="32" t="n"/>
      <c r="K773" s="32" t="n"/>
      <c r="L773" s="32" t="n"/>
      <c r="M773" s="32" t="n"/>
      <c r="N773" s="32" t="n"/>
      <c r="O773" s="32" t="n"/>
      <c r="P773" s="32" t="n"/>
      <c r="Q773" s="32" t="n"/>
      <c r="U773" s="31">
        <f>IF($A773="","",SUM(X773:AE773))</f>
        <v/>
      </c>
      <c r="V773" s="31">
        <f>IF($A773="","",IF($H773&lt;&gt;"Ausgabe",0,-$E773-$U773))</f>
        <v/>
      </c>
      <c r="W773" s="33">
        <f>IF($A773="","",DATE(YEAR($A773),MONTH($A773),1))</f>
        <v/>
      </c>
      <c r="X773" s="34">
        <f>IF(OR($A773="",$H773&lt;&gt;"Ausgabe",J773=""),0,IF(J773="x",-$E773/(COUNTIF($J773:$Q773,"x")+1),-$E773*N(J773)))</f>
        <v/>
      </c>
      <c r="Y773" s="34">
        <f>IF(OR($A773="",$H773&lt;&gt;"Ausgabe",K773=""),0,IF(K773="x",-$E773/(COUNTIF($J773:$Q773,"x")+1),-$E773*N(K773)))</f>
        <v/>
      </c>
      <c r="Z773" s="34">
        <f>IF(OR($A773="",$H773&lt;&gt;"Ausgabe",L773=""),0,IF(L773="x",-$E773/(COUNTIF($J773:$Q773,"x")+1),-$E773*N(L773)))</f>
        <v/>
      </c>
      <c r="AA773" s="34">
        <f>IF(OR($A773="",$H773&lt;&gt;"Ausgabe",M773=""),0,IF(M773="x",-$E773/(COUNTIF($J773:$Q773,"x")+1),-$E773*N(M773)))</f>
        <v/>
      </c>
      <c r="AB773" s="34">
        <f>IF(OR($A773="",$H773&lt;&gt;"Ausgabe",N773=""),0,IF(N773="x",-$E773/(COUNTIF($J773:$Q773,"x")+1),-$E773*N(N773)))</f>
        <v/>
      </c>
      <c r="AC773" s="34">
        <f>IF(OR($A773="",$H773&lt;&gt;"Ausgabe",O773=""),0,IF(O773="x",-$E773/(COUNTIF($J773:$Q773,"x")+1),-$E773*N(O773)))</f>
        <v/>
      </c>
      <c r="AD773" s="34">
        <f>IF(OR($A773="",$H773&lt;&gt;"Ausgabe",P773=""),0,IF(P773="x",-$E773/(COUNTIF($J773:$Q773,"x")+1),-$E773*N(P773)))</f>
        <v/>
      </c>
      <c r="AE773" s="34">
        <f>IF(OR($A773="",$H773&lt;&gt;"Ausgabe",Q773=""),0,IF(Q773="x",-$E773/(COUNTIF($J773:$Q773,"x")+1),-$E773*N(Q773)))</f>
        <v/>
      </c>
    </row>
    <row r="774">
      <c r="A774" s="30" t="n"/>
      <c r="E774" s="31" t="n"/>
      <c r="J774" s="32" t="n"/>
      <c r="K774" s="32" t="n"/>
      <c r="L774" s="32" t="n"/>
      <c r="M774" s="32" t="n"/>
      <c r="N774" s="32" t="n"/>
      <c r="O774" s="32" t="n"/>
      <c r="P774" s="32" t="n"/>
      <c r="Q774" s="32" t="n"/>
      <c r="U774" s="31">
        <f>IF($A774="","",SUM(X774:AE774))</f>
        <v/>
      </c>
      <c r="V774" s="31">
        <f>IF($A774="","",IF($H774&lt;&gt;"Ausgabe",0,-$E774-$U774))</f>
        <v/>
      </c>
      <c r="W774" s="33">
        <f>IF($A774="","",DATE(YEAR($A774),MONTH($A774),1))</f>
        <v/>
      </c>
      <c r="X774" s="34">
        <f>IF(OR($A774="",$H774&lt;&gt;"Ausgabe",J774=""),0,IF(J774="x",-$E774/(COUNTIF($J774:$Q774,"x")+1),-$E774*N(J774)))</f>
        <v/>
      </c>
      <c r="Y774" s="34">
        <f>IF(OR($A774="",$H774&lt;&gt;"Ausgabe",K774=""),0,IF(K774="x",-$E774/(COUNTIF($J774:$Q774,"x")+1),-$E774*N(K774)))</f>
        <v/>
      </c>
      <c r="Z774" s="34">
        <f>IF(OR($A774="",$H774&lt;&gt;"Ausgabe",L774=""),0,IF(L774="x",-$E774/(COUNTIF($J774:$Q774,"x")+1),-$E774*N(L774)))</f>
        <v/>
      </c>
      <c r="AA774" s="34">
        <f>IF(OR($A774="",$H774&lt;&gt;"Ausgabe",M774=""),0,IF(M774="x",-$E774/(COUNTIF($J774:$Q774,"x")+1),-$E774*N(M774)))</f>
        <v/>
      </c>
      <c r="AB774" s="34">
        <f>IF(OR($A774="",$H774&lt;&gt;"Ausgabe",N774=""),0,IF(N774="x",-$E774/(COUNTIF($J774:$Q774,"x")+1),-$E774*N(N774)))</f>
        <v/>
      </c>
      <c r="AC774" s="34">
        <f>IF(OR($A774="",$H774&lt;&gt;"Ausgabe",O774=""),0,IF(O774="x",-$E774/(COUNTIF($J774:$Q774,"x")+1),-$E774*N(O774)))</f>
        <v/>
      </c>
      <c r="AD774" s="34">
        <f>IF(OR($A774="",$H774&lt;&gt;"Ausgabe",P774=""),0,IF(P774="x",-$E774/(COUNTIF($J774:$Q774,"x")+1),-$E774*N(P774)))</f>
        <v/>
      </c>
      <c r="AE774" s="34">
        <f>IF(OR($A774="",$H774&lt;&gt;"Ausgabe",Q774=""),0,IF(Q774="x",-$E774/(COUNTIF($J774:$Q774,"x")+1),-$E774*N(Q774)))</f>
        <v/>
      </c>
    </row>
    <row r="775">
      <c r="A775" s="30" t="n"/>
      <c r="E775" s="31" t="n"/>
      <c r="J775" s="32" t="n"/>
      <c r="K775" s="32" t="n"/>
      <c r="L775" s="32" t="n"/>
      <c r="M775" s="32" t="n"/>
      <c r="N775" s="32" t="n"/>
      <c r="O775" s="32" t="n"/>
      <c r="P775" s="32" t="n"/>
      <c r="Q775" s="32" t="n"/>
      <c r="U775" s="31">
        <f>IF($A775="","",SUM(X775:AE775))</f>
        <v/>
      </c>
      <c r="V775" s="31">
        <f>IF($A775="","",IF($H775&lt;&gt;"Ausgabe",0,-$E775-$U775))</f>
        <v/>
      </c>
      <c r="W775" s="33">
        <f>IF($A775="","",DATE(YEAR($A775),MONTH($A775),1))</f>
        <v/>
      </c>
      <c r="X775" s="34">
        <f>IF(OR($A775="",$H775&lt;&gt;"Ausgabe",J775=""),0,IF(J775="x",-$E775/(COUNTIF($J775:$Q775,"x")+1),-$E775*N(J775)))</f>
        <v/>
      </c>
      <c r="Y775" s="34">
        <f>IF(OR($A775="",$H775&lt;&gt;"Ausgabe",K775=""),0,IF(K775="x",-$E775/(COUNTIF($J775:$Q775,"x")+1),-$E775*N(K775)))</f>
        <v/>
      </c>
      <c r="Z775" s="34">
        <f>IF(OR($A775="",$H775&lt;&gt;"Ausgabe",L775=""),0,IF(L775="x",-$E775/(COUNTIF($J775:$Q775,"x")+1),-$E775*N(L775)))</f>
        <v/>
      </c>
      <c r="AA775" s="34">
        <f>IF(OR($A775="",$H775&lt;&gt;"Ausgabe",M775=""),0,IF(M775="x",-$E775/(COUNTIF($J775:$Q775,"x")+1),-$E775*N(M775)))</f>
        <v/>
      </c>
      <c r="AB775" s="34">
        <f>IF(OR($A775="",$H775&lt;&gt;"Ausgabe",N775=""),0,IF(N775="x",-$E775/(COUNTIF($J775:$Q775,"x")+1),-$E775*N(N775)))</f>
        <v/>
      </c>
      <c r="AC775" s="34">
        <f>IF(OR($A775="",$H775&lt;&gt;"Ausgabe",O775=""),0,IF(O775="x",-$E775/(COUNTIF($J775:$Q775,"x")+1),-$E775*N(O775)))</f>
        <v/>
      </c>
      <c r="AD775" s="34">
        <f>IF(OR($A775="",$H775&lt;&gt;"Ausgabe",P775=""),0,IF(P775="x",-$E775/(COUNTIF($J775:$Q775,"x")+1),-$E775*N(P775)))</f>
        <v/>
      </c>
      <c r="AE775" s="34">
        <f>IF(OR($A775="",$H775&lt;&gt;"Ausgabe",Q775=""),0,IF(Q775="x",-$E775/(COUNTIF($J775:$Q775,"x")+1),-$E775*N(Q775)))</f>
        <v/>
      </c>
    </row>
    <row r="776">
      <c r="A776" s="30" t="n"/>
      <c r="E776" s="31" t="n"/>
      <c r="J776" s="32" t="n"/>
      <c r="K776" s="32" t="n"/>
      <c r="L776" s="32" t="n"/>
      <c r="M776" s="32" t="n"/>
      <c r="N776" s="32" t="n"/>
      <c r="O776" s="32" t="n"/>
      <c r="P776" s="32" t="n"/>
      <c r="Q776" s="32" t="n"/>
      <c r="U776" s="31">
        <f>IF($A776="","",SUM(X776:AE776))</f>
        <v/>
      </c>
      <c r="V776" s="31">
        <f>IF($A776="","",IF($H776&lt;&gt;"Ausgabe",0,-$E776-$U776))</f>
        <v/>
      </c>
      <c r="W776" s="33">
        <f>IF($A776="","",DATE(YEAR($A776),MONTH($A776),1))</f>
        <v/>
      </c>
      <c r="X776" s="34">
        <f>IF(OR($A776="",$H776&lt;&gt;"Ausgabe",J776=""),0,IF(J776="x",-$E776/(COUNTIF($J776:$Q776,"x")+1),-$E776*N(J776)))</f>
        <v/>
      </c>
      <c r="Y776" s="34">
        <f>IF(OR($A776="",$H776&lt;&gt;"Ausgabe",K776=""),0,IF(K776="x",-$E776/(COUNTIF($J776:$Q776,"x")+1),-$E776*N(K776)))</f>
        <v/>
      </c>
      <c r="Z776" s="34">
        <f>IF(OR($A776="",$H776&lt;&gt;"Ausgabe",L776=""),0,IF(L776="x",-$E776/(COUNTIF($J776:$Q776,"x")+1),-$E776*N(L776)))</f>
        <v/>
      </c>
      <c r="AA776" s="34">
        <f>IF(OR($A776="",$H776&lt;&gt;"Ausgabe",M776=""),0,IF(M776="x",-$E776/(COUNTIF($J776:$Q776,"x")+1),-$E776*N(M776)))</f>
        <v/>
      </c>
      <c r="AB776" s="34">
        <f>IF(OR($A776="",$H776&lt;&gt;"Ausgabe",N776=""),0,IF(N776="x",-$E776/(COUNTIF($J776:$Q776,"x")+1),-$E776*N(N776)))</f>
        <v/>
      </c>
      <c r="AC776" s="34">
        <f>IF(OR($A776="",$H776&lt;&gt;"Ausgabe",O776=""),0,IF(O776="x",-$E776/(COUNTIF($J776:$Q776,"x")+1),-$E776*N(O776)))</f>
        <v/>
      </c>
      <c r="AD776" s="34">
        <f>IF(OR($A776="",$H776&lt;&gt;"Ausgabe",P776=""),0,IF(P776="x",-$E776/(COUNTIF($J776:$Q776,"x")+1),-$E776*N(P776)))</f>
        <v/>
      </c>
      <c r="AE776" s="34">
        <f>IF(OR($A776="",$H776&lt;&gt;"Ausgabe",Q776=""),0,IF(Q776="x",-$E776/(COUNTIF($J776:$Q776,"x")+1),-$E776*N(Q776)))</f>
        <v/>
      </c>
    </row>
    <row r="777">
      <c r="A777" s="30" t="n"/>
      <c r="E777" s="31" t="n"/>
      <c r="J777" s="32" t="n"/>
      <c r="K777" s="32" t="n"/>
      <c r="L777" s="32" t="n"/>
      <c r="M777" s="32" t="n"/>
      <c r="N777" s="32" t="n"/>
      <c r="O777" s="32" t="n"/>
      <c r="P777" s="32" t="n"/>
      <c r="Q777" s="32" t="n"/>
      <c r="U777" s="31">
        <f>IF($A777="","",SUM(X777:AE777))</f>
        <v/>
      </c>
      <c r="V777" s="31">
        <f>IF($A777="","",IF($H777&lt;&gt;"Ausgabe",0,-$E777-$U777))</f>
        <v/>
      </c>
      <c r="W777" s="33">
        <f>IF($A777="","",DATE(YEAR($A777),MONTH($A777),1))</f>
        <v/>
      </c>
      <c r="X777" s="34">
        <f>IF(OR($A777="",$H777&lt;&gt;"Ausgabe",J777=""),0,IF(J777="x",-$E777/(COUNTIF($J777:$Q777,"x")+1),-$E777*N(J777)))</f>
        <v/>
      </c>
      <c r="Y777" s="34">
        <f>IF(OR($A777="",$H777&lt;&gt;"Ausgabe",K777=""),0,IF(K777="x",-$E777/(COUNTIF($J777:$Q777,"x")+1),-$E777*N(K777)))</f>
        <v/>
      </c>
      <c r="Z777" s="34">
        <f>IF(OR($A777="",$H777&lt;&gt;"Ausgabe",L777=""),0,IF(L777="x",-$E777/(COUNTIF($J777:$Q777,"x")+1),-$E777*N(L777)))</f>
        <v/>
      </c>
      <c r="AA777" s="34">
        <f>IF(OR($A777="",$H777&lt;&gt;"Ausgabe",M777=""),0,IF(M777="x",-$E777/(COUNTIF($J777:$Q777,"x")+1),-$E777*N(M777)))</f>
        <v/>
      </c>
      <c r="AB777" s="34">
        <f>IF(OR($A777="",$H777&lt;&gt;"Ausgabe",N777=""),0,IF(N777="x",-$E777/(COUNTIF($J777:$Q777,"x")+1),-$E777*N(N777)))</f>
        <v/>
      </c>
      <c r="AC777" s="34">
        <f>IF(OR($A777="",$H777&lt;&gt;"Ausgabe",O777=""),0,IF(O777="x",-$E777/(COUNTIF($J777:$Q777,"x")+1),-$E777*N(O777)))</f>
        <v/>
      </c>
      <c r="AD777" s="34">
        <f>IF(OR($A777="",$H777&lt;&gt;"Ausgabe",P777=""),0,IF(P777="x",-$E777/(COUNTIF($J777:$Q777,"x")+1),-$E777*N(P777)))</f>
        <v/>
      </c>
      <c r="AE777" s="34">
        <f>IF(OR($A777="",$H777&lt;&gt;"Ausgabe",Q777=""),0,IF(Q777="x",-$E777/(COUNTIF($J777:$Q777,"x")+1),-$E777*N(Q777)))</f>
        <v/>
      </c>
    </row>
    <row r="778">
      <c r="A778" s="30" t="n"/>
      <c r="E778" s="31" t="n"/>
      <c r="J778" s="32" t="n"/>
      <c r="K778" s="32" t="n"/>
      <c r="L778" s="32" t="n"/>
      <c r="M778" s="32" t="n"/>
      <c r="N778" s="32" t="n"/>
      <c r="O778" s="32" t="n"/>
      <c r="P778" s="32" t="n"/>
      <c r="Q778" s="32" t="n"/>
      <c r="U778" s="31">
        <f>IF($A778="","",SUM(X778:AE778))</f>
        <v/>
      </c>
      <c r="V778" s="31">
        <f>IF($A778="","",IF($H778&lt;&gt;"Ausgabe",0,-$E778-$U778))</f>
        <v/>
      </c>
      <c r="W778" s="33">
        <f>IF($A778="","",DATE(YEAR($A778),MONTH($A778),1))</f>
        <v/>
      </c>
      <c r="X778" s="34">
        <f>IF(OR($A778="",$H778&lt;&gt;"Ausgabe",J778=""),0,IF(J778="x",-$E778/(COUNTIF($J778:$Q778,"x")+1),-$E778*N(J778)))</f>
        <v/>
      </c>
      <c r="Y778" s="34">
        <f>IF(OR($A778="",$H778&lt;&gt;"Ausgabe",K778=""),0,IF(K778="x",-$E778/(COUNTIF($J778:$Q778,"x")+1),-$E778*N(K778)))</f>
        <v/>
      </c>
      <c r="Z778" s="34">
        <f>IF(OR($A778="",$H778&lt;&gt;"Ausgabe",L778=""),0,IF(L778="x",-$E778/(COUNTIF($J778:$Q778,"x")+1),-$E778*N(L778)))</f>
        <v/>
      </c>
      <c r="AA778" s="34">
        <f>IF(OR($A778="",$H778&lt;&gt;"Ausgabe",M778=""),0,IF(M778="x",-$E778/(COUNTIF($J778:$Q778,"x")+1),-$E778*N(M778)))</f>
        <v/>
      </c>
      <c r="AB778" s="34">
        <f>IF(OR($A778="",$H778&lt;&gt;"Ausgabe",N778=""),0,IF(N778="x",-$E778/(COUNTIF($J778:$Q778,"x")+1),-$E778*N(N778)))</f>
        <v/>
      </c>
      <c r="AC778" s="34">
        <f>IF(OR($A778="",$H778&lt;&gt;"Ausgabe",O778=""),0,IF(O778="x",-$E778/(COUNTIF($J778:$Q778,"x")+1),-$E778*N(O778)))</f>
        <v/>
      </c>
      <c r="AD778" s="34">
        <f>IF(OR($A778="",$H778&lt;&gt;"Ausgabe",P778=""),0,IF(P778="x",-$E778/(COUNTIF($J778:$Q778,"x")+1),-$E778*N(P778)))</f>
        <v/>
      </c>
      <c r="AE778" s="34">
        <f>IF(OR($A778="",$H778&lt;&gt;"Ausgabe",Q778=""),0,IF(Q778="x",-$E778/(COUNTIF($J778:$Q778,"x")+1),-$E778*N(Q778)))</f>
        <v/>
      </c>
    </row>
    <row r="779">
      <c r="A779" s="30" t="n"/>
      <c r="E779" s="31" t="n"/>
      <c r="J779" s="32" t="n"/>
      <c r="K779" s="32" t="n"/>
      <c r="L779" s="32" t="n"/>
      <c r="M779" s="32" t="n"/>
      <c r="N779" s="32" t="n"/>
      <c r="O779" s="32" t="n"/>
      <c r="P779" s="32" t="n"/>
      <c r="Q779" s="32" t="n"/>
      <c r="U779" s="31">
        <f>IF($A779="","",SUM(X779:AE779))</f>
        <v/>
      </c>
      <c r="V779" s="31">
        <f>IF($A779="","",IF($H779&lt;&gt;"Ausgabe",0,-$E779-$U779))</f>
        <v/>
      </c>
      <c r="W779" s="33">
        <f>IF($A779="","",DATE(YEAR($A779),MONTH($A779),1))</f>
        <v/>
      </c>
      <c r="X779" s="34">
        <f>IF(OR($A779="",$H779&lt;&gt;"Ausgabe",J779=""),0,IF(J779="x",-$E779/(COUNTIF($J779:$Q779,"x")+1),-$E779*N(J779)))</f>
        <v/>
      </c>
      <c r="Y779" s="34">
        <f>IF(OR($A779="",$H779&lt;&gt;"Ausgabe",K779=""),0,IF(K779="x",-$E779/(COUNTIF($J779:$Q779,"x")+1),-$E779*N(K779)))</f>
        <v/>
      </c>
      <c r="Z779" s="34">
        <f>IF(OR($A779="",$H779&lt;&gt;"Ausgabe",L779=""),0,IF(L779="x",-$E779/(COUNTIF($J779:$Q779,"x")+1),-$E779*N(L779)))</f>
        <v/>
      </c>
      <c r="AA779" s="34">
        <f>IF(OR($A779="",$H779&lt;&gt;"Ausgabe",M779=""),0,IF(M779="x",-$E779/(COUNTIF($J779:$Q779,"x")+1),-$E779*N(M779)))</f>
        <v/>
      </c>
      <c r="AB779" s="34">
        <f>IF(OR($A779="",$H779&lt;&gt;"Ausgabe",N779=""),0,IF(N779="x",-$E779/(COUNTIF($J779:$Q779,"x")+1),-$E779*N(N779)))</f>
        <v/>
      </c>
      <c r="AC779" s="34">
        <f>IF(OR($A779="",$H779&lt;&gt;"Ausgabe",O779=""),0,IF(O779="x",-$E779/(COUNTIF($J779:$Q779,"x")+1),-$E779*N(O779)))</f>
        <v/>
      </c>
      <c r="AD779" s="34">
        <f>IF(OR($A779="",$H779&lt;&gt;"Ausgabe",P779=""),0,IF(P779="x",-$E779/(COUNTIF($J779:$Q779,"x")+1),-$E779*N(P779)))</f>
        <v/>
      </c>
      <c r="AE779" s="34">
        <f>IF(OR($A779="",$H779&lt;&gt;"Ausgabe",Q779=""),0,IF(Q779="x",-$E779/(COUNTIF($J779:$Q779,"x")+1),-$E779*N(Q779)))</f>
        <v/>
      </c>
    </row>
    <row r="780">
      <c r="A780" s="30" t="n"/>
      <c r="E780" s="31" t="n"/>
      <c r="J780" s="32" t="n"/>
      <c r="K780" s="32" t="n"/>
      <c r="L780" s="32" t="n"/>
      <c r="M780" s="32" t="n"/>
      <c r="N780" s="32" t="n"/>
      <c r="O780" s="32" t="n"/>
      <c r="P780" s="32" t="n"/>
      <c r="Q780" s="32" t="n"/>
      <c r="U780" s="31">
        <f>IF($A780="","",SUM(X780:AE780))</f>
        <v/>
      </c>
      <c r="V780" s="31">
        <f>IF($A780="","",IF($H780&lt;&gt;"Ausgabe",0,-$E780-$U780))</f>
        <v/>
      </c>
      <c r="W780" s="33">
        <f>IF($A780="","",DATE(YEAR($A780),MONTH($A780),1))</f>
        <v/>
      </c>
      <c r="X780" s="34">
        <f>IF(OR($A780="",$H780&lt;&gt;"Ausgabe",J780=""),0,IF(J780="x",-$E780/(COUNTIF($J780:$Q780,"x")+1),-$E780*N(J780)))</f>
        <v/>
      </c>
      <c r="Y780" s="34">
        <f>IF(OR($A780="",$H780&lt;&gt;"Ausgabe",K780=""),0,IF(K780="x",-$E780/(COUNTIF($J780:$Q780,"x")+1),-$E780*N(K780)))</f>
        <v/>
      </c>
      <c r="Z780" s="34">
        <f>IF(OR($A780="",$H780&lt;&gt;"Ausgabe",L780=""),0,IF(L780="x",-$E780/(COUNTIF($J780:$Q780,"x")+1),-$E780*N(L780)))</f>
        <v/>
      </c>
      <c r="AA780" s="34">
        <f>IF(OR($A780="",$H780&lt;&gt;"Ausgabe",M780=""),0,IF(M780="x",-$E780/(COUNTIF($J780:$Q780,"x")+1),-$E780*N(M780)))</f>
        <v/>
      </c>
      <c r="AB780" s="34">
        <f>IF(OR($A780="",$H780&lt;&gt;"Ausgabe",N780=""),0,IF(N780="x",-$E780/(COUNTIF($J780:$Q780,"x")+1),-$E780*N(N780)))</f>
        <v/>
      </c>
      <c r="AC780" s="34">
        <f>IF(OR($A780="",$H780&lt;&gt;"Ausgabe",O780=""),0,IF(O780="x",-$E780/(COUNTIF($J780:$Q780,"x")+1),-$E780*N(O780)))</f>
        <v/>
      </c>
      <c r="AD780" s="34">
        <f>IF(OR($A780="",$H780&lt;&gt;"Ausgabe",P780=""),0,IF(P780="x",-$E780/(COUNTIF($J780:$Q780,"x")+1),-$E780*N(P780)))</f>
        <v/>
      </c>
      <c r="AE780" s="34">
        <f>IF(OR($A780="",$H780&lt;&gt;"Ausgabe",Q780=""),0,IF(Q780="x",-$E780/(COUNTIF($J780:$Q780,"x")+1),-$E780*N(Q780)))</f>
        <v/>
      </c>
    </row>
    <row r="781">
      <c r="A781" s="30" t="n"/>
      <c r="E781" s="31" t="n"/>
      <c r="J781" s="32" t="n"/>
      <c r="K781" s="32" t="n"/>
      <c r="L781" s="32" t="n"/>
      <c r="M781" s="32" t="n"/>
      <c r="N781" s="32" t="n"/>
      <c r="O781" s="32" t="n"/>
      <c r="P781" s="32" t="n"/>
      <c r="Q781" s="32" t="n"/>
      <c r="U781" s="31">
        <f>IF($A781="","",SUM(X781:AE781))</f>
        <v/>
      </c>
      <c r="V781" s="31">
        <f>IF($A781="","",IF($H781&lt;&gt;"Ausgabe",0,-$E781-$U781))</f>
        <v/>
      </c>
      <c r="W781" s="33">
        <f>IF($A781="","",DATE(YEAR($A781),MONTH($A781),1))</f>
        <v/>
      </c>
      <c r="X781" s="34">
        <f>IF(OR($A781="",$H781&lt;&gt;"Ausgabe",J781=""),0,IF(J781="x",-$E781/(COUNTIF($J781:$Q781,"x")+1),-$E781*N(J781)))</f>
        <v/>
      </c>
      <c r="Y781" s="34">
        <f>IF(OR($A781="",$H781&lt;&gt;"Ausgabe",K781=""),0,IF(K781="x",-$E781/(COUNTIF($J781:$Q781,"x")+1),-$E781*N(K781)))</f>
        <v/>
      </c>
      <c r="Z781" s="34">
        <f>IF(OR($A781="",$H781&lt;&gt;"Ausgabe",L781=""),0,IF(L781="x",-$E781/(COUNTIF($J781:$Q781,"x")+1),-$E781*N(L781)))</f>
        <v/>
      </c>
      <c r="AA781" s="34">
        <f>IF(OR($A781="",$H781&lt;&gt;"Ausgabe",M781=""),0,IF(M781="x",-$E781/(COUNTIF($J781:$Q781,"x")+1),-$E781*N(M781)))</f>
        <v/>
      </c>
      <c r="AB781" s="34">
        <f>IF(OR($A781="",$H781&lt;&gt;"Ausgabe",N781=""),0,IF(N781="x",-$E781/(COUNTIF($J781:$Q781,"x")+1),-$E781*N(N781)))</f>
        <v/>
      </c>
      <c r="AC781" s="34">
        <f>IF(OR($A781="",$H781&lt;&gt;"Ausgabe",O781=""),0,IF(O781="x",-$E781/(COUNTIF($J781:$Q781,"x")+1),-$E781*N(O781)))</f>
        <v/>
      </c>
      <c r="AD781" s="34">
        <f>IF(OR($A781="",$H781&lt;&gt;"Ausgabe",P781=""),0,IF(P781="x",-$E781/(COUNTIF($J781:$Q781,"x")+1),-$E781*N(P781)))</f>
        <v/>
      </c>
      <c r="AE781" s="34">
        <f>IF(OR($A781="",$H781&lt;&gt;"Ausgabe",Q781=""),0,IF(Q781="x",-$E781/(COUNTIF($J781:$Q781,"x")+1),-$E781*N(Q781)))</f>
        <v/>
      </c>
    </row>
    <row r="782">
      <c r="A782" s="30" t="n"/>
      <c r="E782" s="31" t="n"/>
      <c r="J782" s="32" t="n"/>
      <c r="K782" s="32" t="n"/>
      <c r="L782" s="32" t="n"/>
      <c r="M782" s="32" t="n"/>
      <c r="N782" s="32" t="n"/>
      <c r="O782" s="32" t="n"/>
      <c r="P782" s="32" t="n"/>
      <c r="Q782" s="32" t="n"/>
      <c r="U782" s="31">
        <f>IF($A782="","",SUM(X782:AE782))</f>
        <v/>
      </c>
      <c r="V782" s="31">
        <f>IF($A782="","",IF($H782&lt;&gt;"Ausgabe",0,-$E782-$U782))</f>
        <v/>
      </c>
      <c r="W782" s="33">
        <f>IF($A782="","",DATE(YEAR($A782),MONTH($A782),1))</f>
        <v/>
      </c>
      <c r="X782" s="34">
        <f>IF(OR($A782="",$H782&lt;&gt;"Ausgabe",J782=""),0,IF(J782="x",-$E782/(COUNTIF($J782:$Q782,"x")+1),-$E782*N(J782)))</f>
        <v/>
      </c>
      <c r="Y782" s="34">
        <f>IF(OR($A782="",$H782&lt;&gt;"Ausgabe",K782=""),0,IF(K782="x",-$E782/(COUNTIF($J782:$Q782,"x")+1),-$E782*N(K782)))</f>
        <v/>
      </c>
      <c r="Z782" s="34">
        <f>IF(OR($A782="",$H782&lt;&gt;"Ausgabe",L782=""),0,IF(L782="x",-$E782/(COUNTIF($J782:$Q782,"x")+1),-$E782*N(L782)))</f>
        <v/>
      </c>
      <c r="AA782" s="34">
        <f>IF(OR($A782="",$H782&lt;&gt;"Ausgabe",M782=""),0,IF(M782="x",-$E782/(COUNTIF($J782:$Q782,"x")+1),-$E782*N(M782)))</f>
        <v/>
      </c>
      <c r="AB782" s="34">
        <f>IF(OR($A782="",$H782&lt;&gt;"Ausgabe",N782=""),0,IF(N782="x",-$E782/(COUNTIF($J782:$Q782,"x")+1),-$E782*N(N782)))</f>
        <v/>
      </c>
      <c r="AC782" s="34">
        <f>IF(OR($A782="",$H782&lt;&gt;"Ausgabe",O782=""),0,IF(O782="x",-$E782/(COUNTIF($J782:$Q782,"x")+1),-$E782*N(O782)))</f>
        <v/>
      </c>
      <c r="AD782" s="34">
        <f>IF(OR($A782="",$H782&lt;&gt;"Ausgabe",P782=""),0,IF(P782="x",-$E782/(COUNTIF($J782:$Q782,"x")+1),-$E782*N(P782)))</f>
        <v/>
      </c>
      <c r="AE782" s="34">
        <f>IF(OR($A782="",$H782&lt;&gt;"Ausgabe",Q782=""),0,IF(Q782="x",-$E782/(COUNTIF($J782:$Q782,"x")+1),-$E782*N(Q782)))</f>
        <v/>
      </c>
    </row>
    <row r="783">
      <c r="A783" s="30" t="n"/>
      <c r="E783" s="31" t="n"/>
      <c r="J783" s="32" t="n"/>
      <c r="K783" s="32" t="n"/>
      <c r="L783" s="32" t="n"/>
      <c r="M783" s="32" t="n"/>
      <c r="N783" s="32" t="n"/>
      <c r="O783" s="32" t="n"/>
      <c r="P783" s="32" t="n"/>
      <c r="Q783" s="32" t="n"/>
      <c r="U783" s="31">
        <f>IF($A783="","",SUM(X783:AE783))</f>
        <v/>
      </c>
      <c r="V783" s="31">
        <f>IF($A783="","",IF($H783&lt;&gt;"Ausgabe",0,-$E783-$U783))</f>
        <v/>
      </c>
      <c r="W783" s="33">
        <f>IF($A783="","",DATE(YEAR($A783),MONTH($A783),1))</f>
        <v/>
      </c>
      <c r="X783" s="34">
        <f>IF(OR($A783="",$H783&lt;&gt;"Ausgabe",J783=""),0,IF(J783="x",-$E783/(COUNTIF($J783:$Q783,"x")+1),-$E783*N(J783)))</f>
        <v/>
      </c>
      <c r="Y783" s="34">
        <f>IF(OR($A783="",$H783&lt;&gt;"Ausgabe",K783=""),0,IF(K783="x",-$E783/(COUNTIF($J783:$Q783,"x")+1),-$E783*N(K783)))</f>
        <v/>
      </c>
      <c r="Z783" s="34">
        <f>IF(OR($A783="",$H783&lt;&gt;"Ausgabe",L783=""),0,IF(L783="x",-$E783/(COUNTIF($J783:$Q783,"x")+1),-$E783*N(L783)))</f>
        <v/>
      </c>
      <c r="AA783" s="34">
        <f>IF(OR($A783="",$H783&lt;&gt;"Ausgabe",M783=""),0,IF(M783="x",-$E783/(COUNTIF($J783:$Q783,"x")+1),-$E783*N(M783)))</f>
        <v/>
      </c>
      <c r="AB783" s="34">
        <f>IF(OR($A783="",$H783&lt;&gt;"Ausgabe",N783=""),0,IF(N783="x",-$E783/(COUNTIF($J783:$Q783,"x")+1),-$E783*N(N783)))</f>
        <v/>
      </c>
      <c r="AC783" s="34">
        <f>IF(OR($A783="",$H783&lt;&gt;"Ausgabe",O783=""),0,IF(O783="x",-$E783/(COUNTIF($J783:$Q783,"x")+1),-$E783*N(O783)))</f>
        <v/>
      </c>
      <c r="AD783" s="34">
        <f>IF(OR($A783="",$H783&lt;&gt;"Ausgabe",P783=""),0,IF(P783="x",-$E783/(COUNTIF($J783:$Q783,"x")+1),-$E783*N(P783)))</f>
        <v/>
      </c>
      <c r="AE783" s="34">
        <f>IF(OR($A783="",$H783&lt;&gt;"Ausgabe",Q783=""),0,IF(Q783="x",-$E783/(COUNTIF($J783:$Q783,"x")+1),-$E783*N(Q783)))</f>
        <v/>
      </c>
    </row>
    <row r="784">
      <c r="A784" s="30" t="n"/>
      <c r="E784" s="31" t="n"/>
      <c r="J784" s="32" t="n"/>
      <c r="K784" s="32" t="n"/>
      <c r="L784" s="32" t="n"/>
      <c r="M784" s="32" t="n"/>
      <c r="N784" s="32" t="n"/>
      <c r="O784" s="32" t="n"/>
      <c r="P784" s="32" t="n"/>
      <c r="Q784" s="32" t="n"/>
      <c r="U784" s="31">
        <f>IF($A784="","",SUM(X784:AE784))</f>
        <v/>
      </c>
      <c r="V784" s="31">
        <f>IF($A784="","",IF($H784&lt;&gt;"Ausgabe",0,-$E784-$U784))</f>
        <v/>
      </c>
      <c r="W784" s="33">
        <f>IF($A784="","",DATE(YEAR($A784),MONTH($A784),1))</f>
        <v/>
      </c>
      <c r="X784" s="34">
        <f>IF(OR($A784="",$H784&lt;&gt;"Ausgabe",J784=""),0,IF(J784="x",-$E784/(COUNTIF($J784:$Q784,"x")+1),-$E784*N(J784)))</f>
        <v/>
      </c>
      <c r="Y784" s="34">
        <f>IF(OR($A784="",$H784&lt;&gt;"Ausgabe",K784=""),0,IF(K784="x",-$E784/(COUNTIF($J784:$Q784,"x")+1),-$E784*N(K784)))</f>
        <v/>
      </c>
      <c r="Z784" s="34">
        <f>IF(OR($A784="",$H784&lt;&gt;"Ausgabe",L784=""),0,IF(L784="x",-$E784/(COUNTIF($J784:$Q784,"x")+1),-$E784*N(L784)))</f>
        <v/>
      </c>
      <c r="AA784" s="34">
        <f>IF(OR($A784="",$H784&lt;&gt;"Ausgabe",M784=""),0,IF(M784="x",-$E784/(COUNTIF($J784:$Q784,"x")+1),-$E784*N(M784)))</f>
        <v/>
      </c>
      <c r="AB784" s="34">
        <f>IF(OR($A784="",$H784&lt;&gt;"Ausgabe",N784=""),0,IF(N784="x",-$E784/(COUNTIF($J784:$Q784,"x")+1),-$E784*N(N784)))</f>
        <v/>
      </c>
      <c r="AC784" s="34">
        <f>IF(OR($A784="",$H784&lt;&gt;"Ausgabe",O784=""),0,IF(O784="x",-$E784/(COUNTIF($J784:$Q784,"x")+1),-$E784*N(O784)))</f>
        <v/>
      </c>
      <c r="AD784" s="34">
        <f>IF(OR($A784="",$H784&lt;&gt;"Ausgabe",P784=""),0,IF(P784="x",-$E784/(COUNTIF($J784:$Q784,"x")+1),-$E784*N(P784)))</f>
        <v/>
      </c>
      <c r="AE784" s="34">
        <f>IF(OR($A784="",$H784&lt;&gt;"Ausgabe",Q784=""),0,IF(Q784="x",-$E784/(COUNTIF($J784:$Q784,"x")+1),-$E784*N(Q784)))</f>
        <v/>
      </c>
    </row>
    <row r="785">
      <c r="A785" s="30" t="n"/>
      <c r="E785" s="31" t="n"/>
      <c r="J785" s="32" t="n"/>
      <c r="K785" s="32" t="n"/>
      <c r="L785" s="32" t="n"/>
      <c r="M785" s="32" t="n"/>
      <c r="N785" s="32" t="n"/>
      <c r="O785" s="32" t="n"/>
      <c r="P785" s="32" t="n"/>
      <c r="Q785" s="32" t="n"/>
      <c r="U785" s="31">
        <f>IF($A785="","",SUM(X785:AE785))</f>
        <v/>
      </c>
      <c r="V785" s="31">
        <f>IF($A785="","",IF($H785&lt;&gt;"Ausgabe",0,-$E785-$U785))</f>
        <v/>
      </c>
      <c r="W785" s="33">
        <f>IF($A785="","",DATE(YEAR($A785),MONTH($A785),1))</f>
        <v/>
      </c>
      <c r="X785" s="34">
        <f>IF(OR($A785="",$H785&lt;&gt;"Ausgabe",J785=""),0,IF(J785="x",-$E785/(COUNTIF($J785:$Q785,"x")+1),-$E785*N(J785)))</f>
        <v/>
      </c>
      <c r="Y785" s="34">
        <f>IF(OR($A785="",$H785&lt;&gt;"Ausgabe",K785=""),0,IF(K785="x",-$E785/(COUNTIF($J785:$Q785,"x")+1),-$E785*N(K785)))</f>
        <v/>
      </c>
      <c r="Z785" s="34">
        <f>IF(OR($A785="",$H785&lt;&gt;"Ausgabe",L785=""),0,IF(L785="x",-$E785/(COUNTIF($J785:$Q785,"x")+1),-$E785*N(L785)))</f>
        <v/>
      </c>
      <c r="AA785" s="34">
        <f>IF(OR($A785="",$H785&lt;&gt;"Ausgabe",M785=""),0,IF(M785="x",-$E785/(COUNTIF($J785:$Q785,"x")+1),-$E785*N(M785)))</f>
        <v/>
      </c>
      <c r="AB785" s="34">
        <f>IF(OR($A785="",$H785&lt;&gt;"Ausgabe",N785=""),0,IF(N785="x",-$E785/(COUNTIF($J785:$Q785,"x")+1),-$E785*N(N785)))</f>
        <v/>
      </c>
      <c r="AC785" s="34">
        <f>IF(OR($A785="",$H785&lt;&gt;"Ausgabe",O785=""),0,IF(O785="x",-$E785/(COUNTIF($J785:$Q785,"x")+1),-$E785*N(O785)))</f>
        <v/>
      </c>
      <c r="AD785" s="34">
        <f>IF(OR($A785="",$H785&lt;&gt;"Ausgabe",P785=""),0,IF(P785="x",-$E785/(COUNTIF($J785:$Q785,"x")+1),-$E785*N(P785)))</f>
        <v/>
      </c>
      <c r="AE785" s="34">
        <f>IF(OR($A785="",$H785&lt;&gt;"Ausgabe",Q785=""),0,IF(Q785="x",-$E785/(COUNTIF($J785:$Q785,"x")+1),-$E785*N(Q785)))</f>
        <v/>
      </c>
    </row>
    <row r="786">
      <c r="A786" s="30" t="n"/>
      <c r="E786" s="31" t="n"/>
      <c r="J786" s="32" t="n"/>
      <c r="K786" s="32" t="n"/>
      <c r="L786" s="32" t="n"/>
      <c r="M786" s="32" t="n"/>
      <c r="N786" s="32" t="n"/>
      <c r="O786" s="32" t="n"/>
      <c r="P786" s="32" t="n"/>
      <c r="Q786" s="32" t="n"/>
      <c r="U786" s="31">
        <f>IF($A786="","",SUM(X786:AE786))</f>
        <v/>
      </c>
      <c r="V786" s="31">
        <f>IF($A786="","",IF($H786&lt;&gt;"Ausgabe",0,-$E786-$U786))</f>
        <v/>
      </c>
      <c r="W786" s="33">
        <f>IF($A786="","",DATE(YEAR($A786),MONTH($A786),1))</f>
        <v/>
      </c>
      <c r="X786" s="34">
        <f>IF(OR($A786="",$H786&lt;&gt;"Ausgabe",J786=""),0,IF(J786="x",-$E786/(COUNTIF($J786:$Q786,"x")+1),-$E786*N(J786)))</f>
        <v/>
      </c>
      <c r="Y786" s="34">
        <f>IF(OR($A786="",$H786&lt;&gt;"Ausgabe",K786=""),0,IF(K786="x",-$E786/(COUNTIF($J786:$Q786,"x")+1),-$E786*N(K786)))</f>
        <v/>
      </c>
      <c r="Z786" s="34">
        <f>IF(OR($A786="",$H786&lt;&gt;"Ausgabe",L786=""),0,IF(L786="x",-$E786/(COUNTIF($J786:$Q786,"x")+1),-$E786*N(L786)))</f>
        <v/>
      </c>
      <c r="AA786" s="34">
        <f>IF(OR($A786="",$H786&lt;&gt;"Ausgabe",M786=""),0,IF(M786="x",-$E786/(COUNTIF($J786:$Q786,"x")+1),-$E786*N(M786)))</f>
        <v/>
      </c>
      <c r="AB786" s="34">
        <f>IF(OR($A786="",$H786&lt;&gt;"Ausgabe",N786=""),0,IF(N786="x",-$E786/(COUNTIF($J786:$Q786,"x")+1),-$E786*N(N786)))</f>
        <v/>
      </c>
      <c r="AC786" s="34">
        <f>IF(OR($A786="",$H786&lt;&gt;"Ausgabe",O786=""),0,IF(O786="x",-$E786/(COUNTIF($J786:$Q786,"x")+1),-$E786*N(O786)))</f>
        <v/>
      </c>
      <c r="AD786" s="34">
        <f>IF(OR($A786="",$H786&lt;&gt;"Ausgabe",P786=""),0,IF(P786="x",-$E786/(COUNTIF($J786:$Q786,"x")+1),-$E786*N(P786)))</f>
        <v/>
      </c>
      <c r="AE786" s="34">
        <f>IF(OR($A786="",$H786&lt;&gt;"Ausgabe",Q786=""),0,IF(Q786="x",-$E786/(COUNTIF($J786:$Q786,"x")+1),-$E786*N(Q786)))</f>
        <v/>
      </c>
    </row>
    <row r="787">
      <c r="A787" s="30" t="n"/>
      <c r="E787" s="31" t="n"/>
      <c r="J787" s="32" t="n"/>
      <c r="K787" s="32" t="n"/>
      <c r="L787" s="32" t="n"/>
      <c r="M787" s="32" t="n"/>
      <c r="N787" s="32" t="n"/>
      <c r="O787" s="32" t="n"/>
      <c r="P787" s="32" t="n"/>
      <c r="Q787" s="32" t="n"/>
      <c r="U787" s="31">
        <f>IF($A787="","",SUM(X787:AE787))</f>
        <v/>
      </c>
      <c r="V787" s="31">
        <f>IF($A787="","",IF($H787&lt;&gt;"Ausgabe",0,-$E787-$U787))</f>
        <v/>
      </c>
      <c r="W787" s="33">
        <f>IF($A787="","",DATE(YEAR($A787),MONTH($A787),1))</f>
        <v/>
      </c>
      <c r="X787" s="34">
        <f>IF(OR($A787="",$H787&lt;&gt;"Ausgabe",J787=""),0,IF(J787="x",-$E787/(COUNTIF($J787:$Q787,"x")+1),-$E787*N(J787)))</f>
        <v/>
      </c>
      <c r="Y787" s="34">
        <f>IF(OR($A787="",$H787&lt;&gt;"Ausgabe",K787=""),0,IF(K787="x",-$E787/(COUNTIF($J787:$Q787,"x")+1),-$E787*N(K787)))</f>
        <v/>
      </c>
      <c r="Z787" s="34">
        <f>IF(OR($A787="",$H787&lt;&gt;"Ausgabe",L787=""),0,IF(L787="x",-$E787/(COUNTIF($J787:$Q787,"x")+1),-$E787*N(L787)))</f>
        <v/>
      </c>
      <c r="AA787" s="34">
        <f>IF(OR($A787="",$H787&lt;&gt;"Ausgabe",M787=""),0,IF(M787="x",-$E787/(COUNTIF($J787:$Q787,"x")+1),-$E787*N(M787)))</f>
        <v/>
      </c>
      <c r="AB787" s="34">
        <f>IF(OR($A787="",$H787&lt;&gt;"Ausgabe",N787=""),0,IF(N787="x",-$E787/(COUNTIF($J787:$Q787,"x")+1),-$E787*N(N787)))</f>
        <v/>
      </c>
      <c r="AC787" s="34">
        <f>IF(OR($A787="",$H787&lt;&gt;"Ausgabe",O787=""),0,IF(O787="x",-$E787/(COUNTIF($J787:$Q787,"x")+1),-$E787*N(O787)))</f>
        <v/>
      </c>
      <c r="AD787" s="34">
        <f>IF(OR($A787="",$H787&lt;&gt;"Ausgabe",P787=""),0,IF(P787="x",-$E787/(COUNTIF($J787:$Q787,"x")+1),-$E787*N(P787)))</f>
        <v/>
      </c>
      <c r="AE787" s="34">
        <f>IF(OR($A787="",$H787&lt;&gt;"Ausgabe",Q787=""),0,IF(Q787="x",-$E787/(COUNTIF($J787:$Q787,"x")+1),-$E787*N(Q787)))</f>
        <v/>
      </c>
    </row>
    <row r="788">
      <c r="A788" s="30" t="n"/>
      <c r="E788" s="31" t="n"/>
      <c r="J788" s="32" t="n"/>
      <c r="K788" s="32" t="n"/>
      <c r="L788" s="32" t="n"/>
      <c r="M788" s="32" t="n"/>
      <c r="N788" s="32" t="n"/>
      <c r="O788" s="32" t="n"/>
      <c r="P788" s="32" t="n"/>
      <c r="Q788" s="32" t="n"/>
      <c r="U788" s="31">
        <f>IF($A788="","",SUM(X788:AE788))</f>
        <v/>
      </c>
      <c r="V788" s="31">
        <f>IF($A788="","",IF($H788&lt;&gt;"Ausgabe",0,-$E788-$U788))</f>
        <v/>
      </c>
      <c r="W788" s="33">
        <f>IF($A788="","",DATE(YEAR($A788),MONTH($A788),1))</f>
        <v/>
      </c>
      <c r="X788" s="34">
        <f>IF(OR($A788="",$H788&lt;&gt;"Ausgabe",J788=""),0,IF(J788="x",-$E788/(COUNTIF($J788:$Q788,"x")+1),-$E788*N(J788)))</f>
        <v/>
      </c>
      <c r="Y788" s="34">
        <f>IF(OR($A788="",$H788&lt;&gt;"Ausgabe",K788=""),0,IF(K788="x",-$E788/(COUNTIF($J788:$Q788,"x")+1),-$E788*N(K788)))</f>
        <v/>
      </c>
      <c r="Z788" s="34">
        <f>IF(OR($A788="",$H788&lt;&gt;"Ausgabe",L788=""),0,IF(L788="x",-$E788/(COUNTIF($J788:$Q788,"x")+1),-$E788*N(L788)))</f>
        <v/>
      </c>
      <c r="AA788" s="34">
        <f>IF(OR($A788="",$H788&lt;&gt;"Ausgabe",M788=""),0,IF(M788="x",-$E788/(COUNTIF($J788:$Q788,"x")+1),-$E788*N(M788)))</f>
        <v/>
      </c>
      <c r="AB788" s="34">
        <f>IF(OR($A788="",$H788&lt;&gt;"Ausgabe",N788=""),0,IF(N788="x",-$E788/(COUNTIF($J788:$Q788,"x")+1),-$E788*N(N788)))</f>
        <v/>
      </c>
      <c r="AC788" s="34">
        <f>IF(OR($A788="",$H788&lt;&gt;"Ausgabe",O788=""),0,IF(O788="x",-$E788/(COUNTIF($J788:$Q788,"x")+1),-$E788*N(O788)))</f>
        <v/>
      </c>
      <c r="AD788" s="34">
        <f>IF(OR($A788="",$H788&lt;&gt;"Ausgabe",P788=""),0,IF(P788="x",-$E788/(COUNTIF($J788:$Q788,"x")+1),-$E788*N(P788)))</f>
        <v/>
      </c>
      <c r="AE788" s="34">
        <f>IF(OR($A788="",$H788&lt;&gt;"Ausgabe",Q788=""),0,IF(Q788="x",-$E788/(COUNTIF($J788:$Q788,"x")+1),-$E788*N(Q788)))</f>
        <v/>
      </c>
    </row>
    <row r="789">
      <c r="A789" s="30" t="n"/>
      <c r="E789" s="31" t="n"/>
      <c r="J789" s="32" t="n"/>
      <c r="K789" s="32" t="n"/>
      <c r="L789" s="32" t="n"/>
      <c r="M789" s="32" t="n"/>
      <c r="N789" s="32" t="n"/>
      <c r="O789" s="32" t="n"/>
      <c r="P789" s="32" t="n"/>
      <c r="Q789" s="32" t="n"/>
      <c r="U789" s="31">
        <f>IF($A789="","",SUM(X789:AE789))</f>
        <v/>
      </c>
      <c r="V789" s="31">
        <f>IF($A789="","",IF($H789&lt;&gt;"Ausgabe",0,-$E789-$U789))</f>
        <v/>
      </c>
      <c r="W789" s="33">
        <f>IF($A789="","",DATE(YEAR($A789),MONTH($A789),1))</f>
        <v/>
      </c>
      <c r="X789" s="34">
        <f>IF(OR($A789="",$H789&lt;&gt;"Ausgabe",J789=""),0,IF(J789="x",-$E789/(COUNTIF($J789:$Q789,"x")+1),-$E789*N(J789)))</f>
        <v/>
      </c>
      <c r="Y789" s="34">
        <f>IF(OR($A789="",$H789&lt;&gt;"Ausgabe",K789=""),0,IF(K789="x",-$E789/(COUNTIF($J789:$Q789,"x")+1),-$E789*N(K789)))</f>
        <v/>
      </c>
      <c r="Z789" s="34">
        <f>IF(OR($A789="",$H789&lt;&gt;"Ausgabe",L789=""),0,IF(L789="x",-$E789/(COUNTIF($J789:$Q789,"x")+1),-$E789*N(L789)))</f>
        <v/>
      </c>
      <c r="AA789" s="34">
        <f>IF(OR($A789="",$H789&lt;&gt;"Ausgabe",M789=""),0,IF(M789="x",-$E789/(COUNTIF($J789:$Q789,"x")+1),-$E789*N(M789)))</f>
        <v/>
      </c>
      <c r="AB789" s="34">
        <f>IF(OR($A789="",$H789&lt;&gt;"Ausgabe",N789=""),0,IF(N789="x",-$E789/(COUNTIF($J789:$Q789,"x")+1),-$E789*N(N789)))</f>
        <v/>
      </c>
      <c r="AC789" s="34">
        <f>IF(OR($A789="",$H789&lt;&gt;"Ausgabe",O789=""),0,IF(O789="x",-$E789/(COUNTIF($J789:$Q789,"x")+1),-$E789*N(O789)))</f>
        <v/>
      </c>
      <c r="AD789" s="34">
        <f>IF(OR($A789="",$H789&lt;&gt;"Ausgabe",P789=""),0,IF(P789="x",-$E789/(COUNTIF($J789:$Q789,"x")+1),-$E789*N(P789)))</f>
        <v/>
      </c>
      <c r="AE789" s="34">
        <f>IF(OR($A789="",$H789&lt;&gt;"Ausgabe",Q789=""),0,IF(Q789="x",-$E789/(COUNTIF($J789:$Q789,"x")+1),-$E789*N(Q789)))</f>
        <v/>
      </c>
    </row>
    <row r="790">
      <c r="A790" s="30" t="n"/>
      <c r="E790" s="31" t="n"/>
      <c r="J790" s="32" t="n"/>
      <c r="K790" s="32" t="n"/>
      <c r="L790" s="32" t="n"/>
      <c r="M790" s="32" t="n"/>
      <c r="N790" s="32" t="n"/>
      <c r="O790" s="32" t="n"/>
      <c r="P790" s="32" t="n"/>
      <c r="Q790" s="32" t="n"/>
      <c r="U790" s="31">
        <f>IF($A790="","",SUM(X790:AE790))</f>
        <v/>
      </c>
      <c r="V790" s="31">
        <f>IF($A790="","",IF($H790&lt;&gt;"Ausgabe",0,-$E790-$U790))</f>
        <v/>
      </c>
      <c r="W790" s="33">
        <f>IF($A790="","",DATE(YEAR($A790),MONTH($A790),1))</f>
        <v/>
      </c>
      <c r="X790" s="34">
        <f>IF(OR($A790="",$H790&lt;&gt;"Ausgabe",J790=""),0,IF(J790="x",-$E790/(COUNTIF($J790:$Q790,"x")+1),-$E790*N(J790)))</f>
        <v/>
      </c>
      <c r="Y790" s="34">
        <f>IF(OR($A790="",$H790&lt;&gt;"Ausgabe",K790=""),0,IF(K790="x",-$E790/(COUNTIF($J790:$Q790,"x")+1),-$E790*N(K790)))</f>
        <v/>
      </c>
      <c r="Z790" s="34">
        <f>IF(OR($A790="",$H790&lt;&gt;"Ausgabe",L790=""),0,IF(L790="x",-$E790/(COUNTIF($J790:$Q790,"x")+1),-$E790*N(L790)))</f>
        <v/>
      </c>
      <c r="AA790" s="34">
        <f>IF(OR($A790="",$H790&lt;&gt;"Ausgabe",M790=""),0,IF(M790="x",-$E790/(COUNTIF($J790:$Q790,"x")+1),-$E790*N(M790)))</f>
        <v/>
      </c>
      <c r="AB790" s="34">
        <f>IF(OR($A790="",$H790&lt;&gt;"Ausgabe",N790=""),0,IF(N790="x",-$E790/(COUNTIF($J790:$Q790,"x")+1),-$E790*N(N790)))</f>
        <v/>
      </c>
      <c r="AC790" s="34">
        <f>IF(OR($A790="",$H790&lt;&gt;"Ausgabe",O790=""),0,IF(O790="x",-$E790/(COUNTIF($J790:$Q790,"x")+1),-$E790*N(O790)))</f>
        <v/>
      </c>
      <c r="AD790" s="34">
        <f>IF(OR($A790="",$H790&lt;&gt;"Ausgabe",P790=""),0,IF(P790="x",-$E790/(COUNTIF($J790:$Q790,"x")+1),-$E790*N(P790)))</f>
        <v/>
      </c>
      <c r="AE790" s="34">
        <f>IF(OR($A790="",$H790&lt;&gt;"Ausgabe",Q790=""),0,IF(Q790="x",-$E790/(COUNTIF($J790:$Q790,"x")+1),-$E790*N(Q790)))</f>
        <v/>
      </c>
    </row>
    <row r="791">
      <c r="A791" s="30" t="n"/>
      <c r="E791" s="31" t="n"/>
      <c r="J791" s="32" t="n"/>
      <c r="K791" s="32" t="n"/>
      <c r="L791" s="32" t="n"/>
      <c r="M791" s="32" t="n"/>
      <c r="N791" s="32" t="n"/>
      <c r="O791" s="32" t="n"/>
      <c r="P791" s="32" t="n"/>
      <c r="Q791" s="32" t="n"/>
      <c r="U791" s="31">
        <f>IF($A791="","",SUM(X791:AE791))</f>
        <v/>
      </c>
      <c r="V791" s="31">
        <f>IF($A791="","",IF($H791&lt;&gt;"Ausgabe",0,-$E791-$U791))</f>
        <v/>
      </c>
      <c r="W791" s="33">
        <f>IF($A791="","",DATE(YEAR($A791),MONTH($A791),1))</f>
        <v/>
      </c>
      <c r="X791" s="34">
        <f>IF(OR($A791="",$H791&lt;&gt;"Ausgabe",J791=""),0,IF(J791="x",-$E791/(COUNTIF($J791:$Q791,"x")+1),-$E791*N(J791)))</f>
        <v/>
      </c>
      <c r="Y791" s="34">
        <f>IF(OR($A791="",$H791&lt;&gt;"Ausgabe",K791=""),0,IF(K791="x",-$E791/(COUNTIF($J791:$Q791,"x")+1),-$E791*N(K791)))</f>
        <v/>
      </c>
      <c r="Z791" s="34">
        <f>IF(OR($A791="",$H791&lt;&gt;"Ausgabe",L791=""),0,IF(L791="x",-$E791/(COUNTIF($J791:$Q791,"x")+1),-$E791*N(L791)))</f>
        <v/>
      </c>
      <c r="AA791" s="34">
        <f>IF(OR($A791="",$H791&lt;&gt;"Ausgabe",M791=""),0,IF(M791="x",-$E791/(COUNTIF($J791:$Q791,"x")+1),-$E791*N(M791)))</f>
        <v/>
      </c>
      <c r="AB791" s="34">
        <f>IF(OR($A791="",$H791&lt;&gt;"Ausgabe",N791=""),0,IF(N791="x",-$E791/(COUNTIF($J791:$Q791,"x")+1),-$E791*N(N791)))</f>
        <v/>
      </c>
      <c r="AC791" s="34">
        <f>IF(OR($A791="",$H791&lt;&gt;"Ausgabe",O791=""),0,IF(O791="x",-$E791/(COUNTIF($J791:$Q791,"x")+1),-$E791*N(O791)))</f>
        <v/>
      </c>
      <c r="AD791" s="34">
        <f>IF(OR($A791="",$H791&lt;&gt;"Ausgabe",P791=""),0,IF(P791="x",-$E791/(COUNTIF($J791:$Q791,"x")+1),-$E791*N(P791)))</f>
        <v/>
      </c>
      <c r="AE791" s="34">
        <f>IF(OR($A791="",$H791&lt;&gt;"Ausgabe",Q791=""),0,IF(Q791="x",-$E791/(COUNTIF($J791:$Q791,"x")+1),-$E791*N(Q791)))</f>
        <v/>
      </c>
    </row>
    <row r="792">
      <c r="A792" s="30" t="n"/>
      <c r="E792" s="31" t="n"/>
      <c r="J792" s="32" t="n"/>
      <c r="K792" s="32" t="n"/>
      <c r="L792" s="32" t="n"/>
      <c r="M792" s="32" t="n"/>
      <c r="N792" s="32" t="n"/>
      <c r="O792" s="32" t="n"/>
      <c r="P792" s="32" t="n"/>
      <c r="Q792" s="32" t="n"/>
      <c r="U792" s="31">
        <f>IF($A792="","",SUM(X792:AE792))</f>
        <v/>
      </c>
      <c r="V792" s="31">
        <f>IF($A792="","",IF($H792&lt;&gt;"Ausgabe",0,-$E792-$U792))</f>
        <v/>
      </c>
      <c r="W792" s="33">
        <f>IF($A792="","",DATE(YEAR($A792),MONTH($A792),1))</f>
        <v/>
      </c>
      <c r="X792" s="34">
        <f>IF(OR($A792="",$H792&lt;&gt;"Ausgabe",J792=""),0,IF(J792="x",-$E792/(COUNTIF($J792:$Q792,"x")+1),-$E792*N(J792)))</f>
        <v/>
      </c>
      <c r="Y792" s="34">
        <f>IF(OR($A792="",$H792&lt;&gt;"Ausgabe",K792=""),0,IF(K792="x",-$E792/(COUNTIF($J792:$Q792,"x")+1),-$E792*N(K792)))</f>
        <v/>
      </c>
      <c r="Z792" s="34">
        <f>IF(OR($A792="",$H792&lt;&gt;"Ausgabe",L792=""),0,IF(L792="x",-$E792/(COUNTIF($J792:$Q792,"x")+1),-$E792*N(L792)))</f>
        <v/>
      </c>
      <c r="AA792" s="34">
        <f>IF(OR($A792="",$H792&lt;&gt;"Ausgabe",M792=""),0,IF(M792="x",-$E792/(COUNTIF($J792:$Q792,"x")+1),-$E792*N(M792)))</f>
        <v/>
      </c>
      <c r="AB792" s="34">
        <f>IF(OR($A792="",$H792&lt;&gt;"Ausgabe",N792=""),0,IF(N792="x",-$E792/(COUNTIF($J792:$Q792,"x")+1),-$E792*N(N792)))</f>
        <v/>
      </c>
      <c r="AC792" s="34">
        <f>IF(OR($A792="",$H792&lt;&gt;"Ausgabe",O792=""),0,IF(O792="x",-$E792/(COUNTIF($J792:$Q792,"x")+1),-$E792*N(O792)))</f>
        <v/>
      </c>
      <c r="AD792" s="34">
        <f>IF(OR($A792="",$H792&lt;&gt;"Ausgabe",P792=""),0,IF(P792="x",-$E792/(COUNTIF($J792:$Q792,"x")+1),-$E792*N(P792)))</f>
        <v/>
      </c>
      <c r="AE792" s="34">
        <f>IF(OR($A792="",$H792&lt;&gt;"Ausgabe",Q792=""),0,IF(Q792="x",-$E792/(COUNTIF($J792:$Q792,"x")+1),-$E792*N(Q792)))</f>
        <v/>
      </c>
    </row>
    <row r="793">
      <c r="A793" s="30" t="n"/>
      <c r="E793" s="31" t="n"/>
      <c r="J793" s="32" t="n"/>
      <c r="K793" s="32" t="n"/>
      <c r="L793" s="32" t="n"/>
      <c r="M793" s="32" t="n"/>
      <c r="N793" s="32" t="n"/>
      <c r="O793" s="32" t="n"/>
      <c r="P793" s="32" t="n"/>
      <c r="Q793" s="32" t="n"/>
      <c r="U793" s="31">
        <f>IF($A793="","",SUM(X793:AE793))</f>
        <v/>
      </c>
      <c r="V793" s="31">
        <f>IF($A793="","",IF($H793&lt;&gt;"Ausgabe",0,-$E793-$U793))</f>
        <v/>
      </c>
      <c r="W793" s="33">
        <f>IF($A793="","",DATE(YEAR($A793),MONTH($A793),1))</f>
        <v/>
      </c>
      <c r="X793" s="34">
        <f>IF(OR($A793="",$H793&lt;&gt;"Ausgabe",J793=""),0,IF(J793="x",-$E793/(COUNTIF($J793:$Q793,"x")+1),-$E793*N(J793)))</f>
        <v/>
      </c>
      <c r="Y793" s="34">
        <f>IF(OR($A793="",$H793&lt;&gt;"Ausgabe",K793=""),0,IF(K793="x",-$E793/(COUNTIF($J793:$Q793,"x")+1),-$E793*N(K793)))</f>
        <v/>
      </c>
      <c r="Z793" s="34">
        <f>IF(OR($A793="",$H793&lt;&gt;"Ausgabe",L793=""),0,IF(L793="x",-$E793/(COUNTIF($J793:$Q793,"x")+1),-$E793*N(L793)))</f>
        <v/>
      </c>
      <c r="AA793" s="34">
        <f>IF(OR($A793="",$H793&lt;&gt;"Ausgabe",M793=""),0,IF(M793="x",-$E793/(COUNTIF($J793:$Q793,"x")+1),-$E793*N(M793)))</f>
        <v/>
      </c>
      <c r="AB793" s="34">
        <f>IF(OR($A793="",$H793&lt;&gt;"Ausgabe",N793=""),0,IF(N793="x",-$E793/(COUNTIF($J793:$Q793,"x")+1),-$E793*N(N793)))</f>
        <v/>
      </c>
      <c r="AC793" s="34">
        <f>IF(OR($A793="",$H793&lt;&gt;"Ausgabe",O793=""),0,IF(O793="x",-$E793/(COUNTIF($J793:$Q793,"x")+1),-$E793*N(O793)))</f>
        <v/>
      </c>
      <c r="AD793" s="34">
        <f>IF(OR($A793="",$H793&lt;&gt;"Ausgabe",P793=""),0,IF(P793="x",-$E793/(COUNTIF($J793:$Q793,"x")+1),-$E793*N(P793)))</f>
        <v/>
      </c>
      <c r="AE793" s="34">
        <f>IF(OR($A793="",$H793&lt;&gt;"Ausgabe",Q793=""),0,IF(Q793="x",-$E793/(COUNTIF($J793:$Q793,"x")+1),-$E793*N(Q793)))</f>
        <v/>
      </c>
    </row>
    <row r="794">
      <c r="A794" s="30" t="n"/>
      <c r="E794" s="31" t="n"/>
      <c r="J794" s="32" t="n"/>
      <c r="K794" s="32" t="n"/>
      <c r="L794" s="32" t="n"/>
      <c r="M794" s="32" t="n"/>
      <c r="N794" s="32" t="n"/>
      <c r="O794" s="32" t="n"/>
      <c r="P794" s="32" t="n"/>
      <c r="Q794" s="32" t="n"/>
      <c r="U794" s="31">
        <f>IF($A794="","",SUM(X794:AE794))</f>
        <v/>
      </c>
      <c r="V794" s="31">
        <f>IF($A794="","",IF($H794&lt;&gt;"Ausgabe",0,-$E794-$U794))</f>
        <v/>
      </c>
      <c r="W794" s="33">
        <f>IF($A794="","",DATE(YEAR($A794),MONTH($A794),1))</f>
        <v/>
      </c>
      <c r="X794" s="34">
        <f>IF(OR($A794="",$H794&lt;&gt;"Ausgabe",J794=""),0,IF(J794="x",-$E794/(COUNTIF($J794:$Q794,"x")+1),-$E794*N(J794)))</f>
        <v/>
      </c>
      <c r="Y794" s="34">
        <f>IF(OR($A794="",$H794&lt;&gt;"Ausgabe",K794=""),0,IF(K794="x",-$E794/(COUNTIF($J794:$Q794,"x")+1),-$E794*N(K794)))</f>
        <v/>
      </c>
      <c r="Z794" s="34">
        <f>IF(OR($A794="",$H794&lt;&gt;"Ausgabe",L794=""),0,IF(L794="x",-$E794/(COUNTIF($J794:$Q794,"x")+1),-$E794*N(L794)))</f>
        <v/>
      </c>
      <c r="AA794" s="34">
        <f>IF(OR($A794="",$H794&lt;&gt;"Ausgabe",M794=""),0,IF(M794="x",-$E794/(COUNTIF($J794:$Q794,"x")+1),-$E794*N(M794)))</f>
        <v/>
      </c>
      <c r="AB794" s="34">
        <f>IF(OR($A794="",$H794&lt;&gt;"Ausgabe",N794=""),0,IF(N794="x",-$E794/(COUNTIF($J794:$Q794,"x")+1),-$E794*N(N794)))</f>
        <v/>
      </c>
      <c r="AC794" s="34">
        <f>IF(OR($A794="",$H794&lt;&gt;"Ausgabe",O794=""),0,IF(O794="x",-$E794/(COUNTIF($J794:$Q794,"x")+1),-$E794*N(O794)))</f>
        <v/>
      </c>
      <c r="AD794" s="34">
        <f>IF(OR($A794="",$H794&lt;&gt;"Ausgabe",P794=""),0,IF(P794="x",-$E794/(COUNTIF($J794:$Q794,"x")+1),-$E794*N(P794)))</f>
        <v/>
      </c>
      <c r="AE794" s="34">
        <f>IF(OR($A794="",$H794&lt;&gt;"Ausgabe",Q794=""),0,IF(Q794="x",-$E794/(COUNTIF($J794:$Q794,"x")+1),-$E794*N(Q794)))</f>
        <v/>
      </c>
    </row>
    <row r="795">
      <c r="A795" s="30" t="n"/>
      <c r="E795" s="31" t="n"/>
      <c r="J795" s="32" t="n"/>
      <c r="K795" s="32" t="n"/>
      <c r="L795" s="32" t="n"/>
      <c r="M795" s="32" t="n"/>
      <c r="N795" s="32" t="n"/>
      <c r="O795" s="32" t="n"/>
      <c r="P795" s="32" t="n"/>
      <c r="Q795" s="32" t="n"/>
      <c r="U795" s="31">
        <f>IF($A795="","",SUM(X795:AE795))</f>
        <v/>
      </c>
      <c r="V795" s="31">
        <f>IF($A795="","",IF($H795&lt;&gt;"Ausgabe",0,-$E795-$U795))</f>
        <v/>
      </c>
      <c r="W795" s="33">
        <f>IF($A795="","",DATE(YEAR($A795),MONTH($A795),1))</f>
        <v/>
      </c>
      <c r="X795" s="34">
        <f>IF(OR($A795="",$H795&lt;&gt;"Ausgabe",J795=""),0,IF(J795="x",-$E795/(COUNTIF($J795:$Q795,"x")+1),-$E795*N(J795)))</f>
        <v/>
      </c>
      <c r="Y795" s="34">
        <f>IF(OR($A795="",$H795&lt;&gt;"Ausgabe",K795=""),0,IF(K795="x",-$E795/(COUNTIF($J795:$Q795,"x")+1),-$E795*N(K795)))</f>
        <v/>
      </c>
      <c r="Z795" s="34">
        <f>IF(OR($A795="",$H795&lt;&gt;"Ausgabe",L795=""),0,IF(L795="x",-$E795/(COUNTIF($J795:$Q795,"x")+1),-$E795*N(L795)))</f>
        <v/>
      </c>
      <c r="AA795" s="34">
        <f>IF(OR($A795="",$H795&lt;&gt;"Ausgabe",M795=""),0,IF(M795="x",-$E795/(COUNTIF($J795:$Q795,"x")+1),-$E795*N(M795)))</f>
        <v/>
      </c>
      <c r="AB795" s="34">
        <f>IF(OR($A795="",$H795&lt;&gt;"Ausgabe",N795=""),0,IF(N795="x",-$E795/(COUNTIF($J795:$Q795,"x")+1),-$E795*N(N795)))</f>
        <v/>
      </c>
      <c r="AC795" s="34">
        <f>IF(OR($A795="",$H795&lt;&gt;"Ausgabe",O795=""),0,IF(O795="x",-$E795/(COUNTIF($J795:$Q795,"x")+1),-$E795*N(O795)))</f>
        <v/>
      </c>
      <c r="AD795" s="34">
        <f>IF(OR($A795="",$H795&lt;&gt;"Ausgabe",P795=""),0,IF(P795="x",-$E795/(COUNTIF($J795:$Q795,"x")+1),-$E795*N(P795)))</f>
        <v/>
      </c>
      <c r="AE795" s="34">
        <f>IF(OR($A795="",$H795&lt;&gt;"Ausgabe",Q795=""),0,IF(Q795="x",-$E795/(COUNTIF($J795:$Q795,"x")+1),-$E795*N(Q795)))</f>
        <v/>
      </c>
    </row>
    <row r="796">
      <c r="A796" s="30" t="n"/>
      <c r="E796" s="31" t="n"/>
      <c r="J796" s="32" t="n"/>
      <c r="K796" s="32" t="n"/>
      <c r="L796" s="32" t="n"/>
      <c r="M796" s="32" t="n"/>
      <c r="N796" s="32" t="n"/>
      <c r="O796" s="32" t="n"/>
      <c r="P796" s="32" t="n"/>
      <c r="Q796" s="32" t="n"/>
      <c r="U796" s="31">
        <f>IF($A796="","",SUM(X796:AE796))</f>
        <v/>
      </c>
      <c r="V796" s="31">
        <f>IF($A796="","",IF($H796&lt;&gt;"Ausgabe",0,-$E796-$U796))</f>
        <v/>
      </c>
      <c r="W796" s="33">
        <f>IF($A796="","",DATE(YEAR($A796),MONTH($A796),1))</f>
        <v/>
      </c>
      <c r="X796" s="34">
        <f>IF(OR($A796="",$H796&lt;&gt;"Ausgabe",J796=""),0,IF(J796="x",-$E796/(COUNTIF($J796:$Q796,"x")+1),-$E796*N(J796)))</f>
        <v/>
      </c>
      <c r="Y796" s="34">
        <f>IF(OR($A796="",$H796&lt;&gt;"Ausgabe",K796=""),0,IF(K796="x",-$E796/(COUNTIF($J796:$Q796,"x")+1),-$E796*N(K796)))</f>
        <v/>
      </c>
      <c r="Z796" s="34">
        <f>IF(OR($A796="",$H796&lt;&gt;"Ausgabe",L796=""),0,IF(L796="x",-$E796/(COUNTIF($J796:$Q796,"x")+1),-$E796*N(L796)))</f>
        <v/>
      </c>
      <c r="AA796" s="34">
        <f>IF(OR($A796="",$H796&lt;&gt;"Ausgabe",M796=""),0,IF(M796="x",-$E796/(COUNTIF($J796:$Q796,"x")+1),-$E796*N(M796)))</f>
        <v/>
      </c>
      <c r="AB796" s="34">
        <f>IF(OR($A796="",$H796&lt;&gt;"Ausgabe",N796=""),0,IF(N796="x",-$E796/(COUNTIF($J796:$Q796,"x")+1),-$E796*N(N796)))</f>
        <v/>
      </c>
      <c r="AC796" s="34">
        <f>IF(OR($A796="",$H796&lt;&gt;"Ausgabe",O796=""),0,IF(O796="x",-$E796/(COUNTIF($J796:$Q796,"x")+1),-$E796*N(O796)))</f>
        <v/>
      </c>
      <c r="AD796" s="34">
        <f>IF(OR($A796="",$H796&lt;&gt;"Ausgabe",P796=""),0,IF(P796="x",-$E796/(COUNTIF($J796:$Q796,"x")+1),-$E796*N(P796)))</f>
        <v/>
      </c>
      <c r="AE796" s="34">
        <f>IF(OR($A796="",$H796&lt;&gt;"Ausgabe",Q796=""),0,IF(Q796="x",-$E796/(COUNTIF($J796:$Q796,"x")+1),-$E796*N(Q796)))</f>
        <v/>
      </c>
    </row>
    <row r="797">
      <c r="A797" s="30" t="n"/>
      <c r="E797" s="31" t="n"/>
      <c r="J797" s="32" t="n"/>
      <c r="K797" s="32" t="n"/>
      <c r="L797" s="32" t="n"/>
      <c r="M797" s="32" t="n"/>
      <c r="N797" s="32" t="n"/>
      <c r="O797" s="32" t="n"/>
      <c r="P797" s="32" t="n"/>
      <c r="Q797" s="32" t="n"/>
      <c r="U797" s="31">
        <f>IF($A797="","",SUM(X797:AE797))</f>
        <v/>
      </c>
      <c r="V797" s="31">
        <f>IF($A797="","",IF($H797&lt;&gt;"Ausgabe",0,-$E797-$U797))</f>
        <v/>
      </c>
      <c r="W797" s="33">
        <f>IF($A797="","",DATE(YEAR($A797),MONTH($A797),1))</f>
        <v/>
      </c>
      <c r="X797" s="34">
        <f>IF(OR($A797="",$H797&lt;&gt;"Ausgabe",J797=""),0,IF(J797="x",-$E797/(COUNTIF($J797:$Q797,"x")+1),-$E797*N(J797)))</f>
        <v/>
      </c>
      <c r="Y797" s="34">
        <f>IF(OR($A797="",$H797&lt;&gt;"Ausgabe",K797=""),0,IF(K797="x",-$E797/(COUNTIF($J797:$Q797,"x")+1),-$E797*N(K797)))</f>
        <v/>
      </c>
      <c r="Z797" s="34">
        <f>IF(OR($A797="",$H797&lt;&gt;"Ausgabe",L797=""),0,IF(L797="x",-$E797/(COUNTIF($J797:$Q797,"x")+1),-$E797*N(L797)))</f>
        <v/>
      </c>
      <c r="AA797" s="34">
        <f>IF(OR($A797="",$H797&lt;&gt;"Ausgabe",M797=""),0,IF(M797="x",-$E797/(COUNTIF($J797:$Q797,"x")+1),-$E797*N(M797)))</f>
        <v/>
      </c>
      <c r="AB797" s="34">
        <f>IF(OR($A797="",$H797&lt;&gt;"Ausgabe",N797=""),0,IF(N797="x",-$E797/(COUNTIF($J797:$Q797,"x")+1),-$E797*N(N797)))</f>
        <v/>
      </c>
      <c r="AC797" s="34">
        <f>IF(OR($A797="",$H797&lt;&gt;"Ausgabe",O797=""),0,IF(O797="x",-$E797/(COUNTIF($J797:$Q797,"x")+1),-$E797*N(O797)))</f>
        <v/>
      </c>
      <c r="AD797" s="34">
        <f>IF(OR($A797="",$H797&lt;&gt;"Ausgabe",P797=""),0,IF(P797="x",-$E797/(COUNTIF($J797:$Q797,"x")+1),-$E797*N(P797)))</f>
        <v/>
      </c>
      <c r="AE797" s="34">
        <f>IF(OR($A797="",$H797&lt;&gt;"Ausgabe",Q797=""),0,IF(Q797="x",-$E797/(COUNTIF($J797:$Q797,"x")+1),-$E797*N(Q797)))</f>
        <v/>
      </c>
    </row>
    <row r="798">
      <c r="A798" s="30" t="n"/>
      <c r="E798" s="31" t="n"/>
      <c r="J798" s="32" t="n"/>
      <c r="K798" s="32" t="n"/>
      <c r="L798" s="32" t="n"/>
      <c r="M798" s="32" t="n"/>
      <c r="N798" s="32" t="n"/>
      <c r="O798" s="32" t="n"/>
      <c r="P798" s="32" t="n"/>
      <c r="Q798" s="32" t="n"/>
      <c r="U798" s="31">
        <f>IF($A798="","",SUM(X798:AE798))</f>
        <v/>
      </c>
      <c r="V798" s="31">
        <f>IF($A798="","",IF($H798&lt;&gt;"Ausgabe",0,-$E798-$U798))</f>
        <v/>
      </c>
      <c r="W798" s="33">
        <f>IF($A798="","",DATE(YEAR($A798),MONTH($A798),1))</f>
        <v/>
      </c>
      <c r="X798" s="34">
        <f>IF(OR($A798="",$H798&lt;&gt;"Ausgabe",J798=""),0,IF(J798="x",-$E798/(COUNTIF($J798:$Q798,"x")+1),-$E798*N(J798)))</f>
        <v/>
      </c>
      <c r="Y798" s="34">
        <f>IF(OR($A798="",$H798&lt;&gt;"Ausgabe",K798=""),0,IF(K798="x",-$E798/(COUNTIF($J798:$Q798,"x")+1),-$E798*N(K798)))</f>
        <v/>
      </c>
      <c r="Z798" s="34">
        <f>IF(OR($A798="",$H798&lt;&gt;"Ausgabe",L798=""),0,IF(L798="x",-$E798/(COUNTIF($J798:$Q798,"x")+1),-$E798*N(L798)))</f>
        <v/>
      </c>
      <c r="AA798" s="34">
        <f>IF(OR($A798="",$H798&lt;&gt;"Ausgabe",M798=""),0,IF(M798="x",-$E798/(COUNTIF($J798:$Q798,"x")+1),-$E798*N(M798)))</f>
        <v/>
      </c>
      <c r="AB798" s="34">
        <f>IF(OR($A798="",$H798&lt;&gt;"Ausgabe",N798=""),0,IF(N798="x",-$E798/(COUNTIF($J798:$Q798,"x")+1),-$E798*N(N798)))</f>
        <v/>
      </c>
      <c r="AC798" s="34">
        <f>IF(OR($A798="",$H798&lt;&gt;"Ausgabe",O798=""),0,IF(O798="x",-$E798/(COUNTIF($J798:$Q798,"x")+1),-$E798*N(O798)))</f>
        <v/>
      </c>
      <c r="AD798" s="34">
        <f>IF(OR($A798="",$H798&lt;&gt;"Ausgabe",P798=""),0,IF(P798="x",-$E798/(COUNTIF($J798:$Q798,"x")+1),-$E798*N(P798)))</f>
        <v/>
      </c>
      <c r="AE798" s="34">
        <f>IF(OR($A798="",$H798&lt;&gt;"Ausgabe",Q798=""),0,IF(Q798="x",-$E798/(COUNTIF($J798:$Q798,"x")+1),-$E798*N(Q798)))</f>
        <v/>
      </c>
    </row>
    <row r="799">
      <c r="A799" s="30" t="n"/>
      <c r="E799" s="31" t="n"/>
      <c r="J799" s="32" t="n"/>
      <c r="K799" s="32" t="n"/>
      <c r="L799" s="32" t="n"/>
      <c r="M799" s="32" t="n"/>
      <c r="N799" s="32" t="n"/>
      <c r="O799" s="32" t="n"/>
      <c r="P799" s="32" t="n"/>
      <c r="Q799" s="32" t="n"/>
      <c r="U799" s="31">
        <f>IF($A799="","",SUM(X799:AE799))</f>
        <v/>
      </c>
      <c r="V799" s="31">
        <f>IF($A799="","",IF($H799&lt;&gt;"Ausgabe",0,-$E799-$U799))</f>
        <v/>
      </c>
      <c r="W799" s="33">
        <f>IF($A799="","",DATE(YEAR($A799),MONTH($A799),1))</f>
        <v/>
      </c>
      <c r="X799" s="34">
        <f>IF(OR($A799="",$H799&lt;&gt;"Ausgabe",J799=""),0,IF(J799="x",-$E799/(COUNTIF($J799:$Q799,"x")+1),-$E799*N(J799)))</f>
        <v/>
      </c>
      <c r="Y799" s="34">
        <f>IF(OR($A799="",$H799&lt;&gt;"Ausgabe",K799=""),0,IF(K799="x",-$E799/(COUNTIF($J799:$Q799,"x")+1),-$E799*N(K799)))</f>
        <v/>
      </c>
      <c r="Z799" s="34">
        <f>IF(OR($A799="",$H799&lt;&gt;"Ausgabe",L799=""),0,IF(L799="x",-$E799/(COUNTIF($J799:$Q799,"x")+1),-$E799*N(L799)))</f>
        <v/>
      </c>
      <c r="AA799" s="34">
        <f>IF(OR($A799="",$H799&lt;&gt;"Ausgabe",M799=""),0,IF(M799="x",-$E799/(COUNTIF($J799:$Q799,"x")+1),-$E799*N(M799)))</f>
        <v/>
      </c>
      <c r="AB799" s="34">
        <f>IF(OR($A799="",$H799&lt;&gt;"Ausgabe",N799=""),0,IF(N799="x",-$E799/(COUNTIF($J799:$Q799,"x")+1),-$E799*N(N799)))</f>
        <v/>
      </c>
      <c r="AC799" s="34">
        <f>IF(OR($A799="",$H799&lt;&gt;"Ausgabe",O799=""),0,IF(O799="x",-$E799/(COUNTIF($J799:$Q799,"x")+1),-$E799*N(O799)))</f>
        <v/>
      </c>
      <c r="AD799" s="34">
        <f>IF(OR($A799="",$H799&lt;&gt;"Ausgabe",P799=""),0,IF(P799="x",-$E799/(COUNTIF($J799:$Q799,"x")+1),-$E799*N(P799)))</f>
        <v/>
      </c>
      <c r="AE799" s="34">
        <f>IF(OR($A799="",$H799&lt;&gt;"Ausgabe",Q799=""),0,IF(Q799="x",-$E799/(COUNTIF($J799:$Q799,"x")+1),-$E799*N(Q799)))</f>
        <v/>
      </c>
    </row>
    <row r="800">
      <c r="A800" s="30" t="n"/>
      <c r="E800" s="31" t="n"/>
      <c r="J800" s="32" t="n"/>
      <c r="K800" s="32" t="n"/>
      <c r="L800" s="32" t="n"/>
      <c r="M800" s="32" t="n"/>
      <c r="N800" s="32" t="n"/>
      <c r="O800" s="32" t="n"/>
      <c r="P800" s="32" t="n"/>
      <c r="Q800" s="32" t="n"/>
      <c r="U800" s="31">
        <f>IF($A800="","",SUM(X800:AE800))</f>
        <v/>
      </c>
      <c r="V800" s="31">
        <f>IF($A800="","",IF($H800&lt;&gt;"Ausgabe",0,-$E800-$U800))</f>
        <v/>
      </c>
      <c r="W800" s="33">
        <f>IF($A800="","",DATE(YEAR($A800),MONTH($A800),1))</f>
        <v/>
      </c>
      <c r="X800" s="34">
        <f>IF(OR($A800="",$H800&lt;&gt;"Ausgabe",J800=""),0,IF(J800="x",-$E800/(COUNTIF($J800:$Q800,"x")+1),-$E800*N(J800)))</f>
        <v/>
      </c>
      <c r="Y800" s="34">
        <f>IF(OR($A800="",$H800&lt;&gt;"Ausgabe",K800=""),0,IF(K800="x",-$E800/(COUNTIF($J800:$Q800,"x")+1),-$E800*N(K800)))</f>
        <v/>
      </c>
      <c r="Z800" s="34">
        <f>IF(OR($A800="",$H800&lt;&gt;"Ausgabe",L800=""),0,IF(L800="x",-$E800/(COUNTIF($J800:$Q800,"x")+1),-$E800*N(L800)))</f>
        <v/>
      </c>
      <c r="AA800" s="34">
        <f>IF(OR($A800="",$H800&lt;&gt;"Ausgabe",M800=""),0,IF(M800="x",-$E800/(COUNTIF($J800:$Q800,"x")+1),-$E800*N(M800)))</f>
        <v/>
      </c>
      <c r="AB800" s="34">
        <f>IF(OR($A800="",$H800&lt;&gt;"Ausgabe",N800=""),0,IF(N800="x",-$E800/(COUNTIF($J800:$Q800,"x")+1),-$E800*N(N800)))</f>
        <v/>
      </c>
      <c r="AC800" s="34">
        <f>IF(OR($A800="",$H800&lt;&gt;"Ausgabe",O800=""),0,IF(O800="x",-$E800/(COUNTIF($J800:$Q800,"x")+1),-$E800*N(O800)))</f>
        <v/>
      </c>
      <c r="AD800" s="34">
        <f>IF(OR($A800="",$H800&lt;&gt;"Ausgabe",P800=""),0,IF(P800="x",-$E800/(COUNTIF($J800:$Q800,"x")+1),-$E800*N(P800)))</f>
        <v/>
      </c>
      <c r="AE800" s="34">
        <f>IF(OR($A800="",$H800&lt;&gt;"Ausgabe",Q800=""),0,IF(Q800="x",-$E800/(COUNTIF($J800:$Q800,"x")+1),-$E800*N(Q800)))</f>
        <v/>
      </c>
    </row>
    <row r="801">
      <c r="A801" s="30" t="n"/>
      <c r="E801" s="31" t="n"/>
      <c r="J801" s="32" t="n"/>
      <c r="K801" s="32" t="n"/>
      <c r="L801" s="32" t="n"/>
      <c r="M801" s="32" t="n"/>
      <c r="N801" s="32" t="n"/>
      <c r="O801" s="32" t="n"/>
      <c r="P801" s="32" t="n"/>
      <c r="Q801" s="32" t="n"/>
      <c r="U801" s="31">
        <f>IF($A801="","",SUM(X801:AE801))</f>
        <v/>
      </c>
      <c r="V801" s="31">
        <f>IF($A801="","",IF($H801&lt;&gt;"Ausgabe",0,-$E801-$U801))</f>
        <v/>
      </c>
      <c r="W801" s="33">
        <f>IF($A801="","",DATE(YEAR($A801),MONTH($A801),1))</f>
        <v/>
      </c>
      <c r="X801" s="34">
        <f>IF(OR($A801="",$H801&lt;&gt;"Ausgabe",J801=""),0,IF(J801="x",-$E801/(COUNTIF($J801:$Q801,"x")+1),-$E801*N(J801)))</f>
        <v/>
      </c>
      <c r="Y801" s="34">
        <f>IF(OR($A801="",$H801&lt;&gt;"Ausgabe",K801=""),0,IF(K801="x",-$E801/(COUNTIF($J801:$Q801,"x")+1),-$E801*N(K801)))</f>
        <v/>
      </c>
      <c r="Z801" s="34">
        <f>IF(OR($A801="",$H801&lt;&gt;"Ausgabe",L801=""),0,IF(L801="x",-$E801/(COUNTIF($J801:$Q801,"x")+1),-$E801*N(L801)))</f>
        <v/>
      </c>
      <c r="AA801" s="34">
        <f>IF(OR($A801="",$H801&lt;&gt;"Ausgabe",M801=""),0,IF(M801="x",-$E801/(COUNTIF($J801:$Q801,"x")+1),-$E801*N(M801)))</f>
        <v/>
      </c>
      <c r="AB801" s="34">
        <f>IF(OR($A801="",$H801&lt;&gt;"Ausgabe",N801=""),0,IF(N801="x",-$E801/(COUNTIF($J801:$Q801,"x")+1),-$E801*N(N801)))</f>
        <v/>
      </c>
      <c r="AC801" s="34">
        <f>IF(OR($A801="",$H801&lt;&gt;"Ausgabe",O801=""),0,IF(O801="x",-$E801/(COUNTIF($J801:$Q801,"x")+1),-$E801*N(O801)))</f>
        <v/>
      </c>
      <c r="AD801" s="34">
        <f>IF(OR($A801="",$H801&lt;&gt;"Ausgabe",P801=""),0,IF(P801="x",-$E801/(COUNTIF($J801:$Q801,"x")+1),-$E801*N(P801)))</f>
        <v/>
      </c>
      <c r="AE801" s="34">
        <f>IF(OR($A801="",$H801&lt;&gt;"Ausgabe",Q801=""),0,IF(Q801="x",-$E801/(COUNTIF($J801:$Q801,"x")+1),-$E801*N(Q801)))</f>
        <v/>
      </c>
    </row>
    <row r="802">
      <c r="A802" s="30" t="n"/>
      <c r="E802" s="31" t="n"/>
      <c r="J802" s="32" t="n"/>
      <c r="K802" s="32" t="n"/>
      <c r="L802" s="32" t="n"/>
      <c r="M802" s="32" t="n"/>
      <c r="N802" s="32" t="n"/>
      <c r="O802" s="32" t="n"/>
      <c r="P802" s="32" t="n"/>
      <c r="Q802" s="32" t="n"/>
      <c r="U802" s="31">
        <f>IF($A802="","",SUM(X802:AE802))</f>
        <v/>
      </c>
      <c r="V802" s="31">
        <f>IF($A802="","",IF($H802&lt;&gt;"Ausgabe",0,-$E802-$U802))</f>
        <v/>
      </c>
      <c r="W802" s="33">
        <f>IF($A802="","",DATE(YEAR($A802),MONTH($A802),1))</f>
        <v/>
      </c>
      <c r="X802" s="34">
        <f>IF(OR($A802="",$H802&lt;&gt;"Ausgabe",J802=""),0,IF(J802="x",-$E802/(COUNTIF($J802:$Q802,"x")+1),-$E802*N(J802)))</f>
        <v/>
      </c>
      <c r="Y802" s="34">
        <f>IF(OR($A802="",$H802&lt;&gt;"Ausgabe",K802=""),0,IF(K802="x",-$E802/(COUNTIF($J802:$Q802,"x")+1),-$E802*N(K802)))</f>
        <v/>
      </c>
      <c r="Z802" s="34">
        <f>IF(OR($A802="",$H802&lt;&gt;"Ausgabe",L802=""),0,IF(L802="x",-$E802/(COUNTIF($J802:$Q802,"x")+1),-$E802*N(L802)))</f>
        <v/>
      </c>
      <c r="AA802" s="34">
        <f>IF(OR($A802="",$H802&lt;&gt;"Ausgabe",M802=""),0,IF(M802="x",-$E802/(COUNTIF($J802:$Q802,"x")+1),-$E802*N(M802)))</f>
        <v/>
      </c>
      <c r="AB802" s="34">
        <f>IF(OR($A802="",$H802&lt;&gt;"Ausgabe",N802=""),0,IF(N802="x",-$E802/(COUNTIF($J802:$Q802,"x")+1),-$E802*N(N802)))</f>
        <v/>
      </c>
      <c r="AC802" s="34">
        <f>IF(OR($A802="",$H802&lt;&gt;"Ausgabe",O802=""),0,IF(O802="x",-$E802/(COUNTIF($J802:$Q802,"x")+1),-$E802*N(O802)))</f>
        <v/>
      </c>
      <c r="AD802" s="34">
        <f>IF(OR($A802="",$H802&lt;&gt;"Ausgabe",P802=""),0,IF(P802="x",-$E802/(COUNTIF($J802:$Q802,"x")+1),-$E802*N(P802)))</f>
        <v/>
      </c>
      <c r="AE802" s="34">
        <f>IF(OR($A802="",$H802&lt;&gt;"Ausgabe",Q802=""),0,IF(Q802="x",-$E802/(COUNTIF($J802:$Q802,"x")+1),-$E802*N(Q802)))</f>
        <v/>
      </c>
    </row>
    <row r="803">
      <c r="A803" s="30" t="n"/>
      <c r="E803" s="31" t="n"/>
      <c r="J803" s="32" t="n"/>
      <c r="K803" s="32" t="n"/>
      <c r="L803" s="32" t="n"/>
      <c r="M803" s="32" t="n"/>
      <c r="N803" s="32" t="n"/>
      <c r="O803" s="32" t="n"/>
      <c r="P803" s="32" t="n"/>
      <c r="Q803" s="32" t="n"/>
      <c r="U803" s="31">
        <f>IF($A803="","",SUM(X803:AE803))</f>
        <v/>
      </c>
      <c r="V803" s="31">
        <f>IF($A803="","",IF($H803&lt;&gt;"Ausgabe",0,-$E803-$U803))</f>
        <v/>
      </c>
      <c r="W803" s="33">
        <f>IF($A803="","",DATE(YEAR($A803),MONTH($A803),1))</f>
        <v/>
      </c>
      <c r="X803" s="34">
        <f>IF(OR($A803="",$H803&lt;&gt;"Ausgabe",J803=""),0,IF(J803="x",-$E803/(COUNTIF($J803:$Q803,"x")+1),-$E803*N(J803)))</f>
        <v/>
      </c>
      <c r="Y803" s="34">
        <f>IF(OR($A803="",$H803&lt;&gt;"Ausgabe",K803=""),0,IF(K803="x",-$E803/(COUNTIF($J803:$Q803,"x")+1),-$E803*N(K803)))</f>
        <v/>
      </c>
      <c r="Z803" s="34">
        <f>IF(OR($A803="",$H803&lt;&gt;"Ausgabe",L803=""),0,IF(L803="x",-$E803/(COUNTIF($J803:$Q803,"x")+1),-$E803*N(L803)))</f>
        <v/>
      </c>
      <c r="AA803" s="34">
        <f>IF(OR($A803="",$H803&lt;&gt;"Ausgabe",M803=""),0,IF(M803="x",-$E803/(COUNTIF($J803:$Q803,"x")+1),-$E803*N(M803)))</f>
        <v/>
      </c>
      <c r="AB803" s="34">
        <f>IF(OR($A803="",$H803&lt;&gt;"Ausgabe",N803=""),0,IF(N803="x",-$E803/(COUNTIF($J803:$Q803,"x")+1),-$E803*N(N803)))</f>
        <v/>
      </c>
      <c r="AC803" s="34">
        <f>IF(OR($A803="",$H803&lt;&gt;"Ausgabe",O803=""),0,IF(O803="x",-$E803/(COUNTIF($J803:$Q803,"x")+1),-$E803*N(O803)))</f>
        <v/>
      </c>
      <c r="AD803" s="34">
        <f>IF(OR($A803="",$H803&lt;&gt;"Ausgabe",P803=""),0,IF(P803="x",-$E803/(COUNTIF($J803:$Q803,"x")+1),-$E803*N(P803)))</f>
        <v/>
      </c>
      <c r="AE803" s="34">
        <f>IF(OR($A803="",$H803&lt;&gt;"Ausgabe",Q803=""),0,IF(Q803="x",-$E803/(COUNTIF($J803:$Q803,"x")+1),-$E803*N(Q803)))</f>
        <v/>
      </c>
    </row>
    <row r="804">
      <c r="A804" s="30" t="n"/>
      <c r="E804" s="31" t="n"/>
      <c r="J804" s="32" t="n"/>
      <c r="K804" s="32" t="n"/>
      <c r="L804" s="32" t="n"/>
      <c r="M804" s="32" t="n"/>
      <c r="N804" s="32" t="n"/>
      <c r="O804" s="32" t="n"/>
      <c r="P804" s="32" t="n"/>
      <c r="Q804" s="32" t="n"/>
      <c r="U804" s="31">
        <f>IF($A804="","",SUM(X804:AE804))</f>
        <v/>
      </c>
      <c r="V804" s="31">
        <f>IF($A804="","",IF($H804&lt;&gt;"Ausgabe",0,-$E804-$U804))</f>
        <v/>
      </c>
      <c r="W804" s="33">
        <f>IF($A804="","",DATE(YEAR($A804),MONTH($A804),1))</f>
        <v/>
      </c>
      <c r="X804" s="34">
        <f>IF(OR($A804="",$H804&lt;&gt;"Ausgabe",J804=""),0,IF(J804="x",-$E804/(COUNTIF($J804:$Q804,"x")+1),-$E804*N(J804)))</f>
        <v/>
      </c>
      <c r="Y804" s="34">
        <f>IF(OR($A804="",$H804&lt;&gt;"Ausgabe",K804=""),0,IF(K804="x",-$E804/(COUNTIF($J804:$Q804,"x")+1),-$E804*N(K804)))</f>
        <v/>
      </c>
      <c r="Z804" s="34">
        <f>IF(OR($A804="",$H804&lt;&gt;"Ausgabe",L804=""),0,IF(L804="x",-$E804/(COUNTIF($J804:$Q804,"x")+1),-$E804*N(L804)))</f>
        <v/>
      </c>
      <c r="AA804" s="34">
        <f>IF(OR($A804="",$H804&lt;&gt;"Ausgabe",M804=""),0,IF(M804="x",-$E804/(COUNTIF($J804:$Q804,"x")+1),-$E804*N(M804)))</f>
        <v/>
      </c>
      <c r="AB804" s="34">
        <f>IF(OR($A804="",$H804&lt;&gt;"Ausgabe",N804=""),0,IF(N804="x",-$E804/(COUNTIF($J804:$Q804,"x")+1),-$E804*N(N804)))</f>
        <v/>
      </c>
      <c r="AC804" s="34">
        <f>IF(OR($A804="",$H804&lt;&gt;"Ausgabe",O804=""),0,IF(O804="x",-$E804/(COUNTIF($J804:$Q804,"x")+1),-$E804*N(O804)))</f>
        <v/>
      </c>
      <c r="AD804" s="34">
        <f>IF(OR($A804="",$H804&lt;&gt;"Ausgabe",P804=""),0,IF(P804="x",-$E804/(COUNTIF($J804:$Q804,"x")+1),-$E804*N(P804)))</f>
        <v/>
      </c>
      <c r="AE804" s="34">
        <f>IF(OR($A804="",$H804&lt;&gt;"Ausgabe",Q804=""),0,IF(Q804="x",-$E804/(COUNTIF($J804:$Q804,"x")+1),-$E804*N(Q804)))</f>
        <v/>
      </c>
    </row>
    <row r="805">
      <c r="A805" s="30" t="n"/>
      <c r="E805" s="31" t="n"/>
      <c r="J805" s="32" t="n"/>
      <c r="K805" s="32" t="n"/>
      <c r="L805" s="32" t="n"/>
      <c r="M805" s="32" t="n"/>
      <c r="N805" s="32" t="n"/>
      <c r="O805" s="32" t="n"/>
      <c r="P805" s="32" t="n"/>
      <c r="Q805" s="32" t="n"/>
      <c r="U805" s="31">
        <f>IF($A805="","",SUM(X805:AE805))</f>
        <v/>
      </c>
      <c r="V805" s="31">
        <f>IF($A805="","",IF($H805&lt;&gt;"Ausgabe",0,-$E805-$U805))</f>
        <v/>
      </c>
      <c r="W805" s="33">
        <f>IF($A805="","",DATE(YEAR($A805),MONTH($A805),1))</f>
        <v/>
      </c>
      <c r="X805" s="34">
        <f>IF(OR($A805="",$H805&lt;&gt;"Ausgabe",J805=""),0,IF(J805="x",-$E805/(COUNTIF($J805:$Q805,"x")+1),-$E805*N(J805)))</f>
        <v/>
      </c>
      <c r="Y805" s="34">
        <f>IF(OR($A805="",$H805&lt;&gt;"Ausgabe",K805=""),0,IF(K805="x",-$E805/(COUNTIF($J805:$Q805,"x")+1),-$E805*N(K805)))</f>
        <v/>
      </c>
      <c r="Z805" s="34">
        <f>IF(OR($A805="",$H805&lt;&gt;"Ausgabe",L805=""),0,IF(L805="x",-$E805/(COUNTIF($J805:$Q805,"x")+1),-$E805*N(L805)))</f>
        <v/>
      </c>
      <c r="AA805" s="34">
        <f>IF(OR($A805="",$H805&lt;&gt;"Ausgabe",M805=""),0,IF(M805="x",-$E805/(COUNTIF($J805:$Q805,"x")+1),-$E805*N(M805)))</f>
        <v/>
      </c>
      <c r="AB805" s="34">
        <f>IF(OR($A805="",$H805&lt;&gt;"Ausgabe",N805=""),0,IF(N805="x",-$E805/(COUNTIF($J805:$Q805,"x")+1),-$E805*N(N805)))</f>
        <v/>
      </c>
      <c r="AC805" s="34">
        <f>IF(OR($A805="",$H805&lt;&gt;"Ausgabe",O805=""),0,IF(O805="x",-$E805/(COUNTIF($J805:$Q805,"x")+1),-$E805*N(O805)))</f>
        <v/>
      </c>
      <c r="AD805" s="34">
        <f>IF(OR($A805="",$H805&lt;&gt;"Ausgabe",P805=""),0,IF(P805="x",-$E805/(COUNTIF($J805:$Q805,"x")+1),-$E805*N(P805)))</f>
        <v/>
      </c>
      <c r="AE805" s="34">
        <f>IF(OR($A805="",$H805&lt;&gt;"Ausgabe",Q805=""),0,IF(Q805="x",-$E805/(COUNTIF($J805:$Q805,"x")+1),-$E805*N(Q805)))</f>
        <v/>
      </c>
    </row>
    <row r="806">
      <c r="A806" s="30" t="n"/>
      <c r="E806" s="31" t="n"/>
      <c r="J806" s="32" t="n"/>
      <c r="K806" s="32" t="n"/>
      <c r="L806" s="32" t="n"/>
      <c r="M806" s="32" t="n"/>
      <c r="N806" s="32" t="n"/>
      <c r="O806" s="32" t="n"/>
      <c r="P806" s="32" t="n"/>
      <c r="Q806" s="32" t="n"/>
      <c r="U806" s="31">
        <f>IF($A806="","",SUM(X806:AE806))</f>
        <v/>
      </c>
      <c r="V806" s="31">
        <f>IF($A806="","",IF($H806&lt;&gt;"Ausgabe",0,-$E806-$U806))</f>
        <v/>
      </c>
      <c r="W806" s="33">
        <f>IF($A806="","",DATE(YEAR($A806),MONTH($A806),1))</f>
        <v/>
      </c>
      <c r="X806" s="34">
        <f>IF(OR($A806="",$H806&lt;&gt;"Ausgabe",J806=""),0,IF(J806="x",-$E806/(COUNTIF($J806:$Q806,"x")+1),-$E806*N(J806)))</f>
        <v/>
      </c>
      <c r="Y806" s="34">
        <f>IF(OR($A806="",$H806&lt;&gt;"Ausgabe",K806=""),0,IF(K806="x",-$E806/(COUNTIF($J806:$Q806,"x")+1),-$E806*N(K806)))</f>
        <v/>
      </c>
      <c r="Z806" s="34">
        <f>IF(OR($A806="",$H806&lt;&gt;"Ausgabe",L806=""),0,IF(L806="x",-$E806/(COUNTIF($J806:$Q806,"x")+1),-$E806*N(L806)))</f>
        <v/>
      </c>
      <c r="AA806" s="34">
        <f>IF(OR($A806="",$H806&lt;&gt;"Ausgabe",M806=""),0,IF(M806="x",-$E806/(COUNTIF($J806:$Q806,"x")+1),-$E806*N(M806)))</f>
        <v/>
      </c>
      <c r="AB806" s="34">
        <f>IF(OR($A806="",$H806&lt;&gt;"Ausgabe",N806=""),0,IF(N806="x",-$E806/(COUNTIF($J806:$Q806,"x")+1),-$E806*N(N806)))</f>
        <v/>
      </c>
      <c r="AC806" s="34">
        <f>IF(OR($A806="",$H806&lt;&gt;"Ausgabe",O806=""),0,IF(O806="x",-$E806/(COUNTIF($J806:$Q806,"x")+1),-$E806*N(O806)))</f>
        <v/>
      </c>
      <c r="AD806" s="34">
        <f>IF(OR($A806="",$H806&lt;&gt;"Ausgabe",P806=""),0,IF(P806="x",-$E806/(COUNTIF($J806:$Q806,"x")+1),-$E806*N(P806)))</f>
        <v/>
      </c>
      <c r="AE806" s="34">
        <f>IF(OR($A806="",$H806&lt;&gt;"Ausgabe",Q806=""),0,IF(Q806="x",-$E806/(COUNTIF($J806:$Q806,"x")+1),-$E806*N(Q806)))</f>
        <v/>
      </c>
    </row>
    <row r="807">
      <c r="A807" s="30" t="n"/>
      <c r="E807" s="31" t="n"/>
      <c r="J807" s="32" t="n"/>
      <c r="K807" s="32" t="n"/>
      <c r="L807" s="32" t="n"/>
      <c r="M807" s="32" t="n"/>
      <c r="N807" s="32" t="n"/>
      <c r="O807" s="32" t="n"/>
      <c r="P807" s="32" t="n"/>
      <c r="Q807" s="32" t="n"/>
      <c r="U807" s="31">
        <f>IF($A807="","",SUM(X807:AE807))</f>
        <v/>
      </c>
      <c r="V807" s="31">
        <f>IF($A807="","",IF($H807&lt;&gt;"Ausgabe",0,-$E807-$U807))</f>
        <v/>
      </c>
      <c r="W807" s="33">
        <f>IF($A807="","",DATE(YEAR($A807),MONTH($A807),1))</f>
        <v/>
      </c>
      <c r="X807" s="34">
        <f>IF(OR($A807="",$H807&lt;&gt;"Ausgabe",J807=""),0,IF(J807="x",-$E807/(COUNTIF($J807:$Q807,"x")+1),-$E807*N(J807)))</f>
        <v/>
      </c>
      <c r="Y807" s="34">
        <f>IF(OR($A807="",$H807&lt;&gt;"Ausgabe",K807=""),0,IF(K807="x",-$E807/(COUNTIF($J807:$Q807,"x")+1),-$E807*N(K807)))</f>
        <v/>
      </c>
      <c r="Z807" s="34">
        <f>IF(OR($A807="",$H807&lt;&gt;"Ausgabe",L807=""),0,IF(L807="x",-$E807/(COUNTIF($J807:$Q807,"x")+1),-$E807*N(L807)))</f>
        <v/>
      </c>
      <c r="AA807" s="34">
        <f>IF(OR($A807="",$H807&lt;&gt;"Ausgabe",M807=""),0,IF(M807="x",-$E807/(COUNTIF($J807:$Q807,"x")+1),-$E807*N(M807)))</f>
        <v/>
      </c>
      <c r="AB807" s="34">
        <f>IF(OR($A807="",$H807&lt;&gt;"Ausgabe",N807=""),0,IF(N807="x",-$E807/(COUNTIF($J807:$Q807,"x")+1),-$E807*N(N807)))</f>
        <v/>
      </c>
      <c r="AC807" s="34">
        <f>IF(OR($A807="",$H807&lt;&gt;"Ausgabe",O807=""),0,IF(O807="x",-$E807/(COUNTIF($J807:$Q807,"x")+1),-$E807*N(O807)))</f>
        <v/>
      </c>
      <c r="AD807" s="34">
        <f>IF(OR($A807="",$H807&lt;&gt;"Ausgabe",P807=""),0,IF(P807="x",-$E807/(COUNTIF($J807:$Q807,"x")+1),-$E807*N(P807)))</f>
        <v/>
      </c>
      <c r="AE807" s="34">
        <f>IF(OR($A807="",$H807&lt;&gt;"Ausgabe",Q807=""),0,IF(Q807="x",-$E807/(COUNTIF($J807:$Q807,"x")+1),-$E807*N(Q807)))</f>
        <v/>
      </c>
    </row>
    <row r="808">
      <c r="A808" s="30" t="n"/>
      <c r="E808" s="31" t="n"/>
      <c r="J808" s="32" t="n"/>
      <c r="K808" s="32" t="n"/>
      <c r="L808" s="32" t="n"/>
      <c r="M808" s="32" t="n"/>
      <c r="N808" s="32" t="n"/>
      <c r="O808" s="32" t="n"/>
      <c r="P808" s="32" t="n"/>
      <c r="Q808" s="32" t="n"/>
      <c r="U808" s="31">
        <f>IF($A808="","",SUM(X808:AE808))</f>
        <v/>
      </c>
      <c r="V808" s="31">
        <f>IF($A808="","",IF($H808&lt;&gt;"Ausgabe",0,-$E808-$U808))</f>
        <v/>
      </c>
      <c r="W808" s="33">
        <f>IF($A808="","",DATE(YEAR($A808),MONTH($A808),1))</f>
        <v/>
      </c>
      <c r="X808" s="34">
        <f>IF(OR($A808="",$H808&lt;&gt;"Ausgabe",J808=""),0,IF(J808="x",-$E808/(COUNTIF($J808:$Q808,"x")+1),-$E808*N(J808)))</f>
        <v/>
      </c>
      <c r="Y808" s="34">
        <f>IF(OR($A808="",$H808&lt;&gt;"Ausgabe",K808=""),0,IF(K808="x",-$E808/(COUNTIF($J808:$Q808,"x")+1),-$E808*N(K808)))</f>
        <v/>
      </c>
      <c r="Z808" s="34">
        <f>IF(OR($A808="",$H808&lt;&gt;"Ausgabe",L808=""),0,IF(L808="x",-$E808/(COUNTIF($J808:$Q808,"x")+1),-$E808*N(L808)))</f>
        <v/>
      </c>
      <c r="AA808" s="34">
        <f>IF(OR($A808="",$H808&lt;&gt;"Ausgabe",M808=""),0,IF(M808="x",-$E808/(COUNTIF($J808:$Q808,"x")+1),-$E808*N(M808)))</f>
        <v/>
      </c>
      <c r="AB808" s="34">
        <f>IF(OR($A808="",$H808&lt;&gt;"Ausgabe",N808=""),0,IF(N808="x",-$E808/(COUNTIF($J808:$Q808,"x")+1),-$E808*N(N808)))</f>
        <v/>
      </c>
      <c r="AC808" s="34">
        <f>IF(OR($A808="",$H808&lt;&gt;"Ausgabe",O808=""),0,IF(O808="x",-$E808/(COUNTIF($J808:$Q808,"x")+1),-$E808*N(O808)))</f>
        <v/>
      </c>
      <c r="AD808" s="34">
        <f>IF(OR($A808="",$H808&lt;&gt;"Ausgabe",P808=""),0,IF(P808="x",-$E808/(COUNTIF($J808:$Q808,"x")+1),-$E808*N(P808)))</f>
        <v/>
      </c>
      <c r="AE808" s="34">
        <f>IF(OR($A808="",$H808&lt;&gt;"Ausgabe",Q808=""),0,IF(Q808="x",-$E808/(COUNTIF($J808:$Q808,"x")+1),-$E808*N(Q808)))</f>
        <v/>
      </c>
    </row>
    <row r="809">
      <c r="A809" s="30" t="n"/>
      <c r="E809" s="31" t="n"/>
      <c r="J809" s="32" t="n"/>
      <c r="K809" s="32" t="n"/>
      <c r="L809" s="32" t="n"/>
      <c r="M809" s="32" t="n"/>
      <c r="N809" s="32" t="n"/>
      <c r="O809" s="32" t="n"/>
      <c r="P809" s="32" t="n"/>
      <c r="Q809" s="32" t="n"/>
      <c r="U809" s="31">
        <f>IF($A809="","",SUM(X809:AE809))</f>
        <v/>
      </c>
      <c r="V809" s="31">
        <f>IF($A809="","",IF($H809&lt;&gt;"Ausgabe",0,-$E809-$U809))</f>
        <v/>
      </c>
      <c r="W809" s="33">
        <f>IF($A809="","",DATE(YEAR($A809),MONTH($A809),1))</f>
        <v/>
      </c>
      <c r="X809" s="34">
        <f>IF(OR($A809="",$H809&lt;&gt;"Ausgabe",J809=""),0,IF(J809="x",-$E809/(COUNTIF($J809:$Q809,"x")+1),-$E809*N(J809)))</f>
        <v/>
      </c>
      <c r="Y809" s="34">
        <f>IF(OR($A809="",$H809&lt;&gt;"Ausgabe",K809=""),0,IF(K809="x",-$E809/(COUNTIF($J809:$Q809,"x")+1),-$E809*N(K809)))</f>
        <v/>
      </c>
      <c r="Z809" s="34">
        <f>IF(OR($A809="",$H809&lt;&gt;"Ausgabe",L809=""),0,IF(L809="x",-$E809/(COUNTIF($J809:$Q809,"x")+1),-$E809*N(L809)))</f>
        <v/>
      </c>
      <c r="AA809" s="34">
        <f>IF(OR($A809="",$H809&lt;&gt;"Ausgabe",M809=""),0,IF(M809="x",-$E809/(COUNTIF($J809:$Q809,"x")+1),-$E809*N(M809)))</f>
        <v/>
      </c>
      <c r="AB809" s="34">
        <f>IF(OR($A809="",$H809&lt;&gt;"Ausgabe",N809=""),0,IF(N809="x",-$E809/(COUNTIF($J809:$Q809,"x")+1),-$E809*N(N809)))</f>
        <v/>
      </c>
      <c r="AC809" s="34">
        <f>IF(OR($A809="",$H809&lt;&gt;"Ausgabe",O809=""),0,IF(O809="x",-$E809/(COUNTIF($J809:$Q809,"x")+1),-$E809*N(O809)))</f>
        <v/>
      </c>
      <c r="AD809" s="34">
        <f>IF(OR($A809="",$H809&lt;&gt;"Ausgabe",P809=""),0,IF(P809="x",-$E809/(COUNTIF($J809:$Q809,"x")+1),-$E809*N(P809)))</f>
        <v/>
      </c>
      <c r="AE809" s="34">
        <f>IF(OR($A809="",$H809&lt;&gt;"Ausgabe",Q809=""),0,IF(Q809="x",-$E809/(COUNTIF($J809:$Q809,"x")+1),-$E809*N(Q809)))</f>
        <v/>
      </c>
    </row>
    <row r="810">
      <c r="A810" s="30" t="n"/>
      <c r="E810" s="31" t="n"/>
      <c r="J810" s="32" t="n"/>
      <c r="K810" s="32" t="n"/>
      <c r="L810" s="32" t="n"/>
      <c r="M810" s="32" t="n"/>
      <c r="N810" s="32" t="n"/>
      <c r="O810" s="32" t="n"/>
      <c r="P810" s="32" t="n"/>
      <c r="Q810" s="32" t="n"/>
      <c r="U810" s="31">
        <f>IF($A810="","",SUM(X810:AE810))</f>
        <v/>
      </c>
      <c r="V810" s="31">
        <f>IF($A810="","",IF($H810&lt;&gt;"Ausgabe",0,-$E810-$U810))</f>
        <v/>
      </c>
      <c r="W810" s="33">
        <f>IF($A810="","",DATE(YEAR($A810),MONTH($A810),1))</f>
        <v/>
      </c>
      <c r="X810" s="34">
        <f>IF(OR($A810="",$H810&lt;&gt;"Ausgabe",J810=""),0,IF(J810="x",-$E810/(COUNTIF($J810:$Q810,"x")+1),-$E810*N(J810)))</f>
        <v/>
      </c>
      <c r="Y810" s="34">
        <f>IF(OR($A810="",$H810&lt;&gt;"Ausgabe",K810=""),0,IF(K810="x",-$E810/(COUNTIF($J810:$Q810,"x")+1),-$E810*N(K810)))</f>
        <v/>
      </c>
      <c r="Z810" s="34">
        <f>IF(OR($A810="",$H810&lt;&gt;"Ausgabe",L810=""),0,IF(L810="x",-$E810/(COUNTIF($J810:$Q810,"x")+1),-$E810*N(L810)))</f>
        <v/>
      </c>
      <c r="AA810" s="34">
        <f>IF(OR($A810="",$H810&lt;&gt;"Ausgabe",M810=""),0,IF(M810="x",-$E810/(COUNTIF($J810:$Q810,"x")+1),-$E810*N(M810)))</f>
        <v/>
      </c>
      <c r="AB810" s="34">
        <f>IF(OR($A810="",$H810&lt;&gt;"Ausgabe",N810=""),0,IF(N810="x",-$E810/(COUNTIF($J810:$Q810,"x")+1),-$E810*N(N810)))</f>
        <v/>
      </c>
      <c r="AC810" s="34">
        <f>IF(OR($A810="",$H810&lt;&gt;"Ausgabe",O810=""),0,IF(O810="x",-$E810/(COUNTIF($J810:$Q810,"x")+1),-$E810*N(O810)))</f>
        <v/>
      </c>
      <c r="AD810" s="34">
        <f>IF(OR($A810="",$H810&lt;&gt;"Ausgabe",P810=""),0,IF(P810="x",-$E810/(COUNTIF($J810:$Q810,"x")+1),-$E810*N(P810)))</f>
        <v/>
      </c>
      <c r="AE810" s="34">
        <f>IF(OR($A810="",$H810&lt;&gt;"Ausgabe",Q810=""),0,IF(Q810="x",-$E810/(COUNTIF($J810:$Q810,"x")+1),-$E810*N(Q810)))</f>
        <v/>
      </c>
    </row>
    <row r="811">
      <c r="A811" s="30" t="n"/>
      <c r="E811" s="31" t="n"/>
      <c r="J811" s="32" t="n"/>
      <c r="K811" s="32" t="n"/>
      <c r="L811" s="32" t="n"/>
      <c r="M811" s="32" t="n"/>
      <c r="N811" s="32" t="n"/>
      <c r="O811" s="32" t="n"/>
      <c r="P811" s="32" t="n"/>
      <c r="Q811" s="32" t="n"/>
      <c r="U811" s="31">
        <f>IF($A811="","",SUM(X811:AE811))</f>
        <v/>
      </c>
      <c r="V811" s="31">
        <f>IF($A811="","",IF($H811&lt;&gt;"Ausgabe",0,-$E811-$U811))</f>
        <v/>
      </c>
      <c r="W811" s="33">
        <f>IF($A811="","",DATE(YEAR($A811),MONTH($A811),1))</f>
        <v/>
      </c>
      <c r="X811" s="34">
        <f>IF(OR($A811="",$H811&lt;&gt;"Ausgabe",J811=""),0,IF(J811="x",-$E811/(COUNTIF($J811:$Q811,"x")+1),-$E811*N(J811)))</f>
        <v/>
      </c>
      <c r="Y811" s="34">
        <f>IF(OR($A811="",$H811&lt;&gt;"Ausgabe",K811=""),0,IF(K811="x",-$E811/(COUNTIF($J811:$Q811,"x")+1),-$E811*N(K811)))</f>
        <v/>
      </c>
      <c r="Z811" s="34">
        <f>IF(OR($A811="",$H811&lt;&gt;"Ausgabe",L811=""),0,IF(L811="x",-$E811/(COUNTIF($J811:$Q811,"x")+1),-$E811*N(L811)))</f>
        <v/>
      </c>
      <c r="AA811" s="34">
        <f>IF(OR($A811="",$H811&lt;&gt;"Ausgabe",M811=""),0,IF(M811="x",-$E811/(COUNTIF($J811:$Q811,"x")+1),-$E811*N(M811)))</f>
        <v/>
      </c>
      <c r="AB811" s="34">
        <f>IF(OR($A811="",$H811&lt;&gt;"Ausgabe",N811=""),0,IF(N811="x",-$E811/(COUNTIF($J811:$Q811,"x")+1),-$E811*N(N811)))</f>
        <v/>
      </c>
      <c r="AC811" s="34">
        <f>IF(OR($A811="",$H811&lt;&gt;"Ausgabe",O811=""),0,IF(O811="x",-$E811/(COUNTIF($J811:$Q811,"x")+1),-$E811*N(O811)))</f>
        <v/>
      </c>
      <c r="AD811" s="34">
        <f>IF(OR($A811="",$H811&lt;&gt;"Ausgabe",P811=""),0,IF(P811="x",-$E811/(COUNTIF($J811:$Q811,"x")+1),-$E811*N(P811)))</f>
        <v/>
      </c>
      <c r="AE811" s="34">
        <f>IF(OR($A811="",$H811&lt;&gt;"Ausgabe",Q811=""),0,IF(Q811="x",-$E811/(COUNTIF($J811:$Q811,"x")+1),-$E811*N(Q811)))</f>
        <v/>
      </c>
    </row>
    <row r="812">
      <c r="A812" s="30" t="n"/>
      <c r="E812" s="31" t="n"/>
      <c r="J812" s="32" t="n"/>
      <c r="K812" s="32" t="n"/>
      <c r="L812" s="32" t="n"/>
      <c r="M812" s="32" t="n"/>
      <c r="N812" s="32" t="n"/>
      <c r="O812" s="32" t="n"/>
      <c r="P812" s="32" t="n"/>
      <c r="Q812" s="32" t="n"/>
      <c r="U812" s="31">
        <f>IF($A812="","",SUM(X812:AE812))</f>
        <v/>
      </c>
      <c r="V812" s="31">
        <f>IF($A812="","",IF($H812&lt;&gt;"Ausgabe",0,-$E812-$U812))</f>
        <v/>
      </c>
      <c r="W812" s="33">
        <f>IF($A812="","",DATE(YEAR($A812),MONTH($A812),1))</f>
        <v/>
      </c>
      <c r="X812" s="34">
        <f>IF(OR($A812="",$H812&lt;&gt;"Ausgabe",J812=""),0,IF(J812="x",-$E812/(COUNTIF($J812:$Q812,"x")+1),-$E812*N(J812)))</f>
        <v/>
      </c>
      <c r="Y812" s="34">
        <f>IF(OR($A812="",$H812&lt;&gt;"Ausgabe",K812=""),0,IF(K812="x",-$E812/(COUNTIF($J812:$Q812,"x")+1),-$E812*N(K812)))</f>
        <v/>
      </c>
      <c r="Z812" s="34">
        <f>IF(OR($A812="",$H812&lt;&gt;"Ausgabe",L812=""),0,IF(L812="x",-$E812/(COUNTIF($J812:$Q812,"x")+1),-$E812*N(L812)))</f>
        <v/>
      </c>
      <c r="AA812" s="34">
        <f>IF(OR($A812="",$H812&lt;&gt;"Ausgabe",M812=""),0,IF(M812="x",-$E812/(COUNTIF($J812:$Q812,"x")+1),-$E812*N(M812)))</f>
        <v/>
      </c>
      <c r="AB812" s="34">
        <f>IF(OR($A812="",$H812&lt;&gt;"Ausgabe",N812=""),0,IF(N812="x",-$E812/(COUNTIF($J812:$Q812,"x")+1),-$E812*N(N812)))</f>
        <v/>
      </c>
      <c r="AC812" s="34">
        <f>IF(OR($A812="",$H812&lt;&gt;"Ausgabe",O812=""),0,IF(O812="x",-$E812/(COUNTIF($J812:$Q812,"x")+1),-$E812*N(O812)))</f>
        <v/>
      </c>
      <c r="AD812" s="34">
        <f>IF(OR($A812="",$H812&lt;&gt;"Ausgabe",P812=""),0,IF(P812="x",-$E812/(COUNTIF($J812:$Q812,"x")+1),-$E812*N(P812)))</f>
        <v/>
      </c>
      <c r="AE812" s="34">
        <f>IF(OR($A812="",$H812&lt;&gt;"Ausgabe",Q812=""),0,IF(Q812="x",-$E812/(COUNTIF($J812:$Q812,"x")+1),-$E812*N(Q812)))</f>
        <v/>
      </c>
    </row>
    <row r="813">
      <c r="A813" s="30" t="n"/>
      <c r="E813" s="31" t="n"/>
      <c r="J813" s="32" t="n"/>
      <c r="K813" s="32" t="n"/>
      <c r="L813" s="32" t="n"/>
      <c r="M813" s="32" t="n"/>
      <c r="N813" s="32" t="n"/>
      <c r="O813" s="32" t="n"/>
      <c r="P813" s="32" t="n"/>
      <c r="Q813" s="32" t="n"/>
      <c r="U813" s="31">
        <f>IF($A813="","",SUM(X813:AE813))</f>
        <v/>
      </c>
      <c r="V813" s="31">
        <f>IF($A813="","",IF($H813&lt;&gt;"Ausgabe",0,-$E813-$U813))</f>
        <v/>
      </c>
      <c r="W813" s="33">
        <f>IF($A813="","",DATE(YEAR($A813),MONTH($A813),1))</f>
        <v/>
      </c>
      <c r="X813" s="34">
        <f>IF(OR($A813="",$H813&lt;&gt;"Ausgabe",J813=""),0,IF(J813="x",-$E813/(COUNTIF($J813:$Q813,"x")+1),-$E813*N(J813)))</f>
        <v/>
      </c>
      <c r="Y813" s="34">
        <f>IF(OR($A813="",$H813&lt;&gt;"Ausgabe",K813=""),0,IF(K813="x",-$E813/(COUNTIF($J813:$Q813,"x")+1),-$E813*N(K813)))</f>
        <v/>
      </c>
      <c r="Z813" s="34">
        <f>IF(OR($A813="",$H813&lt;&gt;"Ausgabe",L813=""),0,IF(L813="x",-$E813/(COUNTIF($J813:$Q813,"x")+1),-$E813*N(L813)))</f>
        <v/>
      </c>
      <c r="AA813" s="34">
        <f>IF(OR($A813="",$H813&lt;&gt;"Ausgabe",M813=""),0,IF(M813="x",-$E813/(COUNTIF($J813:$Q813,"x")+1),-$E813*N(M813)))</f>
        <v/>
      </c>
      <c r="AB813" s="34">
        <f>IF(OR($A813="",$H813&lt;&gt;"Ausgabe",N813=""),0,IF(N813="x",-$E813/(COUNTIF($J813:$Q813,"x")+1),-$E813*N(N813)))</f>
        <v/>
      </c>
      <c r="AC813" s="34">
        <f>IF(OR($A813="",$H813&lt;&gt;"Ausgabe",O813=""),0,IF(O813="x",-$E813/(COUNTIF($J813:$Q813,"x")+1),-$E813*N(O813)))</f>
        <v/>
      </c>
      <c r="AD813" s="34">
        <f>IF(OR($A813="",$H813&lt;&gt;"Ausgabe",P813=""),0,IF(P813="x",-$E813/(COUNTIF($J813:$Q813,"x")+1),-$E813*N(P813)))</f>
        <v/>
      </c>
      <c r="AE813" s="34">
        <f>IF(OR($A813="",$H813&lt;&gt;"Ausgabe",Q813=""),0,IF(Q813="x",-$E813/(COUNTIF($J813:$Q813,"x")+1),-$E813*N(Q813)))</f>
        <v/>
      </c>
    </row>
    <row r="814">
      <c r="A814" s="30" t="n"/>
      <c r="E814" s="31" t="n"/>
      <c r="J814" s="32" t="n"/>
      <c r="K814" s="32" t="n"/>
      <c r="L814" s="32" t="n"/>
      <c r="M814" s="32" t="n"/>
      <c r="N814" s="32" t="n"/>
      <c r="O814" s="32" t="n"/>
      <c r="P814" s="32" t="n"/>
      <c r="Q814" s="32" t="n"/>
      <c r="U814" s="31">
        <f>IF($A814="","",SUM(X814:AE814))</f>
        <v/>
      </c>
      <c r="V814" s="31">
        <f>IF($A814="","",IF($H814&lt;&gt;"Ausgabe",0,-$E814-$U814))</f>
        <v/>
      </c>
      <c r="W814" s="33">
        <f>IF($A814="","",DATE(YEAR($A814),MONTH($A814),1))</f>
        <v/>
      </c>
      <c r="X814" s="34">
        <f>IF(OR($A814="",$H814&lt;&gt;"Ausgabe",J814=""),0,IF(J814="x",-$E814/(COUNTIF($J814:$Q814,"x")+1),-$E814*N(J814)))</f>
        <v/>
      </c>
      <c r="Y814" s="34">
        <f>IF(OR($A814="",$H814&lt;&gt;"Ausgabe",K814=""),0,IF(K814="x",-$E814/(COUNTIF($J814:$Q814,"x")+1),-$E814*N(K814)))</f>
        <v/>
      </c>
      <c r="Z814" s="34">
        <f>IF(OR($A814="",$H814&lt;&gt;"Ausgabe",L814=""),0,IF(L814="x",-$E814/(COUNTIF($J814:$Q814,"x")+1),-$E814*N(L814)))</f>
        <v/>
      </c>
      <c r="AA814" s="34">
        <f>IF(OR($A814="",$H814&lt;&gt;"Ausgabe",M814=""),0,IF(M814="x",-$E814/(COUNTIF($J814:$Q814,"x")+1),-$E814*N(M814)))</f>
        <v/>
      </c>
      <c r="AB814" s="34">
        <f>IF(OR($A814="",$H814&lt;&gt;"Ausgabe",N814=""),0,IF(N814="x",-$E814/(COUNTIF($J814:$Q814,"x")+1),-$E814*N(N814)))</f>
        <v/>
      </c>
      <c r="AC814" s="34">
        <f>IF(OR($A814="",$H814&lt;&gt;"Ausgabe",O814=""),0,IF(O814="x",-$E814/(COUNTIF($J814:$Q814,"x")+1),-$E814*N(O814)))</f>
        <v/>
      </c>
      <c r="AD814" s="34">
        <f>IF(OR($A814="",$H814&lt;&gt;"Ausgabe",P814=""),0,IF(P814="x",-$E814/(COUNTIF($J814:$Q814,"x")+1),-$E814*N(P814)))</f>
        <v/>
      </c>
      <c r="AE814" s="34">
        <f>IF(OR($A814="",$H814&lt;&gt;"Ausgabe",Q814=""),0,IF(Q814="x",-$E814/(COUNTIF($J814:$Q814,"x")+1),-$E814*N(Q814)))</f>
        <v/>
      </c>
    </row>
    <row r="815">
      <c r="A815" s="30" t="n"/>
      <c r="E815" s="31" t="n"/>
      <c r="J815" s="32" t="n"/>
      <c r="K815" s="32" t="n"/>
      <c r="L815" s="32" t="n"/>
      <c r="M815" s="32" t="n"/>
      <c r="N815" s="32" t="n"/>
      <c r="O815" s="32" t="n"/>
      <c r="P815" s="32" t="n"/>
      <c r="Q815" s="32" t="n"/>
      <c r="U815" s="31">
        <f>IF($A815="","",SUM(X815:AE815))</f>
        <v/>
      </c>
      <c r="V815" s="31">
        <f>IF($A815="","",IF($H815&lt;&gt;"Ausgabe",0,-$E815-$U815))</f>
        <v/>
      </c>
      <c r="W815" s="33">
        <f>IF($A815="","",DATE(YEAR($A815),MONTH($A815),1))</f>
        <v/>
      </c>
      <c r="X815" s="34">
        <f>IF(OR($A815="",$H815&lt;&gt;"Ausgabe",J815=""),0,IF(J815="x",-$E815/(COUNTIF($J815:$Q815,"x")+1),-$E815*N(J815)))</f>
        <v/>
      </c>
      <c r="Y815" s="34">
        <f>IF(OR($A815="",$H815&lt;&gt;"Ausgabe",K815=""),0,IF(K815="x",-$E815/(COUNTIF($J815:$Q815,"x")+1),-$E815*N(K815)))</f>
        <v/>
      </c>
      <c r="Z815" s="34">
        <f>IF(OR($A815="",$H815&lt;&gt;"Ausgabe",L815=""),0,IF(L815="x",-$E815/(COUNTIF($J815:$Q815,"x")+1),-$E815*N(L815)))</f>
        <v/>
      </c>
      <c r="AA815" s="34">
        <f>IF(OR($A815="",$H815&lt;&gt;"Ausgabe",M815=""),0,IF(M815="x",-$E815/(COUNTIF($J815:$Q815,"x")+1),-$E815*N(M815)))</f>
        <v/>
      </c>
      <c r="AB815" s="34">
        <f>IF(OR($A815="",$H815&lt;&gt;"Ausgabe",N815=""),0,IF(N815="x",-$E815/(COUNTIF($J815:$Q815,"x")+1),-$E815*N(N815)))</f>
        <v/>
      </c>
      <c r="AC815" s="34">
        <f>IF(OR($A815="",$H815&lt;&gt;"Ausgabe",O815=""),0,IF(O815="x",-$E815/(COUNTIF($J815:$Q815,"x")+1),-$E815*N(O815)))</f>
        <v/>
      </c>
      <c r="AD815" s="34">
        <f>IF(OR($A815="",$H815&lt;&gt;"Ausgabe",P815=""),0,IF(P815="x",-$E815/(COUNTIF($J815:$Q815,"x")+1),-$E815*N(P815)))</f>
        <v/>
      </c>
      <c r="AE815" s="34">
        <f>IF(OR($A815="",$H815&lt;&gt;"Ausgabe",Q815=""),0,IF(Q815="x",-$E815/(COUNTIF($J815:$Q815,"x")+1),-$E815*N(Q815)))</f>
        <v/>
      </c>
    </row>
    <row r="816">
      <c r="A816" s="30" t="n"/>
      <c r="E816" s="31" t="n"/>
      <c r="J816" s="32" t="n"/>
      <c r="K816" s="32" t="n"/>
      <c r="L816" s="32" t="n"/>
      <c r="M816" s="32" t="n"/>
      <c r="N816" s="32" t="n"/>
      <c r="O816" s="32" t="n"/>
      <c r="P816" s="32" t="n"/>
      <c r="Q816" s="32" t="n"/>
      <c r="U816" s="31">
        <f>IF($A816="","",SUM(X816:AE816))</f>
        <v/>
      </c>
      <c r="V816" s="31">
        <f>IF($A816="","",IF($H816&lt;&gt;"Ausgabe",0,-$E816-$U816))</f>
        <v/>
      </c>
      <c r="W816" s="33">
        <f>IF($A816="","",DATE(YEAR($A816),MONTH($A816),1))</f>
        <v/>
      </c>
      <c r="X816" s="34">
        <f>IF(OR($A816="",$H816&lt;&gt;"Ausgabe",J816=""),0,IF(J816="x",-$E816/(COUNTIF($J816:$Q816,"x")+1),-$E816*N(J816)))</f>
        <v/>
      </c>
      <c r="Y816" s="34">
        <f>IF(OR($A816="",$H816&lt;&gt;"Ausgabe",K816=""),0,IF(K816="x",-$E816/(COUNTIF($J816:$Q816,"x")+1),-$E816*N(K816)))</f>
        <v/>
      </c>
      <c r="Z816" s="34">
        <f>IF(OR($A816="",$H816&lt;&gt;"Ausgabe",L816=""),0,IF(L816="x",-$E816/(COUNTIF($J816:$Q816,"x")+1),-$E816*N(L816)))</f>
        <v/>
      </c>
      <c r="AA816" s="34">
        <f>IF(OR($A816="",$H816&lt;&gt;"Ausgabe",M816=""),0,IF(M816="x",-$E816/(COUNTIF($J816:$Q816,"x")+1),-$E816*N(M816)))</f>
        <v/>
      </c>
      <c r="AB816" s="34">
        <f>IF(OR($A816="",$H816&lt;&gt;"Ausgabe",N816=""),0,IF(N816="x",-$E816/(COUNTIF($J816:$Q816,"x")+1),-$E816*N(N816)))</f>
        <v/>
      </c>
      <c r="AC816" s="34">
        <f>IF(OR($A816="",$H816&lt;&gt;"Ausgabe",O816=""),0,IF(O816="x",-$E816/(COUNTIF($J816:$Q816,"x")+1),-$E816*N(O816)))</f>
        <v/>
      </c>
      <c r="AD816" s="34">
        <f>IF(OR($A816="",$H816&lt;&gt;"Ausgabe",P816=""),0,IF(P816="x",-$E816/(COUNTIF($J816:$Q816,"x")+1),-$E816*N(P816)))</f>
        <v/>
      </c>
      <c r="AE816" s="34">
        <f>IF(OR($A816="",$H816&lt;&gt;"Ausgabe",Q816=""),0,IF(Q816="x",-$E816/(COUNTIF($J816:$Q816,"x")+1),-$E816*N(Q816)))</f>
        <v/>
      </c>
    </row>
    <row r="817">
      <c r="A817" s="30" t="n"/>
      <c r="E817" s="31" t="n"/>
      <c r="J817" s="32" t="n"/>
      <c r="K817" s="32" t="n"/>
      <c r="L817" s="32" t="n"/>
      <c r="M817" s="32" t="n"/>
      <c r="N817" s="32" t="n"/>
      <c r="O817" s="32" t="n"/>
      <c r="P817" s="32" t="n"/>
      <c r="Q817" s="32" t="n"/>
      <c r="U817" s="31">
        <f>IF($A817="","",SUM(X817:AE817))</f>
        <v/>
      </c>
      <c r="V817" s="31">
        <f>IF($A817="","",IF($H817&lt;&gt;"Ausgabe",0,-$E817-$U817))</f>
        <v/>
      </c>
      <c r="W817" s="33">
        <f>IF($A817="","",DATE(YEAR($A817),MONTH($A817),1))</f>
        <v/>
      </c>
      <c r="X817" s="34">
        <f>IF(OR($A817="",$H817&lt;&gt;"Ausgabe",J817=""),0,IF(J817="x",-$E817/(COUNTIF($J817:$Q817,"x")+1),-$E817*N(J817)))</f>
        <v/>
      </c>
      <c r="Y817" s="34">
        <f>IF(OR($A817="",$H817&lt;&gt;"Ausgabe",K817=""),0,IF(K817="x",-$E817/(COUNTIF($J817:$Q817,"x")+1),-$E817*N(K817)))</f>
        <v/>
      </c>
      <c r="Z817" s="34">
        <f>IF(OR($A817="",$H817&lt;&gt;"Ausgabe",L817=""),0,IF(L817="x",-$E817/(COUNTIF($J817:$Q817,"x")+1),-$E817*N(L817)))</f>
        <v/>
      </c>
      <c r="AA817" s="34">
        <f>IF(OR($A817="",$H817&lt;&gt;"Ausgabe",M817=""),0,IF(M817="x",-$E817/(COUNTIF($J817:$Q817,"x")+1),-$E817*N(M817)))</f>
        <v/>
      </c>
      <c r="AB817" s="34">
        <f>IF(OR($A817="",$H817&lt;&gt;"Ausgabe",N817=""),0,IF(N817="x",-$E817/(COUNTIF($J817:$Q817,"x")+1),-$E817*N(N817)))</f>
        <v/>
      </c>
      <c r="AC817" s="34">
        <f>IF(OR($A817="",$H817&lt;&gt;"Ausgabe",O817=""),0,IF(O817="x",-$E817/(COUNTIF($J817:$Q817,"x")+1),-$E817*N(O817)))</f>
        <v/>
      </c>
      <c r="AD817" s="34">
        <f>IF(OR($A817="",$H817&lt;&gt;"Ausgabe",P817=""),0,IF(P817="x",-$E817/(COUNTIF($J817:$Q817,"x")+1),-$E817*N(P817)))</f>
        <v/>
      </c>
      <c r="AE817" s="34">
        <f>IF(OR($A817="",$H817&lt;&gt;"Ausgabe",Q817=""),0,IF(Q817="x",-$E817/(COUNTIF($J817:$Q817,"x")+1),-$E817*N(Q817)))</f>
        <v/>
      </c>
    </row>
    <row r="818">
      <c r="A818" s="30" t="n"/>
      <c r="E818" s="31" t="n"/>
      <c r="J818" s="32" t="n"/>
      <c r="K818" s="32" t="n"/>
      <c r="L818" s="32" t="n"/>
      <c r="M818" s="32" t="n"/>
      <c r="N818" s="32" t="n"/>
      <c r="O818" s="32" t="n"/>
      <c r="P818" s="32" t="n"/>
      <c r="Q818" s="32" t="n"/>
      <c r="U818" s="31">
        <f>IF($A818="","",SUM(X818:AE818))</f>
        <v/>
      </c>
      <c r="V818" s="31">
        <f>IF($A818="","",IF($H818&lt;&gt;"Ausgabe",0,-$E818-$U818))</f>
        <v/>
      </c>
      <c r="W818" s="33">
        <f>IF($A818="","",DATE(YEAR($A818),MONTH($A818),1))</f>
        <v/>
      </c>
      <c r="X818" s="34">
        <f>IF(OR($A818="",$H818&lt;&gt;"Ausgabe",J818=""),0,IF(J818="x",-$E818/(COUNTIF($J818:$Q818,"x")+1),-$E818*N(J818)))</f>
        <v/>
      </c>
      <c r="Y818" s="34">
        <f>IF(OR($A818="",$H818&lt;&gt;"Ausgabe",K818=""),0,IF(K818="x",-$E818/(COUNTIF($J818:$Q818,"x")+1),-$E818*N(K818)))</f>
        <v/>
      </c>
      <c r="Z818" s="34">
        <f>IF(OR($A818="",$H818&lt;&gt;"Ausgabe",L818=""),0,IF(L818="x",-$E818/(COUNTIF($J818:$Q818,"x")+1),-$E818*N(L818)))</f>
        <v/>
      </c>
      <c r="AA818" s="34">
        <f>IF(OR($A818="",$H818&lt;&gt;"Ausgabe",M818=""),0,IF(M818="x",-$E818/(COUNTIF($J818:$Q818,"x")+1),-$E818*N(M818)))</f>
        <v/>
      </c>
      <c r="AB818" s="34">
        <f>IF(OR($A818="",$H818&lt;&gt;"Ausgabe",N818=""),0,IF(N818="x",-$E818/(COUNTIF($J818:$Q818,"x")+1),-$E818*N(N818)))</f>
        <v/>
      </c>
      <c r="AC818" s="34">
        <f>IF(OR($A818="",$H818&lt;&gt;"Ausgabe",O818=""),0,IF(O818="x",-$E818/(COUNTIF($J818:$Q818,"x")+1),-$E818*N(O818)))</f>
        <v/>
      </c>
      <c r="AD818" s="34">
        <f>IF(OR($A818="",$H818&lt;&gt;"Ausgabe",P818=""),0,IF(P818="x",-$E818/(COUNTIF($J818:$Q818,"x")+1),-$E818*N(P818)))</f>
        <v/>
      </c>
      <c r="AE818" s="34">
        <f>IF(OR($A818="",$H818&lt;&gt;"Ausgabe",Q818=""),0,IF(Q818="x",-$E818/(COUNTIF($J818:$Q818,"x")+1),-$E818*N(Q818)))</f>
        <v/>
      </c>
    </row>
    <row r="819">
      <c r="A819" s="30" t="n"/>
      <c r="E819" s="31" t="n"/>
      <c r="J819" s="32" t="n"/>
      <c r="K819" s="32" t="n"/>
      <c r="L819" s="32" t="n"/>
      <c r="M819" s="32" t="n"/>
      <c r="N819" s="32" t="n"/>
      <c r="O819" s="32" t="n"/>
      <c r="P819" s="32" t="n"/>
      <c r="Q819" s="32" t="n"/>
      <c r="U819" s="31">
        <f>IF($A819="","",SUM(X819:AE819))</f>
        <v/>
      </c>
      <c r="V819" s="31">
        <f>IF($A819="","",IF($H819&lt;&gt;"Ausgabe",0,-$E819-$U819))</f>
        <v/>
      </c>
      <c r="W819" s="33">
        <f>IF($A819="","",DATE(YEAR($A819),MONTH($A819),1))</f>
        <v/>
      </c>
      <c r="X819" s="34">
        <f>IF(OR($A819="",$H819&lt;&gt;"Ausgabe",J819=""),0,IF(J819="x",-$E819/(COUNTIF($J819:$Q819,"x")+1),-$E819*N(J819)))</f>
        <v/>
      </c>
      <c r="Y819" s="34">
        <f>IF(OR($A819="",$H819&lt;&gt;"Ausgabe",K819=""),0,IF(K819="x",-$E819/(COUNTIF($J819:$Q819,"x")+1),-$E819*N(K819)))</f>
        <v/>
      </c>
      <c r="Z819" s="34">
        <f>IF(OR($A819="",$H819&lt;&gt;"Ausgabe",L819=""),0,IF(L819="x",-$E819/(COUNTIF($J819:$Q819,"x")+1),-$E819*N(L819)))</f>
        <v/>
      </c>
      <c r="AA819" s="34">
        <f>IF(OR($A819="",$H819&lt;&gt;"Ausgabe",M819=""),0,IF(M819="x",-$E819/(COUNTIF($J819:$Q819,"x")+1),-$E819*N(M819)))</f>
        <v/>
      </c>
      <c r="AB819" s="34">
        <f>IF(OR($A819="",$H819&lt;&gt;"Ausgabe",N819=""),0,IF(N819="x",-$E819/(COUNTIF($J819:$Q819,"x")+1),-$E819*N(N819)))</f>
        <v/>
      </c>
      <c r="AC819" s="34">
        <f>IF(OR($A819="",$H819&lt;&gt;"Ausgabe",O819=""),0,IF(O819="x",-$E819/(COUNTIF($J819:$Q819,"x")+1),-$E819*N(O819)))</f>
        <v/>
      </c>
      <c r="AD819" s="34">
        <f>IF(OR($A819="",$H819&lt;&gt;"Ausgabe",P819=""),0,IF(P819="x",-$E819/(COUNTIF($J819:$Q819,"x")+1),-$E819*N(P819)))</f>
        <v/>
      </c>
      <c r="AE819" s="34">
        <f>IF(OR($A819="",$H819&lt;&gt;"Ausgabe",Q819=""),0,IF(Q819="x",-$E819/(COUNTIF($J819:$Q819,"x")+1),-$E819*N(Q819)))</f>
        <v/>
      </c>
    </row>
    <row r="820">
      <c r="A820" s="30" t="n"/>
      <c r="E820" s="31" t="n"/>
      <c r="J820" s="32" t="n"/>
      <c r="K820" s="32" t="n"/>
      <c r="L820" s="32" t="n"/>
      <c r="M820" s="32" t="n"/>
      <c r="N820" s="32" t="n"/>
      <c r="O820" s="32" t="n"/>
      <c r="P820" s="32" t="n"/>
      <c r="Q820" s="32" t="n"/>
      <c r="U820" s="31">
        <f>IF($A820="","",SUM(X820:AE820))</f>
        <v/>
      </c>
      <c r="V820" s="31">
        <f>IF($A820="","",IF($H820&lt;&gt;"Ausgabe",0,-$E820-$U820))</f>
        <v/>
      </c>
      <c r="W820" s="33">
        <f>IF($A820="","",DATE(YEAR($A820),MONTH($A820),1))</f>
        <v/>
      </c>
      <c r="X820" s="34">
        <f>IF(OR($A820="",$H820&lt;&gt;"Ausgabe",J820=""),0,IF(J820="x",-$E820/(COUNTIF($J820:$Q820,"x")+1),-$E820*N(J820)))</f>
        <v/>
      </c>
      <c r="Y820" s="34">
        <f>IF(OR($A820="",$H820&lt;&gt;"Ausgabe",K820=""),0,IF(K820="x",-$E820/(COUNTIF($J820:$Q820,"x")+1),-$E820*N(K820)))</f>
        <v/>
      </c>
      <c r="Z820" s="34">
        <f>IF(OR($A820="",$H820&lt;&gt;"Ausgabe",L820=""),0,IF(L820="x",-$E820/(COUNTIF($J820:$Q820,"x")+1),-$E820*N(L820)))</f>
        <v/>
      </c>
      <c r="AA820" s="34">
        <f>IF(OR($A820="",$H820&lt;&gt;"Ausgabe",M820=""),0,IF(M820="x",-$E820/(COUNTIF($J820:$Q820,"x")+1),-$E820*N(M820)))</f>
        <v/>
      </c>
      <c r="AB820" s="34">
        <f>IF(OR($A820="",$H820&lt;&gt;"Ausgabe",N820=""),0,IF(N820="x",-$E820/(COUNTIF($J820:$Q820,"x")+1),-$E820*N(N820)))</f>
        <v/>
      </c>
      <c r="AC820" s="34">
        <f>IF(OR($A820="",$H820&lt;&gt;"Ausgabe",O820=""),0,IF(O820="x",-$E820/(COUNTIF($J820:$Q820,"x")+1),-$E820*N(O820)))</f>
        <v/>
      </c>
      <c r="AD820" s="34">
        <f>IF(OR($A820="",$H820&lt;&gt;"Ausgabe",P820=""),0,IF(P820="x",-$E820/(COUNTIF($J820:$Q820,"x")+1),-$E820*N(P820)))</f>
        <v/>
      </c>
      <c r="AE820" s="34">
        <f>IF(OR($A820="",$H820&lt;&gt;"Ausgabe",Q820=""),0,IF(Q820="x",-$E820/(COUNTIF($J820:$Q820,"x")+1),-$E820*N(Q820)))</f>
        <v/>
      </c>
    </row>
    <row r="821">
      <c r="A821" s="30" t="n"/>
      <c r="E821" s="31" t="n"/>
      <c r="J821" s="32" t="n"/>
      <c r="K821" s="32" t="n"/>
      <c r="L821" s="32" t="n"/>
      <c r="M821" s="32" t="n"/>
      <c r="N821" s="32" t="n"/>
      <c r="O821" s="32" t="n"/>
      <c r="P821" s="32" t="n"/>
      <c r="Q821" s="32" t="n"/>
      <c r="U821" s="31">
        <f>IF($A821="","",SUM(X821:AE821))</f>
        <v/>
      </c>
      <c r="V821" s="31">
        <f>IF($A821="","",IF($H821&lt;&gt;"Ausgabe",0,-$E821-$U821))</f>
        <v/>
      </c>
      <c r="W821" s="33">
        <f>IF($A821="","",DATE(YEAR($A821),MONTH($A821),1))</f>
        <v/>
      </c>
      <c r="X821" s="34">
        <f>IF(OR($A821="",$H821&lt;&gt;"Ausgabe",J821=""),0,IF(J821="x",-$E821/(COUNTIF($J821:$Q821,"x")+1),-$E821*N(J821)))</f>
        <v/>
      </c>
      <c r="Y821" s="34">
        <f>IF(OR($A821="",$H821&lt;&gt;"Ausgabe",K821=""),0,IF(K821="x",-$E821/(COUNTIF($J821:$Q821,"x")+1),-$E821*N(K821)))</f>
        <v/>
      </c>
      <c r="Z821" s="34">
        <f>IF(OR($A821="",$H821&lt;&gt;"Ausgabe",L821=""),0,IF(L821="x",-$E821/(COUNTIF($J821:$Q821,"x")+1),-$E821*N(L821)))</f>
        <v/>
      </c>
      <c r="AA821" s="34">
        <f>IF(OR($A821="",$H821&lt;&gt;"Ausgabe",M821=""),0,IF(M821="x",-$E821/(COUNTIF($J821:$Q821,"x")+1),-$E821*N(M821)))</f>
        <v/>
      </c>
      <c r="AB821" s="34">
        <f>IF(OR($A821="",$H821&lt;&gt;"Ausgabe",N821=""),0,IF(N821="x",-$E821/(COUNTIF($J821:$Q821,"x")+1),-$E821*N(N821)))</f>
        <v/>
      </c>
      <c r="AC821" s="34">
        <f>IF(OR($A821="",$H821&lt;&gt;"Ausgabe",O821=""),0,IF(O821="x",-$E821/(COUNTIF($J821:$Q821,"x")+1),-$E821*N(O821)))</f>
        <v/>
      </c>
      <c r="AD821" s="34">
        <f>IF(OR($A821="",$H821&lt;&gt;"Ausgabe",P821=""),0,IF(P821="x",-$E821/(COUNTIF($J821:$Q821,"x")+1),-$E821*N(P821)))</f>
        <v/>
      </c>
      <c r="AE821" s="34">
        <f>IF(OR($A821="",$H821&lt;&gt;"Ausgabe",Q821=""),0,IF(Q821="x",-$E821/(COUNTIF($J821:$Q821,"x")+1),-$E821*N(Q821)))</f>
        <v/>
      </c>
    </row>
    <row r="822">
      <c r="A822" s="30" t="n"/>
      <c r="E822" s="31" t="n"/>
      <c r="J822" s="32" t="n"/>
      <c r="K822" s="32" t="n"/>
      <c r="L822" s="32" t="n"/>
      <c r="M822" s="32" t="n"/>
      <c r="N822" s="32" t="n"/>
      <c r="O822" s="32" t="n"/>
      <c r="P822" s="32" t="n"/>
      <c r="Q822" s="32" t="n"/>
      <c r="U822" s="31">
        <f>IF($A822="","",SUM(X822:AE822))</f>
        <v/>
      </c>
      <c r="V822" s="31">
        <f>IF($A822="","",IF($H822&lt;&gt;"Ausgabe",0,-$E822-$U822))</f>
        <v/>
      </c>
      <c r="W822" s="33">
        <f>IF($A822="","",DATE(YEAR($A822),MONTH($A822),1))</f>
        <v/>
      </c>
      <c r="X822" s="34">
        <f>IF(OR($A822="",$H822&lt;&gt;"Ausgabe",J822=""),0,IF(J822="x",-$E822/(COUNTIF($J822:$Q822,"x")+1),-$E822*N(J822)))</f>
        <v/>
      </c>
      <c r="Y822" s="34">
        <f>IF(OR($A822="",$H822&lt;&gt;"Ausgabe",K822=""),0,IF(K822="x",-$E822/(COUNTIF($J822:$Q822,"x")+1),-$E822*N(K822)))</f>
        <v/>
      </c>
      <c r="Z822" s="34">
        <f>IF(OR($A822="",$H822&lt;&gt;"Ausgabe",L822=""),0,IF(L822="x",-$E822/(COUNTIF($J822:$Q822,"x")+1),-$E822*N(L822)))</f>
        <v/>
      </c>
      <c r="AA822" s="34">
        <f>IF(OR($A822="",$H822&lt;&gt;"Ausgabe",M822=""),0,IF(M822="x",-$E822/(COUNTIF($J822:$Q822,"x")+1),-$E822*N(M822)))</f>
        <v/>
      </c>
      <c r="AB822" s="34">
        <f>IF(OR($A822="",$H822&lt;&gt;"Ausgabe",N822=""),0,IF(N822="x",-$E822/(COUNTIF($J822:$Q822,"x")+1),-$E822*N(N822)))</f>
        <v/>
      </c>
      <c r="AC822" s="34">
        <f>IF(OR($A822="",$H822&lt;&gt;"Ausgabe",O822=""),0,IF(O822="x",-$E822/(COUNTIF($J822:$Q822,"x")+1),-$E822*N(O822)))</f>
        <v/>
      </c>
      <c r="AD822" s="34">
        <f>IF(OR($A822="",$H822&lt;&gt;"Ausgabe",P822=""),0,IF(P822="x",-$E822/(COUNTIF($J822:$Q822,"x")+1),-$E822*N(P822)))</f>
        <v/>
      </c>
      <c r="AE822" s="34">
        <f>IF(OR($A822="",$H822&lt;&gt;"Ausgabe",Q822=""),0,IF(Q822="x",-$E822/(COUNTIF($J822:$Q822,"x")+1),-$E822*N(Q822)))</f>
        <v/>
      </c>
    </row>
    <row r="823">
      <c r="A823" s="30" t="n"/>
      <c r="E823" s="31" t="n"/>
      <c r="J823" s="32" t="n"/>
      <c r="K823" s="32" t="n"/>
      <c r="L823" s="32" t="n"/>
      <c r="M823" s="32" t="n"/>
      <c r="N823" s="32" t="n"/>
      <c r="O823" s="32" t="n"/>
      <c r="P823" s="32" t="n"/>
      <c r="Q823" s="32" t="n"/>
      <c r="U823" s="31">
        <f>IF($A823="","",SUM(X823:AE823))</f>
        <v/>
      </c>
      <c r="V823" s="31">
        <f>IF($A823="","",IF($H823&lt;&gt;"Ausgabe",0,-$E823-$U823))</f>
        <v/>
      </c>
      <c r="W823" s="33">
        <f>IF($A823="","",DATE(YEAR($A823),MONTH($A823),1))</f>
        <v/>
      </c>
      <c r="X823" s="34">
        <f>IF(OR($A823="",$H823&lt;&gt;"Ausgabe",J823=""),0,IF(J823="x",-$E823/(COUNTIF($J823:$Q823,"x")+1),-$E823*N(J823)))</f>
        <v/>
      </c>
      <c r="Y823" s="34">
        <f>IF(OR($A823="",$H823&lt;&gt;"Ausgabe",K823=""),0,IF(K823="x",-$E823/(COUNTIF($J823:$Q823,"x")+1),-$E823*N(K823)))</f>
        <v/>
      </c>
      <c r="Z823" s="34">
        <f>IF(OR($A823="",$H823&lt;&gt;"Ausgabe",L823=""),0,IF(L823="x",-$E823/(COUNTIF($J823:$Q823,"x")+1),-$E823*N(L823)))</f>
        <v/>
      </c>
      <c r="AA823" s="34">
        <f>IF(OR($A823="",$H823&lt;&gt;"Ausgabe",M823=""),0,IF(M823="x",-$E823/(COUNTIF($J823:$Q823,"x")+1),-$E823*N(M823)))</f>
        <v/>
      </c>
      <c r="AB823" s="34">
        <f>IF(OR($A823="",$H823&lt;&gt;"Ausgabe",N823=""),0,IF(N823="x",-$E823/(COUNTIF($J823:$Q823,"x")+1),-$E823*N(N823)))</f>
        <v/>
      </c>
      <c r="AC823" s="34">
        <f>IF(OR($A823="",$H823&lt;&gt;"Ausgabe",O823=""),0,IF(O823="x",-$E823/(COUNTIF($J823:$Q823,"x")+1),-$E823*N(O823)))</f>
        <v/>
      </c>
      <c r="AD823" s="34">
        <f>IF(OR($A823="",$H823&lt;&gt;"Ausgabe",P823=""),0,IF(P823="x",-$E823/(COUNTIF($J823:$Q823,"x")+1),-$E823*N(P823)))</f>
        <v/>
      </c>
      <c r="AE823" s="34">
        <f>IF(OR($A823="",$H823&lt;&gt;"Ausgabe",Q823=""),0,IF(Q823="x",-$E823/(COUNTIF($J823:$Q823,"x")+1),-$E823*N(Q823)))</f>
        <v/>
      </c>
    </row>
    <row r="824">
      <c r="A824" s="30" t="n"/>
      <c r="E824" s="31" t="n"/>
      <c r="J824" s="32" t="n"/>
      <c r="K824" s="32" t="n"/>
      <c r="L824" s="32" t="n"/>
      <c r="M824" s="32" t="n"/>
      <c r="N824" s="32" t="n"/>
      <c r="O824" s="32" t="n"/>
      <c r="P824" s="32" t="n"/>
      <c r="Q824" s="32" t="n"/>
      <c r="U824" s="31">
        <f>IF($A824="","",SUM(X824:AE824))</f>
        <v/>
      </c>
      <c r="V824" s="31">
        <f>IF($A824="","",IF($H824&lt;&gt;"Ausgabe",0,-$E824-$U824))</f>
        <v/>
      </c>
      <c r="W824" s="33">
        <f>IF($A824="","",DATE(YEAR($A824),MONTH($A824),1))</f>
        <v/>
      </c>
      <c r="X824" s="34">
        <f>IF(OR($A824="",$H824&lt;&gt;"Ausgabe",J824=""),0,IF(J824="x",-$E824/(COUNTIF($J824:$Q824,"x")+1),-$E824*N(J824)))</f>
        <v/>
      </c>
      <c r="Y824" s="34">
        <f>IF(OR($A824="",$H824&lt;&gt;"Ausgabe",K824=""),0,IF(K824="x",-$E824/(COUNTIF($J824:$Q824,"x")+1),-$E824*N(K824)))</f>
        <v/>
      </c>
      <c r="Z824" s="34">
        <f>IF(OR($A824="",$H824&lt;&gt;"Ausgabe",L824=""),0,IF(L824="x",-$E824/(COUNTIF($J824:$Q824,"x")+1),-$E824*N(L824)))</f>
        <v/>
      </c>
      <c r="AA824" s="34">
        <f>IF(OR($A824="",$H824&lt;&gt;"Ausgabe",M824=""),0,IF(M824="x",-$E824/(COUNTIF($J824:$Q824,"x")+1),-$E824*N(M824)))</f>
        <v/>
      </c>
      <c r="AB824" s="34">
        <f>IF(OR($A824="",$H824&lt;&gt;"Ausgabe",N824=""),0,IF(N824="x",-$E824/(COUNTIF($J824:$Q824,"x")+1),-$E824*N(N824)))</f>
        <v/>
      </c>
      <c r="AC824" s="34">
        <f>IF(OR($A824="",$H824&lt;&gt;"Ausgabe",O824=""),0,IF(O824="x",-$E824/(COUNTIF($J824:$Q824,"x")+1),-$E824*N(O824)))</f>
        <v/>
      </c>
      <c r="AD824" s="34">
        <f>IF(OR($A824="",$H824&lt;&gt;"Ausgabe",P824=""),0,IF(P824="x",-$E824/(COUNTIF($J824:$Q824,"x")+1),-$E824*N(P824)))</f>
        <v/>
      </c>
      <c r="AE824" s="34">
        <f>IF(OR($A824="",$H824&lt;&gt;"Ausgabe",Q824=""),0,IF(Q824="x",-$E824/(COUNTIF($J824:$Q824,"x")+1),-$E824*N(Q824)))</f>
        <v/>
      </c>
    </row>
    <row r="825">
      <c r="A825" s="30" t="n"/>
      <c r="E825" s="31" t="n"/>
      <c r="J825" s="32" t="n"/>
      <c r="K825" s="32" t="n"/>
      <c r="L825" s="32" t="n"/>
      <c r="M825" s="32" t="n"/>
      <c r="N825" s="32" t="n"/>
      <c r="O825" s="32" t="n"/>
      <c r="P825" s="32" t="n"/>
      <c r="Q825" s="32" t="n"/>
      <c r="U825" s="31">
        <f>IF($A825="","",SUM(X825:AE825))</f>
        <v/>
      </c>
      <c r="V825" s="31">
        <f>IF($A825="","",IF($H825&lt;&gt;"Ausgabe",0,-$E825-$U825))</f>
        <v/>
      </c>
      <c r="W825" s="33">
        <f>IF($A825="","",DATE(YEAR($A825),MONTH($A825),1))</f>
        <v/>
      </c>
      <c r="X825" s="34">
        <f>IF(OR($A825="",$H825&lt;&gt;"Ausgabe",J825=""),0,IF(J825="x",-$E825/(COUNTIF($J825:$Q825,"x")+1),-$E825*N(J825)))</f>
        <v/>
      </c>
      <c r="Y825" s="34">
        <f>IF(OR($A825="",$H825&lt;&gt;"Ausgabe",K825=""),0,IF(K825="x",-$E825/(COUNTIF($J825:$Q825,"x")+1),-$E825*N(K825)))</f>
        <v/>
      </c>
      <c r="Z825" s="34">
        <f>IF(OR($A825="",$H825&lt;&gt;"Ausgabe",L825=""),0,IF(L825="x",-$E825/(COUNTIF($J825:$Q825,"x")+1),-$E825*N(L825)))</f>
        <v/>
      </c>
      <c r="AA825" s="34">
        <f>IF(OR($A825="",$H825&lt;&gt;"Ausgabe",M825=""),0,IF(M825="x",-$E825/(COUNTIF($J825:$Q825,"x")+1),-$E825*N(M825)))</f>
        <v/>
      </c>
      <c r="AB825" s="34">
        <f>IF(OR($A825="",$H825&lt;&gt;"Ausgabe",N825=""),0,IF(N825="x",-$E825/(COUNTIF($J825:$Q825,"x")+1),-$E825*N(N825)))</f>
        <v/>
      </c>
      <c r="AC825" s="34">
        <f>IF(OR($A825="",$H825&lt;&gt;"Ausgabe",O825=""),0,IF(O825="x",-$E825/(COUNTIF($J825:$Q825,"x")+1),-$E825*N(O825)))</f>
        <v/>
      </c>
      <c r="AD825" s="34">
        <f>IF(OR($A825="",$H825&lt;&gt;"Ausgabe",P825=""),0,IF(P825="x",-$E825/(COUNTIF($J825:$Q825,"x")+1),-$E825*N(P825)))</f>
        <v/>
      </c>
      <c r="AE825" s="34">
        <f>IF(OR($A825="",$H825&lt;&gt;"Ausgabe",Q825=""),0,IF(Q825="x",-$E825/(COUNTIF($J825:$Q825,"x")+1),-$E825*N(Q825)))</f>
        <v/>
      </c>
    </row>
    <row r="826">
      <c r="A826" s="30" t="n"/>
      <c r="E826" s="31" t="n"/>
      <c r="J826" s="32" t="n"/>
      <c r="K826" s="32" t="n"/>
      <c r="L826" s="32" t="n"/>
      <c r="M826" s="32" t="n"/>
      <c r="N826" s="32" t="n"/>
      <c r="O826" s="32" t="n"/>
      <c r="P826" s="32" t="n"/>
      <c r="Q826" s="32" t="n"/>
      <c r="U826" s="31">
        <f>IF($A826="","",SUM(X826:AE826))</f>
        <v/>
      </c>
      <c r="V826" s="31">
        <f>IF($A826="","",IF($H826&lt;&gt;"Ausgabe",0,-$E826-$U826))</f>
        <v/>
      </c>
      <c r="W826" s="33">
        <f>IF($A826="","",DATE(YEAR($A826),MONTH($A826),1))</f>
        <v/>
      </c>
      <c r="X826" s="34">
        <f>IF(OR($A826="",$H826&lt;&gt;"Ausgabe",J826=""),0,IF(J826="x",-$E826/(COUNTIF($J826:$Q826,"x")+1),-$E826*N(J826)))</f>
        <v/>
      </c>
      <c r="Y826" s="34">
        <f>IF(OR($A826="",$H826&lt;&gt;"Ausgabe",K826=""),0,IF(K826="x",-$E826/(COUNTIF($J826:$Q826,"x")+1),-$E826*N(K826)))</f>
        <v/>
      </c>
      <c r="Z826" s="34">
        <f>IF(OR($A826="",$H826&lt;&gt;"Ausgabe",L826=""),0,IF(L826="x",-$E826/(COUNTIF($J826:$Q826,"x")+1),-$E826*N(L826)))</f>
        <v/>
      </c>
      <c r="AA826" s="34">
        <f>IF(OR($A826="",$H826&lt;&gt;"Ausgabe",M826=""),0,IF(M826="x",-$E826/(COUNTIF($J826:$Q826,"x")+1),-$E826*N(M826)))</f>
        <v/>
      </c>
      <c r="AB826" s="34">
        <f>IF(OR($A826="",$H826&lt;&gt;"Ausgabe",N826=""),0,IF(N826="x",-$E826/(COUNTIF($J826:$Q826,"x")+1),-$E826*N(N826)))</f>
        <v/>
      </c>
      <c r="AC826" s="34">
        <f>IF(OR($A826="",$H826&lt;&gt;"Ausgabe",O826=""),0,IF(O826="x",-$E826/(COUNTIF($J826:$Q826,"x")+1),-$E826*N(O826)))</f>
        <v/>
      </c>
      <c r="AD826" s="34">
        <f>IF(OR($A826="",$H826&lt;&gt;"Ausgabe",P826=""),0,IF(P826="x",-$E826/(COUNTIF($J826:$Q826,"x")+1),-$E826*N(P826)))</f>
        <v/>
      </c>
      <c r="AE826" s="34">
        <f>IF(OR($A826="",$H826&lt;&gt;"Ausgabe",Q826=""),0,IF(Q826="x",-$E826/(COUNTIF($J826:$Q826,"x")+1),-$E826*N(Q826)))</f>
        <v/>
      </c>
    </row>
    <row r="827">
      <c r="A827" s="30" t="n"/>
      <c r="E827" s="31" t="n"/>
      <c r="J827" s="32" t="n"/>
      <c r="K827" s="32" t="n"/>
      <c r="L827" s="32" t="n"/>
      <c r="M827" s="32" t="n"/>
      <c r="N827" s="32" t="n"/>
      <c r="O827" s="32" t="n"/>
      <c r="P827" s="32" t="n"/>
      <c r="Q827" s="32" t="n"/>
      <c r="U827" s="31">
        <f>IF($A827="","",SUM(X827:AE827))</f>
        <v/>
      </c>
      <c r="V827" s="31">
        <f>IF($A827="","",IF($H827&lt;&gt;"Ausgabe",0,-$E827-$U827))</f>
        <v/>
      </c>
      <c r="W827" s="33">
        <f>IF($A827="","",DATE(YEAR($A827),MONTH($A827),1))</f>
        <v/>
      </c>
      <c r="X827" s="34">
        <f>IF(OR($A827="",$H827&lt;&gt;"Ausgabe",J827=""),0,IF(J827="x",-$E827/(COUNTIF($J827:$Q827,"x")+1),-$E827*N(J827)))</f>
        <v/>
      </c>
      <c r="Y827" s="34">
        <f>IF(OR($A827="",$H827&lt;&gt;"Ausgabe",K827=""),0,IF(K827="x",-$E827/(COUNTIF($J827:$Q827,"x")+1),-$E827*N(K827)))</f>
        <v/>
      </c>
      <c r="Z827" s="34">
        <f>IF(OR($A827="",$H827&lt;&gt;"Ausgabe",L827=""),0,IF(L827="x",-$E827/(COUNTIF($J827:$Q827,"x")+1),-$E827*N(L827)))</f>
        <v/>
      </c>
      <c r="AA827" s="34">
        <f>IF(OR($A827="",$H827&lt;&gt;"Ausgabe",M827=""),0,IF(M827="x",-$E827/(COUNTIF($J827:$Q827,"x")+1),-$E827*N(M827)))</f>
        <v/>
      </c>
      <c r="AB827" s="34">
        <f>IF(OR($A827="",$H827&lt;&gt;"Ausgabe",N827=""),0,IF(N827="x",-$E827/(COUNTIF($J827:$Q827,"x")+1),-$E827*N(N827)))</f>
        <v/>
      </c>
      <c r="AC827" s="34">
        <f>IF(OR($A827="",$H827&lt;&gt;"Ausgabe",O827=""),0,IF(O827="x",-$E827/(COUNTIF($J827:$Q827,"x")+1),-$E827*N(O827)))</f>
        <v/>
      </c>
      <c r="AD827" s="34">
        <f>IF(OR($A827="",$H827&lt;&gt;"Ausgabe",P827=""),0,IF(P827="x",-$E827/(COUNTIF($J827:$Q827,"x")+1),-$E827*N(P827)))</f>
        <v/>
      </c>
      <c r="AE827" s="34">
        <f>IF(OR($A827="",$H827&lt;&gt;"Ausgabe",Q827=""),0,IF(Q827="x",-$E827/(COUNTIF($J827:$Q827,"x")+1),-$E827*N(Q827)))</f>
        <v/>
      </c>
    </row>
    <row r="828">
      <c r="A828" s="30" t="n"/>
      <c r="E828" s="31" t="n"/>
      <c r="J828" s="32" t="n"/>
      <c r="K828" s="32" t="n"/>
      <c r="L828" s="32" t="n"/>
      <c r="M828" s="32" t="n"/>
      <c r="N828" s="32" t="n"/>
      <c r="O828" s="32" t="n"/>
      <c r="P828" s="32" t="n"/>
      <c r="Q828" s="32" t="n"/>
      <c r="U828" s="31">
        <f>IF($A828="","",SUM(X828:AE828))</f>
        <v/>
      </c>
      <c r="V828" s="31">
        <f>IF($A828="","",IF($H828&lt;&gt;"Ausgabe",0,-$E828-$U828))</f>
        <v/>
      </c>
      <c r="W828" s="33">
        <f>IF($A828="","",DATE(YEAR($A828),MONTH($A828),1))</f>
        <v/>
      </c>
      <c r="X828" s="34">
        <f>IF(OR($A828="",$H828&lt;&gt;"Ausgabe",J828=""),0,IF(J828="x",-$E828/(COUNTIF($J828:$Q828,"x")+1),-$E828*N(J828)))</f>
        <v/>
      </c>
      <c r="Y828" s="34">
        <f>IF(OR($A828="",$H828&lt;&gt;"Ausgabe",K828=""),0,IF(K828="x",-$E828/(COUNTIF($J828:$Q828,"x")+1),-$E828*N(K828)))</f>
        <v/>
      </c>
      <c r="Z828" s="34">
        <f>IF(OR($A828="",$H828&lt;&gt;"Ausgabe",L828=""),0,IF(L828="x",-$E828/(COUNTIF($J828:$Q828,"x")+1),-$E828*N(L828)))</f>
        <v/>
      </c>
      <c r="AA828" s="34">
        <f>IF(OR($A828="",$H828&lt;&gt;"Ausgabe",M828=""),0,IF(M828="x",-$E828/(COUNTIF($J828:$Q828,"x")+1),-$E828*N(M828)))</f>
        <v/>
      </c>
      <c r="AB828" s="34">
        <f>IF(OR($A828="",$H828&lt;&gt;"Ausgabe",N828=""),0,IF(N828="x",-$E828/(COUNTIF($J828:$Q828,"x")+1),-$E828*N(N828)))</f>
        <v/>
      </c>
      <c r="AC828" s="34">
        <f>IF(OR($A828="",$H828&lt;&gt;"Ausgabe",O828=""),0,IF(O828="x",-$E828/(COUNTIF($J828:$Q828,"x")+1),-$E828*N(O828)))</f>
        <v/>
      </c>
      <c r="AD828" s="34">
        <f>IF(OR($A828="",$H828&lt;&gt;"Ausgabe",P828=""),0,IF(P828="x",-$E828/(COUNTIF($J828:$Q828,"x")+1),-$E828*N(P828)))</f>
        <v/>
      </c>
      <c r="AE828" s="34">
        <f>IF(OR($A828="",$H828&lt;&gt;"Ausgabe",Q828=""),0,IF(Q828="x",-$E828/(COUNTIF($J828:$Q828,"x")+1),-$E828*N(Q828)))</f>
        <v/>
      </c>
    </row>
    <row r="829">
      <c r="A829" s="30" t="n"/>
      <c r="E829" s="31" t="n"/>
      <c r="J829" s="32" t="n"/>
      <c r="K829" s="32" t="n"/>
      <c r="L829" s="32" t="n"/>
      <c r="M829" s="32" t="n"/>
      <c r="N829" s="32" t="n"/>
      <c r="O829" s="32" t="n"/>
      <c r="P829" s="32" t="n"/>
      <c r="Q829" s="32" t="n"/>
      <c r="U829" s="31">
        <f>IF($A829="","",SUM(X829:AE829))</f>
        <v/>
      </c>
      <c r="V829" s="31">
        <f>IF($A829="","",IF($H829&lt;&gt;"Ausgabe",0,-$E829-$U829))</f>
        <v/>
      </c>
      <c r="W829" s="33">
        <f>IF($A829="","",DATE(YEAR($A829),MONTH($A829),1))</f>
        <v/>
      </c>
      <c r="X829" s="34">
        <f>IF(OR($A829="",$H829&lt;&gt;"Ausgabe",J829=""),0,IF(J829="x",-$E829/(COUNTIF($J829:$Q829,"x")+1),-$E829*N(J829)))</f>
        <v/>
      </c>
      <c r="Y829" s="34">
        <f>IF(OR($A829="",$H829&lt;&gt;"Ausgabe",K829=""),0,IF(K829="x",-$E829/(COUNTIF($J829:$Q829,"x")+1),-$E829*N(K829)))</f>
        <v/>
      </c>
      <c r="Z829" s="34">
        <f>IF(OR($A829="",$H829&lt;&gt;"Ausgabe",L829=""),0,IF(L829="x",-$E829/(COUNTIF($J829:$Q829,"x")+1),-$E829*N(L829)))</f>
        <v/>
      </c>
      <c r="AA829" s="34">
        <f>IF(OR($A829="",$H829&lt;&gt;"Ausgabe",M829=""),0,IF(M829="x",-$E829/(COUNTIF($J829:$Q829,"x")+1),-$E829*N(M829)))</f>
        <v/>
      </c>
      <c r="AB829" s="34">
        <f>IF(OR($A829="",$H829&lt;&gt;"Ausgabe",N829=""),0,IF(N829="x",-$E829/(COUNTIF($J829:$Q829,"x")+1),-$E829*N(N829)))</f>
        <v/>
      </c>
      <c r="AC829" s="34">
        <f>IF(OR($A829="",$H829&lt;&gt;"Ausgabe",O829=""),0,IF(O829="x",-$E829/(COUNTIF($J829:$Q829,"x")+1),-$E829*N(O829)))</f>
        <v/>
      </c>
      <c r="AD829" s="34">
        <f>IF(OR($A829="",$H829&lt;&gt;"Ausgabe",P829=""),0,IF(P829="x",-$E829/(COUNTIF($J829:$Q829,"x")+1),-$E829*N(P829)))</f>
        <v/>
      </c>
      <c r="AE829" s="34">
        <f>IF(OR($A829="",$H829&lt;&gt;"Ausgabe",Q829=""),0,IF(Q829="x",-$E829/(COUNTIF($J829:$Q829,"x")+1),-$E829*N(Q829)))</f>
        <v/>
      </c>
    </row>
    <row r="830">
      <c r="A830" s="30" t="n"/>
      <c r="E830" s="31" t="n"/>
      <c r="J830" s="32" t="n"/>
      <c r="K830" s="32" t="n"/>
      <c r="L830" s="32" t="n"/>
      <c r="M830" s="32" t="n"/>
      <c r="N830" s="32" t="n"/>
      <c r="O830" s="32" t="n"/>
      <c r="P830" s="32" t="n"/>
      <c r="Q830" s="32" t="n"/>
      <c r="U830" s="31">
        <f>IF($A830="","",SUM(X830:AE830))</f>
        <v/>
      </c>
      <c r="V830" s="31">
        <f>IF($A830="","",IF($H830&lt;&gt;"Ausgabe",0,-$E830-$U830))</f>
        <v/>
      </c>
      <c r="W830" s="33">
        <f>IF($A830="","",DATE(YEAR($A830),MONTH($A830),1))</f>
        <v/>
      </c>
      <c r="X830" s="34">
        <f>IF(OR($A830="",$H830&lt;&gt;"Ausgabe",J830=""),0,IF(J830="x",-$E830/(COUNTIF($J830:$Q830,"x")+1),-$E830*N(J830)))</f>
        <v/>
      </c>
      <c r="Y830" s="34">
        <f>IF(OR($A830="",$H830&lt;&gt;"Ausgabe",K830=""),0,IF(K830="x",-$E830/(COUNTIF($J830:$Q830,"x")+1),-$E830*N(K830)))</f>
        <v/>
      </c>
      <c r="Z830" s="34">
        <f>IF(OR($A830="",$H830&lt;&gt;"Ausgabe",L830=""),0,IF(L830="x",-$E830/(COUNTIF($J830:$Q830,"x")+1),-$E830*N(L830)))</f>
        <v/>
      </c>
      <c r="AA830" s="34">
        <f>IF(OR($A830="",$H830&lt;&gt;"Ausgabe",M830=""),0,IF(M830="x",-$E830/(COUNTIF($J830:$Q830,"x")+1),-$E830*N(M830)))</f>
        <v/>
      </c>
      <c r="AB830" s="34">
        <f>IF(OR($A830="",$H830&lt;&gt;"Ausgabe",N830=""),0,IF(N830="x",-$E830/(COUNTIF($J830:$Q830,"x")+1),-$E830*N(N830)))</f>
        <v/>
      </c>
      <c r="AC830" s="34">
        <f>IF(OR($A830="",$H830&lt;&gt;"Ausgabe",O830=""),0,IF(O830="x",-$E830/(COUNTIF($J830:$Q830,"x")+1),-$E830*N(O830)))</f>
        <v/>
      </c>
      <c r="AD830" s="34">
        <f>IF(OR($A830="",$H830&lt;&gt;"Ausgabe",P830=""),0,IF(P830="x",-$E830/(COUNTIF($J830:$Q830,"x")+1),-$E830*N(P830)))</f>
        <v/>
      </c>
      <c r="AE830" s="34">
        <f>IF(OR($A830="",$H830&lt;&gt;"Ausgabe",Q830=""),0,IF(Q830="x",-$E830/(COUNTIF($J830:$Q830,"x")+1),-$E830*N(Q830)))</f>
        <v/>
      </c>
    </row>
    <row r="831">
      <c r="A831" s="30" t="n"/>
      <c r="E831" s="31" t="n"/>
      <c r="J831" s="32" t="n"/>
      <c r="K831" s="32" t="n"/>
      <c r="L831" s="32" t="n"/>
      <c r="M831" s="32" t="n"/>
      <c r="N831" s="32" t="n"/>
      <c r="O831" s="32" t="n"/>
      <c r="P831" s="32" t="n"/>
      <c r="Q831" s="32" t="n"/>
      <c r="U831" s="31">
        <f>IF($A831="","",SUM(X831:AE831))</f>
        <v/>
      </c>
      <c r="V831" s="31">
        <f>IF($A831="","",IF($H831&lt;&gt;"Ausgabe",0,-$E831-$U831))</f>
        <v/>
      </c>
      <c r="W831" s="33">
        <f>IF($A831="","",DATE(YEAR($A831),MONTH($A831),1))</f>
        <v/>
      </c>
      <c r="X831" s="34">
        <f>IF(OR($A831="",$H831&lt;&gt;"Ausgabe",J831=""),0,IF(J831="x",-$E831/(COUNTIF($J831:$Q831,"x")+1),-$E831*N(J831)))</f>
        <v/>
      </c>
      <c r="Y831" s="34">
        <f>IF(OR($A831="",$H831&lt;&gt;"Ausgabe",K831=""),0,IF(K831="x",-$E831/(COUNTIF($J831:$Q831,"x")+1),-$E831*N(K831)))</f>
        <v/>
      </c>
      <c r="Z831" s="34">
        <f>IF(OR($A831="",$H831&lt;&gt;"Ausgabe",L831=""),0,IF(L831="x",-$E831/(COUNTIF($J831:$Q831,"x")+1),-$E831*N(L831)))</f>
        <v/>
      </c>
      <c r="AA831" s="34">
        <f>IF(OR($A831="",$H831&lt;&gt;"Ausgabe",M831=""),0,IF(M831="x",-$E831/(COUNTIF($J831:$Q831,"x")+1),-$E831*N(M831)))</f>
        <v/>
      </c>
      <c r="AB831" s="34">
        <f>IF(OR($A831="",$H831&lt;&gt;"Ausgabe",N831=""),0,IF(N831="x",-$E831/(COUNTIF($J831:$Q831,"x")+1),-$E831*N(N831)))</f>
        <v/>
      </c>
      <c r="AC831" s="34">
        <f>IF(OR($A831="",$H831&lt;&gt;"Ausgabe",O831=""),0,IF(O831="x",-$E831/(COUNTIF($J831:$Q831,"x")+1),-$E831*N(O831)))</f>
        <v/>
      </c>
      <c r="AD831" s="34">
        <f>IF(OR($A831="",$H831&lt;&gt;"Ausgabe",P831=""),0,IF(P831="x",-$E831/(COUNTIF($J831:$Q831,"x")+1),-$E831*N(P831)))</f>
        <v/>
      </c>
      <c r="AE831" s="34">
        <f>IF(OR($A831="",$H831&lt;&gt;"Ausgabe",Q831=""),0,IF(Q831="x",-$E831/(COUNTIF($J831:$Q831,"x")+1),-$E831*N(Q831)))</f>
        <v/>
      </c>
    </row>
    <row r="832">
      <c r="A832" s="30" t="n"/>
      <c r="E832" s="31" t="n"/>
      <c r="J832" s="32" t="n"/>
      <c r="K832" s="32" t="n"/>
      <c r="L832" s="32" t="n"/>
      <c r="M832" s="32" t="n"/>
      <c r="N832" s="32" t="n"/>
      <c r="O832" s="32" t="n"/>
      <c r="P832" s="32" t="n"/>
      <c r="Q832" s="32" t="n"/>
      <c r="U832" s="31">
        <f>IF($A832="","",SUM(X832:AE832))</f>
        <v/>
      </c>
      <c r="V832" s="31">
        <f>IF($A832="","",IF($H832&lt;&gt;"Ausgabe",0,-$E832-$U832))</f>
        <v/>
      </c>
      <c r="W832" s="33">
        <f>IF($A832="","",DATE(YEAR($A832),MONTH($A832),1))</f>
        <v/>
      </c>
      <c r="X832" s="34">
        <f>IF(OR($A832="",$H832&lt;&gt;"Ausgabe",J832=""),0,IF(J832="x",-$E832/(COUNTIF($J832:$Q832,"x")+1),-$E832*N(J832)))</f>
        <v/>
      </c>
      <c r="Y832" s="34">
        <f>IF(OR($A832="",$H832&lt;&gt;"Ausgabe",K832=""),0,IF(K832="x",-$E832/(COUNTIF($J832:$Q832,"x")+1),-$E832*N(K832)))</f>
        <v/>
      </c>
      <c r="Z832" s="34">
        <f>IF(OR($A832="",$H832&lt;&gt;"Ausgabe",L832=""),0,IF(L832="x",-$E832/(COUNTIF($J832:$Q832,"x")+1),-$E832*N(L832)))</f>
        <v/>
      </c>
      <c r="AA832" s="34">
        <f>IF(OR($A832="",$H832&lt;&gt;"Ausgabe",M832=""),0,IF(M832="x",-$E832/(COUNTIF($J832:$Q832,"x")+1),-$E832*N(M832)))</f>
        <v/>
      </c>
      <c r="AB832" s="34">
        <f>IF(OR($A832="",$H832&lt;&gt;"Ausgabe",N832=""),0,IF(N832="x",-$E832/(COUNTIF($J832:$Q832,"x")+1),-$E832*N(N832)))</f>
        <v/>
      </c>
      <c r="AC832" s="34">
        <f>IF(OR($A832="",$H832&lt;&gt;"Ausgabe",O832=""),0,IF(O832="x",-$E832/(COUNTIF($J832:$Q832,"x")+1),-$E832*N(O832)))</f>
        <v/>
      </c>
      <c r="AD832" s="34">
        <f>IF(OR($A832="",$H832&lt;&gt;"Ausgabe",P832=""),0,IF(P832="x",-$E832/(COUNTIF($J832:$Q832,"x")+1),-$E832*N(P832)))</f>
        <v/>
      </c>
      <c r="AE832" s="34">
        <f>IF(OR($A832="",$H832&lt;&gt;"Ausgabe",Q832=""),0,IF(Q832="x",-$E832/(COUNTIF($J832:$Q832,"x")+1),-$E832*N(Q832)))</f>
        <v/>
      </c>
    </row>
    <row r="833">
      <c r="A833" s="30" t="n"/>
      <c r="E833" s="31" t="n"/>
      <c r="J833" s="32" t="n"/>
      <c r="K833" s="32" t="n"/>
      <c r="L833" s="32" t="n"/>
      <c r="M833" s="32" t="n"/>
      <c r="N833" s="32" t="n"/>
      <c r="O833" s="32" t="n"/>
      <c r="P833" s="32" t="n"/>
      <c r="Q833" s="32" t="n"/>
      <c r="U833" s="31">
        <f>IF($A833="","",SUM(X833:AE833))</f>
        <v/>
      </c>
      <c r="V833" s="31">
        <f>IF($A833="","",IF($H833&lt;&gt;"Ausgabe",0,-$E833-$U833))</f>
        <v/>
      </c>
      <c r="W833" s="33">
        <f>IF($A833="","",DATE(YEAR($A833),MONTH($A833),1))</f>
        <v/>
      </c>
      <c r="X833" s="34">
        <f>IF(OR($A833="",$H833&lt;&gt;"Ausgabe",J833=""),0,IF(J833="x",-$E833/(COUNTIF($J833:$Q833,"x")+1),-$E833*N(J833)))</f>
        <v/>
      </c>
      <c r="Y833" s="34">
        <f>IF(OR($A833="",$H833&lt;&gt;"Ausgabe",K833=""),0,IF(K833="x",-$E833/(COUNTIF($J833:$Q833,"x")+1),-$E833*N(K833)))</f>
        <v/>
      </c>
      <c r="Z833" s="34">
        <f>IF(OR($A833="",$H833&lt;&gt;"Ausgabe",L833=""),0,IF(L833="x",-$E833/(COUNTIF($J833:$Q833,"x")+1),-$E833*N(L833)))</f>
        <v/>
      </c>
      <c r="AA833" s="34">
        <f>IF(OR($A833="",$H833&lt;&gt;"Ausgabe",M833=""),0,IF(M833="x",-$E833/(COUNTIF($J833:$Q833,"x")+1),-$E833*N(M833)))</f>
        <v/>
      </c>
      <c r="AB833" s="34">
        <f>IF(OR($A833="",$H833&lt;&gt;"Ausgabe",N833=""),0,IF(N833="x",-$E833/(COUNTIF($J833:$Q833,"x")+1),-$E833*N(N833)))</f>
        <v/>
      </c>
      <c r="AC833" s="34">
        <f>IF(OR($A833="",$H833&lt;&gt;"Ausgabe",O833=""),0,IF(O833="x",-$E833/(COUNTIF($J833:$Q833,"x")+1),-$E833*N(O833)))</f>
        <v/>
      </c>
      <c r="AD833" s="34">
        <f>IF(OR($A833="",$H833&lt;&gt;"Ausgabe",P833=""),0,IF(P833="x",-$E833/(COUNTIF($J833:$Q833,"x")+1),-$E833*N(P833)))</f>
        <v/>
      </c>
      <c r="AE833" s="34">
        <f>IF(OR($A833="",$H833&lt;&gt;"Ausgabe",Q833=""),0,IF(Q833="x",-$E833/(COUNTIF($J833:$Q833,"x")+1),-$E833*N(Q833)))</f>
        <v/>
      </c>
    </row>
    <row r="834">
      <c r="A834" s="30" t="n"/>
      <c r="E834" s="31" t="n"/>
      <c r="J834" s="32" t="n"/>
      <c r="K834" s="32" t="n"/>
      <c r="L834" s="32" t="n"/>
      <c r="M834" s="32" t="n"/>
      <c r="N834" s="32" t="n"/>
      <c r="O834" s="32" t="n"/>
      <c r="P834" s="32" t="n"/>
      <c r="Q834" s="32" t="n"/>
      <c r="U834" s="31">
        <f>IF($A834="","",SUM(X834:AE834))</f>
        <v/>
      </c>
      <c r="V834" s="31">
        <f>IF($A834="","",IF($H834&lt;&gt;"Ausgabe",0,-$E834-$U834))</f>
        <v/>
      </c>
      <c r="W834" s="33">
        <f>IF($A834="","",DATE(YEAR($A834),MONTH($A834),1))</f>
        <v/>
      </c>
      <c r="X834" s="34">
        <f>IF(OR($A834="",$H834&lt;&gt;"Ausgabe",J834=""),0,IF(J834="x",-$E834/(COUNTIF($J834:$Q834,"x")+1),-$E834*N(J834)))</f>
        <v/>
      </c>
      <c r="Y834" s="34">
        <f>IF(OR($A834="",$H834&lt;&gt;"Ausgabe",K834=""),0,IF(K834="x",-$E834/(COUNTIF($J834:$Q834,"x")+1),-$E834*N(K834)))</f>
        <v/>
      </c>
      <c r="Z834" s="34">
        <f>IF(OR($A834="",$H834&lt;&gt;"Ausgabe",L834=""),0,IF(L834="x",-$E834/(COUNTIF($J834:$Q834,"x")+1),-$E834*N(L834)))</f>
        <v/>
      </c>
      <c r="AA834" s="34">
        <f>IF(OR($A834="",$H834&lt;&gt;"Ausgabe",M834=""),0,IF(M834="x",-$E834/(COUNTIF($J834:$Q834,"x")+1),-$E834*N(M834)))</f>
        <v/>
      </c>
      <c r="AB834" s="34">
        <f>IF(OR($A834="",$H834&lt;&gt;"Ausgabe",N834=""),0,IF(N834="x",-$E834/(COUNTIF($J834:$Q834,"x")+1),-$E834*N(N834)))</f>
        <v/>
      </c>
      <c r="AC834" s="34">
        <f>IF(OR($A834="",$H834&lt;&gt;"Ausgabe",O834=""),0,IF(O834="x",-$E834/(COUNTIF($J834:$Q834,"x")+1),-$E834*N(O834)))</f>
        <v/>
      </c>
      <c r="AD834" s="34">
        <f>IF(OR($A834="",$H834&lt;&gt;"Ausgabe",P834=""),0,IF(P834="x",-$E834/(COUNTIF($J834:$Q834,"x")+1),-$E834*N(P834)))</f>
        <v/>
      </c>
      <c r="AE834" s="34">
        <f>IF(OR($A834="",$H834&lt;&gt;"Ausgabe",Q834=""),0,IF(Q834="x",-$E834/(COUNTIF($J834:$Q834,"x")+1),-$E834*N(Q834)))</f>
        <v/>
      </c>
    </row>
    <row r="835">
      <c r="A835" s="30" t="n"/>
      <c r="E835" s="31" t="n"/>
      <c r="J835" s="32" t="n"/>
      <c r="K835" s="32" t="n"/>
      <c r="L835" s="32" t="n"/>
      <c r="M835" s="32" t="n"/>
      <c r="N835" s="32" t="n"/>
      <c r="O835" s="32" t="n"/>
      <c r="P835" s="32" t="n"/>
      <c r="Q835" s="32" t="n"/>
      <c r="U835" s="31">
        <f>IF($A835="","",SUM(X835:AE835))</f>
        <v/>
      </c>
      <c r="V835" s="31">
        <f>IF($A835="","",IF($H835&lt;&gt;"Ausgabe",0,-$E835-$U835))</f>
        <v/>
      </c>
      <c r="W835" s="33">
        <f>IF($A835="","",DATE(YEAR($A835),MONTH($A835),1))</f>
        <v/>
      </c>
      <c r="X835" s="34">
        <f>IF(OR($A835="",$H835&lt;&gt;"Ausgabe",J835=""),0,IF(J835="x",-$E835/(COUNTIF($J835:$Q835,"x")+1),-$E835*N(J835)))</f>
        <v/>
      </c>
      <c r="Y835" s="34">
        <f>IF(OR($A835="",$H835&lt;&gt;"Ausgabe",K835=""),0,IF(K835="x",-$E835/(COUNTIF($J835:$Q835,"x")+1),-$E835*N(K835)))</f>
        <v/>
      </c>
      <c r="Z835" s="34">
        <f>IF(OR($A835="",$H835&lt;&gt;"Ausgabe",L835=""),0,IF(L835="x",-$E835/(COUNTIF($J835:$Q835,"x")+1),-$E835*N(L835)))</f>
        <v/>
      </c>
      <c r="AA835" s="34">
        <f>IF(OR($A835="",$H835&lt;&gt;"Ausgabe",M835=""),0,IF(M835="x",-$E835/(COUNTIF($J835:$Q835,"x")+1),-$E835*N(M835)))</f>
        <v/>
      </c>
      <c r="AB835" s="34">
        <f>IF(OR($A835="",$H835&lt;&gt;"Ausgabe",N835=""),0,IF(N835="x",-$E835/(COUNTIF($J835:$Q835,"x")+1),-$E835*N(N835)))</f>
        <v/>
      </c>
      <c r="AC835" s="34">
        <f>IF(OR($A835="",$H835&lt;&gt;"Ausgabe",O835=""),0,IF(O835="x",-$E835/(COUNTIF($J835:$Q835,"x")+1),-$E835*N(O835)))</f>
        <v/>
      </c>
      <c r="AD835" s="34">
        <f>IF(OR($A835="",$H835&lt;&gt;"Ausgabe",P835=""),0,IF(P835="x",-$E835/(COUNTIF($J835:$Q835,"x")+1),-$E835*N(P835)))</f>
        <v/>
      </c>
      <c r="AE835" s="34">
        <f>IF(OR($A835="",$H835&lt;&gt;"Ausgabe",Q835=""),0,IF(Q835="x",-$E835/(COUNTIF($J835:$Q835,"x")+1),-$E835*N(Q835)))</f>
        <v/>
      </c>
    </row>
    <row r="836">
      <c r="A836" s="30" t="n"/>
      <c r="E836" s="31" t="n"/>
      <c r="J836" s="32" t="n"/>
      <c r="K836" s="32" t="n"/>
      <c r="L836" s="32" t="n"/>
      <c r="M836" s="32" t="n"/>
      <c r="N836" s="32" t="n"/>
      <c r="O836" s="32" t="n"/>
      <c r="P836" s="32" t="n"/>
      <c r="Q836" s="32" t="n"/>
      <c r="U836" s="31">
        <f>IF($A836="","",SUM(X836:AE836))</f>
        <v/>
      </c>
      <c r="V836" s="31">
        <f>IF($A836="","",IF($H836&lt;&gt;"Ausgabe",0,-$E836-$U836))</f>
        <v/>
      </c>
      <c r="W836" s="33">
        <f>IF($A836="","",DATE(YEAR($A836),MONTH($A836),1))</f>
        <v/>
      </c>
      <c r="X836" s="34">
        <f>IF(OR($A836="",$H836&lt;&gt;"Ausgabe",J836=""),0,IF(J836="x",-$E836/(COUNTIF($J836:$Q836,"x")+1),-$E836*N(J836)))</f>
        <v/>
      </c>
      <c r="Y836" s="34">
        <f>IF(OR($A836="",$H836&lt;&gt;"Ausgabe",K836=""),0,IF(K836="x",-$E836/(COUNTIF($J836:$Q836,"x")+1),-$E836*N(K836)))</f>
        <v/>
      </c>
      <c r="Z836" s="34">
        <f>IF(OR($A836="",$H836&lt;&gt;"Ausgabe",L836=""),0,IF(L836="x",-$E836/(COUNTIF($J836:$Q836,"x")+1),-$E836*N(L836)))</f>
        <v/>
      </c>
      <c r="AA836" s="34">
        <f>IF(OR($A836="",$H836&lt;&gt;"Ausgabe",M836=""),0,IF(M836="x",-$E836/(COUNTIF($J836:$Q836,"x")+1),-$E836*N(M836)))</f>
        <v/>
      </c>
      <c r="AB836" s="34">
        <f>IF(OR($A836="",$H836&lt;&gt;"Ausgabe",N836=""),0,IF(N836="x",-$E836/(COUNTIF($J836:$Q836,"x")+1),-$E836*N(N836)))</f>
        <v/>
      </c>
      <c r="AC836" s="34">
        <f>IF(OR($A836="",$H836&lt;&gt;"Ausgabe",O836=""),0,IF(O836="x",-$E836/(COUNTIF($J836:$Q836,"x")+1),-$E836*N(O836)))</f>
        <v/>
      </c>
      <c r="AD836" s="34">
        <f>IF(OR($A836="",$H836&lt;&gt;"Ausgabe",P836=""),0,IF(P836="x",-$E836/(COUNTIF($J836:$Q836,"x")+1),-$E836*N(P836)))</f>
        <v/>
      </c>
      <c r="AE836" s="34">
        <f>IF(OR($A836="",$H836&lt;&gt;"Ausgabe",Q836=""),0,IF(Q836="x",-$E836/(COUNTIF($J836:$Q836,"x")+1),-$E836*N(Q836)))</f>
        <v/>
      </c>
    </row>
    <row r="837">
      <c r="A837" s="30" t="n"/>
      <c r="E837" s="31" t="n"/>
      <c r="J837" s="32" t="n"/>
      <c r="K837" s="32" t="n"/>
      <c r="L837" s="32" t="n"/>
      <c r="M837" s="32" t="n"/>
      <c r="N837" s="32" t="n"/>
      <c r="O837" s="32" t="n"/>
      <c r="P837" s="32" t="n"/>
      <c r="Q837" s="32" t="n"/>
      <c r="U837" s="31">
        <f>IF($A837="","",SUM(X837:AE837))</f>
        <v/>
      </c>
      <c r="V837" s="31">
        <f>IF($A837="","",IF($H837&lt;&gt;"Ausgabe",0,-$E837-$U837))</f>
        <v/>
      </c>
      <c r="W837" s="33">
        <f>IF($A837="","",DATE(YEAR($A837),MONTH($A837),1))</f>
        <v/>
      </c>
      <c r="X837" s="34">
        <f>IF(OR($A837="",$H837&lt;&gt;"Ausgabe",J837=""),0,IF(J837="x",-$E837/(COUNTIF($J837:$Q837,"x")+1),-$E837*N(J837)))</f>
        <v/>
      </c>
      <c r="Y837" s="34">
        <f>IF(OR($A837="",$H837&lt;&gt;"Ausgabe",K837=""),0,IF(K837="x",-$E837/(COUNTIF($J837:$Q837,"x")+1),-$E837*N(K837)))</f>
        <v/>
      </c>
      <c r="Z837" s="34">
        <f>IF(OR($A837="",$H837&lt;&gt;"Ausgabe",L837=""),0,IF(L837="x",-$E837/(COUNTIF($J837:$Q837,"x")+1),-$E837*N(L837)))</f>
        <v/>
      </c>
      <c r="AA837" s="34">
        <f>IF(OR($A837="",$H837&lt;&gt;"Ausgabe",M837=""),0,IF(M837="x",-$E837/(COUNTIF($J837:$Q837,"x")+1),-$E837*N(M837)))</f>
        <v/>
      </c>
      <c r="AB837" s="34">
        <f>IF(OR($A837="",$H837&lt;&gt;"Ausgabe",N837=""),0,IF(N837="x",-$E837/(COUNTIF($J837:$Q837,"x")+1),-$E837*N(N837)))</f>
        <v/>
      </c>
      <c r="AC837" s="34">
        <f>IF(OR($A837="",$H837&lt;&gt;"Ausgabe",O837=""),0,IF(O837="x",-$E837/(COUNTIF($J837:$Q837,"x")+1),-$E837*N(O837)))</f>
        <v/>
      </c>
      <c r="AD837" s="34">
        <f>IF(OR($A837="",$H837&lt;&gt;"Ausgabe",P837=""),0,IF(P837="x",-$E837/(COUNTIF($J837:$Q837,"x")+1),-$E837*N(P837)))</f>
        <v/>
      </c>
      <c r="AE837" s="34">
        <f>IF(OR($A837="",$H837&lt;&gt;"Ausgabe",Q837=""),0,IF(Q837="x",-$E837/(COUNTIF($J837:$Q837,"x")+1),-$E837*N(Q837)))</f>
        <v/>
      </c>
    </row>
    <row r="838">
      <c r="A838" s="30" t="n"/>
      <c r="E838" s="31" t="n"/>
      <c r="J838" s="32" t="n"/>
      <c r="K838" s="32" t="n"/>
      <c r="L838" s="32" t="n"/>
      <c r="M838" s="32" t="n"/>
      <c r="N838" s="32" t="n"/>
      <c r="O838" s="32" t="n"/>
      <c r="P838" s="32" t="n"/>
      <c r="Q838" s="32" t="n"/>
      <c r="U838" s="31">
        <f>IF($A838="","",SUM(X838:AE838))</f>
        <v/>
      </c>
      <c r="V838" s="31">
        <f>IF($A838="","",IF($H838&lt;&gt;"Ausgabe",0,-$E838-$U838))</f>
        <v/>
      </c>
      <c r="W838" s="33">
        <f>IF($A838="","",DATE(YEAR($A838),MONTH($A838),1))</f>
        <v/>
      </c>
      <c r="X838" s="34">
        <f>IF(OR($A838="",$H838&lt;&gt;"Ausgabe",J838=""),0,IF(J838="x",-$E838/(COUNTIF($J838:$Q838,"x")+1),-$E838*N(J838)))</f>
        <v/>
      </c>
      <c r="Y838" s="34">
        <f>IF(OR($A838="",$H838&lt;&gt;"Ausgabe",K838=""),0,IF(K838="x",-$E838/(COUNTIF($J838:$Q838,"x")+1),-$E838*N(K838)))</f>
        <v/>
      </c>
      <c r="Z838" s="34">
        <f>IF(OR($A838="",$H838&lt;&gt;"Ausgabe",L838=""),0,IF(L838="x",-$E838/(COUNTIF($J838:$Q838,"x")+1),-$E838*N(L838)))</f>
        <v/>
      </c>
      <c r="AA838" s="34">
        <f>IF(OR($A838="",$H838&lt;&gt;"Ausgabe",M838=""),0,IF(M838="x",-$E838/(COUNTIF($J838:$Q838,"x")+1),-$E838*N(M838)))</f>
        <v/>
      </c>
      <c r="AB838" s="34">
        <f>IF(OR($A838="",$H838&lt;&gt;"Ausgabe",N838=""),0,IF(N838="x",-$E838/(COUNTIF($J838:$Q838,"x")+1),-$E838*N(N838)))</f>
        <v/>
      </c>
      <c r="AC838" s="34">
        <f>IF(OR($A838="",$H838&lt;&gt;"Ausgabe",O838=""),0,IF(O838="x",-$E838/(COUNTIF($J838:$Q838,"x")+1),-$E838*N(O838)))</f>
        <v/>
      </c>
      <c r="AD838" s="34">
        <f>IF(OR($A838="",$H838&lt;&gt;"Ausgabe",P838=""),0,IF(P838="x",-$E838/(COUNTIF($J838:$Q838,"x")+1),-$E838*N(P838)))</f>
        <v/>
      </c>
      <c r="AE838" s="34">
        <f>IF(OR($A838="",$H838&lt;&gt;"Ausgabe",Q838=""),0,IF(Q838="x",-$E838/(COUNTIF($J838:$Q838,"x")+1),-$E838*N(Q838)))</f>
        <v/>
      </c>
    </row>
    <row r="839">
      <c r="A839" s="30" t="n"/>
      <c r="E839" s="31" t="n"/>
      <c r="J839" s="32" t="n"/>
      <c r="K839" s="32" t="n"/>
      <c r="L839" s="32" t="n"/>
      <c r="M839" s="32" t="n"/>
      <c r="N839" s="32" t="n"/>
      <c r="O839" s="32" t="n"/>
      <c r="P839" s="32" t="n"/>
      <c r="Q839" s="32" t="n"/>
      <c r="U839" s="31">
        <f>IF($A839="","",SUM(X839:AE839))</f>
        <v/>
      </c>
      <c r="V839" s="31">
        <f>IF($A839="","",IF($H839&lt;&gt;"Ausgabe",0,-$E839-$U839))</f>
        <v/>
      </c>
      <c r="W839" s="33">
        <f>IF($A839="","",DATE(YEAR($A839),MONTH($A839),1))</f>
        <v/>
      </c>
      <c r="X839" s="34">
        <f>IF(OR($A839="",$H839&lt;&gt;"Ausgabe",J839=""),0,IF(J839="x",-$E839/(COUNTIF($J839:$Q839,"x")+1),-$E839*N(J839)))</f>
        <v/>
      </c>
      <c r="Y839" s="34">
        <f>IF(OR($A839="",$H839&lt;&gt;"Ausgabe",K839=""),0,IF(K839="x",-$E839/(COUNTIF($J839:$Q839,"x")+1),-$E839*N(K839)))</f>
        <v/>
      </c>
      <c r="Z839" s="34">
        <f>IF(OR($A839="",$H839&lt;&gt;"Ausgabe",L839=""),0,IF(L839="x",-$E839/(COUNTIF($J839:$Q839,"x")+1),-$E839*N(L839)))</f>
        <v/>
      </c>
      <c r="AA839" s="34">
        <f>IF(OR($A839="",$H839&lt;&gt;"Ausgabe",M839=""),0,IF(M839="x",-$E839/(COUNTIF($J839:$Q839,"x")+1),-$E839*N(M839)))</f>
        <v/>
      </c>
      <c r="AB839" s="34">
        <f>IF(OR($A839="",$H839&lt;&gt;"Ausgabe",N839=""),0,IF(N839="x",-$E839/(COUNTIF($J839:$Q839,"x")+1),-$E839*N(N839)))</f>
        <v/>
      </c>
      <c r="AC839" s="34">
        <f>IF(OR($A839="",$H839&lt;&gt;"Ausgabe",O839=""),0,IF(O839="x",-$E839/(COUNTIF($J839:$Q839,"x")+1),-$E839*N(O839)))</f>
        <v/>
      </c>
      <c r="AD839" s="34">
        <f>IF(OR($A839="",$H839&lt;&gt;"Ausgabe",P839=""),0,IF(P839="x",-$E839/(COUNTIF($J839:$Q839,"x")+1),-$E839*N(P839)))</f>
        <v/>
      </c>
      <c r="AE839" s="34">
        <f>IF(OR($A839="",$H839&lt;&gt;"Ausgabe",Q839=""),0,IF(Q839="x",-$E839/(COUNTIF($J839:$Q839,"x")+1),-$E839*N(Q839)))</f>
        <v/>
      </c>
    </row>
    <row r="840">
      <c r="A840" s="30" t="n"/>
      <c r="E840" s="31" t="n"/>
      <c r="J840" s="32" t="n"/>
      <c r="K840" s="32" t="n"/>
      <c r="L840" s="32" t="n"/>
      <c r="M840" s="32" t="n"/>
      <c r="N840" s="32" t="n"/>
      <c r="O840" s="32" t="n"/>
      <c r="P840" s="32" t="n"/>
      <c r="Q840" s="32" t="n"/>
      <c r="U840" s="31">
        <f>IF($A840="","",SUM(X840:AE840))</f>
        <v/>
      </c>
      <c r="V840" s="31">
        <f>IF($A840="","",IF($H840&lt;&gt;"Ausgabe",0,-$E840-$U840))</f>
        <v/>
      </c>
      <c r="W840" s="33">
        <f>IF($A840="","",DATE(YEAR($A840),MONTH($A840),1))</f>
        <v/>
      </c>
      <c r="X840" s="34">
        <f>IF(OR($A840="",$H840&lt;&gt;"Ausgabe",J840=""),0,IF(J840="x",-$E840/(COUNTIF($J840:$Q840,"x")+1),-$E840*N(J840)))</f>
        <v/>
      </c>
      <c r="Y840" s="34">
        <f>IF(OR($A840="",$H840&lt;&gt;"Ausgabe",K840=""),0,IF(K840="x",-$E840/(COUNTIF($J840:$Q840,"x")+1),-$E840*N(K840)))</f>
        <v/>
      </c>
      <c r="Z840" s="34">
        <f>IF(OR($A840="",$H840&lt;&gt;"Ausgabe",L840=""),0,IF(L840="x",-$E840/(COUNTIF($J840:$Q840,"x")+1),-$E840*N(L840)))</f>
        <v/>
      </c>
      <c r="AA840" s="34">
        <f>IF(OR($A840="",$H840&lt;&gt;"Ausgabe",M840=""),0,IF(M840="x",-$E840/(COUNTIF($J840:$Q840,"x")+1),-$E840*N(M840)))</f>
        <v/>
      </c>
      <c r="AB840" s="34">
        <f>IF(OR($A840="",$H840&lt;&gt;"Ausgabe",N840=""),0,IF(N840="x",-$E840/(COUNTIF($J840:$Q840,"x")+1),-$E840*N(N840)))</f>
        <v/>
      </c>
      <c r="AC840" s="34">
        <f>IF(OR($A840="",$H840&lt;&gt;"Ausgabe",O840=""),0,IF(O840="x",-$E840/(COUNTIF($J840:$Q840,"x")+1),-$E840*N(O840)))</f>
        <v/>
      </c>
      <c r="AD840" s="34">
        <f>IF(OR($A840="",$H840&lt;&gt;"Ausgabe",P840=""),0,IF(P840="x",-$E840/(COUNTIF($J840:$Q840,"x")+1),-$E840*N(P840)))</f>
        <v/>
      </c>
      <c r="AE840" s="34">
        <f>IF(OR($A840="",$H840&lt;&gt;"Ausgabe",Q840=""),0,IF(Q840="x",-$E840/(COUNTIF($J840:$Q840,"x")+1),-$E840*N(Q840)))</f>
        <v/>
      </c>
    </row>
    <row r="841">
      <c r="A841" s="30" t="n"/>
      <c r="E841" s="31" t="n"/>
      <c r="J841" s="32" t="n"/>
      <c r="K841" s="32" t="n"/>
      <c r="L841" s="32" t="n"/>
      <c r="M841" s="32" t="n"/>
      <c r="N841" s="32" t="n"/>
      <c r="O841" s="32" t="n"/>
      <c r="P841" s="32" t="n"/>
      <c r="Q841" s="32" t="n"/>
      <c r="U841" s="31">
        <f>IF($A841="","",SUM(X841:AE841))</f>
        <v/>
      </c>
      <c r="V841" s="31">
        <f>IF($A841="","",IF($H841&lt;&gt;"Ausgabe",0,-$E841-$U841))</f>
        <v/>
      </c>
      <c r="W841" s="33">
        <f>IF($A841="","",DATE(YEAR($A841),MONTH($A841),1))</f>
        <v/>
      </c>
      <c r="X841" s="34">
        <f>IF(OR($A841="",$H841&lt;&gt;"Ausgabe",J841=""),0,IF(J841="x",-$E841/(COUNTIF($J841:$Q841,"x")+1),-$E841*N(J841)))</f>
        <v/>
      </c>
      <c r="Y841" s="34">
        <f>IF(OR($A841="",$H841&lt;&gt;"Ausgabe",K841=""),0,IF(K841="x",-$E841/(COUNTIF($J841:$Q841,"x")+1),-$E841*N(K841)))</f>
        <v/>
      </c>
      <c r="Z841" s="34">
        <f>IF(OR($A841="",$H841&lt;&gt;"Ausgabe",L841=""),0,IF(L841="x",-$E841/(COUNTIF($J841:$Q841,"x")+1),-$E841*N(L841)))</f>
        <v/>
      </c>
      <c r="AA841" s="34">
        <f>IF(OR($A841="",$H841&lt;&gt;"Ausgabe",M841=""),0,IF(M841="x",-$E841/(COUNTIF($J841:$Q841,"x")+1),-$E841*N(M841)))</f>
        <v/>
      </c>
      <c r="AB841" s="34">
        <f>IF(OR($A841="",$H841&lt;&gt;"Ausgabe",N841=""),0,IF(N841="x",-$E841/(COUNTIF($J841:$Q841,"x")+1),-$E841*N(N841)))</f>
        <v/>
      </c>
      <c r="AC841" s="34">
        <f>IF(OR($A841="",$H841&lt;&gt;"Ausgabe",O841=""),0,IF(O841="x",-$E841/(COUNTIF($J841:$Q841,"x")+1),-$E841*N(O841)))</f>
        <v/>
      </c>
      <c r="AD841" s="34">
        <f>IF(OR($A841="",$H841&lt;&gt;"Ausgabe",P841=""),0,IF(P841="x",-$E841/(COUNTIF($J841:$Q841,"x")+1),-$E841*N(P841)))</f>
        <v/>
      </c>
      <c r="AE841" s="34">
        <f>IF(OR($A841="",$H841&lt;&gt;"Ausgabe",Q841=""),0,IF(Q841="x",-$E841/(COUNTIF($J841:$Q841,"x")+1),-$E841*N(Q841)))</f>
        <v/>
      </c>
    </row>
    <row r="842">
      <c r="A842" s="30" t="n"/>
      <c r="E842" s="31" t="n"/>
      <c r="J842" s="32" t="n"/>
      <c r="K842" s="32" t="n"/>
      <c r="L842" s="32" t="n"/>
      <c r="M842" s="32" t="n"/>
      <c r="N842" s="32" t="n"/>
      <c r="O842" s="32" t="n"/>
      <c r="P842" s="32" t="n"/>
      <c r="Q842" s="32" t="n"/>
      <c r="U842" s="31">
        <f>IF($A842="","",SUM(X842:AE842))</f>
        <v/>
      </c>
      <c r="V842" s="31">
        <f>IF($A842="","",IF($H842&lt;&gt;"Ausgabe",0,-$E842-$U842))</f>
        <v/>
      </c>
      <c r="W842" s="33">
        <f>IF($A842="","",DATE(YEAR($A842),MONTH($A842),1))</f>
        <v/>
      </c>
      <c r="X842" s="34">
        <f>IF(OR($A842="",$H842&lt;&gt;"Ausgabe",J842=""),0,IF(J842="x",-$E842/(COUNTIF($J842:$Q842,"x")+1),-$E842*N(J842)))</f>
        <v/>
      </c>
      <c r="Y842" s="34">
        <f>IF(OR($A842="",$H842&lt;&gt;"Ausgabe",K842=""),0,IF(K842="x",-$E842/(COUNTIF($J842:$Q842,"x")+1),-$E842*N(K842)))</f>
        <v/>
      </c>
      <c r="Z842" s="34">
        <f>IF(OR($A842="",$H842&lt;&gt;"Ausgabe",L842=""),0,IF(L842="x",-$E842/(COUNTIF($J842:$Q842,"x")+1),-$E842*N(L842)))</f>
        <v/>
      </c>
      <c r="AA842" s="34">
        <f>IF(OR($A842="",$H842&lt;&gt;"Ausgabe",M842=""),0,IF(M842="x",-$E842/(COUNTIF($J842:$Q842,"x")+1),-$E842*N(M842)))</f>
        <v/>
      </c>
      <c r="AB842" s="34">
        <f>IF(OR($A842="",$H842&lt;&gt;"Ausgabe",N842=""),0,IF(N842="x",-$E842/(COUNTIF($J842:$Q842,"x")+1),-$E842*N(N842)))</f>
        <v/>
      </c>
      <c r="AC842" s="34">
        <f>IF(OR($A842="",$H842&lt;&gt;"Ausgabe",O842=""),0,IF(O842="x",-$E842/(COUNTIF($J842:$Q842,"x")+1),-$E842*N(O842)))</f>
        <v/>
      </c>
      <c r="AD842" s="34">
        <f>IF(OR($A842="",$H842&lt;&gt;"Ausgabe",P842=""),0,IF(P842="x",-$E842/(COUNTIF($J842:$Q842,"x")+1),-$E842*N(P842)))</f>
        <v/>
      </c>
      <c r="AE842" s="34">
        <f>IF(OR($A842="",$H842&lt;&gt;"Ausgabe",Q842=""),0,IF(Q842="x",-$E842/(COUNTIF($J842:$Q842,"x")+1),-$E842*N(Q842)))</f>
        <v/>
      </c>
    </row>
    <row r="843">
      <c r="A843" s="30" t="n"/>
      <c r="E843" s="31" t="n"/>
      <c r="J843" s="32" t="n"/>
      <c r="K843" s="32" t="n"/>
      <c r="L843" s="32" t="n"/>
      <c r="M843" s="32" t="n"/>
      <c r="N843" s="32" t="n"/>
      <c r="O843" s="32" t="n"/>
      <c r="P843" s="32" t="n"/>
      <c r="Q843" s="32" t="n"/>
      <c r="U843" s="31">
        <f>IF($A843="","",SUM(X843:AE843))</f>
        <v/>
      </c>
      <c r="V843" s="31">
        <f>IF($A843="","",IF($H843&lt;&gt;"Ausgabe",0,-$E843-$U843))</f>
        <v/>
      </c>
      <c r="W843" s="33">
        <f>IF($A843="","",DATE(YEAR($A843),MONTH($A843),1))</f>
        <v/>
      </c>
      <c r="X843" s="34">
        <f>IF(OR($A843="",$H843&lt;&gt;"Ausgabe",J843=""),0,IF(J843="x",-$E843/(COUNTIF($J843:$Q843,"x")+1),-$E843*N(J843)))</f>
        <v/>
      </c>
      <c r="Y843" s="34">
        <f>IF(OR($A843="",$H843&lt;&gt;"Ausgabe",K843=""),0,IF(K843="x",-$E843/(COUNTIF($J843:$Q843,"x")+1),-$E843*N(K843)))</f>
        <v/>
      </c>
      <c r="Z843" s="34">
        <f>IF(OR($A843="",$H843&lt;&gt;"Ausgabe",L843=""),0,IF(L843="x",-$E843/(COUNTIF($J843:$Q843,"x")+1),-$E843*N(L843)))</f>
        <v/>
      </c>
      <c r="AA843" s="34">
        <f>IF(OR($A843="",$H843&lt;&gt;"Ausgabe",M843=""),0,IF(M843="x",-$E843/(COUNTIF($J843:$Q843,"x")+1),-$E843*N(M843)))</f>
        <v/>
      </c>
      <c r="AB843" s="34">
        <f>IF(OR($A843="",$H843&lt;&gt;"Ausgabe",N843=""),0,IF(N843="x",-$E843/(COUNTIF($J843:$Q843,"x")+1),-$E843*N(N843)))</f>
        <v/>
      </c>
      <c r="AC843" s="34">
        <f>IF(OR($A843="",$H843&lt;&gt;"Ausgabe",O843=""),0,IF(O843="x",-$E843/(COUNTIF($J843:$Q843,"x")+1),-$E843*N(O843)))</f>
        <v/>
      </c>
      <c r="AD843" s="34">
        <f>IF(OR($A843="",$H843&lt;&gt;"Ausgabe",P843=""),0,IF(P843="x",-$E843/(COUNTIF($J843:$Q843,"x")+1),-$E843*N(P843)))</f>
        <v/>
      </c>
      <c r="AE843" s="34">
        <f>IF(OR($A843="",$H843&lt;&gt;"Ausgabe",Q843=""),0,IF(Q843="x",-$E843/(COUNTIF($J843:$Q843,"x")+1),-$E843*N(Q843)))</f>
        <v/>
      </c>
    </row>
    <row r="844">
      <c r="A844" s="30" t="n"/>
      <c r="E844" s="31" t="n"/>
      <c r="J844" s="32" t="n"/>
      <c r="K844" s="32" t="n"/>
      <c r="L844" s="32" t="n"/>
      <c r="M844" s="32" t="n"/>
      <c r="N844" s="32" t="n"/>
      <c r="O844" s="32" t="n"/>
      <c r="P844" s="32" t="n"/>
      <c r="Q844" s="32" t="n"/>
      <c r="U844" s="31">
        <f>IF($A844="","",SUM(X844:AE844))</f>
        <v/>
      </c>
      <c r="V844" s="31">
        <f>IF($A844="","",IF($H844&lt;&gt;"Ausgabe",0,-$E844-$U844))</f>
        <v/>
      </c>
      <c r="W844" s="33">
        <f>IF($A844="","",DATE(YEAR($A844),MONTH($A844),1))</f>
        <v/>
      </c>
      <c r="X844" s="34">
        <f>IF(OR($A844="",$H844&lt;&gt;"Ausgabe",J844=""),0,IF(J844="x",-$E844/(COUNTIF($J844:$Q844,"x")+1),-$E844*N(J844)))</f>
        <v/>
      </c>
      <c r="Y844" s="34">
        <f>IF(OR($A844="",$H844&lt;&gt;"Ausgabe",K844=""),0,IF(K844="x",-$E844/(COUNTIF($J844:$Q844,"x")+1),-$E844*N(K844)))</f>
        <v/>
      </c>
      <c r="Z844" s="34">
        <f>IF(OR($A844="",$H844&lt;&gt;"Ausgabe",L844=""),0,IF(L844="x",-$E844/(COUNTIF($J844:$Q844,"x")+1),-$E844*N(L844)))</f>
        <v/>
      </c>
      <c r="AA844" s="34">
        <f>IF(OR($A844="",$H844&lt;&gt;"Ausgabe",M844=""),0,IF(M844="x",-$E844/(COUNTIF($J844:$Q844,"x")+1),-$E844*N(M844)))</f>
        <v/>
      </c>
      <c r="AB844" s="34">
        <f>IF(OR($A844="",$H844&lt;&gt;"Ausgabe",N844=""),0,IF(N844="x",-$E844/(COUNTIF($J844:$Q844,"x")+1),-$E844*N(N844)))</f>
        <v/>
      </c>
      <c r="AC844" s="34">
        <f>IF(OR($A844="",$H844&lt;&gt;"Ausgabe",O844=""),0,IF(O844="x",-$E844/(COUNTIF($J844:$Q844,"x")+1),-$E844*N(O844)))</f>
        <v/>
      </c>
      <c r="AD844" s="34">
        <f>IF(OR($A844="",$H844&lt;&gt;"Ausgabe",P844=""),0,IF(P844="x",-$E844/(COUNTIF($J844:$Q844,"x")+1),-$E844*N(P844)))</f>
        <v/>
      </c>
      <c r="AE844" s="34">
        <f>IF(OR($A844="",$H844&lt;&gt;"Ausgabe",Q844=""),0,IF(Q844="x",-$E844/(COUNTIF($J844:$Q844,"x")+1),-$E844*N(Q844)))</f>
        <v/>
      </c>
    </row>
    <row r="845">
      <c r="A845" s="30" t="n"/>
      <c r="E845" s="31" t="n"/>
      <c r="J845" s="32" t="n"/>
      <c r="K845" s="32" t="n"/>
      <c r="L845" s="32" t="n"/>
      <c r="M845" s="32" t="n"/>
      <c r="N845" s="32" t="n"/>
      <c r="O845" s="32" t="n"/>
      <c r="P845" s="32" t="n"/>
      <c r="Q845" s="32" t="n"/>
      <c r="U845" s="31">
        <f>IF($A845="","",SUM(X845:AE845))</f>
        <v/>
      </c>
      <c r="V845" s="31">
        <f>IF($A845="","",IF($H845&lt;&gt;"Ausgabe",0,-$E845-$U845))</f>
        <v/>
      </c>
      <c r="W845" s="33">
        <f>IF($A845="","",DATE(YEAR($A845),MONTH($A845),1))</f>
        <v/>
      </c>
      <c r="X845" s="34">
        <f>IF(OR($A845="",$H845&lt;&gt;"Ausgabe",J845=""),0,IF(J845="x",-$E845/(COUNTIF($J845:$Q845,"x")+1),-$E845*N(J845)))</f>
        <v/>
      </c>
      <c r="Y845" s="34">
        <f>IF(OR($A845="",$H845&lt;&gt;"Ausgabe",K845=""),0,IF(K845="x",-$E845/(COUNTIF($J845:$Q845,"x")+1),-$E845*N(K845)))</f>
        <v/>
      </c>
      <c r="Z845" s="34">
        <f>IF(OR($A845="",$H845&lt;&gt;"Ausgabe",L845=""),0,IF(L845="x",-$E845/(COUNTIF($J845:$Q845,"x")+1),-$E845*N(L845)))</f>
        <v/>
      </c>
      <c r="AA845" s="34">
        <f>IF(OR($A845="",$H845&lt;&gt;"Ausgabe",M845=""),0,IF(M845="x",-$E845/(COUNTIF($J845:$Q845,"x")+1),-$E845*N(M845)))</f>
        <v/>
      </c>
      <c r="AB845" s="34">
        <f>IF(OR($A845="",$H845&lt;&gt;"Ausgabe",N845=""),0,IF(N845="x",-$E845/(COUNTIF($J845:$Q845,"x")+1),-$E845*N(N845)))</f>
        <v/>
      </c>
      <c r="AC845" s="34">
        <f>IF(OR($A845="",$H845&lt;&gt;"Ausgabe",O845=""),0,IF(O845="x",-$E845/(COUNTIF($J845:$Q845,"x")+1),-$E845*N(O845)))</f>
        <v/>
      </c>
      <c r="AD845" s="34">
        <f>IF(OR($A845="",$H845&lt;&gt;"Ausgabe",P845=""),0,IF(P845="x",-$E845/(COUNTIF($J845:$Q845,"x")+1),-$E845*N(P845)))</f>
        <v/>
      </c>
      <c r="AE845" s="34">
        <f>IF(OR($A845="",$H845&lt;&gt;"Ausgabe",Q845=""),0,IF(Q845="x",-$E845/(COUNTIF($J845:$Q845,"x")+1),-$E845*N(Q845)))</f>
        <v/>
      </c>
    </row>
    <row r="846">
      <c r="A846" s="30" t="n"/>
      <c r="E846" s="31" t="n"/>
      <c r="J846" s="32" t="n"/>
      <c r="K846" s="32" t="n"/>
      <c r="L846" s="32" t="n"/>
      <c r="M846" s="32" t="n"/>
      <c r="N846" s="32" t="n"/>
      <c r="O846" s="32" t="n"/>
      <c r="P846" s="32" t="n"/>
      <c r="Q846" s="32" t="n"/>
      <c r="U846" s="31">
        <f>IF($A846="","",SUM(X846:AE846))</f>
        <v/>
      </c>
      <c r="V846" s="31">
        <f>IF($A846="","",IF($H846&lt;&gt;"Ausgabe",0,-$E846-$U846))</f>
        <v/>
      </c>
      <c r="W846" s="33">
        <f>IF($A846="","",DATE(YEAR($A846),MONTH($A846),1))</f>
        <v/>
      </c>
      <c r="X846" s="34">
        <f>IF(OR($A846="",$H846&lt;&gt;"Ausgabe",J846=""),0,IF(J846="x",-$E846/(COUNTIF($J846:$Q846,"x")+1),-$E846*N(J846)))</f>
        <v/>
      </c>
      <c r="Y846" s="34">
        <f>IF(OR($A846="",$H846&lt;&gt;"Ausgabe",K846=""),0,IF(K846="x",-$E846/(COUNTIF($J846:$Q846,"x")+1),-$E846*N(K846)))</f>
        <v/>
      </c>
      <c r="Z846" s="34">
        <f>IF(OR($A846="",$H846&lt;&gt;"Ausgabe",L846=""),0,IF(L846="x",-$E846/(COUNTIF($J846:$Q846,"x")+1),-$E846*N(L846)))</f>
        <v/>
      </c>
      <c r="AA846" s="34">
        <f>IF(OR($A846="",$H846&lt;&gt;"Ausgabe",M846=""),0,IF(M846="x",-$E846/(COUNTIF($J846:$Q846,"x")+1),-$E846*N(M846)))</f>
        <v/>
      </c>
      <c r="AB846" s="34">
        <f>IF(OR($A846="",$H846&lt;&gt;"Ausgabe",N846=""),0,IF(N846="x",-$E846/(COUNTIF($J846:$Q846,"x")+1),-$E846*N(N846)))</f>
        <v/>
      </c>
      <c r="AC846" s="34">
        <f>IF(OR($A846="",$H846&lt;&gt;"Ausgabe",O846=""),0,IF(O846="x",-$E846/(COUNTIF($J846:$Q846,"x")+1),-$E846*N(O846)))</f>
        <v/>
      </c>
      <c r="AD846" s="34">
        <f>IF(OR($A846="",$H846&lt;&gt;"Ausgabe",P846=""),0,IF(P846="x",-$E846/(COUNTIF($J846:$Q846,"x")+1),-$E846*N(P846)))</f>
        <v/>
      </c>
      <c r="AE846" s="34">
        <f>IF(OR($A846="",$H846&lt;&gt;"Ausgabe",Q846=""),0,IF(Q846="x",-$E846/(COUNTIF($J846:$Q846,"x")+1),-$E846*N(Q846)))</f>
        <v/>
      </c>
    </row>
    <row r="847">
      <c r="A847" s="30" t="n"/>
      <c r="E847" s="31" t="n"/>
      <c r="J847" s="32" t="n"/>
      <c r="K847" s="32" t="n"/>
      <c r="L847" s="32" t="n"/>
      <c r="M847" s="32" t="n"/>
      <c r="N847" s="32" t="n"/>
      <c r="O847" s="32" t="n"/>
      <c r="P847" s="32" t="n"/>
      <c r="Q847" s="32" t="n"/>
      <c r="U847" s="31">
        <f>IF($A847="","",SUM(X847:AE847))</f>
        <v/>
      </c>
      <c r="V847" s="31">
        <f>IF($A847="","",IF($H847&lt;&gt;"Ausgabe",0,-$E847-$U847))</f>
        <v/>
      </c>
      <c r="W847" s="33">
        <f>IF($A847="","",DATE(YEAR($A847),MONTH($A847),1))</f>
        <v/>
      </c>
      <c r="X847" s="34">
        <f>IF(OR($A847="",$H847&lt;&gt;"Ausgabe",J847=""),0,IF(J847="x",-$E847/(COUNTIF($J847:$Q847,"x")+1),-$E847*N(J847)))</f>
        <v/>
      </c>
      <c r="Y847" s="34">
        <f>IF(OR($A847="",$H847&lt;&gt;"Ausgabe",K847=""),0,IF(K847="x",-$E847/(COUNTIF($J847:$Q847,"x")+1),-$E847*N(K847)))</f>
        <v/>
      </c>
      <c r="Z847" s="34">
        <f>IF(OR($A847="",$H847&lt;&gt;"Ausgabe",L847=""),0,IF(L847="x",-$E847/(COUNTIF($J847:$Q847,"x")+1),-$E847*N(L847)))</f>
        <v/>
      </c>
      <c r="AA847" s="34">
        <f>IF(OR($A847="",$H847&lt;&gt;"Ausgabe",M847=""),0,IF(M847="x",-$E847/(COUNTIF($J847:$Q847,"x")+1),-$E847*N(M847)))</f>
        <v/>
      </c>
      <c r="AB847" s="34">
        <f>IF(OR($A847="",$H847&lt;&gt;"Ausgabe",N847=""),0,IF(N847="x",-$E847/(COUNTIF($J847:$Q847,"x")+1),-$E847*N(N847)))</f>
        <v/>
      </c>
      <c r="AC847" s="34">
        <f>IF(OR($A847="",$H847&lt;&gt;"Ausgabe",O847=""),0,IF(O847="x",-$E847/(COUNTIF($J847:$Q847,"x")+1),-$E847*N(O847)))</f>
        <v/>
      </c>
      <c r="AD847" s="34">
        <f>IF(OR($A847="",$H847&lt;&gt;"Ausgabe",P847=""),0,IF(P847="x",-$E847/(COUNTIF($J847:$Q847,"x")+1),-$E847*N(P847)))</f>
        <v/>
      </c>
      <c r="AE847" s="34">
        <f>IF(OR($A847="",$H847&lt;&gt;"Ausgabe",Q847=""),0,IF(Q847="x",-$E847/(COUNTIF($J847:$Q847,"x")+1),-$E847*N(Q847)))</f>
        <v/>
      </c>
    </row>
    <row r="848">
      <c r="A848" s="30" t="n"/>
      <c r="E848" s="31" t="n"/>
      <c r="J848" s="32" t="n"/>
      <c r="K848" s="32" t="n"/>
      <c r="L848" s="32" t="n"/>
      <c r="M848" s="32" t="n"/>
      <c r="N848" s="32" t="n"/>
      <c r="O848" s="32" t="n"/>
      <c r="P848" s="32" t="n"/>
      <c r="Q848" s="32" t="n"/>
      <c r="U848" s="31">
        <f>IF($A848="","",SUM(X848:AE848))</f>
        <v/>
      </c>
      <c r="V848" s="31">
        <f>IF($A848="","",IF($H848&lt;&gt;"Ausgabe",0,-$E848-$U848))</f>
        <v/>
      </c>
      <c r="W848" s="33">
        <f>IF($A848="","",DATE(YEAR($A848),MONTH($A848),1))</f>
        <v/>
      </c>
      <c r="X848" s="34">
        <f>IF(OR($A848="",$H848&lt;&gt;"Ausgabe",J848=""),0,IF(J848="x",-$E848/(COUNTIF($J848:$Q848,"x")+1),-$E848*N(J848)))</f>
        <v/>
      </c>
      <c r="Y848" s="34">
        <f>IF(OR($A848="",$H848&lt;&gt;"Ausgabe",K848=""),0,IF(K848="x",-$E848/(COUNTIF($J848:$Q848,"x")+1),-$E848*N(K848)))</f>
        <v/>
      </c>
      <c r="Z848" s="34">
        <f>IF(OR($A848="",$H848&lt;&gt;"Ausgabe",L848=""),0,IF(L848="x",-$E848/(COUNTIF($J848:$Q848,"x")+1),-$E848*N(L848)))</f>
        <v/>
      </c>
      <c r="AA848" s="34">
        <f>IF(OR($A848="",$H848&lt;&gt;"Ausgabe",M848=""),0,IF(M848="x",-$E848/(COUNTIF($J848:$Q848,"x")+1),-$E848*N(M848)))</f>
        <v/>
      </c>
      <c r="AB848" s="34">
        <f>IF(OR($A848="",$H848&lt;&gt;"Ausgabe",N848=""),0,IF(N848="x",-$E848/(COUNTIF($J848:$Q848,"x")+1),-$E848*N(N848)))</f>
        <v/>
      </c>
      <c r="AC848" s="34">
        <f>IF(OR($A848="",$H848&lt;&gt;"Ausgabe",O848=""),0,IF(O848="x",-$E848/(COUNTIF($J848:$Q848,"x")+1),-$E848*N(O848)))</f>
        <v/>
      </c>
      <c r="AD848" s="34">
        <f>IF(OR($A848="",$H848&lt;&gt;"Ausgabe",P848=""),0,IF(P848="x",-$E848/(COUNTIF($J848:$Q848,"x")+1),-$E848*N(P848)))</f>
        <v/>
      </c>
      <c r="AE848" s="34">
        <f>IF(OR($A848="",$H848&lt;&gt;"Ausgabe",Q848=""),0,IF(Q848="x",-$E848/(COUNTIF($J848:$Q848,"x")+1),-$E848*N(Q848)))</f>
        <v/>
      </c>
    </row>
    <row r="849">
      <c r="A849" s="30" t="n"/>
      <c r="E849" s="31" t="n"/>
      <c r="J849" s="32" t="n"/>
      <c r="K849" s="32" t="n"/>
      <c r="L849" s="32" t="n"/>
      <c r="M849" s="32" t="n"/>
      <c r="N849" s="32" t="n"/>
      <c r="O849" s="32" t="n"/>
      <c r="P849" s="32" t="n"/>
      <c r="Q849" s="32" t="n"/>
      <c r="U849" s="31">
        <f>IF($A849="","",SUM(X849:AE849))</f>
        <v/>
      </c>
      <c r="V849" s="31">
        <f>IF($A849="","",IF($H849&lt;&gt;"Ausgabe",0,-$E849-$U849))</f>
        <v/>
      </c>
      <c r="W849" s="33">
        <f>IF($A849="","",DATE(YEAR($A849),MONTH($A849),1))</f>
        <v/>
      </c>
      <c r="X849" s="34">
        <f>IF(OR($A849="",$H849&lt;&gt;"Ausgabe",J849=""),0,IF(J849="x",-$E849/(COUNTIF($J849:$Q849,"x")+1),-$E849*N(J849)))</f>
        <v/>
      </c>
      <c r="Y849" s="34">
        <f>IF(OR($A849="",$H849&lt;&gt;"Ausgabe",K849=""),0,IF(K849="x",-$E849/(COUNTIF($J849:$Q849,"x")+1),-$E849*N(K849)))</f>
        <v/>
      </c>
      <c r="Z849" s="34">
        <f>IF(OR($A849="",$H849&lt;&gt;"Ausgabe",L849=""),0,IF(L849="x",-$E849/(COUNTIF($J849:$Q849,"x")+1),-$E849*N(L849)))</f>
        <v/>
      </c>
      <c r="AA849" s="34">
        <f>IF(OR($A849="",$H849&lt;&gt;"Ausgabe",M849=""),0,IF(M849="x",-$E849/(COUNTIF($J849:$Q849,"x")+1),-$E849*N(M849)))</f>
        <v/>
      </c>
      <c r="AB849" s="34">
        <f>IF(OR($A849="",$H849&lt;&gt;"Ausgabe",N849=""),0,IF(N849="x",-$E849/(COUNTIF($J849:$Q849,"x")+1),-$E849*N(N849)))</f>
        <v/>
      </c>
      <c r="AC849" s="34">
        <f>IF(OR($A849="",$H849&lt;&gt;"Ausgabe",O849=""),0,IF(O849="x",-$E849/(COUNTIF($J849:$Q849,"x")+1),-$E849*N(O849)))</f>
        <v/>
      </c>
      <c r="AD849" s="34">
        <f>IF(OR($A849="",$H849&lt;&gt;"Ausgabe",P849=""),0,IF(P849="x",-$E849/(COUNTIF($J849:$Q849,"x")+1),-$E849*N(P849)))</f>
        <v/>
      </c>
      <c r="AE849" s="34">
        <f>IF(OR($A849="",$H849&lt;&gt;"Ausgabe",Q849=""),0,IF(Q849="x",-$E849/(COUNTIF($J849:$Q849,"x")+1),-$E849*N(Q849)))</f>
        <v/>
      </c>
    </row>
    <row r="850">
      <c r="A850" s="30" t="n"/>
      <c r="E850" s="31" t="n"/>
      <c r="J850" s="32" t="n"/>
      <c r="K850" s="32" t="n"/>
      <c r="L850" s="32" t="n"/>
      <c r="M850" s="32" t="n"/>
      <c r="N850" s="32" t="n"/>
      <c r="O850" s="32" t="n"/>
      <c r="P850" s="32" t="n"/>
      <c r="Q850" s="32" t="n"/>
      <c r="U850" s="31">
        <f>IF($A850="","",SUM(X850:AE850))</f>
        <v/>
      </c>
      <c r="V850" s="31">
        <f>IF($A850="","",IF($H850&lt;&gt;"Ausgabe",0,-$E850-$U850))</f>
        <v/>
      </c>
      <c r="W850" s="33">
        <f>IF($A850="","",DATE(YEAR($A850),MONTH($A850),1))</f>
        <v/>
      </c>
      <c r="X850" s="34">
        <f>IF(OR($A850="",$H850&lt;&gt;"Ausgabe",J850=""),0,IF(J850="x",-$E850/(COUNTIF($J850:$Q850,"x")+1),-$E850*N(J850)))</f>
        <v/>
      </c>
      <c r="Y850" s="34">
        <f>IF(OR($A850="",$H850&lt;&gt;"Ausgabe",K850=""),0,IF(K850="x",-$E850/(COUNTIF($J850:$Q850,"x")+1),-$E850*N(K850)))</f>
        <v/>
      </c>
      <c r="Z850" s="34">
        <f>IF(OR($A850="",$H850&lt;&gt;"Ausgabe",L850=""),0,IF(L850="x",-$E850/(COUNTIF($J850:$Q850,"x")+1),-$E850*N(L850)))</f>
        <v/>
      </c>
      <c r="AA850" s="34">
        <f>IF(OR($A850="",$H850&lt;&gt;"Ausgabe",M850=""),0,IF(M850="x",-$E850/(COUNTIF($J850:$Q850,"x")+1),-$E850*N(M850)))</f>
        <v/>
      </c>
      <c r="AB850" s="34">
        <f>IF(OR($A850="",$H850&lt;&gt;"Ausgabe",N850=""),0,IF(N850="x",-$E850/(COUNTIF($J850:$Q850,"x")+1),-$E850*N(N850)))</f>
        <v/>
      </c>
      <c r="AC850" s="34">
        <f>IF(OR($A850="",$H850&lt;&gt;"Ausgabe",O850=""),0,IF(O850="x",-$E850/(COUNTIF($J850:$Q850,"x")+1),-$E850*N(O850)))</f>
        <v/>
      </c>
      <c r="AD850" s="34">
        <f>IF(OR($A850="",$H850&lt;&gt;"Ausgabe",P850=""),0,IF(P850="x",-$E850/(COUNTIF($J850:$Q850,"x")+1),-$E850*N(P850)))</f>
        <v/>
      </c>
      <c r="AE850" s="34">
        <f>IF(OR($A850="",$H850&lt;&gt;"Ausgabe",Q850=""),0,IF(Q850="x",-$E850/(COUNTIF($J850:$Q850,"x")+1),-$E850*N(Q850)))</f>
        <v/>
      </c>
    </row>
    <row r="851">
      <c r="A851" s="30" t="n"/>
      <c r="E851" s="31" t="n"/>
      <c r="J851" s="32" t="n"/>
      <c r="K851" s="32" t="n"/>
      <c r="L851" s="32" t="n"/>
      <c r="M851" s="32" t="n"/>
      <c r="N851" s="32" t="n"/>
      <c r="O851" s="32" t="n"/>
      <c r="P851" s="32" t="n"/>
      <c r="Q851" s="32" t="n"/>
      <c r="U851" s="31">
        <f>IF($A851="","",SUM(X851:AE851))</f>
        <v/>
      </c>
      <c r="V851" s="31">
        <f>IF($A851="","",IF($H851&lt;&gt;"Ausgabe",0,-$E851-$U851))</f>
        <v/>
      </c>
      <c r="W851" s="33">
        <f>IF($A851="","",DATE(YEAR($A851),MONTH($A851),1))</f>
        <v/>
      </c>
      <c r="X851" s="34">
        <f>IF(OR($A851="",$H851&lt;&gt;"Ausgabe",J851=""),0,IF(J851="x",-$E851/(COUNTIF($J851:$Q851,"x")+1),-$E851*N(J851)))</f>
        <v/>
      </c>
      <c r="Y851" s="34">
        <f>IF(OR($A851="",$H851&lt;&gt;"Ausgabe",K851=""),0,IF(K851="x",-$E851/(COUNTIF($J851:$Q851,"x")+1),-$E851*N(K851)))</f>
        <v/>
      </c>
      <c r="Z851" s="34">
        <f>IF(OR($A851="",$H851&lt;&gt;"Ausgabe",L851=""),0,IF(L851="x",-$E851/(COUNTIF($J851:$Q851,"x")+1),-$E851*N(L851)))</f>
        <v/>
      </c>
      <c r="AA851" s="34">
        <f>IF(OR($A851="",$H851&lt;&gt;"Ausgabe",M851=""),0,IF(M851="x",-$E851/(COUNTIF($J851:$Q851,"x")+1),-$E851*N(M851)))</f>
        <v/>
      </c>
      <c r="AB851" s="34">
        <f>IF(OR($A851="",$H851&lt;&gt;"Ausgabe",N851=""),0,IF(N851="x",-$E851/(COUNTIF($J851:$Q851,"x")+1),-$E851*N(N851)))</f>
        <v/>
      </c>
      <c r="AC851" s="34">
        <f>IF(OR($A851="",$H851&lt;&gt;"Ausgabe",O851=""),0,IF(O851="x",-$E851/(COUNTIF($J851:$Q851,"x")+1),-$E851*N(O851)))</f>
        <v/>
      </c>
      <c r="AD851" s="34">
        <f>IF(OR($A851="",$H851&lt;&gt;"Ausgabe",P851=""),0,IF(P851="x",-$E851/(COUNTIF($J851:$Q851,"x")+1),-$E851*N(P851)))</f>
        <v/>
      </c>
      <c r="AE851" s="34">
        <f>IF(OR($A851="",$H851&lt;&gt;"Ausgabe",Q851=""),0,IF(Q851="x",-$E851/(COUNTIF($J851:$Q851,"x")+1),-$E851*N(Q851)))</f>
        <v/>
      </c>
    </row>
    <row r="852">
      <c r="A852" s="30" t="n"/>
      <c r="E852" s="31" t="n"/>
      <c r="J852" s="32" t="n"/>
      <c r="K852" s="32" t="n"/>
      <c r="L852" s="32" t="n"/>
      <c r="M852" s="32" t="n"/>
      <c r="N852" s="32" t="n"/>
      <c r="O852" s="32" t="n"/>
      <c r="P852" s="32" t="n"/>
      <c r="Q852" s="32" t="n"/>
      <c r="U852" s="31">
        <f>IF($A852="","",SUM(X852:AE852))</f>
        <v/>
      </c>
      <c r="V852" s="31">
        <f>IF($A852="","",IF($H852&lt;&gt;"Ausgabe",0,-$E852-$U852))</f>
        <v/>
      </c>
      <c r="W852" s="33">
        <f>IF($A852="","",DATE(YEAR($A852),MONTH($A852),1))</f>
        <v/>
      </c>
      <c r="X852" s="34">
        <f>IF(OR($A852="",$H852&lt;&gt;"Ausgabe",J852=""),0,IF(J852="x",-$E852/(COUNTIF($J852:$Q852,"x")+1),-$E852*N(J852)))</f>
        <v/>
      </c>
      <c r="Y852" s="34">
        <f>IF(OR($A852="",$H852&lt;&gt;"Ausgabe",K852=""),0,IF(K852="x",-$E852/(COUNTIF($J852:$Q852,"x")+1),-$E852*N(K852)))</f>
        <v/>
      </c>
      <c r="Z852" s="34">
        <f>IF(OR($A852="",$H852&lt;&gt;"Ausgabe",L852=""),0,IF(L852="x",-$E852/(COUNTIF($J852:$Q852,"x")+1),-$E852*N(L852)))</f>
        <v/>
      </c>
      <c r="AA852" s="34">
        <f>IF(OR($A852="",$H852&lt;&gt;"Ausgabe",M852=""),0,IF(M852="x",-$E852/(COUNTIF($J852:$Q852,"x")+1),-$E852*N(M852)))</f>
        <v/>
      </c>
      <c r="AB852" s="34">
        <f>IF(OR($A852="",$H852&lt;&gt;"Ausgabe",N852=""),0,IF(N852="x",-$E852/(COUNTIF($J852:$Q852,"x")+1),-$E852*N(N852)))</f>
        <v/>
      </c>
      <c r="AC852" s="34">
        <f>IF(OR($A852="",$H852&lt;&gt;"Ausgabe",O852=""),0,IF(O852="x",-$E852/(COUNTIF($J852:$Q852,"x")+1),-$E852*N(O852)))</f>
        <v/>
      </c>
      <c r="AD852" s="34">
        <f>IF(OR($A852="",$H852&lt;&gt;"Ausgabe",P852=""),0,IF(P852="x",-$E852/(COUNTIF($J852:$Q852,"x")+1),-$E852*N(P852)))</f>
        <v/>
      </c>
      <c r="AE852" s="34">
        <f>IF(OR($A852="",$H852&lt;&gt;"Ausgabe",Q852=""),0,IF(Q852="x",-$E852/(COUNTIF($J852:$Q852,"x")+1),-$E852*N(Q852)))</f>
        <v/>
      </c>
    </row>
    <row r="853">
      <c r="A853" s="30" t="n"/>
      <c r="E853" s="31" t="n"/>
      <c r="J853" s="32" t="n"/>
      <c r="K853" s="32" t="n"/>
      <c r="L853" s="32" t="n"/>
      <c r="M853" s="32" t="n"/>
      <c r="N853" s="32" t="n"/>
      <c r="O853" s="32" t="n"/>
      <c r="P853" s="32" t="n"/>
      <c r="Q853" s="32" t="n"/>
      <c r="U853" s="31">
        <f>IF($A853="","",SUM(X853:AE853))</f>
        <v/>
      </c>
      <c r="V853" s="31">
        <f>IF($A853="","",IF($H853&lt;&gt;"Ausgabe",0,-$E853-$U853))</f>
        <v/>
      </c>
      <c r="W853" s="33">
        <f>IF($A853="","",DATE(YEAR($A853),MONTH($A853),1))</f>
        <v/>
      </c>
      <c r="X853" s="34">
        <f>IF(OR($A853="",$H853&lt;&gt;"Ausgabe",J853=""),0,IF(J853="x",-$E853/(COUNTIF($J853:$Q853,"x")+1),-$E853*N(J853)))</f>
        <v/>
      </c>
      <c r="Y853" s="34">
        <f>IF(OR($A853="",$H853&lt;&gt;"Ausgabe",K853=""),0,IF(K853="x",-$E853/(COUNTIF($J853:$Q853,"x")+1),-$E853*N(K853)))</f>
        <v/>
      </c>
      <c r="Z853" s="34">
        <f>IF(OR($A853="",$H853&lt;&gt;"Ausgabe",L853=""),0,IF(L853="x",-$E853/(COUNTIF($J853:$Q853,"x")+1),-$E853*N(L853)))</f>
        <v/>
      </c>
      <c r="AA853" s="34">
        <f>IF(OR($A853="",$H853&lt;&gt;"Ausgabe",M853=""),0,IF(M853="x",-$E853/(COUNTIF($J853:$Q853,"x")+1),-$E853*N(M853)))</f>
        <v/>
      </c>
      <c r="AB853" s="34">
        <f>IF(OR($A853="",$H853&lt;&gt;"Ausgabe",N853=""),0,IF(N853="x",-$E853/(COUNTIF($J853:$Q853,"x")+1),-$E853*N(N853)))</f>
        <v/>
      </c>
      <c r="AC853" s="34">
        <f>IF(OR($A853="",$H853&lt;&gt;"Ausgabe",O853=""),0,IF(O853="x",-$E853/(COUNTIF($J853:$Q853,"x")+1),-$E853*N(O853)))</f>
        <v/>
      </c>
      <c r="AD853" s="34">
        <f>IF(OR($A853="",$H853&lt;&gt;"Ausgabe",P853=""),0,IF(P853="x",-$E853/(COUNTIF($J853:$Q853,"x")+1),-$E853*N(P853)))</f>
        <v/>
      </c>
      <c r="AE853" s="34">
        <f>IF(OR($A853="",$H853&lt;&gt;"Ausgabe",Q853=""),0,IF(Q853="x",-$E853/(COUNTIF($J853:$Q853,"x")+1),-$E853*N(Q853)))</f>
        <v/>
      </c>
    </row>
    <row r="854">
      <c r="A854" s="30" t="n"/>
      <c r="E854" s="31" t="n"/>
      <c r="J854" s="32" t="n"/>
      <c r="K854" s="32" t="n"/>
      <c r="L854" s="32" t="n"/>
      <c r="M854" s="32" t="n"/>
      <c r="N854" s="32" t="n"/>
      <c r="O854" s="32" t="n"/>
      <c r="P854" s="32" t="n"/>
      <c r="Q854" s="32" t="n"/>
      <c r="U854" s="31">
        <f>IF($A854="","",SUM(X854:AE854))</f>
        <v/>
      </c>
      <c r="V854" s="31">
        <f>IF($A854="","",IF($H854&lt;&gt;"Ausgabe",0,-$E854-$U854))</f>
        <v/>
      </c>
      <c r="W854" s="33">
        <f>IF($A854="","",DATE(YEAR($A854),MONTH($A854),1))</f>
        <v/>
      </c>
      <c r="X854" s="34">
        <f>IF(OR($A854="",$H854&lt;&gt;"Ausgabe",J854=""),0,IF(J854="x",-$E854/(COUNTIF($J854:$Q854,"x")+1),-$E854*N(J854)))</f>
        <v/>
      </c>
      <c r="Y854" s="34">
        <f>IF(OR($A854="",$H854&lt;&gt;"Ausgabe",K854=""),0,IF(K854="x",-$E854/(COUNTIF($J854:$Q854,"x")+1),-$E854*N(K854)))</f>
        <v/>
      </c>
      <c r="Z854" s="34">
        <f>IF(OR($A854="",$H854&lt;&gt;"Ausgabe",L854=""),0,IF(L854="x",-$E854/(COUNTIF($J854:$Q854,"x")+1),-$E854*N(L854)))</f>
        <v/>
      </c>
      <c r="AA854" s="34">
        <f>IF(OR($A854="",$H854&lt;&gt;"Ausgabe",M854=""),0,IF(M854="x",-$E854/(COUNTIF($J854:$Q854,"x")+1),-$E854*N(M854)))</f>
        <v/>
      </c>
      <c r="AB854" s="34">
        <f>IF(OR($A854="",$H854&lt;&gt;"Ausgabe",N854=""),0,IF(N854="x",-$E854/(COUNTIF($J854:$Q854,"x")+1),-$E854*N(N854)))</f>
        <v/>
      </c>
      <c r="AC854" s="34">
        <f>IF(OR($A854="",$H854&lt;&gt;"Ausgabe",O854=""),0,IF(O854="x",-$E854/(COUNTIF($J854:$Q854,"x")+1),-$E854*N(O854)))</f>
        <v/>
      </c>
      <c r="AD854" s="34">
        <f>IF(OR($A854="",$H854&lt;&gt;"Ausgabe",P854=""),0,IF(P854="x",-$E854/(COUNTIF($J854:$Q854,"x")+1),-$E854*N(P854)))</f>
        <v/>
      </c>
      <c r="AE854" s="34">
        <f>IF(OR($A854="",$H854&lt;&gt;"Ausgabe",Q854=""),0,IF(Q854="x",-$E854/(COUNTIF($J854:$Q854,"x")+1),-$E854*N(Q854)))</f>
        <v/>
      </c>
    </row>
    <row r="855">
      <c r="A855" s="30" t="n"/>
      <c r="E855" s="31" t="n"/>
      <c r="J855" s="32" t="n"/>
      <c r="K855" s="32" t="n"/>
      <c r="L855" s="32" t="n"/>
      <c r="M855" s="32" t="n"/>
      <c r="N855" s="32" t="n"/>
      <c r="O855" s="32" t="n"/>
      <c r="P855" s="32" t="n"/>
      <c r="Q855" s="32" t="n"/>
      <c r="U855" s="31">
        <f>IF($A855="","",SUM(X855:AE855))</f>
        <v/>
      </c>
      <c r="V855" s="31">
        <f>IF($A855="","",IF($H855&lt;&gt;"Ausgabe",0,-$E855-$U855))</f>
        <v/>
      </c>
      <c r="W855" s="33">
        <f>IF($A855="","",DATE(YEAR($A855),MONTH($A855),1))</f>
        <v/>
      </c>
      <c r="X855" s="34">
        <f>IF(OR($A855="",$H855&lt;&gt;"Ausgabe",J855=""),0,IF(J855="x",-$E855/(COUNTIF($J855:$Q855,"x")+1),-$E855*N(J855)))</f>
        <v/>
      </c>
      <c r="Y855" s="34">
        <f>IF(OR($A855="",$H855&lt;&gt;"Ausgabe",K855=""),0,IF(K855="x",-$E855/(COUNTIF($J855:$Q855,"x")+1),-$E855*N(K855)))</f>
        <v/>
      </c>
      <c r="Z855" s="34">
        <f>IF(OR($A855="",$H855&lt;&gt;"Ausgabe",L855=""),0,IF(L855="x",-$E855/(COUNTIF($J855:$Q855,"x")+1),-$E855*N(L855)))</f>
        <v/>
      </c>
      <c r="AA855" s="34">
        <f>IF(OR($A855="",$H855&lt;&gt;"Ausgabe",M855=""),0,IF(M855="x",-$E855/(COUNTIF($J855:$Q855,"x")+1),-$E855*N(M855)))</f>
        <v/>
      </c>
      <c r="AB855" s="34">
        <f>IF(OR($A855="",$H855&lt;&gt;"Ausgabe",N855=""),0,IF(N855="x",-$E855/(COUNTIF($J855:$Q855,"x")+1),-$E855*N(N855)))</f>
        <v/>
      </c>
      <c r="AC855" s="34">
        <f>IF(OR($A855="",$H855&lt;&gt;"Ausgabe",O855=""),0,IF(O855="x",-$E855/(COUNTIF($J855:$Q855,"x")+1),-$E855*N(O855)))</f>
        <v/>
      </c>
      <c r="AD855" s="34">
        <f>IF(OR($A855="",$H855&lt;&gt;"Ausgabe",P855=""),0,IF(P855="x",-$E855/(COUNTIF($J855:$Q855,"x")+1),-$E855*N(P855)))</f>
        <v/>
      </c>
      <c r="AE855" s="34">
        <f>IF(OR($A855="",$H855&lt;&gt;"Ausgabe",Q855=""),0,IF(Q855="x",-$E855/(COUNTIF($J855:$Q855,"x")+1),-$E855*N(Q855)))</f>
        <v/>
      </c>
    </row>
    <row r="856">
      <c r="A856" s="30" t="n"/>
      <c r="E856" s="31" t="n"/>
      <c r="J856" s="32" t="n"/>
      <c r="K856" s="32" t="n"/>
      <c r="L856" s="32" t="n"/>
      <c r="M856" s="32" t="n"/>
      <c r="N856" s="32" t="n"/>
      <c r="O856" s="32" t="n"/>
      <c r="P856" s="32" t="n"/>
      <c r="Q856" s="32" t="n"/>
      <c r="U856" s="31">
        <f>IF($A856="","",SUM(X856:AE856))</f>
        <v/>
      </c>
      <c r="V856" s="31">
        <f>IF($A856="","",IF($H856&lt;&gt;"Ausgabe",0,-$E856-$U856))</f>
        <v/>
      </c>
      <c r="W856" s="33">
        <f>IF($A856="","",DATE(YEAR($A856),MONTH($A856),1))</f>
        <v/>
      </c>
      <c r="X856" s="34">
        <f>IF(OR($A856="",$H856&lt;&gt;"Ausgabe",J856=""),0,IF(J856="x",-$E856/(COUNTIF($J856:$Q856,"x")+1),-$E856*N(J856)))</f>
        <v/>
      </c>
      <c r="Y856" s="34">
        <f>IF(OR($A856="",$H856&lt;&gt;"Ausgabe",K856=""),0,IF(K856="x",-$E856/(COUNTIF($J856:$Q856,"x")+1),-$E856*N(K856)))</f>
        <v/>
      </c>
      <c r="Z856" s="34">
        <f>IF(OR($A856="",$H856&lt;&gt;"Ausgabe",L856=""),0,IF(L856="x",-$E856/(COUNTIF($J856:$Q856,"x")+1),-$E856*N(L856)))</f>
        <v/>
      </c>
      <c r="AA856" s="34">
        <f>IF(OR($A856="",$H856&lt;&gt;"Ausgabe",M856=""),0,IF(M856="x",-$E856/(COUNTIF($J856:$Q856,"x")+1),-$E856*N(M856)))</f>
        <v/>
      </c>
      <c r="AB856" s="34">
        <f>IF(OR($A856="",$H856&lt;&gt;"Ausgabe",N856=""),0,IF(N856="x",-$E856/(COUNTIF($J856:$Q856,"x")+1),-$E856*N(N856)))</f>
        <v/>
      </c>
      <c r="AC856" s="34">
        <f>IF(OR($A856="",$H856&lt;&gt;"Ausgabe",O856=""),0,IF(O856="x",-$E856/(COUNTIF($J856:$Q856,"x")+1),-$E856*N(O856)))</f>
        <v/>
      </c>
      <c r="AD856" s="34">
        <f>IF(OR($A856="",$H856&lt;&gt;"Ausgabe",P856=""),0,IF(P856="x",-$E856/(COUNTIF($J856:$Q856,"x")+1),-$E856*N(P856)))</f>
        <v/>
      </c>
      <c r="AE856" s="34">
        <f>IF(OR($A856="",$H856&lt;&gt;"Ausgabe",Q856=""),0,IF(Q856="x",-$E856/(COUNTIF($J856:$Q856,"x")+1),-$E856*N(Q856)))</f>
        <v/>
      </c>
    </row>
    <row r="857">
      <c r="A857" s="30" t="n"/>
      <c r="E857" s="31" t="n"/>
      <c r="J857" s="32" t="n"/>
      <c r="K857" s="32" t="n"/>
      <c r="L857" s="32" t="n"/>
      <c r="M857" s="32" t="n"/>
      <c r="N857" s="32" t="n"/>
      <c r="O857" s="32" t="n"/>
      <c r="P857" s="32" t="n"/>
      <c r="Q857" s="32" t="n"/>
      <c r="U857" s="31">
        <f>IF($A857="","",SUM(X857:AE857))</f>
        <v/>
      </c>
      <c r="V857" s="31">
        <f>IF($A857="","",IF($H857&lt;&gt;"Ausgabe",0,-$E857-$U857))</f>
        <v/>
      </c>
      <c r="W857" s="33">
        <f>IF($A857="","",DATE(YEAR($A857),MONTH($A857),1))</f>
        <v/>
      </c>
      <c r="X857" s="34">
        <f>IF(OR($A857="",$H857&lt;&gt;"Ausgabe",J857=""),0,IF(J857="x",-$E857/(COUNTIF($J857:$Q857,"x")+1),-$E857*N(J857)))</f>
        <v/>
      </c>
      <c r="Y857" s="34">
        <f>IF(OR($A857="",$H857&lt;&gt;"Ausgabe",K857=""),0,IF(K857="x",-$E857/(COUNTIF($J857:$Q857,"x")+1),-$E857*N(K857)))</f>
        <v/>
      </c>
      <c r="Z857" s="34">
        <f>IF(OR($A857="",$H857&lt;&gt;"Ausgabe",L857=""),0,IF(L857="x",-$E857/(COUNTIF($J857:$Q857,"x")+1),-$E857*N(L857)))</f>
        <v/>
      </c>
      <c r="AA857" s="34">
        <f>IF(OR($A857="",$H857&lt;&gt;"Ausgabe",M857=""),0,IF(M857="x",-$E857/(COUNTIF($J857:$Q857,"x")+1),-$E857*N(M857)))</f>
        <v/>
      </c>
      <c r="AB857" s="34">
        <f>IF(OR($A857="",$H857&lt;&gt;"Ausgabe",N857=""),0,IF(N857="x",-$E857/(COUNTIF($J857:$Q857,"x")+1),-$E857*N(N857)))</f>
        <v/>
      </c>
      <c r="AC857" s="34">
        <f>IF(OR($A857="",$H857&lt;&gt;"Ausgabe",O857=""),0,IF(O857="x",-$E857/(COUNTIF($J857:$Q857,"x")+1),-$E857*N(O857)))</f>
        <v/>
      </c>
      <c r="AD857" s="34">
        <f>IF(OR($A857="",$H857&lt;&gt;"Ausgabe",P857=""),0,IF(P857="x",-$E857/(COUNTIF($J857:$Q857,"x")+1),-$E857*N(P857)))</f>
        <v/>
      </c>
      <c r="AE857" s="34">
        <f>IF(OR($A857="",$H857&lt;&gt;"Ausgabe",Q857=""),0,IF(Q857="x",-$E857/(COUNTIF($J857:$Q857,"x")+1),-$E857*N(Q857)))</f>
        <v/>
      </c>
    </row>
    <row r="858">
      <c r="A858" s="30" t="n"/>
      <c r="E858" s="31" t="n"/>
      <c r="J858" s="32" t="n"/>
      <c r="K858" s="32" t="n"/>
      <c r="L858" s="32" t="n"/>
      <c r="M858" s="32" t="n"/>
      <c r="N858" s="32" t="n"/>
      <c r="O858" s="32" t="n"/>
      <c r="P858" s="32" t="n"/>
      <c r="Q858" s="32" t="n"/>
      <c r="U858" s="31">
        <f>IF($A858="","",SUM(X858:AE858))</f>
        <v/>
      </c>
      <c r="V858" s="31">
        <f>IF($A858="","",IF($H858&lt;&gt;"Ausgabe",0,-$E858-$U858))</f>
        <v/>
      </c>
      <c r="W858" s="33">
        <f>IF($A858="","",DATE(YEAR($A858),MONTH($A858),1))</f>
        <v/>
      </c>
      <c r="X858" s="34">
        <f>IF(OR($A858="",$H858&lt;&gt;"Ausgabe",J858=""),0,IF(J858="x",-$E858/(COUNTIF($J858:$Q858,"x")+1),-$E858*N(J858)))</f>
        <v/>
      </c>
      <c r="Y858" s="34">
        <f>IF(OR($A858="",$H858&lt;&gt;"Ausgabe",K858=""),0,IF(K858="x",-$E858/(COUNTIF($J858:$Q858,"x")+1),-$E858*N(K858)))</f>
        <v/>
      </c>
      <c r="Z858" s="34">
        <f>IF(OR($A858="",$H858&lt;&gt;"Ausgabe",L858=""),0,IF(L858="x",-$E858/(COUNTIF($J858:$Q858,"x")+1),-$E858*N(L858)))</f>
        <v/>
      </c>
      <c r="AA858" s="34">
        <f>IF(OR($A858="",$H858&lt;&gt;"Ausgabe",M858=""),0,IF(M858="x",-$E858/(COUNTIF($J858:$Q858,"x")+1),-$E858*N(M858)))</f>
        <v/>
      </c>
      <c r="AB858" s="34">
        <f>IF(OR($A858="",$H858&lt;&gt;"Ausgabe",N858=""),0,IF(N858="x",-$E858/(COUNTIF($J858:$Q858,"x")+1),-$E858*N(N858)))</f>
        <v/>
      </c>
      <c r="AC858" s="34">
        <f>IF(OR($A858="",$H858&lt;&gt;"Ausgabe",O858=""),0,IF(O858="x",-$E858/(COUNTIF($J858:$Q858,"x")+1),-$E858*N(O858)))</f>
        <v/>
      </c>
      <c r="AD858" s="34">
        <f>IF(OR($A858="",$H858&lt;&gt;"Ausgabe",P858=""),0,IF(P858="x",-$E858/(COUNTIF($J858:$Q858,"x")+1),-$E858*N(P858)))</f>
        <v/>
      </c>
      <c r="AE858" s="34">
        <f>IF(OR($A858="",$H858&lt;&gt;"Ausgabe",Q858=""),0,IF(Q858="x",-$E858/(COUNTIF($J858:$Q858,"x")+1),-$E858*N(Q858)))</f>
        <v/>
      </c>
    </row>
    <row r="859">
      <c r="A859" s="30" t="n"/>
      <c r="E859" s="31" t="n"/>
      <c r="J859" s="32" t="n"/>
      <c r="K859" s="32" t="n"/>
      <c r="L859" s="32" t="n"/>
      <c r="M859" s="32" t="n"/>
      <c r="N859" s="32" t="n"/>
      <c r="O859" s="32" t="n"/>
      <c r="P859" s="32" t="n"/>
      <c r="Q859" s="32" t="n"/>
      <c r="U859" s="31">
        <f>IF($A859="","",SUM(X859:AE859))</f>
        <v/>
      </c>
      <c r="V859" s="31">
        <f>IF($A859="","",IF($H859&lt;&gt;"Ausgabe",0,-$E859-$U859))</f>
        <v/>
      </c>
      <c r="W859" s="33">
        <f>IF($A859="","",DATE(YEAR($A859),MONTH($A859),1))</f>
        <v/>
      </c>
      <c r="X859" s="34">
        <f>IF(OR($A859="",$H859&lt;&gt;"Ausgabe",J859=""),0,IF(J859="x",-$E859/(COUNTIF($J859:$Q859,"x")+1),-$E859*N(J859)))</f>
        <v/>
      </c>
      <c r="Y859" s="34">
        <f>IF(OR($A859="",$H859&lt;&gt;"Ausgabe",K859=""),0,IF(K859="x",-$E859/(COUNTIF($J859:$Q859,"x")+1),-$E859*N(K859)))</f>
        <v/>
      </c>
      <c r="Z859" s="34">
        <f>IF(OR($A859="",$H859&lt;&gt;"Ausgabe",L859=""),0,IF(L859="x",-$E859/(COUNTIF($J859:$Q859,"x")+1),-$E859*N(L859)))</f>
        <v/>
      </c>
      <c r="AA859" s="34">
        <f>IF(OR($A859="",$H859&lt;&gt;"Ausgabe",M859=""),0,IF(M859="x",-$E859/(COUNTIF($J859:$Q859,"x")+1),-$E859*N(M859)))</f>
        <v/>
      </c>
      <c r="AB859" s="34">
        <f>IF(OR($A859="",$H859&lt;&gt;"Ausgabe",N859=""),0,IF(N859="x",-$E859/(COUNTIF($J859:$Q859,"x")+1),-$E859*N(N859)))</f>
        <v/>
      </c>
      <c r="AC859" s="34">
        <f>IF(OR($A859="",$H859&lt;&gt;"Ausgabe",O859=""),0,IF(O859="x",-$E859/(COUNTIF($J859:$Q859,"x")+1),-$E859*N(O859)))</f>
        <v/>
      </c>
      <c r="AD859" s="34">
        <f>IF(OR($A859="",$H859&lt;&gt;"Ausgabe",P859=""),0,IF(P859="x",-$E859/(COUNTIF($J859:$Q859,"x")+1),-$E859*N(P859)))</f>
        <v/>
      </c>
      <c r="AE859" s="34">
        <f>IF(OR($A859="",$H859&lt;&gt;"Ausgabe",Q859=""),0,IF(Q859="x",-$E859/(COUNTIF($J859:$Q859,"x")+1),-$E859*N(Q859)))</f>
        <v/>
      </c>
    </row>
    <row r="860">
      <c r="A860" s="30" t="n"/>
      <c r="E860" s="31" t="n"/>
      <c r="J860" s="32" t="n"/>
      <c r="K860" s="32" t="n"/>
      <c r="L860" s="32" t="n"/>
      <c r="M860" s="32" t="n"/>
      <c r="N860" s="32" t="n"/>
      <c r="O860" s="32" t="n"/>
      <c r="P860" s="32" t="n"/>
      <c r="Q860" s="32" t="n"/>
      <c r="U860" s="31">
        <f>IF($A860="","",SUM(X860:AE860))</f>
        <v/>
      </c>
      <c r="V860" s="31">
        <f>IF($A860="","",IF($H860&lt;&gt;"Ausgabe",0,-$E860-$U860))</f>
        <v/>
      </c>
      <c r="W860" s="33">
        <f>IF($A860="","",DATE(YEAR($A860),MONTH($A860),1))</f>
        <v/>
      </c>
      <c r="X860" s="34">
        <f>IF(OR($A860="",$H860&lt;&gt;"Ausgabe",J860=""),0,IF(J860="x",-$E860/(COUNTIF($J860:$Q860,"x")+1),-$E860*N(J860)))</f>
        <v/>
      </c>
      <c r="Y860" s="34">
        <f>IF(OR($A860="",$H860&lt;&gt;"Ausgabe",K860=""),0,IF(K860="x",-$E860/(COUNTIF($J860:$Q860,"x")+1),-$E860*N(K860)))</f>
        <v/>
      </c>
      <c r="Z860" s="34">
        <f>IF(OR($A860="",$H860&lt;&gt;"Ausgabe",L860=""),0,IF(L860="x",-$E860/(COUNTIF($J860:$Q860,"x")+1),-$E860*N(L860)))</f>
        <v/>
      </c>
      <c r="AA860" s="34">
        <f>IF(OR($A860="",$H860&lt;&gt;"Ausgabe",M860=""),0,IF(M860="x",-$E860/(COUNTIF($J860:$Q860,"x")+1),-$E860*N(M860)))</f>
        <v/>
      </c>
      <c r="AB860" s="34">
        <f>IF(OR($A860="",$H860&lt;&gt;"Ausgabe",N860=""),0,IF(N860="x",-$E860/(COUNTIF($J860:$Q860,"x")+1),-$E860*N(N860)))</f>
        <v/>
      </c>
      <c r="AC860" s="34">
        <f>IF(OR($A860="",$H860&lt;&gt;"Ausgabe",O860=""),0,IF(O860="x",-$E860/(COUNTIF($J860:$Q860,"x")+1),-$E860*N(O860)))</f>
        <v/>
      </c>
      <c r="AD860" s="34">
        <f>IF(OR($A860="",$H860&lt;&gt;"Ausgabe",P860=""),0,IF(P860="x",-$E860/(COUNTIF($J860:$Q860,"x")+1),-$E860*N(P860)))</f>
        <v/>
      </c>
      <c r="AE860" s="34">
        <f>IF(OR($A860="",$H860&lt;&gt;"Ausgabe",Q860=""),0,IF(Q860="x",-$E860/(COUNTIF($J860:$Q860,"x")+1),-$E860*N(Q860)))</f>
        <v/>
      </c>
    </row>
    <row r="861">
      <c r="A861" s="30" t="n"/>
      <c r="E861" s="31" t="n"/>
      <c r="J861" s="32" t="n"/>
      <c r="K861" s="32" t="n"/>
      <c r="L861" s="32" t="n"/>
      <c r="M861" s="32" t="n"/>
      <c r="N861" s="32" t="n"/>
      <c r="O861" s="32" t="n"/>
      <c r="P861" s="32" t="n"/>
      <c r="Q861" s="32" t="n"/>
      <c r="U861" s="31">
        <f>IF($A861="","",SUM(X861:AE861))</f>
        <v/>
      </c>
      <c r="V861" s="31">
        <f>IF($A861="","",IF($H861&lt;&gt;"Ausgabe",0,-$E861-$U861))</f>
        <v/>
      </c>
      <c r="W861" s="33">
        <f>IF($A861="","",DATE(YEAR($A861),MONTH($A861),1))</f>
        <v/>
      </c>
      <c r="X861" s="34">
        <f>IF(OR($A861="",$H861&lt;&gt;"Ausgabe",J861=""),0,IF(J861="x",-$E861/(COUNTIF($J861:$Q861,"x")+1),-$E861*N(J861)))</f>
        <v/>
      </c>
      <c r="Y861" s="34">
        <f>IF(OR($A861="",$H861&lt;&gt;"Ausgabe",K861=""),0,IF(K861="x",-$E861/(COUNTIF($J861:$Q861,"x")+1),-$E861*N(K861)))</f>
        <v/>
      </c>
      <c r="Z861" s="34">
        <f>IF(OR($A861="",$H861&lt;&gt;"Ausgabe",L861=""),0,IF(L861="x",-$E861/(COUNTIF($J861:$Q861,"x")+1),-$E861*N(L861)))</f>
        <v/>
      </c>
      <c r="AA861" s="34">
        <f>IF(OR($A861="",$H861&lt;&gt;"Ausgabe",M861=""),0,IF(M861="x",-$E861/(COUNTIF($J861:$Q861,"x")+1),-$E861*N(M861)))</f>
        <v/>
      </c>
      <c r="AB861" s="34">
        <f>IF(OR($A861="",$H861&lt;&gt;"Ausgabe",N861=""),0,IF(N861="x",-$E861/(COUNTIF($J861:$Q861,"x")+1),-$E861*N(N861)))</f>
        <v/>
      </c>
      <c r="AC861" s="34">
        <f>IF(OR($A861="",$H861&lt;&gt;"Ausgabe",O861=""),0,IF(O861="x",-$E861/(COUNTIF($J861:$Q861,"x")+1),-$E861*N(O861)))</f>
        <v/>
      </c>
      <c r="AD861" s="34">
        <f>IF(OR($A861="",$H861&lt;&gt;"Ausgabe",P861=""),0,IF(P861="x",-$E861/(COUNTIF($J861:$Q861,"x")+1),-$E861*N(P861)))</f>
        <v/>
      </c>
      <c r="AE861" s="34">
        <f>IF(OR($A861="",$H861&lt;&gt;"Ausgabe",Q861=""),0,IF(Q861="x",-$E861/(COUNTIF($J861:$Q861,"x")+1),-$E861*N(Q861)))</f>
        <v/>
      </c>
    </row>
    <row r="862">
      <c r="A862" s="30" t="n"/>
      <c r="E862" s="31" t="n"/>
      <c r="J862" s="32" t="n"/>
      <c r="K862" s="32" t="n"/>
      <c r="L862" s="32" t="n"/>
      <c r="M862" s="32" t="n"/>
      <c r="N862" s="32" t="n"/>
      <c r="O862" s="32" t="n"/>
      <c r="P862" s="32" t="n"/>
      <c r="Q862" s="32" t="n"/>
      <c r="U862" s="31">
        <f>IF($A862="","",SUM(X862:AE862))</f>
        <v/>
      </c>
      <c r="V862" s="31">
        <f>IF($A862="","",IF($H862&lt;&gt;"Ausgabe",0,-$E862-$U862))</f>
        <v/>
      </c>
      <c r="W862" s="33">
        <f>IF($A862="","",DATE(YEAR($A862),MONTH($A862),1))</f>
        <v/>
      </c>
      <c r="X862" s="34">
        <f>IF(OR($A862="",$H862&lt;&gt;"Ausgabe",J862=""),0,IF(J862="x",-$E862/(COUNTIF($J862:$Q862,"x")+1),-$E862*N(J862)))</f>
        <v/>
      </c>
      <c r="Y862" s="34">
        <f>IF(OR($A862="",$H862&lt;&gt;"Ausgabe",K862=""),0,IF(K862="x",-$E862/(COUNTIF($J862:$Q862,"x")+1),-$E862*N(K862)))</f>
        <v/>
      </c>
      <c r="Z862" s="34">
        <f>IF(OR($A862="",$H862&lt;&gt;"Ausgabe",L862=""),0,IF(L862="x",-$E862/(COUNTIF($J862:$Q862,"x")+1),-$E862*N(L862)))</f>
        <v/>
      </c>
      <c r="AA862" s="34">
        <f>IF(OR($A862="",$H862&lt;&gt;"Ausgabe",M862=""),0,IF(M862="x",-$E862/(COUNTIF($J862:$Q862,"x")+1),-$E862*N(M862)))</f>
        <v/>
      </c>
      <c r="AB862" s="34">
        <f>IF(OR($A862="",$H862&lt;&gt;"Ausgabe",N862=""),0,IF(N862="x",-$E862/(COUNTIF($J862:$Q862,"x")+1),-$E862*N(N862)))</f>
        <v/>
      </c>
      <c r="AC862" s="34">
        <f>IF(OR($A862="",$H862&lt;&gt;"Ausgabe",O862=""),0,IF(O862="x",-$E862/(COUNTIF($J862:$Q862,"x")+1),-$E862*N(O862)))</f>
        <v/>
      </c>
      <c r="AD862" s="34">
        <f>IF(OR($A862="",$H862&lt;&gt;"Ausgabe",P862=""),0,IF(P862="x",-$E862/(COUNTIF($J862:$Q862,"x")+1),-$E862*N(P862)))</f>
        <v/>
      </c>
      <c r="AE862" s="34">
        <f>IF(OR($A862="",$H862&lt;&gt;"Ausgabe",Q862=""),0,IF(Q862="x",-$E862/(COUNTIF($J862:$Q862,"x")+1),-$E862*N(Q862)))</f>
        <v/>
      </c>
    </row>
    <row r="863">
      <c r="A863" s="30" t="n"/>
      <c r="E863" s="31" t="n"/>
      <c r="J863" s="32" t="n"/>
      <c r="K863" s="32" t="n"/>
      <c r="L863" s="32" t="n"/>
      <c r="M863" s="32" t="n"/>
      <c r="N863" s="32" t="n"/>
      <c r="O863" s="32" t="n"/>
      <c r="P863" s="32" t="n"/>
      <c r="Q863" s="32" t="n"/>
      <c r="U863" s="31">
        <f>IF($A863="","",SUM(X863:AE863))</f>
        <v/>
      </c>
      <c r="V863" s="31">
        <f>IF($A863="","",IF($H863&lt;&gt;"Ausgabe",0,-$E863-$U863))</f>
        <v/>
      </c>
      <c r="W863" s="33">
        <f>IF($A863="","",DATE(YEAR($A863),MONTH($A863),1))</f>
        <v/>
      </c>
      <c r="X863" s="34">
        <f>IF(OR($A863="",$H863&lt;&gt;"Ausgabe",J863=""),0,IF(J863="x",-$E863/(COUNTIF($J863:$Q863,"x")+1),-$E863*N(J863)))</f>
        <v/>
      </c>
      <c r="Y863" s="34">
        <f>IF(OR($A863="",$H863&lt;&gt;"Ausgabe",K863=""),0,IF(K863="x",-$E863/(COUNTIF($J863:$Q863,"x")+1),-$E863*N(K863)))</f>
        <v/>
      </c>
      <c r="Z863" s="34">
        <f>IF(OR($A863="",$H863&lt;&gt;"Ausgabe",L863=""),0,IF(L863="x",-$E863/(COUNTIF($J863:$Q863,"x")+1),-$E863*N(L863)))</f>
        <v/>
      </c>
      <c r="AA863" s="34">
        <f>IF(OR($A863="",$H863&lt;&gt;"Ausgabe",M863=""),0,IF(M863="x",-$E863/(COUNTIF($J863:$Q863,"x")+1),-$E863*N(M863)))</f>
        <v/>
      </c>
      <c r="AB863" s="34">
        <f>IF(OR($A863="",$H863&lt;&gt;"Ausgabe",N863=""),0,IF(N863="x",-$E863/(COUNTIF($J863:$Q863,"x")+1),-$E863*N(N863)))</f>
        <v/>
      </c>
      <c r="AC863" s="34">
        <f>IF(OR($A863="",$H863&lt;&gt;"Ausgabe",O863=""),0,IF(O863="x",-$E863/(COUNTIF($J863:$Q863,"x")+1),-$E863*N(O863)))</f>
        <v/>
      </c>
      <c r="AD863" s="34">
        <f>IF(OR($A863="",$H863&lt;&gt;"Ausgabe",P863=""),0,IF(P863="x",-$E863/(COUNTIF($J863:$Q863,"x")+1),-$E863*N(P863)))</f>
        <v/>
      </c>
      <c r="AE863" s="34">
        <f>IF(OR($A863="",$H863&lt;&gt;"Ausgabe",Q863=""),0,IF(Q863="x",-$E863/(COUNTIF($J863:$Q863,"x")+1),-$E863*N(Q863)))</f>
        <v/>
      </c>
    </row>
    <row r="864">
      <c r="A864" s="30" t="n"/>
      <c r="E864" s="31" t="n"/>
      <c r="J864" s="32" t="n"/>
      <c r="K864" s="32" t="n"/>
      <c r="L864" s="32" t="n"/>
      <c r="M864" s="32" t="n"/>
      <c r="N864" s="32" t="n"/>
      <c r="O864" s="32" t="n"/>
      <c r="P864" s="32" t="n"/>
      <c r="Q864" s="32" t="n"/>
      <c r="U864" s="31">
        <f>IF($A864="","",SUM(X864:AE864))</f>
        <v/>
      </c>
      <c r="V864" s="31">
        <f>IF($A864="","",IF($H864&lt;&gt;"Ausgabe",0,-$E864-$U864))</f>
        <v/>
      </c>
      <c r="W864" s="33">
        <f>IF($A864="","",DATE(YEAR($A864),MONTH($A864),1))</f>
        <v/>
      </c>
      <c r="X864" s="34">
        <f>IF(OR($A864="",$H864&lt;&gt;"Ausgabe",J864=""),0,IF(J864="x",-$E864/(COUNTIF($J864:$Q864,"x")+1),-$E864*N(J864)))</f>
        <v/>
      </c>
      <c r="Y864" s="34">
        <f>IF(OR($A864="",$H864&lt;&gt;"Ausgabe",K864=""),0,IF(K864="x",-$E864/(COUNTIF($J864:$Q864,"x")+1),-$E864*N(K864)))</f>
        <v/>
      </c>
      <c r="Z864" s="34">
        <f>IF(OR($A864="",$H864&lt;&gt;"Ausgabe",L864=""),0,IF(L864="x",-$E864/(COUNTIF($J864:$Q864,"x")+1),-$E864*N(L864)))</f>
        <v/>
      </c>
      <c r="AA864" s="34">
        <f>IF(OR($A864="",$H864&lt;&gt;"Ausgabe",M864=""),0,IF(M864="x",-$E864/(COUNTIF($J864:$Q864,"x")+1),-$E864*N(M864)))</f>
        <v/>
      </c>
      <c r="AB864" s="34">
        <f>IF(OR($A864="",$H864&lt;&gt;"Ausgabe",N864=""),0,IF(N864="x",-$E864/(COUNTIF($J864:$Q864,"x")+1),-$E864*N(N864)))</f>
        <v/>
      </c>
      <c r="AC864" s="34">
        <f>IF(OR($A864="",$H864&lt;&gt;"Ausgabe",O864=""),0,IF(O864="x",-$E864/(COUNTIF($J864:$Q864,"x")+1),-$E864*N(O864)))</f>
        <v/>
      </c>
      <c r="AD864" s="34">
        <f>IF(OR($A864="",$H864&lt;&gt;"Ausgabe",P864=""),0,IF(P864="x",-$E864/(COUNTIF($J864:$Q864,"x")+1),-$E864*N(P864)))</f>
        <v/>
      </c>
      <c r="AE864" s="34">
        <f>IF(OR($A864="",$H864&lt;&gt;"Ausgabe",Q864=""),0,IF(Q864="x",-$E864/(COUNTIF($J864:$Q864,"x")+1),-$E864*N(Q864)))</f>
        <v/>
      </c>
    </row>
    <row r="865">
      <c r="A865" s="30" t="n"/>
      <c r="E865" s="31" t="n"/>
      <c r="J865" s="32" t="n"/>
      <c r="K865" s="32" t="n"/>
      <c r="L865" s="32" t="n"/>
      <c r="M865" s="32" t="n"/>
      <c r="N865" s="32" t="n"/>
      <c r="O865" s="32" t="n"/>
      <c r="P865" s="32" t="n"/>
      <c r="Q865" s="32" t="n"/>
      <c r="U865" s="31">
        <f>IF($A865="","",SUM(X865:AE865))</f>
        <v/>
      </c>
      <c r="V865" s="31">
        <f>IF($A865="","",IF($H865&lt;&gt;"Ausgabe",0,-$E865-$U865))</f>
        <v/>
      </c>
      <c r="W865" s="33">
        <f>IF($A865="","",DATE(YEAR($A865),MONTH($A865),1))</f>
        <v/>
      </c>
      <c r="X865" s="34">
        <f>IF(OR($A865="",$H865&lt;&gt;"Ausgabe",J865=""),0,IF(J865="x",-$E865/(COUNTIF($J865:$Q865,"x")+1),-$E865*N(J865)))</f>
        <v/>
      </c>
      <c r="Y865" s="34">
        <f>IF(OR($A865="",$H865&lt;&gt;"Ausgabe",K865=""),0,IF(K865="x",-$E865/(COUNTIF($J865:$Q865,"x")+1),-$E865*N(K865)))</f>
        <v/>
      </c>
      <c r="Z865" s="34">
        <f>IF(OR($A865="",$H865&lt;&gt;"Ausgabe",L865=""),0,IF(L865="x",-$E865/(COUNTIF($J865:$Q865,"x")+1),-$E865*N(L865)))</f>
        <v/>
      </c>
      <c r="AA865" s="34">
        <f>IF(OR($A865="",$H865&lt;&gt;"Ausgabe",M865=""),0,IF(M865="x",-$E865/(COUNTIF($J865:$Q865,"x")+1),-$E865*N(M865)))</f>
        <v/>
      </c>
      <c r="AB865" s="34">
        <f>IF(OR($A865="",$H865&lt;&gt;"Ausgabe",N865=""),0,IF(N865="x",-$E865/(COUNTIF($J865:$Q865,"x")+1),-$E865*N(N865)))</f>
        <v/>
      </c>
      <c r="AC865" s="34">
        <f>IF(OR($A865="",$H865&lt;&gt;"Ausgabe",O865=""),0,IF(O865="x",-$E865/(COUNTIF($J865:$Q865,"x")+1),-$E865*N(O865)))</f>
        <v/>
      </c>
      <c r="AD865" s="34">
        <f>IF(OR($A865="",$H865&lt;&gt;"Ausgabe",P865=""),0,IF(P865="x",-$E865/(COUNTIF($J865:$Q865,"x")+1),-$E865*N(P865)))</f>
        <v/>
      </c>
      <c r="AE865" s="34">
        <f>IF(OR($A865="",$H865&lt;&gt;"Ausgabe",Q865=""),0,IF(Q865="x",-$E865/(COUNTIF($J865:$Q865,"x")+1),-$E865*N(Q865)))</f>
        <v/>
      </c>
    </row>
    <row r="866">
      <c r="A866" s="30" t="n"/>
      <c r="E866" s="31" t="n"/>
      <c r="J866" s="32" t="n"/>
      <c r="K866" s="32" t="n"/>
      <c r="L866" s="32" t="n"/>
      <c r="M866" s="32" t="n"/>
      <c r="N866" s="32" t="n"/>
      <c r="O866" s="32" t="n"/>
      <c r="P866" s="32" t="n"/>
      <c r="Q866" s="32" t="n"/>
      <c r="U866" s="31">
        <f>IF($A866="","",SUM(X866:AE866))</f>
        <v/>
      </c>
      <c r="V866" s="31">
        <f>IF($A866="","",IF($H866&lt;&gt;"Ausgabe",0,-$E866-$U866))</f>
        <v/>
      </c>
      <c r="W866" s="33">
        <f>IF($A866="","",DATE(YEAR($A866),MONTH($A866),1))</f>
        <v/>
      </c>
      <c r="X866" s="34">
        <f>IF(OR($A866="",$H866&lt;&gt;"Ausgabe",J866=""),0,IF(J866="x",-$E866/(COUNTIF($J866:$Q866,"x")+1),-$E866*N(J866)))</f>
        <v/>
      </c>
      <c r="Y866" s="34">
        <f>IF(OR($A866="",$H866&lt;&gt;"Ausgabe",K866=""),0,IF(K866="x",-$E866/(COUNTIF($J866:$Q866,"x")+1),-$E866*N(K866)))</f>
        <v/>
      </c>
      <c r="Z866" s="34">
        <f>IF(OR($A866="",$H866&lt;&gt;"Ausgabe",L866=""),0,IF(L866="x",-$E866/(COUNTIF($J866:$Q866,"x")+1),-$E866*N(L866)))</f>
        <v/>
      </c>
      <c r="AA866" s="34">
        <f>IF(OR($A866="",$H866&lt;&gt;"Ausgabe",M866=""),0,IF(M866="x",-$E866/(COUNTIF($J866:$Q866,"x")+1),-$E866*N(M866)))</f>
        <v/>
      </c>
      <c r="AB866" s="34">
        <f>IF(OR($A866="",$H866&lt;&gt;"Ausgabe",N866=""),0,IF(N866="x",-$E866/(COUNTIF($J866:$Q866,"x")+1),-$E866*N(N866)))</f>
        <v/>
      </c>
      <c r="AC866" s="34">
        <f>IF(OR($A866="",$H866&lt;&gt;"Ausgabe",O866=""),0,IF(O866="x",-$E866/(COUNTIF($J866:$Q866,"x")+1),-$E866*N(O866)))</f>
        <v/>
      </c>
      <c r="AD866" s="34">
        <f>IF(OR($A866="",$H866&lt;&gt;"Ausgabe",P866=""),0,IF(P866="x",-$E866/(COUNTIF($J866:$Q866,"x")+1),-$E866*N(P866)))</f>
        <v/>
      </c>
      <c r="AE866" s="34">
        <f>IF(OR($A866="",$H866&lt;&gt;"Ausgabe",Q866=""),0,IF(Q866="x",-$E866/(COUNTIF($J866:$Q866,"x")+1),-$E866*N(Q866)))</f>
        <v/>
      </c>
    </row>
    <row r="867">
      <c r="A867" s="30" t="n"/>
      <c r="E867" s="31" t="n"/>
      <c r="J867" s="32" t="n"/>
      <c r="K867" s="32" t="n"/>
      <c r="L867" s="32" t="n"/>
      <c r="M867" s="32" t="n"/>
      <c r="N867" s="32" t="n"/>
      <c r="O867" s="32" t="n"/>
      <c r="P867" s="32" t="n"/>
      <c r="Q867" s="32" t="n"/>
      <c r="U867" s="31">
        <f>IF($A867="","",SUM(X867:AE867))</f>
        <v/>
      </c>
      <c r="V867" s="31">
        <f>IF($A867="","",IF($H867&lt;&gt;"Ausgabe",0,-$E867-$U867))</f>
        <v/>
      </c>
      <c r="W867" s="33">
        <f>IF($A867="","",DATE(YEAR($A867),MONTH($A867),1))</f>
        <v/>
      </c>
      <c r="X867" s="34">
        <f>IF(OR($A867="",$H867&lt;&gt;"Ausgabe",J867=""),0,IF(J867="x",-$E867/(COUNTIF($J867:$Q867,"x")+1),-$E867*N(J867)))</f>
        <v/>
      </c>
      <c r="Y867" s="34">
        <f>IF(OR($A867="",$H867&lt;&gt;"Ausgabe",K867=""),0,IF(K867="x",-$E867/(COUNTIF($J867:$Q867,"x")+1),-$E867*N(K867)))</f>
        <v/>
      </c>
      <c r="Z867" s="34">
        <f>IF(OR($A867="",$H867&lt;&gt;"Ausgabe",L867=""),0,IF(L867="x",-$E867/(COUNTIF($J867:$Q867,"x")+1),-$E867*N(L867)))</f>
        <v/>
      </c>
      <c r="AA867" s="34">
        <f>IF(OR($A867="",$H867&lt;&gt;"Ausgabe",M867=""),0,IF(M867="x",-$E867/(COUNTIF($J867:$Q867,"x")+1),-$E867*N(M867)))</f>
        <v/>
      </c>
      <c r="AB867" s="34">
        <f>IF(OR($A867="",$H867&lt;&gt;"Ausgabe",N867=""),0,IF(N867="x",-$E867/(COUNTIF($J867:$Q867,"x")+1),-$E867*N(N867)))</f>
        <v/>
      </c>
      <c r="AC867" s="34">
        <f>IF(OR($A867="",$H867&lt;&gt;"Ausgabe",O867=""),0,IF(O867="x",-$E867/(COUNTIF($J867:$Q867,"x")+1),-$E867*N(O867)))</f>
        <v/>
      </c>
      <c r="AD867" s="34">
        <f>IF(OR($A867="",$H867&lt;&gt;"Ausgabe",P867=""),0,IF(P867="x",-$E867/(COUNTIF($J867:$Q867,"x")+1),-$E867*N(P867)))</f>
        <v/>
      </c>
      <c r="AE867" s="34">
        <f>IF(OR($A867="",$H867&lt;&gt;"Ausgabe",Q867=""),0,IF(Q867="x",-$E867/(COUNTIF($J867:$Q867,"x")+1),-$E867*N(Q867)))</f>
        <v/>
      </c>
    </row>
    <row r="868">
      <c r="A868" s="30" t="n"/>
      <c r="E868" s="31" t="n"/>
      <c r="J868" s="32" t="n"/>
      <c r="K868" s="32" t="n"/>
      <c r="L868" s="32" t="n"/>
      <c r="M868" s="32" t="n"/>
      <c r="N868" s="32" t="n"/>
      <c r="O868" s="32" t="n"/>
      <c r="P868" s="32" t="n"/>
      <c r="Q868" s="32" t="n"/>
      <c r="U868" s="31">
        <f>IF($A868="","",SUM(X868:AE868))</f>
        <v/>
      </c>
      <c r="V868" s="31">
        <f>IF($A868="","",IF($H868&lt;&gt;"Ausgabe",0,-$E868-$U868))</f>
        <v/>
      </c>
      <c r="W868" s="33">
        <f>IF($A868="","",DATE(YEAR($A868),MONTH($A868),1))</f>
        <v/>
      </c>
      <c r="X868" s="34">
        <f>IF(OR($A868="",$H868&lt;&gt;"Ausgabe",J868=""),0,IF(J868="x",-$E868/(COUNTIF($J868:$Q868,"x")+1),-$E868*N(J868)))</f>
        <v/>
      </c>
      <c r="Y868" s="34">
        <f>IF(OR($A868="",$H868&lt;&gt;"Ausgabe",K868=""),0,IF(K868="x",-$E868/(COUNTIF($J868:$Q868,"x")+1),-$E868*N(K868)))</f>
        <v/>
      </c>
      <c r="Z868" s="34">
        <f>IF(OR($A868="",$H868&lt;&gt;"Ausgabe",L868=""),0,IF(L868="x",-$E868/(COUNTIF($J868:$Q868,"x")+1),-$E868*N(L868)))</f>
        <v/>
      </c>
      <c r="AA868" s="34">
        <f>IF(OR($A868="",$H868&lt;&gt;"Ausgabe",M868=""),0,IF(M868="x",-$E868/(COUNTIF($J868:$Q868,"x")+1),-$E868*N(M868)))</f>
        <v/>
      </c>
      <c r="AB868" s="34">
        <f>IF(OR($A868="",$H868&lt;&gt;"Ausgabe",N868=""),0,IF(N868="x",-$E868/(COUNTIF($J868:$Q868,"x")+1),-$E868*N(N868)))</f>
        <v/>
      </c>
      <c r="AC868" s="34">
        <f>IF(OR($A868="",$H868&lt;&gt;"Ausgabe",O868=""),0,IF(O868="x",-$E868/(COUNTIF($J868:$Q868,"x")+1),-$E868*N(O868)))</f>
        <v/>
      </c>
      <c r="AD868" s="34">
        <f>IF(OR($A868="",$H868&lt;&gt;"Ausgabe",P868=""),0,IF(P868="x",-$E868/(COUNTIF($J868:$Q868,"x")+1),-$E868*N(P868)))</f>
        <v/>
      </c>
      <c r="AE868" s="34">
        <f>IF(OR($A868="",$H868&lt;&gt;"Ausgabe",Q868=""),0,IF(Q868="x",-$E868/(COUNTIF($J868:$Q868,"x")+1),-$E868*N(Q868)))</f>
        <v/>
      </c>
    </row>
    <row r="869">
      <c r="A869" s="30" t="n"/>
      <c r="E869" s="31" t="n"/>
      <c r="J869" s="32" t="n"/>
      <c r="K869" s="32" t="n"/>
      <c r="L869" s="32" t="n"/>
      <c r="M869" s="32" t="n"/>
      <c r="N869" s="32" t="n"/>
      <c r="O869" s="32" t="n"/>
      <c r="P869" s="32" t="n"/>
      <c r="Q869" s="32" t="n"/>
      <c r="U869" s="31">
        <f>IF($A869="","",SUM(X869:AE869))</f>
        <v/>
      </c>
      <c r="V869" s="31">
        <f>IF($A869="","",IF($H869&lt;&gt;"Ausgabe",0,-$E869-$U869))</f>
        <v/>
      </c>
      <c r="W869" s="33">
        <f>IF($A869="","",DATE(YEAR($A869),MONTH($A869),1))</f>
        <v/>
      </c>
      <c r="X869" s="34">
        <f>IF(OR($A869="",$H869&lt;&gt;"Ausgabe",J869=""),0,IF(J869="x",-$E869/(COUNTIF($J869:$Q869,"x")+1),-$E869*N(J869)))</f>
        <v/>
      </c>
      <c r="Y869" s="34">
        <f>IF(OR($A869="",$H869&lt;&gt;"Ausgabe",K869=""),0,IF(K869="x",-$E869/(COUNTIF($J869:$Q869,"x")+1),-$E869*N(K869)))</f>
        <v/>
      </c>
      <c r="Z869" s="34">
        <f>IF(OR($A869="",$H869&lt;&gt;"Ausgabe",L869=""),0,IF(L869="x",-$E869/(COUNTIF($J869:$Q869,"x")+1),-$E869*N(L869)))</f>
        <v/>
      </c>
      <c r="AA869" s="34">
        <f>IF(OR($A869="",$H869&lt;&gt;"Ausgabe",M869=""),0,IF(M869="x",-$E869/(COUNTIF($J869:$Q869,"x")+1),-$E869*N(M869)))</f>
        <v/>
      </c>
      <c r="AB869" s="34">
        <f>IF(OR($A869="",$H869&lt;&gt;"Ausgabe",N869=""),0,IF(N869="x",-$E869/(COUNTIF($J869:$Q869,"x")+1),-$E869*N(N869)))</f>
        <v/>
      </c>
      <c r="AC869" s="34">
        <f>IF(OR($A869="",$H869&lt;&gt;"Ausgabe",O869=""),0,IF(O869="x",-$E869/(COUNTIF($J869:$Q869,"x")+1),-$E869*N(O869)))</f>
        <v/>
      </c>
      <c r="AD869" s="34">
        <f>IF(OR($A869="",$H869&lt;&gt;"Ausgabe",P869=""),0,IF(P869="x",-$E869/(COUNTIF($J869:$Q869,"x")+1),-$E869*N(P869)))</f>
        <v/>
      </c>
      <c r="AE869" s="34">
        <f>IF(OR($A869="",$H869&lt;&gt;"Ausgabe",Q869=""),0,IF(Q869="x",-$E869/(COUNTIF($J869:$Q869,"x")+1),-$E869*N(Q869)))</f>
        <v/>
      </c>
    </row>
    <row r="870">
      <c r="A870" s="30" t="n"/>
      <c r="E870" s="31" t="n"/>
      <c r="J870" s="32" t="n"/>
      <c r="K870" s="32" t="n"/>
      <c r="L870" s="32" t="n"/>
      <c r="M870" s="32" t="n"/>
      <c r="N870" s="32" t="n"/>
      <c r="O870" s="32" t="n"/>
      <c r="P870" s="32" t="n"/>
      <c r="Q870" s="32" t="n"/>
      <c r="U870" s="31">
        <f>IF($A870="","",SUM(X870:AE870))</f>
        <v/>
      </c>
      <c r="V870" s="31">
        <f>IF($A870="","",IF($H870&lt;&gt;"Ausgabe",0,-$E870-$U870))</f>
        <v/>
      </c>
      <c r="W870" s="33">
        <f>IF($A870="","",DATE(YEAR($A870),MONTH($A870),1))</f>
        <v/>
      </c>
      <c r="X870" s="34">
        <f>IF(OR($A870="",$H870&lt;&gt;"Ausgabe",J870=""),0,IF(J870="x",-$E870/(COUNTIF($J870:$Q870,"x")+1),-$E870*N(J870)))</f>
        <v/>
      </c>
      <c r="Y870" s="34">
        <f>IF(OR($A870="",$H870&lt;&gt;"Ausgabe",K870=""),0,IF(K870="x",-$E870/(COUNTIF($J870:$Q870,"x")+1),-$E870*N(K870)))</f>
        <v/>
      </c>
      <c r="Z870" s="34">
        <f>IF(OR($A870="",$H870&lt;&gt;"Ausgabe",L870=""),0,IF(L870="x",-$E870/(COUNTIF($J870:$Q870,"x")+1),-$E870*N(L870)))</f>
        <v/>
      </c>
      <c r="AA870" s="34">
        <f>IF(OR($A870="",$H870&lt;&gt;"Ausgabe",M870=""),0,IF(M870="x",-$E870/(COUNTIF($J870:$Q870,"x")+1),-$E870*N(M870)))</f>
        <v/>
      </c>
      <c r="AB870" s="34">
        <f>IF(OR($A870="",$H870&lt;&gt;"Ausgabe",N870=""),0,IF(N870="x",-$E870/(COUNTIF($J870:$Q870,"x")+1),-$E870*N(N870)))</f>
        <v/>
      </c>
      <c r="AC870" s="34">
        <f>IF(OR($A870="",$H870&lt;&gt;"Ausgabe",O870=""),0,IF(O870="x",-$E870/(COUNTIF($J870:$Q870,"x")+1),-$E870*N(O870)))</f>
        <v/>
      </c>
      <c r="AD870" s="34">
        <f>IF(OR($A870="",$H870&lt;&gt;"Ausgabe",P870=""),0,IF(P870="x",-$E870/(COUNTIF($J870:$Q870,"x")+1),-$E870*N(P870)))</f>
        <v/>
      </c>
      <c r="AE870" s="34">
        <f>IF(OR($A870="",$H870&lt;&gt;"Ausgabe",Q870=""),0,IF(Q870="x",-$E870/(COUNTIF($J870:$Q870,"x")+1),-$E870*N(Q870)))</f>
        <v/>
      </c>
    </row>
    <row r="871">
      <c r="A871" s="30" t="n"/>
      <c r="E871" s="31" t="n"/>
      <c r="J871" s="32" t="n"/>
      <c r="K871" s="32" t="n"/>
      <c r="L871" s="32" t="n"/>
      <c r="M871" s="32" t="n"/>
      <c r="N871" s="32" t="n"/>
      <c r="O871" s="32" t="n"/>
      <c r="P871" s="32" t="n"/>
      <c r="Q871" s="32" t="n"/>
      <c r="U871" s="31">
        <f>IF($A871="","",SUM(X871:AE871))</f>
        <v/>
      </c>
      <c r="V871" s="31">
        <f>IF($A871="","",IF($H871&lt;&gt;"Ausgabe",0,-$E871-$U871))</f>
        <v/>
      </c>
      <c r="W871" s="33">
        <f>IF($A871="","",DATE(YEAR($A871),MONTH($A871),1))</f>
        <v/>
      </c>
      <c r="X871" s="34">
        <f>IF(OR($A871="",$H871&lt;&gt;"Ausgabe",J871=""),0,IF(J871="x",-$E871/(COUNTIF($J871:$Q871,"x")+1),-$E871*N(J871)))</f>
        <v/>
      </c>
      <c r="Y871" s="34">
        <f>IF(OR($A871="",$H871&lt;&gt;"Ausgabe",K871=""),0,IF(K871="x",-$E871/(COUNTIF($J871:$Q871,"x")+1),-$E871*N(K871)))</f>
        <v/>
      </c>
      <c r="Z871" s="34">
        <f>IF(OR($A871="",$H871&lt;&gt;"Ausgabe",L871=""),0,IF(L871="x",-$E871/(COUNTIF($J871:$Q871,"x")+1),-$E871*N(L871)))</f>
        <v/>
      </c>
      <c r="AA871" s="34">
        <f>IF(OR($A871="",$H871&lt;&gt;"Ausgabe",M871=""),0,IF(M871="x",-$E871/(COUNTIF($J871:$Q871,"x")+1),-$E871*N(M871)))</f>
        <v/>
      </c>
      <c r="AB871" s="34">
        <f>IF(OR($A871="",$H871&lt;&gt;"Ausgabe",N871=""),0,IF(N871="x",-$E871/(COUNTIF($J871:$Q871,"x")+1),-$E871*N(N871)))</f>
        <v/>
      </c>
      <c r="AC871" s="34">
        <f>IF(OR($A871="",$H871&lt;&gt;"Ausgabe",O871=""),0,IF(O871="x",-$E871/(COUNTIF($J871:$Q871,"x")+1),-$E871*N(O871)))</f>
        <v/>
      </c>
      <c r="AD871" s="34">
        <f>IF(OR($A871="",$H871&lt;&gt;"Ausgabe",P871=""),0,IF(P871="x",-$E871/(COUNTIF($J871:$Q871,"x")+1),-$E871*N(P871)))</f>
        <v/>
      </c>
      <c r="AE871" s="34">
        <f>IF(OR($A871="",$H871&lt;&gt;"Ausgabe",Q871=""),0,IF(Q871="x",-$E871/(COUNTIF($J871:$Q871,"x")+1),-$E871*N(Q871)))</f>
        <v/>
      </c>
    </row>
    <row r="872">
      <c r="A872" s="30" t="n"/>
      <c r="E872" s="31" t="n"/>
      <c r="J872" s="32" t="n"/>
      <c r="K872" s="32" t="n"/>
      <c r="L872" s="32" t="n"/>
      <c r="M872" s="32" t="n"/>
      <c r="N872" s="32" t="n"/>
      <c r="O872" s="32" t="n"/>
      <c r="P872" s="32" t="n"/>
      <c r="Q872" s="32" t="n"/>
      <c r="U872" s="31">
        <f>IF($A872="","",SUM(X872:AE872))</f>
        <v/>
      </c>
      <c r="V872" s="31">
        <f>IF($A872="","",IF($H872&lt;&gt;"Ausgabe",0,-$E872-$U872))</f>
        <v/>
      </c>
      <c r="W872" s="33">
        <f>IF($A872="","",DATE(YEAR($A872),MONTH($A872),1))</f>
        <v/>
      </c>
      <c r="X872" s="34">
        <f>IF(OR($A872="",$H872&lt;&gt;"Ausgabe",J872=""),0,IF(J872="x",-$E872/(COUNTIF($J872:$Q872,"x")+1),-$E872*N(J872)))</f>
        <v/>
      </c>
      <c r="Y872" s="34">
        <f>IF(OR($A872="",$H872&lt;&gt;"Ausgabe",K872=""),0,IF(K872="x",-$E872/(COUNTIF($J872:$Q872,"x")+1),-$E872*N(K872)))</f>
        <v/>
      </c>
      <c r="Z872" s="34">
        <f>IF(OR($A872="",$H872&lt;&gt;"Ausgabe",L872=""),0,IF(L872="x",-$E872/(COUNTIF($J872:$Q872,"x")+1),-$E872*N(L872)))</f>
        <v/>
      </c>
      <c r="AA872" s="34">
        <f>IF(OR($A872="",$H872&lt;&gt;"Ausgabe",M872=""),0,IF(M872="x",-$E872/(COUNTIF($J872:$Q872,"x")+1),-$E872*N(M872)))</f>
        <v/>
      </c>
      <c r="AB872" s="34">
        <f>IF(OR($A872="",$H872&lt;&gt;"Ausgabe",N872=""),0,IF(N872="x",-$E872/(COUNTIF($J872:$Q872,"x")+1),-$E872*N(N872)))</f>
        <v/>
      </c>
      <c r="AC872" s="34">
        <f>IF(OR($A872="",$H872&lt;&gt;"Ausgabe",O872=""),0,IF(O872="x",-$E872/(COUNTIF($J872:$Q872,"x")+1),-$E872*N(O872)))</f>
        <v/>
      </c>
      <c r="AD872" s="34">
        <f>IF(OR($A872="",$H872&lt;&gt;"Ausgabe",P872=""),0,IF(P872="x",-$E872/(COUNTIF($J872:$Q872,"x")+1),-$E872*N(P872)))</f>
        <v/>
      </c>
      <c r="AE872" s="34">
        <f>IF(OR($A872="",$H872&lt;&gt;"Ausgabe",Q872=""),0,IF(Q872="x",-$E872/(COUNTIF($J872:$Q872,"x")+1),-$E872*N(Q872)))</f>
        <v/>
      </c>
    </row>
    <row r="873">
      <c r="A873" s="30" t="n"/>
      <c r="E873" s="31" t="n"/>
      <c r="J873" s="32" t="n"/>
      <c r="K873" s="32" t="n"/>
      <c r="L873" s="32" t="n"/>
      <c r="M873" s="32" t="n"/>
      <c r="N873" s="32" t="n"/>
      <c r="O873" s="32" t="n"/>
      <c r="P873" s="32" t="n"/>
      <c r="Q873" s="32" t="n"/>
      <c r="U873" s="31">
        <f>IF($A873="","",SUM(X873:AE873))</f>
        <v/>
      </c>
      <c r="V873" s="31">
        <f>IF($A873="","",IF($H873&lt;&gt;"Ausgabe",0,-$E873-$U873))</f>
        <v/>
      </c>
      <c r="W873" s="33">
        <f>IF($A873="","",DATE(YEAR($A873),MONTH($A873),1))</f>
        <v/>
      </c>
      <c r="X873" s="34">
        <f>IF(OR($A873="",$H873&lt;&gt;"Ausgabe",J873=""),0,IF(J873="x",-$E873/(COUNTIF($J873:$Q873,"x")+1),-$E873*N(J873)))</f>
        <v/>
      </c>
      <c r="Y873" s="34">
        <f>IF(OR($A873="",$H873&lt;&gt;"Ausgabe",K873=""),0,IF(K873="x",-$E873/(COUNTIF($J873:$Q873,"x")+1),-$E873*N(K873)))</f>
        <v/>
      </c>
      <c r="Z873" s="34">
        <f>IF(OR($A873="",$H873&lt;&gt;"Ausgabe",L873=""),0,IF(L873="x",-$E873/(COUNTIF($J873:$Q873,"x")+1),-$E873*N(L873)))</f>
        <v/>
      </c>
      <c r="AA873" s="34">
        <f>IF(OR($A873="",$H873&lt;&gt;"Ausgabe",M873=""),0,IF(M873="x",-$E873/(COUNTIF($J873:$Q873,"x")+1),-$E873*N(M873)))</f>
        <v/>
      </c>
      <c r="AB873" s="34">
        <f>IF(OR($A873="",$H873&lt;&gt;"Ausgabe",N873=""),0,IF(N873="x",-$E873/(COUNTIF($J873:$Q873,"x")+1),-$E873*N(N873)))</f>
        <v/>
      </c>
      <c r="AC873" s="34">
        <f>IF(OR($A873="",$H873&lt;&gt;"Ausgabe",O873=""),0,IF(O873="x",-$E873/(COUNTIF($J873:$Q873,"x")+1),-$E873*N(O873)))</f>
        <v/>
      </c>
      <c r="AD873" s="34">
        <f>IF(OR($A873="",$H873&lt;&gt;"Ausgabe",P873=""),0,IF(P873="x",-$E873/(COUNTIF($J873:$Q873,"x")+1),-$E873*N(P873)))</f>
        <v/>
      </c>
      <c r="AE873" s="34">
        <f>IF(OR($A873="",$H873&lt;&gt;"Ausgabe",Q873=""),0,IF(Q873="x",-$E873/(COUNTIF($J873:$Q873,"x")+1),-$E873*N(Q873)))</f>
        <v/>
      </c>
    </row>
    <row r="874">
      <c r="A874" s="30" t="n"/>
      <c r="E874" s="31" t="n"/>
      <c r="J874" s="32" t="n"/>
      <c r="K874" s="32" t="n"/>
      <c r="L874" s="32" t="n"/>
      <c r="M874" s="32" t="n"/>
      <c r="N874" s="32" t="n"/>
      <c r="O874" s="32" t="n"/>
      <c r="P874" s="32" t="n"/>
      <c r="Q874" s="32" t="n"/>
      <c r="U874" s="31">
        <f>IF($A874="","",SUM(X874:AE874))</f>
        <v/>
      </c>
      <c r="V874" s="31">
        <f>IF($A874="","",IF($H874&lt;&gt;"Ausgabe",0,-$E874-$U874))</f>
        <v/>
      </c>
      <c r="W874" s="33">
        <f>IF($A874="","",DATE(YEAR($A874),MONTH($A874),1))</f>
        <v/>
      </c>
      <c r="X874" s="34">
        <f>IF(OR($A874="",$H874&lt;&gt;"Ausgabe",J874=""),0,IF(J874="x",-$E874/(COUNTIF($J874:$Q874,"x")+1),-$E874*N(J874)))</f>
        <v/>
      </c>
      <c r="Y874" s="34">
        <f>IF(OR($A874="",$H874&lt;&gt;"Ausgabe",K874=""),0,IF(K874="x",-$E874/(COUNTIF($J874:$Q874,"x")+1),-$E874*N(K874)))</f>
        <v/>
      </c>
      <c r="Z874" s="34">
        <f>IF(OR($A874="",$H874&lt;&gt;"Ausgabe",L874=""),0,IF(L874="x",-$E874/(COUNTIF($J874:$Q874,"x")+1),-$E874*N(L874)))</f>
        <v/>
      </c>
      <c r="AA874" s="34">
        <f>IF(OR($A874="",$H874&lt;&gt;"Ausgabe",M874=""),0,IF(M874="x",-$E874/(COUNTIF($J874:$Q874,"x")+1),-$E874*N(M874)))</f>
        <v/>
      </c>
      <c r="AB874" s="34">
        <f>IF(OR($A874="",$H874&lt;&gt;"Ausgabe",N874=""),0,IF(N874="x",-$E874/(COUNTIF($J874:$Q874,"x")+1),-$E874*N(N874)))</f>
        <v/>
      </c>
      <c r="AC874" s="34">
        <f>IF(OR($A874="",$H874&lt;&gt;"Ausgabe",O874=""),0,IF(O874="x",-$E874/(COUNTIF($J874:$Q874,"x")+1),-$E874*N(O874)))</f>
        <v/>
      </c>
      <c r="AD874" s="34">
        <f>IF(OR($A874="",$H874&lt;&gt;"Ausgabe",P874=""),0,IF(P874="x",-$E874/(COUNTIF($J874:$Q874,"x")+1),-$E874*N(P874)))</f>
        <v/>
      </c>
      <c r="AE874" s="34">
        <f>IF(OR($A874="",$H874&lt;&gt;"Ausgabe",Q874=""),0,IF(Q874="x",-$E874/(COUNTIF($J874:$Q874,"x")+1),-$E874*N(Q874)))</f>
        <v/>
      </c>
    </row>
    <row r="875">
      <c r="A875" s="30" t="n"/>
      <c r="E875" s="31" t="n"/>
      <c r="J875" s="32" t="n"/>
      <c r="K875" s="32" t="n"/>
      <c r="L875" s="32" t="n"/>
      <c r="M875" s="32" t="n"/>
      <c r="N875" s="32" t="n"/>
      <c r="O875" s="32" t="n"/>
      <c r="P875" s="32" t="n"/>
      <c r="Q875" s="32" t="n"/>
      <c r="U875" s="31">
        <f>IF($A875="","",SUM(X875:AE875))</f>
        <v/>
      </c>
      <c r="V875" s="31">
        <f>IF($A875="","",IF($H875&lt;&gt;"Ausgabe",0,-$E875-$U875))</f>
        <v/>
      </c>
      <c r="W875" s="33">
        <f>IF($A875="","",DATE(YEAR($A875),MONTH($A875),1))</f>
        <v/>
      </c>
      <c r="X875" s="34">
        <f>IF(OR($A875="",$H875&lt;&gt;"Ausgabe",J875=""),0,IF(J875="x",-$E875/(COUNTIF($J875:$Q875,"x")+1),-$E875*N(J875)))</f>
        <v/>
      </c>
      <c r="Y875" s="34">
        <f>IF(OR($A875="",$H875&lt;&gt;"Ausgabe",K875=""),0,IF(K875="x",-$E875/(COUNTIF($J875:$Q875,"x")+1),-$E875*N(K875)))</f>
        <v/>
      </c>
      <c r="Z875" s="34">
        <f>IF(OR($A875="",$H875&lt;&gt;"Ausgabe",L875=""),0,IF(L875="x",-$E875/(COUNTIF($J875:$Q875,"x")+1),-$E875*N(L875)))</f>
        <v/>
      </c>
      <c r="AA875" s="34">
        <f>IF(OR($A875="",$H875&lt;&gt;"Ausgabe",M875=""),0,IF(M875="x",-$E875/(COUNTIF($J875:$Q875,"x")+1),-$E875*N(M875)))</f>
        <v/>
      </c>
      <c r="AB875" s="34">
        <f>IF(OR($A875="",$H875&lt;&gt;"Ausgabe",N875=""),0,IF(N875="x",-$E875/(COUNTIF($J875:$Q875,"x")+1),-$E875*N(N875)))</f>
        <v/>
      </c>
      <c r="AC875" s="34">
        <f>IF(OR($A875="",$H875&lt;&gt;"Ausgabe",O875=""),0,IF(O875="x",-$E875/(COUNTIF($J875:$Q875,"x")+1),-$E875*N(O875)))</f>
        <v/>
      </c>
      <c r="AD875" s="34">
        <f>IF(OR($A875="",$H875&lt;&gt;"Ausgabe",P875=""),0,IF(P875="x",-$E875/(COUNTIF($J875:$Q875,"x")+1),-$E875*N(P875)))</f>
        <v/>
      </c>
      <c r="AE875" s="34">
        <f>IF(OR($A875="",$H875&lt;&gt;"Ausgabe",Q875=""),0,IF(Q875="x",-$E875/(COUNTIF($J875:$Q875,"x")+1),-$E875*N(Q875)))</f>
        <v/>
      </c>
    </row>
    <row r="876">
      <c r="A876" s="30" t="n"/>
      <c r="E876" s="31" t="n"/>
      <c r="J876" s="32" t="n"/>
      <c r="K876" s="32" t="n"/>
      <c r="L876" s="32" t="n"/>
      <c r="M876" s="32" t="n"/>
      <c r="N876" s="32" t="n"/>
      <c r="O876" s="32" t="n"/>
      <c r="P876" s="32" t="n"/>
      <c r="Q876" s="32" t="n"/>
      <c r="U876" s="31">
        <f>IF($A876="","",SUM(X876:AE876))</f>
        <v/>
      </c>
      <c r="V876" s="31">
        <f>IF($A876="","",IF($H876&lt;&gt;"Ausgabe",0,-$E876-$U876))</f>
        <v/>
      </c>
      <c r="W876" s="33">
        <f>IF($A876="","",DATE(YEAR($A876),MONTH($A876),1))</f>
        <v/>
      </c>
      <c r="X876" s="34">
        <f>IF(OR($A876="",$H876&lt;&gt;"Ausgabe",J876=""),0,IF(J876="x",-$E876/(COUNTIF($J876:$Q876,"x")+1),-$E876*N(J876)))</f>
        <v/>
      </c>
      <c r="Y876" s="34">
        <f>IF(OR($A876="",$H876&lt;&gt;"Ausgabe",K876=""),0,IF(K876="x",-$E876/(COUNTIF($J876:$Q876,"x")+1),-$E876*N(K876)))</f>
        <v/>
      </c>
      <c r="Z876" s="34">
        <f>IF(OR($A876="",$H876&lt;&gt;"Ausgabe",L876=""),0,IF(L876="x",-$E876/(COUNTIF($J876:$Q876,"x")+1),-$E876*N(L876)))</f>
        <v/>
      </c>
      <c r="AA876" s="34">
        <f>IF(OR($A876="",$H876&lt;&gt;"Ausgabe",M876=""),0,IF(M876="x",-$E876/(COUNTIF($J876:$Q876,"x")+1),-$E876*N(M876)))</f>
        <v/>
      </c>
      <c r="AB876" s="34">
        <f>IF(OR($A876="",$H876&lt;&gt;"Ausgabe",N876=""),0,IF(N876="x",-$E876/(COUNTIF($J876:$Q876,"x")+1),-$E876*N(N876)))</f>
        <v/>
      </c>
      <c r="AC876" s="34">
        <f>IF(OR($A876="",$H876&lt;&gt;"Ausgabe",O876=""),0,IF(O876="x",-$E876/(COUNTIF($J876:$Q876,"x")+1),-$E876*N(O876)))</f>
        <v/>
      </c>
      <c r="AD876" s="34">
        <f>IF(OR($A876="",$H876&lt;&gt;"Ausgabe",P876=""),0,IF(P876="x",-$E876/(COUNTIF($J876:$Q876,"x")+1),-$E876*N(P876)))</f>
        <v/>
      </c>
      <c r="AE876" s="34">
        <f>IF(OR($A876="",$H876&lt;&gt;"Ausgabe",Q876=""),0,IF(Q876="x",-$E876/(COUNTIF($J876:$Q876,"x")+1),-$E876*N(Q876)))</f>
        <v/>
      </c>
    </row>
    <row r="877">
      <c r="A877" s="30" t="n"/>
      <c r="E877" s="31" t="n"/>
      <c r="J877" s="32" t="n"/>
      <c r="K877" s="32" t="n"/>
      <c r="L877" s="32" t="n"/>
      <c r="M877" s="32" t="n"/>
      <c r="N877" s="32" t="n"/>
      <c r="O877" s="32" t="n"/>
      <c r="P877" s="32" t="n"/>
      <c r="Q877" s="32" t="n"/>
      <c r="U877" s="31">
        <f>IF($A877="","",SUM(X877:AE877))</f>
        <v/>
      </c>
      <c r="V877" s="31">
        <f>IF($A877="","",IF($H877&lt;&gt;"Ausgabe",0,-$E877-$U877))</f>
        <v/>
      </c>
      <c r="W877" s="33">
        <f>IF($A877="","",DATE(YEAR($A877),MONTH($A877),1))</f>
        <v/>
      </c>
      <c r="X877" s="34">
        <f>IF(OR($A877="",$H877&lt;&gt;"Ausgabe",J877=""),0,IF(J877="x",-$E877/(COUNTIF($J877:$Q877,"x")+1),-$E877*N(J877)))</f>
        <v/>
      </c>
      <c r="Y877" s="34">
        <f>IF(OR($A877="",$H877&lt;&gt;"Ausgabe",K877=""),0,IF(K877="x",-$E877/(COUNTIF($J877:$Q877,"x")+1),-$E877*N(K877)))</f>
        <v/>
      </c>
      <c r="Z877" s="34">
        <f>IF(OR($A877="",$H877&lt;&gt;"Ausgabe",L877=""),0,IF(L877="x",-$E877/(COUNTIF($J877:$Q877,"x")+1),-$E877*N(L877)))</f>
        <v/>
      </c>
      <c r="AA877" s="34">
        <f>IF(OR($A877="",$H877&lt;&gt;"Ausgabe",M877=""),0,IF(M877="x",-$E877/(COUNTIF($J877:$Q877,"x")+1),-$E877*N(M877)))</f>
        <v/>
      </c>
      <c r="AB877" s="34">
        <f>IF(OR($A877="",$H877&lt;&gt;"Ausgabe",N877=""),0,IF(N877="x",-$E877/(COUNTIF($J877:$Q877,"x")+1),-$E877*N(N877)))</f>
        <v/>
      </c>
      <c r="AC877" s="34">
        <f>IF(OR($A877="",$H877&lt;&gt;"Ausgabe",O877=""),0,IF(O877="x",-$E877/(COUNTIF($J877:$Q877,"x")+1),-$E877*N(O877)))</f>
        <v/>
      </c>
      <c r="AD877" s="34">
        <f>IF(OR($A877="",$H877&lt;&gt;"Ausgabe",P877=""),0,IF(P877="x",-$E877/(COUNTIF($J877:$Q877,"x")+1),-$E877*N(P877)))</f>
        <v/>
      </c>
      <c r="AE877" s="34">
        <f>IF(OR($A877="",$H877&lt;&gt;"Ausgabe",Q877=""),0,IF(Q877="x",-$E877/(COUNTIF($J877:$Q877,"x")+1),-$E877*N(Q877)))</f>
        <v/>
      </c>
    </row>
    <row r="878">
      <c r="A878" s="30" t="n"/>
      <c r="E878" s="31" t="n"/>
      <c r="J878" s="32" t="n"/>
      <c r="K878" s="32" t="n"/>
      <c r="L878" s="32" t="n"/>
      <c r="M878" s="32" t="n"/>
      <c r="N878" s="32" t="n"/>
      <c r="O878" s="32" t="n"/>
      <c r="P878" s="32" t="n"/>
      <c r="Q878" s="32" t="n"/>
      <c r="U878" s="31">
        <f>IF($A878="","",SUM(X878:AE878))</f>
        <v/>
      </c>
      <c r="V878" s="31">
        <f>IF($A878="","",IF($H878&lt;&gt;"Ausgabe",0,-$E878-$U878))</f>
        <v/>
      </c>
      <c r="W878" s="33">
        <f>IF($A878="","",DATE(YEAR($A878),MONTH($A878),1))</f>
        <v/>
      </c>
      <c r="X878" s="34">
        <f>IF(OR($A878="",$H878&lt;&gt;"Ausgabe",J878=""),0,IF(J878="x",-$E878/(COUNTIF($J878:$Q878,"x")+1),-$E878*N(J878)))</f>
        <v/>
      </c>
      <c r="Y878" s="34">
        <f>IF(OR($A878="",$H878&lt;&gt;"Ausgabe",K878=""),0,IF(K878="x",-$E878/(COUNTIF($J878:$Q878,"x")+1),-$E878*N(K878)))</f>
        <v/>
      </c>
      <c r="Z878" s="34">
        <f>IF(OR($A878="",$H878&lt;&gt;"Ausgabe",L878=""),0,IF(L878="x",-$E878/(COUNTIF($J878:$Q878,"x")+1),-$E878*N(L878)))</f>
        <v/>
      </c>
      <c r="AA878" s="34">
        <f>IF(OR($A878="",$H878&lt;&gt;"Ausgabe",M878=""),0,IF(M878="x",-$E878/(COUNTIF($J878:$Q878,"x")+1),-$E878*N(M878)))</f>
        <v/>
      </c>
      <c r="AB878" s="34">
        <f>IF(OR($A878="",$H878&lt;&gt;"Ausgabe",N878=""),0,IF(N878="x",-$E878/(COUNTIF($J878:$Q878,"x")+1),-$E878*N(N878)))</f>
        <v/>
      </c>
      <c r="AC878" s="34">
        <f>IF(OR($A878="",$H878&lt;&gt;"Ausgabe",O878=""),0,IF(O878="x",-$E878/(COUNTIF($J878:$Q878,"x")+1),-$E878*N(O878)))</f>
        <v/>
      </c>
      <c r="AD878" s="34">
        <f>IF(OR($A878="",$H878&lt;&gt;"Ausgabe",P878=""),0,IF(P878="x",-$E878/(COUNTIF($J878:$Q878,"x")+1),-$E878*N(P878)))</f>
        <v/>
      </c>
      <c r="AE878" s="34">
        <f>IF(OR($A878="",$H878&lt;&gt;"Ausgabe",Q878=""),0,IF(Q878="x",-$E878/(COUNTIF($J878:$Q878,"x")+1),-$E878*N(Q878)))</f>
        <v/>
      </c>
    </row>
    <row r="879">
      <c r="A879" s="30" t="n"/>
      <c r="E879" s="31" t="n"/>
      <c r="J879" s="32" t="n"/>
      <c r="K879" s="32" t="n"/>
      <c r="L879" s="32" t="n"/>
      <c r="M879" s="32" t="n"/>
      <c r="N879" s="32" t="n"/>
      <c r="O879" s="32" t="n"/>
      <c r="P879" s="32" t="n"/>
      <c r="Q879" s="32" t="n"/>
      <c r="U879" s="31">
        <f>IF($A879="","",SUM(X879:AE879))</f>
        <v/>
      </c>
      <c r="V879" s="31">
        <f>IF($A879="","",IF($H879&lt;&gt;"Ausgabe",0,-$E879-$U879))</f>
        <v/>
      </c>
      <c r="W879" s="33">
        <f>IF($A879="","",DATE(YEAR($A879),MONTH($A879),1))</f>
        <v/>
      </c>
      <c r="X879" s="34">
        <f>IF(OR($A879="",$H879&lt;&gt;"Ausgabe",J879=""),0,IF(J879="x",-$E879/(COUNTIF($J879:$Q879,"x")+1),-$E879*N(J879)))</f>
        <v/>
      </c>
      <c r="Y879" s="34">
        <f>IF(OR($A879="",$H879&lt;&gt;"Ausgabe",K879=""),0,IF(K879="x",-$E879/(COUNTIF($J879:$Q879,"x")+1),-$E879*N(K879)))</f>
        <v/>
      </c>
      <c r="Z879" s="34">
        <f>IF(OR($A879="",$H879&lt;&gt;"Ausgabe",L879=""),0,IF(L879="x",-$E879/(COUNTIF($J879:$Q879,"x")+1),-$E879*N(L879)))</f>
        <v/>
      </c>
      <c r="AA879" s="34">
        <f>IF(OR($A879="",$H879&lt;&gt;"Ausgabe",M879=""),0,IF(M879="x",-$E879/(COUNTIF($J879:$Q879,"x")+1),-$E879*N(M879)))</f>
        <v/>
      </c>
      <c r="AB879" s="34">
        <f>IF(OR($A879="",$H879&lt;&gt;"Ausgabe",N879=""),0,IF(N879="x",-$E879/(COUNTIF($J879:$Q879,"x")+1),-$E879*N(N879)))</f>
        <v/>
      </c>
      <c r="AC879" s="34">
        <f>IF(OR($A879="",$H879&lt;&gt;"Ausgabe",O879=""),0,IF(O879="x",-$E879/(COUNTIF($J879:$Q879,"x")+1),-$E879*N(O879)))</f>
        <v/>
      </c>
      <c r="AD879" s="34">
        <f>IF(OR($A879="",$H879&lt;&gt;"Ausgabe",P879=""),0,IF(P879="x",-$E879/(COUNTIF($J879:$Q879,"x")+1),-$E879*N(P879)))</f>
        <v/>
      </c>
      <c r="AE879" s="34">
        <f>IF(OR($A879="",$H879&lt;&gt;"Ausgabe",Q879=""),0,IF(Q879="x",-$E879/(COUNTIF($J879:$Q879,"x")+1),-$E879*N(Q879)))</f>
        <v/>
      </c>
    </row>
    <row r="880">
      <c r="A880" s="30" t="n"/>
      <c r="E880" s="31" t="n"/>
      <c r="J880" s="32" t="n"/>
      <c r="K880" s="32" t="n"/>
      <c r="L880" s="32" t="n"/>
      <c r="M880" s="32" t="n"/>
      <c r="N880" s="32" t="n"/>
      <c r="O880" s="32" t="n"/>
      <c r="P880" s="32" t="n"/>
      <c r="Q880" s="32" t="n"/>
      <c r="U880" s="31">
        <f>IF($A880="","",SUM(X880:AE880))</f>
        <v/>
      </c>
      <c r="V880" s="31">
        <f>IF($A880="","",IF($H880&lt;&gt;"Ausgabe",0,-$E880-$U880))</f>
        <v/>
      </c>
      <c r="W880" s="33">
        <f>IF($A880="","",DATE(YEAR($A880),MONTH($A880),1))</f>
        <v/>
      </c>
      <c r="X880" s="34">
        <f>IF(OR($A880="",$H880&lt;&gt;"Ausgabe",J880=""),0,IF(J880="x",-$E880/(COUNTIF($J880:$Q880,"x")+1),-$E880*N(J880)))</f>
        <v/>
      </c>
      <c r="Y880" s="34">
        <f>IF(OR($A880="",$H880&lt;&gt;"Ausgabe",K880=""),0,IF(K880="x",-$E880/(COUNTIF($J880:$Q880,"x")+1),-$E880*N(K880)))</f>
        <v/>
      </c>
      <c r="Z880" s="34">
        <f>IF(OR($A880="",$H880&lt;&gt;"Ausgabe",L880=""),0,IF(L880="x",-$E880/(COUNTIF($J880:$Q880,"x")+1),-$E880*N(L880)))</f>
        <v/>
      </c>
      <c r="AA880" s="34">
        <f>IF(OR($A880="",$H880&lt;&gt;"Ausgabe",M880=""),0,IF(M880="x",-$E880/(COUNTIF($J880:$Q880,"x")+1),-$E880*N(M880)))</f>
        <v/>
      </c>
      <c r="AB880" s="34">
        <f>IF(OR($A880="",$H880&lt;&gt;"Ausgabe",N880=""),0,IF(N880="x",-$E880/(COUNTIF($J880:$Q880,"x")+1),-$E880*N(N880)))</f>
        <v/>
      </c>
      <c r="AC880" s="34">
        <f>IF(OR($A880="",$H880&lt;&gt;"Ausgabe",O880=""),0,IF(O880="x",-$E880/(COUNTIF($J880:$Q880,"x")+1),-$E880*N(O880)))</f>
        <v/>
      </c>
      <c r="AD880" s="34">
        <f>IF(OR($A880="",$H880&lt;&gt;"Ausgabe",P880=""),0,IF(P880="x",-$E880/(COUNTIF($J880:$Q880,"x")+1),-$E880*N(P880)))</f>
        <v/>
      </c>
      <c r="AE880" s="34">
        <f>IF(OR($A880="",$H880&lt;&gt;"Ausgabe",Q880=""),0,IF(Q880="x",-$E880/(COUNTIF($J880:$Q880,"x")+1),-$E880*N(Q880)))</f>
        <v/>
      </c>
    </row>
    <row r="881">
      <c r="A881" s="30" t="n"/>
      <c r="E881" s="31" t="n"/>
      <c r="J881" s="32" t="n"/>
      <c r="K881" s="32" t="n"/>
      <c r="L881" s="32" t="n"/>
      <c r="M881" s="32" t="n"/>
      <c r="N881" s="32" t="n"/>
      <c r="O881" s="32" t="n"/>
      <c r="P881" s="32" t="n"/>
      <c r="Q881" s="32" t="n"/>
      <c r="U881" s="31">
        <f>IF($A881="","",SUM(X881:AE881))</f>
        <v/>
      </c>
      <c r="V881" s="31">
        <f>IF($A881="","",IF($H881&lt;&gt;"Ausgabe",0,-$E881-$U881))</f>
        <v/>
      </c>
      <c r="W881" s="33">
        <f>IF($A881="","",DATE(YEAR($A881),MONTH($A881),1))</f>
        <v/>
      </c>
      <c r="X881" s="34">
        <f>IF(OR($A881="",$H881&lt;&gt;"Ausgabe",J881=""),0,IF(J881="x",-$E881/(COUNTIF($J881:$Q881,"x")+1),-$E881*N(J881)))</f>
        <v/>
      </c>
      <c r="Y881" s="34">
        <f>IF(OR($A881="",$H881&lt;&gt;"Ausgabe",K881=""),0,IF(K881="x",-$E881/(COUNTIF($J881:$Q881,"x")+1),-$E881*N(K881)))</f>
        <v/>
      </c>
      <c r="Z881" s="34">
        <f>IF(OR($A881="",$H881&lt;&gt;"Ausgabe",L881=""),0,IF(L881="x",-$E881/(COUNTIF($J881:$Q881,"x")+1),-$E881*N(L881)))</f>
        <v/>
      </c>
      <c r="AA881" s="34">
        <f>IF(OR($A881="",$H881&lt;&gt;"Ausgabe",M881=""),0,IF(M881="x",-$E881/(COUNTIF($J881:$Q881,"x")+1),-$E881*N(M881)))</f>
        <v/>
      </c>
      <c r="AB881" s="34">
        <f>IF(OR($A881="",$H881&lt;&gt;"Ausgabe",N881=""),0,IF(N881="x",-$E881/(COUNTIF($J881:$Q881,"x")+1),-$E881*N(N881)))</f>
        <v/>
      </c>
      <c r="AC881" s="34">
        <f>IF(OR($A881="",$H881&lt;&gt;"Ausgabe",O881=""),0,IF(O881="x",-$E881/(COUNTIF($J881:$Q881,"x")+1),-$E881*N(O881)))</f>
        <v/>
      </c>
      <c r="AD881" s="34">
        <f>IF(OR($A881="",$H881&lt;&gt;"Ausgabe",P881=""),0,IF(P881="x",-$E881/(COUNTIF($J881:$Q881,"x")+1),-$E881*N(P881)))</f>
        <v/>
      </c>
      <c r="AE881" s="34">
        <f>IF(OR($A881="",$H881&lt;&gt;"Ausgabe",Q881=""),0,IF(Q881="x",-$E881/(COUNTIF($J881:$Q881,"x")+1),-$E881*N(Q881)))</f>
        <v/>
      </c>
    </row>
    <row r="882">
      <c r="A882" s="30" t="n"/>
      <c r="E882" s="31" t="n"/>
      <c r="J882" s="32" t="n"/>
      <c r="K882" s="32" t="n"/>
      <c r="L882" s="32" t="n"/>
      <c r="M882" s="32" t="n"/>
      <c r="N882" s="32" t="n"/>
      <c r="O882" s="32" t="n"/>
      <c r="P882" s="32" t="n"/>
      <c r="Q882" s="32" t="n"/>
      <c r="U882" s="31">
        <f>IF($A882="","",SUM(X882:AE882))</f>
        <v/>
      </c>
      <c r="V882" s="31">
        <f>IF($A882="","",IF($H882&lt;&gt;"Ausgabe",0,-$E882-$U882))</f>
        <v/>
      </c>
      <c r="W882" s="33">
        <f>IF($A882="","",DATE(YEAR($A882),MONTH($A882),1))</f>
        <v/>
      </c>
      <c r="X882" s="34">
        <f>IF(OR($A882="",$H882&lt;&gt;"Ausgabe",J882=""),0,IF(J882="x",-$E882/(COUNTIF($J882:$Q882,"x")+1),-$E882*N(J882)))</f>
        <v/>
      </c>
      <c r="Y882" s="34">
        <f>IF(OR($A882="",$H882&lt;&gt;"Ausgabe",K882=""),0,IF(K882="x",-$E882/(COUNTIF($J882:$Q882,"x")+1),-$E882*N(K882)))</f>
        <v/>
      </c>
      <c r="Z882" s="34">
        <f>IF(OR($A882="",$H882&lt;&gt;"Ausgabe",L882=""),0,IF(L882="x",-$E882/(COUNTIF($J882:$Q882,"x")+1),-$E882*N(L882)))</f>
        <v/>
      </c>
      <c r="AA882" s="34">
        <f>IF(OR($A882="",$H882&lt;&gt;"Ausgabe",M882=""),0,IF(M882="x",-$E882/(COUNTIF($J882:$Q882,"x")+1),-$E882*N(M882)))</f>
        <v/>
      </c>
      <c r="AB882" s="34">
        <f>IF(OR($A882="",$H882&lt;&gt;"Ausgabe",N882=""),0,IF(N882="x",-$E882/(COUNTIF($J882:$Q882,"x")+1),-$E882*N(N882)))</f>
        <v/>
      </c>
      <c r="AC882" s="34">
        <f>IF(OR($A882="",$H882&lt;&gt;"Ausgabe",O882=""),0,IF(O882="x",-$E882/(COUNTIF($J882:$Q882,"x")+1),-$E882*N(O882)))</f>
        <v/>
      </c>
      <c r="AD882" s="34">
        <f>IF(OR($A882="",$H882&lt;&gt;"Ausgabe",P882=""),0,IF(P882="x",-$E882/(COUNTIF($J882:$Q882,"x")+1),-$E882*N(P882)))</f>
        <v/>
      </c>
      <c r="AE882" s="34">
        <f>IF(OR($A882="",$H882&lt;&gt;"Ausgabe",Q882=""),0,IF(Q882="x",-$E882/(COUNTIF($J882:$Q882,"x")+1),-$E882*N(Q882)))</f>
        <v/>
      </c>
    </row>
    <row r="883">
      <c r="A883" s="30" t="n"/>
      <c r="E883" s="31" t="n"/>
      <c r="J883" s="32" t="n"/>
      <c r="K883" s="32" t="n"/>
      <c r="L883" s="32" t="n"/>
      <c r="M883" s="32" t="n"/>
      <c r="N883" s="32" t="n"/>
      <c r="O883" s="32" t="n"/>
      <c r="P883" s="32" t="n"/>
      <c r="Q883" s="32" t="n"/>
      <c r="U883" s="31">
        <f>IF($A883="","",SUM(X883:AE883))</f>
        <v/>
      </c>
      <c r="V883" s="31">
        <f>IF($A883="","",IF($H883&lt;&gt;"Ausgabe",0,-$E883-$U883))</f>
        <v/>
      </c>
      <c r="W883" s="33">
        <f>IF($A883="","",DATE(YEAR($A883),MONTH($A883),1))</f>
        <v/>
      </c>
      <c r="X883" s="34">
        <f>IF(OR($A883="",$H883&lt;&gt;"Ausgabe",J883=""),0,IF(J883="x",-$E883/(COUNTIF($J883:$Q883,"x")+1),-$E883*N(J883)))</f>
        <v/>
      </c>
      <c r="Y883" s="34">
        <f>IF(OR($A883="",$H883&lt;&gt;"Ausgabe",K883=""),0,IF(K883="x",-$E883/(COUNTIF($J883:$Q883,"x")+1),-$E883*N(K883)))</f>
        <v/>
      </c>
      <c r="Z883" s="34">
        <f>IF(OR($A883="",$H883&lt;&gt;"Ausgabe",L883=""),0,IF(L883="x",-$E883/(COUNTIF($J883:$Q883,"x")+1),-$E883*N(L883)))</f>
        <v/>
      </c>
      <c r="AA883" s="34">
        <f>IF(OR($A883="",$H883&lt;&gt;"Ausgabe",M883=""),0,IF(M883="x",-$E883/(COUNTIF($J883:$Q883,"x")+1),-$E883*N(M883)))</f>
        <v/>
      </c>
      <c r="AB883" s="34">
        <f>IF(OR($A883="",$H883&lt;&gt;"Ausgabe",N883=""),0,IF(N883="x",-$E883/(COUNTIF($J883:$Q883,"x")+1),-$E883*N(N883)))</f>
        <v/>
      </c>
      <c r="AC883" s="34">
        <f>IF(OR($A883="",$H883&lt;&gt;"Ausgabe",O883=""),0,IF(O883="x",-$E883/(COUNTIF($J883:$Q883,"x")+1),-$E883*N(O883)))</f>
        <v/>
      </c>
      <c r="AD883" s="34">
        <f>IF(OR($A883="",$H883&lt;&gt;"Ausgabe",P883=""),0,IF(P883="x",-$E883/(COUNTIF($J883:$Q883,"x")+1),-$E883*N(P883)))</f>
        <v/>
      </c>
      <c r="AE883" s="34">
        <f>IF(OR($A883="",$H883&lt;&gt;"Ausgabe",Q883=""),0,IF(Q883="x",-$E883/(COUNTIF($J883:$Q883,"x")+1),-$E883*N(Q883)))</f>
        <v/>
      </c>
    </row>
    <row r="884">
      <c r="A884" s="30" t="n"/>
      <c r="E884" s="31" t="n"/>
      <c r="J884" s="32" t="n"/>
      <c r="K884" s="32" t="n"/>
      <c r="L884" s="32" t="n"/>
      <c r="M884" s="32" t="n"/>
      <c r="N884" s="32" t="n"/>
      <c r="O884" s="32" t="n"/>
      <c r="P884" s="32" t="n"/>
      <c r="Q884" s="32" t="n"/>
      <c r="U884" s="31">
        <f>IF($A884="","",SUM(X884:AE884))</f>
        <v/>
      </c>
      <c r="V884" s="31">
        <f>IF($A884="","",IF($H884&lt;&gt;"Ausgabe",0,-$E884-$U884))</f>
        <v/>
      </c>
      <c r="W884" s="33">
        <f>IF($A884="","",DATE(YEAR($A884),MONTH($A884),1))</f>
        <v/>
      </c>
      <c r="X884" s="34">
        <f>IF(OR($A884="",$H884&lt;&gt;"Ausgabe",J884=""),0,IF(J884="x",-$E884/(COUNTIF($J884:$Q884,"x")+1),-$E884*N(J884)))</f>
        <v/>
      </c>
      <c r="Y884" s="34">
        <f>IF(OR($A884="",$H884&lt;&gt;"Ausgabe",K884=""),0,IF(K884="x",-$E884/(COUNTIF($J884:$Q884,"x")+1),-$E884*N(K884)))</f>
        <v/>
      </c>
      <c r="Z884" s="34">
        <f>IF(OR($A884="",$H884&lt;&gt;"Ausgabe",L884=""),0,IF(L884="x",-$E884/(COUNTIF($J884:$Q884,"x")+1),-$E884*N(L884)))</f>
        <v/>
      </c>
      <c r="AA884" s="34">
        <f>IF(OR($A884="",$H884&lt;&gt;"Ausgabe",M884=""),0,IF(M884="x",-$E884/(COUNTIF($J884:$Q884,"x")+1),-$E884*N(M884)))</f>
        <v/>
      </c>
      <c r="AB884" s="34">
        <f>IF(OR($A884="",$H884&lt;&gt;"Ausgabe",N884=""),0,IF(N884="x",-$E884/(COUNTIF($J884:$Q884,"x")+1),-$E884*N(N884)))</f>
        <v/>
      </c>
      <c r="AC884" s="34">
        <f>IF(OR($A884="",$H884&lt;&gt;"Ausgabe",O884=""),0,IF(O884="x",-$E884/(COUNTIF($J884:$Q884,"x")+1),-$E884*N(O884)))</f>
        <v/>
      </c>
      <c r="AD884" s="34">
        <f>IF(OR($A884="",$H884&lt;&gt;"Ausgabe",P884=""),0,IF(P884="x",-$E884/(COUNTIF($J884:$Q884,"x")+1),-$E884*N(P884)))</f>
        <v/>
      </c>
      <c r="AE884" s="34">
        <f>IF(OR($A884="",$H884&lt;&gt;"Ausgabe",Q884=""),0,IF(Q884="x",-$E884/(COUNTIF($J884:$Q884,"x")+1),-$E884*N(Q884)))</f>
        <v/>
      </c>
    </row>
    <row r="885">
      <c r="A885" s="30" t="n"/>
      <c r="E885" s="31" t="n"/>
      <c r="J885" s="32" t="n"/>
      <c r="K885" s="32" t="n"/>
      <c r="L885" s="32" t="n"/>
      <c r="M885" s="32" t="n"/>
      <c r="N885" s="32" t="n"/>
      <c r="O885" s="32" t="n"/>
      <c r="P885" s="32" t="n"/>
      <c r="Q885" s="32" t="n"/>
      <c r="U885" s="31">
        <f>IF($A885="","",SUM(X885:AE885))</f>
        <v/>
      </c>
      <c r="V885" s="31">
        <f>IF($A885="","",IF($H885&lt;&gt;"Ausgabe",0,-$E885-$U885))</f>
        <v/>
      </c>
      <c r="W885" s="33">
        <f>IF($A885="","",DATE(YEAR($A885),MONTH($A885),1))</f>
        <v/>
      </c>
      <c r="X885" s="34">
        <f>IF(OR($A885="",$H885&lt;&gt;"Ausgabe",J885=""),0,IF(J885="x",-$E885/(COUNTIF($J885:$Q885,"x")+1),-$E885*N(J885)))</f>
        <v/>
      </c>
      <c r="Y885" s="34">
        <f>IF(OR($A885="",$H885&lt;&gt;"Ausgabe",K885=""),0,IF(K885="x",-$E885/(COUNTIF($J885:$Q885,"x")+1),-$E885*N(K885)))</f>
        <v/>
      </c>
      <c r="Z885" s="34">
        <f>IF(OR($A885="",$H885&lt;&gt;"Ausgabe",L885=""),0,IF(L885="x",-$E885/(COUNTIF($J885:$Q885,"x")+1),-$E885*N(L885)))</f>
        <v/>
      </c>
      <c r="AA885" s="34">
        <f>IF(OR($A885="",$H885&lt;&gt;"Ausgabe",M885=""),0,IF(M885="x",-$E885/(COUNTIF($J885:$Q885,"x")+1),-$E885*N(M885)))</f>
        <v/>
      </c>
      <c r="AB885" s="34">
        <f>IF(OR($A885="",$H885&lt;&gt;"Ausgabe",N885=""),0,IF(N885="x",-$E885/(COUNTIF($J885:$Q885,"x")+1),-$E885*N(N885)))</f>
        <v/>
      </c>
      <c r="AC885" s="34">
        <f>IF(OR($A885="",$H885&lt;&gt;"Ausgabe",O885=""),0,IF(O885="x",-$E885/(COUNTIF($J885:$Q885,"x")+1),-$E885*N(O885)))</f>
        <v/>
      </c>
      <c r="AD885" s="34">
        <f>IF(OR($A885="",$H885&lt;&gt;"Ausgabe",P885=""),0,IF(P885="x",-$E885/(COUNTIF($J885:$Q885,"x")+1),-$E885*N(P885)))</f>
        <v/>
      </c>
      <c r="AE885" s="34">
        <f>IF(OR($A885="",$H885&lt;&gt;"Ausgabe",Q885=""),0,IF(Q885="x",-$E885/(COUNTIF($J885:$Q885,"x")+1),-$E885*N(Q885)))</f>
        <v/>
      </c>
    </row>
    <row r="886">
      <c r="A886" s="30" t="n"/>
      <c r="E886" s="31" t="n"/>
      <c r="J886" s="32" t="n"/>
      <c r="K886" s="32" t="n"/>
      <c r="L886" s="32" t="n"/>
      <c r="M886" s="32" t="n"/>
      <c r="N886" s="32" t="n"/>
      <c r="O886" s="32" t="n"/>
      <c r="P886" s="32" t="n"/>
      <c r="Q886" s="32" t="n"/>
      <c r="U886" s="31">
        <f>IF($A886="","",SUM(X886:AE886))</f>
        <v/>
      </c>
      <c r="V886" s="31">
        <f>IF($A886="","",IF($H886&lt;&gt;"Ausgabe",0,-$E886-$U886))</f>
        <v/>
      </c>
      <c r="W886" s="33">
        <f>IF($A886="","",DATE(YEAR($A886),MONTH($A886),1))</f>
        <v/>
      </c>
      <c r="X886" s="34">
        <f>IF(OR($A886="",$H886&lt;&gt;"Ausgabe",J886=""),0,IF(J886="x",-$E886/(COUNTIF($J886:$Q886,"x")+1),-$E886*N(J886)))</f>
        <v/>
      </c>
      <c r="Y886" s="34">
        <f>IF(OR($A886="",$H886&lt;&gt;"Ausgabe",K886=""),0,IF(K886="x",-$E886/(COUNTIF($J886:$Q886,"x")+1),-$E886*N(K886)))</f>
        <v/>
      </c>
      <c r="Z886" s="34">
        <f>IF(OR($A886="",$H886&lt;&gt;"Ausgabe",L886=""),0,IF(L886="x",-$E886/(COUNTIF($J886:$Q886,"x")+1),-$E886*N(L886)))</f>
        <v/>
      </c>
      <c r="AA886" s="34">
        <f>IF(OR($A886="",$H886&lt;&gt;"Ausgabe",M886=""),0,IF(M886="x",-$E886/(COUNTIF($J886:$Q886,"x")+1),-$E886*N(M886)))</f>
        <v/>
      </c>
      <c r="AB886" s="34">
        <f>IF(OR($A886="",$H886&lt;&gt;"Ausgabe",N886=""),0,IF(N886="x",-$E886/(COUNTIF($J886:$Q886,"x")+1),-$E886*N(N886)))</f>
        <v/>
      </c>
      <c r="AC886" s="34">
        <f>IF(OR($A886="",$H886&lt;&gt;"Ausgabe",O886=""),0,IF(O886="x",-$E886/(COUNTIF($J886:$Q886,"x")+1),-$E886*N(O886)))</f>
        <v/>
      </c>
      <c r="AD886" s="34">
        <f>IF(OR($A886="",$H886&lt;&gt;"Ausgabe",P886=""),0,IF(P886="x",-$E886/(COUNTIF($J886:$Q886,"x")+1),-$E886*N(P886)))</f>
        <v/>
      </c>
      <c r="AE886" s="34">
        <f>IF(OR($A886="",$H886&lt;&gt;"Ausgabe",Q886=""),0,IF(Q886="x",-$E886/(COUNTIF($J886:$Q886,"x")+1),-$E886*N(Q886)))</f>
        <v/>
      </c>
    </row>
    <row r="887">
      <c r="A887" s="30" t="n"/>
      <c r="E887" s="31" t="n"/>
      <c r="J887" s="32" t="n"/>
      <c r="K887" s="32" t="n"/>
      <c r="L887" s="32" t="n"/>
      <c r="M887" s="32" t="n"/>
      <c r="N887" s="32" t="n"/>
      <c r="O887" s="32" t="n"/>
      <c r="P887" s="32" t="n"/>
      <c r="Q887" s="32" t="n"/>
      <c r="U887" s="31">
        <f>IF($A887="","",SUM(X887:AE887))</f>
        <v/>
      </c>
      <c r="V887" s="31">
        <f>IF($A887="","",IF($H887&lt;&gt;"Ausgabe",0,-$E887-$U887))</f>
        <v/>
      </c>
      <c r="W887" s="33">
        <f>IF($A887="","",DATE(YEAR($A887),MONTH($A887),1))</f>
        <v/>
      </c>
      <c r="X887" s="34">
        <f>IF(OR($A887="",$H887&lt;&gt;"Ausgabe",J887=""),0,IF(J887="x",-$E887/(COUNTIF($J887:$Q887,"x")+1),-$E887*N(J887)))</f>
        <v/>
      </c>
      <c r="Y887" s="34">
        <f>IF(OR($A887="",$H887&lt;&gt;"Ausgabe",K887=""),0,IF(K887="x",-$E887/(COUNTIF($J887:$Q887,"x")+1),-$E887*N(K887)))</f>
        <v/>
      </c>
      <c r="Z887" s="34">
        <f>IF(OR($A887="",$H887&lt;&gt;"Ausgabe",L887=""),0,IF(L887="x",-$E887/(COUNTIF($J887:$Q887,"x")+1),-$E887*N(L887)))</f>
        <v/>
      </c>
      <c r="AA887" s="34">
        <f>IF(OR($A887="",$H887&lt;&gt;"Ausgabe",M887=""),0,IF(M887="x",-$E887/(COUNTIF($J887:$Q887,"x")+1),-$E887*N(M887)))</f>
        <v/>
      </c>
      <c r="AB887" s="34">
        <f>IF(OR($A887="",$H887&lt;&gt;"Ausgabe",N887=""),0,IF(N887="x",-$E887/(COUNTIF($J887:$Q887,"x")+1),-$E887*N(N887)))</f>
        <v/>
      </c>
      <c r="AC887" s="34">
        <f>IF(OR($A887="",$H887&lt;&gt;"Ausgabe",O887=""),0,IF(O887="x",-$E887/(COUNTIF($J887:$Q887,"x")+1),-$E887*N(O887)))</f>
        <v/>
      </c>
      <c r="AD887" s="34">
        <f>IF(OR($A887="",$H887&lt;&gt;"Ausgabe",P887=""),0,IF(P887="x",-$E887/(COUNTIF($J887:$Q887,"x")+1),-$E887*N(P887)))</f>
        <v/>
      </c>
      <c r="AE887" s="34">
        <f>IF(OR($A887="",$H887&lt;&gt;"Ausgabe",Q887=""),0,IF(Q887="x",-$E887/(COUNTIF($J887:$Q887,"x")+1),-$E887*N(Q887)))</f>
        <v/>
      </c>
    </row>
    <row r="888">
      <c r="A888" s="30" t="n"/>
      <c r="E888" s="31" t="n"/>
      <c r="J888" s="32" t="n"/>
      <c r="K888" s="32" t="n"/>
      <c r="L888" s="32" t="n"/>
      <c r="M888" s="32" t="n"/>
      <c r="N888" s="32" t="n"/>
      <c r="O888" s="32" t="n"/>
      <c r="P888" s="32" t="n"/>
      <c r="Q888" s="32" t="n"/>
      <c r="U888" s="31">
        <f>IF($A888="","",SUM(X888:AE888))</f>
        <v/>
      </c>
      <c r="V888" s="31">
        <f>IF($A888="","",IF($H888&lt;&gt;"Ausgabe",0,-$E888-$U888))</f>
        <v/>
      </c>
      <c r="W888" s="33">
        <f>IF($A888="","",DATE(YEAR($A888),MONTH($A888),1))</f>
        <v/>
      </c>
      <c r="X888" s="34">
        <f>IF(OR($A888="",$H888&lt;&gt;"Ausgabe",J888=""),0,IF(J888="x",-$E888/(COUNTIF($J888:$Q888,"x")+1),-$E888*N(J888)))</f>
        <v/>
      </c>
      <c r="Y888" s="34">
        <f>IF(OR($A888="",$H888&lt;&gt;"Ausgabe",K888=""),0,IF(K888="x",-$E888/(COUNTIF($J888:$Q888,"x")+1),-$E888*N(K888)))</f>
        <v/>
      </c>
      <c r="Z888" s="34">
        <f>IF(OR($A888="",$H888&lt;&gt;"Ausgabe",L888=""),0,IF(L888="x",-$E888/(COUNTIF($J888:$Q888,"x")+1),-$E888*N(L888)))</f>
        <v/>
      </c>
      <c r="AA888" s="34">
        <f>IF(OR($A888="",$H888&lt;&gt;"Ausgabe",M888=""),0,IF(M888="x",-$E888/(COUNTIF($J888:$Q888,"x")+1),-$E888*N(M888)))</f>
        <v/>
      </c>
      <c r="AB888" s="34">
        <f>IF(OR($A888="",$H888&lt;&gt;"Ausgabe",N888=""),0,IF(N888="x",-$E888/(COUNTIF($J888:$Q888,"x")+1),-$E888*N(N888)))</f>
        <v/>
      </c>
      <c r="AC888" s="34">
        <f>IF(OR($A888="",$H888&lt;&gt;"Ausgabe",O888=""),0,IF(O888="x",-$E888/(COUNTIF($J888:$Q888,"x")+1),-$E888*N(O888)))</f>
        <v/>
      </c>
      <c r="AD888" s="34">
        <f>IF(OR($A888="",$H888&lt;&gt;"Ausgabe",P888=""),0,IF(P888="x",-$E888/(COUNTIF($J888:$Q888,"x")+1),-$E888*N(P888)))</f>
        <v/>
      </c>
      <c r="AE888" s="34">
        <f>IF(OR($A888="",$H888&lt;&gt;"Ausgabe",Q888=""),0,IF(Q888="x",-$E888/(COUNTIF($J888:$Q888,"x")+1),-$E888*N(Q888)))</f>
        <v/>
      </c>
    </row>
    <row r="889">
      <c r="A889" s="30" t="n"/>
      <c r="E889" s="31" t="n"/>
      <c r="J889" s="32" t="n"/>
      <c r="K889" s="32" t="n"/>
      <c r="L889" s="32" t="n"/>
      <c r="M889" s="32" t="n"/>
      <c r="N889" s="32" t="n"/>
      <c r="O889" s="32" t="n"/>
      <c r="P889" s="32" t="n"/>
      <c r="Q889" s="32" t="n"/>
      <c r="U889" s="31">
        <f>IF($A889="","",SUM(X889:AE889))</f>
        <v/>
      </c>
      <c r="V889" s="31">
        <f>IF($A889="","",IF($H889&lt;&gt;"Ausgabe",0,-$E889-$U889))</f>
        <v/>
      </c>
      <c r="W889" s="33">
        <f>IF($A889="","",DATE(YEAR($A889),MONTH($A889),1))</f>
        <v/>
      </c>
      <c r="X889" s="34">
        <f>IF(OR($A889="",$H889&lt;&gt;"Ausgabe",J889=""),0,IF(J889="x",-$E889/(COUNTIF($J889:$Q889,"x")+1),-$E889*N(J889)))</f>
        <v/>
      </c>
      <c r="Y889" s="34">
        <f>IF(OR($A889="",$H889&lt;&gt;"Ausgabe",K889=""),0,IF(K889="x",-$E889/(COUNTIF($J889:$Q889,"x")+1),-$E889*N(K889)))</f>
        <v/>
      </c>
      <c r="Z889" s="34">
        <f>IF(OR($A889="",$H889&lt;&gt;"Ausgabe",L889=""),0,IF(L889="x",-$E889/(COUNTIF($J889:$Q889,"x")+1),-$E889*N(L889)))</f>
        <v/>
      </c>
      <c r="AA889" s="34">
        <f>IF(OR($A889="",$H889&lt;&gt;"Ausgabe",M889=""),0,IF(M889="x",-$E889/(COUNTIF($J889:$Q889,"x")+1),-$E889*N(M889)))</f>
        <v/>
      </c>
      <c r="AB889" s="34">
        <f>IF(OR($A889="",$H889&lt;&gt;"Ausgabe",N889=""),0,IF(N889="x",-$E889/(COUNTIF($J889:$Q889,"x")+1),-$E889*N(N889)))</f>
        <v/>
      </c>
      <c r="AC889" s="34">
        <f>IF(OR($A889="",$H889&lt;&gt;"Ausgabe",O889=""),0,IF(O889="x",-$E889/(COUNTIF($J889:$Q889,"x")+1),-$E889*N(O889)))</f>
        <v/>
      </c>
      <c r="AD889" s="34">
        <f>IF(OR($A889="",$H889&lt;&gt;"Ausgabe",P889=""),0,IF(P889="x",-$E889/(COUNTIF($J889:$Q889,"x")+1),-$E889*N(P889)))</f>
        <v/>
      </c>
      <c r="AE889" s="34">
        <f>IF(OR($A889="",$H889&lt;&gt;"Ausgabe",Q889=""),0,IF(Q889="x",-$E889/(COUNTIF($J889:$Q889,"x")+1),-$E889*N(Q889)))</f>
        <v/>
      </c>
    </row>
    <row r="890">
      <c r="A890" s="30" t="n"/>
      <c r="E890" s="31" t="n"/>
      <c r="J890" s="32" t="n"/>
      <c r="K890" s="32" t="n"/>
      <c r="L890" s="32" t="n"/>
      <c r="M890" s="32" t="n"/>
      <c r="N890" s="32" t="n"/>
      <c r="O890" s="32" t="n"/>
      <c r="P890" s="32" t="n"/>
      <c r="Q890" s="32" t="n"/>
      <c r="U890" s="31">
        <f>IF($A890="","",SUM(X890:AE890))</f>
        <v/>
      </c>
      <c r="V890" s="31">
        <f>IF($A890="","",IF($H890&lt;&gt;"Ausgabe",0,-$E890-$U890))</f>
        <v/>
      </c>
      <c r="W890" s="33">
        <f>IF($A890="","",DATE(YEAR($A890),MONTH($A890),1))</f>
        <v/>
      </c>
      <c r="X890" s="34">
        <f>IF(OR($A890="",$H890&lt;&gt;"Ausgabe",J890=""),0,IF(J890="x",-$E890/(COUNTIF($J890:$Q890,"x")+1),-$E890*N(J890)))</f>
        <v/>
      </c>
      <c r="Y890" s="34">
        <f>IF(OR($A890="",$H890&lt;&gt;"Ausgabe",K890=""),0,IF(K890="x",-$E890/(COUNTIF($J890:$Q890,"x")+1),-$E890*N(K890)))</f>
        <v/>
      </c>
      <c r="Z890" s="34">
        <f>IF(OR($A890="",$H890&lt;&gt;"Ausgabe",L890=""),0,IF(L890="x",-$E890/(COUNTIF($J890:$Q890,"x")+1),-$E890*N(L890)))</f>
        <v/>
      </c>
      <c r="AA890" s="34">
        <f>IF(OR($A890="",$H890&lt;&gt;"Ausgabe",M890=""),0,IF(M890="x",-$E890/(COUNTIF($J890:$Q890,"x")+1),-$E890*N(M890)))</f>
        <v/>
      </c>
      <c r="AB890" s="34">
        <f>IF(OR($A890="",$H890&lt;&gt;"Ausgabe",N890=""),0,IF(N890="x",-$E890/(COUNTIF($J890:$Q890,"x")+1),-$E890*N(N890)))</f>
        <v/>
      </c>
      <c r="AC890" s="34">
        <f>IF(OR($A890="",$H890&lt;&gt;"Ausgabe",O890=""),0,IF(O890="x",-$E890/(COUNTIF($J890:$Q890,"x")+1),-$E890*N(O890)))</f>
        <v/>
      </c>
      <c r="AD890" s="34">
        <f>IF(OR($A890="",$H890&lt;&gt;"Ausgabe",P890=""),0,IF(P890="x",-$E890/(COUNTIF($J890:$Q890,"x")+1),-$E890*N(P890)))</f>
        <v/>
      </c>
      <c r="AE890" s="34">
        <f>IF(OR($A890="",$H890&lt;&gt;"Ausgabe",Q890=""),0,IF(Q890="x",-$E890/(COUNTIF($J890:$Q890,"x")+1),-$E890*N(Q890)))</f>
        <v/>
      </c>
    </row>
    <row r="891">
      <c r="A891" s="30" t="n"/>
      <c r="E891" s="31" t="n"/>
      <c r="J891" s="32" t="n"/>
      <c r="K891" s="32" t="n"/>
      <c r="L891" s="32" t="n"/>
      <c r="M891" s="32" t="n"/>
      <c r="N891" s="32" t="n"/>
      <c r="O891" s="32" t="n"/>
      <c r="P891" s="32" t="n"/>
      <c r="Q891" s="32" t="n"/>
      <c r="U891" s="31">
        <f>IF($A891="","",SUM(X891:AE891))</f>
        <v/>
      </c>
      <c r="V891" s="31">
        <f>IF($A891="","",IF($H891&lt;&gt;"Ausgabe",0,-$E891-$U891))</f>
        <v/>
      </c>
      <c r="W891" s="33">
        <f>IF($A891="","",DATE(YEAR($A891),MONTH($A891),1))</f>
        <v/>
      </c>
      <c r="X891" s="34">
        <f>IF(OR($A891="",$H891&lt;&gt;"Ausgabe",J891=""),0,IF(J891="x",-$E891/(COUNTIF($J891:$Q891,"x")+1),-$E891*N(J891)))</f>
        <v/>
      </c>
      <c r="Y891" s="34">
        <f>IF(OR($A891="",$H891&lt;&gt;"Ausgabe",K891=""),0,IF(K891="x",-$E891/(COUNTIF($J891:$Q891,"x")+1),-$E891*N(K891)))</f>
        <v/>
      </c>
      <c r="Z891" s="34">
        <f>IF(OR($A891="",$H891&lt;&gt;"Ausgabe",L891=""),0,IF(L891="x",-$E891/(COUNTIF($J891:$Q891,"x")+1),-$E891*N(L891)))</f>
        <v/>
      </c>
      <c r="AA891" s="34">
        <f>IF(OR($A891="",$H891&lt;&gt;"Ausgabe",M891=""),0,IF(M891="x",-$E891/(COUNTIF($J891:$Q891,"x")+1),-$E891*N(M891)))</f>
        <v/>
      </c>
      <c r="AB891" s="34">
        <f>IF(OR($A891="",$H891&lt;&gt;"Ausgabe",N891=""),0,IF(N891="x",-$E891/(COUNTIF($J891:$Q891,"x")+1),-$E891*N(N891)))</f>
        <v/>
      </c>
      <c r="AC891" s="34">
        <f>IF(OR($A891="",$H891&lt;&gt;"Ausgabe",O891=""),0,IF(O891="x",-$E891/(COUNTIF($J891:$Q891,"x")+1),-$E891*N(O891)))</f>
        <v/>
      </c>
      <c r="AD891" s="34">
        <f>IF(OR($A891="",$H891&lt;&gt;"Ausgabe",P891=""),0,IF(P891="x",-$E891/(COUNTIF($J891:$Q891,"x")+1),-$E891*N(P891)))</f>
        <v/>
      </c>
      <c r="AE891" s="34">
        <f>IF(OR($A891="",$H891&lt;&gt;"Ausgabe",Q891=""),0,IF(Q891="x",-$E891/(COUNTIF($J891:$Q891,"x")+1),-$E891*N(Q891)))</f>
        <v/>
      </c>
    </row>
    <row r="892">
      <c r="A892" s="30" t="n"/>
      <c r="E892" s="31" t="n"/>
      <c r="J892" s="32" t="n"/>
      <c r="K892" s="32" t="n"/>
      <c r="L892" s="32" t="n"/>
      <c r="M892" s="32" t="n"/>
      <c r="N892" s="32" t="n"/>
      <c r="O892" s="32" t="n"/>
      <c r="P892" s="32" t="n"/>
      <c r="Q892" s="32" t="n"/>
      <c r="U892" s="31">
        <f>IF($A892="","",SUM(X892:AE892))</f>
        <v/>
      </c>
      <c r="V892" s="31">
        <f>IF($A892="","",IF($H892&lt;&gt;"Ausgabe",0,-$E892-$U892))</f>
        <v/>
      </c>
      <c r="W892" s="33">
        <f>IF($A892="","",DATE(YEAR($A892),MONTH($A892),1))</f>
        <v/>
      </c>
      <c r="X892" s="34">
        <f>IF(OR($A892="",$H892&lt;&gt;"Ausgabe",J892=""),0,IF(J892="x",-$E892/(COUNTIF($J892:$Q892,"x")+1),-$E892*N(J892)))</f>
        <v/>
      </c>
      <c r="Y892" s="34">
        <f>IF(OR($A892="",$H892&lt;&gt;"Ausgabe",K892=""),0,IF(K892="x",-$E892/(COUNTIF($J892:$Q892,"x")+1),-$E892*N(K892)))</f>
        <v/>
      </c>
      <c r="Z892" s="34">
        <f>IF(OR($A892="",$H892&lt;&gt;"Ausgabe",L892=""),0,IF(L892="x",-$E892/(COUNTIF($J892:$Q892,"x")+1),-$E892*N(L892)))</f>
        <v/>
      </c>
      <c r="AA892" s="34">
        <f>IF(OR($A892="",$H892&lt;&gt;"Ausgabe",M892=""),0,IF(M892="x",-$E892/(COUNTIF($J892:$Q892,"x")+1),-$E892*N(M892)))</f>
        <v/>
      </c>
      <c r="AB892" s="34">
        <f>IF(OR($A892="",$H892&lt;&gt;"Ausgabe",N892=""),0,IF(N892="x",-$E892/(COUNTIF($J892:$Q892,"x")+1),-$E892*N(N892)))</f>
        <v/>
      </c>
      <c r="AC892" s="34">
        <f>IF(OR($A892="",$H892&lt;&gt;"Ausgabe",O892=""),0,IF(O892="x",-$E892/(COUNTIF($J892:$Q892,"x")+1),-$E892*N(O892)))</f>
        <v/>
      </c>
      <c r="AD892" s="34">
        <f>IF(OR($A892="",$H892&lt;&gt;"Ausgabe",P892=""),0,IF(P892="x",-$E892/(COUNTIF($J892:$Q892,"x")+1),-$E892*N(P892)))</f>
        <v/>
      </c>
      <c r="AE892" s="34">
        <f>IF(OR($A892="",$H892&lt;&gt;"Ausgabe",Q892=""),0,IF(Q892="x",-$E892/(COUNTIF($J892:$Q892,"x")+1),-$E892*N(Q892)))</f>
        <v/>
      </c>
    </row>
    <row r="893">
      <c r="A893" s="30" t="n"/>
      <c r="E893" s="31" t="n"/>
      <c r="J893" s="32" t="n"/>
      <c r="K893" s="32" t="n"/>
      <c r="L893" s="32" t="n"/>
      <c r="M893" s="32" t="n"/>
      <c r="N893" s="32" t="n"/>
      <c r="O893" s="32" t="n"/>
      <c r="P893" s="32" t="n"/>
      <c r="Q893" s="32" t="n"/>
      <c r="U893" s="31">
        <f>IF($A893="","",SUM(X893:AE893))</f>
        <v/>
      </c>
      <c r="V893" s="31">
        <f>IF($A893="","",IF($H893&lt;&gt;"Ausgabe",0,-$E893-$U893))</f>
        <v/>
      </c>
      <c r="W893" s="33">
        <f>IF($A893="","",DATE(YEAR($A893),MONTH($A893),1))</f>
        <v/>
      </c>
      <c r="X893" s="34">
        <f>IF(OR($A893="",$H893&lt;&gt;"Ausgabe",J893=""),0,IF(J893="x",-$E893/(COUNTIF($J893:$Q893,"x")+1),-$E893*N(J893)))</f>
        <v/>
      </c>
      <c r="Y893" s="34">
        <f>IF(OR($A893="",$H893&lt;&gt;"Ausgabe",K893=""),0,IF(K893="x",-$E893/(COUNTIF($J893:$Q893,"x")+1),-$E893*N(K893)))</f>
        <v/>
      </c>
      <c r="Z893" s="34">
        <f>IF(OR($A893="",$H893&lt;&gt;"Ausgabe",L893=""),0,IF(L893="x",-$E893/(COUNTIF($J893:$Q893,"x")+1),-$E893*N(L893)))</f>
        <v/>
      </c>
      <c r="AA893" s="34">
        <f>IF(OR($A893="",$H893&lt;&gt;"Ausgabe",M893=""),0,IF(M893="x",-$E893/(COUNTIF($J893:$Q893,"x")+1),-$E893*N(M893)))</f>
        <v/>
      </c>
      <c r="AB893" s="34">
        <f>IF(OR($A893="",$H893&lt;&gt;"Ausgabe",N893=""),0,IF(N893="x",-$E893/(COUNTIF($J893:$Q893,"x")+1),-$E893*N(N893)))</f>
        <v/>
      </c>
      <c r="AC893" s="34">
        <f>IF(OR($A893="",$H893&lt;&gt;"Ausgabe",O893=""),0,IF(O893="x",-$E893/(COUNTIF($J893:$Q893,"x")+1),-$E893*N(O893)))</f>
        <v/>
      </c>
      <c r="AD893" s="34">
        <f>IF(OR($A893="",$H893&lt;&gt;"Ausgabe",P893=""),0,IF(P893="x",-$E893/(COUNTIF($J893:$Q893,"x")+1),-$E893*N(P893)))</f>
        <v/>
      </c>
      <c r="AE893" s="34">
        <f>IF(OR($A893="",$H893&lt;&gt;"Ausgabe",Q893=""),0,IF(Q893="x",-$E893/(COUNTIF($J893:$Q893,"x")+1),-$E893*N(Q893)))</f>
        <v/>
      </c>
    </row>
    <row r="894">
      <c r="A894" s="30" t="n"/>
      <c r="E894" s="31" t="n"/>
      <c r="J894" s="32" t="n"/>
      <c r="K894" s="32" t="n"/>
      <c r="L894" s="32" t="n"/>
      <c r="M894" s="32" t="n"/>
      <c r="N894" s="32" t="n"/>
      <c r="O894" s="32" t="n"/>
      <c r="P894" s="32" t="n"/>
      <c r="Q894" s="32" t="n"/>
      <c r="U894" s="31">
        <f>IF($A894="","",SUM(X894:AE894))</f>
        <v/>
      </c>
      <c r="V894" s="31">
        <f>IF($A894="","",IF($H894&lt;&gt;"Ausgabe",0,-$E894-$U894))</f>
        <v/>
      </c>
      <c r="W894" s="33">
        <f>IF($A894="","",DATE(YEAR($A894),MONTH($A894),1))</f>
        <v/>
      </c>
      <c r="X894" s="34">
        <f>IF(OR($A894="",$H894&lt;&gt;"Ausgabe",J894=""),0,IF(J894="x",-$E894/(COUNTIF($J894:$Q894,"x")+1),-$E894*N(J894)))</f>
        <v/>
      </c>
      <c r="Y894" s="34">
        <f>IF(OR($A894="",$H894&lt;&gt;"Ausgabe",K894=""),0,IF(K894="x",-$E894/(COUNTIF($J894:$Q894,"x")+1),-$E894*N(K894)))</f>
        <v/>
      </c>
      <c r="Z894" s="34">
        <f>IF(OR($A894="",$H894&lt;&gt;"Ausgabe",L894=""),0,IF(L894="x",-$E894/(COUNTIF($J894:$Q894,"x")+1),-$E894*N(L894)))</f>
        <v/>
      </c>
      <c r="AA894" s="34">
        <f>IF(OR($A894="",$H894&lt;&gt;"Ausgabe",M894=""),0,IF(M894="x",-$E894/(COUNTIF($J894:$Q894,"x")+1),-$E894*N(M894)))</f>
        <v/>
      </c>
      <c r="AB894" s="34">
        <f>IF(OR($A894="",$H894&lt;&gt;"Ausgabe",N894=""),0,IF(N894="x",-$E894/(COUNTIF($J894:$Q894,"x")+1),-$E894*N(N894)))</f>
        <v/>
      </c>
      <c r="AC894" s="34">
        <f>IF(OR($A894="",$H894&lt;&gt;"Ausgabe",O894=""),0,IF(O894="x",-$E894/(COUNTIF($J894:$Q894,"x")+1),-$E894*N(O894)))</f>
        <v/>
      </c>
      <c r="AD894" s="34">
        <f>IF(OR($A894="",$H894&lt;&gt;"Ausgabe",P894=""),0,IF(P894="x",-$E894/(COUNTIF($J894:$Q894,"x")+1),-$E894*N(P894)))</f>
        <v/>
      </c>
      <c r="AE894" s="34">
        <f>IF(OR($A894="",$H894&lt;&gt;"Ausgabe",Q894=""),0,IF(Q894="x",-$E894/(COUNTIF($J894:$Q894,"x")+1),-$E894*N(Q894)))</f>
        <v/>
      </c>
    </row>
    <row r="895">
      <c r="A895" s="30" t="n"/>
      <c r="E895" s="31" t="n"/>
      <c r="J895" s="32" t="n"/>
      <c r="K895" s="32" t="n"/>
      <c r="L895" s="32" t="n"/>
      <c r="M895" s="32" t="n"/>
      <c r="N895" s="32" t="n"/>
      <c r="O895" s="32" t="n"/>
      <c r="P895" s="32" t="n"/>
      <c r="Q895" s="32" t="n"/>
      <c r="U895" s="31">
        <f>IF($A895="","",SUM(X895:AE895))</f>
        <v/>
      </c>
      <c r="V895" s="31">
        <f>IF($A895="","",IF($H895&lt;&gt;"Ausgabe",0,-$E895-$U895))</f>
        <v/>
      </c>
      <c r="W895" s="33">
        <f>IF($A895="","",DATE(YEAR($A895),MONTH($A895),1))</f>
        <v/>
      </c>
      <c r="X895" s="34">
        <f>IF(OR($A895="",$H895&lt;&gt;"Ausgabe",J895=""),0,IF(J895="x",-$E895/(COUNTIF($J895:$Q895,"x")+1),-$E895*N(J895)))</f>
        <v/>
      </c>
      <c r="Y895" s="34">
        <f>IF(OR($A895="",$H895&lt;&gt;"Ausgabe",K895=""),0,IF(K895="x",-$E895/(COUNTIF($J895:$Q895,"x")+1),-$E895*N(K895)))</f>
        <v/>
      </c>
      <c r="Z895" s="34">
        <f>IF(OR($A895="",$H895&lt;&gt;"Ausgabe",L895=""),0,IF(L895="x",-$E895/(COUNTIF($J895:$Q895,"x")+1),-$E895*N(L895)))</f>
        <v/>
      </c>
      <c r="AA895" s="34">
        <f>IF(OR($A895="",$H895&lt;&gt;"Ausgabe",M895=""),0,IF(M895="x",-$E895/(COUNTIF($J895:$Q895,"x")+1),-$E895*N(M895)))</f>
        <v/>
      </c>
      <c r="AB895" s="34">
        <f>IF(OR($A895="",$H895&lt;&gt;"Ausgabe",N895=""),0,IF(N895="x",-$E895/(COUNTIF($J895:$Q895,"x")+1),-$E895*N(N895)))</f>
        <v/>
      </c>
      <c r="AC895" s="34">
        <f>IF(OR($A895="",$H895&lt;&gt;"Ausgabe",O895=""),0,IF(O895="x",-$E895/(COUNTIF($J895:$Q895,"x")+1),-$E895*N(O895)))</f>
        <v/>
      </c>
      <c r="AD895" s="34">
        <f>IF(OR($A895="",$H895&lt;&gt;"Ausgabe",P895=""),0,IF(P895="x",-$E895/(COUNTIF($J895:$Q895,"x")+1),-$E895*N(P895)))</f>
        <v/>
      </c>
      <c r="AE895" s="34">
        <f>IF(OR($A895="",$H895&lt;&gt;"Ausgabe",Q895=""),0,IF(Q895="x",-$E895/(COUNTIF($J895:$Q895,"x")+1),-$E895*N(Q895)))</f>
        <v/>
      </c>
    </row>
    <row r="896">
      <c r="A896" s="30" t="n"/>
      <c r="E896" s="31" t="n"/>
      <c r="J896" s="32" t="n"/>
      <c r="K896" s="32" t="n"/>
      <c r="L896" s="32" t="n"/>
      <c r="M896" s="32" t="n"/>
      <c r="N896" s="32" t="n"/>
      <c r="O896" s="32" t="n"/>
      <c r="P896" s="32" t="n"/>
      <c r="Q896" s="32" t="n"/>
      <c r="U896" s="31">
        <f>IF($A896="","",SUM(X896:AE896))</f>
        <v/>
      </c>
      <c r="V896" s="31">
        <f>IF($A896="","",IF($H896&lt;&gt;"Ausgabe",0,-$E896-$U896))</f>
        <v/>
      </c>
      <c r="W896" s="33">
        <f>IF($A896="","",DATE(YEAR($A896),MONTH($A896),1))</f>
        <v/>
      </c>
      <c r="X896" s="34">
        <f>IF(OR($A896="",$H896&lt;&gt;"Ausgabe",J896=""),0,IF(J896="x",-$E896/(COUNTIF($J896:$Q896,"x")+1),-$E896*N(J896)))</f>
        <v/>
      </c>
      <c r="Y896" s="34">
        <f>IF(OR($A896="",$H896&lt;&gt;"Ausgabe",K896=""),0,IF(K896="x",-$E896/(COUNTIF($J896:$Q896,"x")+1),-$E896*N(K896)))</f>
        <v/>
      </c>
      <c r="Z896" s="34">
        <f>IF(OR($A896="",$H896&lt;&gt;"Ausgabe",L896=""),0,IF(L896="x",-$E896/(COUNTIF($J896:$Q896,"x")+1),-$E896*N(L896)))</f>
        <v/>
      </c>
      <c r="AA896" s="34">
        <f>IF(OR($A896="",$H896&lt;&gt;"Ausgabe",M896=""),0,IF(M896="x",-$E896/(COUNTIF($J896:$Q896,"x")+1),-$E896*N(M896)))</f>
        <v/>
      </c>
      <c r="AB896" s="34">
        <f>IF(OR($A896="",$H896&lt;&gt;"Ausgabe",N896=""),0,IF(N896="x",-$E896/(COUNTIF($J896:$Q896,"x")+1),-$E896*N(N896)))</f>
        <v/>
      </c>
      <c r="AC896" s="34">
        <f>IF(OR($A896="",$H896&lt;&gt;"Ausgabe",O896=""),0,IF(O896="x",-$E896/(COUNTIF($J896:$Q896,"x")+1),-$E896*N(O896)))</f>
        <v/>
      </c>
      <c r="AD896" s="34">
        <f>IF(OR($A896="",$H896&lt;&gt;"Ausgabe",P896=""),0,IF(P896="x",-$E896/(COUNTIF($J896:$Q896,"x")+1),-$E896*N(P896)))</f>
        <v/>
      </c>
      <c r="AE896" s="34">
        <f>IF(OR($A896="",$H896&lt;&gt;"Ausgabe",Q896=""),0,IF(Q896="x",-$E896/(COUNTIF($J896:$Q896,"x")+1),-$E896*N(Q896)))</f>
        <v/>
      </c>
    </row>
    <row r="897">
      <c r="A897" s="30" t="n"/>
      <c r="E897" s="31" t="n"/>
      <c r="J897" s="32" t="n"/>
      <c r="K897" s="32" t="n"/>
      <c r="L897" s="32" t="n"/>
      <c r="M897" s="32" t="n"/>
      <c r="N897" s="32" t="n"/>
      <c r="O897" s="32" t="n"/>
      <c r="P897" s="32" t="n"/>
      <c r="Q897" s="32" t="n"/>
      <c r="U897" s="31">
        <f>IF($A897="","",SUM(X897:AE897))</f>
        <v/>
      </c>
      <c r="V897" s="31">
        <f>IF($A897="","",IF($H897&lt;&gt;"Ausgabe",0,-$E897-$U897))</f>
        <v/>
      </c>
      <c r="W897" s="33">
        <f>IF($A897="","",DATE(YEAR($A897),MONTH($A897),1))</f>
        <v/>
      </c>
      <c r="X897" s="34">
        <f>IF(OR($A897="",$H897&lt;&gt;"Ausgabe",J897=""),0,IF(J897="x",-$E897/(COUNTIF($J897:$Q897,"x")+1),-$E897*N(J897)))</f>
        <v/>
      </c>
      <c r="Y897" s="34">
        <f>IF(OR($A897="",$H897&lt;&gt;"Ausgabe",K897=""),0,IF(K897="x",-$E897/(COUNTIF($J897:$Q897,"x")+1),-$E897*N(K897)))</f>
        <v/>
      </c>
      <c r="Z897" s="34">
        <f>IF(OR($A897="",$H897&lt;&gt;"Ausgabe",L897=""),0,IF(L897="x",-$E897/(COUNTIF($J897:$Q897,"x")+1),-$E897*N(L897)))</f>
        <v/>
      </c>
      <c r="AA897" s="34">
        <f>IF(OR($A897="",$H897&lt;&gt;"Ausgabe",M897=""),0,IF(M897="x",-$E897/(COUNTIF($J897:$Q897,"x")+1),-$E897*N(M897)))</f>
        <v/>
      </c>
      <c r="AB897" s="34">
        <f>IF(OR($A897="",$H897&lt;&gt;"Ausgabe",N897=""),0,IF(N897="x",-$E897/(COUNTIF($J897:$Q897,"x")+1),-$E897*N(N897)))</f>
        <v/>
      </c>
      <c r="AC897" s="34">
        <f>IF(OR($A897="",$H897&lt;&gt;"Ausgabe",O897=""),0,IF(O897="x",-$E897/(COUNTIF($J897:$Q897,"x")+1),-$E897*N(O897)))</f>
        <v/>
      </c>
      <c r="AD897" s="34">
        <f>IF(OR($A897="",$H897&lt;&gt;"Ausgabe",P897=""),0,IF(P897="x",-$E897/(COUNTIF($J897:$Q897,"x")+1),-$E897*N(P897)))</f>
        <v/>
      </c>
      <c r="AE897" s="34">
        <f>IF(OR($A897="",$H897&lt;&gt;"Ausgabe",Q897=""),0,IF(Q897="x",-$E897/(COUNTIF($J897:$Q897,"x")+1),-$E897*N(Q897)))</f>
        <v/>
      </c>
    </row>
    <row r="898">
      <c r="A898" s="30" t="n"/>
      <c r="E898" s="31" t="n"/>
      <c r="J898" s="32" t="n"/>
      <c r="K898" s="32" t="n"/>
      <c r="L898" s="32" t="n"/>
      <c r="M898" s="32" t="n"/>
      <c r="N898" s="32" t="n"/>
      <c r="O898" s="32" t="n"/>
      <c r="P898" s="32" t="n"/>
      <c r="Q898" s="32" t="n"/>
      <c r="U898" s="31">
        <f>IF($A898="","",SUM(X898:AE898))</f>
        <v/>
      </c>
      <c r="V898" s="31">
        <f>IF($A898="","",IF($H898&lt;&gt;"Ausgabe",0,-$E898-$U898))</f>
        <v/>
      </c>
      <c r="W898" s="33">
        <f>IF($A898="","",DATE(YEAR($A898),MONTH($A898),1))</f>
        <v/>
      </c>
      <c r="X898" s="34">
        <f>IF(OR($A898="",$H898&lt;&gt;"Ausgabe",J898=""),0,IF(J898="x",-$E898/(COUNTIF($J898:$Q898,"x")+1),-$E898*N(J898)))</f>
        <v/>
      </c>
      <c r="Y898" s="34">
        <f>IF(OR($A898="",$H898&lt;&gt;"Ausgabe",K898=""),0,IF(K898="x",-$E898/(COUNTIF($J898:$Q898,"x")+1),-$E898*N(K898)))</f>
        <v/>
      </c>
      <c r="Z898" s="34">
        <f>IF(OR($A898="",$H898&lt;&gt;"Ausgabe",L898=""),0,IF(L898="x",-$E898/(COUNTIF($J898:$Q898,"x")+1),-$E898*N(L898)))</f>
        <v/>
      </c>
      <c r="AA898" s="34">
        <f>IF(OR($A898="",$H898&lt;&gt;"Ausgabe",M898=""),0,IF(M898="x",-$E898/(COUNTIF($J898:$Q898,"x")+1),-$E898*N(M898)))</f>
        <v/>
      </c>
      <c r="AB898" s="34">
        <f>IF(OR($A898="",$H898&lt;&gt;"Ausgabe",N898=""),0,IF(N898="x",-$E898/(COUNTIF($J898:$Q898,"x")+1),-$E898*N(N898)))</f>
        <v/>
      </c>
      <c r="AC898" s="34">
        <f>IF(OR($A898="",$H898&lt;&gt;"Ausgabe",O898=""),0,IF(O898="x",-$E898/(COUNTIF($J898:$Q898,"x")+1),-$E898*N(O898)))</f>
        <v/>
      </c>
      <c r="AD898" s="34">
        <f>IF(OR($A898="",$H898&lt;&gt;"Ausgabe",P898=""),0,IF(P898="x",-$E898/(COUNTIF($J898:$Q898,"x")+1),-$E898*N(P898)))</f>
        <v/>
      </c>
      <c r="AE898" s="34">
        <f>IF(OR($A898="",$H898&lt;&gt;"Ausgabe",Q898=""),0,IF(Q898="x",-$E898/(COUNTIF($J898:$Q898,"x")+1),-$E898*N(Q898)))</f>
        <v/>
      </c>
    </row>
    <row r="899">
      <c r="A899" s="30" t="n"/>
      <c r="E899" s="31" t="n"/>
      <c r="J899" s="32" t="n"/>
      <c r="K899" s="32" t="n"/>
      <c r="L899" s="32" t="n"/>
      <c r="M899" s="32" t="n"/>
      <c r="N899" s="32" t="n"/>
      <c r="O899" s="32" t="n"/>
      <c r="P899" s="32" t="n"/>
      <c r="Q899" s="32" t="n"/>
      <c r="U899" s="31">
        <f>IF($A899="","",SUM(X899:AE899))</f>
        <v/>
      </c>
      <c r="V899" s="31">
        <f>IF($A899="","",IF($H899&lt;&gt;"Ausgabe",0,-$E899-$U899))</f>
        <v/>
      </c>
      <c r="W899" s="33">
        <f>IF($A899="","",DATE(YEAR($A899),MONTH($A899),1))</f>
        <v/>
      </c>
      <c r="X899" s="34">
        <f>IF(OR($A899="",$H899&lt;&gt;"Ausgabe",J899=""),0,IF(J899="x",-$E899/(COUNTIF($J899:$Q899,"x")+1),-$E899*N(J899)))</f>
        <v/>
      </c>
      <c r="Y899" s="34">
        <f>IF(OR($A899="",$H899&lt;&gt;"Ausgabe",K899=""),0,IF(K899="x",-$E899/(COUNTIF($J899:$Q899,"x")+1),-$E899*N(K899)))</f>
        <v/>
      </c>
      <c r="Z899" s="34">
        <f>IF(OR($A899="",$H899&lt;&gt;"Ausgabe",L899=""),0,IF(L899="x",-$E899/(COUNTIF($J899:$Q899,"x")+1),-$E899*N(L899)))</f>
        <v/>
      </c>
      <c r="AA899" s="34">
        <f>IF(OR($A899="",$H899&lt;&gt;"Ausgabe",M899=""),0,IF(M899="x",-$E899/(COUNTIF($J899:$Q899,"x")+1),-$E899*N(M899)))</f>
        <v/>
      </c>
      <c r="AB899" s="34">
        <f>IF(OR($A899="",$H899&lt;&gt;"Ausgabe",N899=""),0,IF(N899="x",-$E899/(COUNTIF($J899:$Q899,"x")+1),-$E899*N(N899)))</f>
        <v/>
      </c>
      <c r="AC899" s="34">
        <f>IF(OR($A899="",$H899&lt;&gt;"Ausgabe",O899=""),0,IF(O899="x",-$E899/(COUNTIF($J899:$Q899,"x")+1),-$E899*N(O899)))</f>
        <v/>
      </c>
      <c r="AD899" s="34">
        <f>IF(OR($A899="",$H899&lt;&gt;"Ausgabe",P899=""),0,IF(P899="x",-$E899/(COUNTIF($J899:$Q899,"x")+1),-$E899*N(P899)))</f>
        <v/>
      </c>
      <c r="AE899" s="34">
        <f>IF(OR($A899="",$H899&lt;&gt;"Ausgabe",Q899=""),0,IF(Q899="x",-$E899/(COUNTIF($J899:$Q899,"x")+1),-$E899*N(Q899)))</f>
        <v/>
      </c>
    </row>
    <row r="900">
      <c r="A900" s="30" t="n"/>
      <c r="E900" s="31" t="n"/>
      <c r="J900" s="32" t="n"/>
      <c r="K900" s="32" t="n"/>
      <c r="L900" s="32" t="n"/>
      <c r="M900" s="32" t="n"/>
      <c r="N900" s="32" t="n"/>
      <c r="O900" s="32" t="n"/>
      <c r="P900" s="32" t="n"/>
      <c r="Q900" s="32" t="n"/>
      <c r="U900" s="31">
        <f>IF($A900="","",SUM(X900:AE900))</f>
        <v/>
      </c>
      <c r="V900" s="31">
        <f>IF($A900="","",IF($H900&lt;&gt;"Ausgabe",0,-$E900-$U900))</f>
        <v/>
      </c>
      <c r="W900" s="33">
        <f>IF($A900="","",DATE(YEAR($A900),MONTH($A900),1))</f>
        <v/>
      </c>
      <c r="X900" s="34">
        <f>IF(OR($A900="",$H900&lt;&gt;"Ausgabe",J900=""),0,IF(J900="x",-$E900/(COUNTIF($J900:$Q900,"x")+1),-$E900*N(J900)))</f>
        <v/>
      </c>
      <c r="Y900" s="34">
        <f>IF(OR($A900="",$H900&lt;&gt;"Ausgabe",K900=""),0,IF(K900="x",-$E900/(COUNTIF($J900:$Q900,"x")+1),-$E900*N(K900)))</f>
        <v/>
      </c>
      <c r="Z900" s="34">
        <f>IF(OR($A900="",$H900&lt;&gt;"Ausgabe",L900=""),0,IF(L900="x",-$E900/(COUNTIF($J900:$Q900,"x")+1),-$E900*N(L900)))</f>
        <v/>
      </c>
      <c r="AA900" s="34">
        <f>IF(OR($A900="",$H900&lt;&gt;"Ausgabe",M900=""),0,IF(M900="x",-$E900/(COUNTIF($J900:$Q900,"x")+1),-$E900*N(M900)))</f>
        <v/>
      </c>
      <c r="AB900" s="34">
        <f>IF(OR($A900="",$H900&lt;&gt;"Ausgabe",N900=""),0,IF(N900="x",-$E900/(COUNTIF($J900:$Q900,"x")+1),-$E900*N(N900)))</f>
        <v/>
      </c>
      <c r="AC900" s="34">
        <f>IF(OR($A900="",$H900&lt;&gt;"Ausgabe",O900=""),0,IF(O900="x",-$E900/(COUNTIF($J900:$Q900,"x")+1),-$E900*N(O900)))</f>
        <v/>
      </c>
      <c r="AD900" s="34">
        <f>IF(OR($A900="",$H900&lt;&gt;"Ausgabe",P900=""),0,IF(P900="x",-$E900/(COUNTIF($J900:$Q900,"x")+1),-$E900*N(P900)))</f>
        <v/>
      </c>
      <c r="AE900" s="34">
        <f>IF(OR($A900="",$H900&lt;&gt;"Ausgabe",Q900=""),0,IF(Q900="x",-$E900/(COUNTIF($J900:$Q900,"x")+1),-$E900*N(Q900)))</f>
        <v/>
      </c>
    </row>
    <row r="901">
      <c r="A901" s="30" t="n"/>
      <c r="E901" s="31" t="n"/>
      <c r="J901" s="32" t="n"/>
      <c r="K901" s="32" t="n"/>
      <c r="L901" s="32" t="n"/>
      <c r="M901" s="32" t="n"/>
      <c r="N901" s="32" t="n"/>
      <c r="O901" s="32" t="n"/>
      <c r="P901" s="32" t="n"/>
      <c r="Q901" s="32" t="n"/>
      <c r="U901" s="31">
        <f>IF($A901="","",SUM(X901:AE901))</f>
        <v/>
      </c>
      <c r="V901" s="31">
        <f>IF($A901="","",IF($H901&lt;&gt;"Ausgabe",0,-$E901-$U901))</f>
        <v/>
      </c>
      <c r="W901" s="33">
        <f>IF($A901="","",DATE(YEAR($A901),MONTH($A901),1))</f>
        <v/>
      </c>
      <c r="X901" s="34">
        <f>IF(OR($A901="",$H901&lt;&gt;"Ausgabe",J901=""),0,IF(J901="x",-$E901/(COUNTIF($J901:$Q901,"x")+1),-$E901*N(J901)))</f>
        <v/>
      </c>
      <c r="Y901" s="34">
        <f>IF(OR($A901="",$H901&lt;&gt;"Ausgabe",K901=""),0,IF(K901="x",-$E901/(COUNTIF($J901:$Q901,"x")+1),-$E901*N(K901)))</f>
        <v/>
      </c>
      <c r="Z901" s="34">
        <f>IF(OR($A901="",$H901&lt;&gt;"Ausgabe",L901=""),0,IF(L901="x",-$E901/(COUNTIF($J901:$Q901,"x")+1),-$E901*N(L901)))</f>
        <v/>
      </c>
      <c r="AA901" s="34">
        <f>IF(OR($A901="",$H901&lt;&gt;"Ausgabe",M901=""),0,IF(M901="x",-$E901/(COUNTIF($J901:$Q901,"x")+1),-$E901*N(M901)))</f>
        <v/>
      </c>
      <c r="AB901" s="34">
        <f>IF(OR($A901="",$H901&lt;&gt;"Ausgabe",N901=""),0,IF(N901="x",-$E901/(COUNTIF($J901:$Q901,"x")+1),-$E901*N(N901)))</f>
        <v/>
      </c>
      <c r="AC901" s="34">
        <f>IF(OR($A901="",$H901&lt;&gt;"Ausgabe",O901=""),0,IF(O901="x",-$E901/(COUNTIF($J901:$Q901,"x")+1),-$E901*N(O901)))</f>
        <v/>
      </c>
      <c r="AD901" s="34">
        <f>IF(OR($A901="",$H901&lt;&gt;"Ausgabe",P901=""),0,IF(P901="x",-$E901/(COUNTIF($J901:$Q901,"x")+1),-$E901*N(P901)))</f>
        <v/>
      </c>
      <c r="AE901" s="34">
        <f>IF(OR($A901="",$H901&lt;&gt;"Ausgabe",Q901=""),0,IF(Q901="x",-$E901/(COUNTIF($J901:$Q901,"x")+1),-$E901*N(Q901)))</f>
        <v/>
      </c>
    </row>
    <row r="902">
      <c r="A902" s="30" t="n"/>
      <c r="E902" s="31" t="n"/>
      <c r="J902" s="32" t="n"/>
      <c r="K902" s="32" t="n"/>
      <c r="L902" s="32" t="n"/>
      <c r="M902" s="32" t="n"/>
      <c r="N902" s="32" t="n"/>
      <c r="O902" s="32" t="n"/>
      <c r="P902" s="32" t="n"/>
      <c r="Q902" s="32" t="n"/>
      <c r="U902" s="31">
        <f>IF($A902="","",SUM(X902:AE902))</f>
        <v/>
      </c>
      <c r="V902" s="31">
        <f>IF($A902="","",IF($H902&lt;&gt;"Ausgabe",0,-$E902-$U902))</f>
        <v/>
      </c>
      <c r="W902" s="33">
        <f>IF($A902="","",DATE(YEAR($A902),MONTH($A902),1))</f>
        <v/>
      </c>
      <c r="X902" s="34">
        <f>IF(OR($A902="",$H902&lt;&gt;"Ausgabe",J902=""),0,IF(J902="x",-$E902/(COUNTIF($J902:$Q902,"x")+1),-$E902*N(J902)))</f>
        <v/>
      </c>
      <c r="Y902" s="34">
        <f>IF(OR($A902="",$H902&lt;&gt;"Ausgabe",K902=""),0,IF(K902="x",-$E902/(COUNTIF($J902:$Q902,"x")+1),-$E902*N(K902)))</f>
        <v/>
      </c>
      <c r="Z902" s="34">
        <f>IF(OR($A902="",$H902&lt;&gt;"Ausgabe",L902=""),0,IF(L902="x",-$E902/(COUNTIF($J902:$Q902,"x")+1),-$E902*N(L902)))</f>
        <v/>
      </c>
      <c r="AA902" s="34">
        <f>IF(OR($A902="",$H902&lt;&gt;"Ausgabe",M902=""),0,IF(M902="x",-$E902/(COUNTIF($J902:$Q902,"x")+1),-$E902*N(M902)))</f>
        <v/>
      </c>
      <c r="AB902" s="34">
        <f>IF(OR($A902="",$H902&lt;&gt;"Ausgabe",N902=""),0,IF(N902="x",-$E902/(COUNTIF($J902:$Q902,"x")+1),-$E902*N(N902)))</f>
        <v/>
      </c>
      <c r="AC902" s="34">
        <f>IF(OR($A902="",$H902&lt;&gt;"Ausgabe",O902=""),0,IF(O902="x",-$E902/(COUNTIF($J902:$Q902,"x")+1),-$E902*N(O902)))</f>
        <v/>
      </c>
      <c r="AD902" s="34">
        <f>IF(OR($A902="",$H902&lt;&gt;"Ausgabe",P902=""),0,IF(P902="x",-$E902/(COUNTIF($J902:$Q902,"x")+1),-$E902*N(P902)))</f>
        <v/>
      </c>
      <c r="AE902" s="34">
        <f>IF(OR($A902="",$H902&lt;&gt;"Ausgabe",Q902=""),0,IF(Q902="x",-$E902/(COUNTIF($J902:$Q902,"x")+1),-$E902*N(Q902)))</f>
        <v/>
      </c>
    </row>
    <row r="903">
      <c r="A903" s="30" t="n"/>
      <c r="E903" s="31" t="n"/>
      <c r="J903" s="32" t="n"/>
      <c r="K903" s="32" t="n"/>
      <c r="L903" s="32" t="n"/>
      <c r="M903" s="32" t="n"/>
      <c r="N903" s="32" t="n"/>
      <c r="O903" s="32" t="n"/>
      <c r="P903" s="32" t="n"/>
      <c r="Q903" s="32" t="n"/>
      <c r="U903" s="31">
        <f>IF($A903="","",SUM(X903:AE903))</f>
        <v/>
      </c>
      <c r="V903" s="31">
        <f>IF($A903="","",IF($H903&lt;&gt;"Ausgabe",0,-$E903-$U903))</f>
        <v/>
      </c>
      <c r="W903" s="33">
        <f>IF($A903="","",DATE(YEAR($A903),MONTH($A903),1))</f>
        <v/>
      </c>
      <c r="X903" s="34">
        <f>IF(OR($A903="",$H903&lt;&gt;"Ausgabe",J903=""),0,IF(J903="x",-$E903/(COUNTIF($J903:$Q903,"x")+1),-$E903*N(J903)))</f>
        <v/>
      </c>
      <c r="Y903" s="34">
        <f>IF(OR($A903="",$H903&lt;&gt;"Ausgabe",K903=""),0,IF(K903="x",-$E903/(COUNTIF($J903:$Q903,"x")+1),-$E903*N(K903)))</f>
        <v/>
      </c>
      <c r="Z903" s="34">
        <f>IF(OR($A903="",$H903&lt;&gt;"Ausgabe",L903=""),0,IF(L903="x",-$E903/(COUNTIF($J903:$Q903,"x")+1),-$E903*N(L903)))</f>
        <v/>
      </c>
      <c r="AA903" s="34">
        <f>IF(OR($A903="",$H903&lt;&gt;"Ausgabe",M903=""),0,IF(M903="x",-$E903/(COUNTIF($J903:$Q903,"x")+1),-$E903*N(M903)))</f>
        <v/>
      </c>
      <c r="AB903" s="34">
        <f>IF(OR($A903="",$H903&lt;&gt;"Ausgabe",N903=""),0,IF(N903="x",-$E903/(COUNTIF($J903:$Q903,"x")+1),-$E903*N(N903)))</f>
        <v/>
      </c>
      <c r="AC903" s="34">
        <f>IF(OR($A903="",$H903&lt;&gt;"Ausgabe",O903=""),0,IF(O903="x",-$E903/(COUNTIF($J903:$Q903,"x")+1),-$E903*N(O903)))</f>
        <v/>
      </c>
      <c r="AD903" s="34">
        <f>IF(OR($A903="",$H903&lt;&gt;"Ausgabe",P903=""),0,IF(P903="x",-$E903/(COUNTIF($J903:$Q903,"x")+1),-$E903*N(P903)))</f>
        <v/>
      </c>
      <c r="AE903" s="34">
        <f>IF(OR($A903="",$H903&lt;&gt;"Ausgabe",Q903=""),0,IF(Q903="x",-$E903/(COUNTIF($J903:$Q903,"x")+1),-$E903*N(Q903)))</f>
        <v/>
      </c>
    </row>
    <row r="904">
      <c r="A904" s="30" t="n"/>
      <c r="E904" s="31" t="n"/>
      <c r="J904" s="32" t="n"/>
      <c r="K904" s="32" t="n"/>
      <c r="L904" s="32" t="n"/>
      <c r="M904" s="32" t="n"/>
      <c r="N904" s="32" t="n"/>
      <c r="O904" s="32" t="n"/>
      <c r="P904" s="32" t="n"/>
      <c r="Q904" s="32" t="n"/>
      <c r="U904" s="31">
        <f>IF($A904="","",SUM(X904:AE904))</f>
        <v/>
      </c>
      <c r="V904" s="31">
        <f>IF($A904="","",IF($H904&lt;&gt;"Ausgabe",0,-$E904-$U904))</f>
        <v/>
      </c>
      <c r="W904" s="33">
        <f>IF($A904="","",DATE(YEAR($A904),MONTH($A904),1))</f>
        <v/>
      </c>
      <c r="X904" s="34">
        <f>IF(OR($A904="",$H904&lt;&gt;"Ausgabe",J904=""),0,IF(J904="x",-$E904/(COUNTIF($J904:$Q904,"x")+1),-$E904*N(J904)))</f>
        <v/>
      </c>
      <c r="Y904" s="34">
        <f>IF(OR($A904="",$H904&lt;&gt;"Ausgabe",K904=""),0,IF(K904="x",-$E904/(COUNTIF($J904:$Q904,"x")+1),-$E904*N(K904)))</f>
        <v/>
      </c>
      <c r="Z904" s="34">
        <f>IF(OR($A904="",$H904&lt;&gt;"Ausgabe",L904=""),0,IF(L904="x",-$E904/(COUNTIF($J904:$Q904,"x")+1),-$E904*N(L904)))</f>
        <v/>
      </c>
      <c r="AA904" s="34">
        <f>IF(OR($A904="",$H904&lt;&gt;"Ausgabe",M904=""),0,IF(M904="x",-$E904/(COUNTIF($J904:$Q904,"x")+1),-$E904*N(M904)))</f>
        <v/>
      </c>
      <c r="AB904" s="34">
        <f>IF(OR($A904="",$H904&lt;&gt;"Ausgabe",N904=""),0,IF(N904="x",-$E904/(COUNTIF($J904:$Q904,"x")+1),-$E904*N(N904)))</f>
        <v/>
      </c>
      <c r="AC904" s="34">
        <f>IF(OR($A904="",$H904&lt;&gt;"Ausgabe",O904=""),0,IF(O904="x",-$E904/(COUNTIF($J904:$Q904,"x")+1),-$E904*N(O904)))</f>
        <v/>
      </c>
      <c r="AD904" s="34">
        <f>IF(OR($A904="",$H904&lt;&gt;"Ausgabe",P904=""),0,IF(P904="x",-$E904/(COUNTIF($J904:$Q904,"x")+1),-$E904*N(P904)))</f>
        <v/>
      </c>
      <c r="AE904" s="34">
        <f>IF(OR($A904="",$H904&lt;&gt;"Ausgabe",Q904=""),0,IF(Q904="x",-$E904/(COUNTIF($J904:$Q904,"x")+1),-$E904*N(Q904)))</f>
        <v/>
      </c>
    </row>
    <row r="905">
      <c r="A905" s="30" t="n"/>
      <c r="E905" s="31" t="n"/>
      <c r="J905" s="32" t="n"/>
      <c r="K905" s="32" t="n"/>
      <c r="L905" s="32" t="n"/>
      <c r="M905" s="32" t="n"/>
      <c r="N905" s="32" t="n"/>
      <c r="O905" s="32" t="n"/>
      <c r="P905" s="32" t="n"/>
      <c r="Q905" s="32" t="n"/>
      <c r="U905" s="31">
        <f>IF($A905="","",SUM(X905:AE905))</f>
        <v/>
      </c>
      <c r="V905" s="31">
        <f>IF($A905="","",IF($H905&lt;&gt;"Ausgabe",0,-$E905-$U905))</f>
        <v/>
      </c>
      <c r="W905" s="33">
        <f>IF($A905="","",DATE(YEAR($A905),MONTH($A905),1))</f>
        <v/>
      </c>
      <c r="X905" s="34">
        <f>IF(OR($A905="",$H905&lt;&gt;"Ausgabe",J905=""),0,IF(J905="x",-$E905/(COUNTIF($J905:$Q905,"x")+1),-$E905*N(J905)))</f>
        <v/>
      </c>
      <c r="Y905" s="34">
        <f>IF(OR($A905="",$H905&lt;&gt;"Ausgabe",K905=""),0,IF(K905="x",-$E905/(COUNTIF($J905:$Q905,"x")+1),-$E905*N(K905)))</f>
        <v/>
      </c>
      <c r="Z905" s="34">
        <f>IF(OR($A905="",$H905&lt;&gt;"Ausgabe",L905=""),0,IF(L905="x",-$E905/(COUNTIF($J905:$Q905,"x")+1),-$E905*N(L905)))</f>
        <v/>
      </c>
      <c r="AA905" s="34">
        <f>IF(OR($A905="",$H905&lt;&gt;"Ausgabe",M905=""),0,IF(M905="x",-$E905/(COUNTIF($J905:$Q905,"x")+1),-$E905*N(M905)))</f>
        <v/>
      </c>
      <c r="AB905" s="34">
        <f>IF(OR($A905="",$H905&lt;&gt;"Ausgabe",N905=""),0,IF(N905="x",-$E905/(COUNTIF($J905:$Q905,"x")+1),-$E905*N(N905)))</f>
        <v/>
      </c>
      <c r="AC905" s="34">
        <f>IF(OR($A905="",$H905&lt;&gt;"Ausgabe",O905=""),0,IF(O905="x",-$E905/(COUNTIF($J905:$Q905,"x")+1),-$E905*N(O905)))</f>
        <v/>
      </c>
      <c r="AD905" s="34">
        <f>IF(OR($A905="",$H905&lt;&gt;"Ausgabe",P905=""),0,IF(P905="x",-$E905/(COUNTIF($J905:$Q905,"x")+1),-$E905*N(P905)))</f>
        <v/>
      </c>
      <c r="AE905" s="34">
        <f>IF(OR($A905="",$H905&lt;&gt;"Ausgabe",Q905=""),0,IF(Q905="x",-$E905/(COUNTIF($J905:$Q905,"x")+1),-$E905*N(Q905)))</f>
        <v/>
      </c>
    </row>
    <row r="906">
      <c r="A906" s="30" t="n"/>
      <c r="E906" s="31" t="n"/>
      <c r="J906" s="32" t="n"/>
      <c r="K906" s="32" t="n"/>
      <c r="L906" s="32" t="n"/>
      <c r="M906" s="32" t="n"/>
      <c r="N906" s="32" t="n"/>
      <c r="O906" s="32" t="n"/>
      <c r="P906" s="32" t="n"/>
      <c r="Q906" s="32" t="n"/>
      <c r="U906" s="31">
        <f>IF($A906="","",SUM(X906:AE906))</f>
        <v/>
      </c>
      <c r="V906" s="31">
        <f>IF($A906="","",IF($H906&lt;&gt;"Ausgabe",0,-$E906-$U906))</f>
        <v/>
      </c>
      <c r="W906" s="33">
        <f>IF($A906="","",DATE(YEAR($A906),MONTH($A906),1))</f>
        <v/>
      </c>
      <c r="X906" s="34">
        <f>IF(OR($A906="",$H906&lt;&gt;"Ausgabe",J906=""),0,IF(J906="x",-$E906/(COUNTIF($J906:$Q906,"x")+1),-$E906*N(J906)))</f>
        <v/>
      </c>
      <c r="Y906" s="34">
        <f>IF(OR($A906="",$H906&lt;&gt;"Ausgabe",K906=""),0,IF(K906="x",-$E906/(COUNTIF($J906:$Q906,"x")+1),-$E906*N(K906)))</f>
        <v/>
      </c>
      <c r="Z906" s="34">
        <f>IF(OR($A906="",$H906&lt;&gt;"Ausgabe",L906=""),0,IF(L906="x",-$E906/(COUNTIF($J906:$Q906,"x")+1),-$E906*N(L906)))</f>
        <v/>
      </c>
      <c r="AA906" s="34">
        <f>IF(OR($A906="",$H906&lt;&gt;"Ausgabe",M906=""),0,IF(M906="x",-$E906/(COUNTIF($J906:$Q906,"x")+1),-$E906*N(M906)))</f>
        <v/>
      </c>
      <c r="AB906" s="34">
        <f>IF(OR($A906="",$H906&lt;&gt;"Ausgabe",N906=""),0,IF(N906="x",-$E906/(COUNTIF($J906:$Q906,"x")+1),-$E906*N(N906)))</f>
        <v/>
      </c>
      <c r="AC906" s="34">
        <f>IF(OR($A906="",$H906&lt;&gt;"Ausgabe",O906=""),0,IF(O906="x",-$E906/(COUNTIF($J906:$Q906,"x")+1),-$E906*N(O906)))</f>
        <v/>
      </c>
      <c r="AD906" s="34">
        <f>IF(OR($A906="",$H906&lt;&gt;"Ausgabe",P906=""),0,IF(P906="x",-$E906/(COUNTIF($J906:$Q906,"x")+1),-$E906*N(P906)))</f>
        <v/>
      </c>
      <c r="AE906" s="34">
        <f>IF(OR($A906="",$H906&lt;&gt;"Ausgabe",Q906=""),0,IF(Q906="x",-$E906/(COUNTIF($J906:$Q906,"x")+1),-$E906*N(Q906)))</f>
        <v/>
      </c>
    </row>
    <row r="907">
      <c r="A907" s="30" t="n"/>
      <c r="E907" s="31" t="n"/>
      <c r="J907" s="32" t="n"/>
      <c r="K907" s="32" t="n"/>
      <c r="L907" s="32" t="n"/>
      <c r="M907" s="32" t="n"/>
      <c r="N907" s="32" t="n"/>
      <c r="O907" s="32" t="n"/>
      <c r="P907" s="32" t="n"/>
      <c r="Q907" s="32" t="n"/>
      <c r="U907" s="31">
        <f>IF($A907="","",SUM(X907:AE907))</f>
        <v/>
      </c>
      <c r="V907" s="31">
        <f>IF($A907="","",IF($H907&lt;&gt;"Ausgabe",0,-$E907-$U907))</f>
        <v/>
      </c>
      <c r="W907" s="33">
        <f>IF($A907="","",DATE(YEAR($A907),MONTH($A907),1))</f>
        <v/>
      </c>
      <c r="X907" s="34">
        <f>IF(OR($A907="",$H907&lt;&gt;"Ausgabe",J907=""),0,IF(J907="x",-$E907/(COUNTIF($J907:$Q907,"x")+1),-$E907*N(J907)))</f>
        <v/>
      </c>
      <c r="Y907" s="34">
        <f>IF(OR($A907="",$H907&lt;&gt;"Ausgabe",K907=""),0,IF(K907="x",-$E907/(COUNTIF($J907:$Q907,"x")+1),-$E907*N(K907)))</f>
        <v/>
      </c>
      <c r="Z907" s="34">
        <f>IF(OR($A907="",$H907&lt;&gt;"Ausgabe",L907=""),0,IF(L907="x",-$E907/(COUNTIF($J907:$Q907,"x")+1),-$E907*N(L907)))</f>
        <v/>
      </c>
      <c r="AA907" s="34">
        <f>IF(OR($A907="",$H907&lt;&gt;"Ausgabe",M907=""),0,IF(M907="x",-$E907/(COUNTIF($J907:$Q907,"x")+1),-$E907*N(M907)))</f>
        <v/>
      </c>
      <c r="AB907" s="34">
        <f>IF(OR($A907="",$H907&lt;&gt;"Ausgabe",N907=""),0,IF(N907="x",-$E907/(COUNTIF($J907:$Q907,"x")+1),-$E907*N(N907)))</f>
        <v/>
      </c>
      <c r="AC907" s="34">
        <f>IF(OR($A907="",$H907&lt;&gt;"Ausgabe",O907=""),0,IF(O907="x",-$E907/(COUNTIF($J907:$Q907,"x")+1),-$E907*N(O907)))</f>
        <v/>
      </c>
      <c r="AD907" s="34">
        <f>IF(OR($A907="",$H907&lt;&gt;"Ausgabe",P907=""),0,IF(P907="x",-$E907/(COUNTIF($J907:$Q907,"x")+1),-$E907*N(P907)))</f>
        <v/>
      </c>
      <c r="AE907" s="34">
        <f>IF(OR($A907="",$H907&lt;&gt;"Ausgabe",Q907=""),0,IF(Q907="x",-$E907/(COUNTIF($J907:$Q907,"x")+1),-$E907*N(Q907)))</f>
        <v/>
      </c>
    </row>
    <row r="908">
      <c r="A908" s="30" t="n"/>
      <c r="E908" s="31" t="n"/>
      <c r="J908" s="32" t="n"/>
      <c r="K908" s="32" t="n"/>
      <c r="L908" s="32" t="n"/>
      <c r="M908" s="32" t="n"/>
      <c r="N908" s="32" t="n"/>
      <c r="O908" s="32" t="n"/>
      <c r="P908" s="32" t="n"/>
      <c r="Q908" s="32" t="n"/>
      <c r="U908" s="31">
        <f>IF($A908="","",SUM(X908:AE908))</f>
        <v/>
      </c>
      <c r="V908" s="31">
        <f>IF($A908="","",IF($H908&lt;&gt;"Ausgabe",0,-$E908-$U908))</f>
        <v/>
      </c>
      <c r="W908" s="33">
        <f>IF($A908="","",DATE(YEAR($A908),MONTH($A908),1))</f>
        <v/>
      </c>
      <c r="X908" s="34">
        <f>IF(OR($A908="",$H908&lt;&gt;"Ausgabe",J908=""),0,IF(J908="x",-$E908/(COUNTIF($J908:$Q908,"x")+1),-$E908*N(J908)))</f>
        <v/>
      </c>
      <c r="Y908" s="34">
        <f>IF(OR($A908="",$H908&lt;&gt;"Ausgabe",K908=""),0,IF(K908="x",-$E908/(COUNTIF($J908:$Q908,"x")+1),-$E908*N(K908)))</f>
        <v/>
      </c>
      <c r="Z908" s="34">
        <f>IF(OR($A908="",$H908&lt;&gt;"Ausgabe",L908=""),0,IF(L908="x",-$E908/(COUNTIF($J908:$Q908,"x")+1),-$E908*N(L908)))</f>
        <v/>
      </c>
      <c r="AA908" s="34">
        <f>IF(OR($A908="",$H908&lt;&gt;"Ausgabe",M908=""),0,IF(M908="x",-$E908/(COUNTIF($J908:$Q908,"x")+1),-$E908*N(M908)))</f>
        <v/>
      </c>
      <c r="AB908" s="34">
        <f>IF(OR($A908="",$H908&lt;&gt;"Ausgabe",N908=""),0,IF(N908="x",-$E908/(COUNTIF($J908:$Q908,"x")+1),-$E908*N(N908)))</f>
        <v/>
      </c>
      <c r="AC908" s="34">
        <f>IF(OR($A908="",$H908&lt;&gt;"Ausgabe",O908=""),0,IF(O908="x",-$E908/(COUNTIF($J908:$Q908,"x")+1),-$E908*N(O908)))</f>
        <v/>
      </c>
      <c r="AD908" s="34">
        <f>IF(OR($A908="",$H908&lt;&gt;"Ausgabe",P908=""),0,IF(P908="x",-$E908/(COUNTIF($J908:$Q908,"x")+1),-$E908*N(P908)))</f>
        <v/>
      </c>
      <c r="AE908" s="34">
        <f>IF(OR($A908="",$H908&lt;&gt;"Ausgabe",Q908=""),0,IF(Q908="x",-$E908/(COUNTIF($J908:$Q908,"x")+1),-$E908*N(Q908)))</f>
        <v/>
      </c>
    </row>
    <row r="909">
      <c r="A909" s="30" t="n"/>
      <c r="E909" s="31" t="n"/>
      <c r="J909" s="32" t="n"/>
      <c r="K909" s="32" t="n"/>
      <c r="L909" s="32" t="n"/>
      <c r="M909" s="32" t="n"/>
      <c r="N909" s="32" t="n"/>
      <c r="O909" s="32" t="n"/>
      <c r="P909" s="32" t="n"/>
      <c r="Q909" s="32" t="n"/>
      <c r="U909" s="31">
        <f>IF($A909="","",SUM(X909:AE909))</f>
        <v/>
      </c>
      <c r="V909" s="31">
        <f>IF($A909="","",IF($H909&lt;&gt;"Ausgabe",0,-$E909-$U909))</f>
        <v/>
      </c>
      <c r="W909" s="33">
        <f>IF($A909="","",DATE(YEAR($A909),MONTH($A909),1))</f>
        <v/>
      </c>
      <c r="X909" s="34">
        <f>IF(OR($A909="",$H909&lt;&gt;"Ausgabe",J909=""),0,IF(J909="x",-$E909/(COUNTIF($J909:$Q909,"x")+1),-$E909*N(J909)))</f>
        <v/>
      </c>
      <c r="Y909" s="34">
        <f>IF(OR($A909="",$H909&lt;&gt;"Ausgabe",K909=""),0,IF(K909="x",-$E909/(COUNTIF($J909:$Q909,"x")+1),-$E909*N(K909)))</f>
        <v/>
      </c>
      <c r="Z909" s="34">
        <f>IF(OR($A909="",$H909&lt;&gt;"Ausgabe",L909=""),0,IF(L909="x",-$E909/(COUNTIF($J909:$Q909,"x")+1),-$E909*N(L909)))</f>
        <v/>
      </c>
      <c r="AA909" s="34">
        <f>IF(OR($A909="",$H909&lt;&gt;"Ausgabe",M909=""),0,IF(M909="x",-$E909/(COUNTIF($J909:$Q909,"x")+1),-$E909*N(M909)))</f>
        <v/>
      </c>
      <c r="AB909" s="34">
        <f>IF(OR($A909="",$H909&lt;&gt;"Ausgabe",N909=""),0,IF(N909="x",-$E909/(COUNTIF($J909:$Q909,"x")+1),-$E909*N(N909)))</f>
        <v/>
      </c>
      <c r="AC909" s="34">
        <f>IF(OR($A909="",$H909&lt;&gt;"Ausgabe",O909=""),0,IF(O909="x",-$E909/(COUNTIF($J909:$Q909,"x")+1),-$E909*N(O909)))</f>
        <v/>
      </c>
      <c r="AD909" s="34">
        <f>IF(OR($A909="",$H909&lt;&gt;"Ausgabe",P909=""),0,IF(P909="x",-$E909/(COUNTIF($J909:$Q909,"x")+1),-$E909*N(P909)))</f>
        <v/>
      </c>
      <c r="AE909" s="34">
        <f>IF(OR($A909="",$H909&lt;&gt;"Ausgabe",Q909=""),0,IF(Q909="x",-$E909/(COUNTIF($J909:$Q909,"x")+1),-$E909*N(Q909)))</f>
        <v/>
      </c>
    </row>
    <row r="910">
      <c r="A910" s="30" t="n"/>
      <c r="E910" s="31" t="n"/>
      <c r="J910" s="32" t="n"/>
      <c r="K910" s="32" t="n"/>
      <c r="L910" s="32" t="n"/>
      <c r="M910" s="32" t="n"/>
      <c r="N910" s="32" t="n"/>
      <c r="O910" s="32" t="n"/>
      <c r="P910" s="32" t="n"/>
      <c r="Q910" s="32" t="n"/>
      <c r="U910" s="31">
        <f>IF($A910="","",SUM(X910:AE910))</f>
        <v/>
      </c>
      <c r="V910" s="31">
        <f>IF($A910="","",IF($H910&lt;&gt;"Ausgabe",0,-$E910-$U910))</f>
        <v/>
      </c>
      <c r="W910" s="33">
        <f>IF($A910="","",DATE(YEAR($A910),MONTH($A910),1))</f>
        <v/>
      </c>
      <c r="X910" s="34">
        <f>IF(OR($A910="",$H910&lt;&gt;"Ausgabe",J910=""),0,IF(J910="x",-$E910/(COUNTIF($J910:$Q910,"x")+1),-$E910*N(J910)))</f>
        <v/>
      </c>
      <c r="Y910" s="34">
        <f>IF(OR($A910="",$H910&lt;&gt;"Ausgabe",K910=""),0,IF(K910="x",-$E910/(COUNTIF($J910:$Q910,"x")+1),-$E910*N(K910)))</f>
        <v/>
      </c>
      <c r="Z910" s="34">
        <f>IF(OR($A910="",$H910&lt;&gt;"Ausgabe",L910=""),0,IF(L910="x",-$E910/(COUNTIF($J910:$Q910,"x")+1),-$E910*N(L910)))</f>
        <v/>
      </c>
      <c r="AA910" s="34">
        <f>IF(OR($A910="",$H910&lt;&gt;"Ausgabe",M910=""),0,IF(M910="x",-$E910/(COUNTIF($J910:$Q910,"x")+1),-$E910*N(M910)))</f>
        <v/>
      </c>
      <c r="AB910" s="34">
        <f>IF(OR($A910="",$H910&lt;&gt;"Ausgabe",N910=""),0,IF(N910="x",-$E910/(COUNTIF($J910:$Q910,"x")+1),-$E910*N(N910)))</f>
        <v/>
      </c>
      <c r="AC910" s="34">
        <f>IF(OR($A910="",$H910&lt;&gt;"Ausgabe",O910=""),0,IF(O910="x",-$E910/(COUNTIF($J910:$Q910,"x")+1),-$E910*N(O910)))</f>
        <v/>
      </c>
      <c r="AD910" s="34">
        <f>IF(OR($A910="",$H910&lt;&gt;"Ausgabe",P910=""),0,IF(P910="x",-$E910/(COUNTIF($J910:$Q910,"x")+1),-$E910*N(P910)))</f>
        <v/>
      </c>
      <c r="AE910" s="34">
        <f>IF(OR($A910="",$H910&lt;&gt;"Ausgabe",Q910=""),0,IF(Q910="x",-$E910/(COUNTIF($J910:$Q910,"x")+1),-$E910*N(Q910)))</f>
        <v/>
      </c>
    </row>
    <row r="911">
      <c r="A911" s="30" t="n"/>
      <c r="E911" s="31" t="n"/>
      <c r="J911" s="32" t="n"/>
      <c r="K911" s="32" t="n"/>
      <c r="L911" s="32" t="n"/>
      <c r="M911" s="32" t="n"/>
      <c r="N911" s="32" t="n"/>
      <c r="O911" s="32" t="n"/>
      <c r="P911" s="32" t="n"/>
      <c r="Q911" s="32" t="n"/>
      <c r="U911" s="31">
        <f>IF($A911="","",SUM(X911:AE911))</f>
        <v/>
      </c>
      <c r="V911" s="31">
        <f>IF($A911="","",IF($H911&lt;&gt;"Ausgabe",0,-$E911-$U911))</f>
        <v/>
      </c>
      <c r="W911" s="33">
        <f>IF($A911="","",DATE(YEAR($A911),MONTH($A911),1))</f>
        <v/>
      </c>
      <c r="X911" s="34">
        <f>IF(OR($A911="",$H911&lt;&gt;"Ausgabe",J911=""),0,IF(J911="x",-$E911/(COUNTIF($J911:$Q911,"x")+1),-$E911*N(J911)))</f>
        <v/>
      </c>
      <c r="Y911" s="34">
        <f>IF(OR($A911="",$H911&lt;&gt;"Ausgabe",K911=""),0,IF(K911="x",-$E911/(COUNTIF($J911:$Q911,"x")+1),-$E911*N(K911)))</f>
        <v/>
      </c>
      <c r="Z911" s="34">
        <f>IF(OR($A911="",$H911&lt;&gt;"Ausgabe",L911=""),0,IF(L911="x",-$E911/(COUNTIF($J911:$Q911,"x")+1),-$E911*N(L911)))</f>
        <v/>
      </c>
      <c r="AA911" s="34">
        <f>IF(OR($A911="",$H911&lt;&gt;"Ausgabe",M911=""),0,IF(M911="x",-$E911/(COUNTIF($J911:$Q911,"x")+1),-$E911*N(M911)))</f>
        <v/>
      </c>
      <c r="AB911" s="34">
        <f>IF(OR($A911="",$H911&lt;&gt;"Ausgabe",N911=""),0,IF(N911="x",-$E911/(COUNTIF($J911:$Q911,"x")+1),-$E911*N(N911)))</f>
        <v/>
      </c>
      <c r="AC911" s="34">
        <f>IF(OR($A911="",$H911&lt;&gt;"Ausgabe",O911=""),0,IF(O911="x",-$E911/(COUNTIF($J911:$Q911,"x")+1),-$E911*N(O911)))</f>
        <v/>
      </c>
      <c r="AD911" s="34">
        <f>IF(OR($A911="",$H911&lt;&gt;"Ausgabe",P911=""),0,IF(P911="x",-$E911/(COUNTIF($J911:$Q911,"x")+1),-$E911*N(P911)))</f>
        <v/>
      </c>
      <c r="AE911" s="34">
        <f>IF(OR($A911="",$H911&lt;&gt;"Ausgabe",Q911=""),0,IF(Q911="x",-$E911/(COUNTIF($J911:$Q911,"x")+1),-$E911*N(Q911)))</f>
        <v/>
      </c>
    </row>
    <row r="912">
      <c r="A912" s="30" t="n"/>
      <c r="E912" s="31" t="n"/>
      <c r="J912" s="32" t="n"/>
      <c r="K912" s="32" t="n"/>
      <c r="L912" s="32" t="n"/>
      <c r="M912" s="32" t="n"/>
      <c r="N912" s="32" t="n"/>
      <c r="O912" s="32" t="n"/>
      <c r="P912" s="32" t="n"/>
      <c r="Q912" s="32" t="n"/>
      <c r="U912" s="31">
        <f>IF($A912="","",SUM(X912:AE912))</f>
        <v/>
      </c>
      <c r="V912" s="31">
        <f>IF($A912="","",IF($H912&lt;&gt;"Ausgabe",0,-$E912-$U912))</f>
        <v/>
      </c>
      <c r="W912" s="33">
        <f>IF($A912="","",DATE(YEAR($A912),MONTH($A912),1))</f>
        <v/>
      </c>
      <c r="X912" s="34">
        <f>IF(OR($A912="",$H912&lt;&gt;"Ausgabe",J912=""),0,IF(J912="x",-$E912/(COUNTIF($J912:$Q912,"x")+1),-$E912*N(J912)))</f>
        <v/>
      </c>
      <c r="Y912" s="34">
        <f>IF(OR($A912="",$H912&lt;&gt;"Ausgabe",K912=""),0,IF(K912="x",-$E912/(COUNTIF($J912:$Q912,"x")+1),-$E912*N(K912)))</f>
        <v/>
      </c>
      <c r="Z912" s="34">
        <f>IF(OR($A912="",$H912&lt;&gt;"Ausgabe",L912=""),0,IF(L912="x",-$E912/(COUNTIF($J912:$Q912,"x")+1),-$E912*N(L912)))</f>
        <v/>
      </c>
      <c r="AA912" s="34">
        <f>IF(OR($A912="",$H912&lt;&gt;"Ausgabe",M912=""),0,IF(M912="x",-$E912/(COUNTIF($J912:$Q912,"x")+1),-$E912*N(M912)))</f>
        <v/>
      </c>
      <c r="AB912" s="34">
        <f>IF(OR($A912="",$H912&lt;&gt;"Ausgabe",N912=""),0,IF(N912="x",-$E912/(COUNTIF($J912:$Q912,"x")+1),-$E912*N(N912)))</f>
        <v/>
      </c>
      <c r="AC912" s="34">
        <f>IF(OR($A912="",$H912&lt;&gt;"Ausgabe",O912=""),0,IF(O912="x",-$E912/(COUNTIF($J912:$Q912,"x")+1),-$E912*N(O912)))</f>
        <v/>
      </c>
      <c r="AD912" s="34">
        <f>IF(OR($A912="",$H912&lt;&gt;"Ausgabe",P912=""),0,IF(P912="x",-$E912/(COUNTIF($J912:$Q912,"x")+1),-$E912*N(P912)))</f>
        <v/>
      </c>
      <c r="AE912" s="34">
        <f>IF(OR($A912="",$H912&lt;&gt;"Ausgabe",Q912=""),0,IF(Q912="x",-$E912/(COUNTIF($J912:$Q912,"x")+1),-$E912*N(Q912)))</f>
        <v/>
      </c>
    </row>
    <row r="913">
      <c r="A913" s="30" t="n"/>
      <c r="E913" s="31" t="n"/>
      <c r="J913" s="32" t="n"/>
      <c r="K913" s="32" t="n"/>
      <c r="L913" s="32" t="n"/>
      <c r="M913" s="32" t="n"/>
      <c r="N913" s="32" t="n"/>
      <c r="O913" s="32" t="n"/>
      <c r="P913" s="32" t="n"/>
      <c r="Q913" s="32" t="n"/>
      <c r="U913" s="31">
        <f>IF($A913="","",SUM(X913:AE913))</f>
        <v/>
      </c>
      <c r="V913" s="31">
        <f>IF($A913="","",IF($H913&lt;&gt;"Ausgabe",0,-$E913-$U913))</f>
        <v/>
      </c>
      <c r="W913" s="33">
        <f>IF($A913="","",DATE(YEAR($A913),MONTH($A913),1))</f>
        <v/>
      </c>
      <c r="X913" s="34">
        <f>IF(OR($A913="",$H913&lt;&gt;"Ausgabe",J913=""),0,IF(J913="x",-$E913/(COUNTIF($J913:$Q913,"x")+1),-$E913*N(J913)))</f>
        <v/>
      </c>
      <c r="Y913" s="34">
        <f>IF(OR($A913="",$H913&lt;&gt;"Ausgabe",K913=""),0,IF(K913="x",-$E913/(COUNTIF($J913:$Q913,"x")+1),-$E913*N(K913)))</f>
        <v/>
      </c>
      <c r="Z913" s="34">
        <f>IF(OR($A913="",$H913&lt;&gt;"Ausgabe",L913=""),0,IF(L913="x",-$E913/(COUNTIF($J913:$Q913,"x")+1),-$E913*N(L913)))</f>
        <v/>
      </c>
      <c r="AA913" s="34">
        <f>IF(OR($A913="",$H913&lt;&gt;"Ausgabe",M913=""),0,IF(M913="x",-$E913/(COUNTIF($J913:$Q913,"x")+1),-$E913*N(M913)))</f>
        <v/>
      </c>
      <c r="AB913" s="34">
        <f>IF(OR($A913="",$H913&lt;&gt;"Ausgabe",N913=""),0,IF(N913="x",-$E913/(COUNTIF($J913:$Q913,"x")+1),-$E913*N(N913)))</f>
        <v/>
      </c>
      <c r="AC913" s="34">
        <f>IF(OR($A913="",$H913&lt;&gt;"Ausgabe",O913=""),0,IF(O913="x",-$E913/(COUNTIF($J913:$Q913,"x")+1),-$E913*N(O913)))</f>
        <v/>
      </c>
      <c r="AD913" s="34">
        <f>IF(OR($A913="",$H913&lt;&gt;"Ausgabe",P913=""),0,IF(P913="x",-$E913/(COUNTIF($J913:$Q913,"x")+1),-$E913*N(P913)))</f>
        <v/>
      </c>
      <c r="AE913" s="34">
        <f>IF(OR($A913="",$H913&lt;&gt;"Ausgabe",Q913=""),0,IF(Q913="x",-$E913/(COUNTIF($J913:$Q913,"x")+1),-$E913*N(Q913)))</f>
        <v/>
      </c>
    </row>
    <row r="914">
      <c r="A914" s="30" t="n"/>
      <c r="E914" s="31" t="n"/>
      <c r="J914" s="32" t="n"/>
      <c r="K914" s="32" t="n"/>
      <c r="L914" s="32" t="n"/>
      <c r="M914" s="32" t="n"/>
      <c r="N914" s="32" t="n"/>
      <c r="O914" s="32" t="n"/>
      <c r="P914" s="32" t="n"/>
      <c r="Q914" s="32" t="n"/>
      <c r="U914" s="31">
        <f>IF($A914="","",SUM(X914:AE914))</f>
        <v/>
      </c>
      <c r="V914" s="31">
        <f>IF($A914="","",IF($H914&lt;&gt;"Ausgabe",0,-$E914-$U914))</f>
        <v/>
      </c>
      <c r="W914" s="33">
        <f>IF($A914="","",DATE(YEAR($A914),MONTH($A914),1))</f>
        <v/>
      </c>
      <c r="X914" s="34">
        <f>IF(OR($A914="",$H914&lt;&gt;"Ausgabe",J914=""),0,IF(J914="x",-$E914/(COUNTIF($J914:$Q914,"x")+1),-$E914*N(J914)))</f>
        <v/>
      </c>
      <c r="Y914" s="34">
        <f>IF(OR($A914="",$H914&lt;&gt;"Ausgabe",K914=""),0,IF(K914="x",-$E914/(COUNTIF($J914:$Q914,"x")+1),-$E914*N(K914)))</f>
        <v/>
      </c>
      <c r="Z914" s="34">
        <f>IF(OR($A914="",$H914&lt;&gt;"Ausgabe",L914=""),0,IF(L914="x",-$E914/(COUNTIF($J914:$Q914,"x")+1),-$E914*N(L914)))</f>
        <v/>
      </c>
      <c r="AA914" s="34">
        <f>IF(OR($A914="",$H914&lt;&gt;"Ausgabe",M914=""),0,IF(M914="x",-$E914/(COUNTIF($J914:$Q914,"x")+1),-$E914*N(M914)))</f>
        <v/>
      </c>
      <c r="AB914" s="34">
        <f>IF(OR($A914="",$H914&lt;&gt;"Ausgabe",N914=""),0,IF(N914="x",-$E914/(COUNTIF($J914:$Q914,"x")+1),-$E914*N(N914)))</f>
        <v/>
      </c>
      <c r="AC914" s="34">
        <f>IF(OR($A914="",$H914&lt;&gt;"Ausgabe",O914=""),0,IF(O914="x",-$E914/(COUNTIF($J914:$Q914,"x")+1),-$E914*N(O914)))</f>
        <v/>
      </c>
      <c r="AD914" s="34">
        <f>IF(OR($A914="",$H914&lt;&gt;"Ausgabe",P914=""),0,IF(P914="x",-$E914/(COUNTIF($J914:$Q914,"x")+1),-$E914*N(P914)))</f>
        <v/>
      </c>
      <c r="AE914" s="34">
        <f>IF(OR($A914="",$H914&lt;&gt;"Ausgabe",Q914=""),0,IF(Q914="x",-$E914/(COUNTIF($J914:$Q914,"x")+1),-$E914*N(Q914)))</f>
        <v/>
      </c>
    </row>
    <row r="915">
      <c r="A915" s="30" t="n"/>
      <c r="E915" s="31" t="n"/>
      <c r="J915" s="32" t="n"/>
      <c r="K915" s="32" t="n"/>
      <c r="L915" s="32" t="n"/>
      <c r="M915" s="32" t="n"/>
      <c r="N915" s="32" t="n"/>
      <c r="O915" s="32" t="n"/>
      <c r="P915" s="32" t="n"/>
      <c r="Q915" s="32" t="n"/>
      <c r="U915" s="31">
        <f>IF($A915="","",SUM(X915:AE915))</f>
        <v/>
      </c>
      <c r="V915" s="31">
        <f>IF($A915="","",IF($H915&lt;&gt;"Ausgabe",0,-$E915-$U915))</f>
        <v/>
      </c>
      <c r="W915" s="33">
        <f>IF($A915="","",DATE(YEAR($A915),MONTH($A915),1))</f>
        <v/>
      </c>
      <c r="X915" s="34">
        <f>IF(OR($A915="",$H915&lt;&gt;"Ausgabe",J915=""),0,IF(J915="x",-$E915/(COUNTIF($J915:$Q915,"x")+1),-$E915*N(J915)))</f>
        <v/>
      </c>
      <c r="Y915" s="34">
        <f>IF(OR($A915="",$H915&lt;&gt;"Ausgabe",K915=""),0,IF(K915="x",-$E915/(COUNTIF($J915:$Q915,"x")+1),-$E915*N(K915)))</f>
        <v/>
      </c>
      <c r="Z915" s="34">
        <f>IF(OR($A915="",$H915&lt;&gt;"Ausgabe",L915=""),0,IF(L915="x",-$E915/(COUNTIF($J915:$Q915,"x")+1),-$E915*N(L915)))</f>
        <v/>
      </c>
      <c r="AA915" s="34">
        <f>IF(OR($A915="",$H915&lt;&gt;"Ausgabe",M915=""),0,IF(M915="x",-$E915/(COUNTIF($J915:$Q915,"x")+1),-$E915*N(M915)))</f>
        <v/>
      </c>
      <c r="AB915" s="34">
        <f>IF(OR($A915="",$H915&lt;&gt;"Ausgabe",N915=""),0,IF(N915="x",-$E915/(COUNTIF($J915:$Q915,"x")+1),-$E915*N(N915)))</f>
        <v/>
      </c>
      <c r="AC915" s="34">
        <f>IF(OR($A915="",$H915&lt;&gt;"Ausgabe",O915=""),0,IF(O915="x",-$E915/(COUNTIF($J915:$Q915,"x")+1),-$E915*N(O915)))</f>
        <v/>
      </c>
      <c r="AD915" s="34">
        <f>IF(OR($A915="",$H915&lt;&gt;"Ausgabe",P915=""),0,IF(P915="x",-$E915/(COUNTIF($J915:$Q915,"x")+1),-$E915*N(P915)))</f>
        <v/>
      </c>
      <c r="AE915" s="34">
        <f>IF(OR($A915="",$H915&lt;&gt;"Ausgabe",Q915=""),0,IF(Q915="x",-$E915/(COUNTIF($J915:$Q915,"x")+1),-$E915*N(Q915)))</f>
        <v/>
      </c>
    </row>
    <row r="916">
      <c r="A916" s="30" t="n"/>
      <c r="E916" s="31" t="n"/>
      <c r="J916" s="32" t="n"/>
      <c r="K916" s="32" t="n"/>
      <c r="L916" s="32" t="n"/>
      <c r="M916" s="32" t="n"/>
      <c r="N916" s="32" t="n"/>
      <c r="O916" s="32" t="n"/>
      <c r="P916" s="32" t="n"/>
      <c r="Q916" s="32" t="n"/>
      <c r="U916" s="31">
        <f>IF($A916="","",SUM(X916:AE916))</f>
        <v/>
      </c>
      <c r="V916" s="31">
        <f>IF($A916="","",IF($H916&lt;&gt;"Ausgabe",0,-$E916-$U916))</f>
        <v/>
      </c>
      <c r="W916" s="33">
        <f>IF($A916="","",DATE(YEAR($A916),MONTH($A916),1))</f>
        <v/>
      </c>
      <c r="X916" s="34">
        <f>IF(OR($A916="",$H916&lt;&gt;"Ausgabe",J916=""),0,IF(J916="x",-$E916/(COUNTIF($J916:$Q916,"x")+1),-$E916*N(J916)))</f>
        <v/>
      </c>
      <c r="Y916" s="34">
        <f>IF(OR($A916="",$H916&lt;&gt;"Ausgabe",K916=""),0,IF(K916="x",-$E916/(COUNTIF($J916:$Q916,"x")+1),-$E916*N(K916)))</f>
        <v/>
      </c>
      <c r="Z916" s="34">
        <f>IF(OR($A916="",$H916&lt;&gt;"Ausgabe",L916=""),0,IF(L916="x",-$E916/(COUNTIF($J916:$Q916,"x")+1),-$E916*N(L916)))</f>
        <v/>
      </c>
      <c r="AA916" s="34">
        <f>IF(OR($A916="",$H916&lt;&gt;"Ausgabe",M916=""),0,IF(M916="x",-$E916/(COUNTIF($J916:$Q916,"x")+1),-$E916*N(M916)))</f>
        <v/>
      </c>
      <c r="AB916" s="34">
        <f>IF(OR($A916="",$H916&lt;&gt;"Ausgabe",N916=""),0,IF(N916="x",-$E916/(COUNTIF($J916:$Q916,"x")+1),-$E916*N(N916)))</f>
        <v/>
      </c>
      <c r="AC916" s="34">
        <f>IF(OR($A916="",$H916&lt;&gt;"Ausgabe",O916=""),0,IF(O916="x",-$E916/(COUNTIF($J916:$Q916,"x")+1),-$E916*N(O916)))</f>
        <v/>
      </c>
      <c r="AD916" s="34">
        <f>IF(OR($A916="",$H916&lt;&gt;"Ausgabe",P916=""),0,IF(P916="x",-$E916/(COUNTIF($J916:$Q916,"x")+1),-$E916*N(P916)))</f>
        <v/>
      </c>
      <c r="AE916" s="34">
        <f>IF(OR($A916="",$H916&lt;&gt;"Ausgabe",Q916=""),0,IF(Q916="x",-$E916/(COUNTIF($J916:$Q916,"x")+1),-$E916*N(Q916)))</f>
        <v/>
      </c>
    </row>
    <row r="917">
      <c r="A917" s="30" t="n"/>
      <c r="E917" s="31" t="n"/>
      <c r="J917" s="32" t="n"/>
      <c r="K917" s="32" t="n"/>
      <c r="L917" s="32" t="n"/>
      <c r="M917" s="32" t="n"/>
      <c r="N917" s="32" t="n"/>
      <c r="O917" s="32" t="n"/>
      <c r="P917" s="32" t="n"/>
      <c r="Q917" s="32" t="n"/>
      <c r="U917" s="31">
        <f>IF($A917="","",SUM(X917:AE917))</f>
        <v/>
      </c>
      <c r="V917" s="31">
        <f>IF($A917="","",IF($H917&lt;&gt;"Ausgabe",0,-$E917-$U917))</f>
        <v/>
      </c>
      <c r="W917" s="33">
        <f>IF($A917="","",DATE(YEAR($A917),MONTH($A917),1))</f>
        <v/>
      </c>
      <c r="X917" s="34">
        <f>IF(OR($A917="",$H917&lt;&gt;"Ausgabe",J917=""),0,IF(J917="x",-$E917/(COUNTIF($J917:$Q917,"x")+1),-$E917*N(J917)))</f>
        <v/>
      </c>
      <c r="Y917" s="34">
        <f>IF(OR($A917="",$H917&lt;&gt;"Ausgabe",K917=""),0,IF(K917="x",-$E917/(COUNTIF($J917:$Q917,"x")+1),-$E917*N(K917)))</f>
        <v/>
      </c>
      <c r="Z917" s="34">
        <f>IF(OR($A917="",$H917&lt;&gt;"Ausgabe",L917=""),0,IF(L917="x",-$E917/(COUNTIF($J917:$Q917,"x")+1),-$E917*N(L917)))</f>
        <v/>
      </c>
      <c r="AA917" s="34">
        <f>IF(OR($A917="",$H917&lt;&gt;"Ausgabe",M917=""),0,IF(M917="x",-$E917/(COUNTIF($J917:$Q917,"x")+1),-$E917*N(M917)))</f>
        <v/>
      </c>
      <c r="AB917" s="34">
        <f>IF(OR($A917="",$H917&lt;&gt;"Ausgabe",N917=""),0,IF(N917="x",-$E917/(COUNTIF($J917:$Q917,"x")+1),-$E917*N(N917)))</f>
        <v/>
      </c>
      <c r="AC917" s="34">
        <f>IF(OR($A917="",$H917&lt;&gt;"Ausgabe",O917=""),0,IF(O917="x",-$E917/(COUNTIF($J917:$Q917,"x")+1),-$E917*N(O917)))</f>
        <v/>
      </c>
      <c r="AD917" s="34">
        <f>IF(OR($A917="",$H917&lt;&gt;"Ausgabe",P917=""),0,IF(P917="x",-$E917/(COUNTIF($J917:$Q917,"x")+1),-$E917*N(P917)))</f>
        <v/>
      </c>
      <c r="AE917" s="34">
        <f>IF(OR($A917="",$H917&lt;&gt;"Ausgabe",Q917=""),0,IF(Q917="x",-$E917/(COUNTIF($J917:$Q917,"x")+1),-$E917*N(Q917)))</f>
        <v/>
      </c>
    </row>
    <row r="918">
      <c r="A918" s="30" t="n"/>
      <c r="E918" s="31" t="n"/>
      <c r="J918" s="32" t="n"/>
      <c r="K918" s="32" t="n"/>
      <c r="L918" s="32" t="n"/>
      <c r="M918" s="32" t="n"/>
      <c r="N918" s="32" t="n"/>
      <c r="O918" s="32" t="n"/>
      <c r="P918" s="32" t="n"/>
      <c r="Q918" s="32" t="n"/>
      <c r="U918" s="31">
        <f>IF($A918="","",SUM(X918:AE918))</f>
        <v/>
      </c>
      <c r="V918" s="31">
        <f>IF($A918="","",IF($H918&lt;&gt;"Ausgabe",0,-$E918-$U918))</f>
        <v/>
      </c>
      <c r="W918" s="33">
        <f>IF($A918="","",DATE(YEAR($A918),MONTH($A918),1))</f>
        <v/>
      </c>
      <c r="X918" s="34">
        <f>IF(OR($A918="",$H918&lt;&gt;"Ausgabe",J918=""),0,IF(J918="x",-$E918/(COUNTIF($J918:$Q918,"x")+1),-$E918*N(J918)))</f>
        <v/>
      </c>
      <c r="Y918" s="34">
        <f>IF(OR($A918="",$H918&lt;&gt;"Ausgabe",K918=""),0,IF(K918="x",-$E918/(COUNTIF($J918:$Q918,"x")+1),-$E918*N(K918)))</f>
        <v/>
      </c>
      <c r="Z918" s="34">
        <f>IF(OR($A918="",$H918&lt;&gt;"Ausgabe",L918=""),0,IF(L918="x",-$E918/(COUNTIF($J918:$Q918,"x")+1),-$E918*N(L918)))</f>
        <v/>
      </c>
      <c r="AA918" s="34">
        <f>IF(OR($A918="",$H918&lt;&gt;"Ausgabe",M918=""),0,IF(M918="x",-$E918/(COUNTIF($J918:$Q918,"x")+1),-$E918*N(M918)))</f>
        <v/>
      </c>
      <c r="AB918" s="34">
        <f>IF(OR($A918="",$H918&lt;&gt;"Ausgabe",N918=""),0,IF(N918="x",-$E918/(COUNTIF($J918:$Q918,"x")+1),-$E918*N(N918)))</f>
        <v/>
      </c>
      <c r="AC918" s="34">
        <f>IF(OR($A918="",$H918&lt;&gt;"Ausgabe",O918=""),0,IF(O918="x",-$E918/(COUNTIF($J918:$Q918,"x")+1),-$E918*N(O918)))</f>
        <v/>
      </c>
      <c r="AD918" s="34">
        <f>IF(OR($A918="",$H918&lt;&gt;"Ausgabe",P918=""),0,IF(P918="x",-$E918/(COUNTIF($J918:$Q918,"x")+1),-$E918*N(P918)))</f>
        <v/>
      </c>
      <c r="AE918" s="34">
        <f>IF(OR($A918="",$H918&lt;&gt;"Ausgabe",Q918=""),0,IF(Q918="x",-$E918/(COUNTIF($J918:$Q918,"x")+1),-$E918*N(Q918)))</f>
        <v/>
      </c>
    </row>
    <row r="919">
      <c r="A919" s="30" t="n"/>
      <c r="E919" s="31" t="n"/>
      <c r="J919" s="32" t="n"/>
      <c r="K919" s="32" t="n"/>
      <c r="L919" s="32" t="n"/>
      <c r="M919" s="32" t="n"/>
      <c r="N919" s="32" t="n"/>
      <c r="O919" s="32" t="n"/>
      <c r="P919" s="32" t="n"/>
      <c r="Q919" s="32" t="n"/>
      <c r="U919" s="31">
        <f>IF($A919="","",SUM(X919:AE919))</f>
        <v/>
      </c>
      <c r="V919" s="31">
        <f>IF($A919="","",IF($H919&lt;&gt;"Ausgabe",0,-$E919-$U919))</f>
        <v/>
      </c>
      <c r="W919" s="33">
        <f>IF($A919="","",DATE(YEAR($A919),MONTH($A919),1))</f>
        <v/>
      </c>
      <c r="X919" s="34">
        <f>IF(OR($A919="",$H919&lt;&gt;"Ausgabe",J919=""),0,IF(J919="x",-$E919/(COUNTIF($J919:$Q919,"x")+1),-$E919*N(J919)))</f>
        <v/>
      </c>
      <c r="Y919" s="34">
        <f>IF(OR($A919="",$H919&lt;&gt;"Ausgabe",K919=""),0,IF(K919="x",-$E919/(COUNTIF($J919:$Q919,"x")+1),-$E919*N(K919)))</f>
        <v/>
      </c>
      <c r="Z919" s="34">
        <f>IF(OR($A919="",$H919&lt;&gt;"Ausgabe",L919=""),0,IF(L919="x",-$E919/(COUNTIF($J919:$Q919,"x")+1),-$E919*N(L919)))</f>
        <v/>
      </c>
      <c r="AA919" s="34">
        <f>IF(OR($A919="",$H919&lt;&gt;"Ausgabe",M919=""),0,IF(M919="x",-$E919/(COUNTIF($J919:$Q919,"x")+1),-$E919*N(M919)))</f>
        <v/>
      </c>
      <c r="AB919" s="34">
        <f>IF(OR($A919="",$H919&lt;&gt;"Ausgabe",N919=""),0,IF(N919="x",-$E919/(COUNTIF($J919:$Q919,"x")+1),-$E919*N(N919)))</f>
        <v/>
      </c>
      <c r="AC919" s="34">
        <f>IF(OR($A919="",$H919&lt;&gt;"Ausgabe",O919=""),0,IF(O919="x",-$E919/(COUNTIF($J919:$Q919,"x")+1),-$E919*N(O919)))</f>
        <v/>
      </c>
      <c r="AD919" s="34">
        <f>IF(OR($A919="",$H919&lt;&gt;"Ausgabe",P919=""),0,IF(P919="x",-$E919/(COUNTIF($J919:$Q919,"x")+1),-$E919*N(P919)))</f>
        <v/>
      </c>
      <c r="AE919" s="34">
        <f>IF(OR($A919="",$H919&lt;&gt;"Ausgabe",Q919=""),0,IF(Q919="x",-$E919/(COUNTIF($J919:$Q919,"x")+1),-$E919*N(Q919)))</f>
        <v/>
      </c>
    </row>
    <row r="920">
      <c r="A920" s="30" t="n"/>
      <c r="E920" s="31" t="n"/>
      <c r="J920" s="32" t="n"/>
      <c r="K920" s="32" t="n"/>
      <c r="L920" s="32" t="n"/>
      <c r="M920" s="32" t="n"/>
      <c r="N920" s="32" t="n"/>
      <c r="O920" s="32" t="n"/>
      <c r="P920" s="32" t="n"/>
      <c r="Q920" s="32" t="n"/>
      <c r="U920" s="31">
        <f>IF($A920="","",SUM(X920:AE920))</f>
        <v/>
      </c>
      <c r="V920" s="31">
        <f>IF($A920="","",IF($H920&lt;&gt;"Ausgabe",0,-$E920-$U920))</f>
        <v/>
      </c>
      <c r="W920" s="33">
        <f>IF($A920="","",DATE(YEAR($A920),MONTH($A920),1))</f>
        <v/>
      </c>
      <c r="X920" s="34">
        <f>IF(OR($A920="",$H920&lt;&gt;"Ausgabe",J920=""),0,IF(J920="x",-$E920/(COUNTIF($J920:$Q920,"x")+1),-$E920*N(J920)))</f>
        <v/>
      </c>
      <c r="Y920" s="34">
        <f>IF(OR($A920="",$H920&lt;&gt;"Ausgabe",K920=""),0,IF(K920="x",-$E920/(COUNTIF($J920:$Q920,"x")+1),-$E920*N(K920)))</f>
        <v/>
      </c>
      <c r="Z920" s="34">
        <f>IF(OR($A920="",$H920&lt;&gt;"Ausgabe",L920=""),0,IF(L920="x",-$E920/(COUNTIF($J920:$Q920,"x")+1),-$E920*N(L920)))</f>
        <v/>
      </c>
      <c r="AA920" s="34">
        <f>IF(OR($A920="",$H920&lt;&gt;"Ausgabe",M920=""),0,IF(M920="x",-$E920/(COUNTIF($J920:$Q920,"x")+1),-$E920*N(M920)))</f>
        <v/>
      </c>
      <c r="AB920" s="34">
        <f>IF(OR($A920="",$H920&lt;&gt;"Ausgabe",N920=""),0,IF(N920="x",-$E920/(COUNTIF($J920:$Q920,"x")+1),-$E920*N(N920)))</f>
        <v/>
      </c>
      <c r="AC920" s="34">
        <f>IF(OR($A920="",$H920&lt;&gt;"Ausgabe",O920=""),0,IF(O920="x",-$E920/(COUNTIF($J920:$Q920,"x")+1),-$E920*N(O920)))</f>
        <v/>
      </c>
      <c r="AD920" s="34">
        <f>IF(OR($A920="",$H920&lt;&gt;"Ausgabe",P920=""),0,IF(P920="x",-$E920/(COUNTIF($J920:$Q920,"x")+1),-$E920*N(P920)))</f>
        <v/>
      </c>
      <c r="AE920" s="34">
        <f>IF(OR($A920="",$H920&lt;&gt;"Ausgabe",Q920=""),0,IF(Q920="x",-$E920/(COUNTIF($J920:$Q920,"x")+1),-$E920*N(Q920)))</f>
        <v/>
      </c>
    </row>
    <row r="921">
      <c r="A921" s="30" t="n"/>
      <c r="E921" s="31" t="n"/>
      <c r="J921" s="32" t="n"/>
      <c r="K921" s="32" t="n"/>
      <c r="L921" s="32" t="n"/>
      <c r="M921" s="32" t="n"/>
      <c r="N921" s="32" t="n"/>
      <c r="O921" s="32" t="n"/>
      <c r="P921" s="32" t="n"/>
      <c r="Q921" s="32" t="n"/>
      <c r="U921" s="31">
        <f>IF($A921="","",SUM(X921:AE921))</f>
        <v/>
      </c>
      <c r="V921" s="31">
        <f>IF($A921="","",IF($H921&lt;&gt;"Ausgabe",0,-$E921-$U921))</f>
        <v/>
      </c>
      <c r="W921" s="33">
        <f>IF($A921="","",DATE(YEAR($A921),MONTH($A921),1))</f>
        <v/>
      </c>
      <c r="X921" s="34">
        <f>IF(OR($A921="",$H921&lt;&gt;"Ausgabe",J921=""),0,IF(J921="x",-$E921/(COUNTIF($J921:$Q921,"x")+1),-$E921*N(J921)))</f>
        <v/>
      </c>
      <c r="Y921" s="34">
        <f>IF(OR($A921="",$H921&lt;&gt;"Ausgabe",K921=""),0,IF(K921="x",-$E921/(COUNTIF($J921:$Q921,"x")+1),-$E921*N(K921)))</f>
        <v/>
      </c>
      <c r="Z921" s="34">
        <f>IF(OR($A921="",$H921&lt;&gt;"Ausgabe",L921=""),0,IF(L921="x",-$E921/(COUNTIF($J921:$Q921,"x")+1),-$E921*N(L921)))</f>
        <v/>
      </c>
      <c r="AA921" s="34">
        <f>IF(OR($A921="",$H921&lt;&gt;"Ausgabe",M921=""),0,IF(M921="x",-$E921/(COUNTIF($J921:$Q921,"x")+1),-$E921*N(M921)))</f>
        <v/>
      </c>
      <c r="AB921" s="34">
        <f>IF(OR($A921="",$H921&lt;&gt;"Ausgabe",N921=""),0,IF(N921="x",-$E921/(COUNTIF($J921:$Q921,"x")+1),-$E921*N(N921)))</f>
        <v/>
      </c>
      <c r="AC921" s="34">
        <f>IF(OR($A921="",$H921&lt;&gt;"Ausgabe",O921=""),0,IF(O921="x",-$E921/(COUNTIF($J921:$Q921,"x")+1),-$E921*N(O921)))</f>
        <v/>
      </c>
      <c r="AD921" s="34">
        <f>IF(OR($A921="",$H921&lt;&gt;"Ausgabe",P921=""),0,IF(P921="x",-$E921/(COUNTIF($J921:$Q921,"x")+1),-$E921*N(P921)))</f>
        <v/>
      </c>
      <c r="AE921" s="34">
        <f>IF(OR($A921="",$H921&lt;&gt;"Ausgabe",Q921=""),0,IF(Q921="x",-$E921/(COUNTIF($J921:$Q921,"x")+1),-$E921*N(Q921)))</f>
        <v/>
      </c>
    </row>
    <row r="922">
      <c r="A922" s="30" t="n"/>
      <c r="E922" s="31" t="n"/>
      <c r="J922" s="32" t="n"/>
      <c r="K922" s="32" t="n"/>
      <c r="L922" s="32" t="n"/>
      <c r="M922" s="32" t="n"/>
      <c r="N922" s="32" t="n"/>
      <c r="O922" s="32" t="n"/>
      <c r="P922" s="32" t="n"/>
      <c r="Q922" s="32" t="n"/>
      <c r="U922" s="31">
        <f>IF($A922="","",SUM(X922:AE922))</f>
        <v/>
      </c>
      <c r="V922" s="31">
        <f>IF($A922="","",IF($H922&lt;&gt;"Ausgabe",0,-$E922-$U922))</f>
        <v/>
      </c>
      <c r="W922" s="33">
        <f>IF($A922="","",DATE(YEAR($A922),MONTH($A922),1))</f>
        <v/>
      </c>
      <c r="X922" s="34">
        <f>IF(OR($A922="",$H922&lt;&gt;"Ausgabe",J922=""),0,IF(J922="x",-$E922/(COUNTIF($J922:$Q922,"x")+1),-$E922*N(J922)))</f>
        <v/>
      </c>
      <c r="Y922" s="34">
        <f>IF(OR($A922="",$H922&lt;&gt;"Ausgabe",K922=""),0,IF(K922="x",-$E922/(COUNTIF($J922:$Q922,"x")+1),-$E922*N(K922)))</f>
        <v/>
      </c>
      <c r="Z922" s="34">
        <f>IF(OR($A922="",$H922&lt;&gt;"Ausgabe",L922=""),0,IF(L922="x",-$E922/(COUNTIF($J922:$Q922,"x")+1),-$E922*N(L922)))</f>
        <v/>
      </c>
      <c r="AA922" s="34">
        <f>IF(OR($A922="",$H922&lt;&gt;"Ausgabe",M922=""),0,IF(M922="x",-$E922/(COUNTIF($J922:$Q922,"x")+1),-$E922*N(M922)))</f>
        <v/>
      </c>
      <c r="AB922" s="34">
        <f>IF(OR($A922="",$H922&lt;&gt;"Ausgabe",N922=""),0,IF(N922="x",-$E922/(COUNTIF($J922:$Q922,"x")+1),-$E922*N(N922)))</f>
        <v/>
      </c>
      <c r="AC922" s="34">
        <f>IF(OR($A922="",$H922&lt;&gt;"Ausgabe",O922=""),0,IF(O922="x",-$E922/(COUNTIF($J922:$Q922,"x")+1),-$E922*N(O922)))</f>
        <v/>
      </c>
      <c r="AD922" s="34">
        <f>IF(OR($A922="",$H922&lt;&gt;"Ausgabe",P922=""),0,IF(P922="x",-$E922/(COUNTIF($J922:$Q922,"x")+1),-$E922*N(P922)))</f>
        <v/>
      </c>
      <c r="AE922" s="34">
        <f>IF(OR($A922="",$H922&lt;&gt;"Ausgabe",Q922=""),0,IF(Q922="x",-$E922/(COUNTIF($J922:$Q922,"x")+1),-$E922*N(Q922)))</f>
        <v/>
      </c>
    </row>
    <row r="923">
      <c r="A923" s="30" t="n"/>
      <c r="E923" s="31" t="n"/>
      <c r="J923" s="32" t="n"/>
      <c r="K923" s="32" t="n"/>
      <c r="L923" s="32" t="n"/>
      <c r="M923" s="32" t="n"/>
      <c r="N923" s="32" t="n"/>
      <c r="O923" s="32" t="n"/>
      <c r="P923" s="32" t="n"/>
      <c r="Q923" s="32" t="n"/>
      <c r="U923" s="31">
        <f>IF($A923="","",SUM(X923:AE923))</f>
        <v/>
      </c>
      <c r="V923" s="31">
        <f>IF($A923="","",IF($H923&lt;&gt;"Ausgabe",0,-$E923-$U923))</f>
        <v/>
      </c>
      <c r="W923" s="33">
        <f>IF($A923="","",DATE(YEAR($A923),MONTH($A923),1))</f>
        <v/>
      </c>
      <c r="X923" s="34">
        <f>IF(OR($A923="",$H923&lt;&gt;"Ausgabe",J923=""),0,IF(J923="x",-$E923/(COUNTIF($J923:$Q923,"x")+1),-$E923*N(J923)))</f>
        <v/>
      </c>
      <c r="Y923" s="34">
        <f>IF(OR($A923="",$H923&lt;&gt;"Ausgabe",K923=""),0,IF(K923="x",-$E923/(COUNTIF($J923:$Q923,"x")+1),-$E923*N(K923)))</f>
        <v/>
      </c>
      <c r="Z923" s="34">
        <f>IF(OR($A923="",$H923&lt;&gt;"Ausgabe",L923=""),0,IF(L923="x",-$E923/(COUNTIF($J923:$Q923,"x")+1),-$E923*N(L923)))</f>
        <v/>
      </c>
      <c r="AA923" s="34">
        <f>IF(OR($A923="",$H923&lt;&gt;"Ausgabe",M923=""),0,IF(M923="x",-$E923/(COUNTIF($J923:$Q923,"x")+1),-$E923*N(M923)))</f>
        <v/>
      </c>
      <c r="AB923" s="34">
        <f>IF(OR($A923="",$H923&lt;&gt;"Ausgabe",N923=""),0,IF(N923="x",-$E923/(COUNTIF($J923:$Q923,"x")+1),-$E923*N(N923)))</f>
        <v/>
      </c>
      <c r="AC923" s="34">
        <f>IF(OR($A923="",$H923&lt;&gt;"Ausgabe",O923=""),0,IF(O923="x",-$E923/(COUNTIF($J923:$Q923,"x")+1),-$E923*N(O923)))</f>
        <v/>
      </c>
      <c r="AD923" s="34">
        <f>IF(OR($A923="",$H923&lt;&gt;"Ausgabe",P923=""),0,IF(P923="x",-$E923/(COUNTIF($J923:$Q923,"x")+1),-$E923*N(P923)))</f>
        <v/>
      </c>
      <c r="AE923" s="34">
        <f>IF(OR($A923="",$H923&lt;&gt;"Ausgabe",Q923=""),0,IF(Q923="x",-$E923/(COUNTIF($J923:$Q923,"x")+1),-$E923*N(Q923)))</f>
        <v/>
      </c>
    </row>
    <row r="924">
      <c r="A924" s="30" t="n"/>
      <c r="E924" s="31" t="n"/>
      <c r="J924" s="32" t="n"/>
      <c r="K924" s="32" t="n"/>
      <c r="L924" s="32" t="n"/>
      <c r="M924" s="32" t="n"/>
      <c r="N924" s="32" t="n"/>
      <c r="O924" s="32" t="n"/>
      <c r="P924" s="32" t="n"/>
      <c r="Q924" s="32" t="n"/>
      <c r="U924" s="31">
        <f>IF($A924="","",SUM(X924:AE924))</f>
        <v/>
      </c>
      <c r="V924" s="31">
        <f>IF($A924="","",IF($H924&lt;&gt;"Ausgabe",0,-$E924-$U924))</f>
        <v/>
      </c>
      <c r="W924" s="33">
        <f>IF($A924="","",DATE(YEAR($A924),MONTH($A924),1))</f>
        <v/>
      </c>
      <c r="X924" s="34">
        <f>IF(OR($A924="",$H924&lt;&gt;"Ausgabe",J924=""),0,IF(J924="x",-$E924/(COUNTIF($J924:$Q924,"x")+1),-$E924*N(J924)))</f>
        <v/>
      </c>
      <c r="Y924" s="34">
        <f>IF(OR($A924="",$H924&lt;&gt;"Ausgabe",K924=""),0,IF(K924="x",-$E924/(COUNTIF($J924:$Q924,"x")+1),-$E924*N(K924)))</f>
        <v/>
      </c>
      <c r="Z924" s="34">
        <f>IF(OR($A924="",$H924&lt;&gt;"Ausgabe",L924=""),0,IF(L924="x",-$E924/(COUNTIF($J924:$Q924,"x")+1),-$E924*N(L924)))</f>
        <v/>
      </c>
      <c r="AA924" s="34">
        <f>IF(OR($A924="",$H924&lt;&gt;"Ausgabe",M924=""),0,IF(M924="x",-$E924/(COUNTIF($J924:$Q924,"x")+1),-$E924*N(M924)))</f>
        <v/>
      </c>
      <c r="AB924" s="34">
        <f>IF(OR($A924="",$H924&lt;&gt;"Ausgabe",N924=""),0,IF(N924="x",-$E924/(COUNTIF($J924:$Q924,"x")+1),-$E924*N(N924)))</f>
        <v/>
      </c>
      <c r="AC924" s="34">
        <f>IF(OR($A924="",$H924&lt;&gt;"Ausgabe",O924=""),0,IF(O924="x",-$E924/(COUNTIF($J924:$Q924,"x")+1),-$E924*N(O924)))</f>
        <v/>
      </c>
      <c r="AD924" s="34">
        <f>IF(OR($A924="",$H924&lt;&gt;"Ausgabe",P924=""),0,IF(P924="x",-$E924/(COUNTIF($J924:$Q924,"x")+1),-$E924*N(P924)))</f>
        <v/>
      </c>
      <c r="AE924" s="34">
        <f>IF(OR($A924="",$H924&lt;&gt;"Ausgabe",Q924=""),0,IF(Q924="x",-$E924/(COUNTIF($J924:$Q924,"x")+1),-$E924*N(Q924)))</f>
        <v/>
      </c>
    </row>
    <row r="925">
      <c r="A925" s="30" t="n"/>
      <c r="E925" s="31" t="n"/>
      <c r="J925" s="32" t="n"/>
      <c r="K925" s="32" t="n"/>
      <c r="L925" s="32" t="n"/>
      <c r="M925" s="32" t="n"/>
      <c r="N925" s="32" t="n"/>
      <c r="O925" s="32" t="n"/>
      <c r="P925" s="32" t="n"/>
      <c r="Q925" s="32" t="n"/>
      <c r="U925" s="31">
        <f>IF($A925="","",SUM(X925:AE925))</f>
        <v/>
      </c>
      <c r="V925" s="31">
        <f>IF($A925="","",IF($H925&lt;&gt;"Ausgabe",0,-$E925-$U925))</f>
        <v/>
      </c>
      <c r="W925" s="33">
        <f>IF($A925="","",DATE(YEAR($A925),MONTH($A925),1))</f>
        <v/>
      </c>
      <c r="X925" s="34">
        <f>IF(OR($A925="",$H925&lt;&gt;"Ausgabe",J925=""),0,IF(J925="x",-$E925/(COUNTIF($J925:$Q925,"x")+1),-$E925*N(J925)))</f>
        <v/>
      </c>
      <c r="Y925" s="34">
        <f>IF(OR($A925="",$H925&lt;&gt;"Ausgabe",K925=""),0,IF(K925="x",-$E925/(COUNTIF($J925:$Q925,"x")+1),-$E925*N(K925)))</f>
        <v/>
      </c>
      <c r="Z925" s="34">
        <f>IF(OR($A925="",$H925&lt;&gt;"Ausgabe",L925=""),0,IF(L925="x",-$E925/(COUNTIF($J925:$Q925,"x")+1),-$E925*N(L925)))</f>
        <v/>
      </c>
      <c r="AA925" s="34">
        <f>IF(OR($A925="",$H925&lt;&gt;"Ausgabe",M925=""),0,IF(M925="x",-$E925/(COUNTIF($J925:$Q925,"x")+1),-$E925*N(M925)))</f>
        <v/>
      </c>
      <c r="AB925" s="34">
        <f>IF(OR($A925="",$H925&lt;&gt;"Ausgabe",N925=""),0,IF(N925="x",-$E925/(COUNTIF($J925:$Q925,"x")+1),-$E925*N(N925)))</f>
        <v/>
      </c>
      <c r="AC925" s="34">
        <f>IF(OR($A925="",$H925&lt;&gt;"Ausgabe",O925=""),0,IF(O925="x",-$E925/(COUNTIF($J925:$Q925,"x")+1),-$E925*N(O925)))</f>
        <v/>
      </c>
      <c r="AD925" s="34">
        <f>IF(OR($A925="",$H925&lt;&gt;"Ausgabe",P925=""),0,IF(P925="x",-$E925/(COUNTIF($J925:$Q925,"x")+1),-$E925*N(P925)))</f>
        <v/>
      </c>
      <c r="AE925" s="34">
        <f>IF(OR($A925="",$H925&lt;&gt;"Ausgabe",Q925=""),0,IF(Q925="x",-$E925/(COUNTIF($J925:$Q925,"x")+1),-$E925*N(Q925)))</f>
        <v/>
      </c>
    </row>
    <row r="926">
      <c r="A926" s="30" t="n"/>
      <c r="E926" s="31" t="n"/>
      <c r="J926" s="32" t="n"/>
      <c r="K926" s="32" t="n"/>
      <c r="L926" s="32" t="n"/>
      <c r="M926" s="32" t="n"/>
      <c r="N926" s="32" t="n"/>
      <c r="O926" s="32" t="n"/>
      <c r="P926" s="32" t="n"/>
      <c r="Q926" s="32" t="n"/>
      <c r="U926" s="31">
        <f>IF($A926="","",SUM(X926:AE926))</f>
        <v/>
      </c>
      <c r="V926" s="31">
        <f>IF($A926="","",IF($H926&lt;&gt;"Ausgabe",0,-$E926-$U926))</f>
        <v/>
      </c>
      <c r="W926" s="33">
        <f>IF($A926="","",DATE(YEAR($A926),MONTH($A926),1))</f>
        <v/>
      </c>
      <c r="X926" s="34">
        <f>IF(OR($A926="",$H926&lt;&gt;"Ausgabe",J926=""),0,IF(J926="x",-$E926/(COUNTIF($J926:$Q926,"x")+1),-$E926*N(J926)))</f>
        <v/>
      </c>
      <c r="Y926" s="34">
        <f>IF(OR($A926="",$H926&lt;&gt;"Ausgabe",K926=""),0,IF(K926="x",-$E926/(COUNTIF($J926:$Q926,"x")+1),-$E926*N(K926)))</f>
        <v/>
      </c>
      <c r="Z926" s="34">
        <f>IF(OR($A926="",$H926&lt;&gt;"Ausgabe",L926=""),0,IF(L926="x",-$E926/(COUNTIF($J926:$Q926,"x")+1),-$E926*N(L926)))</f>
        <v/>
      </c>
      <c r="AA926" s="34">
        <f>IF(OR($A926="",$H926&lt;&gt;"Ausgabe",M926=""),0,IF(M926="x",-$E926/(COUNTIF($J926:$Q926,"x")+1),-$E926*N(M926)))</f>
        <v/>
      </c>
      <c r="AB926" s="34">
        <f>IF(OR($A926="",$H926&lt;&gt;"Ausgabe",N926=""),0,IF(N926="x",-$E926/(COUNTIF($J926:$Q926,"x")+1),-$E926*N(N926)))</f>
        <v/>
      </c>
      <c r="AC926" s="34">
        <f>IF(OR($A926="",$H926&lt;&gt;"Ausgabe",O926=""),0,IF(O926="x",-$E926/(COUNTIF($J926:$Q926,"x")+1),-$E926*N(O926)))</f>
        <v/>
      </c>
      <c r="AD926" s="34">
        <f>IF(OR($A926="",$H926&lt;&gt;"Ausgabe",P926=""),0,IF(P926="x",-$E926/(COUNTIF($J926:$Q926,"x")+1),-$E926*N(P926)))</f>
        <v/>
      </c>
      <c r="AE926" s="34">
        <f>IF(OR($A926="",$H926&lt;&gt;"Ausgabe",Q926=""),0,IF(Q926="x",-$E926/(COUNTIF($J926:$Q926,"x")+1),-$E926*N(Q926)))</f>
        <v/>
      </c>
    </row>
    <row r="927">
      <c r="A927" s="30" t="n"/>
      <c r="E927" s="31" t="n"/>
      <c r="J927" s="32" t="n"/>
      <c r="K927" s="32" t="n"/>
      <c r="L927" s="32" t="n"/>
      <c r="M927" s="32" t="n"/>
      <c r="N927" s="32" t="n"/>
      <c r="O927" s="32" t="n"/>
      <c r="P927" s="32" t="n"/>
      <c r="Q927" s="32" t="n"/>
      <c r="U927" s="31">
        <f>IF($A927="","",SUM(X927:AE927))</f>
        <v/>
      </c>
      <c r="V927" s="31">
        <f>IF($A927="","",IF($H927&lt;&gt;"Ausgabe",0,-$E927-$U927))</f>
        <v/>
      </c>
      <c r="W927" s="33">
        <f>IF($A927="","",DATE(YEAR($A927),MONTH($A927),1))</f>
        <v/>
      </c>
      <c r="X927" s="34">
        <f>IF(OR($A927="",$H927&lt;&gt;"Ausgabe",J927=""),0,IF(J927="x",-$E927/(COUNTIF($J927:$Q927,"x")+1),-$E927*N(J927)))</f>
        <v/>
      </c>
      <c r="Y927" s="34">
        <f>IF(OR($A927="",$H927&lt;&gt;"Ausgabe",K927=""),0,IF(K927="x",-$E927/(COUNTIF($J927:$Q927,"x")+1),-$E927*N(K927)))</f>
        <v/>
      </c>
      <c r="Z927" s="34">
        <f>IF(OR($A927="",$H927&lt;&gt;"Ausgabe",L927=""),0,IF(L927="x",-$E927/(COUNTIF($J927:$Q927,"x")+1),-$E927*N(L927)))</f>
        <v/>
      </c>
      <c r="AA927" s="34">
        <f>IF(OR($A927="",$H927&lt;&gt;"Ausgabe",M927=""),0,IF(M927="x",-$E927/(COUNTIF($J927:$Q927,"x")+1),-$E927*N(M927)))</f>
        <v/>
      </c>
      <c r="AB927" s="34">
        <f>IF(OR($A927="",$H927&lt;&gt;"Ausgabe",N927=""),0,IF(N927="x",-$E927/(COUNTIF($J927:$Q927,"x")+1),-$E927*N(N927)))</f>
        <v/>
      </c>
      <c r="AC927" s="34">
        <f>IF(OR($A927="",$H927&lt;&gt;"Ausgabe",O927=""),0,IF(O927="x",-$E927/(COUNTIF($J927:$Q927,"x")+1),-$E927*N(O927)))</f>
        <v/>
      </c>
      <c r="AD927" s="34">
        <f>IF(OR($A927="",$H927&lt;&gt;"Ausgabe",P927=""),0,IF(P927="x",-$E927/(COUNTIF($J927:$Q927,"x")+1),-$E927*N(P927)))</f>
        <v/>
      </c>
      <c r="AE927" s="34">
        <f>IF(OR($A927="",$H927&lt;&gt;"Ausgabe",Q927=""),0,IF(Q927="x",-$E927/(COUNTIF($J927:$Q927,"x")+1),-$E927*N(Q927)))</f>
        <v/>
      </c>
    </row>
    <row r="928">
      <c r="A928" s="30" t="n"/>
      <c r="E928" s="31" t="n"/>
      <c r="J928" s="32" t="n"/>
      <c r="K928" s="32" t="n"/>
      <c r="L928" s="32" t="n"/>
      <c r="M928" s="32" t="n"/>
      <c r="N928" s="32" t="n"/>
      <c r="O928" s="32" t="n"/>
      <c r="P928" s="32" t="n"/>
      <c r="Q928" s="32" t="n"/>
      <c r="U928" s="31">
        <f>IF($A928="","",SUM(X928:AE928))</f>
        <v/>
      </c>
      <c r="V928" s="31">
        <f>IF($A928="","",IF($H928&lt;&gt;"Ausgabe",0,-$E928-$U928))</f>
        <v/>
      </c>
      <c r="W928" s="33">
        <f>IF($A928="","",DATE(YEAR($A928),MONTH($A928),1))</f>
        <v/>
      </c>
      <c r="X928" s="34">
        <f>IF(OR($A928="",$H928&lt;&gt;"Ausgabe",J928=""),0,IF(J928="x",-$E928/(COUNTIF($J928:$Q928,"x")+1),-$E928*N(J928)))</f>
        <v/>
      </c>
      <c r="Y928" s="34">
        <f>IF(OR($A928="",$H928&lt;&gt;"Ausgabe",K928=""),0,IF(K928="x",-$E928/(COUNTIF($J928:$Q928,"x")+1),-$E928*N(K928)))</f>
        <v/>
      </c>
      <c r="Z928" s="34">
        <f>IF(OR($A928="",$H928&lt;&gt;"Ausgabe",L928=""),0,IF(L928="x",-$E928/(COUNTIF($J928:$Q928,"x")+1),-$E928*N(L928)))</f>
        <v/>
      </c>
      <c r="AA928" s="34">
        <f>IF(OR($A928="",$H928&lt;&gt;"Ausgabe",M928=""),0,IF(M928="x",-$E928/(COUNTIF($J928:$Q928,"x")+1),-$E928*N(M928)))</f>
        <v/>
      </c>
      <c r="AB928" s="34">
        <f>IF(OR($A928="",$H928&lt;&gt;"Ausgabe",N928=""),0,IF(N928="x",-$E928/(COUNTIF($J928:$Q928,"x")+1),-$E928*N(N928)))</f>
        <v/>
      </c>
      <c r="AC928" s="34">
        <f>IF(OR($A928="",$H928&lt;&gt;"Ausgabe",O928=""),0,IF(O928="x",-$E928/(COUNTIF($J928:$Q928,"x")+1),-$E928*N(O928)))</f>
        <v/>
      </c>
      <c r="AD928" s="34">
        <f>IF(OR($A928="",$H928&lt;&gt;"Ausgabe",P928=""),0,IF(P928="x",-$E928/(COUNTIF($J928:$Q928,"x")+1),-$E928*N(P928)))</f>
        <v/>
      </c>
      <c r="AE928" s="34">
        <f>IF(OR($A928="",$H928&lt;&gt;"Ausgabe",Q928=""),0,IF(Q928="x",-$E928/(COUNTIF($J928:$Q928,"x")+1),-$E928*N(Q928)))</f>
        <v/>
      </c>
    </row>
    <row r="929">
      <c r="A929" s="30" t="n"/>
      <c r="E929" s="31" t="n"/>
      <c r="J929" s="32" t="n"/>
      <c r="K929" s="32" t="n"/>
      <c r="L929" s="32" t="n"/>
      <c r="M929" s="32" t="n"/>
      <c r="N929" s="32" t="n"/>
      <c r="O929" s="32" t="n"/>
      <c r="P929" s="32" t="n"/>
      <c r="Q929" s="32" t="n"/>
      <c r="U929" s="31">
        <f>IF($A929="","",SUM(X929:AE929))</f>
        <v/>
      </c>
      <c r="V929" s="31">
        <f>IF($A929="","",IF($H929&lt;&gt;"Ausgabe",0,-$E929-$U929))</f>
        <v/>
      </c>
      <c r="W929" s="33">
        <f>IF($A929="","",DATE(YEAR($A929),MONTH($A929),1))</f>
        <v/>
      </c>
      <c r="X929" s="34">
        <f>IF(OR($A929="",$H929&lt;&gt;"Ausgabe",J929=""),0,IF(J929="x",-$E929/(COUNTIF($J929:$Q929,"x")+1),-$E929*N(J929)))</f>
        <v/>
      </c>
      <c r="Y929" s="34">
        <f>IF(OR($A929="",$H929&lt;&gt;"Ausgabe",K929=""),0,IF(K929="x",-$E929/(COUNTIF($J929:$Q929,"x")+1),-$E929*N(K929)))</f>
        <v/>
      </c>
      <c r="Z929" s="34">
        <f>IF(OR($A929="",$H929&lt;&gt;"Ausgabe",L929=""),0,IF(L929="x",-$E929/(COUNTIF($J929:$Q929,"x")+1),-$E929*N(L929)))</f>
        <v/>
      </c>
      <c r="AA929" s="34">
        <f>IF(OR($A929="",$H929&lt;&gt;"Ausgabe",M929=""),0,IF(M929="x",-$E929/(COUNTIF($J929:$Q929,"x")+1),-$E929*N(M929)))</f>
        <v/>
      </c>
      <c r="AB929" s="34">
        <f>IF(OR($A929="",$H929&lt;&gt;"Ausgabe",N929=""),0,IF(N929="x",-$E929/(COUNTIF($J929:$Q929,"x")+1),-$E929*N(N929)))</f>
        <v/>
      </c>
      <c r="AC929" s="34">
        <f>IF(OR($A929="",$H929&lt;&gt;"Ausgabe",O929=""),0,IF(O929="x",-$E929/(COUNTIF($J929:$Q929,"x")+1),-$E929*N(O929)))</f>
        <v/>
      </c>
      <c r="AD929" s="34">
        <f>IF(OR($A929="",$H929&lt;&gt;"Ausgabe",P929=""),0,IF(P929="x",-$E929/(COUNTIF($J929:$Q929,"x")+1),-$E929*N(P929)))</f>
        <v/>
      </c>
      <c r="AE929" s="34">
        <f>IF(OR($A929="",$H929&lt;&gt;"Ausgabe",Q929=""),0,IF(Q929="x",-$E929/(COUNTIF($J929:$Q929,"x")+1),-$E929*N(Q929)))</f>
        <v/>
      </c>
    </row>
    <row r="930">
      <c r="A930" s="30" t="n"/>
      <c r="E930" s="31" t="n"/>
      <c r="J930" s="32" t="n"/>
      <c r="K930" s="32" t="n"/>
      <c r="L930" s="32" t="n"/>
      <c r="M930" s="32" t="n"/>
      <c r="N930" s="32" t="n"/>
      <c r="O930" s="32" t="n"/>
      <c r="P930" s="32" t="n"/>
      <c r="Q930" s="32" t="n"/>
      <c r="U930" s="31">
        <f>IF($A930="","",SUM(X930:AE930))</f>
        <v/>
      </c>
      <c r="V930" s="31">
        <f>IF($A930="","",IF($H930&lt;&gt;"Ausgabe",0,-$E930-$U930))</f>
        <v/>
      </c>
      <c r="W930" s="33">
        <f>IF($A930="","",DATE(YEAR($A930),MONTH($A930),1))</f>
        <v/>
      </c>
      <c r="X930" s="34">
        <f>IF(OR($A930="",$H930&lt;&gt;"Ausgabe",J930=""),0,IF(J930="x",-$E930/(COUNTIF($J930:$Q930,"x")+1),-$E930*N(J930)))</f>
        <v/>
      </c>
      <c r="Y930" s="34">
        <f>IF(OR($A930="",$H930&lt;&gt;"Ausgabe",K930=""),0,IF(K930="x",-$E930/(COUNTIF($J930:$Q930,"x")+1),-$E930*N(K930)))</f>
        <v/>
      </c>
      <c r="Z930" s="34">
        <f>IF(OR($A930="",$H930&lt;&gt;"Ausgabe",L930=""),0,IF(L930="x",-$E930/(COUNTIF($J930:$Q930,"x")+1),-$E930*N(L930)))</f>
        <v/>
      </c>
      <c r="AA930" s="34">
        <f>IF(OR($A930="",$H930&lt;&gt;"Ausgabe",M930=""),0,IF(M930="x",-$E930/(COUNTIF($J930:$Q930,"x")+1),-$E930*N(M930)))</f>
        <v/>
      </c>
      <c r="AB930" s="34">
        <f>IF(OR($A930="",$H930&lt;&gt;"Ausgabe",N930=""),0,IF(N930="x",-$E930/(COUNTIF($J930:$Q930,"x")+1),-$E930*N(N930)))</f>
        <v/>
      </c>
      <c r="AC930" s="34">
        <f>IF(OR($A930="",$H930&lt;&gt;"Ausgabe",O930=""),0,IF(O930="x",-$E930/(COUNTIF($J930:$Q930,"x")+1),-$E930*N(O930)))</f>
        <v/>
      </c>
      <c r="AD930" s="34">
        <f>IF(OR($A930="",$H930&lt;&gt;"Ausgabe",P930=""),0,IF(P930="x",-$E930/(COUNTIF($J930:$Q930,"x")+1),-$E930*N(P930)))</f>
        <v/>
      </c>
      <c r="AE930" s="34">
        <f>IF(OR($A930="",$H930&lt;&gt;"Ausgabe",Q930=""),0,IF(Q930="x",-$E930/(COUNTIF($J930:$Q930,"x")+1),-$E930*N(Q930)))</f>
        <v/>
      </c>
    </row>
    <row r="931">
      <c r="A931" s="30" t="n"/>
      <c r="E931" s="31" t="n"/>
      <c r="J931" s="32" t="n"/>
      <c r="K931" s="32" t="n"/>
      <c r="L931" s="32" t="n"/>
      <c r="M931" s="32" t="n"/>
      <c r="N931" s="32" t="n"/>
      <c r="O931" s="32" t="n"/>
      <c r="P931" s="32" t="n"/>
      <c r="Q931" s="32" t="n"/>
      <c r="U931" s="31">
        <f>IF($A931="","",SUM(X931:AE931))</f>
        <v/>
      </c>
      <c r="V931" s="31">
        <f>IF($A931="","",IF($H931&lt;&gt;"Ausgabe",0,-$E931-$U931))</f>
        <v/>
      </c>
      <c r="W931" s="33">
        <f>IF($A931="","",DATE(YEAR($A931),MONTH($A931),1))</f>
        <v/>
      </c>
      <c r="X931" s="34">
        <f>IF(OR($A931="",$H931&lt;&gt;"Ausgabe",J931=""),0,IF(J931="x",-$E931/(COUNTIF($J931:$Q931,"x")+1),-$E931*N(J931)))</f>
        <v/>
      </c>
      <c r="Y931" s="34">
        <f>IF(OR($A931="",$H931&lt;&gt;"Ausgabe",K931=""),0,IF(K931="x",-$E931/(COUNTIF($J931:$Q931,"x")+1),-$E931*N(K931)))</f>
        <v/>
      </c>
      <c r="Z931" s="34">
        <f>IF(OR($A931="",$H931&lt;&gt;"Ausgabe",L931=""),0,IF(L931="x",-$E931/(COUNTIF($J931:$Q931,"x")+1),-$E931*N(L931)))</f>
        <v/>
      </c>
      <c r="AA931" s="34">
        <f>IF(OR($A931="",$H931&lt;&gt;"Ausgabe",M931=""),0,IF(M931="x",-$E931/(COUNTIF($J931:$Q931,"x")+1),-$E931*N(M931)))</f>
        <v/>
      </c>
      <c r="AB931" s="34">
        <f>IF(OR($A931="",$H931&lt;&gt;"Ausgabe",N931=""),0,IF(N931="x",-$E931/(COUNTIF($J931:$Q931,"x")+1),-$E931*N(N931)))</f>
        <v/>
      </c>
      <c r="AC931" s="34">
        <f>IF(OR($A931="",$H931&lt;&gt;"Ausgabe",O931=""),0,IF(O931="x",-$E931/(COUNTIF($J931:$Q931,"x")+1),-$E931*N(O931)))</f>
        <v/>
      </c>
      <c r="AD931" s="34">
        <f>IF(OR($A931="",$H931&lt;&gt;"Ausgabe",P931=""),0,IF(P931="x",-$E931/(COUNTIF($J931:$Q931,"x")+1),-$E931*N(P931)))</f>
        <v/>
      </c>
      <c r="AE931" s="34">
        <f>IF(OR($A931="",$H931&lt;&gt;"Ausgabe",Q931=""),0,IF(Q931="x",-$E931/(COUNTIF($J931:$Q931,"x")+1),-$E931*N(Q931)))</f>
        <v/>
      </c>
    </row>
    <row r="932">
      <c r="A932" s="30" t="n"/>
      <c r="E932" s="31" t="n"/>
      <c r="J932" s="32" t="n"/>
      <c r="K932" s="32" t="n"/>
      <c r="L932" s="32" t="n"/>
      <c r="M932" s="32" t="n"/>
      <c r="N932" s="32" t="n"/>
      <c r="O932" s="32" t="n"/>
      <c r="P932" s="32" t="n"/>
      <c r="Q932" s="32" t="n"/>
      <c r="U932" s="31">
        <f>IF($A932="","",SUM(X932:AE932))</f>
        <v/>
      </c>
      <c r="V932" s="31">
        <f>IF($A932="","",IF($H932&lt;&gt;"Ausgabe",0,-$E932-$U932))</f>
        <v/>
      </c>
      <c r="W932" s="33">
        <f>IF($A932="","",DATE(YEAR($A932),MONTH($A932),1))</f>
        <v/>
      </c>
      <c r="X932" s="34">
        <f>IF(OR($A932="",$H932&lt;&gt;"Ausgabe",J932=""),0,IF(J932="x",-$E932/(COUNTIF($J932:$Q932,"x")+1),-$E932*N(J932)))</f>
        <v/>
      </c>
      <c r="Y932" s="34">
        <f>IF(OR($A932="",$H932&lt;&gt;"Ausgabe",K932=""),0,IF(K932="x",-$E932/(COUNTIF($J932:$Q932,"x")+1),-$E932*N(K932)))</f>
        <v/>
      </c>
      <c r="Z932" s="34">
        <f>IF(OR($A932="",$H932&lt;&gt;"Ausgabe",L932=""),0,IF(L932="x",-$E932/(COUNTIF($J932:$Q932,"x")+1),-$E932*N(L932)))</f>
        <v/>
      </c>
      <c r="AA932" s="34">
        <f>IF(OR($A932="",$H932&lt;&gt;"Ausgabe",M932=""),0,IF(M932="x",-$E932/(COUNTIF($J932:$Q932,"x")+1),-$E932*N(M932)))</f>
        <v/>
      </c>
      <c r="AB932" s="34">
        <f>IF(OR($A932="",$H932&lt;&gt;"Ausgabe",N932=""),0,IF(N932="x",-$E932/(COUNTIF($J932:$Q932,"x")+1),-$E932*N(N932)))</f>
        <v/>
      </c>
      <c r="AC932" s="34">
        <f>IF(OR($A932="",$H932&lt;&gt;"Ausgabe",O932=""),0,IF(O932="x",-$E932/(COUNTIF($J932:$Q932,"x")+1),-$E932*N(O932)))</f>
        <v/>
      </c>
      <c r="AD932" s="34">
        <f>IF(OR($A932="",$H932&lt;&gt;"Ausgabe",P932=""),0,IF(P932="x",-$E932/(COUNTIF($J932:$Q932,"x")+1),-$E932*N(P932)))</f>
        <v/>
      </c>
      <c r="AE932" s="34">
        <f>IF(OR($A932="",$H932&lt;&gt;"Ausgabe",Q932=""),0,IF(Q932="x",-$E932/(COUNTIF($J932:$Q932,"x")+1),-$E932*N(Q932)))</f>
        <v/>
      </c>
    </row>
    <row r="933">
      <c r="A933" s="30" t="n"/>
      <c r="E933" s="31" t="n"/>
      <c r="J933" s="32" t="n"/>
      <c r="K933" s="32" t="n"/>
      <c r="L933" s="32" t="n"/>
      <c r="M933" s="32" t="n"/>
      <c r="N933" s="32" t="n"/>
      <c r="O933" s="32" t="n"/>
      <c r="P933" s="32" t="n"/>
      <c r="Q933" s="32" t="n"/>
      <c r="U933" s="31">
        <f>IF($A933="","",SUM(X933:AE933))</f>
        <v/>
      </c>
      <c r="V933" s="31">
        <f>IF($A933="","",IF($H933&lt;&gt;"Ausgabe",0,-$E933-$U933))</f>
        <v/>
      </c>
      <c r="W933" s="33">
        <f>IF($A933="","",DATE(YEAR($A933),MONTH($A933),1))</f>
        <v/>
      </c>
      <c r="X933" s="34">
        <f>IF(OR($A933="",$H933&lt;&gt;"Ausgabe",J933=""),0,IF(J933="x",-$E933/(COUNTIF($J933:$Q933,"x")+1),-$E933*N(J933)))</f>
        <v/>
      </c>
      <c r="Y933" s="34">
        <f>IF(OR($A933="",$H933&lt;&gt;"Ausgabe",K933=""),0,IF(K933="x",-$E933/(COUNTIF($J933:$Q933,"x")+1),-$E933*N(K933)))</f>
        <v/>
      </c>
      <c r="Z933" s="34">
        <f>IF(OR($A933="",$H933&lt;&gt;"Ausgabe",L933=""),0,IF(L933="x",-$E933/(COUNTIF($J933:$Q933,"x")+1),-$E933*N(L933)))</f>
        <v/>
      </c>
      <c r="AA933" s="34">
        <f>IF(OR($A933="",$H933&lt;&gt;"Ausgabe",M933=""),0,IF(M933="x",-$E933/(COUNTIF($J933:$Q933,"x")+1),-$E933*N(M933)))</f>
        <v/>
      </c>
      <c r="AB933" s="34">
        <f>IF(OR($A933="",$H933&lt;&gt;"Ausgabe",N933=""),0,IF(N933="x",-$E933/(COUNTIF($J933:$Q933,"x")+1),-$E933*N(N933)))</f>
        <v/>
      </c>
      <c r="AC933" s="34">
        <f>IF(OR($A933="",$H933&lt;&gt;"Ausgabe",O933=""),0,IF(O933="x",-$E933/(COUNTIF($J933:$Q933,"x")+1),-$E933*N(O933)))</f>
        <v/>
      </c>
      <c r="AD933" s="34">
        <f>IF(OR($A933="",$H933&lt;&gt;"Ausgabe",P933=""),0,IF(P933="x",-$E933/(COUNTIF($J933:$Q933,"x")+1),-$E933*N(P933)))</f>
        <v/>
      </c>
      <c r="AE933" s="34">
        <f>IF(OR($A933="",$H933&lt;&gt;"Ausgabe",Q933=""),0,IF(Q933="x",-$E933/(COUNTIF($J933:$Q933,"x")+1),-$E933*N(Q933)))</f>
        <v/>
      </c>
    </row>
    <row r="934">
      <c r="A934" s="30" t="n"/>
      <c r="E934" s="31" t="n"/>
      <c r="J934" s="32" t="n"/>
      <c r="K934" s="32" t="n"/>
      <c r="L934" s="32" t="n"/>
      <c r="M934" s="32" t="n"/>
      <c r="N934" s="32" t="n"/>
      <c r="O934" s="32" t="n"/>
      <c r="P934" s="32" t="n"/>
      <c r="Q934" s="32" t="n"/>
      <c r="U934" s="31">
        <f>IF($A934="","",SUM(X934:AE934))</f>
        <v/>
      </c>
      <c r="V934" s="31">
        <f>IF($A934="","",IF($H934&lt;&gt;"Ausgabe",0,-$E934-$U934))</f>
        <v/>
      </c>
      <c r="W934" s="33">
        <f>IF($A934="","",DATE(YEAR($A934),MONTH($A934),1))</f>
        <v/>
      </c>
      <c r="X934" s="34">
        <f>IF(OR($A934="",$H934&lt;&gt;"Ausgabe",J934=""),0,IF(J934="x",-$E934/(COUNTIF($J934:$Q934,"x")+1),-$E934*N(J934)))</f>
        <v/>
      </c>
      <c r="Y934" s="34">
        <f>IF(OR($A934="",$H934&lt;&gt;"Ausgabe",K934=""),0,IF(K934="x",-$E934/(COUNTIF($J934:$Q934,"x")+1),-$E934*N(K934)))</f>
        <v/>
      </c>
      <c r="Z934" s="34">
        <f>IF(OR($A934="",$H934&lt;&gt;"Ausgabe",L934=""),0,IF(L934="x",-$E934/(COUNTIF($J934:$Q934,"x")+1),-$E934*N(L934)))</f>
        <v/>
      </c>
      <c r="AA934" s="34">
        <f>IF(OR($A934="",$H934&lt;&gt;"Ausgabe",M934=""),0,IF(M934="x",-$E934/(COUNTIF($J934:$Q934,"x")+1),-$E934*N(M934)))</f>
        <v/>
      </c>
      <c r="AB934" s="34">
        <f>IF(OR($A934="",$H934&lt;&gt;"Ausgabe",N934=""),0,IF(N934="x",-$E934/(COUNTIF($J934:$Q934,"x")+1),-$E934*N(N934)))</f>
        <v/>
      </c>
      <c r="AC934" s="34">
        <f>IF(OR($A934="",$H934&lt;&gt;"Ausgabe",O934=""),0,IF(O934="x",-$E934/(COUNTIF($J934:$Q934,"x")+1),-$E934*N(O934)))</f>
        <v/>
      </c>
      <c r="AD934" s="34">
        <f>IF(OR($A934="",$H934&lt;&gt;"Ausgabe",P934=""),0,IF(P934="x",-$E934/(COUNTIF($J934:$Q934,"x")+1),-$E934*N(P934)))</f>
        <v/>
      </c>
      <c r="AE934" s="34">
        <f>IF(OR($A934="",$H934&lt;&gt;"Ausgabe",Q934=""),0,IF(Q934="x",-$E934/(COUNTIF($J934:$Q934,"x")+1),-$E934*N(Q934)))</f>
        <v/>
      </c>
    </row>
    <row r="935">
      <c r="A935" s="30" t="n"/>
      <c r="E935" s="31" t="n"/>
      <c r="J935" s="32" t="n"/>
      <c r="K935" s="32" t="n"/>
      <c r="L935" s="32" t="n"/>
      <c r="M935" s="32" t="n"/>
      <c r="N935" s="32" t="n"/>
      <c r="O935" s="32" t="n"/>
      <c r="P935" s="32" t="n"/>
      <c r="Q935" s="32" t="n"/>
      <c r="U935" s="31">
        <f>IF($A935="","",SUM(X935:AE935))</f>
        <v/>
      </c>
      <c r="V935" s="31">
        <f>IF($A935="","",IF($H935&lt;&gt;"Ausgabe",0,-$E935-$U935))</f>
        <v/>
      </c>
      <c r="W935" s="33">
        <f>IF($A935="","",DATE(YEAR($A935),MONTH($A935),1))</f>
        <v/>
      </c>
      <c r="X935" s="34">
        <f>IF(OR($A935="",$H935&lt;&gt;"Ausgabe",J935=""),0,IF(J935="x",-$E935/(COUNTIF($J935:$Q935,"x")+1),-$E935*N(J935)))</f>
        <v/>
      </c>
      <c r="Y935" s="34">
        <f>IF(OR($A935="",$H935&lt;&gt;"Ausgabe",K935=""),0,IF(K935="x",-$E935/(COUNTIF($J935:$Q935,"x")+1),-$E935*N(K935)))</f>
        <v/>
      </c>
      <c r="Z935" s="34">
        <f>IF(OR($A935="",$H935&lt;&gt;"Ausgabe",L935=""),0,IF(L935="x",-$E935/(COUNTIF($J935:$Q935,"x")+1),-$E935*N(L935)))</f>
        <v/>
      </c>
      <c r="AA935" s="34">
        <f>IF(OR($A935="",$H935&lt;&gt;"Ausgabe",M935=""),0,IF(M935="x",-$E935/(COUNTIF($J935:$Q935,"x")+1),-$E935*N(M935)))</f>
        <v/>
      </c>
      <c r="AB935" s="34">
        <f>IF(OR($A935="",$H935&lt;&gt;"Ausgabe",N935=""),0,IF(N935="x",-$E935/(COUNTIF($J935:$Q935,"x")+1),-$E935*N(N935)))</f>
        <v/>
      </c>
      <c r="AC935" s="34">
        <f>IF(OR($A935="",$H935&lt;&gt;"Ausgabe",O935=""),0,IF(O935="x",-$E935/(COUNTIF($J935:$Q935,"x")+1),-$E935*N(O935)))</f>
        <v/>
      </c>
      <c r="AD935" s="34">
        <f>IF(OR($A935="",$H935&lt;&gt;"Ausgabe",P935=""),0,IF(P935="x",-$E935/(COUNTIF($J935:$Q935,"x")+1),-$E935*N(P935)))</f>
        <v/>
      </c>
      <c r="AE935" s="34">
        <f>IF(OR($A935="",$H935&lt;&gt;"Ausgabe",Q935=""),0,IF(Q935="x",-$E935/(COUNTIF($J935:$Q935,"x")+1),-$E935*N(Q935)))</f>
        <v/>
      </c>
    </row>
    <row r="936">
      <c r="A936" s="30" t="n"/>
      <c r="E936" s="31" t="n"/>
      <c r="J936" s="32" t="n"/>
      <c r="K936" s="32" t="n"/>
      <c r="L936" s="32" t="n"/>
      <c r="M936" s="32" t="n"/>
      <c r="N936" s="32" t="n"/>
      <c r="O936" s="32" t="n"/>
      <c r="P936" s="32" t="n"/>
      <c r="Q936" s="32" t="n"/>
      <c r="U936" s="31">
        <f>IF($A936="","",SUM(X936:AE936))</f>
        <v/>
      </c>
      <c r="V936" s="31">
        <f>IF($A936="","",IF($H936&lt;&gt;"Ausgabe",0,-$E936-$U936))</f>
        <v/>
      </c>
      <c r="W936" s="33">
        <f>IF($A936="","",DATE(YEAR($A936),MONTH($A936),1))</f>
        <v/>
      </c>
      <c r="X936" s="34">
        <f>IF(OR($A936="",$H936&lt;&gt;"Ausgabe",J936=""),0,IF(J936="x",-$E936/(COUNTIF($J936:$Q936,"x")+1),-$E936*N(J936)))</f>
        <v/>
      </c>
      <c r="Y936" s="34">
        <f>IF(OR($A936="",$H936&lt;&gt;"Ausgabe",K936=""),0,IF(K936="x",-$E936/(COUNTIF($J936:$Q936,"x")+1),-$E936*N(K936)))</f>
        <v/>
      </c>
      <c r="Z936" s="34">
        <f>IF(OR($A936="",$H936&lt;&gt;"Ausgabe",L936=""),0,IF(L936="x",-$E936/(COUNTIF($J936:$Q936,"x")+1),-$E936*N(L936)))</f>
        <v/>
      </c>
      <c r="AA936" s="34">
        <f>IF(OR($A936="",$H936&lt;&gt;"Ausgabe",M936=""),0,IF(M936="x",-$E936/(COUNTIF($J936:$Q936,"x")+1),-$E936*N(M936)))</f>
        <v/>
      </c>
      <c r="AB936" s="34">
        <f>IF(OR($A936="",$H936&lt;&gt;"Ausgabe",N936=""),0,IF(N936="x",-$E936/(COUNTIF($J936:$Q936,"x")+1),-$E936*N(N936)))</f>
        <v/>
      </c>
      <c r="AC936" s="34">
        <f>IF(OR($A936="",$H936&lt;&gt;"Ausgabe",O936=""),0,IF(O936="x",-$E936/(COUNTIF($J936:$Q936,"x")+1),-$E936*N(O936)))</f>
        <v/>
      </c>
      <c r="AD936" s="34">
        <f>IF(OR($A936="",$H936&lt;&gt;"Ausgabe",P936=""),0,IF(P936="x",-$E936/(COUNTIF($J936:$Q936,"x")+1),-$E936*N(P936)))</f>
        <v/>
      </c>
      <c r="AE936" s="34">
        <f>IF(OR($A936="",$H936&lt;&gt;"Ausgabe",Q936=""),0,IF(Q936="x",-$E936/(COUNTIF($J936:$Q936,"x")+1),-$E936*N(Q936)))</f>
        <v/>
      </c>
    </row>
    <row r="937">
      <c r="A937" s="30" t="n"/>
      <c r="E937" s="31" t="n"/>
      <c r="J937" s="32" t="n"/>
      <c r="K937" s="32" t="n"/>
      <c r="L937" s="32" t="n"/>
      <c r="M937" s="32" t="n"/>
      <c r="N937" s="32" t="n"/>
      <c r="O937" s="32" t="n"/>
      <c r="P937" s="32" t="n"/>
      <c r="Q937" s="32" t="n"/>
      <c r="U937" s="31">
        <f>IF($A937="","",SUM(X937:AE937))</f>
        <v/>
      </c>
      <c r="V937" s="31">
        <f>IF($A937="","",IF($H937&lt;&gt;"Ausgabe",0,-$E937-$U937))</f>
        <v/>
      </c>
      <c r="W937" s="33">
        <f>IF($A937="","",DATE(YEAR($A937),MONTH($A937),1))</f>
        <v/>
      </c>
      <c r="X937" s="34">
        <f>IF(OR($A937="",$H937&lt;&gt;"Ausgabe",J937=""),0,IF(J937="x",-$E937/(COUNTIF($J937:$Q937,"x")+1),-$E937*N(J937)))</f>
        <v/>
      </c>
      <c r="Y937" s="34">
        <f>IF(OR($A937="",$H937&lt;&gt;"Ausgabe",K937=""),0,IF(K937="x",-$E937/(COUNTIF($J937:$Q937,"x")+1),-$E937*N(K937)))</f>
        <v/>
      </c>
      <c r="Z937" s="34">
        <f>IF(OR($A937="",$H937&lt;&gt;"Ausgabe",L937=""),0,IF(L937="x",-$E937/(COUNTIF($J937:$Q937,"x")+1),-$E937*N(L937)))</f>
        <v/>
      </c>
      <c r="AA937" s="34">
        <f>IF(OR($A937="",$H937&lt;&gt;"Ausgabe",M937=""),0,IF(M937="x",-$E937/(COUNTIF($J937:$Q937,"x")+1),-$E937*N(M937)))</f>
        <v/>
      </c>
      <c r="AB937" s="34">
        <f>IF(OR($A937="",$H937&lt;&gt;"Ausgabe",N937=""),0,IF(N937="x",-$E937/(COUNTIF($J937:$Q937,"x")+1),-$E937*N(N937)))</f>
        <v/>
      </c>
      <c r="AC937" s="34">
        <f>IF(OR($A937="",$H937&lt;&gt;"Ausgabe",O937=""),0,IF(O937="x",-$E937/(COUNTIF($J937:$Q937,"x")+1),-$E937*N(O937)))</f>
        <v/>
      </c>
      <c r="AD937" s="34">
        <f>IF(OR($A937="",$H937&lt;&gt;"Ausgabe",P937=""),0,IF(P937="x",-$E937/(COUNTIF($J937:$Q937,"x")+1),-$E937*N(P937)))</f>
        <v/>
      </c>
      <c r="AE937" s="34">
        <f>IF(OR($A937="",$H937&lt;&gt;"Ausgabe",Q937=""),0,IF(Q937="x",-$E937/(COUNTIF($J937:$Q937,"x")+1),-$E937*N(Q937)))</f>
        <v/>
      </c>
    </row>
    <row r="938">
      <c r="A938" s="30" t="n"/>
      <c r="E938" s="31" t="n"/>
      <c r="J938" s="32" t="n"/>
      <c r="K938" s="32" t="n"/>
      <c r="L938" s="32" t="n"/>
      <c r="M938" s="32" t="n"/>
      <c r="N938" s="32" t="n"/>
      <c r="O938" s="32" t="n"/>
      <c r="P938" s="32" t="n"/>
      <c r="Q938" s="32" t="n"/>
      <c r="U938" s="31">
        <f>IF($A938="","",SUM(X938:AE938))</f>
        <v/>
      </c>
      <c r="V938" s="31">
        <f>IF($A938="","",IF($H938&lt;&gt;"Ausgabe",0,-$E938-$U938))</f>
        <v/>
      </c>
      <c r="W938" s="33">
        <f>IF($A938="","",DATE(YEAR($A938),MONTH($A938),1))</f>
        <v/>
      </c>
      <c r="X938" s="34">
        <f>IF(OR($A938="",$H938&lt;&gt;"Ausgabe",J938=""),0,IF(J938="x",-$E938/(COUNTIF($J938:$Q938,"x")+1),-$E938*N(J938)))</f>
        <v/>
      </c>
      <c r="Y938" s="34">
        <f>IF(OR($A938="",$H938&lt;&gt;"Ausgabe",K938=""),0,IF(K938="x",-$E938/(COUNTIF($J938:$Q938,"x")+1),-$E938*N(K938)))</f>
        <v/>
      </c>
      <c r="Z938" s="34">
        <f>IF(OR($A938="",$H938&lt;&gt;"Ausgabe",L938=""),0,IF(L938="x",-$E938/(COUNTIF($J938:$Q938,"x")+1),-$E938*N(L938)))</f>
        <v/>
      </c>
      <c r="AA938" s="34">
        <f>IF(OR($A938="",$H938&lt;&gt;"Ausgabe",M938=""),0,IF(M938="x",-$E938/(COUNTIF($J938:$Q938,"x")+1),-$E938*N(M938)))</f>
        <v/>
      </c>
      <c r="AB938" s="34">
        <f>IF(OR($A938="",$H938&lt;&gt;"Ausgabe",N938=""),0,IF(N938="x",-$E938/(COUNTIF($J938:$Q938,"x")+1),-$E938*N(N938)))</f>
        <v/>
      </c>
      <c r="AC938" s="34">
        <f>IF(OR($A938="",$H938&lt;&gt;"Ausgabe",O938=""),0,IF(O938="x",-$E938/(COUNTIF($J938:$Q938,"x")+1),-$E938*N(O938)))</f>
        <v/>
      </c>
      <c r="AD938" s="34">
        <f>IF(OR($A938="",$H938&lt;&gt;"Ausgabe",P938=""),0,IF(P938="x",-$E938/(COUNTIF($J938:$Q938,"x")+1),-$E938*N(P938)))</f>
        <v/>
      </c>
      <c r="AE938" s="34">
        <f>IF(OR($A938="",$H938&lt;&gt;"Ausgabe",Q938=""),0,IF(Q938="x",-$E938/(COUNTIF($J938:$Q938,"x")+1),-$E938*N(Q938)))</f>
        <v/>
      </c>
    </row>
    <row r="939">
      <c r="A939" s="30" t="n"/>
      <c r="E939" s="31" t="n"/>
      <c r="J939" s="32" t="n"/>
      <c r="K939" s="32" t="n"/>
      <c r="L939" s="32" t="n"/>
      <c r="M939" s="32" t="n"/>
      <c r="N939" s="32" t="n"/>
      <c r="O939" s="32" t="n"/>
      <c r="P939" s="32" t="n"/>
      <c r="Q939" s="32" t="n"/>
      <c r="U939" s="31">
        <f>IF($A939="","",SUM(X939:AE939))</f>
        <v/>
      </c>
      <c r="V939" s="31">
        <f>IF($A939="","",IF($H939&lt;&gt;"Ausgabe",0,-$E939-$U939))</f>
        <v/>
      </c>
      <c r="W939" s="33">
        <f>IF($A939="","",DATE(YEAR($A939),MONTH($A939),1))</f>
        <v/>
      </c>
      <c r="X939" s="34">
        <f>IF(OR($A939="",$H939&lt;&gt;"Ausgabe",J939=""),0,IF(J939="x",-$E939/(COUNTIF($J939:$Q939,"x")+1),-$E939*N(J939)))</f>
        <v/>
      </c>
      <c r="Y939" s="34">
        <f>IF(OR($A939="",$H939&lt;&gt;"Ausgabe",K939=""),0,IF(K939="x",-$E939/(COUNTIF($J939:$Q939,"x")+1),-$E939*N(K939)))</f>
        <v/>
      </c>
      <c r="Z939" s="34">
        <f>IF(OR($A939="",$H939&lt;&gt;"Ausgabe",L939=""),0,IF(L939="x",-$E939/(COUNTIF($J939:$Q939,"x")+1),-$E939*N(L939)))</f>
        <v/>
      </c>
      <c r="AA939" s="34">
        <f>IF(OR($A939="",$H939&lt;&gt;"Ausgabe",M939=""),0,IF(M939="x",-$E939/(COUNTIF($J939:$Q939,"x")+1),-$E939*N(M939)))</f>
        <v/>
      </c>
      <c r="AB939" s="34">
        <f>IF(OR($A939="",$H939&lt;&gt;"Ausgabe",N939=""),0,IF(N939="x",-$E939/(COUNTIF($J939:$Q939,"x")+1),-$E939*N(N939)))</f>
        <v/>
      </c>
      <c r="AC939" s="34">
        <f>IF(OR($A939="",$H939&lt;&gt;"Ausgabe",O939=""),0,IF(O939="x",-$E939/(COUNTIF($J939:$Q939,"x")+1),-$E939*N(O939)))</f>
        <v/>
      </c>
      <c r="AD939" s="34">
        <f>IF(OR($A939="",$H939&lt;&gt;"Ausgabe",P939=""),0,IF(P939="x",-$E939/(COUNTIF($J939:$Q939,"x")+1),-$E939*N(P939)))</f>
        <v/>
      </c>
      <c r="AE939" s="34">
        <f>IF(OR($A939="",$H939&lt;&gt;"Ausgabe",Q939=""),0,IF(Q939="x",-$E939/(COUNTIF($J939:$Q939,"x")+1),-$E939*N(Q939)))</f>
        <v/>
      </c>
    </row>
    <row r="940">
      <c r="A940" s="30" t="n"/>
      <c r="E940" s="31" t="n"/>
      <c r="J940" s="32" t="n"/>
      <c r="K940" s="32" t="n"/>
      <c r="L940" s="32" t="n"/>
      <c r="M940" s="32" t="n"/>
      <c r="N940" s="32" t="n"/>
      <c r="O940" s="32" t="n"/>
      <c r="P940" s="32" t="n"/>
      <c r="Q940" s="32" t="n"/>
      <c r="U940" s="31">
        <f>IF($A940="","",SUM(X940:AE940))</f>
        <v/>
      </c>
      <c r="V940" s="31">
        <f>IF($A940="","",IF($H940&lt;&gt;"Ausgabe",0,-$E940-$U940))</f>
        <v/>
      </c>
      <c r="W940" s="33">
        <f>IF($A940="","",DATE(YEAR($A940),MONTH($A940),1))</f>
        <v/>
      </c>
      <c r="X940" s="34">
        <f>IF(OR($A940="",$H940&lt;&gt;"Ausgabe",J940=""),0,IF(J940="x",-$E940/(COUNTIF($J940:$Q940,"x")+1),-$E940*N(J940)))</f>
        <v/>
      </c>
      <c r="Y940" s="34">
        <f>IF(OR($A940="",$H940&lt;&gt;"Ausgabe",K940=""),0,IF(K940="x",-$E940/(COUNTIF($J940:$Q940,"x")+1),-$E940*N(K940)))</f>
        <v/>
      </c>
      <c r="Z940" s="34">
        <f>IF(OR($A940="",$H940&lt;&gt;"Ausgabe",L940=""),0,IF(L940="x",-$E940/(COUNTIF($J940:$Q940,"x")+1),-$E940*N(L940)))</f>
        <v/>
      </c>
      <c r="AA940" s="34">
        <f>IF(OR($A940="",$H940&lt;&gt;"Ausgabe",M940=""),0,IF(M940="x",-$E940/(COUNTIF($J940:$Q940,"x")+1),-$E940*N(M940)))</f>
        <v/>
      </c>
      <c r="AB940" s="34">
        <f>IF(OR($A940="",$H940&lt;&gt;"Ausgabe",N940=""),0,IF(N940="x",-$E940/(COUNTIF($J940:$Q940,"x")+1),-$E940*N(N940)))</f>
        <v/>
      </c>
      <c r="AC940" s="34">
        <f>IF(OR($A940="",$H940&lt;&gt;"Ausgabe",O940=""),0,IF(O940="x",-$E940/(COUNTIF($J940:$Q940,"x")+1),-$E940*N(O940)))</f>
        <v/>
      </c>
      <c r="AD940" s="34">
        <f>IF(OR($A940="",$H940&lt;&gt;"Ausgabe",P940=""),0,IF(P940="x",-$E940/(COUNTIF($J940:$Q940,"x")+1),-$E940*N(P940)))</f>
        <v/>
      </c>
      <c r="AE940" s="34">
        <f>IF(OR($A940="",$H940&lt;&gt;"Ausgabe",Q940=""),0,IF(Q940="x",-$E940/(COUNTIF($J940:$Q940,"x")+1),-$E940*N(Q940)))</f>
        <v/>
      </c>
    </row>
    <row r="941">
      <c r="A941" s="30" t="n"/>
      <c r="E941" s="31" t="n"/>
      <c r="J941" s="32" t="n"/>
      <c r="K941" s="32" t="n"/>
      <c r="L941" s="32" t="n"/>
      <c r="M941" s="32" t="n"/>
      <c r="N941" s="32" t="n"/>
      <c r="O941" s="32" t="n"/>
      <c r="P941" s="32" t="n"/>
      <c r="Q941" s="32" t="n"/>
      <c r="U941" s="31">
        <f>IF($A941="","",SUM(X941:AE941))</f>
        <v/>
      </c>
      <c r="V941" s="31">
        <f>IF($A941="","",IF($H941&lt;&gt;"Ausgabe",0,-$E941-$U941))</f>
        <v/>
      </c>
      <c r="W941" s="33">
        <f>IF($A941="","",DATE(YEAR($A941),MONTH($A941),1))</f>
        <v/>
      </c>
      <c r="X941" s="34">
        <f>IF(OR($A941="",$H941&lt;&gt;"Ausgabe",J941=""),0,IF(J941="x",-$E941/(COUNTIF($J941:$Q941,"x")+1),-$E941*N(J941)))</f>
        <v/>
      </c>
      <c r="Y941" s="34">
        <f>IF(OR($A941="",$H941&lt;&gt;"Ausgabe",K941=""),0,IF(K941="x",-$E941/(COUNTIF($J941:$Q941,"x")+1),-$E941*N(K941)))</f>
        <v/>
      </c>
      <c r="Z941" s="34">
        <f>IF(OR($A941="",$H941&lt;&gt;"Ausgabe",L941=""),0,IF(L941="x",-$E941/(COUNTIF($J941:$Q941,"x")+1),-$E941*N(L941)))</f>
        <v/>
      </c>
      <c r="AA941" s="34">
        <f>IF(OR($A941="",$H941&lt;&gt;"Ausgabe",M941=""),0,IF(M941="x",-$E941/(COUNTIF($J941:$Q941,"x")+1),-$E941*N(M941)))</f>
        <v/>
      </c>
      <c r="AB941" s="34">
        <f>IF(OR($A941="",$H941&lt;&gt;"Ausgabe",N941=""),0,IF(N941="x",-$E941/(COUNTIF($J941:$Q941,"x")+1),-$E941*N(N941)))</f>
        <v/>
      </c>
      <c r="AC941" s="34">
        <f>IF(OR($A941="",$H941&lt;&gt;"Ausgabe",O941=""),0,IF(O941="x",-$E941/(COUNTIF($J941:$Q941,"x")+1),-$E941*N(O941)))</f>
        <v/>
      </c>
      <c r="AD941" s="34">
        <f>IF(OR($A941="",$H941&lt;&gt;"Ausgabe",P941=""),0,IF(P941="x",-$E941/(COUNTIF($J941:$Q941,"x")+1),-$E941*N(P941)))</f>
        <v/>
      </c>
      <c r="AE941" s="34">
        <f>IF(OR($A941="",$H941&lt;&gt;"Ausgabe",Q941=""),0,IF(Q941="x",-$E941/(COUNTIF($J941:$Q941,"x")+1),-$E941*N(Q941)))</f>
        <v/>
      </c>
    </row>
    <row r="942">
      <c r="A942" s="30" t="n"/>
      <c r="E942" s="31" t="n"/>
      <c r="J942" s="32" t="n"/>
      <c r="K942" s="32" t="n"/>
      <c r="L942" s="32" t="n"/>
      <c r="M942" s="32" t="n"/>
      <c r="N942" s="32" t="n"/>
      <c r="O942" s="32" t="n"/>
      <c r="P942" s="32" t="n"/>
      <c r="Q942" s="32" t="n"/>
      <c r="U942" s="31">
        <f>IF($A942="","",SUM(X942:AE942))</f>
        <v/>
      </c>
      <c r="V942" s="31">
        <f>IF($A942="","",IF($H942&lt;&gt;"Ausgabe",0,-$E942-$U942))</f>
        <v/>
      </c>
      <c r="W942" s="33">
        <f>IF($A942="","",DATE(YEAR($A942),MONTH($A942),1))</f>
        <v/>
      </c>
      <c r="X942" s="34">
        <f>IF(OR($A942="",$H942&lt;&gt;"Ausgabe",J942=""),0,IF(J942="x",-$E942/(COUNTIF($J942:$Q942,"x")+1),-$E942*N(J942)))</f>
        <v/>
      </c>
      <c r="Y942" s="34">
        <f>IF(OR($A942="",$H942&lt;&gt;"Ausgabe",K942=""),0,IF(K942="x",-$E942/(COUNTIF($J942:$Q942,"x")+1),-$E942*N(K942)))</f>
        <v/>
      </c>
      <c r="Z942" s="34">
        <f>IF(OR($A942="",$H942&lt;&gt;"Ausgabe",L942=""),0,IF(L942="x",-$E942/(COUNTIF($J942:$Q942,"x")+1),-$E942*N(L942)))</f>
        <v/>
      </c>
      <c r="AA942" s="34">
        <f>IF(OR($A942="",$H942&lt;&gt;"Ausgabe",M942=""),0,IF(M942="x",-$E942/(COUNTIF($J942:$Q942,"x")+1),-$E942*N(M942)))</f>
        <v/>
      </c>
      <c r="AB942" s="34">
        <f>IF(OR($A942="",$H942&lt;&gt;"Ausgabe",N942=""),0,IF(N942="x",-$E942/(COUNTIF($J942:$Q942,"x")+1),-$E942*N(N942)))</f>
        <v/>
      </c>
      <c r="AC942" s="34">
        <f>IF(OR($A942="",$H942&lt;&gt;"Ausgabe",O942=""),0,IF(O942="x",-$E942/(COUNTIF($J942:$Q942,"x")+1),-$E942*N(O942)))</f>
        <v/>
      </c>
      <c r="AD942" s="34">
        <f>IF(OR($A942="",$H942&lt;&gt;"Ausgabe",P942=""),0,IF(P942="x",-$E942/(COUNTIF($J942:$Q942,"x")+1),-$E942*N(P942)))</f>
        <v/>
      </c>
      <c r="AE942" s="34">
        <f>IF(OR($A942="",$H942&lt;&gt;"Ausgabe",Q942=""),0,IF(Q942="x",-$E942/(COUNTIF($J942:$Q942,"x")+1),-$E942*N(Q942)))</f>
        <v/>
      </c>
    </row>
    <row r="943">
      <c r="A943" s="30" t="n"/>
      <c r="E943" s="31" t="n"/>
      <c r="J943" s="32" t="n"/>
      <c r="K943" s="32" t="n"/>
      <c r="L943" s="32" t="n"/>
      <c r="M943" s="32" t="n"/>
      <c r="N943" s="32" t="n"/>
      <c r="O943" s="32" t="n"/>
      <c r="P943" s="32" t="n"/>
      <c r="Q943" s="32" t="n"/>
      <c r="U943" s="31">
        <f>IF($A943="","",SUM(X943:AE943))</f>
        <v/>
      </c>
      <c r="V943" s="31">
        <f>IF($A943="","",IF($H943&lt;&gt;"Ausgabe",0,-$E943-$U943))</f>
        <v/>
      </c>
      <c r="W943" s="33">
        <f>IF($A943="","",DATE(YEAR($A943),MONTH($A943),1))</f>
        <v/>
      </c>
      <c r="X943" s="34">
        <f>IF(OR($A943="",$H943&lt;&gt;"Ausgabe",J943=""),0,IF(J943="x",-$E943/(COUNTIF($J943:$Q943,"x")+1),-$E943*N(J943)))</f>
        <v/>
      </c>
      <c r="Y943" s="34">
        <f>IF(OR($A943="",$H943&lt;&gt;"Ausgabe",K943=""),0,IF(K943="x",-$E943/(COUNTIF($J943:$Q943,"x")+1),-$E943*N(K943)))</f>
        <v/>
      </c>
      <c r="Z943" s="34">
        <f>IF(OR($A943="",$H943&lt;&gt;"Ausgabe",L943=""),0,IF(L943="x",-$E943/(COUNTIF($J943:$Q943,"x")+1),-$E943*N(L943)))</f>
        <v/>
      </c>
      <c r="AA943" s="34">
        <f>IF(OR($A943="",$H943&lt;&gt;"Ausgabe",M943=""),0,IF(M943="x",-$E943/(COUNTIF($J943:$Q943,"x")+1),-$E943*N(M943)))</f>
        <v/>
      </c>
      <c r="AB943" s="34">
        <f>IF(OR($A943="",$H943&lt;&gt;"Ausgabe",N943=""),0,IF(N943="x",-$E943/(COUNTIF($J943:$Q943,"x")+1),-$E943*N(N943)))</f>
        <v/>
      </c>
      <c r="AC943" s="34">
        <f>IF(OR($A943="",$H943&lt;&gt;"Ausgabe",O943=""),0,IF(O943="x",-$E943/(COUNTIF($J943:$Q943,"x")+1),-$E943*N(O943)))</f>
        <v/>
      </c>
      <c r="AD943" s="34">
        <f>IF(OR($A943="",$H943&lt;&gt;"Ausgabe",P943=""),0,IF(P943="x",-$E943/(COUNTIF($J943:$Q943,"x")+1),-$E943*N(P943)))</f>
        <v/>
      </c>
      <c r="AE943" s="34">
        <f>IF(OR($A943="",$H943&lt;&gt;"Ausgabe",Q943=""),0,IF(Q943="x",-$E943/(COUNTIF($J943:$Q943,"x")+1),-$E943*N(Q943)))</f>
        <v/>
      </c>
    </row>
    <row r="944">
      <c r="A944" s="30" t="n"/>
      <c r="E944" s="31" t="n"/>
      <c r="J944" s="32" t="n"/>
      <c r="K944" s="32" t="n"/>
      <c r="L944" s="32" t="n"/>
      <c r="M944" s="32" t="n"/>
      <c r="N944" s="32" t="n"/>
      <c r="O944" s="32" t="n"/>
      <c r="P944" s="32" t="n"/>
      <c r="Q944" s="32" t="n"/>
      <c r="U944" s="31">
        <f>IF($A944="","",SUM(X944:AE944))</f>
        <v/>
      </c>
      <c r="V944" s="31">
        <f>IF($A944="","",IF($H944&lt;&gt;"Ausgabe",0,-$E944-$U944))</f>
        <v/>
      </c>
      <c r="W944" s="33">
        <f>IF($A944="","",DATE(YEAR($A944),MONTH($A944),1))</f>
        <v/>
      </c>
      <c r="X944" s="34">
        <f>IF(OR($A944="",$H944&lt;&gt;"Ausgabe",J944=""),0,IF(J944="x",-$E944/(COUNTIF($J944:$Q944,"x")+1),-$E944*N(J944)))</f>
        <v/>
      </c>
      <c r="Y944" s="34">
        <f>IF(OR($A944="",$H944&lt;&gt;"Ausgabe",K944=""),0,IF(K944="x",-$E944/(COUNTIF($J944:$Q944,"x")+1),-$E944*N(K944)))</f>
        <v/>
      </c>
      <c r="Z944" s="34">
        <f>IF(OR($A944="",$H944&lt;&gt;"Ausgabe",L944=""),0,IF(L944="x",-$E944/(COUNTIF($J944:$Q944,"x")+1),-$E944*N(L944)))</f>
        <v/>
      </c>
      <c r="AA944" s="34">
        <f>IF(OR($A944="",$H944&lt;&gt;"Ausgabe",M944=""),0,IF(M944="x",-$E944/(COUNTIF($J944:$Q944,"x")+1),-$E944*N(M944)))</f>
        <v/>
      </c>
      <c r="AB944" s="34">
        <f>IF(OR($A944="",$H944&lt;&gt;"Ausgabe",N944=""),0,IF(N944="x",-$E944/(COUNTIF($J944:$Q944,"x")+1),-$E944*N(N944)))</f>
        <v/>
      </c>
      <c r="AC944" s="34">
        <f>IF(OR($A944="",$H944&lt;&gt;"Ausgabe",O944=""),0,IF(O944="x",-$E944/(COUNTIF($J944:$Q944,"x")+1),-$E944*N(O944)))</f>
        <v/>
      </c>
      <c r="AD944" s="34">
        <f>IF(OR($A944="",$H944&lt;&gt;"Ausgabe",P944=""),0,IF(P944="x",-$E944/(COUNTIF($J944:$Q944,"x")+1),-$E944*N(P944)))</f>
        <v/>
      </c>
      <c r="AE944" s="34">
        <f>IF(OR($A944="",$H944&lt;&gt;"Ausgabe",Q944=""),0,IF(Q944="x",-$E944/(COUNTIF($J944:$Q944,"x")+1),-$E944*N(Q944)))</f>
        <v/>
      </c>
    </row>
    <row r="945">
      <c r="A945" s="30" t="n"/>
      <c r="E945" s="31" t="n"/>
      <c r="J945" s="32" t="n"/>
      <c r="K945" s="32" t="n"/>
      <c r="L945" s="32" t="n"/>
      <c r="M945" s="32" t="n"/>
      <c r="N945" s="32" t="n"/>
      <c r="O945" s="32" t="n"/>
      <c r="P945" s="32" t="n"/>
      <c r="Q945" s="32" t="n"/>
      <c r="U945" s="31">
        <f>IF($A945="","",SUM(X945:AE945))</f>
        <v/>
      </c>
      <c r="V945" s="31">
        <f>IF($A945="","",IF($H945&lt;&gt;"Ausgabe",0,-$E945-$U945))</f>
        <v/>
      </c>
      <c r="W945" s="33">
        <f>IF($A945="","",DATE(YEAR($A945),MONTH($A945),1))</f>
        <v/>
      </c>
      <c r="X945" s="34">
        <f>IF(OR($A945="",$H945&lt;&gt;"Ausgabe",J945=""),0,IF(J945="x",-$E945/(COUNTIF($J945:$Q945,"x")+1),-$E945*N(J945)))</f>
        <v/>
      </c>
      <c r="Y945" s="34">
        <f>IF(OR($A945="",$H945&lt;&gt;"Ausgabe",K945=""),0,IF(K945="x",-$E945/(COUNTIF($J945:$Q945,"x")+1),-$E945*N(K945)))</f>
        <v/>
      </c>
      <c r="Z945" s="34">
        <f>IF(OR($A945="",$H945&lt;&gt;"Ausgabe",L945=""),0,IF(L945="x",-$E945/(COUNTIF($J945:$Q945,"x")+1),-$E945*N(L945)))</f>
        <v/>
      </c>
      <c r="AA945" s="34">
        <f>IF(OR($A945="",$H945&lt;&gt;"Ausgabe",M945=""),0,IF(M945="x",-$E945/(COUNTIF($J945:$Q945,"x")+1),-$E945*N(M945)))</f>
        <v/>
      </c>
      <c r="AB945" s="34">
        <f>IF(OR($A945="",$H945&lt;&gt;"Ausgabe",N945=""),0,IF(N945="x",-$E945/(COUNTIF($J945:$Q945,"x")+1),-$E945*N(N945)))</f>
        <v/>
      </c>
      <c r="AC945" s="34">
        <f>IF(OR($A945="",$H945&lt;&gt;"Ausgabe",O945=""),0,IF(O945="x",-$E945/(COUNTIF($J945:$Q945,"x")+1),-$E945*N(O945)))</f>
        <v/>
      </c>
      <c r="AD945" s="34">
        <f>IF(OR($A945="",$H945&lt;&gt;"Ausgabe",P945=""),0,IF(P945="x",-$E945/(COUNTIF($J945:$Q945,"x")+1),-$E945*N(P945)))</f>
        <v/>
      </c>
      <c r="AE945" s="34">
        <f>IF(OR($A945="",$H945&lt;&gt;"Ausgabe",Q945=""),0,IF(Q945="x",-$E945/(COUNTIF($J945:$Q945,"x")+1),-$E945*N(Q945)))</f>
        <v/>
      </c>
    </row>
    <row r="946">
      <c r="A946" s="30" t="n"/>
      <c r="E946" s="31" t="n"/>
      <c r="J946" s="32" t="n"/>
      <c r="K946" s="32" t="n"/>
      <c r="L946" s="32" t="n"/>
      <c r="M946" s="32" t="n"/>
      <c r="N946" s="32" t="n"/>
      <c r="O946" s="32" t="n"/>
      <c r="P946" s="32" t="n"/>
      <c r="Q946" s="32" t="n"/>
      <c r="U946" s="31">
        <f>IF($A946="","",SUM(X946:AE946))</f>
        <v/>
      </c>
      <c r="V946" s="31">
        <f>IF($A946="","",IF($H946&lt;&gt;"Ausgabe",0,-$E946-$U946))</f>
        <v/>
      </c>
      <c r="W946" s="33">
        <f>IF($A946="","",DATE(YEAR($A946),MONTH($A946),1))</f>
        <v/>
      </c>
      <c r="X946" s="34">
        <f>IF(OR($A946="",$H946&lt;&gt;"Ausgabe",J946=""),0,IF(J946="x",-$E946/(COUNTIF($J946:$Q946,"x")+1),-$E946*N(J946)))</f>
        <v/>
      </c>
      <c r="Y946" s="34">
        <f>IF(OR($A946="",$H946&lt;&gt;"Ausgabe",K946=""),0,IF(K946="x",-$E946/(COUNTIF($J946:$Q946,"x")+1),-$E946*N(K946)))</f>
        <v/>
      </c>
      <c r="Z946" s="34">
        <f>IF(OR($A946="",$H946&lt;&gt;"Ausgabe",L946=""),0,IF(L946="x",-$E946/(COUNTIF($J946:$Q946,"x")+1),-$E946*N(L946)))</f>
        <v/>
      </c>
      <c r="AA946" s="34">
        <f>IF(OR($A946="",$H946&lt;&gt;"Ausgabe",M946=""),0,IF(M946="x",-$E946/(COUNTIF($J946:$Q946,"x")+1),-$E946*N(M946)))</f>
        <v/>
      </c>
      <c r="AB946" s="34">
        <f>IF(OR($A946="",$H946&lt;&gt;"Ausgabe",N946=""),0,IF(N946="x",-$E946/(COUNTIF($J946:$Q946,"x")+1),-$E946*N(N946)))</f>
        <v/>
      </c>
      <c r="AC946" s="34">
        <f>IF(OR($A946="",$H946&lt;&gt;"Ausgabe",O946=""),0,IF(O946="x",-$E946/(COUNTIF($J946:$Q946,"x")+1),-$E946*N(O946)))</f>
        <v/>
      </c>
      <c r="AD946" s="34">
        <f>IF(OR($A946="",$H946&lt;&gt;"Ausgabe",P946=""),0,IF(P946="x",-$E946/(COUNTIF($J946:$Q946,"x")+1),-$E946*N(P946)))</f>
        <v/>
      </c>
      <c r="AE946" s="34">
        <f>IF(OR($A946="",$H946&lt;&gt;"Ausgabe",Q946=""),0,IF(Q946="x",-$E946/(COUNTIF($J946:$Q946,"x")+1),-$E946*N(Q946)))</f>
        <v/>
      </c>
    </row>
    <row r="947">
      <c r="A947" s="30" t="n"/>
      <c r="E947" s="31" t="n"/>
      <c r="J947" s="32" t="n"/>
      <c r="K947" s="32" t="n"/>
      <c r="L947" s="32" t="n"/>
      <c r="M947" s="32" t="n"/>
      <c r="N947" s="32" t="n"/>
      <c r="O947" s="32" t="n"/>
      <c r="P947" s="32" t="n"/>
      <c r="Q947" s="32" t="n"/>
      <c r="U947" s="31">
        <f>IF($A947="","",SUM(X947:AE947))</f>
        <v/>
      </c>
      <c r="V947" s="31">
        <f>IF($A947="","",IF($H947&lt;&gt;"Ausgabe",0,-$E947-$U947))</f>
        <v/>
      </c>
      <c r="W947" s="33">
        <f>IF($A947="","",DATE(YEAR($A947),MONTH($A947),1))</f>
        <v/>
      </c>
      <c r="X947" s="34">
        <f>IF(OR($A947="",$H947&lt;&gt;"Ausgabe",J947=""),0,IF(J947="x",-$E947/(COUNTIF($J947:$Q947,"x")+1),-$E947*N(J947)))</f>
        <v/>
      </c>
      <c r="Y947" s="34">
        <f>IF(OR($A947="",$H947&lt;&gt;"Ausgabe",K947=""),0,IF(K947="x",-$E947/(COUNTIF($J947:$Q947,"x")+1),-$E947*N(K947)))</f>
        <v/>
      </c>
      <c r="Z947" s="34">
        <f>IF(OR($A947="",$H947&lt;&gt;"Ausgabe",L947=""),0,IF(L947="x",-$E947/(COUNTIF($J947:$Q947,"x")+1),-$E947*N(L947)))</f>
        <v/>
      </c>
      <c r="AA947" s="34">
        <f>IF(OR($A947="",$H947&lt;&gt;"Ausgabe",M947=""),0,IF(M947="x",-$E947/(COUNTIF($J947:$Q947,"x")+1),-$E947*N(M947)))</f>
        <v/>
      </c>
      <c r="AB947" s="34">
        <f>IF(OR($A947="",$H947&lt;&gt;"Ausgabe",N947=""),0,IF(N947="x",-$E947/(COUNTIF($J947:$Q947,"x")+1),-$E947*N(N947)))</f>
        <v/>
      </c>
      <c r="AC947" s="34">
        <f>IF(OR($A947="",$H947&lt;&gt;"Ausgabe",O947=""),0,IF(O947="x",-$E947/(COUNTIF($J947:$Q947,"x")+1),-$E947*N(O947)))</f>
        <v/>
      </c>
      <c r="AD947" s="34">
        <f>IF(OR($A947="",$H947&lt;&gt;"Ausgabe",P947=""),0,IF(P947="x",-$E947/(COUNTIF($J947:$Q947,"x")+1),-$E947*N(P947)))</f>
        <v/>
      </c>
      <c r="AE947" s="34">
        <f>IF(OR($A947="",$H947&lt;&gt;"Ausgabe",Q947=""),0,IF(Q947="x",-$E947/(COUNTIF($J947:$Q947,"x")+1),-$E947*N(Q947)))</f>
        <v/>
      </c>
    </row>
    <row r="948">
      <c r="A948" s="30" t="n"/>
      <c r="E948" s="31" t="n"/>
      <c r="J948" s="32" t="n"/>
      <c r="K948" s="32" t="n"/>
      <c r="L948" s="32" t="n"/>
      <c r="M948" s="32" t="n"/>
      <c r="N948" s="32" t="n"/>
      <c r="O948" s="32" t="n"/>
      <c r="P948" s="32" t="n"/>
      <c r="Q948" s="32" t="n"/>
      <c r="U948" s="31">
        <f>IF($A948="","",SUM(X948:AE948))</f>
        <v/>
      </c>
      <c r="V948" s="31">
        <f>IF($A948="","",IF($H948&lt;&gt;"Ausgabe",0,-$E948-$U948))</f>
        <v/>
      </c>
      <c r="W948" s="33">
        <f>IF($A948="","",DATE(YEAR($A948),MONTH($A948),1))</f>
        <v/>
      </c>
      <c r="X948" s="34">
        <f>IF(OR($A948="",$H948&lt;&gt;"Ausgabe",J948=""),0,IF(J948="x",-$E948/(COUNTIF($J948:$Q948,"x")+1),-$E948*N(J948)))</f>
        <v/>
      </c>
      <c r="Y948" s="34">
        <f>IF(OR($A948="",$H948&lt;&gt;"Ausgabe",K948=""),0,IF(K948="x",-$E948/(COUNTIF($J948:$Q948,"x")+1),-$E948*N(K948)))</f>
        <v/>
      </c>
      <c r="Z948" s="34">
        <f>IF(OR($A948="",$H948&lt;&gt;"Ausgabe",L948=""),0,IF(L948="x",-$E948/(COUNTIF($J948:$Q948,"x")+1),-$E948*N(L948)))</f>
        <v/>
      </c>
      <c r="AA948" s="34">
        <f>IF(OR($A948="",$H948&lt;&gt;"Ausgabe",M948=""),0,IF(M948="x",-$E948/(COUNTIF($J948:$Q948,"x")+1),-$E948*N(M948)))</f>
        <v/>
      </c>
      <c r="AB948" s="34">
        <f>IF(OR($A948="",$H948&lt;&gt;"Ausgabe",N948=""),0,IF(N948="x",-$E948/(COUNTIF($J948:$Q948,"x")+1),-$E948*N(N948)))</f>
        <v/>
      </c>
      <c r="AC948" s="34">
        <f>IF(OR($A948="",$H948&lt;&gt;"Ausgabe",O948=""),0,IF(O948="x",-$E948/(COUNTIF($J948:$Q948,"x")+1),-$E948*N(O948)))</f>
        <v/>
      </c>
      <c r="AD948" s="34">
        <f>IF(OR($A948="",$H948&lt;&gt;"Ausgabe",P948=""),0,IF(P948="x",-$E948/(COUNTIF($J948:$Q948,"x")+1),-$E948*N(P948)))</f>
        <v/>
      </c>
      <c r="AE948" s="34">
        <f>IF(OR($A948="",$H948&lt;&gt;"Ausgabe",Q948=""),0,IF(Q948="x",-$E948/(COUNTIF($J948:$Q948,"x")+1),-$E948*N(Q948)))</f>
        <v/>
      </c>
    </row>
    <row r="949">
      <c r="A949" s="30" t="n"/>
      <c r="E949" s="31" t="n"/>
      <c r="J949" s="32" t="n"/>
      <c r="K949" s="32" t="n"/>
      <c r="L949" s="32" t="n"/>
      <c r="M949" s="32" t="n"/>
      <c r="N949" s="32" t="n"/>
      <c r="O949" s="32" t="n"/>
      <c r="P949" s="32" t="n"/>
      <c r="Q949" s="32" t="n"/>
      <c r="U949" s="31">
        <f>IF($A949="","",SUM(X949:AE949))</f>
        <v/>
      </c>
      <c r="V949" s="31">
        <f>IF($A949="","",IF($H949&lt;&gt;"Ausgabe",0,-$E949-$U949))</f>
        <v/>
      </c>
      <c r="W949" s="33">
        <f>IF($A949="","",DATE(YEAR($A949),MONTH($A949),1))</f>
        <v/>
      </c>
      <c r="X949" s="34">
        <f>IF(OR($A949="",$H949&lt;&gt;"Ausgabe",J949=""),0,IF(J949="x",-$E949/(COUNTIF($J949:$Q949,"x")+1),-$E949*N(J949)))</f>
        <v/>
      </c>
      <c r="Y949" s="34">
        <f>IF(OR($A949="",$H949&lt;&gt;"Ausgabe",K949=""),0,IF(K949="x",-$E949/(COUNTIF($J949:$Q949,"x")+1),-$E949*N(K949)))</f>
        <v/>
      </c>
      <c r="Z949" s="34">
        <f>IF(OR($A949="",$H949&lt;&gt;"Ausgabe",L949=""),0,IF(L949="x",-$E949/(COUNTIF($J949:$Q949,"x")+1),-$E949*N(L949)))</f>
        <v/>
      </c>
      <c r="AA949" s="34">
        <f>IF(OR($A949="",$H949&lt;&gt;"Ausgabe",M949=""),0,IF(M949="x",-$E949/(COUNTIF($J949:$Q949,"x")+1),-$E949*N(M949)))</f>
        <v/>
      </c>
      <c r="AB949" s="34">
        <f>IF(OR($A949="",$H949&lt;&gt;"Ausgabe",N949=""),0,IF(N949="x",-$E949/(COUNTIF($J949:$Q949,"x")+1),-$E949*N(N949)))</f>
        <v/>
      </c>
      <c r="AC949" s="34">
        <f>IF(OR($A949="",$H949&lt;&gt;"Ausgabe",O949=""),0,IF(O949="x",-$E949/(COUNTIF($J949:$Q949,"x")+1),-$E949*N(O949)))</f>
        <v/>
      </c>
      <c r="AD949" s="34">
        <f>IF(OR($A949="",$H949&lt;&gt;"Ausgabe",P949=""),0,IF(P949="x",-$E949/(COUNTIF($J949:$Q949,"x")+1),-$E949*N(P949)))</f>
        <v/>
      </c>
      <c r="AE949" s="34">
        <f>IF(OR($A949="",$H949&lt;&gt;"Ausgabe",Q949=""),0,IF(Q949="x",-$E949/(COUNTIF($J949:$Q949,"x")+1),-$E949*N(Q949)))</f>
        <v/>
      </c>
    </row>
    <row r="950">
      <c r="A950" s="30" t="n"/>
      <c r="E950" s="31" t="n"/>
      <c r="J950" s="32" t="n"/>
      <c r="K950" s="32" t="n"/>
      <c r="L950" s="32" t="n"/>
      <c r="M950" s="32" t="n"/>
      <c r="N950" s="32" t="n"/>
      <c r="O950" s="32" t="n"/>
      <c r="P950" s="32" t="n"/>
      <c r="Q950" s="32" t="n"/>
      <c r="U950" s="31">
        <f>IF($A950="","",SUM(X950:AE950))</f>
        <v/>
      </c>
      <c r="V950" s="31">
        <f>IF($A950="","",IF($H950&lt;&gt;"Ausgabe",0,-$E950-$U950))</f>
        <v/>
      </c>
      <c r="W950" s="33">
        <f>IF($A950="","",DATE(YEAR($A950),MONTH($A950),1))</f>
        <v/>
      </c>
      <c r="X950" s="34">
        <f>IF(OR($A950="",$H950&lt;&gt;"Ausgabe",J950=""),0,IF(J950="x",-$E950/(COUNTIF($J950:$Q950,"x")+1),-$E950*N(J950)))</f>
        <v/>
      </c>
      <c r="Y950" s="34">
        <f>IF(OR($A950="",$H950&lt;&gt;"Ausgabe",K950=""),0,IF(K950="x",-$E950/(COUNTIF($J950:$Q950,"x")+1),-$E950*N(K950)))</f>
        <v/>
      </c>
      <c r="Z950" s="34">
        <f>IF(OR($A950="",$H950&lt;&gt;"Ausgabe",L950=""),0,IF(L950="x",-$E950/(COUNTIF($J950:$Q950,"x")+1),-$E950*N(L950)))</f>
        <v/>
      </c>
      <c r="AA950" s="34">
        <f>IF(OR($A950="",$H950&lt;&gt;"Ausgabe",M950=""),0,IF(M950="x",-$E950/(COUNTIF($J950:$Q950,"x")+1),-$E950*N(M950)))</f>
        <v/>
      </c>
      <c r="AB950" s="34">
        <f>IF(OR($A950="",$H950&lt;&gt;"Ausgabe",N950=""),0,IF(N950="x",-$E950/(COUNTIF($J950:$Q950,"x")+1),-$E950*N(N950)))</f>
        <v/>
      </c>
      <c r="AC950" s="34">
        <f>IF(OR($A950="",$H950&lt;&gt;"Ausgabe",O950=""),0,IF(O950="x",-$E950/(COUNTIF($J950:$Q950,"x")+1),-$E950*N(O950)))</f>
        <v/>
      </c>
      <c r="AD950" s="34">
        <f>IF(OR($A950="",$H950&lt;&gt;"Ausgabe",P950=""),0,IF(P950="x",-$E950/(COUNTIF($J950:$Q950,"x")+1),-$E950*N(P950)))</f>
        <v/>
      </c>
      <c r="AE950" s="34">
        <f>IF(OR($A950="",$H950&lt;&gt;"Ausgabe",Q950=""),0,IF(Q950="x",-$E950/(COUNTIF($J950:$Q950,"x")+1),-$E950*N(Q950)))</f>
        <v/>
      </c>
    </row>
    <row r="951">
      <c r="A951" s="30" t="n"/>
      <c r="E951" s="31" t="n"/>
      <c r="J951" s="32" t="n"/>
      <c r="K951" s="32" t="n"/>
      <c r="L951" s="32" t="n"/>
      <c r="M951" s="32" t="n"/>
      <c r="N951" s="32" t="n"/>
      <c r="O951" s="32" t="n"/>
      <c r="P951" s="32" t="n"/>
      <c r="Q951" s="32" t="n"/>
      <c r="U951" s="31">
        <f>IF($A951="","",SUM(X951:AE951))</f>
        <v/>
      </c>
      <c r="V951" s="31">
        <f>IF($A951="","",IF($H951&lt;&gt;"Ausgabe",0,-$E951-$U951))</f>
        <v/>
      </c>
      <c r="W951" s="33">
        <f>IF($A951="","",DATE(YEAR($A951),MONTH($A951),1))</f>
        <v/>
      </c>
      <c r="X951" s="34">
        <f>IF(OR($A951="",$H951&lt;&gt;"Ausgabe",J951=""),0,IF(J951="x",-$E951/(COUNTIF($J951:$Q951,"x")+1),-$E951*N(J951)))</f>
        <v/>
      </c>
      <c r="Y951" s="34">
        <f>IF(OR($A951="",$H951&lt;&gt;"Ausgabe",K951=""),0,IF(K951="x",-$E951/(COUNTIF($J951:$Q951,"x")+1),-$E951*N(K951)))</f>
        <v/>
      </c>
      <c r="Z951" s="34">
        <f>IF(OR($A951="",$H951&lt;&gt;"Ausgabe",L951=""),0,IF(L951="x",-$E951/(COUNTIF($J951:$Q951,"x")+1),-$E951*N(L951)))</f>
        <v/>
      </c>
      <c r="AA951" s="34">
        <f>IF(OR($A951="",$H951&lt;&gt;"Ausgabe",M951=""),0,IF(M951="x",-$E951/(COUNTIF($J951:$Q951,"x")+1),-$E951*N(M951)))</f>
        <v/>
      </c>
      <c r="AB951" s="34">
        <f>IF(OR($A951="",$H951&lt;&gt;"Ausgabe",N951=""),0,IF(N951="x",-$E951/(COUNTIF($J951:$Q951,"x")+1),-$E951*N(N951)))</f>
        <v/>
      </c>
      <c r="AC951" s="34">
        <f>IF(OR($A951="",$H951&lt;&gt;"Ausgabe",O951=""),0,IF(O951="x",-$E951/(COUNTIF($J951:$Q951,"x")+1),-$E951*N(O951)))</f>
        <v/>
      </c>
      <c r="AD951" s="34">
        <f>IF(OR($A951="",$H951&lt;&gt;"Ausgabe",P951=""),0,IF(P951="x",-$E951/(COUNTIF($J951:$Q951,"x")+1),-$E951*N(P951)))</f>
        <v/>
      </c>
      <c r="AE951" s="34">
        <f>IF(OR($A951="",$H951&lt;&gt;"Ausgabe",Q951=""),0,IF(Q951="x",-$E951/(COUNTIF($J951:$Q951,"x")+1),-$E951*N(Q951)))</f>
        <v/>
      </c>
    </row>
    <row r="952">
      <c r="A952" s="30" t="n"/>
      <c r="E952" s="31" t="n"/>
      <c r="J952" s="32" t="n"/>
      <c r="K952" s="32" t="n"/>
      <c r="L952" s="32" t="n"/>
      <c r="M952" s="32" t="n"/>
      <c r="N952" s="32" t="n"/>
      <c r="O952" s="32" t="n"/>
      <c r="P952" s="32" t="n"/>
      <c r="Q952" s="32" t="n"/>
      <c r="U952" s="31">
        <f>IF($A952="","",SUM(X952:AE952))</f>
        <v/>
      </c>
      <c r="V952" s="31">
        <f>IF($A952="","",IF($H952&lt;&gt;"Ausgabe",0,-$E952-$U952))</f>
        <v/>
      </c>
      <c r="W952" s="33">
        <f>IF($A952="","",DATE(YEAR($A952),MONTH($A952),1))</f>
        <v/>
      </c>
      <c r="X952" s="34">
        <f>IF(OR($A952="",$H952&lt;&gt;"Ausgabe",J952=""),0,IF(J952="x",-$E952/(COUNTIF($J952:$Q952,"x")+1),-$E952*N(J952)))</f>
        <v/>
      </c>
      <c r="Y952" s="34">
        <f>IF(OR($A952="",$H952&lt;&gt;"Ausgabe",K952=""),0,IF(K952="x",-$E952/(COUNTIF($J952:$Q952,"x")+1),-$E952*N(K952)))</f>
        <v/>
      </c>
      <c r="Z952" s="34">
        <f>IF(OR($A952="",$H952&lt;&gt;"Ausgabe",L952=""),0,IF(L952="x",-$E952/(COUNTIF($J952:$Q952,"x")+1),-$E952*N(L952)))</f>
        <v/>
      </c>
      <c r="AA952" s="34">
        <f>IF(OR($A952="",$H952&lt;&gt;"Ausgabe",M952=""),0,IF(M952="x",-$E952/(COUNTIF($J952:$Q952,"x")+1),-$E952*N(M952)))</f>
        <v/>
      </c>
      <c r="AB952" s="34">
        <f>IF(OR($A952="",$H952&lt;&gt;"Ausgabe",N952=""),0,IF(N952="x",-$E952/(COUNTIF($J952:$Q952,"x")+1),-$E952*N(N952)))</f>
        <v/>
      </c>
      <c r="AC952" s="34">
        <f>IF(OR($A952="",$H952&lt;&gt;"Ausgabe",O952=""),0,IF(O952="x",-$E952/(COUNTIF($J952:$Q952,"x")+1),-$E952*N(O952)))</f>
        <v/>
      </c>
      <c r="AD952" s="34">
        <f>IF(OR($A952="",$H952&lt;&gt;"Ausgabe",P952=""),0,IF(P952="x",-$E952/(COUNTIF($J952:$Q952,"x")+1),-$E952*N(P952)))</f>
        <v/>
      </c>
      <c r="AE952" s="34">
        <f>IF(OR($A952="",$H952&lt;&gt;"Ausgabe",Q952=""),0,IF(Q952="x",-$E952/(COUNTIF($J952:$Q952,"x")+1),-$E952*N(Q952)))</f>
        <v/>
      </c>
    </row>
    <row r="953">
      <c r="A953" s="30" t="n"/>
      <c r="E953" s="31" t="n"/>
      <c r="J953" s="32" t="n"/>
      <c r="K953" s="32" t="n"/>
      <c r="L953" s="32" t="n"/>
      <c r="M953" s="32" t="n"/>
      <c r="N953" s="32" t="n"/>
      <c r="O953" s="32" t="n"/>
      <c r="P953" s="32" t="n"/>
      <c r="Q953" s="32" t="n"/>
      <c r="U953" s="31">
        <f>IF($A953="","",SUM(X953:AE953))</f>
        <v/>
      </c>
      <c r="V953" s="31">
        <f>IF($A953="","",IF($H953&lt;&gt;"Ausgabe",0,-$E953-$U953))</f>
        <v/>
      </c>
      <c r="W953" s="33">
        <f>IF($A953="","",DATE(YEAR($A953),MONTH($A953),1))</f>
        <v/>
      </c>
      <c r="X953" s="34">
        <f>IF(OR($A953="",$H953&lt;&gt;"Ausgabe",J953=""),0,IF(J953="x",-$E953/(COUNTIF($J953:$Q953,"x")+1),-$E953*N(J953)))</f>
        <v/>
      </c>
      <c r="Y953" s="34">
        <f>IF(OR($A953="",$H953&lt;&gt;"Ausgabe",K953=""),0,IF(K953="x",-$E953/(COUNTIF($J953:$Q953,"x")+1),-$E953*N(K953)))</f>
        <v/>
      </c>
      <c r="Z953" s="34">
        <f>IF(OR($A953="",$H953&lt;&gt;"Ausgabe",L953=""),0,IF(L953="x",-$E953/(COUNTIF($J953:$Q953,"x")+1),-$E953*N(L953)))</f>
        <v/>
      </c>
      <c r="AA953" s="34">
        <f>IF(OR($A953="",$H953&lt;&gt;"Ausgabe",M953=""),0,IF(M953="x",-$E953/(COUNTIF($J953:$Q953,"x")+1),-$E953*N(M953)))</f>
        <v/>
      </c>
      <c r="AB953" s="34">
        <f>IF(OR($A953="",$H953&lt;&gt;"Ausgabe",N953=""),0,IF(N953="x",-$E953/(COUNTIF($J953:$Q953,"x")+1),-$E953*N(N953)))</f>
        <v/>
      </c>
      <c r="AC953" s="34">
        <f>IF(OR($A953="",$H953&lt;&gt;"Ausgabe",O953=""),0,IF(O953="x",-$E953/(COUNTIF($J953:$Q953,"x")+1),-$E953*N(O953)))</f>
        <v/>
      </c>
      <c r="AD953" s="34">
        <f>IF(OR($A953="",$H953&lt;&gt;"Ausgabe",P953=""),0,IF(P953="x",-$E953/(COUNTIF($J953:$Q953,"x")+1),-$E953*N(P953)))</f>
        <v/>
      </c>
      <c r="AE953" s="34">
        <f>IF(OR($A953="",$H953&lt;&gt;"Ausgabe",Q953=""),0,IF(Q953="x",-$E953/(COUNTIF($J953:$Q953,"x")+1),-$E953*N(Q953)))</f>
        <v/>
      </c>
    </row>
    <row r="954">
      <c r="A954" s="30" t="n"/>
      <c r="E954" s="31" t="n"/>
      <c r="J954" s="32" t="n"/>
      <c r="K954" s="32" t="n"/>
      <c r="L954" s="32" t="n"/>
      <c r="M954" s="32" t="n"/>
      <c r="N954" s="32" t="n"/>
      <c r="O954" s="32" t="n"/>
      <c r="P954" s="32" t="n"/>
      <c r="Q954" s="32" t="n"/>
      <c r="U954" s="31">
        <f>IF($A954="","",SUM(X954:AE954))</f>
        <v/>
      </c>
      <c r="V954" s="31">
        <f>IF($A954="","",IF($H954&lt;&gt;"Ausgabe",0,-$E954-$U954))</f>
        <v/>
      </c>
      <c r="W954" s="33">
        <f>IF($A954="","",DATE(YEAR($A954),MONTH($A954),1))</f>
        <v/>
      </c>
      <c r="X954" s="34">
        <f>IF(OR($A954="",$H954&lt;&gt;"Ausgabe",J954=""),0,IF(J954="x",-$E954/(COUNTIF($J954:$Q954,"x")+1),-$E954*N(J954)))</f>
        <v/>
      </c>
      <c r="Y954" s="34">
        <f>IF(OR($A954="",$H954&lt;&gt;"Ausgabe",K954=""),0,IF(K954="x",-$E954/(COUNTIF($J954:$Q954,"x")+1),-$E954*N(K954)))</f>
        <v/>
      </c>
      <c r="Z954" s="34">
        <f>IF(OR($A954="",$H954&lt;&gt;"Ausgabe",L954=""),0,IF(L954="x",-$E954/(COUNTIF($J954:$Q954,"x")+1),-$E954*N(L954)))</f>
        <v/>
      </c>
      <c r="AA954" s="34">
        <f>IF(OR($A954="",$H954&lt;&gt;"Ausgabe",M954=""),0,IF(M954="x",-$E954/(COUNTIF($J954:$Q954,"x")+1),-$E954*N(M954)))</f>
        <v/>
      </c>
      <c r="AB954" s="34">
        <f>IF(OR($A954="",$H954&lt;&gt;"Ausgabe",N954=""),0,IF(N954="x",-$E954/(COUNTIF($J954:$Q954,"x")+1),-$E954*N(N954)))</f>
        <v/>
      </c>
      <c r="AC954" s="34">
        <f>IF(OR($A954="",$H954&lt;&gt;"Ausgabe",O954=""),0,IF(O954="x",-$E954/(COUNTIF($J954:$Q954,"x")+1),-$E954*N(O954)))</f>
        <v/>
      </c>
      <c r="AD954" s="34">
        <f>IF(OR($A954="",$H954&lt;&gt;"Ausgabe",P954=""),0,IF(P954="x",-$E954/(COUNTIF($J954:$Q954,"x")+1),-$E954*N(P954)))</f>
        <v/>
      </c>
      <c r="AE954" s="34">
        <f>IF(OR($A954="",$H954&lt;&gt;"Ausgabe",Q954=""),0,IF(Q954="x",-$E954/(COUNTIF($J954:$Q954,"x")+1),-$E954*N(Q954)))</f>
        <v/>
      </c>
    </row>
    <row r="955">
      <c r="A955" s="30" t="n"/>
      <c r="E955" s="31" t="n"/>
      <c r="J955" s="32" t="n"/>
      <c r="K955" s="32" t="n"/>
      <c r="L955" s="32" t="n"/>
      <c r="M955" s="32" t="n"/>
      <c r="N955" s="32" t="n"/>
      <c r="O955" s="32" t="n"/>
      <c r="P955" s="32" t="n"/>
      <c r="Q955" s="32" t="n"/>
      <c r="U955" s="31">
        <f>IF($A955="","",SUM(X955:AE955))</f>
        <v/>
      </c>
      <c r="V955" s="31">
        <f>IF($A955="","",IF($H955&lt;&gt;"Ausgabe",0,-$E955-$U955))</f>
        <v/>
      </c>
      <c r="W955" s="33">
        <f>IF($A955="","",DATE(YEAR($A955),MONTH($A955),1))</f>
        <v/>
      </c>
      <c r="X955" s="34">
        <f>IF(OR($A955="",$H955&lt;&gt;"Ausgabe",J955=""),0,IF(J955="x",-$E955/(COUNTIF($J955:$Q955,"x")+1),-$E955*N(J955)))</f>
        <v/>
      </c>
      <c r="Y955" s="34">
        <f>IF(OR($A955="",$H955&lt;&gt;"Ausgabe",K955=""),0,IF(K955="x",-$E955/(COUNTIF($J955:$Q955,"x")+1),-$E955*N(K955)))</f>
        <v/>
      </c>
      <c r="Z955" s="34">
        <f>IF(OR($A955="",$H955&lt;&gt;"Ausgabe",L955=""),0,IF(L955="x",-$E955/(COUNTIF($J955:$Q955,"x")+1),-$E955*N(L955)))</f>
        <v/>
      </c>
      <c r="AA955" s="34">
        <f>IF(OR($A955="",$H955&lt;&gt;"Ausgabe",M955=""),0,IF(M955="x",-$E955/(COUNTIF($J955:$Q955,"x")+1),-$E955*N(M955)))</f>
        <v/>
      </c>
      <c r="AB955" s="34">
        <f>IF(OR($A955="",$H955&lt;&gt;"Ausgabe",N955=""),0,IF(N955="x",-$E955/(COUNTIF($J955:$Q955,"x")+1),-$E955*N(N955)))</f>
        <v/>
      </c>
      <c r="AC955" s="34">
        <f>IF(OR($A955="",$H955&lt;&gt;"Ausgabe",O955=""),0,IF(O955="x",-$E955/(COUNTIF($J955:$Q955,"x")+1),-$E955*N(O955)))</f>
        <v/>
      </c>
      <c r="AD955" s="34">
        <f>IF(OR($A955="",$H955&lt;&gt;"Ausgabe",P955=""),0,IF(P955="x",-$E955/(COUNTIF($J955:$Q955,"x")+1),-$E955*N(P955)))</f>
        <v/>
      </c>
      <c r="AE955" s="34">
        <f>IF(OR($A955="",$H955&lt;&gt;"Ausgabe",Q955=""),0,IF(Q955="x",-$E955/(COUNTIF($J955:$Q955,"x")+1),-$E955*N(Q955)))</f>
        <v/>
      </c>
    </row>
    <row r="956">
      <c r="A956" s="30" t="n"/>
      <c r="E956" s="31" t="n"/>
      <c r="J956" s="32" t="n"/>
      <c r="K956" s="32" t="n"/>
      <c r="L956" s="32" t="n"/>
      <c r="M956" s="32" t="n"/>
      <c r="N956" s="32" t="n"/>
      <c r="O956" s="32" t="n"/>
      <c r="P956" s="32" t="n"/>
      <c r="Q956" s="32" t="n"/>
      <c r="U956" s="31">
        <f>IF($A956="","",SUM(X956:AE956))</f>
        <v/>
      </c>
      <c r="V956" s="31">
        <f>IF($A956="","",IF($H956&lt;&gt;"Ausgabe",0,-$E956-$U956))</f>
        <v/>
      </c>
      <c r="W956" s="33">
        <f>IF($A956="","",DATE(YEAR($A956),MONTH($A956),1))</f>
        <v/>
      </c>
      <c r="X956" s="34">
        <f>IF(OR($A956="",$H956&lt;&gt;"Ausgabe",J956=""),0,IF(J956="x",-$E956/(COUNTIF($J956:$Q956,"x")+1),-$E956*N(J956)))</f>
        <v/>
      </c>
      <c r="Y956" s="34">
        <f>IF(OR($A956="",$H956&lt;&gt;"Ausgabe",K956=""),0,IF(K956="x",-$E956/(COUNTIF($J956:$Q956,"x")+1),-$E956*N(K956)))</f>
        <v/>
      </c>
      <c r="Z956" s="34">
        <f>IF(OR($A956="",$H956&lt;&gt;"Ausgabe",L956=""),0,IF(L956="x",-$E956/(COUNTIF($J956:$Q956,"x")+1),-$E956*N(L956)))</f>
        <v/>
      </c>
      <c r="AA956" s="34">
        <f>IF(OR($A956="",$H956&lt;&gt;"Ausgabe",M956=""),0,IF(M956="x",-$E956/(COUNTIF($J956:$Q956,"x")+1),-$E956*N(M956)))</f>
        <v/>
      </c>
      <c r="AB956" s="34">
        <f>IF(OR($A956="",$H956&lt;&gt;"Ausgabe",N956=""),0,IF(N956="x",-$E956/(COUNTIF($J956:$Q956,"x")+1),-$E956*N(N956)))</f>
        <v/>
      </c>
      <c r="AC956" s="34">
        <f>IF(OR($A956="",$H956&lt;&gt;"Ausgabe",O956=""),0,IF(O956="x",-$E956/(COUNTIF($J956:$Q956,"x")+1),-$E956*N(O956)))</f>
        <v/>
      </c>
      <c r="AD956" s="34">
        <f>IF(OR($A956="",$H956&lt;&gt;"Ausgabe",P956=""),0,IF(P956="x",-$E956/(COUNTIF($J956:$Q956,"x")+1),-$E956*N(P956)))</f>
        <v/>
      </c>
      <c r="AE956" s="34">
        <f>IF(OR($A956="",$H956&lt;&gt;"Ausgabe",Q956=""),0,IF(Q956="x",-$E956/(COUNTIF($J956:$Q956,"x")+1),-$E956*N(Q956)))</f>
        <v/>
      </c>
    </row>
    <row r="957">
      <c r="A957" s="30" t="n"/>
      <c r="E957" s="31" t="n"/>
      <c r="J957" s="32" t="n"/>
      <c r="K957" s="32" t="n"/>
      <c r="L957" s="32" t="n"/>
      <c r="M957" s="32" t="n"/>
      <c r="N957" s="32" t="n"/>
      <c r="O957" s="32" t="n"/>
      <c r="P957" s="32" t="n"/>
      <c r="Q957" s="32" t="n"/>
      <c r="U957" s="31">
        <f>IF($A957="","",SUM(X957:AE957))</f>
        <v/>
      </c>
      <c r="V957" s="31">
        <f>IF($A957="","",IF($H957&lt;&gt;"Ausgabe",0,-$E957-$U957))</f>
        <v/>
      </c>
      <c r="W957" s="33">
        <f>IF($A957="","",DATE(YEAR($A957),MONTH($A957),1))</f>
        <v/>
      </c>
      <c r="X957" s="34">
        <f>IF(OR($A957="",$H957&lt;&gt;"Ausgabe",J957=""),0,IF(J957="x",-$E957/(COUNTIF($J957:$Q957,"x")+1),-$E957*N(J957)))</f>
        <v/>
      </c>
      <c r="Y957" s="34">
        <f>IF(OR($A957="",$H957&lt;&gt;"Ausgabe",K957=""),0,IF(K957="x",-$E957/(COUNTIF($J957:$Q957,"x")+1),-$E957*N(K957)))</f>
        <v/>
      </c>
      <c r="Z957" s="34">
        <f>IF(OR($A957="",$H957&lt;&gt;"Ausgabe",L957=""),0,IF(L957="x",-$E957/(COUNTIF($J957:$Q957,"x")+1),-$E957*N(L957)))</f>
        <v/>
      </c>
      <c r="AA957" s="34">
        <f>IF(OR($A957="",$H957&lt;&gt;"Ausgabe",M957=""),0,IF(M957="x",-$E957/(COUNTIF($J957:$Q957,"x")+1),-$E957*N(M957)))</f>
        <v/>
      </c>
      <c r="AB957" s="34">
        <f>IF(OR($A957="",$H957&lt;&gt;"Ausgabe",N957=""),0,IF(N957="x",-$E957/(COUNTIF($J957:$Q957,"x")+1),-$E957*N(N957)))</f>
        <v/>
      </c>
      <c r="AC957" s="34">
        <f>IF(OR($A957="",$H957&lt;&gt;"Ausgabe",O957=""),0,IF(O957="x",-$E957/(COUNTIF($J957:$Q957,"x")+1),-$E957*N(O957)))</f>
        <v/>
      </c>
      <c r="AD957" s="34">
        <f>IF(OR($A957="",$H957&lt;&gt;"Ausgabe",P957=""),0,IF(P957="x",-$E957/(COUNTIF($J957:$Q957,"x")+1),-$E957*N(P957)))</f>
        <v/>
      </c>
      <c r="AE957" s="34">
        <f>IF(OR($A957="",$H957&lt;&gt;"Ausgabe",Q957=""),0,IF(Q957="x",-$E957/(COUNTIF($J957:$Q957,"x")+1),-$E957*N(Q957)))</f>
        <v/>
      </c>
    </row>
    <row r="958">
      <c r="A958" s="30" t="n"/>
      <c r="E958" s="31" t="n"/>
      <c r="J958" s="32" t="n"/>
      <c r="K958" s="32" t="n"/>
      <c r="L958" s="32" t="n"/>
      <c r="M958" s="32" t="n"/>
      <c r="N958" s="32" t="n"/>
      <c r="O958" s="32" t="n"/>
      <c r="P958" s="32" t="n"/>
      <c r="Q958" s="32" t="n"/>
      <c r="U958" s="31">
        <f>IF($A958="","",SUM(X958:AE958))</f>
        <v/>
      </c>
      <c r="V958" s="31">
        <f>IF($A958="","",IF($H958&lt;&gt;"Ausgabe",0,-$E958-$U958))</f>
        <v/>
      </c>
      <c r="W958" s="33">
        <f>IF($A958="","",DATE(YEAR($A958),MONTH($A958),1))</f>
        <v/>
      </c>
      <c r="X958" s="34">
        <f>IF(OR($A958="",$H958&lt;&gt;"Ausgabe",J958=""),0,IF(J958="x",-$E958/(COUNTIF($J958:$Q958,"x")+1),-$E958*N(J958)))</f>
        <v/>
      </c>
      <c r="Y958" s="34">
        <f>IF(OR($A958="",$H958&lt;&gt;"Ausgabe",K958=""),0,IF(K958="x",-$E958/(COUNTIF($J958:$Q958,"x")+1),-$E958*N(K958)))</f>
        <v/>
      </c>
      <c r="Z958" s="34">
        <f>IF(OR($A958="",$H958&lt;&gt;"Ausgabe",L958=""),0,IF(L958="x",-$E958/(COUNTIF($J958:$Q958,"x")+1),-$E958*N(L958)))</f>
        <v/>
      </c>
      <c r="AA958" s="34">
        <f>IF(OR($A958="",$H958&lt;&gt;"Ausgabe",M958=""),0,IF(M958="x",-$E958/(COUNTIF($J958:$Q958,"x")+1),-$E958*N(M958)))</f>
        <v/>
      </c>
      <c r="AB958" s="34">
        <f>IF(OR($A958="",$H958&lt;&gt;"Ausgabe",N958=""),0,IF(N958="x",-$E958/(COUNTIF($J958:$Q958,"x")+1),-$E958*N(N958)))</f>
        <v/>
      </c>
      <c r="AC958" s="34">
        <f>IF(OR($A958="",$H958&lt;&gt;"Ausgabe",O958=""),0,IF(O958="x",-$E958/(COUNTIF($J958:$Q958,"x")+1),-$E958*N(O958)))</f>
        <v/>
      </c>
      <c r="AD958" s="34">
        <f>IF(OR($A958="",$H958&lt;&gt;"Ausgabe",P958=""),0,IF(P958="x",-$E958/(COUNTIF($J958:$Q958,"x")+1),-$E958*N(P958)))</f>
        <v/>
      </c>
      <c r="AE958" s="34">
        <f>IF(OR($A958="",$H958&lt;&gt;"Ausgabe",Q958=""),0,IF(Q958="x",-$E958/(COUNTIF($J958:$Q958,"x")+1),-$E958*N(Q958)))</f>
        <v/>
      </c>
    </row>
    <row r="959">
      <c r="A959" s="30" t="n"/>
      <c r="E959" s="31" t="n"/>
      <c r="J959" s="32" t="n"/>
      <c r="K959" s="32" t="n"/>
      <c r="L959" s="32" t="n"/>
      <c r="M959" s="32" t="n"/>
      <c r="N959" s="32" t="n"/>
      <c r="O959" s="32" t="n"/>
      <c r="P959" s="32" t="n"/>
      <c r="Q959" s="32" t="n"/>
      <c r="U959" s="31">
        <f>IF($A959="","",SUM(X959:AE959))</f>
        <v/>
      </c>
      <c r="V959" s="31">
        <f>IF($A959="","",IF($H959&lt;&gt;"Ausgabe",0,-$E959-$U959))</f>
        <v/>
      </c>
      <c r="W959" s="33">
        <f>IF($A959="","",DATE(YEAR($A959),MONTH($A959),1))</f>
        <v/>
      </c>
      <c r="X959" s="34">
        <f>IF(OR($A959="",$H959&lt;&gt;"Ausgabe",J959=""),0,IF(J959="x",-$E959/(COUNTIF($J959:$Q959,"x")+1),-$E959*N(J959)))</f>
        <v/>
      </c>
      <c r="Y959" s="34">
        <f>IF(OR($A959="",$H959&lt;&gt;"Ausgabe",K959=""),0,IF(K959="x",-$E959/(COUNTIF($J959:$Q959,"x")+1),-$E959*N(K959)))</f>
        <v/>
      </c>
      <c r="Z959" s="34">
        <f>IF(OR($A959="",$H959&lt;&gt;"Ausgabe",L959=""),0,IF(L959="x",-$E959/(COUNTIF($J959:$Q959,"x")+1),-$E959*N(L959)))</f>
        <v/>
      </c>
      <c r="AA959" s="34">
        <f>IF(OR($A959="",$H959&lt;&gt;"Ausgabe",M959=""),0,IF(M959="x",-$E959/(COUNTIF($J959:$Q959,"x")+1),-$E959*N(M959)))</f>
        <v/>
      </c>
      <c r="AB959" s="34">
        <f>IF(OR($A959="",$H959&lt;&gt;"Ausgabe",N959=""),0,IF(N959="x",-$E959/(COUNTIF($J959:$Q959,"x")+1),-$E959*N(N959)))</f>
        <v/>
      </c>
      <c r="AC959" s="34">
        <f>IF(OR($A959="",$H959&lt;&gt;"Ausgabe",O959=""),0,IF(O959="x",-$E959/(COUNTIF($J959:$Q959,"x")+1),-$E959*N(O959)))</f>
        <v/>
      </c>
      <c r="AD959" s="34">
        <f>IF(OR($A959="",$H959&lt;&gt;"Ausgabe",P959=""),0,IF(P959="x",-$E959/(COUNTIF($J959:$Q959,"x")+1),-$E959*N(P959)))</f>
        <v/>
      </c>
      <c r="AE959" s="34">
        <f>IF(OR($A959="",$H959&lt;&gt;"Ausgabe",Q959=""),0,IF(Q959="x",-$E959/(COUNTIF($J959:$Q959,"x")+1),-$E959*N(Q959)))</f>
        <v/>
      </c>
    </row>
    <row r="960">
      <c r="A960" s="30" t="n"/>
      <c r="E960" s="31" t="n"/>
      <c r="J960" s="32" t="n"/>
      <c r="K960" s="32" t="n"/>
      <c r="L960" s="32" t="n"/>
      <c r="M960" s="32" t="n"/>
      <c r="N960" s="32" t="n"/>
      <c r="O960" s="32" t="n"/>
      <c r="P960" s="32" t="n"/>
      <c r="Q960" s="32" t="n"/>
      <c r="U960" s="31">
        <f>IF($A960="","",SUM(X960:AE960))</f>
        <v/>
      </c>
      <c r="V960" s="31">
        <f>IF($A960="","",IF($H960&lt;&gt;"Ausgabe",0,-$E960-$U960))</f>
        <v/>
      </c>
      <c r="W960" s="33">
        <f>IF($A960="","",DATE(YEAR($A960),MONTH($A960),1))</f>
        <v/>
      </c>
      <c r="X960" s="34">
        <f>IF(OR($A960="",$H960&lt;&gt;"Ausgabe",J960=""),0,IF(J960="x",-$E960/(COUNTIF($J960:$Q960,"x")+1),-$E960*N(J960)))</f>
        <v/>
      </c>
      <c r="Y960" s="34">
        <f>IF(OR($A960="",$H960&lt;&gt;"Ausgabe",K960=""),0,IF(K960="x",-$E960/(COUNTIF($J960:$Q960,"x")+1),-$E960*N(K960)))</f>
        <v/>
      </c>
      <c r="Z960" s="34">
        <f>IF(OR($A960="",$H960&lt;&gt;"Ausgabe",L960=""),0,IF(L960="x",-$E960/(COUNTIF($J960:$Q960,"x")+1),-$E960*N(L960)))</f>
        <v/>
      </c>
      <c r="AA960" s="34">
        <f>IF(OR($A960="",$H960&lt;&gt;"Ausgabe",M960=""),0,IF(M960="x",-$E960/(COUNTIF($J960:$Q960,"x")+1),-$E960*N(M960)))</f>
        <v/>
      </c>
      <c r="AB960" s="34">
        <f>IF(OR($A960="",$H960&lt;&gt;"Ausgabe",N960=""),0,IF(N960="x",-$E960/(COUNTIF($J960:$Q960,"x")+1),-$E960*N(N960)))</f>
        <v/>
      </c>
      <c r="AC960" s="34">
        <f>IF(OR($A960="",$H960&lt;&gt;"Ausgabe",O960=""),0,IF(O960="x",-$E960/(COUNTIF($J960:$Q960,"x")+1),-$E960*N(O960)))</f>
        <v/>
      </c>
      <c r="AD960" s="34">
        <f>IF(OR($A960="",$H960&lt;&gt;"Ausgabe",P960=""),0,IF(P960="x",-$E960/(COUNTIF($J960:$Q960,"x")+1),-$E960*N(P960)))</f>
        <v/>
      </c>
      <c r="AE960" s="34">
        <f>IF(OR($A960="",$H960&lt;&gt;"Ausgabe",Q960=""),0,IF(Q960="x",-$E960/(COUNTIF($J960:$Q960,"x")+1),-$E960*N(Q960)))</f>
        <v/>
      </c>
    </row>
    <row r="961">
      <c r="A961" s="30" t="n"/>
      <c r="E961" s="31" t="n"/>
      <c r="J961" s="32" t="n"/>
      <c r="K961" s="32" t="n"/>
      <c r="L961" s="32" t="n"/>
      <c r="M961" s="32" t="n"/>
      <c r="N961" s="32" t="n"/>
      <c r="O961" s="32" t="n"/>
      <c r="P961" s="32" t="n"/>
      <c r="Q961" s="32" t="n"/>
      <c r="U961" s="31">
        <f>IF($A961="","",SUM(X961:AE961))</f>
        <v/>
      </c>
      <c r="V961" s="31">
        <f>IF($A961="","",IF($H961&lt;&gt;"Ausgabe",0,-$E961-$U961))</f>
        <v/>
      </c>
      <c r="W961" s="33">
        <f>IF($A961="","",DATE(YEAR($A961),MONTH($A961),1))</f>
        <v/>
      </c>
      <c r="X961" s="34">
        <f>IF(OR($A961="",$H961&lt;&gt;"Ausgabe",J961=""),0,IF(J961="x",-$E961/(COUNTIF($J961:$Q961,"x")+1),-$E961*N(J961)))</f>
        <v/>
      </c>
      <c r="Y961" s="34">
        <f>IF(OR($A961="",$H961&lt;&gt;"Ausgabe",K961=""),0,IF(K961="x",-$E961/(COUNTIF($J961:$Q961,"x")+1),-$E961*N(K961)))</f>
        <v/>
      </c>
      <c r="Z961" s="34">
        <f>IF(OR($A961="",$H961&lt;&gt;"Ausgabe",L961=""),0,IF(L961="x",-$E961/(COUNTIF($J961:$Q961,"x")+1),-$E961*N(L961)))</f>
        <v/>
      </c>
      <c r="AA961" s="34">
        <f>IF(OR($A961="",$H961&lt;&gt;"Ausgabe",M961=""),0,IF(M961="x",-$E961/(COUNTIF($J961:$Q961,"x")+1),-$E961*N(M961)))</f>
        <v/>
      </c>
      <c r="AB961" s="34">
        <f>IF(OR($A961="",$H961&lt;&gt;"Ausgabe",N961=""),0,IF(N961="x",-$E961/(COUNTIF($J961:$Q961,"x")+1),-$E961*N(N961)))</f>
        <v/>
      </c>
      <c r="AC961" s="34">
        <f>IF(OR($A961="",$H961&lt;&gt;"Ausgabe",O961=""),0,IF(O961="x",-$E961/(COUNTIF($J961:$Q961,"x")+1),-$E961*N(O961)))</f>
        <v/>
      </c>
      <c r="AD961" s="34">
        <f>IF(OR($A961="",$H961&lt;&gt;"Ausgabe",P961=""),0,IF(P961="x",-$E961/(COUNTIF($J961:$Q961,"x")+1),-$E961*N(P961)))</f>
        <v/>
      </c>
      <c r="AE961" s="34">
        <f>IF(OR($A961="",$H961&lt;&gt;"Ausgabe",Q961=""),0,IF(Q961="x",-$E961/(COUNTIF($J961:$Q961,"x")+1),-$E961*N(Q961)))</f>
        <v/>
      </c>
    </row>
    <row r="962">
      <c r="A962" s="30" t="n"/>
      <c r="E962" s="31" t="n"/>
      <c r="J962" s="32" t="n"/>
      <c r="K962" s="32" t="n"/>
      <c r="L962" s="32" t="n"/>
      <c r="M962" s="32" t="n"/>
      <c r="N962" s="32" t="n"/>
      <c r="O962" s="32" t="n"/>
      <c r="P962" s="32" t="n"/>
      <c r="Q962" s="32" t="n"/>
      <c r="U962" s="31">
        <f>IF($A962="","",SUM(X962:AE962))</f>
        <v/>
      </c>
      <c r="V962" s="31">
        <f>IF($A962="","",IF($H962&lt;&gt;"Ausgabe",0,-$E962-$U962))</f>
        <v/>
      </c>
      <c r="W962" s="33">
        <f>IF($A962="","",DATE(YEAR($A962),MONTH($A962),1))</f>
        <v/>
      </c>
      <c r="X962" s="34">
        <f>IF(OR($A962="",$H962&lt;&gt;"Ausgabe",J962=""),0,IF(J962="x",-$E962/(COUNTIF($J962:$Q962,"x")+1),-$E962*N(J962)))</f>
        <v/>
      </c>
      <c r="Y962" s="34">
        <f>IF(OR($A962="",$H962&lt;&gt;"Ausgabe",K962=""),0,IF(K962="x",-$E962/(COUNTIF($J962:$Q962,"x")+1),-$E962*N(K962)))</f>
        <v/>
      </c>
      <c r="Z962" s="34">
        <f>IF(OR($A962="",$H962&lt;&gt;"Ausgabe",L962=""),0,IF(L962="x",-$E962/(COUNTIF($J962:$Q962,"x")+1),-$E962*N(L962)))</f>
        <v/>
      </c>
      <c r="AA962" s="34">
        <f>IF(OR($A962="",$H962&lt;&gt;"Ausgabe",M962=""),0,IF(M962="x",-$E962/(COUNTIF($J962:$Q962,"x")+1),-$E962*N(M962)))</f>
        <v/>
      </c>
      <c r="AB962" s="34">
        <f>IF(OR($A962="",$H962&lt;&gt;"Ausgabe",N962=""),0,IF(N962="x",-$E962/(COUNTIF($J962:$Q962,"x")+1),-$E962*N(N962)))</f>
        <v/>
      </c>
      <c r="AC962" s="34">
        <f>IF(OR($A962="",$H962&lt;&gt;"Ausgabe",O962=""),0,IF(O962="x",-$E962/(COUNTIF($J962:$Q962,"x")+1),-$E962*N(O962)))</f>
        <v/>
      </c>
      <c r="AD962" s="34">
        <f>IF(OR($A962="",$H962&lt;&gt;"Ausgabe",P962=""),0,IF(P962="x",-$E962/(COUNTIF($J962:$Q962,"x")+1),-$E962*N(P962)))</f>
        <v/>
      </c>
      <c r="AE962" s="34">
        <f>IF(OR($A962="",$H962&lt;&gt;"Ausgabe",Q962=""),0,IF(Q962="x",-$E962/(COUNTIF($J962:$Q962,"x")+1),-$E962*N(Q962)))</f>
        <v/>
      </c>
    </row>
    <row r="963">
      <c r="A963" s="30" t="n"/>
      <c r="E963" s="31" t="n"/>
      <c r="J963" s="32" t="n"/>
      <c r="K963" s="32" t="n"/>
      <c r="L963" s="32" t="n"/>
      <c r="M963" s="32" t="n"/>
      <c r="N963" s="32" t="n"/>
      <c r="O963" s="32" t="n"/>
      <c r="P963" s="32" t="n"/>
      <c r="Q963" s="32" t="n"/>
      <c r="U963" s="31">
        <f>IF($A963="","",SUM(X963:AE963))</f>
        <v/>
      </c>
      <c r="V963" s="31">
        <f>IF($A963="","",IF($H963&lt;&gt;"Ausgabe",0,-$E963-$U963))</f>
        <v/>
      </c>
      <c r="W963" s="33">
        <f>IF($A963="","",DATE(YEAR($A963),MONTH($A963),1))</f>
        <v/>
      </c>
      <c r="X963" s="34">
        <f>IF(OR($A963="",$H963&lt;&gt;"Ausgabe",J963=""),0,IF(J963="x",-$E963/(COUNTIF($J963:$Q963,"x")+1),-$E963*N(J963)))</f>
        <v/>
      </c>
      <c r="Y963" s="34">
        <f>IF(OR($A963="",$H963&lt;&gt;"Ausgabe",K963=""),0,IF(K963="x",-$E963/(COUNTIF($J963:$Q963,"x")+1),-$E963*N(K963)))</f>
        <v/>
      </c>
      <c r="Z963" s="34">
        <f>IF(OR($A963="",$H963&lt;&gt;"Ausgabe",L963=""),0,IF(L963="x",-$E963/(COUNTIF($J963:$Q963,"x")+1),-$E963*N(L963)))</f>
        <v/>
      </c>
      <c r="AA963" s="34">
        <f>IF(OR($A963="",$H963&lt;&gt;"Ausgabe",M963=""),0,IF(M963="x",-$E963/(COUNTIF($J963:$Q963,"x")+1),-$E963*N(M963)))</f>
        <v/>
      </c>
      <c r="AB963" s="34">
        <f>IF(OR($A963="",$H963&lt;&gt;"Ausgabe",N963=""),0,IF(N963="x",-$E963/(COUNTIF($J963:$Q963,"x")+1),-$E963*N(N963)))</f>
        <v/>
      </c>
      <c r="AC963" s="34">
        <f>IF(OR($A963="",$H963&lt;&gt;"Ausgabe",O963=""),0,IF(O963="x",-$E963/(COUNTIF($J963:$Q963,"x")+1),-$E963*N(O963)))</f>
        <v/>
      </c>
      <c r="AD963" s="34">
        <f>IF(OR($A963="",$H963&lt;&gt;"Ausgabe",P963=""),0,IF(P963="x",-$E963/(COUNTIF($J963:$Q963,"x")+1),-$E963*N(P963)))</f>
        <v/>
      </c>
      <c r="AE963" s="34">
        <f>IF(OR($A963="",$H963&lt;&gt;"Ausgabe",Q963=""),0,IF(Q963="x",-$E963/(COUNTIF($J963:$Q963,"x")+1),-$E963*N(Q963)))</f>
        <v/>
      </c>
    </row>
    <row r="964">
      <c r="A964" s="30" t="n"/>
      <c r="E964" s="31" t="n"/>
      <c r="J964" s="32" t="n"/>
      <c r="K964" s="32" t="n"/>
      <c r="L964" s="32" t="n"/>
      <c r="M964" s="32" t="n"/>
      <c r="N964" s="32" t="n"/>
      <c r="O964" s="32" t="n"/>
      <c r="P964" s="32" t="n"/>
      <c r="Q964" s="32" t="n"/>
      <c r="U964" s="31">
        <f>IF($A964="","",SUM(X964:AE964))</f>
        <v/>
      </c>
      <c r="V964" s="31">
        <f>IF($A964="","",IF($H964&lt;&gt;"Ausgabe",0,-$E964-$U964))</f>
        <v/>
      </c>
      <c r="W964" s="33">
        <f>IF($A964="","",DATE(YEAR($A964),MONTH($A964),1))</f>
        <v/>
      </c>
      <c r="X964" s="34">
        <f>IF(OR($A964="",$H964&lt;&gt;"Ausgabe",J964=""),0,IF(J964="x",-$E964/(COUNTIF($J964:$Q964,"x")+1),-$E964*N(J964)))</f>
        <v/>
      </c>
      <c r="Y964" s="34">
        <f>IF(OR($A964="",$H964&lt;&gt;"Ausgabe",K964=""),0,IF(K964="x",-$E964/(COUNTIF($J964:$Q964,"x")+1),-$E964*N(K964)))</f>
        <v/>
      </c>
      <c r="Z964" s="34">
        <f>IF(OR($A964="",$H964&lt;&gt;"Ausgabe",L964=""),0,IF(L964="x",-$E964/(COUNTIF($J964:$Q964,"x")+1),-$E964*N(L964)))</f>
        <v/>
      </c>
      <c r="AA964" s="34">
        <f>IF(OR($A964="",$H964&lt;&gt;"Ausgabe",M964=""),0,IF(M964="x",-$E964/(COUNTIF($J964:$Q964,"x")+1),-$E964*N(M964)))</f>
        <v/>
      </c>
      <c r="AB964" s="34">
        <f>IF(OR($A964="",$H964&lt;&gt;"Ausgabe",N964=""),0,IF(N964="x",-$E964/(COUNTIF($J964:$Q964,"x")+1),-$E964*N(N964)))</f>
        <v/>
      </c>
      <c r="AC964" s="34">
        <f>IF(OR($A964="",$H964&lt;&gt;"Ausgabe",O964=""),0,IF(O964="x",-$E964/(COUNTIF($J964:$Q964,"x")+1),-$E964*N(O964)))</f>
        <v/>
      </c>
      <c r="AD964" s="34">
        <f>IF(OR($A964="",$H964&lt;&gt;"Ausgabe",P964=""),0,IF(P964="x",-$E964/(COUNTIF($J964:$Q964,"x")+1),-$E964*N(P964)))</f>
        <v/>
      </c>
      <c r="AE964" s="34">
        <f>IF(OR($A964="",$H964&lt;&gt;"Ausgabe",Q964=""),0,IF(Q964="x",-$E964/(COUNTIF($J964:$Q964,"x")+1),-$E964*N(Q964)))</f>
        <v/>
      </c>
    </row>
    <row r="965">
      <c r="A965" s="30" t="n"/>
      <c r="E965" s="31" t="n"/>
      <c r="J965" s="32" t="n"/>
      <c r="K965" s="32" t="n"/>
      <c r="L965" s="32" t="n"/>
      <c r="M965" s="32" t="n"/>
      <c r="N965" s="32" t="n"/>
      <c r="O965" s="32" t="n"/>
      <c r="P965" s="32" t="n"/>
      <c r="Q965" s="32" t="n"/>
      <c r="U965" s="31">
        <f>IF($A965="","",SUM(X965:AE965))</f>
        <v/>
      </c>
      <c r="V965" s="31">
        <f>IF($A965="","",IF($H965&lt;&gt;"Ausgabe",0,-$E965-$U965))</f>
        <v/>
      </c>
      <c r="W965" s="33">
        <f>IF($A965="","",DATE(YEAR($A965),MONTH($A965),1))</f>
        <v/>
      </c>
      <c r="X965" s="34">
        <f>IF(OR($A965="",$H965&lt;&gt;"Ausgabe",J965=""),0,IF(J965="x",-$E965/(COUNTIF($J965:$Q965,"x")+1),-$E965*N(J965)))</f>
        <v/>
      </c>
      <c r="Y965" s="34">
        <f>IF(OR($A965="",$H965&lt;&gt;"Ausgabe",K965=""),0,IF(K965="x",-$E965/(COUNTIF($J965:$Q965,"x")+1),-$E965*N(K965)))</f>
        <v/>
      </c>
      <c r="Z965" s="34">
        <f>IF(OR($A965="",$H965&lt;&gt;"Ausgabe",L965=""),0,IF(L965="x",-$E965/(COUNTIF($J965:$Q965,"x")+1),-$E965*N(L965)))</f>
        <v/>
      </c>
      <c r="AA965" s="34">
        <f>IF(OR($A965="",$H965&lt;&gt;"Ausgabe",M965=""),0,IF(M965="x",-$E965/(COUNTIF($J965:$Q965,"x")+1),-$E965*N(M965)))</f>
        <v/>
      </c>
      <c r="AB965" s="34">
        <f>IF(OR($A965="",$H965&lt;&gt;"Ausgabe",N965=""),0,IF(N965="x",-$E965/(COUNTIF($J965:$Q965,"x")+1),-$E965*N(N965)))</f>
        <v/>
      </c>
      <c r="AC965" s="34">
        <f>IF(OR($A965="",$H965&lt;&gt;"Ausgabe",O965=""),0,IF(O965="x",-$E965/(COUNTIF($J965:$Q965,"x")+1),-$E965*N(O965)))</f>
        <v/>
      </c>
      <c r="AD965" s="34">
        <f>IF(OR($A965="",$H965&lt;&gt;"Ausgabe",P965=""),0,IF(P965="x",-$E965/(COUNTIF($J965:$Q965,"x")+1),-$E965*N(P965)))</f>
        <v/>
      </c>
      <c r="AE965" s="34">
        <f>IF(OR($A965="",$H965&lt;&gt;"Ausgabe",Q965=""),0,IF(Q965="x",-$E965/(COUNTIF($J965:$Q965,"x")+1),-$E965*N(Q965)))</f>
        <v/>
      </c>
    </row>
    <row r="966">
      <c r="A966" s="30" t="n"/>
      <c r="E966" s="31" t="n"/>
      <c r="J966" s="32" t="n"/>
      <c r="K966" s="32" t="n"/>
      <c r="L966" s="32" t="n"/>
      <c r="M966" s="32" t="n"/>
      <c r="N966" s="32" t="n"/>
      <c r="O966" s="32" t="n"/>
      <c r="P966" s="32" t="n"/>
      <c r="Q966" s="32" t="n"/>
      <c r="U966" s="31">
        <f>IF($A966="","",SUM(X966:AE966))</f>
        <v/>
      </c>
      <c r="V966" s="31">
        <f>IF($A966="","",IF($H966&lt;&gt;"Ausgabe",0,-$E966-$U966))</f>
        <v/>
      </c>
      <c r="W966" s="33">
        <f>IF($A966="","",DATE(YEAR($A966),MONTH($A966),1))</f>
        <v/>
      </c>
      <c r="X966" s="34">
        <f>IF(OR($A966="",$H966&lt;&gt;"Ausgabe",J966=""),0,IF(J966="x",-$E966/(COUNTIF($J966:$Q966,"x")+1),-$E966*N(J966)))</f>
        <v/>
      </c>
      <c r="Y966" s="34">
        <f>IF(OR($A966="",$H966&lt;&gt;"Ausgabe",K966=""),0,IF(K966="x",-$E966/(COUNTIF($J966:$Q966,"x")+1),-$E966*N(K966)))</f>
        <v/>
      </c>
      <c r="Z966" s="34">
        <f>IF(OR($A966="",$H966&lt;&gt;"Ausgabe",L966=""),0,IF(L966="x",-$E966/(COUNTIF($J966:$Q966,"x")+1),-$E966*N(L966)))</f>
        <v/>
      </c>
      <c r="AA966" s="34">
        <f>IF(OR($A966="",$H966&lt;&gt;"Ausgabe",M966=""),0,IF(M966="x",-$E966/(COUNTIF($J966:$Q966,"x")+1),-$E966*N(M966)))</f>
        <v/>
      </c>
      <c r="AB966" s="34">
        <f>IF(OR($A966="",$H966&lt;&gt;"Ausgabe",N966=""),0,IF(N966="x",-$E966/(COUNTIF($J966:$Q966,"x")+1),-$E966*N(N966)))</f>
        <v/>
      </c>
      <c r="AC966" s="34">
        <f>IF(OR($A966="",$H966&lt;&gt;"Ausgabe",O966=""),0,IF(O966="x",-$E966/(COUNTIF($J966:$Q966,"x")+1),-$E966*N(O966)))</f>
        <v/>
      </c>
      <c r="AD966" s="34">
        <f>IF(OR($A966="",$H966&lt;&gt;"Ausgabe",P966=""),0,IF(P966="x",-$E966/(COUNTIF($J966:$Q966,"x")+1),-$E966*N(P966)))</f>
        <v/>
      </c>
      <c r="AE966" s="34">
        <f>IF(OR($A966="",$H966&lt;&gt;"Ausgabe",Q966=""),0,IF(Q966="x",-$E966/(COUNTIF($J966:$Q966,"x")+1),-$E966*N(Q966)))</f>
        <v/>
      </c>
    </row>
    <row r="967">
      <c r="A967" s="30" t="n"/>
      <c r="E967" s="31" t="n"/>
      <c r="J967" s="32" t="n"/>
      <c r="K967" s="32" t="n"/>
      <c r="L967" s="32" t="n"/>
      <c r="M967" s="32" t="n"/>
      <c r="N967" s="32" t="n"/>
      <c r="O967" s="32" t="n"/>
      <c r="P967" s="32" t="n"/>
      <c r="Q967" s="32" t="n"/>
      <c r="U967" s="31">
        <f>IF($A967="","",SUM(X967:AE967))</f>
        <v/>
      </c>
      <c r="V967" s="31">
        <f>IF($A967="","",IF($H967&lt;&gt;"Ausgabe",0,-$E967-$U967))</f>
        <v/>
      </c>
      <c r="W967" s="33">
        <f>IF($A967="","",DATE(YEAR($A967),MONTH($A967),1))</f>
        <v/>
      </c>
      <c r="X967" s="34">
        <f>IF(OR($A967="",$H967&lt;&gt;"Ausgabe",J967=""),0,IF(J967="x",-$E967/(COUNTIF($J967:$Q967,"x")+1),-$E967*N(J967)))</f>
        <v/>
      </c>
      <c r="Y967" s="34">
        <f>IF(OR($A967="",$H967&lt;&gt;"Ausgabe",K967=""),0,IF(K967="x",-$E967/(COUNTIF($J967:$Q967,"x")+1),-$E967*N(K967)))</f>
        <v/>
      </c>
      <c r="Z967" s="34">
        <f>IF(OR($A967="",$H967&lt;&gt;"Ausgabe",L967=""),0,IF(L967="x",-$E967/(COUNTIF($J967:$Q967,"x")+1),-$E967*N(L967)))</f>
        <v/>
      </c>
      <c r="AA967" s="34">
        <f>IF(OR($A967="",$H967&lt;&gt;"Ausgabe",M967=""),0,IF(M967="x",-$E967/(COUNTIF($J967:$Q967,"x")+1),-$E967*N(M967)))</f>
        <v/>
      </c>
      <c r="AB967" s="34">
        <f>IF(OR($A967="",$H967&lt;&gt;"Ausgabe",N967=""),0,IF(N967="x",-$E967/(COUNTIF($J967:$Q967,"x")+1),-$E967*N(N967)))</f>
        <v/>
      </c>
      <c r="AC967" s="34">
        <f>IF(OR($A967="",$H967&lt;&gt;"Ausgabe",O967=""),0,IF(O967="x",-$E967/(COUNTIF($J967:$Q967,"x")+1),-$E967*N(O967)))</f>
        <v/>
      </c>
      <c r="AD967" s="34">
        <f>IF(OR($A967="",$H967&lt;&gt;"Ausgabe",P967=""),0,IF(P967="x",-$E967/(COUNTIF($J967:$Q967,"x")+1),-$E967*N(P967)))</f>
        <v/>
      </c>
      <c r="AE967" s="34">
        <f>IF(OR($A967="",$H967&lt;&gt;"Ausgabe",Q967=""),0,IF(Q967="x",-$E967/(COUNTIF($J967:$Q967,"x")+1),-$E967*N(Q967)))</f>
        <v/>
      </c>
    </row>
    <row r="968">
      <c r="A968" s="30" t="n"/>
      <c r="E968" s="31" t="n"/>
      <c r="J968" s="32" t="n"/>
      <c r="K968" s="32" t="n"/>
      <c r="L968" s="32" t="n"/>
      <c r="M968" s="32" t="n"/>
      <c r="N968" s="32" t="n"/>
      <c r="O968" s="32" t="n"/>
      <c r="P968" s="32" t="n"/>
      <c r="Q968" s="32" t="n"/>
      <c r="U968" s="31">
        <f>IF($A968="","",SUM(X968:AE968))</f>
        <v/>
      </c>
      <c r="V968" s="31">
        <f>IF($A968="","",IF($H968&lt;&gt;"Ausgabe",0,-$E968-$U968))</f>
        <v/>
      </c>
      <c r="W968" s="33">
        <f>IF($A968="","",DATE(YEAR($A968),MONTH($A968),1))</f>
        <v/>
      </c>
      <c r="X968" s="34">
        <f>IF(OR($A968="",$H968&lt;&gt;"Ausgabe",J968=""),0,IF(J968="x",-$E968/(COUNTIF($J968:$Q968,"x")+1),-$E968*N(J968)))</f>
        <v/>
      </c>
      <c r="Y968" s="34">
        <f>IF(OR($A968="",$H968&lt;&gt;"Ausgabe",K968=""),0,IF(K968="x",-$E968/(COUNTIF($J968:$Q968,"x")+1),-$E968*N(K968)))</f>
        <v/>
      </c>
      <c r="Z968" s="34">
        <f>IF(OR($A968="",$H968&lt;&gt;"Ausgabe",L968=""),0,IF(L968="x",-$E968/(COUNTIF($J968:$Q968,"x")+1),-$E968*N(L968)))</f>
        <v/>
      </c>
      <c r="AA968" s="34">
        <f>IF(OR($A968="",$H968&lt;&gt;"Ausgabe",M968=""),0,IF(M968="x",-$E968/(COUNTIF($J968:$Q968,"x")+1),-$E968*N(M968)))</f>
        <v/>
      </c>
      <c r="AB968" s="34">
        <f>IF(OR($A968="",$H968&lt;&gt;"Ausgabe",N968=""),0,IF(N968="x",-$E968/(COUNTIF($J968:$Q968,"x")+1),-$E968*N(N968)))</f>
        <v/>
      </c>
      <c r="AC968" s="34">
        <f>IF(OR($A968="",$H968&lt;&gt;"Ausgabe",O968=""),0,IF(O968="x",-$E968/(COUNTIF($J968:$Q968,"x")+1),-$E968*N(O968)))</f>
        <v/>
      </c>
      <c r="AD968" s="34">
        <f>IF(OR($A968="",$H968&lt;&gt;"Ausgabe",P968=""),0,IF(P968="x",-$E968/(COUNTIF($J968:$Q968,"x")+1),-$E968*N(P968)))</f>
        <v/>
      </c>
      <c r="AE968" s="34">
        <f>IF(OR($A968="",$H968&lt;&gt;"Ausgabe",Q968=""),0,IF(Q968="x",-$E968/(COUNTIF($J968:$Q968,"x")+1),-$E968*N(Q968)))</f>
        <v/>
      </c>
    </row>
    <row r="969">
      <c r="A969" s="30" t="n"/>
      <c r="E969" s="31" t="n"/>
      <c r="J969" s="32" t="n"/>
      <c r="K969" s="32" t="n"/>
      <c r="L969" s="32" t="n"/>
      <c r="M969" s="32" t="n"/>
      <c r="N969" s="32" t="n"/>
      <c r="O969" s="32" t="n"/>
      <c r="P969" s="32" t="n"/>
      <c r="Q969" s="32" t="n"/>
      <c r="U969" s="31">
        <f>IF($A969="","",SUM(X969:AE969))</f>
        <v/>
      </c>
      <c r="V969" s="31">
        <f>IF($A969="","",IF($H969&lt;&gt;"Ausgabe",0,-$E969-$U969))</f>
        <v/>
      </c>
      <c r="W969" s="33">
        <f>IF($A969="","",DATE(YEAR($A969),MONTH($A969),1))</f>
        <v/>
      </c>
      <c r="X969" s="34">
        <f>IF(OR($A969="",$H969&lt;&gt;"Ausgabe",J969=""),0,IF(J969="x",-$E969/(COUNTIF($J969:$Q969,"x")+1),-$E969*N(J969)))</f>
        <v/>
      </c>
      <c r="Y969" s="34">
        <f>IF(OR($A969="",$H969&lt;&gt;"Ausgabe",K969=""),0,IF(K969="x",-$E969/(COUNTIF($J969:$Q969,"x")+1),-$E969*N(K969)))</f>
        <v/>
      </c>
      <c r="Z969" s="34">
        <f>IF(OR($A969="",$H969&lt;&gt;"Ausgabe",L969=""),0,IF(L969="x",-$E969/(COUNTIF($J969:$Q969,"x")+1),-$E969*N(L969)))</f>
        <v/>
      </c>
      <c r="AA969" s="34">
        <f>IF(OR($A969="",$H969&lt;&gt;"Ausgabe",M969=""),0,IF(M969="x",-$E969/(COUNTIF($J969:$Q969,"x")+1),-$E969*N(M969)))</f>
        <v/>
      </c>
      <c r="AB969" s="34">
        <f>IF(OR($A969="",$H969&lt;&gt;"Ausgabe",N969=""),0,IF(N969="x",-$E969/(COUNTIF($J969:$Q969,"x")+1),-$E969*N(N969)))</f>
        <v/>
      </c>
      <c r="AC969" s="34">
        <f>IF(OR($A969="",$H969&lt;&gt;"Ausgabe",O969=""),0,IF(O969="x",-$E969/(COUNTIF($J969:$Q969,"x")+1),-$E969*N(O969)))</f>
        <v/>
      </c>
      <c r="AD969" s="34">
        <f>IF(OR($A969="",$H969&lt;&gt;"Ausgabe",P969=""),0,IF(P969="x",-$E969/(COUNTIF($J969:$Q969,"x")+1),-$E969*N(P969)))</f>
        <v/>
      </c>
      <c r="AE969" s="34">
        <f>IF(OR($A969="",$H969&lt;&gt;"Ausgabe",Q969=""),0,IF(Q969="x",-$E969/(COUNTIF($J969:$Q969,"x")+1),-$E969*N(Q969)))</f>
        <v/>
      </c>
    </row>
    <row r="970">
      <c r="A970" s="30" t="n"/>
      <c r="E970" s="31" t="n"/>
      <c r="J970" s="32" t="n"/>
      <c r="K970" s="32" t="n"/>
      <c r="L970" s="32" t="n"/>
      <c r="M970" s="32" t="n"/>
      <c r="N970" s="32" t="n"/>
      <c r="O970" s="32" t="n"/>
      <c r="P970" s="32" t="n"/>
      <c r="Q970" s="32" t="n"/>
      <c r="U970" s="31">
        <f>IF($A970="","",SUM(X970:AE970))</f>
        <v/>
      </c>
      <c r="V970" s="31">
        <f>IF($A970="","",IF($H970&lt;&gt;"Ausgabe",0,-$E970-$U970))</f>
        <v/>
      </c>
      <c r="W970" s="33">
        <f>IF($A970="","",DATE(YEAR($A970),MONTH($A970),1))</f>
        <v/>
      </c>
      <c r="X970" s="34">
        <f>IF(OR($A970="",$H970&lt;&gt;"Ausgabe",J970=""),0,IF(J970="x",-$E970/(COUNTIF($J970:$Q970,"x")+1),-$E970*N(J970)))</f>
        <v/>
      </c>
      <c r="Y970" s="34">
        <f>IF(OR($A970="",$H970&lt;&gt;"Ausgabe",K970=""),0,IF(K970="x",-$E970/(COUNTIF($J970:$Q970,"x")+1),-$E970*N(K970)))</f>
        <v/>
      </c>
      <c r="Z970" s="34">
        <f>IF(OR($A970="",$H970&lt;&gt;"Ausgabe",L970=""),0,IF(L970="x",-$E970/(COUNTIF($J970:$Q970,"x")+1),-$E970*N(L970)))</f>
        <v/>
      </c>
      <c r="AA970" s="34">
        <f>IF(OR($A970="",$H970&lt;&gt;"Ausgabe",M970=""),0,IF(M970="x",-$E970/(COUNTIF($J970:$Q970,"x")+1),-$E970*N(M970)))</f>
        <v/>
      </c>
      <c r="AB970" s="34">
        <f>IF(OR($A970="",$H970&lt;&gt;"Ausgabe",N970=""),0,IF(N970="x",-$E970/(COUNTIF($J970:$Q970,"x")+1),-$E970*N(N970)))</f>
        <v/>
      </c>
      <c r="AC970" s="34">
        <f>IF(OR($A970="",$H970&lt;&gt;"Ausgabe",O970=""),0,IF(O970="x",-$E970/(COUNTIF($J970:$Q970,"x")+1),-$E970*N(O970)))</f>
        <v/>
      </c>
      <c r="AD970" s="34">
        <f>IF(OR($A970="",$H970&lt;&gt;"Ausgabe",P970=""),0,IF(P970="x",-$E970/(COUNTIF($J970:$Q970,"x")+1),-$E970*N(P970)))</f>
        <v/>
      </c>
      <c r="AE970" s="34">
        <f>IF(OR($A970="",$H970&lt;&gt;"Ausgabe",Q970=""),0,IF(Q970="x",-$E970/(COUNTIF($J970:$Q970,"x")+1),-$E970*N(Q970)))</f>
        <v/>
      </c>
    </row>
    <row r="971">
      <c r="A971" s="30" t="n"/>
      <c r="E971" s="31" t="n"/>
      <c r="J971" s="32" t="n"/>
      <c r="K971" s="32" t="n"/>
      <c r="L971" s="32" t="n"/>
      <c r="M971" s="32" t="n"/>
      <c r="N971" s="32" t="n"/>
      <c r="O971" s="32" t="n"/>
      <c r="P971" s="32" t="n"/>
      <c r="Q971" s="32" t="n"/>
      <c r="U971" s="31">
        <f>IF($A971="","",SUM(X971:AE971))</f>
        <v/>
      </c>
      <c r="V971" s="31">
        <f>IF($A971="","",IF($H971&lt;&gt;"Ausgabe",0,-$E971-$U971))</f>
        <v/>
      </c>
      <c r="W971" s="33">
        <f>IF($A971="","",DATE(YEAR($A971),MONTH($A971),1))</f>
        <v/>
      </c>
      <c r="X971" s="34">
        <f>IF(OR($A971="",$H971&lt;&gt;"Ausgabe",J971=""),0,IF(J971="x",-$E971/(COUNTIF($J971:$Q971,"x")+1),-$E971*N(J971)))</f>
        <v/>
      </c>
      <c r="Y971" s="34">
        <f>IF(OR($A971="",$H971&lt;&gt;"Ausgabe",K971=""),0,IF(K971="x",-$E971/(COUNTIF($J971:$Q971,"x")+1),-$E971*N(K971)))</f>
        <v/>
      </c>
      <c r="Z971" s="34">
        <f>IF(OR($A971="",$H971&lt;&gt;"Ausgabe",L971=""),0,IF(L971="x",-$E971/(COUNTIF($J971:$Q971,"x")+1),-$E971*N(L971)))</f>
        <v/>
      </c>
      <c r="AA971" s="34">
        <f>IF(OR($A971="",$H971&lt;&gt;"Ausgabe",M971=""),0,IF(M971="x",-$E971/(COUNTIF($J971:$Q971,"x")+1),-$E971*N(M971)))</f>
        <v/>
      </c>
      <c r="AB971" s="34">
        <f>IF(OR($A971="",$H971&lt;&gt;"Ausgabe",N971=""),0,IF(N971="x",-$E971/(COUNTIF($J971:$Q971,"x")+1),-$E971*N(N971)))</f>
        <v/>
      </c>
      <c r="AC971" s="34">
        <f>IF(OR($A971="",$H971&lt;&gt;"Ausgabe",O971=""),0,IF(O971="x",-$E971/(COUNTIF($J971:$Q971,"x")+1),-$E971*N(O971)))</f>
        <v/>
      </c>
      <c r="AD971" s="34">
        <f>IF(OR($A971="",$H971&lt;&gt;"Ausgabe",P971=""),0,IF(P971="x",-$E971/(COUNTIF($J971:$Q971,"x")+1),-$E971*N(P971)))</f>
        <v/>
      </c>
      <c r="AE971" s="34">
        <f>IF(OR($A971="",$H971&lt;&gt;"Ausgabe",Q971=""),0,IF(Q971="x",-$E971/(COUNTIF($J971:$Q971,"x")+1),-$E971*N(Q971)))</f>
        <v/>
      </c>
    </row>
    <row r="972">
      <c r="A972" s="30" t="n"/>
      <c r="E972" s="31" t="n"/>
      <c r="J972" s="32" t="n"/>
      <c r="K972" s="32" t="n"/>
      <c r="L972" s="32" t="n"/>
      <c r="M972" s="32" t="n"/>
      <c r="N972" s="32" t="n"/>
      <c r="O972" s="32" t="n"/>
      <c r="P972" s="32" t="n"/>
      <c r="Q972" s="32" t="n"/>
      <c r="U972" s="31">
        <f>IF($A972="","",SUM(X972:AE972))</f>
        <v/>
      </c>
      <c r="V972" s="31">
        <f>IF($A972="","",IF($H972&lt;&gt;"Ausgabe",0,-$E972-$U972))</f>
        <v/>
      </c>
      <c r="W972" s="33">
        <f>IF($A972="","",DATE(YEAR($A972),MONTH($A972),1))</f>
        <v/>
      </c>
      <c r="X972" s="34">
        <f>IF(OR($A972="",$H972&lt;&gt;"Ausgabe",J972=""),0,IF(J972="x",-$E972/(COUNTIF($J972:$Q972,"x")+1),-$E972*N(J972)))</f>
        <v/>
      </c>
      <c r="Y972" s="34">
        <f>IF(OR($A972="",$H972&lt;&gt;"Ausgabe",K972=""),0,IF(K972="x",-$E972/(COUNTIF($J972:$Q972,"x")+1),-$E972*N(K972)))</f>
        <v/>
      </c>
      <c r="Z972" s="34">
        <f>IF(OR($A972="",$H972&lt;&gt;"Ausgabe",L972=""),0,IF(L972="x",-$E972/(COUNTIF($J972:$Q972,"x")+1),-$E972*N(L972)))</f>
        <v/>
      </c>
      <c r="AA972" s="34">
        <f>IF(OR($A972="",$H972&lt;&gt;"Ausgabe",M972=""),0,IF(M972="x",-$E972/(COUNTIF($J972:$Q972,"x")+1),-$E972*N(M972)))</f>
        <v/>
      </c>
      <c r="AB972" s="34">
        <f>IF(OR($A972="",$H972&lt;&gt;"Ausgabe",N972=""),0,IF(N972="x",-$E972/(COUNTIF($J972:$Q972,"x")+1),-$E972*N(N972)))</f>
        <v/>
      </c>
      <c r="AC972" s="34">
        <f>IF(OR($A972="",$H972&lt;&gt;"Ausgabe",O972=""),0,IF(O972="x",-$E972/(COUNTIF($J972:$Q972,"x")+1),-$E972*N(O972)))</f>
        <v/>
      </c>
      <c r="AD972" s="34">
        <f>IF(OR($A972="",$H972&lt;&gt;"Ausgabe",P972=""),0,IF(P972="x",-$E972/(COUNTIF($J972:$Q972,"x")+1),-$E972*N(P972)))</f>
        <v/>
      </c>
      <c r="AE972" s="34">
        <f>IF(OR($A972="",$H972&lt;&gt;"Ausgabe",Q972=""),0,IF(Q972="x",-$E972/(COUNTIF($J972:$Q972,"x")+1),-$E972*N(Q972)))</f>
        <v/>
      </c>
    </row>
    <row r="973">
      <c r="A973" s="30" t="n"/>
      <c r="E973" s="31" t="n"/>
      <c r="J973" s="32" t="n"/>
      <c r="K973" s="32" t="n"/>
      <c r="L973" s="32" t="n"/>
      <c r="M973" s="32" t="n"/>
      <c r="N973" s="32" t="n"/>
      <c r="O973" s="32" t="n"/>
      <c r="P973" s="32" t="n"/>
      <c r="Q973" s="32" t="n"/>
      <c r="U973" s="31">
        <f>IF($A973="","",SUM(X973:AE973))</f>
        <v/>
      </c>
      <c r="V973" s="31">
        <f>IF($A973="","",IF($H973&lt;&gt;"Ausgabe",0,-$E973-$U973))</f>
        <v/>
      </c>
      <c r="W973" s="33">
        <f>IF($A973="","",DATE(YEAR($A973),MONTH($A973),1))</f>
        <v/>
      </c>
      <c r="X973" s="34">
        <f>IF(OR($A973="",$H973&lt;&gt;"Ausgabe",J973=""),0,IF(J973="x",-$E973/(COUNTIF($J973:$Q973,"x")+1),-$E973*N(J973)))</f>
        <v/>
      </c>
      <c r="Y973" s="34">
        <f>IF(OR($A973="",$H973&lt;&gt;"Ausgabe",K973=""),0,IF(K973="x",-$E973/(COUNTIF($J973:$Q973,"x")+1),-$E973*N(K973)))</f>
        <v/>
      </c>
      <c r="Z973" s="34">
        <f>IF(OR($A973="",$H973&lt;&gt;"Ausgabe",L973=""),0,IF(L973="x",-$E973/(COUNTIF($J973:$Q973,"x")+1),-$E973*N(L973)))</f>
        <v/>
      </c>
      <c r="AA973" s="34">
        <f>IF(OR($A973="",$H973&lt;&gt;"Ausgabe",M973=""),0,IF(M973="x",-$E973/(COUNTIF($J973:$Q973,"x")+1),-$E973*N(M973)))</f>
        <v/>
      </c>
      <c r="AB973" s="34">
        <f>IF(OR($A973="",$H973&lt;&gt;"Ausgabe",N973=""),0,IF(N973="x",-$E973/(COUNTIF($J973:$Q973,"x")+1),-$E973*N(N973)))</f>
        <v/>
      </c>
      <c r="AC973" s="34">
        <f>IF(OR($A973="",$H973&lt;&gt;"Ausgabe",O973=""),0,IF(O973="x",-$E973/(COUNTIF($J973:$Q973,"x")+1),-$E973*N(O973)))</f>
        <v/>
      </c>
      <c r="AD973" s="34">
        <f>IF(OR($A973="",$H973&lt;&gt;"Ausgabe",P973=""),0,IF(P973="x",-$E973/(COUNTIF($J973:$Q973,"x")+1),-$E973*N(P973)))</f>
        <v/>
      </c>
      <c r="AE973" s="34">
        <f>IF(OR($A973="",$H973&lt;&gt;"Ausgabe",Q973=""),0,IF(Q973="x",-$E973/(COUNTIF($J973:$Q973,"x")+1),-$E973*N(Q973)))</f>
        <v/>
      </c>
    </row>
    <row r="974">
      <c r="A974" s="30" t="n"/>
      <c r="E974" s="31" t="n"/>
      <c r="J974" s="32" t="n"/>
      <c r="K974" s="32" t="n"/>
      <c r="L974" s="32" t="n"/>
      <c r="M974" s="32" t="n"/>
      <c r="N974" s="32" t="n"/>
      <c r="O974" s="32" t="n"/>
      <c r="P974" s="32" t="n"/>
      <c r="Q974" s="32" t="n"/>
      <c r="U974" s="31">
        <f>IF($A974="","",SUM(X974:AE974))</f>
        <v/>
      </c>
      <c r="V974" s="31">
        <f>IF($A974="","",IF($H974&lt;&gt;"Ausgabe",0,-$E974-$U974))</f>
        <v/>
      </c>
      <c r="W974" s="33">
        <f>IF($A974="","",DATE(YEAR($A974),MONTH($A974),1))</f>
        <v/>
      </c>
      <c r="X974" s="34">
        <f>IF(OR($A974="",$H974&lt;&gt;"Ausgabe",J974=""),0,IF(J974="x",-$E974/(COUNTIF($J974:$Q974,"x")+1),-$E974*N(J974)))</f>
        <v/>
      </c>
      <c r="Y974" s="34">
        <f>IF(OR($A974="",$H974&lt;&gt;"Ausgabe",K974=""),0,IF(K974="x",-$E974/(COUNTIF($J974:$Q974,"x")+1),-$E974*N(K974)))</f>
        <v/>
      </c>
      <c r="Z974" s="34">
        <f>IF(OR($A974="",$H974&lt;&gt;"Ausgabe",L974=""),0,IF(L974="x",-$E974/(COUNTIF($J974:$Q974,"x")+1),-$E974*N(L974)))</f>
        <v/>
      </c>
      <c r="AA974" s="34">
        <f>IF(OR($A974="",$H974&lt;&gt;"Ausgabe",M974=""),0,IF(M974="x",-$E974/(COUNTIF($J974:$Q974,"x")+1),-$E974*N(M974)))</f>
        <v/>
      </c>
      <c r="AB974" s="34">
        <f>IF(OR($A974="",$H974&lt;&gt;"Ausgabe",N974=""),0,IF(N974="x",-$E974/(COUNTIF($J974:$Q974,"x")+1),-$E974*N(N974)))</f>
        <v/>
      </c>
      <c r="AC974" s="34">
        <f>IF(OR($A974="",$H974&lt;&gt;"Ausgabe",O974=""),0,IF(O974="x",-$E974/(COUNTIF($J974:$Q974,"x")+1),-$E974*N(O974)))</f>
        <v/>
      </c>
      <c r="AD974" s="34">
        <f>IF(OR($A974="",$H974&lt;&gt;"Ausgabe",P974=""),0,IF(P974="x",-$E974/(COUNTIF($J974:$Q974,"x")+1),-$E974*N(P974)))</f>
        <v/>
      </c>
      <c r="AE974" s="34">
        <f>IF(OR($A974="",$H974&lt;&gt;"Ausgabe",Q974=""),0,IF(Q974="x",-$E974/(COUNTIF($J974:$Q974,"x")+1),-$E974*N(Q974)))</f>
        <v/>
      </c>
    </row>
    <row r="975">
      <c r="A975" s="30" t="n"/>
      <c r="E975" s="31" t="n"/>
      <c r="J975" s="32" t="n"/>
      <c r="K975" s="32" t="n"/>
      <c r="L975" s="32" t="n"/>
      <c r="M975" s="32" t="n"/>
      <c r="N975" s="32" t="n"/>
      <c r="O975" s="32" t="n"/>
      <c r="P975" s="32" t="n"/>
      <c r="Q975" s="32" t="n"/>
      <c r="U975" s="31">
        <f>IF($A975="","",SUM(X975:AE975))</f>
        <v/>
      </c>
      <c r="V975" s="31">
        <f>IF($A975="","",IF($H975&lt;&gt;"Ausgabe",0,-$E975-$U975))</f>
        <v/>
      </c>
      <c r="W975" s="33">
        <f>IF($A975="","",DATE(YEAR($A975),MONTH($A975),1))</f>
        <v/>
      </c>
      <c r="X975" s="34">
        <f>IF(OR($A975="",$H975&lt;&gt;"Ausgabe",J975=""),0,IF(J975="x",-$E975/(COUNTIF($J975:$Q975,"x")+1),-$E975*N(J975)))</f>
        <v/>
      </c>
      <c r="Y975" s="34">
        <f>IF(OR($A975="",$H975&lt;&gt;"Ausgabe",K975=""),0,IF(K975="x",-$E975/(COUNTIF($J975:$Q975,"x")+1),-$E975*N(K975)))</f>
        <v/>
      </c>
      <c r="Z975" s="34">
        <f>IF(OR($A975="",$H975&lt;&gt;"Ausgabe",L975=""),0,IF(L975="x",-$E975/(COUNTIF($J975:$Q975,"x")+1),-$E975*N(L975)))</f>
        <v/>
      </c>
      <c r="AA975" s="34">
        <f>IF(OR($A975="",$H975&lt;&gt;"Ausgabe",M975=""),0,IF(M975="x",-$E975/(COUNTIF($J975:$Q975,"x")+1),-$E975*N(M975)))</f>
        <v/>
      </c>
      <c r="AB975" s="34">
        <f>IF(OR($A975="",$H975&lt;&gt;"Ausgabe",N975=""),0,IF(N975="x",-$E975/(COUNTIF($J975:$Q975,"x")+1),-$E975*N(N975)))</f>
        <v/>
      </c>
      <c r="AC975" s="34">
        <f>IF(OR($A975="",$H975&lt;&gt;"Ausgabe",O975=""),0,IF(O975="x",-$E975/(COUNTIF($J975:$Q975,"x")+1),-$E975*N(O975)))</f>
        <v/>
      </c>
      <c r="AD975" s="34">
        <f>IF(OR($A975="",$H975&lt;&gt;"Ausgabe",P975=""),0,IF(P975="x",-$E975/(COUNTIF($J975:$Q975,"x")+1),-$E975*N(P975)))</f>
        <v/>
      </c>
      <c r="AE975" s="34">
        <f>IF(OR($A975="",$H975&lt;&gt;"Ausgabe",Q975=""),0,IF(Q975="x",-$E975/(COUNTIF($J975:$Q975,"x")+1),-$E975*N(Q975)))</f>
        <v/>
      </c>
    </row>
    <row r="976">
      <c r="A976" s="30" t="n"/>
      <c r="E976" s="31" t="n"/>
      <c r="J976" s="32" t="n"/>
      <c r="K976" s="32" t="n"/>
      <c r="L976" s="32" t="n"/>
      <c r="M976" s="32" t="n"/>
      <c r="N976" s="32" t="n"/>
      <c r="O976" s="32" t="n"/>
      <c r="P976" s="32" t="n"/>
      <c r="Q976" s="32" t="n"/>
      <c r="U976" s="31">
        <f>IF($A976="","",SUM(X976:AE976))</f>
        <v/>
      </c>
      <c r="V976" s="31">
        <f>IF($A976="","",IF($H976&lt;&gt;"Ausgabe",0,-$E976-$U976))</f>
        <v/>
      </c>
      <c r="W976" s="33">
        <f>IF($A976="","",DATE(YEAR($A976),MONTH($A976),1))</f>
        <v/>
      </c>
      <c r="X976" s="34">
        <f>IF(OR($A976="",$H976&lt;&gt;"Ausgabe",J976=""),0,IF(J976="x",-$E976/(COUNTIF($J976:$Q976,"x")+1),-$E976*N(J976)))</f>
        <v/>
      </c>
      <c r="Y976" s="34">
        <f>IF(OR($A976="",$H976&lt;&gt;"Ausgabe",K976=""),0,IF(K976="x",-$E976/(COUNTIF($J976:$Q976,"x")+1),-$E976*N(K976)))</f>
        <v/>
      </c>
      <c r="Z976" s="34">
        <f>IF(OR($A976="",$H976&lt;&gt;"Ausgabe",L976=""),0,IF(L976="x",-$E976/(COUNTIF($J976:$Q976,"x")+1),-$E976*N(L976)))</f>
        <v/>
      </c>
      <c r="AA976" s="34">
        <f>IF(OR($A976="",$H976&lt;&gt;"Ausgabe",M976=""),0,IF(M976="x",-$E976/(COUNTIF($J976:$Q976,"x")+1),-$E976*N(M976)))</f>
        <v/>
      </c>
      <c r="AB976" s="34">
        <f>IF(OR($A976="",$H976&lt;&gt;"Ausgabe",N976=""),0,IF(N976="x",-$E976/(COUNTIF($J976:$Q976,"x")+1),-$E976*N(N976)))</f>
        <v/>
      </c>
      <c r="AC976" s="34">
        <f>IF(OR($A976="",$H976&lt;&gt;"Ausgabe",O976=""),0,IF(O976="x",-$E976/(COUNTIF($J976:$Q976,"x")+1),-$E976*N(O976)))</f>
        <v/>
      </c>
      <c r="AD976" s="34">
        <f>IF(OR($A976="",$H976&lt;&gt;"Ausgabe",P976=""),0,IF(P976="x",-$E976/(COUNTIF($J976:$Q976,"x")+1),-$E976*N(P976)))</f>
        <v/>
      </c>
      <c r="AE976" s="34">
        <f>IF(OR($A976="",$H976&lt;&gt;"Ausgabe",Q976=""),0,IF(Q976="x",-$E976/(COUNTIF($J976:$Q976,"x")+1),-$E976*N(Q976)))</f>
        <v/>
      </c>
    </row>
    <row r="977">
      <c r="A977" s="30" t="n"/>
      <c r="E977" s="31" t="n"/>
      <c r="J977" s="32" t="n"/>
      <c r="K977" s="32" t="n"/>
      <c r="L977" s="32" t="n"/>
      <c r="M977" s="32" t="n"/>
      <c r="N977" s="32" t="n"/>
      <c r="O977" s="32" t="n"/>
      <c r="P977" s="32" t="n"/>
      <c r="Q977" s="32" t="n"/>
      <c r="U977" s="31">
        <f>IF($A977="","",SUM(X977:AE977))</f>
        <v/>
      </c>
      <c r="V977" s="31">
        <f>IF($A977="","",IF($H977&lt;&gt;"Ausgabe",0,-$E977-$U977))</f>
        <v/>
      </c>
      <c r="W977" s="33">
        <f>IF($A977="","",DATE(YEAR($A977),MONTH($A977),1))</f>
        <v/>
      </c>
      <c r="X977" s="34">
        <f>IF(OR($A977="",$H977&lt;&gt;"Ausgabe",J977=""),0,IF(J977="x",-$E977/(COUNTIF($J977:$Q977,"x")+1),-$E977*N(J977)))</f>
        <v/>
      </c>
      <c r="Y977" s="34">
        <f>IF(OR($A977="",$H977&lt;&gt;"Ausgabe",K977=""),0,IF(K977="x",-$E977/(COUNTIF($J977:$Q977,"x")+1),-$E977*N(K977)))</f>
        <v/>
      </c>
      <c r="Z977" s="34">
        <f>IF(OR($A977="",$H977&lt;&gt;"Ausgabe",L977=""),0,IF(L977="x",-$E977/(COUNTIF($J977:$Q977,"x")+1),-$E977*N(L977)))</f>
        <v/>
      </c>
      <c r="AA977" s="34">
        <f>IF(OR($A977="",$H977&lt;&gt;"Ausgabe",M977=""),0,IF(M977="x",-$E977/(COUNTIF($J977:$Q977,"x")+1),-$E977*N(M977)))</f>
        <v/>
      </c>
      <c r="AB977" s="34">
        <f>IF(OR($A977="",$H977&lt;&gt;"Ausgabe",N977=""),0,IF(N977="x",-$E977/(COUNTIF($J977:$Q977,"x")+1),-$E977*N(N977)))</f>
        <v/>
      </c>
      <c r="AC977" s="34">
        <f>IF(OR($A977="",$H977&lt;&gt;"Ausgabe",O977=""),0,IF(O977="x",-$E977/(COUNTIF($J977:$Q977,"x")+1),-$E977*N(O977)))</f>
        <v/>
      </c>
      <c r="AD977" s="34">
        <f>IF(OR($A977="",$H977&lt;&gt;"Ausgabe",P977=""),0,IF(P977="x",-$E977/(COUNTIF($J977:$Q977,"x")+1),-$E977*N(P977)))</f>
        <v/>
      </c>
      <c r="AE977" s="34">
        <f>IF(OR($A977="",$H977&lt;&gt;"Ausgabe",Q977=""),0,IF(Q977="x",-$E977/(COUNTIF($J977:$Q977,"x")+1),-$E977*N(Q977)))</f>
        <v/>
      </c>
    </row>
    <row r="978">
      <c r="A978" s="30" t="n"/>
      <c r="E978" s="31" t="n"/>
      <c r="J978" s="32" t="n"/>
      <c r="K978" s="32" t="n"/>
      <c r="L978" s="32" t="n"/>
      <c r="M978" s="32" t="n"/>
      <c r="N978" s="32" t="n"/>
      <c r="O978" s="32" t="n"/>
      <c r="P978" s="32" t="n"/>
      <c r="Q978" s="32" t="n"/>
      <c r="U978" s="31">
        <f>IF($A978="","",SUM(X978:AE978))</f>
        <v/>
      </c>
      <c r="V978" s="31">
        <f>IF($A978="","",IF($H978&lt;&gt;"Ausgabe",0,-$E978-$U978))</f>
        <v/>
      </c>
      <c r="W978" s="33">
        <f>IF($A978="","",DATE(YEAR($A978),MONTH($A978),1))</f>
        <v/>
      </c>
      <c r="X978" s="34">
        <f>IF(OR($A978="",$H978&lt;&gt;"Ausgabe",J978=""),0,IF(J978="x",-$E978/(COUNTIF($J978:$Q978,"x")+1),-$E978*N(J978)))</f>
        <v/>
      </c>
      <c r="Y978" s="34">
        <f>IF(OR($A978="",$H978&lt;&gt;"Ausgabe",K978=""),0,IF(K978="x",-$E978/(COUNTIF($J978:$Q978,"x")+1),-$E978*N(K978)))</f>
        <v/>
      </c>
      <c r="Z978" s="34">
        <f>IF(OR($A978="",$H978&lt;&gt;"Ausgabe",L978=""),0,IF(L978="x",-$E978/(COUNTIF($J978:$Q978,"x")+1),-$E978*N(L978)))</f>
        <v/>
      </c>
      <c r="AA978" s="34">
        <f>IF(OR($A978="",$H978&lt;&gt;"Ausgabe",M978=""),0,IF(M978="x",-$E978/(COUNTIF($J978:$Q978,"x")+1),-$E978*N(M978)))</f>
        <v/>
      </c>
      <c r="AB978" s="34">
        <f>IF(OR($A978="",$H978&lt;&gt;"Ausgabe",N978=""),0,IF(N978="x",-$E978/(COUNTIF($J978:$Q978,"x")+1),-$E978*N(N978)))</f>
        <v/>
      </c>
      <c r="AC978" s="34">
        <f>IF(OR($A978="",$H978&lt;&gt;"Ausgabe",O978=""),0,IF(O978="x",-$E978/(COUNTIF($J978:$Q978,"x")+1),-$E978*N(O978)))</f>
        <v/>
      </c>
      <c r="AD978" s="34">
        <f>IF(OR($A978="",$H978&lt;&gt;"Ausgabe",P978=""),0,IF(P978="x",-$E978/(COUNTIF($J978:$Q978,"x")+1),-$E978*N(P978)))</f>
        <v/>
      </c>
      <c r="AE978" s="34">
        <f>IF(OR($A978="",$H978&lt;&gt;"Ausgabe",Q978=""),0,IF(Q978="x",-$E978/(COUNTIF($J978:$Q978,"x")+1),-$E978*N(Q978)))</f>
        <v/>
      </c>
    </row>
    <row r="979">
      <c r="A979" s="30" t="n"/>
      <c r="E979" s="31" t="n"/>
      <c r="J979" s="32" t="n"/>
      <c r="K979" s="32" t="n"/>
      <c r="L979" s="32" t="n"/>
      <c r="M979" s="32" t="n"/>
      <c r="N979" s="32" t="n"/>
      <c r="O979" s="32" t="n"/>
      <c r="P979" s="32" t="n"/>
      <c r="Q979" s="32" t="n"/>
      <c r="U979" s="31">
        <f>IF($A979="","",SUM(X979:AE979))</f>
        <v/>
      </c>
      <c r="V979" s="31">
        <f>IF($A979="","",IF($H979&lt;&gt;"Ausgabe",0,-$E979-$U979))</f>
        <v/>
      </c>
      <c r="W979" s="33">
        <f>IF($A979="","",DATE(YEAR($A979),MONTH($A979),1))</f>
        <v/>
      </c>
      <c r="X979" s="34">
        <f>IF(OR($A979="",$H979&lt;&gt;"Ausgabe",J979=""),0,IF(J979="x",-$E979/(COUNTIF($J979:$Q979,"x")+1),-$E979*N(J979)))</f>
        <v/>
      </c>
      <c r="Y979" s="34">
        <f>IF(OR($A979="",$H979&lt;&gt;"Ausgabe",K979=""),0,IF(K979="x",-$E979/(COUNTIF($J979:$Q979,"x")+1),-$E979*N(K979)))</f>
        <v/>
      </c>
      <c r="Z979" s="34">
        <f>IF(OR($A979="",$H979&lt;&gt;"Ausgabe",L979=""),0,IF(L979="x",-$E979/(COUNTIF($J979:$Q979,"x")+1),-$E979*N(L979)))</f>
        <v/>
      </c>
      <c r="AA979" s="34">
        <f>IF(OR($A979="",$H979&lt;&gt;"Ausgabe",M979=""),0,IF(M979="x",-$E979/(COUNTIF($J979:$Q979,"x")+1),-$E979*N(M979)))</f>
        <v/>
      </c>
      <c r="AB979" s="34">
        <f>IF(OR($A979="",$H979&lt;&gt;"Ausgabe",N979=""),0,IF(N979="x",-$E979/(COUNTIF($J979:$Q979,"x")+1),-$E979*N(N979)))</f>
        <v/>
      </c>
      <c r="AC979" s="34">
        <f>IF(OR($A979="",$H979&lt;&gt;"Ausgabe",O979=""),0,IF(O979="x",-$E979/(COUNTIF($J979:$Q979,"x")+1),-$E979*N(O979)))</f>
        <v/>
      </c>
      <c r="AD979" s="34">
        <f>IF(OR($A979="",$H979&lt;&gt;"Ausgabe",P979=""),0,IF(P979="x",-$E979/(COUNTIF($J979:$Q979,"x")+1),-$E979*N(P979)))</f>
        <v/>
      </c>
      <c r="AE979" s="34">
        <f>IF(OR($A979="",$H979&lt;&gt;"Ausgabe",Q979=""),0,IF(Q979="x",-$E979/(COUNTIF($J979:$Q979,"x")+1),-$E979*N(Q979)))</f>
        <v/>
      </c>
    </row>
    <row r="980">
      <c r="A980" s="30" t="n"/>
      <c r="E980" s="31" t="n"/>
      <c r="J980" s="32" t="n"/>
      <c r="K980" s="32" t="n"/>
      <c r="L980" s="32" t="n"/>
      <c r="M980" s="32" t="n"/>
      <c r="N980" s="32" t="n"/>
      <c r="O980" s="32" t="n"/>
      <c r="P980" s="32" t="n"/>
      <c r="Q980" s="32" t="n"/>
      <c r="U980" s="31">
        <f>IF($A980="","",SUM(X980:AE980))</f>
        <v/>
      </c>
      <c r="V980" s="31">
        <f>IF($A980="","",IF($H980&lt;&gt;"Ausgabe",0,-$E980-$U980))</f>
        <v/>
      </c>
      <c r="W980" s="33">
        <f>IF($A980="","",DATE(YEAR($A980),MONTH($A980),1))</f>
        <v/>
      </c>
      <c r="X980" s="34">
        <f>IF(OR($A980="",$H980&lt;&gt;"Ausgabe",J980=""),0,IF(J980="x",-$E980/(COUNTIF($J980:$Q980,"x")+1),-$E980*N(J980)))</f>
        <v/>
      </c>
      <c r="Y980" s="34">
        <f>IF(OR($A980="",$H980&lt;&gt;"Ausgabe",K980=""),0,IF(K980="x",-$E980/(COUNTIF($J980:$Q980,"x")+1),-$E980*N(K980)))</f>
        <v/>
      </c>
      <c r="Z980" s="34">
        <f>IF(OR($A980="",$H980&lt;&gt;"Ausgabe",L980=""),0,IF(L980="x",-$E980/(COUNTIF($J980:$Q980,"x")+1),-$E980*N(L980)))</f>
        <v/>
      </c>
      <c r="AA980" s="34">
        <f>IF(OR($A980="",$H980&lt;&gt;"Ausgabe",M980=""),0,IF(M980="x",-$E980/(COUNTIF($J980:$Q980,"x")+1),-$E980*N(M980)))</f>
        <v/>
      </c>
      <c r="AB980" s="34">
        <f>IF(OR($A980="",$H980&lt;&gt;"Ausgabe",N980=""),0,IF(N980="x",-$E980/(COUNTIF($J980:$Q980,"x")+1),-$E980*N(N980)))</f>
        <v/>
      </c>
      <c r="AC980" s="34">
        <f>IF(OR($A980="",$H980&lt;&gt;"Ausgabe",O980=""),0,IF(O980="x",-$E980/(COUNTIF($J980:$Q980,"x")+1),-$E980*N(O980)))</f>
        <v/>
      </c>
      <c r="AD980" s="34">
        <f>IF(OR($A980="",$H980&lt;&gt;"Ausgabe",P980=""),0,IF(P980="x",-$E980/(COUNTIF($J980:$Q980,"x")+1),-$E980*N(P980)))</f>
        <v/>
      </c>
      <c r="AE980" s="34">
        <f>IF(OR($A980="",$H980&lt;&gt;"Ausgabe",Q980=""),0,IF(Q980="x",-$E980/(COUNTIF($J980:$Q980,"x")+1),-$E980*N(Q980)))</f>
        <v/>
      </c>
    </row>
    <row r="981">
      <c r="A981" s="30" t="n"/>
      <c r="E981" s="31" t="n"/>
      <c r="J981" s="32" t="n"/>
      <c r="K981" s="32" t="n"/>
      <c r="L981" s="32" t="n"/>
      <c r="M981" s="32" t="n"/>
      <c r="N981" s="32" t="n"/>
      <c r="O981" s="32" t="n"/>
      <c r="P981" s="32" t="n"/>
      <c r="Q981" s="32" t="n"/>
      <c r="U981" s="31">
        <f>IF($A981="","",SUM(X981:AE981))</f>
        <v/>
      </c>
      <c r="V981" s="31">
        <f>IF($A981="","",IF($H981&lt;&gt;"Ausgabe",0,-$E981-$U981))</f>
        <v/>
      </c>
      <c r="W981" s="33">
        <f>IF($A981="","",DATE(YEAR($A981),MONTH($A981),1))</f>
        <v/>
      </c>
      <c r="X981" s="34">
        <f>IF(OR($A981="",$H981&lt;&gt;"Ausgabe",J981=""),0,IF(J981="x",-$E981/(COUNTIF($J981:$Q981,"x")+1),-$E981*N(J981)))</f>
        <v/>
      </c>
      <c r="Y981" s="34">
        <f>IF(OR($A981="",$H981&lt;&gt;"Ausgabe",K981=""),0,IF(K981="x",-$E981/(COUNTIF($J981:$Q981,"x")+1),-$E981*N(K981)))</f>
        <v/>
      </c>
      <c r="Z981" s="34">
        <f>IF(OR($A981="",$H981&lt;&gt;"Ausgabe",L981=""),0,IF(L981="x",-$E981/(COUNTIF($J981:$Q981,"x")+1),-$E981*N(L981)))</f>
        <v/>
      </c>
      <c r="AA981" s="34">
        <f>IF(OR($A981="",$H981&lt;&gt;"Ausgabe",M981=""),0,IF(M981="x",-$E981/(COUNTIF($J981:$Q981,"x")+1),-$E981*N(M981)))</f>
        <v/>
      </c>
      <c r="AB981" s="34">
        <f>IF(OR($A981="",$H981&lt;&gt;"Ausgabe",N981=""),0,IF(N981="x",-$E981/(COUNTIF($J981:$Q981,"x")+1),-$E981*N(N981)))</f>
        <v/>
      </c>
      <c r="AC981" s="34">
        <f>IF(OR($A981="",$H981&lt;&gt;"Ausgabe",O981=""),0,IF(O981="x",-$E981/(COUNTIF($J981:$Q981,"x")+1),-$E981*N(O981)))</f>
        <v/>
      </c>
      <c r="AD981" s="34">
        <f>IF(OR($A981="",$H981&lt;&gt;"Ausgabe",P981=""),0,IF(P981="x",-$E981/(COUNTIF($J981:$Q981,"x")+1),-$E981*N(P981)))</f>
        <v/>
      </c>
      <c r="AE981" s="34">
        <f>IF(OR($A981="",$H981&lt;&gt;"Ausgabe",Q981=""),0,IF(Q981="x",-$E981/(COUNTIF($J981:$Q981,"x")+1),-$E981*N(Q981)))</f>
        <v/>
      </c>
    </row>
    <row r="982">
      <c r="A982" s="30" t="n"/>
      <c r="E982" s="31" t="n"/>
      <c r="J982" s="32" t="n"/>
      <c r="K982" s="32" t="n"/>
      <c r="L982" s="32" t="n"/>
      <c r="M982" s="32" t="n"/>
      <c r="N982" s="32" t="n"/>
      <c r="O982" s="32" t="n"/>
      <c r="P982" s="32" t="n"/>
      <c r="Q982" s="32" t="n"/>
      <c r="U982" s="31">
        <f>IF($A982="","",SUM(X982:AE982))</f>
        <v/>
      </c>
      <c r="V982" s="31">
        <f>IF($A982="","",IF($H982&lt;&gt;"Ausgabe",0,-$E982-$U982))</f>
        <v/>
      </c>
      <c r="W982" s="33">
        <f>IF($A982="","",DATE(YEAR($A982),MONTH($A982),1))</f>
        <v/>
      </c>
      <c r="X982" s="34">
        <f>IF(OR($A982="",$H982&lt;&gt;"Ausgabe",J982=""),0,IF(J982="x",-$E982/(COUNTIF($J982:$Q982,"x")+1),-$E982*N(J982)))</f>
        <v/>
      </c>
      <c r="Y982" s="34">
        <f>IF(OR($A982="",$H982&lt;&gt;"Ausgabe",K982=""),0,IF(K982="x",-$E982/(COUNTIF($J982:$Q982,"x")+1),-$E982*N(K982)))</f>
        <v/>
      </c>
      <c r="Z982" s="34">
        <f>IF(OR($A982="",$H982&lt;&gt;"Ausgabe",L982=""),0,IF(L982="x",-$E982/(COUNTIF($J982:$Q982,"x")+1),-$E982*N(L982)))</f>
        <v/>
      </c>
      <c r="AA982" s="34">
        <f>IF(OR($A982="",$H982&lt;&gt;"Ausgabe",M982=""),0,IF(M982="x",-$E982/(COUNTIF($J982:$Q982,"x")+1),-$E982*N(M982)))</f>
        <v/>
      </c>
      <c r="AB982" s="34">
        <f>IF(OR($A982="",$H982&lt;&gt;"Ausgabe",N982=""),0,IF(N982="x",-$E982/(COUNTIF($J982:$Q982,"x")+1),-$E982*N(N982)))</f>
        <v/>
      </c>
      <c r="AC982" s="34">
        <f>IF(OR($A982="",$H982&lt;&gt;"Ausgabe",O982=""),0,IF(O982="x",-$E982/(COUNTIF($J982:$Q982,"x")+1),-$E982*N(O982)))</f>
        <v/>
      </c>
      <c r="AD982" s="34">
        <f>IF(OR($A982="",$H982&lt;&gt;"Ausgabe",P982=""),0,IF(P982="x",-$E982/(COUNTIF($J982:$Q982,"x")+1),-$E982*N(P982)))</f>
        <v/>
      </c>
      <c r="AE982" s="34">
        <f>IF(OR($A982="",$H982&lt;&gt;"Ausgabe",Q982=""),0,IF(Q982="x",-$E982/(COUNTIF($J982:$Q982,"x")+1),-$E982*N(Q982)))</f>
        <v/>
      </c>
    </row>
    <row r="983">
      <c r="A983" s="30" t="n"/>
      <c r="E983" s="31" t="n"/>
      <c r="J983" s="32" t="n"/>
      <c r="K983" s="32" t="n"/>
      <c r="L983" s="32" t="n"/>
      <c r="M983" s="32" t="n"/>
      <c r="N983" s="32" t="n"/>
      <c r="O983" s="32" t="n"/>
      <c r="P983" s="32" t="n"/>
      <c r="Q983" s="32" t="n"/>
      <c r="U983" s="31">
        <f>IF($A983="","",SUM(X983:AE983))</f>
        <v/>
      </c>
      <c r="V983" s="31">
        <f>IF($A983="","",IF($H983&lt;&gt;"Ausgabe",0,-$E983-$U983))</f>
        <v/>
      </c>
      <c r="W983" s="33">
        <f>IF($A983="","",DATE(YEAR($A983),MONTH($A983),1))</f>
        <v/>
      </c>
      <c r="X983" s="34">
        <f>IF(OR($A983="",$H983&lt;&gt;"Ausgabe",J983=""),0,IF(J983="x",-$E983/(COUNTIF($J983:$Q983,"x")+1),-$E983*N(J983)))</f>
        <v/>
      </c>
      <c r="Y983" s="34">
        <f>IF(OR($A983="",$H983&lt;&gt;"Ausgabe",K983=""),0,IF(K983="x",-$E983/(COUNTIF($J983:$Q983,"x")+1),-$E983*N(K983)))</f>
        <v/>
      </c>
      <c r="Z983" s="34">
        <f>IF(OR($A983="",$H983&lt;&gt;"Ausgabe",L983=""),0,IF(L983="x",-$E983/(COUNTIF($J983:$Q983,"x")+1),-$E983*N(L983)))</f>
        <v/>
      </c>
      <c r="AA983" s="34">
        <f>IF(OR($A983="",$H983&lt;&gt;"Ausgabe",M983=""),0,IF(M983="x",-$E983/(COUNTIF($J983:$Q983,"x")+1),-$E983*N(M983)))</f>
        <v/>
      </c>
      <c r="AB983" s="34">
        <f>IF(OR($A983="",$H983&lt;&gt;"Ausgabe",N983=""),0,IF(N983="x",-$E983/(COUNTIF($J983:$Q983,"x")+1),-$E983*N(N983)))</f>
        <v/>
      </c>
      <c r="AC983" s="34">
        <f>IF(OR($A983="",$H983&lt;&gt;"Ausgabe",O983=""),0,IF(O983="x",-$E983/(COUNTIF($J983:$Q983,"x")+1),-$E983*N(O983)))</f>
        <v/>
      </c>
      <c r="AD983" s="34">
        <f>IF(OR($A983="",$H983&lt;&gt;"Ausgabe",P983=""),0,IF(P983="x",-$E983/(COUNTIF($J983:$Q983,"x")+1),-$E983*N(P983)))</f>
        <v/>
      </c>
      <c r="AE983" s="34">
        <f>IF(OR($A983="",$H983&lt;&gt;"Ausgabe",Q983=""),0,IF(Q983="x",-$E983/(COUNTIF($J983:$Q983,"x")+1),-$E983*N(Q983)))</f>
        <v/>
      </c>
    </row>
    <row r="984">
      <c r="A984" s="30" t="n"/>
      <c r="E984" s="31" t="n"/>
      <c r="J984" s="32" t="n"/>
      <c r="K984" s="32" t="n"/>
      <c r="L984" s="32" t="n"/>
      <c r="M984" s="32" t="n"/>
      <c r="N984" s="32" t="n"/>
      <c r="O984" s="32" t="n"/>
      <c r="P984" s="32" t="n"/>
      <c r="Q984" s="32" t="n"/>
      <c r="U984" s="31">
        <f>IF($A984="","",SUM(X984:AE984))</f>
        <v/>
      </c>
      <c r="V984" s="31">
        <f>IF($A984="","",IF($H984&lt;&gt;"Ausgabe",0,-$E984-$U984))</f>
        <v/>
      </c>
      <c r="W984" s="33">
        <f>IF($A984="","",DATE(YEAR($A984),MONTH($A984),1))</f>
        <v/>
      </c>
      <c r="X984" s="34">
        <f>IF(OR($A984="",$H984&lt;&gt;"Ausgabe",J984=""),0,IF(J984="x",-$E984/(COUNTIF($J984:$Q984,"x")+1),-$E984*N(J984)))</f>
        <v/>
      </c>
      <c r="Y984" s="34">
        <f>IF(OR($A984="",$H984&lt;&gt;"Ausgabe",K984=""),0,IF(K984="x",-$E984/(COUNTIF($J984:$Q984,"x")+1),-$E984*N(K984)))</f>
        <v/>
      </c>
      <c r="Z984" s="34">
        <f>IF(OR($A984="",$H984&lt;&gt;"Ausgabe",L984=""),0,IF(L984="x",-$E984/(COUNTIF($J984:$Q984,"x")+1),-$E984*N(L984)))</f>
        <v/>
      </c>
      <c r="AA984" s="34">
        <f>IF(OR($A984="",$H984&lt;&gt;"Ausgabe",M984=""),0,IF(M984="x",-$E984/(COUNTIF($J984:$Q984,"x")+1),-$E984*N(M984)))</f>
        <v/>
      </c>
      <c r="AB984" s="34">
        <f>IF(OR($A984="",$H984&lt;&gt;"Ausgabe",N984=""),0,IF(N984="x",-$E984/(COUNTIF($J984:$Q984,"x")+1),-$E984*N(N984)))</f>
        <v/>
      </c>
      <c r="AC984" s="34">
        <f>IF(OR($A984="",$H984&lt;&gt;"Ausgabe",O984=""),0,IF(O984="x",-$E984/(COUNTIF($J984:$Q984,"x")+1),-$E984*N(O984)))</f>
        <v/>
      </c>
      <c r="AD984" s="34">
        <f>IF(OR($A984="",$H984&lt;&gt;"Ausgabe",P984=""),0,IF(P984="x",-$E984/(COUNTIF($J984:$Q984,"x")+1),-$E984*N(P984)))</f>
        <v/>
      </c>
      <c r="AE984" s="34">
        <f>IF(OR($A984="",$H984&lt;&gt;"Ausgabe",Q984=""),0,IF(Q984="x",-$E984/(COUNTIF($J984:$Q984,"x")+1),-$E984*N(Q984)))</f>
        <v/>
      </c>
    </row>
    <row r="985">
      <c r="A985" s="30" t="n"/>
      <c r="E985" s="31" t="n"/>
      <c r="J985" s="32" t="n"/>
      <c r="K985" s="32" t="n"/>
      <c r="L985" s="32" t="n"/>
      <c r="M985" s="32" t="n"/>
      <c r="N985" s="32" t="n"/>
      <c r="O985" s="32" t="n"/>
      <c r="P985" s="32" t="n"/>
      <c r="Q985" s="32" t="n"/>
      <c r="U985" s="31">
        <f>IF($A985="","",SUM(X985:AE985))</f>
        <v/>
      </c>
      <c r="V985" s="31">
        <f>IF($A985="","",IF($H985&lt;&gt;"Ausgabe",0,-$E985-$U985))</f>
        <v/>
      </c>
      <c r="W985" s="33">
        <f>IF($A985="","",DATE(YEAR($A985),MONTH($A985),1))</f>
        <v/>
      </c>
      <c r="X985" s="34">
        <f>IF(OR($A985="",$H985&lt;&gt;"Ausgabe",J985=""),0,IF(J985="x",-$E985/(COUNTIF($J985:$Q985,"x")+1),-$E985*N(J985)))</f>
        <v/>
      </c>
      <c r="Y985" s="34">
        <f>IF(OR($A985="",$H985&lt;&gt;"Ausgabe",K985=""),0,IF(K985="x",-$E985/(COUNTIF($J985:$Q985,"x")+1),-$E985*N(K985)))</f>
        <v/>
      </c>
      <c r="Z985" s="34">
        <f>IF(OR($A985="",$H985&lt;&gt;"Ausgabe",L985=""),0,IF(L985="x",-$E985/(COUNTIF($J985:$Q985,"x")+1),-$E985*N(L985)))</f>
        <v/>
      </c>
      <c r="AA985" s="34">
        <f>IF(OR($A985="",$H985&lt;&gt;"Ausgabe",M985=""),0,IF(M985="x",-$E985/(COUNTIF($J985:$Q985,"x")+1),-$E985*N(M985)))</f>
        <v/>
      </c>
      <c r="AB985" s="34">
        <f>IF(OR($A985="",$H985&lt;&gt;"Ausgabe",N985=""),0,IF(N985="x",-$E985/(COUNTIF($J985:$Q985,"x")+1),-$E985*N(N985)))</f>
        <v/>
      </c>
      <c r="AC985" s="34">
        <f>IF(OR($A985="",$H985&lt;&gt;"Ausgabe",O985=""),0,IF(O985="x",-$E985/(COUNTIF($J985:$Q985,"x")+1),-$E985*N(O985)))</f>
        <v/>
      </c>
      <c r="AD985" s="34">
        <f>IF(OR($A985="",$H985&lt;&gt;"Ausgabe",P985=""),0,IF(P985="x",-$E985/(COUNTIF($J985:$Q985,"x")+1),-$E985*N(P985)))</f>
        <v/>
      </c>
      <c r="AE985" s="34">
        <f>IF(OR($A985="",$H985&lt;&gt;"Ausgabe",Q985=""),0,IF(Q985="x",-$E985/(COUNTIF($J985:$Q985,"x")+1),-$E985*N(Q985)))</f>
        <v/>
      </c>
    </row>
    <row r="986">
      <c r="A986" s="30" t="n"/>
      <c r="E986" s="31" t="n"/>
      <c r="J986" s="32" t="n"/>
      <c r="K986" s="32" t="n"/>
      <c r="L986" s="32" t="n"/>
      <c r="M986" s="32" t="n"/>
      <c r="N986" s="32" t="n"/>
      <c r="O986" s="32" t="n"/>
      <c r="P986" s="32" t="n"/>
      <c r="Q986" s="32" t="n"/>
      <c r="U986" s="31">
        <f>IF($A986="","",SUM(X986:AE986))</f>
        <v/>
      </c>
      <c r="V986" s="31">
        <f>IF($A986="","",IF($H986&lt;&gt;"Ausgabe",0,-$E986-$U986))</f>
        <v/>
      </c>
      <c r="W986" s="33">
        <f>IF($A986="","",DATE(YEAR($A986),MONTH($A986),1))</f>
        <v/>
      </c>
      <c r="X986" s="34">
        <f>IF(OR($A986="",$H986&lt;&gt;"Ausgabe",J986=""),0,IF(J986="x",-$E986/(COUNTIF($J986:$Q986,"x")+1),-$E986*N(J986)))</f>
        <v/>
      </c>
      <c r="Y986" s="34">
        <f>IF(OR($A986="",$H986&lt;&gt;"Ausgabe",K986=""),0,IF(K986="x",-$E986/(COUNTIF($J986:$Q986,"x")+1),-$E986*N(K986)))</f>
        <v/>
      </c>
      <c r="Z986" s="34">
        <f>IF(OR($A986="",$H986&lt;&gt;"Ausgabe",L986=""),0,IF(L986="x",-$E986/(COUNTIF($J986:$Q986,"x")+1),-$E986*N(L986)))</f>
        <v/>
      </c>
      <c r="AA986" s="34">
        <f>IF(OR($A986="",$H986&lt;&gt;"Ausgabe",M986=""),0,IF(M986="x",-$E986/(COUNTIF($J986:$Q986,"x")+1),-$E986*N(M986)))</f>
        <v/>
      </c>
      <c r="AB986" s="34">
        <f>IF(OR($A986="",$H986&lt;&gt;"Ausgabe",N986=""),0,IF(N986="x",-$E986/(COUNTIF($J986:$Q986,"x")+1),-$E986*N(N986)))</f>
        <v/>
      </c>
      <c r="AC986" s="34">
        <f>IF(OR($A986="",$H986&lt;&gt;"Ausgabe",O986=""),0,IF(O986="x",-$E986/(COUNTIF($J986:$Q986,"x")+1),-$E986*N(O986)))</f>
        <v/>
      </c>
      <c r="AD986" s="34">
        <f>IF(OR($A986="",$H986&lt;&gt;"Ausgabe",P986=""),0,IF(P986="x",-$E986/(COUNTIF($J986:$Q986,"x")+1),-$E986*N(P986)))</f>
        <v/>
      </c>
      <c r="AE986" s="34">
        <f>IF(OR($A986="",$H986&lt;&gt;"Ausgabe",Q986=""),0,IF(Q986="x",-$E986/(COUNTIF($J986:$Q986,"x")+1),-$E986*N(Q986)))</f>
        <v/>
      </c>
    </row>
    <row r="987">
      <c r="A987" s="30" t="n"/>
      <c r="E987" s="31" t="n"/>
      <c r="J987" s="32" t="n"/>
      <c r="K987" s="32" t="n"/>
      <c r="L987" s="32" t="n"/>
      <c r="M987" s="32" t="n"/>
      <c r="N987" s="32" t="n"/>
      <c r="O987" s="32" t="n"/>
      <c r="P987" s="32" t="n"/>
      <c r="Q987" s="32" t="n"/>
      <c r="U987" s="31">
        <f>IF($A987="","",SUM(X987:AE987))</f>
        <v/>
      </c>
      <c r="V987" s="31">
        <f>IF($A987="","",IF($H987&lt;&gt;"Ausgabe",0,-$E987-$U987))</f>
        <v/>
      </c>
      <c r="W987" s="33">
        <f>IF($A987="","",DATE(YEAR($A987),MONTH($A987),1))</f>
        <v/>
      </c>
      <c r="X987" s="34">
        <f>IF(OR($A987="",$H987&lt;&gt;"Ausgabe",J987=""),0,IF(J987="x",-$E987/(COUNTIF($J987:$Q987,"x")+1),-$E987*N(J987)))</f>
        <v/>
      </c>
      <c r="Y987" s="34">
        <f>IF(OR($A987="",$H987&lt;&gt;"Ausgabe",K987=""),0,IF(K987="x",-$E987/(COUNTIF($J987:$Q987,"x")+1),-$E987*N(K987)))</f>
        <v/>
      </c>
      <c r="Z987" s="34">
        <f>IF(OR($A987="",$H987&lt;&gt;"Ausgabe",L987=""),0,IF(L987="x",-$E987/(COUNTIF($J987:$Q987,"x")+1),-$E987*N(L987)))</f>
        <v/>
      </c>
      <c r="AA987" s="34">
        <f>IF(OR($A987="",$H987&lt;&gt;"Ausgabe",M987=""),0,IF(M987="x",-$E987/(COUNTIF($J987:$Q987,"x")+1),-$E987*N(M987)))</f>
        <v/>
      </c>
      <c r="AB987" s="34">
        <f>IF(OR($A987="",$H987&lt;&gt;"Ausgabe",N987=""),0,IF(N987="x",-$E987/(COUNTIF($J987:$Q987,"x")+1),-$E987*N(N987)))</f>
        <v/>
      </c>
      <c r="AC987" s="34">
        <f>IF(OR($A987="",$H987&lt;&gt;"Ausgabe",O987=""),0,IF(O987="x",-$E987/(COUNTIF($J987:$Q987,"x")+1),-$E987*N(O987)))</f>
        <v/>
      </c>
      <c r="AD987" s="34">
        <f>IF(OR($A987="",$H987&lt;&gt;"Ausgabe",P987=""),0,IF(P987="x",-$E987/(COUNTIF($J987:$Q987,"x")+1),-$E987*N(P987)))</f>
        <v/>
      </c>
      <c r="AE987" s="34">
        <f>IF(OR($A987="",$H987&lt;&gt;"Ausgabe",Q987=""),0,IF(Q987="x",-$E987/(COUNTIF($J987:$Q987,"x")+1),-$E987*N(Q987)))</f>
        <v/>
      </c>
    </row>
    <row r="988">
      <c r="A988" s="30" t="n"/>
      <c r="E988" s="31" t="n"/>
      <c r="J988" s="32" t="n"/>
      <c r="K988" s="32" t="n"/>
      <c r="L988" s="32" t="n"/>
      <c r="M988" s="32" t="n"/>
      <c r="N988" s="32" t="n"/>
      <c r="O988" s="32" t="n"/>
      <c r="P988" s="32" t="n"/>
      <c r="Q988" s="32" t="n"/>
      <c r="U988" s="31">
        <f>IF($A988="","",SUM(X988:AE988))</f>
        <v/>
      </c>
      <c r="V988" s="31">
        <f>IF($A988="","",IF($H988&lt;&gt;"Ausgabe",0,-$E988-$U988))</f>
        <v/>
      </c>
      <c r="W988" s="33">
        <f>IF($A988="","",DATE(YEAR($A988),MONTH($A988),1))</f>
        <v/>
      </c>
      <c r="X988" s="34">
        <f>IF(OR($A988="",$H988&lt;&gt;"Ausgabe",J988=""),0,IF(J988="x",-$E988/(COUNTIF($J988:$Q988,"x")+1),-$E988*N(J988)))</f>
        <v/>
      </c>
      <c r="Y988" s="34">
        <f>IF(OR($A988="",$H988&lt;&gt;"Ausgabe",K988=""),0,IF(K988="x",-$E988/(COUNTIF($J988:$Q988,"x")+1),-$E988*N(K988)))</f>
        <v/>
      </c>
      <c r="Z988" s="34">
        <f>IF(OR($A988="",$H988&lt;&gt;"Ausgabe",L988=""),0,IF(L988="x",-$E988/(COUNTIF($J988:$Q988,"x")+1),-$E988*N(L988)))</f>
        <v/>
      </c>
      <c r="AA988" s="34">
        <f>IF(OR($A988="",$H988&lt;&gt;"Ausgabe",M988=""),0,IF(M988="x",-$E988/(COUNTIF($J988:$Q988,"x")+1),-$E988*N(M988)))</f>
        <v/>
      </c>
      <c r="AB988" s="34">
        <f>IF(OR($A988="",$H988&lt;&gt;"Ausgabe",N988=""),0,IF(N988="x",-$E988/(COUNTIF($J988:$Q988,"x")+1),-$E988*N(N988)))</f>
        <v/>
      </c>
      <c r="AC988" s="34">
        <f>IF(OR($A988="",$H988&lt;&gt;"Ausgabe",O988=""),0,IF(O988="x",-$E988/(COUNTIF($J988:$Q988,"x")+1),-$E988*N(O988)))</f>
        <v/>
      </c>
      <c r="AD988" s="34">
        <f>IF(OR($A988="",$H988&lt;&gt;"Ausgabe",P988=""),0,IF(P988="x",-$E988/(COUNTIF($J988:$Q988,"x")+1),-$E988*N(P988)))</f>
        <v/>
      </c>
      <c r="AE988" s="34">
        <f>IF(OR($A988="",$H988&lt;&gt;"Ausgabe",Q988=""),0,IF(Q988="x",-$E988/(COUNTIF($J988:$Q988,"x")+1),-$E988*N(Q988)))</f>
        <v/>
      </c>
    </row>
    <row r="989">
      <c r="A989" s="30" t="n"/>
      <c r="E989" s="31" t="n"/>
      <c r="J989" s="32" t="n"/>
      <c r="K989" s="32" t="n"/>
      <c r="L989" s="32" t="n"/>
      <c r="M989" s="32" t="n"/>
      <c r="N989" s="32" t="n"/>
      <c r="O989" s="32" t="n"/>
      <c r="P989" s="32" t="n"/>
      <c r="Q989" s="32" t="n"/>
      <c r="U989" s="31">
        <f>IF($A989="","",SUM(X989:AE989))</f>
        <v/>
      </c>
      <c r="V989" s="31">
        <f>IF($A989="","",IF($H989&lt;&gt;"Ausgabe",0,-$E989-$U989))</f>
        <v/>
      </c>
      <c r="W989" s="33">
        <f>IF($A989="","",DATE(YEAR($A989),MONTH($A989),1))</f>
        <v/>
      </c>
      <c r="X989" s="34">
        <f>IF(OR($A989="",$H989&lt;&gt;"Ausgabe",J989=""),0,IF(J989="x",-$E989/(COUNTIF($J989:$Q989,"x")+1),-$E989*N(J989)))</f>
        <v/>
      </c>
      <c r="Y989" s="34">
        <f>IF(OR($A989="",$H989&lt;&gt;"Ausgabe",K989=""),0,IF(K989="x",-$E989/(COUNTIF($J989:$Q989,"x")+1),-$E989*N(K989)))</f>
        <v/>
      </c>
      <c r="Z989" s="34">
        <f>IF(OR($A989="",$H989&lt;&gt;"Ausgabe",L989=""),0,IF(L989="x",-$E989/(COUNTIF($J989:$Q989,"x")+1),-$E989*N(L989)))</f>
        <v/>
      </c>
      <c r="AA989" s="34">
        <f>IF(OR($A989="",$H989&lt;&gt;"Ausgabe",M989=""),0,IF(M989="x",-$E989/(COUNTIF($J989:$Q989,"x")+1),-$E989*N(M989)))</f>
        <v/>
      </c>
      <c r="AB989" s="34">
        <f>IF(OR($A989="",$H989&lt;&gt;"Ausgabe",N989=""),0,IF(N989="x",-$E989/(COUNTIF($J989:$Q989,"x")+1),-$E989*N(N989)))</f>
        <v/>
      </c>
      <c r="AC989" s="34">
        <f>IF(OR($A989="",$H989&lt;&gt;"Ausgabe",O989=""),0,IF(O989="x",-$E989/(COUNTIF($J989:$Q989,"x")+1),-$E989*N(O989)))</f>
        <v/>
      </c>
      <c r="AD989" s="34">
        <f>IF(OR($A989="",$H989&lt;&gt;"Ausgabe",P989=""),0,IF(P989="x",-$E989/(COUNTIF($J989:$Q989,"x")+1),-$E989*N(P989)))</f>
        <v/>
      </c>
      <c r="AE989" s="34">
        <f>IF(OR($A989="",$H989&lt;&gt;"Ausgabe",Q989=""),0,IF(Q989="x",-$E989/(COUNTIF($J989:$Q989,"x")+1),-$E989*N(Q989)))</f>
        <v/>
      </c>
    </row>
    <row r="990">
      <c r="A990" s="30" t="n"/>
      <c r="E990" s="31" t="n"/>
      <c r="J990" s="32" t="n"/>
      <c r="K990" s="32" t="n"/>
      <c r="L990" s="32" t="n"/>
      <c r="M990" s="32" t="n"/>
      <c r="N990" s="32" t="n"/>
      <c r="O990" s="32" t="n"/>
      <c r="P990" s="32" t="n"/>
      <c r="Q990" s="32" t="n"/>
      <c r="U990" s="31">
        <f>IF($A990="","",SUM(X990:AE990))</f>
        <v/>
      </c>
      <c r="V990" s="31">
        <f>IF($A990="","",IF($H990&lt;&gt;"Ausgabe",0,-$E990-$U990))</f>
        <v/>
      </c>
      <c r="W990" s="33">
        <f>IF($A990="","",DATE(YEAR($A990),MONTH($A990),1))</f>
        <v/>
      </c>
      <c r="X990" s="34">
        <f>IF(OR($A990="",$H990&lt;&gt;"Ausgabe",J990=""),0,IF(J990="x",-$E990/(COUNTIF($J990:$Q990,"x")+1),-$E990*N(J990)))</f>
        <v/>
      </c>
      <c r="Y990" s="34">
        <f>IF(OR($A990="",$H990&lt;&gt;"Ausgabe",K990=""),0,IF(K990="x",-$E990/(COUNTIF($J990:$Q990,"x")+1),-$E990*N(K990)))</f>
        <v/>
      </c>
      <c r="Z990" s="34">
        <f>IF(OR($A990="",$H990&lt;&gt;"Ausgabe",L990=""),0,IF(L990="x",-$E990/(COUNTIF($J990:$Q990,"x")+1),-$E990*N(L990)))</f>
        <v/>
      </c>
      <c r="AA990" s="34">
        <f>IF(OR($A990="",$H990&lt;&gt;"Ausgabe",M990=""),0,IF(M990="x",-$E990/(COUNTIF($J990:$Q990,"x")+1),-$E990*N(M990)))</f>
        <v/>
      </c>
      <c r="AB990" s="34">
        <f>IF(OR($A990="",$H990&lt;&gt;"Ausgabe",N990=""),0,IF(N990="x",-$E990/(COUNTIF($J990:$Q990,"x")+1),-$E990*N(N990)))</f>
        <v/>
      </c>
      <c r="AC990" s="34">
        <f>IF(OR($A990="",$H990&lt;&gt;"Ausgabe",O990=""),0,IF(O990="x",-$E990/(COUNTIF($J990:$Q990,"x")+1),-$E990*N(O990)))</f>
        <v/>
      </c>
      <c r="AD990" s="34">
        <f>IF(OR($A990="",$H990&lt;&gt;"Ausgabe",P990=""),0,IF(P990="x",-$E990/(COUNTIF($J990:$Q990,"x")+1),-$E990*N(P990)))</f>
        <v/>
      </c>
      <c r="AE990" s="34">
        <f>IF(OR($A990="",$H990&lt;&gt;"Ausgabe",Q990=""),0,IF(Q990="x",-$E990/(COUNTIF($J990:$Q990,"x")+1),-$E990*N(Q990)))</f>
        <v/>
      </c>
    </row>
    <row r="991">
      <c r="A991" s="30" t="n"/>
      <c r="E991" s="31" t="n"/>
      <c r="J991" s="32" t="n"/>
      <c r="K991" s="32" t="n"/>
      <c r="L991" s="32" t="n"/>
      <c r="M991" s="32" t="n"/>
      <c r="N991" s="32" t="n"/>
      <c r="O991" s="32" t="n"/>
      <c r="P991" s="32" t="n"/>
      <c r="Q991" s="32" t="n"/>
      <c r="U991" s="31">
        <f>IF($A991="","",SUM(X991:AE991))</f>
        <v/>
      </c>
      <c r="V991" s="31">
        <f>IF($A991="","",IF($H991&lt;&gt;"Ausgabe",0,-$E991-$U991))</f>
        <v/>
      </c>
      <c r="W991" s="33">
        <f>IF($A991="","",DATE(YEAR($A991),MONTH($A991),1))</f>
        <v/>
      </c>
      <c r="X991" s="34">
        <f>IF(OR($A991="",$H991&lt;&gt;"Ausgabe",J991=""),0,IF(J991="x",-$E991/(COUNTIF($J991:$Q991,"x")+1),-$E991*N(J991)))</f>
        <v/>
      </c>
      <c r="Y991" s="34">
        <f>IF(OR($A991="",$H991&lt;&gt;"Ausgabe",K991=""),0,IF(K991="x",-$E991/(COUNTIF($J991:$Q991,"x")+1),-$E991*N(K991)))</f>
        <v/>
      </c>
      <c r="Z991" s="34">
        <f>IF(OR($A991="",$H991&lt;&gt;"Ausgabe",L991=""),0,IF(L991="x",-$E991/(COUNTIF($J991:$Q991,"x")+1),-$E991*N(L991)))</f>
        <v/>
      </c>
      <c r="AA991" s="34">
        <f>IF(OR($A991="",$H991&lt;&gt;"Ausgabe",M991=""),0,IF(M991="x",-$E991/(COUNTIF($J991:$Q991,"x")+1),-$E991*N(M991)))</f>
        <v/>
      </c>
      <c r="AB991" s="34">
        <f>IF(OR($A991="",$H991&lt;&gt;"Ausgabe",N991=""),0,IF(N991="x",-$E991/(COUNTIF($J991:$Q991,"x")+1),-$E991*N(N991)))</f>
        <v/>
      </c>
      <c r="AC991" s="34">
        <f>IF(OR($A991="",$H991&lt;&gt;"Ausgabe",O991=""),0,IF(O991="x",-$E991/(COUNTIF($J991:$Q991,"x")+1),-$E991*N(O991)))</f>
        <v/>
      </c>
      <c r="AD991" s="34">
        <f>IF(OR($A991="",$H991&lt;&gt;"Ausgabe",P991=""),0,IF(P991="x",-$E991/(COUNTIF($J991:$Q991,"x")+1),-$E991*N(P991)))</f>
        <v/>
      </c>
      <c r="AE991" s="34">
        <f>IF(OR($A991="",$H991&lt;&gt;"Ausgabe",Q991=""),0,IF(Q991="x",-$E991/(COUNTIF($J991:$Q991,"x")+1),-$E991*N(Q991)))</f>
        <v/>
      </c>
    </row>
    <row r="992">
      <c r="A992" s="30" t="n"/>
      <c r="E992" s="31" t="n"/>
      <c r="J992" s="32" t="n"/>
      <c r="K992" s="32" t="n"/>
      <c r="L992" s="32" t="n"/>
      <c r="M992" s="32" t="n"/>
      <c r="N992" s="32" t="n"/>
      <c r="O992" s="32" t="n"/>
      <c r="P992" s="32" t="n"/>
      <c r="Q992" s="32" t="n"/>
      <c r="U992" s="31">
        <f>IF($A992="","",SUM(X992:AE992))</f>
        <v/>
      </c>
      <c r="V992" s="31">
        <f>IF($A992="","",IF($H992&lt;&gt;"Ausgabe",0,-$E992-$U992))</f>
        <v/>
      </c>
      <c r="W992" s="33">
        <f>IF($A992="","",DATE(YEAR($A992),MONTH($A992),1))</f>
        <v/>
      </c>
      <c r="X992" s="34">
        <f>IF(OR($A992="",$H992&lt;&gt;"Ausgabe",J992=""),0,IF(J992="x",-$E992/(COUNTIF($J992:$Q992,"x")+1),-$E992*N(J992)))</f>
        <v/>
      </c>
      <c r="Y992" s="34">
        <f>IF(OR($A992="",$H992&lt;&gt;"Ausgabe",K992=""),0,IF(K992="x",-$E992/(COUNTIF($J992:$Q992,"x")+1),-$E992*N(K992)))</f>
        <v/>
      </c>
      <c r="Z992" s="34">
        <f>IF(OR($A992="",$H992&lt;&gt;"Ausgabe",L992=""),0,IF(L992="x",-$E992/(COUNTIF($J992:$Q992,"x")+1),-$E992*N(L992)))</f>
        <v/>
      </c>
      <c r="AA992" s="34">
        <f>IF(OR($A992="",$H992&lt;&gt;"Ausgabe",M992=""),0,IF(M992="x",-$E992/(COUNTIF($J992:$Q992,"x")+1),-$E992*N(M992)))</f>
        <v/>
      </c>
      <c r="AB992" s="34">
        <f>IF(OR($A992="",$H992&lt;&gt;"Ausgabe",N992=""),0,IF(N992="x",-$E992/(COUNTIF($J992:$Q992,"x")+1),-$E992*N(N992)))</f>
        <v/>
      </c>
      <c r="AC992" s="34">
        <f>IF(OR($A992="",$H992&lt;&gt;"Ausgabe",O992=""),0,IF(O992="x",-$E992/(COUNTIF($J992:$Q992,"x")+1),-$E992*N(O992)))</f>
        <v/>
      </c>
      <c r="AD992" s="34">
        <f>IF(OR($A992="",$H992&lt;&gt;"Ausgabe",P992=""),0,IF(P992="x",-$E992/(COUNTIF($J992:$Q992,"x")+1),-$E992*N(P992)))</f>
        <v/>
      </c>
      <c r="AE992" s="34">
        <f>IF(OR($A992="",$H992&lt;&gt;"Ausgabe",Q992=""),0,IF(Q992="x",-$E992/(COUNTIF($J992:$Q992,"x")+1),-$E992*N(Q992)))</f>
        <v/>
      </c>
    </row>
    <row r="993">
      <c r="A993" s="30" t="n"/>
      <c r="E993" s="31" t="n"/>
      <c r="J993" s="32" t="n"/>
      <c r="K993" s="32" t="n"/>
      <c r="L993" s="32" t="n"/>
      <c r="M993" s="32" t="n"/>
      <c r="N993" s="32" t="n"/>
      <c r="O993" s="32" t="n"/>
      <c r="P993" s="32" t="n"/>
      <c r="Q993" s="32" t="n"/>
      <c r="U993" s="31">
        <f>IF($A993="","",SUM(X993:AE993))</f>
        <v/>
      </c>
      <c r="V993" s="31">
        <f>IF($A993="","",IF($H993&lt;&gt;"Ausgabe",0,-$E993-$U993))</f>
        <v/>
      </c>
      <c r="W993" s="33">
        <f>IF($A993="","",DATE(YEAR($A993),MONTH($A993),1))</f>
        <v/>
      </c>
      <c r="X993" s="34">
        <f>IF(OR($A993="",$H993&lt;&gt;"Ausgabe",J993=""),0,IF(J993="x",-$E993/(COUNTIF($J993:$Q993,"x")+1),-$E993*N(J993)))</f>
        <v/>
      </c>
      <c r="Y993" s="34">
        <f>IF(OR($A993="",$H993&lt;&gt;"Ausgabe",K993=""),0,IF(K993="x",-$E993/(COUNTIF($J993:$Q993,"x")+1),-$E993*N(K993)))</f>
        <v/>
      </c>
      <c r="Z993" s="34">
        <f>IF(OR($A993="",$H993&lt;&gt;"Ausgabe",L993=""),0,IF(L993="x",-$E993/(COUNTIF($J993:$Q993,"x")+1),-$E993*N(L993)))</f>
        <v/>
      </c>
      <c r="AA993" s="34">
        <f>IF(OR($A993="",$H993&lt;&gt;"Ausgabe",M993=""),0,IF(M993="x",-$E993/(COUNTIF($J993:$Q993,"x")+1),-$E993*N(M993)))</f>
        <v/>
      </c>
      <c r="AB993" s="34">
        <f>IF(OR($A993="",$H993&lt;&gt;"Ausgabe",N993=""),0,IF(N993="x",-$E993/(COUNTIF($J993:$Q993,"x")+1),-$E993*N(N993)))</f>
        <v/>
      </c>
      <c r="AC993" s="34">
        <f>IF(OR($A993="",$H993&lt;&gt;"Ausgabe",O993=""),0,IF(O993="x",-$E993/(COUNTIF($J993:$Q993,"x")+1),-$E993*N(O993)))</f>
        <v/>
      </c>
      <c r="AD993" s="34">
        <f>IF(OR($A993="",$H993&lt;&gt;"Ausgabe",P993=""),0,IF(P993="x",-$E993/(COUNTIF($J993:$Q993,"x")+1),-$E993*N(P993)))</f>
        <v/>
      </c>
      <c r="AE993" s="34">
        <f>IF(OR($A993="",$H993&lt;&gt;"Ausgabe",Q993=""),0,IF(Q993="x",-$E993/(COUNTIF($J993:$Q993,"x")+1),-$E993*N(Q993)))</f>
        <v/>
      </c>
    </row>
    <row r="994">
      <c r="A994" s="30" t="n"/>
      <c r="E994" s="31" t="n"/>
      <c r="J994" s="32" t="n"/>
      <c r="K994" s="32" t="n"/>
      <c r="L994" s="32" t="n"/>
      <c r="M994" s="32" t="n"/>
      <c r="N994" s="32" t="n"/>
      <c r="O994" s="32" t="n"/>
      <c r="P994" s="32" t="n"/>
      <c r="Q994" s="32" t="n"/>
      <c r="U994" s="31">
        <f>IF($A994="","",SUM(X994:AE994))</f>
        <v/>
      </c>
      <c r="V994" s="31">
        <f>IF($A994="","",IF($H994&lt;&gt;"Ausgabe",0,-$E994-$U994))</f>
        <v/>
      </c>
      <c r="W994" s="33">
        <f>IF($A994="","",DATE(YEAR($A994),MONTH($A994),1))</f>
        <v/>
      </c>
      <c r="X994" s="34">
        <f>IF(OR($A994="",$H994&lt;&gt;"Ausgabe",J994=""),0,IF(J994="x",-$E994/(COUNTIF($J994:$Q994,"x")+1),-$E994*N(J994)))</f>
        <v/>
      </c>
      <c r="Y994" s="34">
        <f>IF(OR($A994="",$H994&lt;&gt;"Ausgabe",K994=""),0,IF(K994="x",-$E994/(COUNTIF($J994:$Q994,"x")+1),-$E994*N(K994)))</f>
        <v/>
      </c>
      <c r="Z994" s="34">
        <f>IF(OR($A994="",$H994&lt;&gt;"Ausgabe",L994=""),0,IF(L994="x",-$E994/(COUNTIF($J994:$Q994,"x")+1),-$E994*N(L994)))</f>
        <v/>
      </c>
      <c r="AA994" s="34">
        <f>IF(OR($A994="",$H994&lt;&gt;"Ausgabe",M994=""),0,IF(M994="x",-$E994/(COUNTIF($J994:$Q994,"x")+1),-$E994*N(M994)))</f>
        <v/>
      </c>
      <c r="AB994" s="34">
        <f>IF(OR($A994="",$H994&lt;&gt;"Ausgabe",N994=""),0,IF(N994="x",-$E994/(COUNTIF($J994:$Q994,"x")+1),-$E994*N(N994)))</f>
        <v/>
      </c>
      <c r="AC994" s="34">
        <f>IF(OR($A994="",$H994&lt;&gt;"Ausgabe",O994=""),0,IF(O994="x",-$E994/(COUNTIF($J994:$Q994,"x")+1),-$E994*N(O994)))</f>
        <v/>
      </c>
      <c r="AD994" s="34">
        <f>IF(OR($A994="",$H994&lt;&gt;"Ausgabe",P994=""),0,IF(P994="x",-$E994/(COUNTIF($J994:$Q994,"x")+1),-$E994*N(P994)))</f>
        <v/>
      </c>
      <c r="AE994" s="34">
        <f>IF(OR($A994="",$H994&lt;&gt;"Ausgabe",Q994=""),0,IF(Q994="x",-$E994/(COUNTIF($J994:$Q994,"x")+1),-$E994*N(Q994)))</f>
        <v/>
      </c>
    </row>
    <row r="995">
      <c r="A995" s="30" t="n"/>
      <c r="E995" s="31" t="n"/>
      <c r="J995" s="32" t="n"/>
      <c r="K995" s="32" t="n"/>
      <c r="L995" s="32" t="n"/>
      <c r="M995" s="32" t="n"/>
      <c r="N995" s="32" t="n"/>
      <c r="O995" s="32" t="n"/>
      <c r="P995" s="32" t="n"/>
      <c r="Q995" s="32" t="n"/>
      <c r="U995" s="31">
        <f>IF($A995="","",SUM(X995:AE995))</f>
        <v/>
      </c>
      <c r="V995" s="31">
        <f>IF($A995="","",IF($H995&lt;&gt;"Ausgabe",0,-$E995-$U995))</f>
        <v/>
      </c>
      <c r="W995" s="33">
        <f>IF($A995="","",DATE(YEAR($A995),MONTH($A995),1))</f>
        <v/>
      </c>
      <c r="X995" s="34">
        <f>IF(OR($A995="",$H995&lt;&gt;"Ausgabe",J995=""),0,IF(J995="x",-$E995/(COUNTIF($J995:$Q995,"x")+1),-$E995*N(J995)))</f>
        <v/>
      </c>
      <c r="Y995" s="34">
        <f>IF(OR($A995="",$H995&lt;&gt;"Ausgabe",K995=""),0,IF(K995="x",-$E995/(COUNTIF($J995:$Q995,"x")+1),-$E995*N(K995)))</f>
        <v/>
      </c>
      <c r="Z995" s="34">
        <f>IF(OR($A995="",$H995&lt;&gt;"Ausgabe",L995=""),0,IF(L995="x",-$E995/(COUNTIF($J995:$Q995,"x")+1),-$E995*N(L995)))</f>
        <v/>
      </c>
      <c r="AA995" s="34">
        <f>IF(OR($A995="",$H995&lt;&gt;"Ausgabe",M995=""),0,IF(M995="x",-$E995/(COUNTIF($J995:$Q995,"x")+1),-$E995*N(M995)))</f>
        <v/>
      </c>
      <c r="AB995" s="34">
        <f>IF(OR($A995="",$H995&lt;&gt;"Ausgabe",N995=""),0,IF(N995="x",-$E995/(COUNTIF($J995:$Q995,"x")+1),-$E995*N(N995)))</f>
        <v/>
      </c>
      <c r="AC995" s="34">
        <f>IF(OR($A995="",$H995&lt;&gt;"Ausgabe",O995=""),0,IF(O995="x",-$E995/(COUNTIF($J995:$Q995,"x")+1),-$E995*N(O995)))</f>
        <v/>
      </c>
      <c r="AD995" s="34">
        <f>IF(OR($A995="",$H995&lt;&gt;"Ausgabe",P995=""),0,IF(P995="x",-$E995/(COUNTIF($J995:$Q995,"x")+1),-$E995*N(P995)))</f>
        <v/>
      </c>
      <c r="AE995" s="34">
        <f>IF(OR($A995="",$H995&lt;&gt;"Ausgabe",Q995=""),0,IF(Q995="x",-$E995/(COUNTIF($J995:$Q995,"x")+1),-$E995*N(Q995)))</f>
        <v/>
      </c>
    </row>
    <row r="996">
      <c r="A996" s="30" t="n"/>
      <c r="E996" s="31" t="n"/>
      <c r="J996" s="32" t="n"/>
      <c r="K996" s="32" t="n"/>
      <c r="L996" s="32" t="n"/>
      <c r="M996" s="32" t="n"/>
      <c r="N996" s="32" t="n"/>
      <c r="O996" s="32" t="n"/>
      <c r="P996" s="32" t="n"/>
      <c r="Q996" s="32" t="n"/>
      <c r="U996" s="31">
        <f>IF($A996="","",SUM(X996:AE996))</f>
        <v/>
      </c>
      <c r="V996" s="31">
        <f>IF($A996="","",IF($H996&lt;&gt;"Ausgabe",0,-$E996-$U996))</f>
        <v/>
      </c>
      <c r="W996" s="33">
        <f>IF($A996="","",DATE(YEAR($A996),MONTH($A996),1))</f>
        <v/>
      </c>
      <c r="X996" s="34">
        <f>IF(OR($A996="",$H996&lt;&gt;"Ausgabe",J996=""),0,IF(J996="x",-$E996/(COUNTIF($J996:$Q996,"x")+1),-$E996*N(J996)))</f>
        <v/>
      </c>
      <c r="Y996" s="34">
        <f>IF(OR($A996="",$H996&lt;&gt;"Ausgabe",K996=""),0,IF(K996="x",-$E996/(COUNTIF($J996:$Q996,"x")+1),-$E996*N(K996)))</f>
        <v/>
      </c>
      <c r="Z996" s="34">
        <f>IF(OR($A996="",$H996&lt;&gt;"Ausgabe",L996=""),0,IF(L996="x",-$E996/(COUNTIF($J996:$Q996,"x")+1),-$E996*N(L996)))</f>
        <v/>
      </c>
      <c r="AA996" s="34">
        <f>IF(OR($A996="",$H996&lt;&gt;"Ausgabe",M996=""),0,IF(M996="x",-$E996/(COUNTIF($J996:$Q996,"x")+1),-$E996*N(M996)))</f>
        <v/>
      </c>
      <c r="AB996" s="34">
        <f>IF(OR($A996="",$H996&lt;&gt;"Ausgabe",N996=""),0,IF(N996="x",-$E996/(COUNTIF($J996:$Q996,"x")+1),-$E996*N(N996)))</f>
        <v/>
      </c>
      <c r="AC996" s="34">
        <f>IF(OR($A996="",$H996&lt;&gt;"Ausgabe",O996=""),0,IF(O996="x",-$E996/(COUNTIF($J996:$Q996,"x")+1),-$E996*N(O996)))</f>
        <v/>
      </c>
      <c r="AD996" s="34">
        <f>IF(OR($A996="",$H996&lt;&gt;"Ausgabe",P996=""),0,IF(P996="x",-$E996/(COUNTIF($J996:$Q996,"x")+1),-$E996*N(P996)))</f>
        <v/>
      </c>
      <c r="AE996" s="34">
        <f>IF(OR($A996="",$H996&lt;&gt;"Ausgabe",Q996=""),0,IF(Q996="x",-$E996/(COUNTIF($J996:$Q996,"x")+1),-$E996*N(Q996)))</f>
        <v/>
      </c>
    </row>
    <row r="997">
      <c r="A997" s="30" t="n"/>
      <c r="E997" s="31" t="n"/>
      <c r="J997" s="32" t="n"/>
      <c r="K997" s="32" t="n"/>
      <c r="L997" s="32" t="n"/>
      <c r="M997" s="32" t="n"/>
      <c r="N997" s="32" t="n"/>
      <c r="O997" s="32" t="n"/>
      <c r="P997" s="32" t="n"/>
      <c r="Q997" s="32" t="n"/>
      <c r="U997" s="31">
        <f>IF($A997="","",SUM(X997:AE997))</f>
        <v/>
      </c>
      <c r="V997" s="31">
        <f>IF($A997="","",IF($H997&lt;&gt;"Ausgabe",0,-$E997-$U997))</f>
        <v/>
      </c>
      <c r="W997" s="33">
        <f>IF($A997="","",DATE(YEAR($A997),MONTH($A997),1))</f>
        <v/>
      </c>
      <c r="X997" s="34">
        <f>IF(OR($A997="",$H997&lt;&gt;"Ausgabe",J997=""),0,IF(J997="x",-$E997/(COUNTIF($J997:$Q997,"x")+1),-$E997*N(J997)))</f>
        <v/>
      </c>
      <c r="Y997" s="34">
        <f>IF(OR($A997="",$H997&lt;&gt;"Ausgabe",K997=""),0,IF(K997="x",-$E997/(COUNTIF($J997:$Q997,"x")+1),-$E997*N(K997)))</f>
        <v/>
      </c>
      <c r="Z997" s="34">
        <f>IF(OR($A997="",$H997&lt;&gt;"Ausgabe",L997=""),0,IF(L997="x",-$E997/(COUNTIF($J997:$Q997,"x")+1),-$E997*N(L997)))</f>
        <v/>
      </c>
      <c r="AA997" s="34">
        <f>IF(OR($A997="",$H997&lt;&gt;"Ausgabe",M997=""),0,IF(M997="x",-$E997/(COUNTIF($J997:$Q997,"x")+1),-$E997*N(M997)))</f>
        <v/>
      </c>
      <c r="AB997" s="34">
        <f>IF(OR($A997="",$H997&lt;&gt;"Ausgabe",N997=""),0,IF(N997="x",-$E997/(COUNTIF($J997:$Q997,"x")+1),-$E997*N(N997)))</f>
        <v/>
      </c>
      <c r="AC997" s="34">
        <f>IF(OR($A997="",$H997&lt;&gt;"Ausgabe",O997=""),0,IF(O997="x",-$E997/(COUNTIF($J997:$Q997,"x")+1),-$E997*N(O997)))</f>
        <v/>
      </c>
      <c r="AD997" s="34">
        <f>IF(OR($A997="",$H997&lt;&gt;"Ausgabe",P997=""),0,IF(P997="x",-$E997/(COUNTIF($J997:$Q997,"x")+1),-$E997*N(P997)))</f>
        <v/>
      </c>
      <c r="AE997" s="34">
        <f>IF(OR($A997="",$H997&lt;&gt;"Ausgabe",Q997=""),0,IF(Q997="x",-$E997/(COUNTIF($J997:$Q997,"x")+1),-$E997*N(Q997)))</f>
        <v/>
      </c>
    </row>
    <row r="998">
      <c r="A998" s="30" t="n"/>
      <c r="E998" s="31" t="n"/>
      <c r="J998" s="32" t="n"/>
      <c r="K998" s="32" t="n"/>
      <c r="L998" s="32" t="n"/>
      <c r="M998" s="32" t="n"/>
      <c r="N998" s="32" t="n"/>
      <c r="O998" s="32" t="n"/>
      <c r="P998" s="32" t="n"/>
      <c r="Q998" s="32" t="n"/>
      <c r="U998" s="31">
        <f>IF($A998="","",SUM(X998:AE998))</f>
        <v/>
      </c>
      <c r="V998" s="31">
        <f>IF($A998="","",IF($H998&lt;&gt;"Ausgabe",0,-$E998-$U998))</f>
        <v/>
      </c>
      <c r="W998" s="33">
        <f>IF($A998="","",DATE(YEAR($A998),MONTH($A998),1))</f>
        <v/>
      </c>
      <c r="X998" s="34">
        <f>IF(OR($A998="",$H998&lt;&gt;"Ausgabe",J998=""),0,IF(J998="x",-$E998/(COUNTIF($J998:$Q998,"x")+1),-$E998*N(J998)))</f>
        <v/>
      </c>
      <c r="Y998" s="34">
        <f>IF(OR($A998="",$H998&lt;&gt;"Ausgabe",K998=""),0,IF(K998="x",-$E998/(COUNTIF($J998:$Q998,"x")+1),-$E998*N(K998)))</f>
        <v/>
      </c>
      <c r="Z998" s="34">
        <f>IF(OR($A998="",$H998&lt;&gt;"Ausgabe",L998=""),0,IF(L998="x",-$E998/(COUNTIF($J998:$Q998,"x")+1),-$E998*N(L998)))</f>
        <v/>
      </c>
      <c r="AA998" s="34">
        <f>IF(OR($A998="",$H998&lt;&gt;"Ausgabe",M998=""),0,IF(M998="x",-$E998/(COUNTIF($J998:$Q998,"x")+1),-$E998*N(M998)))</f>
        <v/>
      </c>
      <c r="AB998" s="34">
        <f>IF(OR($A998="",$H998&lt;&gt;"Ausgabe",N998=""),0,IF(N998="x",-$E998/(COUNTIF($J998:$Q998,"x")+1),-$E998*N(N998)))</f>
        <v/>
      </c>
      <c r="AC998" s="34">
        <f>IF(OR($A998="",$H998&lt;&gt;"Ausgabe",O998=""),0,IF(O998="x",-$E998/(COUNTIF($J998:$Q998,"x")+1),-$E998*N(O998)))</f>
        <v/>
      </c>
      <c r="AD998" s="34">
        <f>IF(OR($A998="",$H998&lt;&gt;"Ausgabe",P998=""),0,IF(P998="x",-$E998/(COUNTIF($J998:$Q998,"x")+1),-$E998*N(P998)))</f>
        <v/>
      </c>
      <c r="AE998" s="34">
        <f>IF(OR($A998="",$H998&lt;&gt;"Ausgabe",Q998=""),0,IF(Q998="x",-$E998/(COUNTIF($J998:$Q998,"x")+1),-$E998*N(Q998)))</f>
        <v/>
      </c>
    </row>
    <row r="999">
      <c r="A999" s="30" t="n"/>
      <c r="E999" s="31" t="n"/>
      <c r="J999" s="32" t="n"/>
      <c r="K999" s="32" t="n"/>
      <c r="L999" s="32" t="n"/>
      <c r="M999" s="32" t="n"/>
      <c r="N999" s="32" t="n"/>
      <c r="O999" s="32" t="n"/>
      <c r="P999" s="32" t="n"/>
      <c r="Q999" s="32" t="n"/>
      <c r="U999" s="31">
        <f>IF($A999="","",SUM(X999:AE999))</f>
        <v/>
      </c>
      <c r="V999" s="31">
        <f>IF($A999="","",IF($H999&lt;&gt;"Ausgabe",0,-$E999-$U999))</f>
        <v/>
      </c>
      <c r="W999" s="33">
        <f>IF($A999="","",DATE(YEAR($A999),MONTH($A999),1))</f>
        <v/>
      </c>
      <c r="X999" s="34">
        <f>IF(OR($A999="",$H999&lt;&gt;"Ausgabe",J999=""),0,IF(J999="x",-$E999/(COUNTIF($J999:$Q999,"x")+1),-$E999*N(J999)))</f>
        <v/>
      </c>
      <c r="Y999" s="34">
        <f>IF(OR($A999="",$H999&lt;&gt;"Ausgabe",K999=""),0,IF(K999="x",-$E999/(COUNTIF($J999:$Q999,"x")+1),-$E999*N(K999)))</f>
        <v/>
      </c>
      <c r="Z999" s="34">
        <f>IF(OR($A999="",$H999&lt;&gt;"Ausgabe",L999=""),0,IF(L999="x",-$E999/(COUNTIF($J999:$Q999,"x")+1),-$E999*N(L999)))</f>
        <v/>
      </c>
      <c r="AA999" s="34">
        <f>IF(OR($A999="",$H999&lt;&gt;"Ausgabe",M999=""),0,IF(M999="x",-$E999/(COUNTIF($J999:$Q999,"x")+1),-$E999*N(M999)))</f>
        <v/>
      </c>
      <c r="AB999" s="34">
        <f>IF(OR($A999="",$H999&lt;&gt;"Ausgabe",N999=""),0,IF(N999="x",-$E999/(COUNTIF($J999:$Q999,"x")+1),-$E999*N(N999)))</f>
        <v/>
      </c>
      <c r="AC999" s="34">
        <f>IF(OR($A999="",$H999&lt;&gt;"Ausgabe",O999=""),0,IF(O999="x",-$E999/(COUNTIF($J999:$Q999,"x")+1),-$E999*N(O999)))</f>
        <v/>
      </c>
      <c r="AD999" s="34">
        <f>IF(OR($A999="",$H999&lt;&gt;"Ausgabe",P999=""),0,IF(P999="x",-$E999/(COUNTIF($J999:$Q999,"x")+1),-$E999*N(P999)))</f>
        <v/>
      </c>
      <c r="AE999" s="34">
        <f>IF(OR($A999="",$H999&lt;&gt;"Ausgabe",Q999=""),0,IF(Q999="x",-$E999/(COUNTIF($J999:$Q999,"x")+1),-$E999*N(Q999)))</f>
        <v/>
      </c>
    </row>
    <row r="1000">
      <c r="A1000" s="30" t="n"/>
      <c r="E1000" s="31" t="n"/>
      <c r="J1000" s="32" t="n"/>
      <c r="K1000" s="32" t="n"/>
      <c r="L1000" s="32" t="n"/>
      <c r="M1000" s="32" t="n"/>
      <c r="N1000" s="32" t="n"/>
      <c r="O1000" s="32" t="n"/>
      <c r="P1000" s="32" t="n"/>
      <c r="Q1000" s="32" t="n"/>
      <c r="U1000" s="31">
        <f>IF($A1000="","",SUM(X1000:AE1000))</f>
        <v/>
      </c>
      <c r="V1000" s="31">
        <f>IF($A1000="","",IF($H1000&lt;&gt;"Ausgabe",0,-$E1000-$U1000))</f>
        <v/>
      </c>
      <c r="W1000" s="33">
        <f>IF($A1000="","",DATE(YEAR($A1000),MONTH($A1000),1))</f>
        <v/>
      </c>
      <c r="X1000" s="34">
        <f>IF(OR($A1000="",$H1000&lt;&gt;"Ausgabe",J1000=""),0,IF(J1000="x",-$E1000/(COUNTIF($J1000:$Q1000,"x")+1),-$E1000*N(J1000)))</f>
        <v/>
      </c>
      <c r="Y1000" s="34">
        <f>IF(OR($A1000="",$H1000&lt;&gt;"Ausgabe",K1000=""),0,IF(K1000="x",-$E1000/(COUNTIF($J1000:$Q1000,"x")+1),-$E1000*N(K1000)))</f>
        <v/>
      </c>
      <c r="Z1000" s="34">
        <f>IF(OR($A1000="",$H1000&lt;&gt;"Ausgabe",L1000=""),0,IF(L1000="x",-$E1000/(COUNTIF($J1000:$Q1000,"x")+1),-$E1000*N(L1000)))</f>
        <v/>
      </c>
      <c r="AA1000" s="34">
        <f>IF(OR($A1000="",$H1000&lt;&gt;"Ausgabe",M1000=""),0,IF(M1000="x",-$E1000/(COUNTIF($J1000:$Q1000,"x")+1),-$E1000*N(M1000)))</f>
        <v/>
      </c>
      <c r="AB1000" s="34">
        <f>IF(OR($A1000="",$H1000&lt;&gt;"Ausgabe",N1000=""),0,IF(N1000="x",-$E1000/(COUNTIF($J1000:$Q1000,"x")+1),-$E1000*N(N1000)))</f>
        <v/>
      </c>
      <c r="AC1000" s="34">
        <f>IF(OR($A1000="",$H1000&lt;&gt;"Ausgabe",O1000=""),0,IF(O1000="x",-$E1000/(COUNTIF($J1000:$Q1000,"x")+1),-$E1000*N(O1000)))</f>
        <v/>
      </c>
      <c r="AD1000" s="34">
        <f>IF(OR($A1000="",$H1000&lt;&gt;"Ausgabe",P1000=""),0,IF(P1000="x",-$E1000/(COUNTIF($J1000:$Q1000,"x")+1),-$E1000*N(P1000)))</f>
        <v/>
      </c>
      <c r="AE1000" s="34">
        <f>IF(OR($A1000="",$H1000&lt;&gt;"Ausgabe",Q1000=""),0,IF(Q1000="x",-$E1000/(COUNTIF($J1000:$Q1000,"x")+1),-$E1000*N(Q1000)))</f>
        <v/>
      </c>
    </row>
    <row r="1001">
      <c r="A1001" s="30" t="n"/>
      <c r="E1001" s="31" t="n"/>
      <c r="J1001" s="32" t="n"/>
      <c r="K1001" s="32" t="n"/>
      <c r="L1001" s="32" t="n"/>
      <c r="M1001" s="32" t="n"/>
      <c r="N1001" s="32" t="n"/>
      <c r="O1001" s="32" t="n"/>
      <c r="P1001" s="32" t="n"/>
      <c r="Q1001" s="32" t="n"/>
      <c r="U1001" s="31">
        <f>IF($A1001="","",SUM(X1001:AE1001))</f>
        <v/>
      </c>
      <c r="V1001" s="31">
        <f>IF($A1001="","",IF($H1001&lt;&gt;"Ausgabe",0,-$E1001-$U1001))</f>
        <v/>
      </c>
      <c r="W1001" s="33">
        <f>IF($A1001="","",DATE(YEAR($A1001),MONTH($A1001),1))</f>
        <v/>
      </c>
      <c r="X1001" s="34">
        <f>IF(OR($A1001="",$H1001&lt;&gt;"Ausgabe",J1001=""),0,IF(J1001="x",-$E1001/(COUNTIF($J1001:$Q1001,"x")+1),-$E1001*N(J1001)))</f>
        <v/>
      </c>
      <c r="Y1001" s="34">
        <f>IF(OR($A1001="",$H1001&lt;&gt;"Ausgabe",K1001=""),0,IF(K1001="x",-$E1001/(COUNTIF($J1001:$Q1001,"x")+1),-$E1001*N(K1001)))</f>
        <v/>
      </c>
      <c r="Z1001" s="34">
        <f>IF(OR($A1001="",$H1001&lt;&gt;"Ausgabe",L1001=""),0,IF(L1001="x",-$E1001/(COUNTIF($J1001:$Q1001,"x")+1),-$E1001*N(L1001)))</f>
        <v/>
      </c>
      <c r="AA1001" s="34">
        <f>IF(OR($A1001="",$H1001&lt;&gt;"Ausgabe",M1001=""),0,IF(M1001="x",-$E1001/(COUNTIF($J1001:$Q1001,"x")+1),-$E1001*N(M1001)))</f>
        <v/>
      </c>
      <c r="AB1001" s="34">
        <f>IF(OR($A1001="",$H1001&lt;&gt;"Ausgabe",N1001=""),0,IF(N1001="x",-$E1001/(COUNTIF($J1001:$Q1001,"x")+1),-$E1001*N(N1001)))</f>
        <v/>
      </c>
      <c r="AC1001" s="34">
        <f>IF(OR($A1001="",$H1001&lt;&gt;"Ausgabe",O1001=""),0,IF(O1001="x",-$E1001/(COUNTIF($J1001:$Q1001,"x")+1),-$E1001*N(O1001)))</f>
        <v/>
      </c>
      <c r="AD1001" s="34">
        <f>IF(OR($A1001="",$H1001&lt;&gt;"Ausgabe",P1001=""),0,IF(P1001="x",-$E1001/(COUNTIF($J1001:$Q1001,"x")+1),-$E1001*N(P1001)))</f>
        <v/>
      </c>
      <c r="AE1001" s="34">
        <f>IF(OR($A1001="",$H1001&lt;&gt;"Ausgabe",Q1001=""),0,IF(Q1001="x",-$E1001/(COUNTIF($J1001:$Q1001,"x")+1),-$E1001*N(Q1001)))</f>
        <v/>
      </c>
    </row>
    <row r="1002">
      <c r="A1002" s="30" t="n"/>
      <c r="E1002" s="31" t="n"/>
      <c r="J1002" s="32" t="n"/>
      <c r="K1002" s="32" t="n"/>
      <c r="L1002" s="32" t="n"/>
      <c r="M1002" s="32" t="n"/>
      <c r="N1002" s="32" t="n"/>
      <c r="O1002" s="32" t="n"/>
      <c r="P1002" s="32" t="n"/>
      <c r="Q1002" s="32" t="n"/>
      <c r="U1002" s="31">
        <f>IF($A1002="","",SUM(X1002:AE1002))</f>
        <v/>
      </c>
      <c r="V1002" s="31">
        <f>IF($A1002="","",IF($H1002&lt;&gt;"Ausgabe",0,-$E1002-$U1002))</f>
        <v/>
      </c>
      <c r="W1002" s="33">
        <f>IF($A1002="","",DATE(YEAR($A1002),MONTH($A1002),1))</f>
        <v/>
      </c>
      <c r="X1002" s="34">
        <f>IF(OR($A1002="",$H1002&lt;&gt;"Ausgabe",J1002=""),0,IF(J1002="x",-$E1002/(COUNTIF($J1002:$Q1002,"x")+1),-$E1002*N(J1002)))</f>
        <v/>
      </c>
      <c r="Y1002" s="34">
        <f>IF(OR($A1002="",$H1002&lt;&gt;"Ausgabe",K1002=""),0,IF(K1002="x",-$E1002/(COUNTIF($J1002:$Q1002,"x")+1),-$E1002*N(K1002)))</f>
        <v/>
      </c>
      <c r="Z1002" s="34">
        <f>IF(OR($A1002="",$H1002&lt;&gt;"Ausgabe",L1002=""),0,IF(L1002="x",-$E1002/(COUNTIF($J1002:$Q1002,"x")+1),-$E1002*N(L1002)))</f>
        <v/>
      </c>
      <c r="AA1002" s="34">
        <f>IF(OR($A1002="",$H1002&lt;&gt;"Ausgabe",M1002=""),0,IF(M1002="x",-$E1002/(COUNTIF($J1002:$Q1002,"x")+1),-$E1002*N(M1002)))</f>
        <v/>
      </c>
      <c r="AB1002" s="34">
        <f>IF(OR($A1002="",$H1002&lt;&gt;"Ausgabe",N1002=""),0,IF(N1002="x",-$E1002/(COUNTIF($J1002:$Q1002,"x")+1),-$E1002*N(N1002)))</f>
        <v/>
      </c>
      <c r="AC1002" s="34">
        <f>IF(OR($A1002="",$H1002&lt;&gt;"Ausgabe",O1002=""),0,IF(O1002="x",-$E1002/(COUNTIF($J1002:$Q1002,"x")+1),-$E1002*N(O1002)))</f>
        <v/>
      </c>
      <c r="AD1002" s="34">
        <f>IF(OR($A1002="",$H1002&lt;&gt;"Ausgabe",P1002=""),0,IF(P1002="x",-$E1002/(COUNTIF($J1002:$Q1002,"x")+1),-$E1002*N(P1002)))</f>
        <v/>
      </c>
      <c r="AE1002" s="34">
        <f>IF(OR($A1002="",$H1002&lt;&gt;"Ausgabe",Q1002=""),0,IF(Q1002="x",-$E1002/(COUNTIF($J1002:$Q1002,"x")+1),-$E1002*N(Q1002)))</f>
        <v/>
      </c>
    </row>
    <row r="1003">
      <c r="A1003" s="30" t="n"/>
      <c r="E1003" s="31" t="n"/>
      <c r="J1003" s="32" t="n"/>
      <c r="K1003" s="32" t="n"/>
      <c r="L1003" s="32" t="n"/>
      <c r="M1003" s="32" t="n"/>
      <c r="N1003" s="32" t="n"/>
      <c r="O1003" s="32" t="n"/>
      <c r="P1003" s="32" t="n"/>
      <c r="Q1003" s="32" t="n"/>
      <c r="U1003" s="31">
        <f>IF($A1003="","",SUM(X1003:AE1003))</f>
        <v/>
      </c>
      <c r="V1003" s="31">
        <f>IF($A1003="","",IF($H1003&lt;&gt;"Ausgabe",0,-$E1003-$U1003))</f>
        <v/>
      </c>
      <c r="W1003" s="33">
        <f>IF($A1003="","",DATE(YEAR($A1003),MONTH($A1003),1))</f>
        <v/>
      </c>
      <c r="X1003" s="34">
        <f>IF(OR($A1003="",$H1003&lt;&gt;"Ausgabe",J1003=""),0,IF(J1003="x",-$E1003/(COUNTIF($J1003:$Q1003,"x")+1),-$E1003*N(J1003)))</f>
        <v/>
      </c>
      <c r="Y1003" s="34">
        <f>IF(OR($A1003="",$H1003&lt;&gt;"Ausgabe",K1003=""),0,IF(K1003="x",-$E1003/(COUNTIF($J1003:$Q1003,"x")+1),-$E1003*N(K1003)))</f>
        <v/>
      </c>
      <c r="Z1003" s="34">
        <f>IF(OR($A1003="",$H1003&lt;&gt;"Ausgabe",L1003=""),0,IF(L1003="x",-$E1003/(COUNTIF($J1003:$Q1003,"x")+1),-$E1003*N(L1003)))</f>
        <v/>
      </c>
      <c r="AA1003" s="34">
        <f>IF(OR($A1003="",$H1003&lt;&gt;"Ausgabe",M1003=""),0,IF(M1003="x",-$E1003/(COUNTIF($J1003:$Q1003,"x")+1),-$E1003*N(M1003)))</f>
        <v/>
      </c>
      <c r="AB1003" s="34">
        <f>IF(OR($A1003="",$H1003&lt;&gt;"Ausgabe",N1003=""),0,IF(N1003="x",-$E1003/(COUNTIF($J1003:$Q1003,"x")+1),-$E1003*N(N1003)))</f>
        <v/>
      </c>
      <c r="AC1003" s="34">
        <f>IF(OR($A1003="",$H1003&lt;&gt;"Ausgabe",O1003=""),0,IF(O1003="x",-$E1003/(COUNTIF($J1003:$Q1003,"x")+1),-$E1003*N(O1003)))</f>
        <v/>
      </c>
      <c r="AD1003" s="34">
        <f>IF(OR($A1003="",$H1003&lt;&gt;"Ausgabe",P1003=""),0,IF(P1003="x",-$E1003/(COUNTIF($J1003:$Q1003,"x")+1),-$E1003*N(P1003)))</f>
        <v/>
      </c>
      <c r="AE1003" s="34">
        <f>IF(OR($A1003="",$H1003&lt;&gt;"Ausgabe",Q1003=""),0,IF(Q1003="x",-$E1003/(COUNTIF($J1003:$Q1003,"x")+1),-$E1003*N(Q1003)))</f>
        <v/>
      </c>
    </row>
    <row r="1004">
      <c r="A1004" s="30" t="n"/>
      <c r="E1004" s="31" t="n"/>
      <c r="J1004" s="32" t="n"/>
      <c r="K1004" s="32" t="n"/>
      <c r="L1004" s="32" t="n"/>
      <c r="M1004" s="32" t="n"/>
      <c r="N1004" s="32" t="n"/>
      <c r="O1004" s="32" t="n"/>
      <c r="P1004" s="32" t="n"/>
      <c r="Q1004" s="32" t="n"/>
      <c r="U1004" s="31">
        <f>IF($A1004="","",SUM(X1004:AE1004))</f>
        <v/>
      </c>
      <c r="V1004" s="31">
        <f>IF($A1004="","",IF($H1004&lt;&gt;"Ausgabe",0,-$E1004-$U1004))</f>
        <v/>
      </c>
      <c r="W1004" s="33">
        <f>IF($A1004="","",DATE(YEAR($A1004),MONTH($A1004),1))</f>
        <v/>
      </c>
      <c r="X1004" s="34">
        <f>IF(OR($A1004="",$H1004&lt;&gt;"Ausgabe",J1004=""),0,IF(J1004="x",-$E1004/(COUNTIF($J1004:$Q1004,"x")+1),-$E1004*N(J1004)))</f>
        <v/>
      </c>
      <c r="Y1004" s="34">
        <f>IF(OR($A1004="",$H1004&lt;&gt;"Ausgabe",K1004=""),0,IF(K1004="x",-$E1004/(COUNTIF($J1004:$Q1004,"x")+1),-$E1004*N(K1004)))</f>
        <v/>
      </c>
      <c r="Z1004" s="34">
        <f>IF(OR($A1004="",$H1004&lt;&gt;"Ausgabe",L1004=""),0,IF(L1004="x",-$E1004/(COUNTIF($J1004:$Q1004,"x")+1),-$E1004*N(L1004)))</f>
        <v/>
      </c>
      <c r="AA1004" s="34">
        <f>IF(OR($A1004="",$H1004&lt;&gt;"Ausgabe",M1004=""),0,IF(M1004="x",-$E1004/(COUNTIF($J1004:$Q1004,"x")+1),-$E1004*N(M1004)))</f>
        <v/>
      </c>
      <c r="AB1004" s="34">
        <f>IF(OR($A1004="",$H1004&lt;&gt;"Ausgabe",N1004=""),0,IF(N1004="x",-$E1004/(COUNTIF($J1004:$Q1004,"x")+1),-$E1004*N(N1004)))</f>
        <v/>
      </c>
      <c r="AC1004" s="34">
        <f>IF(OR($A1004="",$H1004&lt;&gt;"Ausgabe",O1004=""),0,IF(O1004="x",-$E1004/(COUNTIF($J1004:$Q1004,"x")+1),-$E1004*N(O1004)))</f>
        <v/>
      </c>
      <c r="AD1004" s="34">
        <f>IF(OR($A1004="",$H1004&lt;&gt;"Ausgabe",P1004=""),0,IF(P1004="x",-$E1004/(COUNTIF($J1004:$Q1004,"x")+1),-$E1004*N(P1004)))</f>
        <v/>
      </c>
      <c r="AE1004" s="34">
        <f>IF(OR($A1004="",$H1004&lt;&gt;"Ausgabe",Q1004=""),0,IF(Q1004="x",-$E1004/(COUNTIF($J1004:$Q1004,"x")+1),-$E1004*N(Q1004)))</f>
        <v/>
      </c>
    </row>
    <row r="1005">
      <c r="A1005" s="30" t="n"/>
      <c r="E1005" s="31" t="n"/>
      <c r="J1005" s="32" t="n"/>
      <c r="K1005" s="32" t="n"/>
      <c r="L1005" s="32" t="n"/>
      <c r="M1005" s="32" t="n"/>
      <c r="N1005" s="32" t="n"/>
      <c r="O1005" s="32" t="n"/>
      <c r="P1005" s="32" t="n"/>
      <c r="Q1005" s="32" t="n"/>
      <c r="U1005" s="31">
        <f>IF($A1005="","",SUM(X1005:AE1005))</f>
        <v/>
      </c>
      <c r="V1005" s="31">
        <f>IF($A1005="","",IF($H1005&lt;&gt;"Ausgabe",0,-$E1005-$U1005))</f>
        <v/>
      </c>
      <c r="W1005" s="33">
        <f>IF($A1005="","",DATE(YEAR($A1005),MONTH($A1005),1))</f>
        <v/>
      </c>
      <c r="X1005" s="34">
        <f>IF(OR($A1005="",$H1005&lt;&gt;"Ausgabe",J1005=""),0,IF(J1005="x",-$E1005/(COUNTIF($J1005:$Q1005,"x")+1),-$E1005*N(J1005)))</f>
        <v/>
      </c>
      <c r="Y1005" s="34">
        <f>IF(OR($A1005="",$H1005&lt;&gt;"Ausgabe",K1005=""),0,IF(K1005="x",-$E1005/(COUNTIF($J1005:$Q1005,"x")+1),-$E1005*N(K1005)))</f>
        <v/>
      </c>
      <c r="Z1005" s="34">
        <f>IF(OR($A1005="",$H1005&lt;&gt;"Ausgabe",L1005=""),0,IF(L1005="x",-$E1005/(COUNTIF($J1005:$Q1005,"x")+1),-$E1005*N(L1005)))</f>
        <v/>
      </c>
      <c r="AA1005" s="34">
        <f>IF(OR($A1005="",$H1005&lt;&gt;"Ausgabe",M1005=""),0,IF(M1005="x",-$E1005/(COUNTIF($J1005:$Q1005,"x")+1),-$E1005*N(M1005)))</f>
        <v/>
      </c>
      <c r="AB1005" s="34">
        <f>IF(OR($A1005="",$H1005&lt;&gt;"Ausgabe",N1005=""),0,IF(N1005="x",-$E1005/(COUNTIF($J1005:$Q1005,"x")+1),-$E1005*N(N1005)))</f>
        <v/>
      </c>
      <c r="AC1005" s="34">
        <f>IF(OR($A1005="",$H1005&lt;&gt;"Ausgabe",O1005=""),0,IF(O1005="x",-$E1005/(COUNTIF($J1005:$Q1005,"x")+1),-$E1005*N(O1005)))</f>
        <v/>
      </c>
      <c r="AD1005" s="34">
        <f>IF(OR($A1005="",$H1005&lt;&gt;"Ausgabe",P1005=""),0,IF(P1005="x",-$E1005/(COUNTIF($J1005:$Q1005,"x")+1),-$E1005*N(P1005)))</f>
        <v/>
      </c>
      <c r="AE1005" s="34">
        <f>IF(OR($A1005="",$H1005&lt;&gt;"Ausgabe",Q1005=""),0,IF(Q1005="x",-$E1005/(COUNTIF($J1005:$Q1005,"x")+1),-$E1005*N(Q1005)))</f>
        <v/>
      </c>
    </row>
    <row r="1006">
      <c r="A1006" s="30" t="n"/>
      <c r="E1006" s="31" t="n"/>
      <c r="J1006" s="32" t="n"/>
      <c r="K1006" s="32" t="n"/>
      <c r="L1006" s="32" t="n"/>
      <c r="M1006" s="32" t="n"/>
      <c r="N1006" s="32" t="n"/>
      <c r="O1006" s="32" t="n"/>
      <c r="P1006" s="32" t="n"/>
      <c r="Q1006" s="32" t="n"/>
      <c r="U1006" s="31">
        <f>IF($A1006="","",SUM(X1006:AE1006))</f>
        <v/>
      </c>
      <c r="V1006" s="31">
        <f>IF($A1006="","",IF($H1006&lt;&gt;"Ausgabe",0,-$E1006-$U1006))</f>
        <v/>
      </c>
      <c r="W1006" s="33">
        <f>IF($A1006="","",DATE(YEAR($A1006),MONTH($A1006),1))</f>
        <v/>
      </c>
      <c r="X1006" s="34">
        <f>IF(OR($A1006="",$H1006&lt;&gt;"Ausgabe",J1006=""),0,IF(J1006="x",-$E1006/(COUNTIF($J1006:$Q1006,"x")+1),-$E1006*N(J1006)))</f>
        <v/>
      </c>
      <c r="Y1006" s="34">
        <f>IF(OR($A1006="",$H1006&lt;&gt;"Ausgabe",K1006=""),0,IF(K1006="x",-$E1006/(COUNTIF($J1006:$Q1006,"x")+1),-$E1006*N(K1006)))</f>
        <v/>
      </c>
      <c r="Z1006" s="34">
        <f>IF(OR($A1006="",$H1006&lt;&gt;"Ausgabe",L1006=""),0,IF(L1006="x",-$E1006/(COUNTIF($J1006:$Q1006,"x")+1),-$E1006*N(L1006)))</f>
        <v/>
      </c>
      <c r="AA1006" s="34">
        <f>IF(OR($A1006="",$H1006&lt;&gt;"Ausgabe",M1006=""),0,IF(M1006="x",-$E1006/(COUNTIF($J1006:$Q1006,"x")+1),-$E1006*N(M1006)))</f>
        <v/>
      </c>
      <c r="AB1006" s="34">
        <f>IF(OR($A1006="",$H1006&lt;&gt;"Ausgabe",N1006=""),0,IF(N1006="x",-$E1006/(COUNTIF($J1006:$Q1006,"x")+1),-$E1006*N(N1006)))</f>
        <v/>
      </c>
      <c r="AC1006" s="34">
        <f>IF(OR($A1006="",$H1006&lt;&gt;"Ausgabe",O1006=""),0,IF(O1006="x",-$E1006/(COUNTIF($J1006:$Q1006,"x")+1),-$E1006*N(O1006)))</f>
        <v/>
      </c>
      <c r="AD1006" s="34">
        <f>IF(OR($A1006="",$H1006&lt;&gt;"Ausgabe",P1006=""),0,IF(P1006="x",-$E1006/(COUNTIF($J1006:$Q1006,"x")+1),-$E1006*N(P1006)))</f>
        <v/>
      </c>
      <c r="AE1006" s="34">
        <f>IF(OR($A1006="",$H1006&lt;&gt;"Ausgabe",Q1006=""),0,IF(Q1006="x",-$E1006/(COUNTIF($J1006:$Q1006,"x")+1),-$E1006*N(Q1006)))</f>
        <v/>
      </c>
    </row>
    <row r="1007">
      <c r="A1007" s="30" t="n"/>
      <c r="E1007" s="31" t="n"/>
      <c r="J1007" s="32" t="n"/>
      <c r="K1007" s="32" t="n"/>
      <c r="L1007" s="32" t="n"/>
      <c r="M1007" s="32" t="n"/>
      <c r="N1007" s="32" t="n"/>
      <c r="O1007" s="32" t="n"/>
      <c r="P1007" s="32" t="n"/>
      <c r="Q1007" s="32" t="n"/>
      <c r="U1007" s="31">
        <f>IF($A1007="","",SUM(X1007:AE1007))</f>
        <v/>
      </c>
      <c r="V1007" s="31">
        <f>IF($A1007="","",IF($H1007&lt;&gt;"Ausgabe",0,-$E1007-$U1007))</f>
        <v/>
      </c>
      <c r="W1007" s="33">
        <f>IF($A1007="","",DATE(YEAR($A1007),MONTH($A1007),1))</f>
        <v/>
      </c>
      <c r="X1007" s="34">
        <f>IF(OR($A1007="",$H1007&lt;&gt;"Ausgabe",J1007=""),0,IF(J1007="x",-$E1007/(COUNTIF($J1007:$Q1007,"x")+1),-$E1007*N(J1007)))</f>
        <v/>
      </c>
      <c r="Y1007" s="34">
        <f>IF(OR($A1007="",$H1007&lt;&gt;"Ausgabe",K1007=""),0,IF(K1007="x",-$E1007/(COUNTIF($J1007:$Q1007,"x")+1),-$E1007*N(K1007)))</f>
        <v/>
      </c>
      <c r="Z1007" s="34">
        <f>IF(OR($A1007="",$H1007&lt;&gt;"Ausgabe",L1007=""),0,IF(L1007="x",-$E1007/(COUNTIF($J1007:$Q1007,"x")+1),-$E1007*N(L1007)))</f>
        <v/>
      </c>
      <c r="AA1007" s="34">
        <f>IF(OR($A1007="",$H1007&lt;&gt;"Ausgabe",M1007=""),0,IF(M1007="x",-$E1007/(COUNTIF($J1007:$Q1007,"x")+1),-$E1007*N(M1007)))</f>
        <v/>
      </c>
      <c r="AB1007" s="34">
        <f>IF(OR($A1007="",$H1007&lt;&gt;"Ausgabe",N1007=""),0,IF(N1007="x",-$E1007/(COUNTIF($J1007:$Q1007,"x")+1),-$E1007*N(N1007)))</f>
        <v/>
      </c>
      <c r="AC1007" s="34">
        <f>IF(OR($A1007="",$H1007&lt;&gt;"Ausgabe",O1007=""),0,IF(O1007="x",-$E1007/(COUNTIF($J1007:$Q1007,"x")+1),-$E1007*N(O1007)))</f>
        <v/>
      </c>
      <c r="AD1007" s="34">
        <f>IF(OR($A1007="",$H1007&lt;&gt;"Ausgabe",P1007=""),0,IF(P1007="x",-$E1007/(COUNTIF($J1007:$Q1007,"x")+1),-$E1007*N(P1007)))</f>
        <v/>
      </c>
      <c r="AE1007" s="34">
        <f>IF(OR($A1007="",$H1007&lt;&gt;"Ausgabe",Q1007=""),0,IF(Q1007="x",-$E1007/(COUNTIF($J1007:$Q1007,"x")+1),-$E1007*N(Q1007)))</f>
        <v/>
      </c>
    </row>
    <row r="1008">
      <c r="A1008" s="30" t="n"/>
      <c r="E1008" s="31" t="n"/>
      <c r="J1008" s="32" t="n"/>
      <c r="K1008" s="32" t="n"/>
      <c r="L1008" s="32" t="n"/>
      <c r="M1008" s="32" t="n"/>
      <c r="N1008" s="32" t="n"/>
      <c r="O1008" s="32" t="n"/>
      <c r="P1008" s="32" t="n"/>
      <c r="Q1008" s="32" t="n"/>
      <c r="U1008" s="31">
        <f>IF($A1008="","",SUM(X1008:AE1008))</f>
        <v/>
      </c>
      <c r="V1008" s="31">
        <f>IF($A1008="","",IF($H1008&lt;&gt;"Ausgabe",0,-$E1008-$U1008))</f>
        <v/>
      </c>
      <c r="W1008" s="33">
        <f>IF($A1008="","",DATE(YEAR($A1008),MONTH($A1008),1))</f>
        <v/>
      </c>
      <c r="X1008" s="34">
        <f>IF(OR($A1008="",$H1008&lt;&gt;"Ausgabe",J1008=""),0,IF(J1008="x",-$E1008/(COUNTIF($J1008:$Q1008,"x")+1),-$E1008*N(J1008)))</f>
        <v/>
      </c>
      <c r="Y1008" s="34">
        <f>IF(OR($A1008="",$H1008&lt;&gt;"Ausgabe",K1008=""),0,IF(K1008="x",-$E1008/(COUNTIF($J1008:$Q1008,"x")+1),-$E1008*N(K1008)))</f>
        <v/>
      </c>
      <c r="Z1008" s="34">
        <f>IF(OR($A1008="",$H1008&lt;&gt;"Ausgabe",L1008=""),0,IF(L1008="x",-$E1008/(COUNTIF($J1008:$Q1008,"x")+1),-$E1008*N(L1008)))</f>
        <v/>
      </c>
      <c r="AA1008" s="34">
        <f>IF(OR($A1008="",$H1008&lt;&gt;"Ausgabe",M1008=""),0,IF(M1008="x",-$E1008/(COUNTIF($J1008:$Q1008,"x")+1),-$E1008*N(M1008)))</f>
        <v/>
      </c>
      <c r="AB1008" s="34">
        <f>IF(OR($A1008="",$H1008&lt;&gt;"Ausgabe",N1008=""),0,IF(N1008="x",-$E1008/(COUNTIF($J1008:$Q1008,"x")+1),-$E1008*N(N1008)))</f>
        <v/>
      </c>
      <c r="AC1008" s="34">
        <f>IF(OR($A1008="",$H1008&lt;&gt;"Ausgabe",O1008=""),0,IF(O1008="x",-$E1008/(COUNTIF($J1008:$Q1008,"x")+1),-$E1008*N(O1008)))</f>
        <v/>
      </c>
      <c r="AD1008" s="34">
        <f>IF(OR($A1008="",$H1008&lt;&gt;"Ausgabe",P1008=""),0,IF(P1008="x",-$E1008/(COUNTIF($J1008:$Q1008,"x")+1),-$E1008*N(P1008)))</f>
        <v/>
      </c>
      <c r="AE1008" s="34">
        <f>IF(OR($A1008="",$H1008&lt;&gt;"Ausgabe",Q1008=""),0,IF(Q1008="x",-$E1008/(COUNTIF($J1008:$Q1008,"x")+1),-$E1008*N(Q1008)))</f>
        <v/>
      </c>
    </row>
    <row r="1009">
      <c r="A1009" s="30" t="n"/>
      <c r="E1009" s="31" t="n"/>
      <c r="J1009" s="32" t="n"/>
      <c r="K1009" s="32" t="n"/>
      <c r="L1009" s="32" t="n"/>
      <c r="M1009" s="32" t="n"/>
      <c r="N1009" s="32" t="n"/>
      <c r="O1009" s="32" t="n"/>
      <c r="P1009" s="32" t="n"/>
      <c r="Q1009" s="32" t="n"/>
      <c r="U1009" s="31">
        <f>IF($A1009="","",SUM(X1009:AE1009))</f>
        <v/>
      </c>
      <c r="V1009" s="31">
        <f>IF($A1009="","",IF($H1009&lt;&gt;"Ausgabe",0,-$E1009-$U1009))</f>
        <v/>
      </c>
      <c r="W1009" s="33">
        <f>IF($A1009="","",DATE(YEAR($A1009),MONTH($A1009),1))</f>
        <v/>
      </c>
      <c r="X1009" s="34">
        <f>IF(OR($A1009="",$H1009&lt;&gt;"Ausgabe",J1009=""),0,IF(J1009="x",-$E1009/(COUNTIF($J1009:$Q1009,"x")+1),-$E1009*N(J1009)))</f>
        <v/>
      </c>
      <c r="Y1009" s="34">
        <f>IF(OR($A1009="",$H1009&lt;&gt;"Ausgabe",K1009=""),0,IF(K1009="x",-$E1009/(COUNTIF($J1009:$Q1009,"x")+1),-$E1009*N(K1009)))</f>
        <v/>
      </c>
      <c r="Z1009" s="34">
        <f>IF(OR($A1009="",$H1009&lt;&gt;"Ausgabe",L1009=""),0,IF(L1009="x",-$E1009/(COUNTIF($J1009:$Q1009,"x")+1),-$E1009*N(L1009)))</f>
        <v/>
      </c>
      <c r="AA1009" s="34">
        <f>IF(OR($A1009="",$H1009&lt;&gt;"Ausgabe",M1009=""),0,IF(M1009="x",-$E1009/(COUNTIF($J1009:$Q1009,"x")+1),-$E1009*N(M1009)))</f>
        <v/>
      </c>
      <c r="AB1009" s="34">
        <f>IF(OR($A1009="",$H1009&lt;&gt;"Ausgabe",N1009=""),0,IF(N1009="x",-$E1009/(COUNTIF($J1009:$Q1009,"x")+1),-$E1009*N(N1009)))</f>
        <v/>
      </c>
      <c r="AC1009" s="34">
        <f>IF(OR($A1009="",$H1009&lt;&gt;"Ausgabe",O1009=""),0,IF(O1009="x",-$E1009/(COUNTIF($J1009:$Q1009,"x")+1),-$E1009*N(O1009)))</f>
        <v/>
      </c>
      <c r="AD1009" s="34">
        <f>IF(OR($A1009="",$H1009&lt;&gt;"Ausgabe",P1009=""),0,IF(P1009="x",-$E1009/(COUNTIF($J1009:$Q1009,"x")+1),-$E1009*N(P1009)))</f>
        <v/>
      </c>
      <c r="AE1009" s="34">
        <f>IF(OR($A1009="",$H1009&lt;&gt;"Ausgabe",Q1009=""),0,IF(Q1009="x",-$E1009/(COUNTIF($J1009:$Q1009,"x")+1),-$E1009*N(Q1009)))</f>
        <v/>
      </c>
    </row>
    <row r="1010">
      <c r="A1010" s="30" t="n"/>
      <c r="E1010" s="31" t="n"/>
      <c r="J1010" s="32" t="n"/>
      <c r="K1010" s="32" t="n"/>
      <c r="L1010" s="32" t="n"/>
      <c r="M1010" s="32" t="n"/>
      <c r="N1010" s="32" t="n"/>
      <c r="O1010" s="32" t="n"/>
      <c r="P1010" s="32" t="n"/>
      <c r="Q1010" s="32" t="n"/>
      <c r="U1010" s="31">
        <f>IF($A1010="","",SUM(X1010:AE1010))</f>
        <v/>
      </c>
      <c r="V1010" s="31">
        <f>IF($A1010="","",IF($H1010&lt;&gt;"Ausgabe",0,-$E1010-$U1010))</f>
        <v/>
      </c>
      <c r="W1010" s="33">
        <f>IF($A1010="","",DATE(YEAR($A1010),MONTH($A1010),1))</f>
        <v/>
      </c>
      <c r="X1010" s="34">
        <f>IF(OR($A1010="",$H1010&lt;&gt;"Ausgabe",J1010=""),0,IF(J1010="x",-$E1010/(COUNTIF($J1010:$Q1010,"x")+1),-$E1010*N(J1010)))</f>
        <v/>
      </c>
      <c r="Y1010" s="34">
        <f>IF(OR($A1010="",$H1010&lt;&gt;"Ausgabe",K1010=""),0,IF(K1010="x",-$E1010/(COUNTIF($J1010:$Q1010,"x")+1),-$E1010*N(K1010)))</f>
        <v/>
      </c>
      <c r="Z1010" s="34">
        <f>IF(OR($A1010="",$H1010&lt;&gt;"Ausgabe",L1010=""),0,IF(L1010="x",-$E1010/(COUNTIF($J1010:$Q1010,"x")+1),-$E1010*N(L1010)))</f>
        <v/>
      </c>
      <c r="AA1010" s="34">
        <f>IF(OR($A1010="",$H1010&lt;&gt;"Ausgabe",M1010=""),0,IF(M1010="x",-$E1010/(COUNTIF($J1010:$Q1010,"x")+1),-$E1010*N(M1010)))</f>
        <v/>
      </c>
      <c r="AB1010" s="34">
        <f>IF(OR($A1010="",$H1010&lt;&gt;"Ausgabe",N1010=""),0,IF(N1010="x",-$E1010/(COUNTIF($J1010:$Q1010,"x")+1),-$E1010*N(N1010)))</f>
        <v/>
      </c>
      <c r="AC1010" s="34">
        <f>IF(OR($A1010="",$H1010&lt;&gt;"Ausgabe",O1010=""),0,IF(O1010="x",-$E1010/(COUNTIF($J1010:$Q1010,"x")+1),-$E1010*N(O1010)))</f>
        <v/>
      </c>
      <c r="AD1010" s="34">
        <f>IF(OR($A1010="",$H1010&lt;&gt;"Ausgabe",P1010=""),0,IF(P1010="x",-$E1010/(COUNTIF($J1010:$Q1010,"x")+1),-$E1010*N(P1010)))</f>
        <v/>
      </c>
      <c r="AE1010" s="34">
        <f>IF(OR($A1010="",$H1010&lt;&gt;"Ausgabe",Q1010=""),0,IF(Q1010="x",-$E1010/(COUNTIF($J1010:$Q1010,"x")+1),-$E1010*N(Q1010)))</f>
        <v/>
      </c>
    </row>
    <row r="1011">
      <c r="A1011" s="30" t="n"/>
      <c r="E1011" s="31" t="n"/>
      <c r="J1011" s="32" t="n"/>
      <c r="K1011" s="32" t="n"/>
      <c r="L1011" s="32" t="n"/>
      <c r="M1011" s="32" t="n"/>
      <c r="N1011" s="32" t="n"/>
      <c r="O1011" s="32" t="n"/>
      <c r="P1011" s="32" t="n"/>
      <c r="Q1011" s="32" t="n"/>
      <c r="U1011" s="31">
        <f>IF($A1011="","",SUM(X1011:AE1011))</f>
        <v/>
      </c>
      <c r="V1011" s="31">
        <f>IF($A1011="","",IF($H1011&lt;&gt;"Ausgabe",0,-$E1011-$U1011))</f>
        <v/>
      </c>
      <c r="W1011" s="33">
        <f>IF($A1011="","",DATE(YEAR($A1011),MONTH($A1011),1))</f>
        <v/>
      </c>
      <c r="X1011" s="34">
        <f>IF(OR($A1011="",$H1011&lt;&gt;"Ausgabe",J1011=""),0,IF(J1011="x",-$E1011/(COUNTIF($J1011:$Q1011,"x")+1),-$E1011*N(J1011)))</f>
        <v/>
      </c>
      <c r="Y1011" s="34">
        <f>IF(OR($A1011="",$H1011&lt;&gt;"Ausgabe",K1011=""),0,IF(K1011="x",-$E1011/(COUNTIF($J1011:$Q1011,"x")+1),-$E1011*N(K1011)))</f>
        <v/>
      </c>
      <c r="Z1011" s="34">
        <f>IF(OR($A1011="",$H1011&lt;&gt;"Ausgabe",L1011=""),0,IF(L1011="x",-$E1011/(COUNTIF($J1011:$Q1011,"x")+1),-$E1011*N(L1011)))</f>
        <v/>
      </c>
      <c r="AA1011" s="34">
        <f>IF(OR($A1011="",$H1011&lt;&gt;"Ausgabe",M1011=""),0,IF(M1011="x",-$E1011/(COUNTIF($J1011:$Q1011,"x")+1),-$E1011*N(M1011)))</f>
        <v/>
      </c>
      <c r="AB1011" s="34">
        <f>IF(OR($A1011="",$H1011&lt;&gt;"Ausgabe",N1011=""),0,IF(N1011="x",-$E1011/(COUNTIF($J1011:$Q1011,"x")+1),-$E1011*N(N1011)))</f>
        <v/>
      </c>
      <c r="AC1011" s="34">
        <f>IF(OR($A1011="",$H1011&lt;&gt;"Ausgabe",O1011=""),0,IF(O1011="x",-$E1011/(COUNTIF($J1011:$Q1011,"x")+1),-$E1011*N(O1011)))</f>
        <v/>
      </c>
      <c r="AD1011" s="34">
        <f>IF(OR($A1011="",$H1011&lt;&gt;"Ausgabe",P1011=""),0,IF(P1011="x",-$E1011/(COUNTIF($J1011:$Q1011,"x")+1),-$E1011*N(P1011)))</f>
        <v/>
      </c>
      <c r="AE1011" s="34">
        <f>IF(OR($A1011="",$H1011&lt;&gt;"Ausgabe",Q1011=""),0,IF(Q1011="x",-$E1011/(COUNTIF($J1011:$Q1011,"x")+1),-$E1011*N(Q1011)))</f>
        <v/>
      </c>
    </row>
    <row r="1012">
      <c r="A1012" s="30" t="n"/>
      <c r="E1012" s="31" t="n"/>
      <c r="J1012" s="32" t="n"/>
      <c r="K1012" s="32" t="n"/>
      <c r="L1012" s="32" t="n"/>
      <c r="M1012" s="32" t="n"/>
      <c r="N1012" s="32" t="n"/>
      <c r="O1012" s="32" t="n"/>
      <c r="P1012" s="32" t="n"/>
      <c r="Q1012" s="32" t="n"/>
      <c r="U1012" s="31">
        <f>IF($A1012="","",SUM(X1012:AE1012))</f>
        <v/>
      </c>
      <c r="V1012" s="31">
        <f>IF($A1012="","",IF($H1012&lt;&gt;"Ausgabe",0,-$E1012-$U1012))</f>
        <v/>
      </c>
      <c r="W1012" s="33">
        <f>IF($A1012="","",DATE(YEAR($A1012),MONTH($A1012),1))</f>
        <v/>
      </c>
      <c r="X1012" s="34">
        <f>IF(OR($A1012="",$H1012&lt;&gt;"Ausgabe",J1012=""),0,IF(J1012="x",-$E1012/(COUNTIF($J1012:$Q1012,"x")+1),-$E1012*N(J1012)))</f>
        <v/>
      </c>
      <c r="Y1012" s="34">
        <f>IF(OR($A1012="",$H1012&lt;&gt;"Ausgabe",K1012=""),0,IF(K1012="x",-$E1012/(COUNTIF($J1012:$Q1012,"x")+1),-$E1012*N(K1012)))</f>
        <v/>
      </c>
      <c r="Z1012" s="34">
        <f>IF(OR($A1012="",$H1012&lt;&gt;"Ausgabe",L1012=""),0,IF(L1012="x",-$E1012/(COUNTIF($J1012:$Q1012,"x")+1),-$E1012*N(L1012)))</f>
        <v/>
      </c>
      <c r="AA1012" s="34">
        <f>IF(OR($A1012="",$H1012&lt;&gt;"Ausgabe",M1012=""),0,IF(M1012="x",-$E1012/(COUNTIF($J1012:$Q1012,"x")+1),-$E1012*N(M1012)))</f>
        <v/>
      </c>
      <c r="AB1012" s="34">
        <f>IF(OR($A1012="",$H1012&lt;&gt;"Ausgabe",N1012=""),0,IF(N1012="x",-$E1012/(COUNTIF($J1012:$Q1012,"x")+1),-$E1012*N(N1012)))</f>
        <v/>
      </c>
      <c r="AC1012" s="34">
        <f>IF(OR($A1012="",$H1012&lt;&gt;"Ausgabe",O1012=""),0,IF(O1012="x",-$E1012/(COUNTIF($J1012:$Q1012,"x")+1),-$E1012*N(O1012)))</f>
        <v/>
      </c>
      <c r="AD1012" s="34">
        <f>IF(OR($A1012="",$H1012&lt;&gt;"Ausgabe",P1012=""),0,IF(P1012="x",-$E1012/(COUNTIF($J1012:$Q1012,"x")+1),-$E1012*N(P1012)))</f>
        <v/>
      </c>
      <c r="AE1012" s="34">
        <f>IF(OR($A1012="",$H1012&lt;&gt;"Ausgabe",Q1012=""),0,IF(Q1012="x",-$E1012/(COUNTIF($J1012:$Q1012,"x")+1),-$E1012*N(Q1012)))</f>
        <v/>
      </c>
    </row>
    <row r="1013">
      <c r="A1013" s="30" t="n"/>
      <c r="E1013" s="31" t="n"/>
      <c r="J1013" s="32" t="n"/>
      <c r="K1013" s="32" t="n"/>
      <c r="L1013" s="32" t="n"/>
      <c r="M1013" s="32" t="n"/>
      <c r="N1013" s="32" t="n"/>
      <c r="O1013" s="32" t="n"/>
      <c r="P1013" s="32" t="n"/>
      <c r="Q1013" s="32" t="n"/>
      <c r="U1013" s="31">
        <f>IF($A1013="","",SUM(X1013:AE1013))</f>
        <v/>
      </c>
      <c r="V1013" s="31">
        <f>IF($A1013="","",IF($H1013&lt;&gt;"Ausgabe",0,-$E1013-$U1013))</f>
        <v/>
      </c>
      <c r="W1013" s="33">
        <f>IF($A1013="","",DATE(YEAR($A1013),MONTH($A1013),1))</f>
        <v/>
      </c>
      <c r="X1013" s="34">
        <f>IF(OR($A1013="",$H1013&lt;&gt;"Ausgabe",J1013=""),0,IF(J1013="x",-$E1013/(COUNTIF($J1013:$Q1013,"x")+1),-$E1013*N(J1013)))</f>
        <v/>
      </c>
      <c r="Y1013" s="34">
        <f>IF(OR($A1013="",$H1013&lt;&gt;"Ausgabe",K1013=""),0,IF(K1013="x",-$E1013/(COUNTIF($J1013:$Q1013,"x")+1),-$E1013*N(K1013)))</f>
        <v/>
      </c>
      <c r="Z1013" s="34">
        <f>IF(OR($A1013="",$H1013&lt;&gt;"Ausgabe",L1013=""),0,IF(L1013="x",-$E1013/(COUNTIF($J1013:$Q1013,"x")+1),-$E1013*N(L1013)))</f>
        <v/>
      </c>
      <c r="AA1013" s="34">
        <f>IF(OR($A1013="",$H1013&lt;&gt;"Ausgabe",M1013=""),0,IF(M1013="x",-$E1013/(COUNTIF($J1013:$Q1013,"x")+1),-$E1013*N(M1013)))</f>
        <v/>
      </c>
      <c r="AB1013" s="34">
        <f>IF(OR($A1013="",$H1013&lt;&gt;"Ausgabe",N1013=""),0,IF(N1013="x",-$E1013/(COUNTIF($J1013:$Q1013,"x")+1),-$E1013*N(N1013)))</f>
        <v/>
      </c>
      <c r="AC1013" s="34">
        <f>IF(OR($A1013="",$H1013&lt;&gt;"Ausgabe",O1013=""),0,IF(O1013="x",-$E1013/(COUNTIF($J1013:$Q1013,"x")+1),-$E1013*N(O1013)))</f>
        <v/>
      </c>
      <c r="AD1013" s="34">
        <f>IF(OR($A1013="",$H1013&lt;&gt;"Ausgabe",P1013=""),0,IF(P1013="x",-$E1013/(COUNTIF($J1013:$Q1013,"x")+1),-$E1013*N(P1013)))</f>
        <v/>
      </c>
      <c r="AE1013" s="34">
        <f>IF(OR($A1013="",$H1013&lt;&gt;"Ausgabe",Q1013=""),0,IF(Q1013="x",-$E1013/(COUNTIF($J1013:$Q1013,"x")+1),-$E1013*N(Q1013)))</f>
        <v/>
      </c>
    </row>
    <row r="1014">
      <c r="A1014" s="30" t="n"/>
      <c r="E1014" s="31" t="n"/>
      <c r="J1014" s="32" t="n"/>
      <c r="K1014" s="32" t="n"/>
      <c r="L1014" s="32" t="n"/>
      <c r="M1014" s="32" t="n"/>
      <c r="N1014" s="32" t="n"/>
      <c r="O1014" s="32" t="n"/>
      <c r="P1014" s="32" t="n"/>
      <c r="Q1014" s="32" t="n"/>
      <c r="U1014" s="31">
        <f>IF($A1014="","",SUM(X1014:AE1014))</f>
        <v/>
      </c>
      <c r="V1014" s="31">
        <f>IF($A1014="","",IF($H1014&lt;&gt;"Ausgabe",0,-$E1014-$U1014))</f>
        <v/>
      </c>
      <c r="W1014" s="33">
        <f>IF($A1014="","",DATE(YEAR($A1014),MONTH($A1014),1))</f>
        <v/>
      </c>
      <c r="X1014" s="34">
        <f>IF(OR($A1014="",$H1014&lt;&gt;"Ausgabe",J1014=""),0,IF(J1014="x",-$E1014/(COUNTIF($J1014:$Q1014,"x")+1),-$E1014*N(J1014)))</f>
        <v/>
      </c>
      <c r="Y1014" s="34">
        <f>IF(OR($A1014="",$H1014&lt;&gt;"Ausgabe",K1014=""),0,IF(K1014="x",-$E1014/(COUNTIF($J1014:$Q1014,"x")+1),-$E1014*N(K1014)))</f>
        <v/>
      </c>
      <c r="Z1014" s="34">
        <f>IF(OR($A1014="",$H1014&lt;&gt;"Ausgabe",L1014=""),0,IF(L1014="x",-$E1014/(COUNTIF($J1014:$Q1014,"x")+1),-$E1014*N(L1014)))</f>
        <v/>
      </c>
      <c r="AA1014" s="34">
        <f>IF(OR($A1014="",$H1014&lt;&gt;"Ausgabe",M1014=""),0,IF(M1014="x",-$E1014/(COUNTIF($J1014:$Q1014,"x")+1),-$E1014*N(M1014)))</f>
        <v/>
      </c>
      <c r="AB1014" s="34">
        <f>IF(OR($A1014="",$H1014&lt;&gt;"Ausgabe",N1014=""),0,IF(N1014="x",-$E1014/(COUNTIF($J1014:$Q1014,"x")+1),-$E1014*N(N1014)))</f>
        <v/>
      </c>
      <c r="AC1014" s="34">
        <f>IF(OR($A1014="",$H1014&lt;&gt;"Ausgabe",O1014=""),0,IF(O1014="x",-$E1014/(COUNTIF($J1014:$Q1014,"x")+1),-$E1014*N(O1014)))</f>
        <v/>
      </c>
      <c r="AD1014" s="34">
        <f>IF(OR($A1014="",$H1014&lt;&gt;"Ausgabe",P1014=""),0,IF(P1014="x",-$E1014/(COUNTIF($J1014:$Q1014,"x")+1),-$E1014*N(P1014)))</f>
        <v/>
      </c>
      <c r="AE1014" s="34">
        <f>IF(OR($A1014="",$H1014&lt;&gt;"Ausgabe",Q1014=""),0,IF(Q1014="x",-$E1014/(COUNTIF($J1014:$Q1014,"x")+1),-$E1014*N(Q1014)))</f>
        <v/>
      </c>
    </row>
    <row r="1015">
      <c r="A1015" s="30" t="n"/>
      <c r="E1015" s="31" t="n"/>
      <c r="J1015" s="32" t="n"/>
      <c r="K1015" s="32" t="n"/>
      <c r="L1015" s="32" t="n"/>
      <c r="M1015" s="32" t="n"/>
      <c r="N1015" s="32" t="n"/>
      <c r="O1015" s="32" t="n"/>
      <c r="P1015" s="32" t="n"/>
      <c r="Q1015" s="32" t="n"/>
      <c r="U1015" s="31">
        <f>IF($A1015="","",SUM(X1015:AE1015))</f>
        <v/>
      </c>
      <c r="V1015" s="31">
        <f>IF($A1015="","",IF($H1015&lt;&gt;"Ausgabe",0,-$E1015-$U1015))</f>
        <v/>
      </c>
      <c r="W1015" s="33">
        <f>IF($A1015="","",DATE(YEAR($A1015),MONTH($A1015),1))</f>
        <v/>
      </c>
      <c r="X1015" s="34">
        <f>IF(OR($A1015="",$H1015&lt;&gt;"Ausgabe",J1015=""),0,IF(J1015="x",-$E1015/(COUNTIF($J1015:$Q1015,"x")+1),-$E1015*N(J1015)))</f>
        <v/>
      </c>
      <c r="Y1015" s="34">
        <f>IF(OR($A1015="",$H1015&lt;&gt;"Ausgabe",K1015=""),0,IF(K1015="x",-$E1015/(COUNTIF($J1015:$Q1015,"x")+1),-$E1015*N(K1015)))</f>
        <v/>
      </c>
      <c r="Z1015" s="34">
        <f>IF(OR($A1015="",$H1015&lt;&gt;"Ausgabe",L1015=""),0,IF(L1015="x",-$E1015/(COUNTIF($J1015:$Q1015,"x")+1),-$E1015*N(L1015)))</f>
        <v/>
      </c>
      <c r="AA1015" s="34">
        <f>IF(OR($A1015="",$H1015&lt;&gt;"Ausgabe",M1015=""),0,IF(M1015="x",-$E1015/(COUNTIF($J1015:$Q1015,"x")+1),-$E1015*N(M1015)))</f>
        <v/>
      </c>
      <c r="AB1015" s="34">
        <f>IF(OR($A1015="",$H1015&lt;&gt;"Ausgabe",N1015=""),0,IF(N1015="x",-$E1015/(COUNTIF($J1015:$Q1015,"x")+1),-$E1015*N(N1015)))</f>
        <v/>
      </c>
      <c r="AC1015" s="34">
        <f>IF(OR($A1015="",$H1015&lt;&gt;"Ausgabe",O1015=""),0,IF(O1015="x",-$E1015/(COUNTIF($J1015:$Q1015,"x")+1),-$E1015*N(O1015)))</f>
        <v/>
      </c>
      <c r="AD1015" s="34">
        <f>IF(OR($A1015="",$H1015&lt;&gt;"Ausgabe",P1015=""),0,IF(P1015="x",-$E1015/(COUNTIF($J1015:$Q1015,"x")+1),-$E1015*N(P1015)))</f>
        <v/>
      </c>
      <c r="AE1015" s="34">
        <f>IF(OR($A1015="",$H1015&lt;&gt;"Ausgabe",Q1015=""),0,IF(Q1015="x",-$E1015/(COUNTIF($J1015:$Q1015,"x")+1),-$E1015*N(Q1015)))</f>
        <v/>
      </c>
    </row>
    <row r="1016">
      <c r="A1016" s="30" t="n"/>
      <c r="E1016" s="31" t="n"/>
      <c r="J1016" s="32" t="n"/>
      <c r="K1016" s="32" t="n"/>
      <c r="L1016" s="32" t="n"/>
      <c r="M1016" s="32" t="n"/>
      <c r="N1016" s="32" t="n"/>
      <c r="O1016" s="32" t="n"/>
      <c r="P1016" s="32" t="n"/>
      <c r="Q1016" s="32" t="n"/>
      <c r="U1016" s="31">
        <f>IF($A1016="","",SUM(X1016:AE1016))</f>
        <v/>
      </c>
      <c r="V1016" s="31">
        <f>IF($A1016="","",IF($H1016&lt;&gt;"Ausgabe",0,-$E1016-$U1016))</f>
        <v/>
      </c>
      <c r="W1016" s="33">
        <f>IF($A1016="","",DATE(YEAR($A1016),MONTH($A1016),1))</f>
        <v/>
      </c>
      <c r="X1016" s="34">
        <f>IF(OR($A1016="",$H1016&lt;&gt;"Ausgabe",J1016=""),0,IF(J1016="x",-$E1016/(COUNTIF($J1016:$Q1016,"x")+1),-$E1016*N(J1016)))</f>
        <v/>
      </c>
      <c r="Y1016" s="34">
        <f>IF(OR($A1016="",$H1016&lt;&gt;"Ausgabe",K1016=""),0,IF(K1016="x",-$E1016/(COUNTIF($J1016:$Q1016,"x")+1),-$E1016*N(K1016)))</f>
        <v/>
      </c>
      <c r="Z1016" s="34">
        <f>IF(OR($A1016="",$H1016&lt;&gt;"Ausgabe",L1016=""),0,IF(L1016="x",-$E1016/(COUNTIF($J1016:$Q1016,"x")+1),-$E1016*N(L1016)))</f>
        <v/>
      </c>
      <c r="AA1016" s="34">
        <f>IF(OR($A1016="",$H1016&lt;&gt;"Ausgabe",M1016=""),0,IF(M1016="x",-$E1016/(COUNTIF($J1016:$Q1016,"x")+1),-$E1016*N(M1016)))</f>
        <v/>
      </c>
      <c r="AB1016" s="34">
        <f>IF(OR($A1016="",$H1016&lt;&gt;"Ausgabe",N1016=""),0,IF(N1016="x",-$E1016/(COUNTIF($J1016:$Q1016,"x")+1),-$E1016*N(N1016)))</f>
        <v/>
      </c>
      <c r="AC1016" s="34">
        <f>IF(OR($A1016="",$H1016&lt;&gt;"Ausgabe",O1016=""),0,IF(O1016="x",-$E1016/(COUNTIF($J1016:$Q1016,"x")+1),-$E1016*N(O1016)))</f>
        <v/>
      </c>
      <c r="AD1016" s="34">
        <f>IF(OR($A1016="",$H1016&lt;&gt;"Ausgabe",P1016=""),0,IF(P1016="x",-$E1016/(COUNTIF($J1016:$Q1016,"x")+1),-$E1016*N(P1016)))</f>
        <v/>
      </c>
      <c r="AE1016" s="34">
        <f>IF(OR($A1016="",$H1016&lt;&gt;"Ausgabe",Q1016=""),0,IF(Q1016="x",-$E1016/(COUNTIF($J1016:$Q1016,"x")+1),-$E1016*N(Q1016)))</f>
        <v/>
      </c>
    </row>
    <row r="1017">
      <c r="A1017" s="30" t="n"/>
      <c r="E1017" s="31" t="n"/>
      <c r="J1017" s="32" t="n"/>
      <c r="K1017" s="32" t="n"/>
      <c r="L1017" s="32" t="n"/>
      <c r="M1017" s="32" t="n"/>
      <c r="N1017" s="32" t="n"/>
      <c r="O1017" s="32" t="n"/>
      <c r="P1017" s="32" t="n"/>
      <c r="Q1017" s="32" t="n"/>
      <c r="U1017" s="31">
        <f>IF($A1017="","",SUM(X1017:AE1017))</f>
        <v/>
      </c>
      <c r="V1017" s="31">
        <f>IF($A1017="","",IF($H1017&lt;&gt;"Ausgabe",0,-$E1017-$U1017))</f>
        <v/>
      </c>
      <c r="W1017" s="33">
        <f>IF($A1017="","",DATE(YEAR($A1017),MONTH($A1017),1))</f>
        <v/>
      </c>
      <c r="X1017" s="34">
        <f>IF(OR($A1017="",$H1017&lt;&gt;"Ausgabe",J1017=""),0,IF(J1017="x",-$E1017/(COUNTIF($J1017:$Q1017,"x")+1),-$E1017*N(J1017)))</f>
        <v/>
      </c>
      <c r="Y1017" s="34">
        <f>IF(OR($A1017="",$H1017&lt;&gt;"Ausgabe",K1017=""),0,IF(K1017="x",-$E1017/(COUNTIF($J1017:$Q1017,"x")+1),-$E1017*N(K1017)))</f>
        <v/>
      </c>
      <c r="Z1017" s="34">
        <f>IF(OR($A1017="",$H1017&lt;&gt;"Ausgabe",L1017=""),0,IF(L1017="x",-$E1017/(COUNTIF($J1017:$Q1017,"x")+1),-$E1017*N(L1017)))</f>
        <v/>
      </c>
      <c r="AA1017" s="34">
        <f>IF(OR($A1017="",$H1017&lt;&gt;"Ausgabe",M1017=""),0,IF(M1017="x",-$E1017/(COUNTIF($J1017:$Q1017,"x")+1),-$E1017*N(M1017)))</f>
        <v/>
      </c>
      <c r="AB1017" s="34">
        <f>IF(OR($A1017="",$H1017&lt;&gt;"Ausgabe",N1017=""),0,IF(N1017="x",-$E1017/(COUNTIF($J1017:$Q1017,"x")+1),-$E1017*N(N1017)))</f>
        <v/>
      </c>
      <c r="AC1017" s="34">
        <f>IF(OR($A1017="",$H1017&lt;&gt;"Ausgabe",O1017=""),0,IF(O1017="x",-$E1017/(COUNTIF($J1017:$Q1017,"x")+1),-$E1017*N(O1017)))</f>
        <v/>
      </c>
      <c r="AD1017" s="34">
        <f>IF(OR($A1017="",$H1017&lt;&gt;"Ausgabe",P1017=""),0,IF(P1017="x",-$E1017/(COUNTIF($J1017:$Q1017,"x")+1),-$E1017*N(P1017)))</f>
        <v/>
      </c>
      <c r="AE1017" s="34">
        <f>IF(OR($A1017="",$H1017&lt;&gt;"Ausgabe",Q1017=""),0,IF(Q1017="x",-$E1017/(COUNTIF($J1017:$Q1017,"x")+1),-$E1017*N(Q1017)))</f>
        <v/>
      </c>
    </row>
    <row r="1018">
      <c r="A1018" s="30" t="n"/>
      <c r="E1018" s="31" t="n"/>
      <c r="J1018" s="32" t="n"/>
      <c r="K1018" s="32" t="n"/>
      <c r="L1018" s="32" t="n"/>
      <c r="M1018" s="32" t="n"/>
      <c r="N1018" s="32" t="n"/>
      <c r="O1018" s="32" t="n"/>
      <c r="P1018" s="32" t="n"/>
      <c r="Q1018" s="32" t="n"/>
      <c r="U1018" s="31">
        <f>IF($A1018="","",SUM(X1018:AE1018))</f>
        <v/>
      </c>
      <c r="V1018" s="31">
        <f>IF($A1018="","",IF($H1018&lt;&gt;"Ausgabe",0,-$E1018-$U1018))</f>
        <v/>
      </c>
      <c r="W1018" s="33">
        <f>IF($A1018="","",DATE(YEAR($A1018),MONTH($A1018),1))</f>
        <v/>
      </c>
      <c r="X1018" s="34">
        <f>IF(OR($A1018="",$H1018&lt;&gt;"Ausgabe",J1018=""),0,IF(J1018="x",-$E1018/(COUNTIF($J1018:$Q1018,"x")+1),-$E1018*N(J1018)))</f>
        <v/>
      </c>
      <c r="Y1018" s="34">
        <f>IF(OR($A1018="",$H1018&lt;&gt;"Ausgabe",K1018=""),0,IF(K1018="x",-$E1018/(COUNTIF($J1018:$Q1018,"x")+1),-$E1018*N(K1018)))</f>
        <v/>
      </c>
      <c r="Z1018" s="34">
        <f>IF(OR($A1018="",$H1018&lt;&gt;"Ausgabe",L1018=""),0,IF(L1018="x",-$E1018/(COUNTIF($J1018:$Q1018,"x")+1),-$E1018*N(L1018)))</f>
        <v/>
      </c>
      <c r="AA1018" s="34">
        <f>IF(OR($A1018="",$H1018&lt;&gt;"Ausgabe",M1018=""),0,IF(M1018="x",-$E1018/(COUNTIF($J1018:$Q1018,"x")+1),-$E1018*N(M1018)))</f>
        <v/>
      </c>
      <c r="AB1018" s="34">
        <f>IF(OR($A1018="",$H1018&lt;&gt;"Ausgabe",N1018=""),0,IF(N1018="x",-$E1018/(COUNTIF($J1018:$Q1018,"x")+1),-$E1018*N(N1018)))</f>
        <v/>
      </c>
      <c r="AC1018" s="34">
        <f>IF(OR($A1018="",$H1018&lt;&gt;"Ausgabe",O1018=""),0,IF(O1018="x",-$E1018/(COUNTIF($J1018:$Q1018,"x")+1),-$E1018*N(O1018)))</f>
        <v/>
      </c>
      <c r="AD1018" s="34">
        <f>IF(OR($A1018="",$H1018&lt;&gt;"Ausgabe",P1018=""),0,IF(P1018="x",-$E1018/(COUNTIF($J1018:$Q1018,"x")+1),-$E1018*N(P1018)))</f>
        <v/>
      </c>
      <c r="AE1018" s="34">
        <f>IF(OR($A1018="",$H1018&lt;&gt;"Ausgabe",Q1018=""),0,IF(Q1018="x",-$E1018/(COUNTIF($J1018:$Q1018,"x")+1),-$E1018*N(Q1018)))</f>
        <v/>
      </c>
    </row>
    <row r="1019">
      <c r="A1019" s="30" t="n"/>
      <c r="E1019" s="31" t="n"/>
      <c r="J1019" s="32" t="n"/>
      <c r="K1019" s="32" t="n"/>
      <c r="L1019" s="32" t="n"/>
      <c r="M1019" s="32" t="n"/>
      <c r="N1019" s="32" t="n"/>
      <c r="O1019" s="32" t="n"/>
      <c r="P1019" s="32" t="n"/>
      <c r="Q1019" s="32" t="n"/>
      <c r="U1019" s="31">
        <f>IF($A1019="","",SUM(X1019:AE1019))</f>
        <v/>
      </c>
      <c r="V1019" s="31">
        <f>IF($A1019="","",IF($H1019&lt;&gt;"Ausgabe",0,-$E1019-$U1019))</f>
        <v/>
      </c>
      <c r="W1019" s="33">
        <f>IF($A1019="","",DATE(YEAR($A1019),MONTH($A1019),1))</f>
        <v/>
      </c>
      <c r="X1019" s="34">
        <f>IF(OR($A1019="",$H1019&lt;&gt;"Ausgabe",J1019=""),0,IF(J1019="x",-$E1019/(COUNTIF($J1019:$Q1019,"x")+1),-$E1019*N(J1019)))</f>
        <v/>
      </c>
      <c r="Y1019" s="34">
        <f>IF(OR($A1019="",$H1019&lt;&gt;"Ausgabe",K1019=""),0,IF(K1019="x",-$E1019/(COUNTIF($J1019:$Q1019,"x")+1),-$E1019*N(K1019)))</f>
        <v/>
      </c>
      <c r="Z1019" s="34">
        <f>IF(OR($A1019="",$H1019&lt;&gt;"Ausgabe",L1019=""),0,IF(L1019="x",-$E1019/(COUNTIF($J1019:$Q1019,"x")+1),-$E1019*N(L1019)))</f>
        <v/>
      </c>
      <c r="AA1019" s="34">
        <f>IF(OR($A1019="",$H1019&lt;&gt;"Ausgabe",M1019=""),0,IF(M1019="x",-$E1019/(COUNTIF($J1019:$Q1019,"x")+1),-$E1019*N(M1019)))</f>
        <v/>
      </c>
      <c r="AB1019" s="34">
        <f>IF(OR($A1019="",$H1019&lt;&gt;"Ausgabe",N1019=""),0,IF(N1019="x",-$E1019/(COUNTIF($J1019:$Q1019,"x")+1),-$E1019*N(N1019)))</f>
        <v/>
      </c>
      <c r="AC1019" s="34">
        <f>IF(OR($A1019="",$H1019&lt;&gt;"Ausgabe",O1019=""),0,IF(O1019="x",-$E1019/(COUNTIF($J1019:$Q1019,"x")+1),-$E1019*N(O1019)))</f>
        <v/>
      </c>
      <c r="AD1019" s="34">
        <f>IF(OR($A1019="",$H1019&lt;&gt;"Ausgabe",P1019=""),0,IF(P1019="x",-$E1019/(COUNTIF($J1019:$Q1019,"x")+1),-$E1019*N(P1019)))</f>
        <v/>
      </c>
      <c r="AE1019" s="34">
        <f>IF(OR($A1019="",$H1019&lt;&gt;"Ausgabe",Q1019=""),0,IF(Q1019="x",-$E1019/(COUNTIF($J1019:$Q1019,"x")+1),-$E1019*N(Q1019)))</f>
        <v/>
      </c>
    </row>
    <row r="1020">
      <c r="A1020" s="30" t="n"/>
      <c r="E1020" s="31" t="n"/>
      <c r="J1020" s="32" t="n"/>
      <c r="K1020" s="32" t="n"/>
      <c r="L1020" s="32" t="n"/>
      <c r="M1020" s="32" t="n"/>
      <c r="N1020" s="32" t="n"/>
      <c r="O1020" s="32" t="n"/>
      <c r="P1020" s="32" t="n"/>
      <c r="Q1020" s="32" t="n"/>
      <c r="U1020" s="31">
        <f>IF($A1020="","",SUM(X1020:AE1020))</f>
        <v/>
      </c>
      <c r="V1020" s="31">
        <f>IF($A1020="","",IF($H1020&lt;&gt;"Ausgabe",0,-$E1020-$U1020))</f>
        <v/>
      </c>
      <c r="W1020" s="33">
        <f>IF($A1020="","",DATE(YEAR($A1020),MONTH($A1020),1))</f>
        <v/>
      </c>
      <c r="X1020" s="34">
        <f>IF(OR($A1020="",$H1020&lt;&gt;"Ausgabe",J1020=""),0,IF(J1020="x",-$E1020/(COUNTIF($J1020:$Q1020,"x")+1),-$E1020*N(J1020)))</f>
        <v/>
      </c>
      <c r="Y1020" s="34">
        <f>IF(OR($A1020="",$H1020&lt;&gt;"Ausgabe",K1020=""),0,IF(K1020="x",-$E1020/(COUNTIF($J1020:$Q1020,"x")+1),-$E1020*N(K1020)))</f>
        <v/>
      </c>
      <c r="Z1020" s="34">
        <f>IF(OR($A1020="",$H1020&lt;&gt;"Ausgabe",L1020=""),0,IF(L1020="x",-$E1020/(COUNTIF($J1020:$Q1020,"x")+1),-$E1020*N(L1020)))</f>
        <v/>
      </c>
      <c r="AA1020" s="34">
        <f>IF(OR($A1020="",$H1020&lt;&gt;"Ausgabe",M1020=""),0,IF(M1020="x",-$E1020/(COUNTIF($J1020:$Q1020,"x")+1),-$E1020*N(M1020)))</f>
        <v/>
      </c>
      <c r="AB1020" s="34">
        <f>IF(OR($A1020="",$H1020&lt;&gt;"Ausgabe",N1020=""),0,IF(N1020="x",-$E1020/(COUNTIF($J1020:$Q1020,"x")+1),-$E1020*N(N1020)))</f>
        <v/>
      </c>
      <c r="AC1020" s="34">
        <f>IF(OR($A1020="",$H1020&lt;&gt;"Ausgabe",O1020=""),0,IF(O1020="x",-$E1020/(COUNTIF($J1020:$Q1020,"x")+1),-$E1020*N(O1020)))</f>
        <v/>
      </c>
      <c r="AD1020" s="34">
        <f>IF(OR($A1020="",$H1020&lt;&gt;"Ausgabe",P1020=""),0,IF(P1020="x",-$E1020/(COUNTIF($J1020:$Q1020,"x")+1),-$E1020*N(P1020)))</f>
        <v/>
      </c>
      <c r="AE1020" s="34">
        <f>IF(OR($A1020="",$H1020&lt;&gt;"Ausgabe",Q1020=""),0,IF(Q1020="x",-$E1020/(COUNTIF($J1020:$Q1020,"x")+1),-$E1020*N(Q1020)))</f>
        <v/>
      </c>
    </row>
    <row r="1021">
      <c r="A1021" s="30" t="n"/>
      <c r="E1021" s="31" t="n"/>
      <c r="J1021" s="32" t="n"/>
      <c r="K1021" s="32" t="n"/>
      <c r="L1021" s="32" t="n"/>
      <c r="M1021" s="32" t="n"/>
      <c r="N1021" s="32" t="n"/>
      <c r="O1021" s="32" t="n"/>
      <c r="P1021" s="32" t="n"/>
      <c r="Q1021" s="32" t="n"/>
      <c r="U1021" s="31">
        <f>IF($A1021="","",SUM(X1021:AE1021))</f>
        <v/>
      </c>
      <c r="V1021" s="31">
        <f>IF($A1021="","",IF($H1021&lt;&gt;"Ausgabe",0,-$E1021-$U1021))</f>
        <v/>
      </c>
      <c r="W1021" s="33">
        <f>IF($A1021="","",DATE(YEAR($A1021),MONTH($A1021),1))</f>
        <v/>
      </c>
      <c r="X1021" s="34">
        <f>IF(OR($A1021="",$H1021&lt;&gt;"Ausgabe",J1021=""),0,IF(J1021="x",-$E1021/(COUNTIF($J1021:$Q1021,"x")+1),-$E1021*N(J1021)))</f>
        <v/>
      </c>
      <c r="Y1021" s="34">
        <f>IF(OR($A1021="",$H1021&lt;&gt;"Ausgabe",K1021=""),0,IF(K1021="x",-$E1021/(COUNTIF($J1021:$Q1021,"x")+1),-$E1021*N(K1021)))</f>
        <v/>
      </c>
      <c r="Z1021" s="34">
        <f>IF(OR($A1021="",$H1021&lt;&gt;"Ausgabe",L1021=""),0,IF(L1021="x",-$E1021/(COUNTIF($J1021:$Q1021,"x")+1),-$E1021*N(L1021)))</f>
        <v/>
      </c>
      <c r="AA1021" s="34">
        <f>IF(OR($A1021="",$H1021&lt;&gt;"Ausgabe",M1021=""),0,IF(M1021="x",-$E1021/(COUNTIF($J1021:$Q1021,"x")+1),-$E1021*N(M1021)))</f>
        <v/>
      </c>
      <c r="AB1021" s="34">
        <f>IF(OR($A1021="",$H1021&lt;&gt;"Ausgabe",N1021=""),0,IF(N1021="x",-$E1021/(COUNTIF($J1021:$Q1021,"x")+1),-$E1021*N(N1021)))</f>
        <v/>
      </c>
      <c r="AC1021" s="34">
        <f>IF(OR($A1021="",$H1021&lt;&gt;"Ausgabe",O1021=""),0,IF(O1021="x",-$E1021/(COUNTIF($J1021:$Q1021,"x")+1),-$E1021*N(O1021)))</f>
        <v/>
      </c>
      <c r="AD1021" s="34">
        <f>IF(OR($A1021="",$H1021&lt;&gt;"Ausgabe",P1021=""),0,IF(P1021="x",-$E1021/(COUNTIF($J1021:$Q1021,"x")+1),-$E1021*N(P1021)))</f>
        <v/>
      </c>
      <c r="AE1021" s="34">
        <f>IF(OR($A1021="",$H1021&lt;&gt;"Ausgabe",Q1021=""),0,IF(Q1021="x",-$E1021/(COUNTIF($J1021:$Q1021,"x")+1),-$E1021*N(Q1021)))</f>
        <v/>
      </c>
    </row>
    <row r="1022">
      <c r="A1022" s="30" t="n"/>
      <c r="E1022" s="31" t="n"/>
      <c r="J1022" s="32" t="n"/>
      <c r="K1022" s="32" t="n"/>
      <c r="L1022" s="32" t="n"/>
      <c r="M1022" s="32" t="n"/>
      <c r="N1022" s="32" t="n"/>
      <c r="O1022" s="32" t="n"/>
      <c r="P1022" s="32" t="n"/>
      <c r="Q1022" s="32" t="n"/>
      <c r="U1022" s="31">
        <f>IF($A1022="","",SUM(X1022:AE1022))</f>
        <v/>
      </c>
      <c r="V1022" s="31">
        <f>IF($A1022="","",IF($H1022&lt;&gt;"Ausgabe",0,-$E1022-$U1022))</f>
        <v/>
      </c>
      <c r="W1022" s="33">
        <f>IF($A1022="","",DATE(YEAR($A1022),MONTH($A1022),1))</f>
        <v/>
      </c>
      <c r="X1022" s="34">
        <f>IF(OR($A1022="",$H1022&lt;&gt;"Ausgabe",J1022=""),0,IF(J1022="x",-$E1022/(COUNTIF($J1022:$Q1022,"x")+1),-$E1022*N(J1022)))</f>
        <v/>
      </c>
      <c r="Y1022" s="34">
        <f>IF(OR($A1022="",$H1022&lt;&gt;"Ausgabe",K1022=""),0,IF(K1022="x",-$E1022/(COUNTIF($J1022:$Q1022,"x")+1),-$E1022*N(K1022)))</f>
        <v/>
      </c>
      <c r="Z1022" s="34">
        <f>IF(OR($A1022="",$H1022&lt;&gt;"Ausgabe",L1022=""),0,IF(L1022="x",-$E1022/(COUNTIF($J1022:$Q1022,"x")+1),-$E1022*N(L1022)))</f>
        <v/>
      </c>
      <c r="AA1022" s="34">
        <f>IF(OR($A1022="",$H1022&lt;&gt;"Ausgabe",M1022=""),0,IF(M1022="x",-$E1022/(COUNTIF($J1022:$Q1022,"x")+1),-$E1022*N(M1022)))</f>
        <v/>
      </c>
      <c r="AB1022" s="34">
        <f>IF(OR($A1022="",$H1022&lt;&gt;"Ausgabe",N1022=""),0,IF(N1022="x",-$E1022/(COUNTIF($J1022:$Q1022,"x")+1),-$E1022*N(N1022)))</f>
        <v/>
      </c>
      <c r="AC1022" s="34">
        <f>IF(OR($A1022="",$H1022&lt;&gt;"Ausgabe",O1022=""),0,IF(O1022="x",-$E1022/(COUNTIF($J1022:$Q1022,"x")+1),-$E1022*N(O1022)))</f>
        <v/>
      </c>
      <c r="AD1022" s="34">
        <f>IF(OR($A1022="",$H1022&lt;&gt;"Ausgabe",P1022=""),0,IF(P1022="x",-$E1022/(COUNTIF($J1022:$Q1022,"x")+1),-$E1022*N(P1022)))</f>
        <v/>
      </c>
      <c r="AE1022" s="34">
        <f>IF(OR($A1022="",$H1022&lt;&gt;"Ausgabe",Q1022=""),0,IF(Q1022="x",-$E1022/(COUNTIF($J1022:$Q1022,"x")+1),-$E1022*N(Q1022)))</f>
        <v/>
      </c>
    </row>
    <row r="1023">
      <c r="A1023" s="30" t="n"/>
      <c r="E1023" s="31" t="n"/>
      <c r="J1023" s="32" t="n"/>
      <c r="K1023" s="32" t="n"/>
      <c r="L1023" s="32" t="n"/>
      <c r="M1023" s="32" t="n"/>
      <c r="N1023" s="32" t="n"/>
      <c r="O1023" s="32" t="n"/>
      <c r="P1023" s="32" t="n"/>
      <c r="Q1023" s="32" t="n"/>
      <c r="U1023" s="31">
        <f>IF($A1023="","",SUM(X1023:AE1023))</f>
        <v/>
      </c>
      <c r="V1023" s="31">
        <f>IF($A1023="","",IF($H1023&lt;&gt;"Ausgabe",0,-$E1023-$U1023))</f>
        <v/>
      </c>
      <c r="W1023" s="33">
        <f>IF($A1023="","",DATE(YEAR($A1023),MONTH($A1023),1))</f>
        <v/>
      </c>
      <c r="X1023" s="34">
        <f>IF(OR($A1023="",$H1023&lt;&gt;"Ausgabe",J1023=""),0,IF(J1023="x",-$E1023/(COUNTIF($J1023:$Q1023,"x")+1),-$E1023*N(J1023)))</f>
        <v/>
      </c>
      <c r="Y1023" s="34">
        <f>IF(OR($A1023="",$H1023&lt;&gt;"Ausgabe",K1023=""),0,IF(K1023="x",-$E1023/(COUNTIF($J1023:$Q1023,"x")+1),-$E1023*N(K1023)))</f>
        <v/>
      </c>
      <c r="Z1023" s="34">
        <f>IF(OR($A1023="",$H1023&lt;&gt;"Ausgabe",L1023=""),0,IF(L1023="x",-$E1023/(COUNTIF($J1023:$Q1023,"x")+1),-$E1023*N(L1023)))</f>
        <v/>
      </c>
      <c r="AA1023" s="34">
        <f>IF(OR($A1023="",$H1023&lt;&gt;"Ausgabe",M1023=""),0,IF(M1023="x",-$E1023/(COUNTIF($J1023:$Q1023,"x")+1),-$E1023*N(M1023)))</f>
        <v/>
      </c>
      <c r="AB1023" s="34">
        <f>IF(OR($A1023="",$H1023&lt;&gt;"Ausgabe",N1023=""),0,IF(N1023="x",-$E1023/(COUNTIF($J1023:$Q1023,"x")+1),-$E1023*N(N1023)))</f>
        <v/>
      </c>
      <c r="AC1023" s="34">
        <f>IF(OR($A1023="",$H1023&lt;&gt;"Ausgabe",O1023=""),0,IF(O1023="x",-$E1023/(COUNTIF($J1023:$Q1023,"x")+1),-$E1023*N(O1023)))</f>
        <v/>
      </c>
      <c r="AD1023" s="34">
        <f>IF(OR($A1023="",$H1023&lt;&gt;"Ausgabe",P1023=""),0,IF(P1023="x",-$E1023/(COUNTIF($J1023:$Q1023,"x")+1),-$E1023*N(P1023)))</f>
        <v/>
      </c>
      <c r="AE1023" s="34">
        <f>IF(OR($A1023="",$H1023&lt;&gt;"Ausgabe",Q1023=""),0,IF(Q1023="x",-$E1023/(COUNTIF($J1023:$Q1023,"x")+1),-$E1023*N(Q1023)))</f>
        <v/>
      </c>
    </row>
    <row r="1024">
      <c r="A1024" s="30" t="n"/>
      <c r="E1024" s="31" t="n"/>
      <c r="J1024" s="32" t="n"/>
      <c r="K1024" s="32" t="n"/>
      <c r="L1024" s="32" t="n"/>
      <c r="M1024" s="32" t="n"/>
      <c r="N1024" s="32" t="n"/>
      <c r="O1024" s="32" t="n"/>
      <c r="P1024" s="32" t="n"/>
      <c r="Q1024" s="32" t="n"/>
      <c r="U1024" s="31">
        <f>IF($A1024="","",SUM(X1024:AE1024))</f>
        <v/>
      </c>
      <c r="V1024" s="31">
        <f>IF($A1024="","",IF($H1024&lt;&gt;"Ausgabe",0,-$E1024-$U1024))</f>
        <v/>
      </c>
      <c r="W1024" s="33">
        <f>IF($A1024="","",DATE(YEAR($A1024),MONTH($A1024),1))</f>
        <v/>
      </c>
      <c r="X1024" s="34">
        <f>IF(OR($A1024="",$H1024&lt;&gt;"Ausgabe",J1024=""),0,IF(J1024="x",-$E1024/(COUNTIF($J1024:$Q1024,"x")+1),-$E1024*N(J1024)))</f>
        <v/>
      </c>
      <c r="Y1024" s="34">
        <f>IF(OR($A1024="",$H1024&lt;&gt;"Ausgabe",K1024=""),0,IF(K1024="x",-$E1024/(COUNTIF($J1024:$Q1024,"x")+1),-$E1024*N(K1024)))</f>
        <v/>
      </c>
      <c r="Z1024" s="34">
        <f>IF(OR($A1024="",$H1024&lt;&gt;"Ausgabe",L1024=""),0,IF(L1024="x",-$E1024/(COUNTIF($J1024:$Q1024,"x")+1),-$E1024*N(L1024)))</f>
        <v/>
      </c>
      <c r="AA1024" s="34">
        <f>IF(OR($A1024="",$H1024&lt;&gt;"Ausgabe",M1024=""),0,IF(M1024="x",-$E1024/(COUNTIF($J1024:$Q1024,"x")+1),-$E1024*N(M1024)))</f>
        <v/>
      </c>
      <c r="AB1024" s="34">
        <f>IF(OR($A1024="",$H1024&lt;&gt;"Ausgabe",N1024=""),0,IF(N1024="x",-$E1024/(COUNTIF($J1024:$Q1024,"x")+1),-$E1024*N(N1024)))</f>
        <v/>
      </c>
      <c r="AC1024" s="34">
        <f>IF(OR($A1024="",$H1024&lt;&gt;"Ausgabe",O1024=""),0,IF(O1024="x",-$E1024/(COUNTIF($J1024:$Q1024,"x")+1),-$E1024*N(O1024)))</f>
        <v/>
      </c>
      <c r="AD1024" s="34">
        <f>IF(OR($A1024="",$H1024&lt;&gt;"Ausgabe",P1024=""),0,IF(P1024="x",-$E1024/(COUNTIF($J1024:$Q1024,"x")+1),-$E1024*N(P1024)))</f>
        <v/>
      </c>
      <c r="AE1024" s="34">
        <f>IF(OR($A1024="",$H1024&lt;&gt;"Ausgabe",Q1024=""),0,IF(Q1024="x",-$E1024/(COUNTIF($J1024:$Q1024,"x")+1),-$E1024*N(Q1024)))</f>
        <v/>
      </c>
    </row>
    <row r="1025">
      <c r="A1025" s="30" t="n"/>
      <c r="E1025" s="31" t="n"/>
      <c r="J1025" s="32" t="n"/>
      <c r="K1025" s="32" t="n"/>
      <c r="L1025" s="32" t="n"/>
      <c r="M1025" s="32" t="n"/>
      <c r="N1025" s="32" t="n"/>
      <c r="O1025" s="32" t="n"/>
      <c r="P1025" s="32" t="n"/>
      <c r="Q1025" s="32" t="n"/>
      <c r="U1025" s="31">
        <f>IF($A1025="","",SUM(X1025:AE1025))</f>
        <v/>
      </c>
      <c r="V1025" s="31">
        <f>IF($A1025="","",IF($H1025&lt;&gt;"Ausgabe",0,-$E1025-$U1025))</f>
        <v/>
      </c>
      <c r="W1025" s="33">
        <f>IF($A1025="","",DATE(YEAR($A1025),MONTH($A1025),1))</f>
        <v/>
      </c>
      <c r="X1025" s="34">
        <f>IF(OR($A1025="",$H1025&lt;&gt;"Ausgabe",J1025=""),0,IF(J1025="x",-$E1025/(COUNTIF($J1025:$Q1025,"x")+1),-$E1025*N(J1025)))</f>
        <v/>
      </c>
      <c r="Y1025" s="34">
        <f>IF(OR($A1025="",$H1025&lt;&gt;"Ausgabe",K1025=""),0,IF(K1025="x",-$E1025/(COUNTIF($J1025:$Q1025,"x")+1),-$E1025*N(K1025)))</f>
        <v/>
      </c>
      <c r="Z1025" s="34">
        <f>IF(OR($A1025="",$H1025&lt;&gt;"Ausgabe",L1025=""),0,IF(L1025="x",-$E1025/(COUNTIF($J1025:$Q1025,"x")+1),-$E1025*N(L1025)))</f>
        <v/>
      </c>
      <c r="AA1025" s="34">
        <f>IF(OR($A1025="",$H1025&lt;&gt;"Ausgabe",M1025=""),0,IF(M1025="x",-$E1025/(COUNTIF($J1025:$Q1025,"x")+1),-$E1025*N(M1025)))</f>
        <v/>
      </c>
      <c r="AB1025" s="34">
        <f>IF(OR($A1025="",$H1025&lt;&gt;"Ausgabe",N1025=""),0,IF(N1025="x",-$E1025/(COUNTIF($J1025:$Q1025,"x")+1),-$E1025*N(N1025)))</f>
        <v/>
      </c>
      <c r="AC1025" s="34">
        <f>IF(OR($A1025="",$H1025&lt;&gt;"Ausgabe",O1025=""),0,IF(O1025="x",-$E1025/(COUNTIF($J1025:$Q1025,"x")+1),-$E1025*N(O1025)))</f>
        <v/>
      </c>
      <c r="AD1025" s="34">
        <f>IF(OR($A1025="",$H1025&lt;&gt;"Ausgabe",P1025=""),0,IF(P1025="x",-$E1025/(COUNTIF($J1025:$Q1025,"x")+1),-$E1025*N(P1025)))</f>
        <v/>
      </c>
      <c r="AE1025" s="34">
        <f>IF(OR($A1025="",$H1025&lt;&gt;"Ausgabe",Q1025=""),0,IF(Q1025="x",-$E1025/(COUNTIF($J1025:$Q1025,"x")+1),-$E1025*N(Q1025)))</f>
        <v/>
      </c>
    </row>
    <row r="1026">
      <c r="A1026" s="30" t="n"/>
      <c r="E1026" s="31" t="n"/>
      <c r="J1026" s="32" t="n"/>
      <c r="K1026" s="32" t="n"/>
      <c r="L1026" s="32" t="n"/>
      <c r="M1026" s="32" t="n"/>
      <c r="N1026" s="32" t="n"/>
      <c r="O1026" s="32" t="n"/>
      <c r="P1026" s="32" t="n"/>
      <c r="Q1026" s="32" t="n"/>
      <c r="U1026" s="31">
        <f>IF($A1026="","",SUM(X1026:AE1026))</f>
        <v/>
      </c>
      <c r="V1026" s="31">
        <f>IF($A1026="","",IF($H1026&lt;&gt;"Ausgabe",0,-$E1026-$U1026))</f>
        <v/>
      </c>
      <c r="W1026" s="33">
        <f>IF($A1026="","",DATE(YEAR($A1026),MONTH($A1026),1))</f>
        <v/>
      </c>
      <c r="X1026" s="34">
        <f>IF(OR($A1026="",$H1026&lt;&gt;"Ausgabe",J1026=""),0,IF(J1026="x",-$E1026/(COUNTIF($J1026:$Q1026,"x")+1),-$E1026*N(J1026)))</f>
        <v/>
      </c>
      <c r="Y1026" s="34">
        <f>IF(OR($A1026="",$H1026&lt;&gt;"Ausgabe",K1026=""),0,IF(K1026="x",-$E1026/(COUNTIF($J1026:$Q1026,"x")+1),-$E1026*N(K1026)))</f>
        <v/>
      </c>
      <c r="Z1026" s="34">
        <f>IF(OR($A1026="",$H1026&lt;&gt;"Ausgabe",L1026=""),0,IF(L1026="x",-$E1026/(COUNTIF($J1026:$Q1026,"x")+1),-$E1026*N(L1026)))</f>
        <v/>
      </c>
      <c r="AA1026" s="34">
        <f>IF(OR($A1026="",$H1026&lt;&gt;"Ausgabe",M1026=""),0,IF(M1026="x",-$E1026/(COUNTIF($J1026:$Q1026,"x")+1),-$E1026*N(M1026)))</f>
        <v/>
      </c>
      <c r="AB1026" s="34">
        <f>IF(OR($A1026="",$H1026&lt;&gt;"Ausgabe",N1026=""),0,IF(N1026="x",-$E1026/(COUNTIF($J1026:$Q1026,"x")+1),-$E1026*N(N1026)))</f>
        <v/>
      </c>
      <c r="AC1026" s="34">
        <f>IF(OR($A1026="",$H1026&lt;&gt;"Ausgabe",O1026=""),0,IF(O1026="x",-$E1026/(COUNTIF($J1026:$Q1026,"x")+1),-$E1026*N(O1026)))</f>
        <v/>
      </c>
      <c r="AD1026" s="34">
        <f>IF(OR($A1026="",$H1026&lt;&gt;"Ausgabe",P1026=""),0,IF(P1026="x",-$E1026/(COUNTIF($J1026:$Q1026,"x")+1),-$E1026*N(P1026)))</f>
        <v/>
      </c>
      <c r="AE1026" s="34">
        <f>IF(OR($A1026="",$H1026&lt;&gt;"Ausgabe",Q1026=""),0,IF(Q1026="x",-$E1026/(COUNTIF($J1026:$Q1026,"x")+1),-$E1026*N(Q1026)))</f>
        <v/>
      </c>
    </row>
    <row r="1027">
      <c r="A1027" s="30" t="n"/>
      <c r="E1027" s="31" t="n"/>
      <c r="J1027" s="32" t="n"/>
      <c r="K1027" s="32" t="n"/>
      <c r="L1027" s="32" t="n"/>
      <c r="M1027" s="32" t="n"/>
      <c r="N1027" s="32" t="n"/>
      <c r="O1027" s="32" t="n"/>
      <c r="P1027" s="32" t="n"/>
      <c r="Q1027" s="32" t="n"/>
      <c r="U1027" s="31">
        <f>IF($A1027="","",SUM(X1027:AE1027))</f>
        <v/>
      </c>
      <c r="V1027" s="31">
        <f>IF($A1027="","",IF($H1027&lt;&gt;"Ausgabe",0,-$E1027-$U1027))</f>
        <v/>
      </c>
      <c r="W1027" s="33">
        <f>IF($A1027="","",DATE(YEAR($A1027),MONTH($A1027),1))</f>
        <v/>
      </c>
      <c r="X1027" s="34">
        <f>IF(OR($A1027="",$H1027&lt;&gt;"Ausgabe",J1027=""),0,IF(J1027="x",-$E1027/(COUNTIF($J1027:$Q1027,"x")+1),-$E1027*N(J1027)))</f>
        <v/>
      </c>
      <c r="Y1027" s="34">
        <f>IF(OR($A1027="",$H1027&lt;&gt;"Ausgabe",K1027=""),0,IF(K1027="x",-$E1027/(COUNTIF($J1027:$Q1027,"x")+1),-$E1027*N(K1027)))</f>
        <v/>
      </c>
      <c r="Z1027" s="34">
        <f>IF(OR($A1027="",$H1027&lt;&gt;"Ausgabe",L1027=""),0,IF(L1027="x",-$E1027/(COUNTIF($J1027:$Q1027,"x")+1),-$E1027*N(L1027)))</f>
        <v/>
      </c>
      <c r="AA1027" s="34">
        <f>IF(OR($A1027="",$H1027&lt;&gt;"Ausgabe",M1027=""),0,IF(M1027="x",-$E1027/(COUNTIF($J1027:$Q1027,"x")+1),-$E1027*N(M1027)))</f>
        <v/>
      </c>
      <c r="AB1027" s="34">
        <f>IF(OR($A1027="",$H1027&lt;&gt;"Ausgabe",N1027=""),0,IF(N1027="x",-$E1027/(COUNTIF($J1027:$Q1027,"x")+1),-$E1027*N(N1027)))</f>
        <v/>
      </c>
      <c r="AC1027" s="34">
        <f>IF(OR($A1027="",$H1027&lt;&gt;"Ausgabe",O1027=""),0,IF(O1027="x",-$E1027/(COUNTIF($J1027:$Q1027,"x")+1),-$E1027*N(O1027)))</f>
        <v/>
      </c>
      <c r="AD1027" s="34">
        <f>IF(OR($A1027="",$H1027&lt;&gt;"Ausgabe",P1027=""),0,IF(P1027="x",-$E1027/(COUNTIF($J1027:$Q1027,"x")+1),-$E1027*N(P1027)))</f>
        <v/>
      </c>
      <c r="AE1027" s="34">
        <f>IF(OR($A1027="",$H1027&lt;&gt;"Ausgabe",Q1027=""),0,IF(Q1027="x",-$E1027/(COUNTIF($J1027:$Q1027,"x")+1),-$E1027*N(Q1027)))</f>
        <v/>
      </c>
    </row>
    <row r="1028">
      <c r="A1028" s="30" t="n"/>
      <c r="E1028" s="31" t="n"/>
      <c r="J1028" s="32" t="n"/>
      <c r="K1028" s="32" t="n"/>
      <c r="L1028" s="32" t="n"/>
      <c r="M1028" s="32" t="n"/>
      <c r="N1028" s="32" t="n"/>
      <c r="O1028" s="32" t="n"/>
      <c r="P1028" s="32" t="n"/>
      <c r="Q1028" s="32" t="n"/>
      <c r="U1028" s="31">
        <f>IF($A1028="","",SUM(X1028:AE1028))</f>
        <v/>
      </c>
      <c r="V1028" s="31">
        <f>IF($A1028="","",IF($H1028&lt;&gt;"Ausgabe",0,-$E1028-$U1028))</f>
        <v/>
      </c>
      <c r="W1028" s="33">
        <f>IF($A1028="","",DATE(YEAR($A1028),MONTH($A1028),1))</f>
        <v/>
      </c>
      <c r="X1028" s="34">
        <f>IF(OR($A1028="",$H1028&lt;&gt;"Ausgabe",J1028=""),0,IF(J1028="x",-$E1028/(COUNTIF($J1028:$Q1028,"x")+1),-$E1028*N(J1028)))</f>
        <v/>
      </c>
      <c r="Y1028" s="34">
        <f>IF(OR($A1028="",$H1028&lt;&gt;"Ausgabe",K1028=""),0,IF(K1028="x",-$E1028/(COUNTIF($J1028:$Q1028,"x")+1),-$E1028*N(K1028)))</f>
        <v/>
      </c>
      <c r="Z1028" s="34">
        <f>IF(OR($A1028="",$H1028&lt;&gt;"Ausgabe",L1028=""),0,IF(L1028="x",-$E1028/(COUNTIF($J1028:$Q1028,"x")+1),-$E1028*N(L1028)))</f>
        <v/>
      </c>
      <c r="AA1028" s="34">
        <f>IF(OR($A1028="",$H1028&lt;&gt;"Ausgabe",M1028=""),0,IF(M1028="x",-$E1028/(COUNTIF($J1028:$Q1028,"x")+1),-$E1028*N(M1028)))</f>
        <v/>
      </c>
      <c r="AB1028" s="34">
        <f>IF(OR($A1028="",$H1028&lt;&gt;"Ausgabe",N1028=""),0,IF(N1028="x",-$E1028/(COUNTIF($J1028:$Q1028,"x")+1),-$E1028*N(N1028)))</f>
        <v/>
      </c>
      <c r="AC1028" s="34">
        <f>IF(OR($A1028="",$H1028&lt;&gt;"Ausgabe",O1028=""),0,IF(O1028="x",-$E1028/(COUNTIF($J1028:$Q1028,"x")+1),-$E1028*N(O1028)))</f>
        <v/>
      </c>
      <c r="AD1028" s="34">
        <f>IF(OR($A1028="",$H1028&lt;&gt;"Ausgabe",P1028=""),0,IF(P1028="x",-$E1028/(COUNTIF($J1028:$Q1028,"x")+1),-$E1028*N(P1028)))</f>
        <v/>
      </c>
      <c r="AE1028" s="34">
        <f>IF(OR($A1028="",$H1028&lt;&gt;"Ausgabe",Q1028=""),0,IF(Q1028="x",-$E1028/(COUNTIF($J1028:$Q1028,"x")+1),-$E1028*N(Q1028)))</f>
        <v/>
      </c>
    </row>
    <row r="1029">
      <c r="A1029" s="30" t="n"/>
      <c r="E1029" s="31" t="n"/>
      <c r="J1029" s="32" t="n"/>
      <c r="K1029" s="32" t="n"/>
      <c r="L1029" s="32" t="n"/>
      <c r="M1029" s="32" t="n"/>
      <c r="N1029" s="32" t="n"/>
      <c r="O1029" s="32" t="n"/>
      <c r="P1029" s="32" t="n"/>
      <c r="Q1029" s="32" t="n"/>
      <c r="U1029" s="31">
        <f>IF($A1029="","",SUM(X1029:AE1029))</f>
        <v/>
      </c>
      <c r="V1029" s="31">
        <f>IF($A1029="","",IF($H1029&lt;&gt;"Ausgabe",0,-$E1029-$U1029))</f>
        <v/>
      </c>
      <c r="W1029" s="33">
        <f>IF($A1029="","",DATE(YEAR($A1029),MONTH($A1029),1))</f>
        <v/>
      </c>
      <c r="X1029" s="34">
        <f>IF(OR($A1029="",$H1029&lt;&gt;"Ausgabe",J1029=""),0,IF(J1029="x",-$E1029/(COUNTIF($J1029:$Q1029,"x")+1),-$E1029*N(J1029)))</f>
        <v/>
      </c>
      <c r="Y1029" s="34">
        <f>IF(OR($A1029="",$H1029&lt;&gt;"Ausgabe",K1029=""),0,IF(K1029="x",-$E1029/(COUNTIF($J1029:$Q1029,"x")+1),-$E1029*N(K1029)))</f>
        <v/>
      </c>
      <c r="Z1029" s="34">
        <f>IF(OR($A1029="",$H1029&lt;&gt;"Ausgabe",L1029=""),0,IF(L1029="x",-$E1029/(COUNTIF($J1029:$Q1029,"x")+1),-$E1029*N(L1029)))</f>
        <v/>
      </c>
      <c r="AA1029" s="34">
        <f>IF(OR($A1029="",$H1029&lt;&gt;"Ausgabe",M1029=""),0,IF(M1029="x",-$E1029/(COUNTIF($J1029:$Q1029,"x")+1),-$E1029*N(M1029)))</f>
        <v/>
      </c>
      <c r="AB1029" s="34">
        <f>IF(OR($A1029="",$H1029&lt;&gt;"Ausgabe",N1029=""),0,IF(N1029="x",-$E1029/(COUNTIF($J1029:$Q1029,"x")+1),-$E1029*N(N1029)))</f>
        <v/>
      </c>
      <c r="AC1029" s="34">
        <f>IF(OR($A1029="",$H1029&lt;&gt;"Ausgabe",O1029=""),0,IF(O1029="x",-$E1029/(COUNTIF($J1029:$Q1029,"x")+1),-$E1029*N(O1029)))</f>
        <v/>
      </c>
      <c r="AD1029" s="34">
        <f>IF(OR($A1029="",$H1029&lt;&gt;"Ausgabe",P1029=""),0,IF(P1029="x",-$E1029/(COUNTIF($J1029:$Q1029,"x")+1),-$E1029*N(P1029)))</f>
        <v/>
      </c>
      <c r="AE1029" s="34">
        <f>IF(OR($A1029="",$H1029&lt;&gt;"Ausgabe",Q1029=""),0,IF(Q1029="x",-$E1029/(COUNTIF($J1029:$Q1029,"x")+1),-$E1029*N(Q1029)))</f>
        <v/>
      </c>
    </row>
    <row r="1030">
      <c r="A1030" s="30" t="n"/>
      <c r="E1030" s="31" t="n"/>
      <c r="J1030" s="32" t="n"/>
      <c r="K1030" s="32" t="n"/>
      <c r="L1030" s="32" t="n"/>
      <c r="M1030" s="32" t="n"/>
      <c r="N1030" s="32" t="n"/>
      <c r="O1030" s="32" t="n"/>
      <c r="P1030" s="32" t="n"/>
      <c r="Q1030" s="32" t="n"/>
      <c r="U1030" s="31">
        <f>IF($A1030="","",SUM(X1030:AE1030))</f>
        <v/>
      </c>
      <c r="V1030" s="31">
        <f>IF($A1030="","",IF($H1030&lt;&gt;"Ausgabe",0,-$E1030-$U1030))</f>
        <v/>
      </c>
      <c r="W1030" s="33">
        <f>IF($A1030="","",DATE(YEAR($A1030),MONTH($A1030),1))</f>
        <v/>
      </c>
      <c r="X1030" s="34">
        <f>IF(OR($A1030="",$H1030&lt;&gt;"Ausgabe",J1030=""),0,IF(J1030="x",-$E1030/(COUNTIF($J1030:$Q1030,"x")+1),-$E1030*N(J1030)))</f>
        <v/>
      </c>
      <c r="Y1030" s="34">
        <f>IF(OR($A1030="",$H1030&lt;&gt;"Ausgabe",K1030=""),0,IF(K1030="x",-$E1030/(COUNTIF($J1030:$Q1030,"x")+1),-$E1030*N(K1030)))</f>
        <v/>
      </c>
      <c r="Z1030" s="34">
        <f>IF(OR($A1030="",$H1030&lt;&gt;"Ausgabe",L1030=""),0,IF(L1030="x",-$E1030/(COUNTIF($J1030:$Q1030,"x")+1),-$E1030*N(L1030)))</f>
        <v/>
      </c>
      <c r="AA1030" s="34">
        <f>IF(OR($A1030="",$H1030&lt;&gt;"Ausgabe",M1030=""),0,IF(M1030="x",-$E1030/(COUNTIF($J1030:$Q1030,"x")+1),-$E1030*N(M1030)))</f>
        <v/>
      </c>
      <c r="AB1030" s="34">
        <f>IF(OR($A1030="",$H1030&lt;&gt;"Ausgabe",N1030=""),0,IF(N1030="x",-$E1030/(COUNTIF($J1030:$Q1030,"x")+1),-$E1030*N(N1030)))</f>
        <v/>
      </c>
      <c r="AC1030" s="34">
        <f>IF(OR($A1030="",$H1030&lt;&gt;"Ausgabe",O1030=""),0,IF(O1030="x",-$E1030/(COUNTIF($J1030:$Q1030,"x")+1),-$E1030*N(O1030)))</f>
        <v/>
      </c>
      <c r="AD1030" s="34">
        <f>IF(OR($A1030="",$H1030&lt;&gt;"Ausgabe",P1030=""),0,IF(P1030="x",-$E1030/(COUNTIF($J1030:$Q1030,"x")+1),-$E1030*N(P1030)))</f>
        <v/>
      </c>
      <c r="AE1030" s="34">
        <f>IF(OR($A1030="",$H1030&lt;&gt;"Ausgabe",Q1030=""),0,IF(Q1030="x",-$E1030/(COUNTIF($J1030:$Q1030,"x")+1),-$E1030*N(Q1030)))</f>
        <v/>
      </c>
    </row>
    <row r="1031">
      <c r="A1031" s="30" t="n"/>
      <c r="E1031" s="31" t="n"/>
      <c r="J1031" s="32" t="n"/>
      <c r="K1031" s="32" t="n"/>
      <c r="L1031" s="32" t="n"/>
      <c r="M1031" s="32" t="n"/>
      <c r="N1031" s="32" t="n"/>
      <c r="O1031" s="32" t="n"/>
      <c r="P1031" s="32" t="n"/>
      <c r="Q1031" s="32" t="n"/>
      <c r="U1031" s="31">
        <f>IF($A1031="","",SUM(X1031:AE1031))</f>
        <v/>
      </c>
      <c r="V1031" s="31">
        <f>IF($A1031="","",IF($H1031&lt;&gt;"Ausgabe",0,-$E1031-$U1031))</f>
        <v/>
      </c>
      <c r="W1031" s="33">
        <f>IF($A1031="","",DATE(YEAR($A1031),MONTH($A1031),1))</f>
        <v/>
      </c>
      <c r="X1031" s="34">
        <f>IF(OR($A1031="",$H1031&lt;&gt;"Ausgabe",J1031=""),0,IF(J1031="x",-$E1031/(COUNTIF($J1031:$Q1031,"x")+1),-$E1031*N(J1031)))</f>
        <v/>
      </c>
      <c r="Y1031" s="34">
        <f>IF(OR($A1031="",$H1031&lt;&gt;"Ausgabe",K1031=""),0,IF(K1031="x",-$E1031/(COUNTIF($J1031:$Q1031,"x")+1),-$E1031*N(K1031)))</f>
        <v/>
      </c>
      <c r="Z1031" s="34">
        <f>IF(OR($A1031="",$H1031&lt;&gt;"Ausgabe",L1031=""),0,IF(L1031="x",-$E1031/(COUNTIF($J1031:$Q1031,"x")+1),-$E1031*N(L1031)))</f>
        <v/>
      </c>
      <c r="AA1031" s="34">
        <f>IF(OR($A1031="",$H1031&lt;&gt;"Ausgabe",M1031=""),0,IF(M1031="x",-$E1031/(COUNTIF($J1031:$Q1031,"x")+1),-$E1031*N(M1031)))</f>
        <v/>
      </c>
      <c r="AB1031" s="34">
        <f>IF(OR($A1031="",$H1031&lt;&gt;"Ausgabe",N1031=""),0,IF(N1031="x",-$E1031/(COUNTIF($J1031:$Q1031,"x")+1),-$E1031*N(N1031)))</f>
        <v/>
      </c>
      <c r="AC1031" s="34">
        <f>IF(OR($A1031="",$H1031&lt;&gt;"Ausgabe",O1031=""),0,IF(O1031="x",-$E1031/(COUNTIF($J1031:$Q1031,"x")+1),-$E1031*N(O1031)))</f>
        <v/>
      </c>
      <c r="AD1031" s="34">
        <f>IF(OR($A1031="",$H1031&lt;&gt;"Ausgabe",P1031=""),0,IF(P1031="x",-$E1031/(COUNTIF($J1031:$Q1031,"x")+1),-$E1031*N(P1031)))</f>
        <v/>
      </c>
      <c r="AE1031" s="34">
        <f>IF(OR($A1031="",$H1031&lt;&gt;"Ausgabe",Q1031=""),0,IF(Q1031="x",-$E1031/(COUNTIF($J1031:$Q1031,"x")+1),-$E1031*N(Q1031)))</f>
        <v/>
      </c>
    </row>
    <row r="1032">
      <c r="A1032" s="30" t="n"/>
      <c r="E1032" s="31" t="n"/>
      <c r="J1032" s="32" t="n"/>
      <c r="K1032" s="32" t="n"/>
      <c r="L1032" s="32" t="n"/>
      <c r="M1032" s="32" t="n"/>
      <c r="N1032" s="32" t="n"/>
      <c r="O1032" s="32" t="n"/>
      <c r="P1032" s="32" t="n"/>
      <c r="Q1032" s="32" t="n"/>
      <c r="U1032" s="31">
        <f>IF($A1032="","",SUM(X1032:AE1032))</f>
        <v/>
      </c>
      <c r="V1032" s="31">
        <f>IF($A1032="","",IF($H1032&lt;&gt;"Ausgabe",0,-$E1032-$U1032))</f>
        <v/>
      </c>
      <c r="W1032" s="33">
        <f>IF($A1032="","",DATE(YEAR($A1032),MONTH($A1032),1))</f>
        <v/>
      </c>
      <c r="X1032" s="34">
        <f>IF(OR($A1032="",$H1032&lt;&gt;"Ausgabe",J1032=""),0,IF(J1032="x",-$E1032/(COUNTIF($J1032:$Q1032,"x")+1),-$E1032*N(J1032)))</f>
        <v/>
      </c>
      <c r="Y1032" s="34">
        <f>IF(OR($A1032="",$H1032&lt;&gt;"Ausgabe",K1032=""),0,IF(K1032="x",-$E1032/(COUNTIF($J1032:$Q1032,"x")+1),-$E1032*N(K1032)))</f>
        <v/>
      </c>
      <c r="Z1032" s="34">
        <f>IF(OR($A1032="",$H1032&lt;&gt;"Ausgabe",L1032=""),0,IF(L1032="x",-$E1032/(COUNTIF($J1032:$Q1032,"x")+1),-$E1032*N(L1032)))</f>
        <v/>
      </c>
      <c r="AA1032" s="34">
        <f>IF(OR($A1032="",$H1032&lt;&gt;"Ausgabe",M1032=""),0,IF(M1032="x",-$E1032/(COUNTIF($J1032:$Q1032,"x")+1),-$E1032*N(M1032)))</f>
        <v/>
      </c>
      <c r="AB1032" s="34">
        <f>IF(OR($A1032="",$H1032&lt;&gt;"Ausgabe",N1032=""),0,IF(N1032="x",-$E1032/(COUNTIF($J1032:$Q1032,"x")+1),-$E1032*N(N1032)))</f>
        <v/>
      </c>
      <c r="AC1032" s="34">
        <f>IF(OR($A1032="",$H1032&lt;&gt;"Ausgabe",O1032=""),0,IF(O1032="x",-$E1032/(COUNTIF($J1032:$Q1032,"x")+1),-$E1032*N(O1032)))</f>
        <v/>
      </c>
      <c r="AD1032" s="34">
        <f>IF(OR($A1032="",$H1032&lt;&gt;"Ausgabe",P1032=""),0,IF(P1032="x",-$E1032/(COUNTIF($J1032:$Q1032,"x")+1),-$E1032*N(P1032)))</f>
        <v/>
      </c>
      <c r="AE1032" s="34">
        <f>IF(OR($A1032="",$H1032&lt;&gt;"Ausgabe",Q1032=""),0,IF(Q1032="x",-$E1032/(COUNTIF($J1032:$Q1032,"x")+1),-$E1032*N(Q1032)))</f>
        <v/>
      </c>
    </row>
    <row r="1033">
      <c r="A1033" s="30" t="n"/>
      <c r="E1033" s="31" t="n"/>
      <c r="J1033" s="32" t="n"/>
      <c r="K1033" s="32" t="n"/>
      <c r="L1033" s="32" t="n"/>
      <c r="M1033" s="32" t="n"/>
      <c r="N1033" s="32" t="n"/>
      <c r="O1033" s="32" t="n"/>
      <c r="P1033" s="32" t="n"/>
      <c r="Q1033" s="32" t="n"/>
      <c r="U1033" s="31">
        <f>IF($A1033="","",SUM(X1033:AE1033))</f>
        <v/>
      </c>
      <c r="V1033" s="31">
        <f>IF($A1033="","",IF($H1033&lt;&gt;"Ausgabe",0,-$E1033-$U1033))</f>
        <v/>
      </c>
      <c r="W1033" s="33">
        <f>IF($A1033="","",DATE(YEAR($A1033),MONTH($A1033),1))</f>
        <v/>
      </c>
      <c r="X1033" s="34">
        <f>IF(OR($A1033="",$H1033&lt;&gt;"Ausgabe",J1033=""),0,IF(J1033="x",-$E1033/(COUNTIF($J1033:$Q1033,"x")+1),-$E1033*N(J1033)))</f>
        <v/>
      </c>
      <c r="Y1033" s="34">
        <f>IF(OR($A1033="",$H1033&lt;&gt;"Ausgabe",K1033=""),0,IF(K1033="x",-$E1033/(COUNTIF($J1033:$Q1033,"x")+1),-$E1033*N(K1033)))</f>
        <v/>
      </c>
      <c r="Z1033" s="34">
        <f>IF(OR($A1033="",$H1033&lt;&gt;"Ausgabe",L1033=""),0,IF(L1033="x",-$E1033/(COUNTIF($J1033:$Q1033,"x")+1),-$E1033*N(L1033)))</f>
        <v/>
      </c>
      <c r="AA1033" s="34">
        <f>IF(OR($A1033="",$H1033&lt;&gt;"Ausgabe",M1033=""),0,IF(M1033="x",-$E1033/(COUNTIF($J1033:$Q1033,"x")+1),-$E1033*N(M1033)))</f>
        <v/>
      </c>
      <c r="AB1033" s="34">
        <f>IF(OR($A1033="",$H1033&lt;&gt;"Ausgabe",N1033=""),0,IF(N1033="x",-$E1033/(COUNTIF($J1033:$Q1033,"x")+1),-$E1033*N(N1033)))</f>
        <v/>
      </c>
      <c r="AC1033" s="34">
        <f>IF(OR($A1033="",$H1033&lt;&gt;"Ausgabe",O1033=""),0,IF(O1033="x",-$E1033/(COUNTIF($J1033:$Q1033,"x")+1),-$E1033*N(O1033)))</f>
        <v/>
      </c>
      <c r="AD1033" s="34">
        <f>IF(OR($A1033="",$H1033&lt;&gt;"Ausgabe",P1033=""),0,IF(P1033="x",-$E1033/(COUNTIF($J1033:$Q1033,"x")+1),-$E1033*N(P1033)))</f>
        <v/>
      </c>
      <c r="AE1033" s="34">
        <f>IF(OR($A1033="",$H1033&lt;&gt;"Ausgabe",Q1033=""),0,IF(Q1033="x",-$E1033/(COUNTIF($J1033:$Q1033,"x")+1),-$E1033*N(Q1033)))</f>
        <v/>
      </c>
    </row>
    <row r="1034">
      <c r="A1034" s="30" t="n"/>
      <c r="E1034" s="31" t="n"/>
      <c r="J1034" s="32" t="n"/>
      <c r="K1034" s="32" t="n"/>
      <c r="L1034" s="32" t="n"/>
      <c r="M1034" s="32" t="n"/>
      <c r="N1034" s="32" t="n"/>
      <c r="O1034" s="32" t="n"/>
      <c r="P1034" s="32" t="n"/>
      <c r="Q1034" s="32" t="n"/>
      <c r="U1034" s="31">
        <f>IF($A1034="","",SUM(X1034:AE1034))</f>
        <v/>
      </c>
      <c r="V1034" s="31">
        <f>IF($A1034="","",IF($H1034&lt;&gt;"Ausgabe",0,-$E1034-$U1034))</f>
        <v/>
      </c>
      <c r="W1034" s="33">
        <f>IF($A1034="","",DATE(YEAR($A1034),MONTH($A1034),1))</f>
        <v/>
      </c>
      <c r="X1034" s="34">
        <f>IF(OR($A1034="",$H1034&lt;&gt;"Ausgabe",J1034=""),0,IF(J1034="x",-$E1034/(COUNTIF($J1034:$Q1034,"x")+1),-$E1034*N(J1034)))</f>
        <v/>
      </c>
      <c r="Y1034" s="34">
        <f>IF(OR($A1034="",$H1034&lt;&gt;"Ausgabe",K1034=""),0,IF(K1034="x",-$E1034/(COUNTIF($J1034:$Q1034,"x")+1),-$E1034*N(K1034)))</f>
        <v/>
      </c>
      <c r="Z1034" s="34">
        <f>IF(OR($A1034="",$H1034&lt;&gt;"Ausgabe",L1034=""),0,IF(L1034="x",-$E1034/(COUNTIF($J1034:$Q1034,"x")+1),-$E1034*N(L1034)))</f>
        <v/>
      </c>
      <c r="AA1034" s="34">
        <f>IF(OR($A1034="",$H1034&lt;&gt;"Ausgabe",M1034=""),0,IF(M1034="x",-$E1034/(COUNTIF($J1034:$Q1034,"x")+1),-$E1034*N(M1034)))</f>
        <v/>
      </c>
      <c r="AB1034" s="34">
        <f>IF(OR($A1034="",$H1034&lt;&gt;"Ausgabe",N1034=""),0,IF(N1034="x",-$E1034/(COUNTIF($J1034:$Q1034,"x")+1),-$E1034*N(N1034)))</f>
        <v/>
      </c>
      <c r="AC1034" s="34">
        <f>IF(OR($A1034="",$H1034&lt;&gt;"Ausgabe",O1034=""),0,IF(O1034="x",-$E1034/(COUNTIF($J1034:$Q1034,"x")+1),-$E1034*N(O1034)))</f>
        <v/>
      </c>
      <c r="AD1034" s="34">
        <f>IF(OR($A1034="",$H1034&lt;&gt;"Ausgabe",P1034=""),0,IF(P1034="x",-$E1034/(COUNTIF($J1034:$Q1034,"x")+1),-$E1034*N(P1034)))</f>
        <v/>
      </c>
      <c r="AE1034" s="34">
        <f>IF(OR($A1034="",$H1034&lt;&gt;"Ausgabe",Q1034=""),0,IF(Q1034="x",-$E1034/(COUNTIF($J1034:$Q1034,"x")+1),-$E1034*N(Q1034)))</f>
        <v/>
      </c>
    </row>
    <row r="1035">
      <c r="A1035" s="30" t="n"/>
      <c r="E1035" s="31" t="n"/>
      <c r="J1035" s="32" t="n"/>
      <c r="K1035" s="32" t="n"/>
      <c r="L1035" s="32" t="n"/>
      <c r="M1035" s="32" t="n"/>
      <c r="N1035" s="32" t="n"/>
      <c r="O1035" s="32" t="n"/>
      <c r="P1035" s="32" t="n"/>
      <c r="Q1035" s="32" t="n"/>
      <c r="U1035" s="31">
        <f>IF($A1035="","",SUM(X1035:AE1035))</f>
        <v/>
      </c>
      <c r="V1035" s="31">
        <f>IF($A1035="","",IF($H1035&lt;&gt;"Ausgabe",0,-$E1035-$U1035))</f>
        <v/>
      </c>
      <c r="W1035" s="33">
        <f>IF($A1035="","",DATE(YEAR($A1035),MONTH($A1035),1))</f>
        <v/>
      </c>
      <c r="X1035" s="34">
        <f>IF(OR($A1035="",$H1035&lt;&gt;"Ausgabe",J1035=""),0,IF(J1035="x",-$E1035/(COUNTIF($J1035:$Q1035,"x")+1),-$E1035*N(J1035)))</f>
        <v/>
      </c>
      <c r="Y1035" s="34">
        <f>IF(OR($A1035="",$H1035&lt;&gt;"Ausgabe",K1035=""),0,IF(K1035="x",-$E1035/(COUNTIF($J1035:$Q1035,"x")+1),-$E1035*N(K1035)))</f>
        <v/>
      </c>
      <c r="Z1035" s="34">
        <f>IF(OR($A1035="",$H1035&lt;&gt;"Ausgabe",L1035=""),0,IF(L1035="x",-$E1035/(COUNTIF($J1035:$Q1035,"x")+1),-$E1035*N(L1035)))</f>
        <v/>
      </c>
      <c r="AA1035" s="34">
        <f>IF(OR($A1035="",$H1035&lt;&gt;"Ausgabe",M1035=""),0,IF(M1035="x",-$E1035/(COUNTIF($J1035:$Q1035,"x")+1),-$E1035*N(M1035)))</f>
        <v/>
      </c>
      <c r="AB1035" s="34">
        <f>IF(OR($A1035="",$H1035&lt;&gt;"Ausgabe",N1035=""),0,IF(N1035="x",-$E1035/(COUNTIF($J1035:$Q1035,"x")+1),-$E1035*N(N1035)))</f>
        <v/>
      </c>
      <c r="AC1035" s="34">
        <f>IF(OR($A1035="",$H1035&lt;&gt;"Ausgabe",O1035=""),0,IF(O1035="x",-$E1035/(COUNTIF($J1035:$Q1035,"x")+1),-$E1035*N(O1035)))</f>
        <v/>
      </c>
      <c r="AD1035" s="34">
        <f>IF(OR($A1035="",$H1035&lt;&gt;"Ausgabe",P1035=""),0,IF(P1035="x",-$E1035/(COUNTIF($J1035:$Q1035,"x")+1),-$E1035*N(P1035)))</f>
        <v/>
      </c>
      <c r="AE1035" s="34">
        <f>IF(OR($A1035="",$H1035&lt;&gt;"Ausgabe",Q1035=""),0,IF(Q1035="x",-$E1035/(COUNTIF($J1035:$Q1035,"x")+1),-$E1035*N(Q1035)))</f>
        <v/>
      </c>
    </row>
    <row r="1036">
      <c r="A1036" s="30" t="n"/>
      <c r="E1036" s="31" t="n"/>
      <c r="J1036" s="32" t="n"/>
      <c r="K1036" s="32" t="n"/>
      <c r="L1036" s="32" t="n"/>
      <c r="M1036" s="32" t="n"/>
      <c r="N1036" s="32" t="n"/>
      <c r="O1036" s="32" t="n"/>
      <c r="P1036" s="32" t="n"/>
      <c r="Q1036" s="32" t="n"/>
      <c r="U1036" s="31">
        <f>IF($A1036="","",SUM(X1036:AE1036))</f>
        <v/>
      </c>
      <c r="V1036" s="31">
        <f>IF($A1036="","",IF($H1036&lt;&gt;"Ausgabe",0,-$E1036-$U1036))</f>
        <v/>
      </c>
      <c r="W1036" s="33">
        <f>IF($A1036="","",DATE(YEAR($A1036),MONTH($A1036),1))</f>
        <v/>
      </c>
      <c r="X1036" s="34">
        <f>IF(OR($A1036="",$H1036&lt;&gt;"Ausgabe",J1036=""),0,IF(J1036="x",-$E1036/(COUNTIF($J1036:$Q1036,"x")+1),-$E1036*N(J1036)))</f>
        <v/>
      </c>
      <c r="Y1036" s="34">
        <f>IF(OR($A1036="",$H1036&lt;&gt;"Ausgabe",K1036=""),0,IF(K1036="x",-$E1036/(COUNTIF($J1036:$Q1036,"x")+1),-$E1036*N(K1036)))</f>
        <v/>
      </c>
      <c r="Z1036" s="34">
        <f>IF(OR($A1036="",$H1036&lt;&gt;"Ausgabe",L1036=""),0,IF(L1036="x",-$E1036/(COUNTIF($J1036:$Q1036,"x")+1),-$E1036*N(L1036)))</f>
        <v/>
      </c>
      <c r="AA1036" s="34">
        <f>IF(OR($A1036="",$H1036&lt;&gt;"Ausgabe",M1036=""),0,IF(M1036="x",-$E1036/(COUNTIF($J1036:$Q1036,"x")+1),-$E1036*N(M1036)))</f>
        <v/>
      </c>
      <c r="AB1036" s="34">
        <f>IF(OR($A1036="",$H1036&lt;&gt;"Ausgabe",N1036=""),0,IF(N1036="x",-$E1036/(COUNTIF($J1036:$Q1036,"x")+1),-$E1036*N(N1036)))</f>
        <v/>
      </c>
      <c r="AC1036" s="34">
        <f>IF(OR($A1036="",$H1036&lt;&gt;"Ausgabe",O1036=""),0,IF(O1036="x",-$E1036/(COUNTIF($J1036:$Q1036,"x")+1),-$E1036*N(O1036)))</f>
        <v/>
      </c>
      <c r="AD1036" s="34">
        <f>IF(OR($A1036="",$H1036&lt;&gt;"Ausgabe",P1036=""),0,IF(P1036="x",-$E1036/(COUNTIF($J1036:$Q1036,"x")+1),-$E1036*N(P1036)))</f>
        <v/>
      </c>
      <c r="AE1036" s="34">
        <f>IF(OR($A1036="",$H1036&lt;&gt;"Ausgabe",Q1036=""),0,IF(Q1036="x",-$E1036/(COUNTIF($J1036:$Q1036,"x")+1),-$E1036*N(Q1036)))</f>
        <v/>
      </c>
    </row>
    <row r="1037">
      <c r="A1037" s="30" t="n"/>
      <c r="E1037" s="31" t="n"/>
      <c r="J1037" s="32" t="n"/>
      <c r="K1037" s="32" t="n"/>
      <c r="L1037" s="32" t="n"/>
      <c r="M1037" s="32" t="n"/>
      <c r="N1037" s="32" t="n"/>
      <c r="O1037" s="32" t="n"/>
      <c r="P1037" s="32" t="n"/>
      <c r="Q1037" s="32" t="n"/>
      <c r="U1037" s="31">
        <f>IF($A1037="","",SUM(X1037:AE1037))</f>
        <v/>
      </c>
      <c r="V1037" s="31">
        <f>IF($A1037="","",IF($H1037&lt;&gt;"Ausgabe",0,-$E1037-$U1037))</f>
        <v/>
      </c>
      <c r="W1037" s="33">
        <f>IF($A1037="","",DATE(YEAR($A1037),MONTH($A1037),1))</f>
        <v/>
      </c>
      <c r="X1037" s="34">
        <f>IF(OR($A1037="",$H1037&lt;&gt;"Ausgabe",J1037=""),0,IF(J1037="x",-$E1037/(COUNTIF($J1037:$Q1037,"x")+1),-$E1037*N(J1037)))</f>
        <v/>
      </c>
      <c r="Y1037" s="34">
        <f>IF(OR($A1037="",$H1037&lt;&gt;"Ausgabe",K1037=""),0,IF(K1037="x",-$E1037/(COUNTIF($J1037:$Q1037,"x")+1),-$E1037*N(K1037)))</f>
        <v/>
      </c>
      <c r="Z1037" s="34">
        <f>IF(OR($A1037="",$H1037&lt;&gt;"Ausgabe",L1037=""),0,IF(L1037="x",-$E1037/(COUNTIF($J1037:$Q1037,"x")+1),-$E1037*N(L1037)))</f>
        <v/>
      </c>
      <c r="AA1037" s="34">
        <f>IF(OR($A1037="",$H1037&lt;&gt;"Ausgabe",M1037=""),0,IF(M1037="x",-$E1037/(COUNTIF($J1037:$Q1037,"x")+1),-$E1037*N(M1037)))</f>
        <v/>
      </c>
      <c r="AB1037" s="34">
        <f>IF(OR($A1037="",$H1037&lt;&gt;"Ausgabe",N1037=""),0,IF(N1037="x",-$E1037/(COUNTIF($J1037:$Q1037,"x")+1),-$E1037*N(N1037)))</f>
        <v/>
      </c>
      <c r="AC1037" s="34">
        <f>IF(OR($A1037="",$H1037&lt;&gt;"Ausgabe",O1037=""),0,IF(O1037="x",-$E1037/(COUNTIF($J1037:$Q1037,"x")+1),-$E1037*N(O1037)))</f>
        <v/>
      </c>
      <c r="AD1037" s="34">
        <f>IF(OR($A1037="",$H1037&lt;&gt;"Ausgabe",P1037=""),0,IF(P1037="x",-$E1037/(COUNTIF($J1037:$Q1037,"x")+1),-$E1037*N(P1037)))</f>
        <v/>
      </c>
      <c r="AE1037" s="34">
        <f>IF(OR($A1037="",$H1037&lt;&gt;"Ausgabe",Q1037=""),0,IF(Q1037="x",-$E1037/(COUNTIF($J1037:$Q1037,"x")+1),-$E1037*N(Q1037)))</f>
        <v/>
      </c>
    </row>
    <row r="1038">
      <c r="A1038" s="30" t="n"/>
      <c r="E1038" s="31" t="n"/>
      <c r="J1038" s="32" t="n"/>
      <c r="K1038" s="32" t="n"/>
      <c r="L1038" s="32" t="n"/>
      <c r="M1038" s="32" t="n"/>
      <c r="N1038" s="32" t="n"/>
      <c r="O1038" s="32" t="n"/>
      <c r="P1038" s="32" t="n"/>
      <c r="Q1038" s="32" t="n"/>
      <c r="U1038" s="31">
        <f>IF($A1038="","",SUM(X1038:AE1038))</f>
        <v/>
      </c>
      <c r="V1038" s="31">
        <f>IF($A1038="","",IF($H1038&lt;&gt;"Ausgabe",0,-$E1038-$U1038))</f>
        <v/>
      </c>
      <c r="W1038" s="33">
        <f>IF($A1038="","",DATE(YEAR($A1038),MONTH($A1038),1))</f>
        <v/>
      </c>
      <c r="X1038" s="34">
        <f>IF(OR($A1038="",$H1038&lt;&gt;"Ausgabe",J1038=""),0,IF(J1038="x",-$E1038/(COUNTIF($J1038:$Q1038,"x")+1),-$E1038*N(J1038)))</f>
        <v/>
      </c>
      <c r="Y1038" s="34">
        <f>IF(OR($A1038="",$H1038&lt;&gt;"Ausgabe",K1038=""),0,IF(K1038="x",-$E1038/(COUNTIF($J1038:$Q1038,"x")+1),-$E1038*N(K1038)))</f>
        <v/>
      </c>
      <c r="Z1038" s="34">
        <f>IF(OR($A1038="",$H1038&lt;&gt;"Ausgabe",L1038=""),0,IF(L1038="x",-$E1038/(COUNTIF($J1038:$Q1038,"x")+1),-$E1038*N(L1038)))</f>
        <v/>
      </c>
      <c r="AA1038" s="34">
        <f>IF(OR($A1038="",$H1038&lt;&gt;"Ausgabe",M1038=""),0,IF(M1038="x",-$E1038/(COUNTIF($J1038:$Q1038,"x")+1),-$E1038*N(M1038)))</f>
        <v/>
      </c>
      <c r="AB1038" s="34">
        <f>IF(OR($A1038="",$H1038&lt;&gt;"Ausgabe",N1038=""),0,IF(N1038="x",-$E1038/(COUNTIF($J1038:$Q1038,"x")+1),-$E1038*N(N1038)))</f>
        <v/>
      </c>
      <c r="AC1038" s="34">
        <f>IF(OR($A1038="",$H1038&lt;&gt;"Ausgabe",O1038=""),0,IF(O1038="x",-$E1038/(COUNTIF($J1038:$Q1038,"x")+1),-$E1038*N(O1038)))</f>
        <v/>
      </c>
      <c r="AD1038" s="34">
        <f>IF(OR($A1038="",$H1038&lt;&gt;"Ausgabe",P1038=""),0,IF(P1038="x",-$E1038/(COUNTIF($J1038:$Q1038,"x")+1),-$E1038*N(P1038)))</f>
        <v/>
      </c>
      <c r="AE1038" s="34">
        <f>IF(OR($A1038="",$H1038&lt;&gt;"Ausgabe",Q1038=""),0,IF(Q1038="x",-$E1038/(COUNTIF($J1038:$Q1038,"x")+1),-$E1038*N(Q1038)))</f>
        <v/>
      </c>
    </row>
    <row r="1039">
      <c r="A1039" s="30" t="n"/>
      <c r="E1039" s="31" t="n"/>
      <c r="J1039" s="32" t="n"/>
      <c r="K1039" s="32" t="n"/>
      <c r="L1039" s="32" t="n"/>
      <c r="M1039" s="32" t="n"/>
      <c r="N1039" s="32" t="n"/>
      <c r="O1039" s="32" t="n"/>
      <c r="P1039" s="32" t="n"/>
      <c r="Q1039" s="32" t="n"/>
      <c r="U1039" s="31">
        <f>IF($A1039="","",SUM(X1039:AE1039))</f>
        <v/>
      </c>
      <c r="V1039" s="31">
        <f>IF($A1039="","",IF($H1039&lt;&gt;"Ausgabe",0,-$E1039-$U1039))</f>
        <v/>
      </c>
      <c r="W1039" s="33">
        <f>IF($A1039="","",DATE(YEAR($A1039),MONTH($A1039),1))</f>
        <v/>
      </c>
      <c r="X1039" s="34">
        <f>IF(OR($A1039="",$H1039&lt;&gt;"Ausgabe",J1039=""),0,IF(J1039="x",-$E1039/(COUNTIF($J1039:$Q1039,"x")+1),-$E1039*N(J1039)))</f>
        <v/>
      </c>
      <c r="Y1039" s="34">
        <f>IF(OR($A1039="",$H1039&lt;&gt;"Ausgabe",K1039=""),0,IF(K1039="x",-$E1039/(COUNTIF($J1039:$Q1039,"x")+1),-$E1039*N(K1039)))</f>
        <v/>
      </c>
      <c r="Z1039" s="34">
        <f>IF(OR($A1039="",$H1039&lt;&gt;"Ausgabe",L1039=""),0,IF(L1039="x",-$E1039/(COUNTIF($J1039:$Q1039,"x")+1),-$E1039*N(L1039)))</f>
        <v/>
      </c>
      <c r="AA1039" s="34">
        <f>IF(OR($A1039="",$H1039&lt;&gt;"Ausgabe",M1039=""),0,IF(M1039="x",-$E1039/(COUNTIF($J1039:$Q1039,"x")+1),-$E1039*N(M1039)))</f>
        <v/>
      </c>
      <c r="AB1039" s="34">
        <f>IF(OR($A1039="",$H1039&lt;&gt;"Ausgabe",N1039=""),0,IF(N1039="x",-$E1039/(COUNTIF($J1039:$Q1039,"x")+1),-$E1039*N(N1039)))</f>
        <v/>
      </c>
      <c r="AC1039" s="34">
        <f>IF(OR($A1039="",$H1039&lt;&gt;"Ausgabe",O1039=""),0,IF(O1039="x",-$E1039/(COUNTIF($J1039:$Q1039,"x")+1),-$E1039*N(O1039)))</f>
        <v/>
      </c>
      <c r="AD1039" s="34">
        <f>IF(OR($A1039="",$H1039&lt;&gt;"Ausgabe",P1039=""),0,IF(P1039="x",-$E1039/(COUNTIF($J1039:$Q1039,"x")+1),-$E1039*N(P1039)))</f>
        <v/>
      </c>
      <c r="AE1039" s="34">
        <f>IF(OR($A1039="",$H1039&lt;&gt;"Ausgabe",Q1039=""),0,IF(Q1039="x",-$E1039/(COUNTIF($J1039:$Q1039,"x")+1),-$E1039*N(Q1039)))</f>
        <v/>
      </c>
    </row>
    <row r="1040">
      <c r="A1040" s="30" t="n"/>
      <c r="E1040" s="31" t="n"/>
      <c r="J1040" s="32" t="n"/>
      <c r="K1040" s="32" t="n"/>
      <c r="L1040" s="32" t="n"/>
      <c r="M1040" s="32" t="n"/>
      <c r="N1040" s="32" t="n"/>
      <c r="O1040" s="32" t="n"/>
      <c r="P1040" s="32" t="n"/>
      <c r="Q1040" s="32" t="n"/>
      <c r="U1040" s="31">
        <f>IF($A1040="","",SUM(X1040:AE1040))</f>
        <v/>
      </c>
      <c r="V1040" s="31">
        <f>IF($A1040="","",IF($H1040&lt;&gt;"Ausgabe",0,-$E1040-$U1040))</f>
        <v/>
      </c>
      <c r="W1040" s="33">
        <f>IF($A1040="","",DATE(YEAR($A1040),MONTH($A1040),1))</f>
        <v/>
      </c>
      <c r="X1040" s="34">
        <f>IF(OR($A1040="",$H1040&lt;&gt;"Ausgabe",J1040=""),0,IF(J1040="x",-$E1040/(COUNTIF($J1040:$Q1040,"x")+1),-$E1040*N(J1040)))</f>
        <v/>
      </c>
      <c r="Y1040" s="34">
        <f>IF(OR($A1040="",$H1040&lt;&gt;"Ausgabe",K1040=""),0,IF(K1040="x",-$E1040/(COUNTIF($J1040:$Q1040,"x")+1),-$E1040*N(K1040)))</f>
        <v/>
      </c>
      <c r="Z1040" s="34">
        <f>IF(OR($A1040="",$H1040&lt;&gt;"Ausgabe",L1040=""),0,IF(L1040="x",-$E1040/(COUNTIF($J1040:$Q1040,"x")+1),-$E1040*N(L1040)))</f>
        <v/>
      </c>
      <c r="AA1040" s="34">
        <f>IF(OR($A1040="",$H1040&lt;&gt;"Ausgabe",M1040=""),0,IF(M1040="x",-$E1040/(COUNTIF($J1040:$Q1040,"x")+1),-$E1040*N(M1040)))</f>
        <v/>
      </c>
      <c r="AB1040" s="34">
        <f>IF(OR($A1040="",$H1040&lt;&gt;"Ausgabe",N1040=""),0,IF(N1040="x",-$E1040/(COUNTIF($J1040:$Q1040,"x")+1),-$E1040*N(N1040)))</f>
        <v/>
      </c>
      <c r="AC1040" s="34">
        <f>IF(OR($A1040="",$H1040&lt;&gt;"Ausgabe",O1040=""),0,IF(O1040="x",-$E1040/(COUNTIF($J1040:$Q1040,"x")+1),-$E1040*N(O1040)))</f>
        <v/>
      </c>
      <c r="AD1040" s="34">
        <f>IF(OR($A1040="",$H1040&lt;&gt;"Ausgabe",P1040=""),0,IF(P1040="x",-$E1040/(COUNTIF($J1040:$Q1040,"x")+1),-$E1040*N(P1040)))</f>
        <v/>
      </c>
      <c r="AE1040" s="34">
        <f>IF(OR($A1040="",$H1040&lt;&gt;"Ausgabe",Q1040=""),0,IF(Q1040="x",-$E1040/(COUNTIF($J1040:$Q1040,"x")+1),-$E1040*N(Q1040)))</f>
        <v/>
      </c>
    </row>
    <row r="1041">
      <c r="A1041" s="30" t="n"/>
      <c r="E1041" s="31" t="n"/>
      <c r="J1041" s="32" t="n"/>
      <c r="K1041" s="32" t="n"/>
      <c r="L1041" s="32" t="n"/>
      <c r="M1041" s="32" t="n"/>
      <c r="N1041" s="32" t="n"/>
      <c r="O1041" s="32" t="n"/>
      <c r="P1041" s="32" t="n"/>
      <c r="Q1041" s="32" t="n"/>
      <c r="U1041" s="31">
        <f>IF($A1041="","",SUM(X1041:AE1041))</f>
        <v/>
      </c>
      <c r="V1041" s="31">
        <f>IF($A1041="","",IF($H1041&lt;&gt;"Ausgabe",0,-$E1041-$U1041))</f>
        <v/>
      </c>
      <c r="W1041" s="33">
        <f>IF($A1041="","",DATE(YEAR($A1041),MONTH($A1041),1))</f>
        <v/>
      </c>
      <c r="X1041" s="34">
        <f>IF(OR($A1041="",$H1041&lt;&gt;"Ausgabe",J1041=""),0,IF(J1041="x",-$E1041/(COUNTIF($J1041:$Q1041,"x")+1),-$E1041*N(J1041)))</f>
        <v/>
      </c>
      <c r="Y1041" s="34">
        <f>IF(OR($A1041="",$H1041&lt;&gt;"Ausgabe",K1041=""),0,IF(K1041="x",-$E1041/(COUNTIF($J1041:$Q1041,"x")+1),-$E1041*N(K1041)))</f>
        <v/>
      </c>
      <c r="Z1041" s="34">
        <f>IF(OR($A1041="",$H1041&lt;&gt;"Ausgabe",L1041=""),0,IF(L1041="x",-$E1041/(COUNTIF($J1041:$Q1041,"x")+1),-$E1041*N(L1041)))</f>
        <v/>
      </c>
      <c r="AA1041" s="34">
        <f>IF(OR($A1041="",$H1041&lt;&gt;"Ausgabe",M1041=""),0,IF(M1041="x",-$E1041/(COUNTIF($J1041:$Q1041,"x")+1),-$E1041*N(M1041)))</f>
        <v/>
      </c>
      <c r="AB1041" s="34">
        <f>IF(OR($A1041="",$H1041&lt;&gt;"Ausgabe",N1041=""),0,IF(N1041="x",-$E1041/(COUNTIF($J1041:$Q1041,"x")+1),-$E1041*N(N1041)))</f>
        <v/>
      </c>
      <c r="AC1041" s="34">
        <f>IF(OR($A1041="",$H1041&lt;&gt;"Ausgabe",O1041=""),0,IF(O1041="x",-$E1041/(COUNTIF($J1041:$Q1041,"x")+1),-$E1041*N(O1041)))</f>
        <v/>
      </c>
      <c r="AD1041" s="34">
        <f>IF(OR($A1041="",$H1041&lt;&gt;"Ausgabe",P1041=""),0,IF(P1041="x",-$E1041/(COUNTIF($J1041:$Q1041,"x")+1),-$E1041*N(P1041)))</f>
        <v/>
      </c>
      <c r="AE1041" s="34">
        <f>IF(OR($A1041="",$H1041&lt;&gt;"Ausgabe",Q1041=""),0,IF(Q1041="x",-$E1041/(COUNTIF($J1041:$Q1041,"x")+1),-$E1041*N(Q1041)))</f>
        <v/>
      </c>
    </row>
    <row r="1042">
      <c r="A1042" s="30" t="n"/>
      <c r="E1042" s="31" t="n"/>
      <c r="J1042" s="32" t="n"/>
      <c r="K1042" s="32" t="n"/>
      <c r="L1042" s="32" t="n"/>
      <c r="M1042" s="32" t="n"/>
      <c r="N1042" s="32" t="n"/>
      <c r="O1042" s="32" t="n"/>
      <c r="P1042" s="32" t="n"/>
      <c r="Q1042" s="32" t="n"/>
      <c r="U1042" s="31">
        <f>IF($A1042="","",SUM(X1042:AE1042))</f>
        <v/>
      </c>
      <c r="V1042" s="31">
        <f>IF($A1042="","",IF($H1042&lt;&gt;"Ausgabe",0,-$E1042-$U1042))</f>
        <v/>
      </c>
      <c r="W1042" s="33">
        <f>IF($A1042="","",DATE(YEAR($A1042),MONTH($A1042),1))</f>
        <v/>
      </c>
      <c r="X1042" s="34">
        <f>IF(OR($A1042="",$H1042&lt;&gt;"Ausgabe",J1042=""),0,IF(J1042="x",-$E1042/(COUNTIF($J1042:$Q1042,"x")+1),-$E1042*N(J1042)))</f>
        <v/>
      </c>
      <c r="Y1042" s="34">
        <f>IF(OR($A1042="",$H1042&lt;&gt;"Ausgabe",K1042=""),0,IF(K1042="x",-$E1042/(COUNTIF($J1042:$Q1042,"x")+1),-$E1042*N(K1042)))</f>
        <v/>
      </c>
      <c r="Z1042" s="34">
        <f>IF(OR($A1042="",$H1042&lt;&gt;"Ausgabe",L1042=""),0,IF(L1042="x",-$E1042/(COUNTIF($J1042:$Q1042,"x")+1),-$E1042*N(L1042)))</f>
        <v/>
      </c>
      <c r="AA1042" s="34">
        <f>IF(OR($A1042="",$H1042&lt;&gt;"Ausgabe",M1042=""),0,IF(M1042="x",-$E1042/(COUNTIF($J1042:$Q1042,"x")+1),-$E1042*N(M1042)))</f>
        <v/>
      </c>
      <c r="AB1042" s="34">
        <f>IF(OR($A1042="",$H1042&lt;&gt;"Ausgabe",N1042=""),0,IF(N1042="x",-$E1042/(COUNTIF($J1042:$Q1042,"x")+1),-$E1042*N(N1042)))</f>
        <v/>
      </c>
      <c r="AC1042" s="34">
        <f>IF(OR($A1042="",$H1042&lt;&gt;"Ausgabe",O1042=""),0,IF(O1042="x",-$E1042/(COUNTIF($J1042:$Q1042,"x")+1),-$E1042*N(O1042)))</f>
        <v/>
      </c>
      <c r="AD1042" s="34">
        <f>IF(OR($A1042="",$H1042&lt;&gt;"Ausgabe",P1042=""),0,IF(P1042="x",-$E1042/(COUNTIF($J1042:$Q1042,"x")+1),-$E1042*N(P1042)))</f>
        <v/>
      </c>
      <c r="AE1042" s="34">
        <f>IF(OR($A1042="",$H1042&lt;&gt;"Ausgabe",Q1042=""),0,IF(Q1042="x",-$E1042/(COUNTIF($J1042:$Q1042,"x")+1),-$E1042*N(Q1042)))</f>
        <v/>
      </c>
    </row>
    <row r="1043">
      <c r="A1043" s="30" t="n"/>
      <c r="E1043" s="31" t="n"/>
      <c r="J1043" s="32" t="n"/>
      <c r="K1043" s="32" t="n"/>
      <c r="L1043" s="32" t="n"/>
      <c r="M1043" s="32" t="n"/>
      <c r="N1043" s="32" t="n"/>
      <c r="O1043" s="32" t="n"/>
      <c r="P1043" s="32" t="n"/>
      <c r="Q1043" s="32" t="n"/>
      <c r="U1043" s="31">
        <f>IF($A1043="","",SUM(X1043:AE1043))</f>
        <v/>
      </c>
      <c r="V1043" s="31">
        <f>IF($A1043="","",IF($H1043&lt;&gt;"Ausgabe",0,-$E1043-$U1043))</f>
        <v/>
      </c>
      <c r="W1043" s="33">
        <f>IF($A1043="","",DATE(YEAR($A1043),MONTH($A1043),1))</f>
        <v/>
      </c>
      <c r="X1043" s="34">
        <f>IF(OR($A1043="",$H1043&lt;&gt;"Ausgabe",J1043=""),0,IF(J1043="x",-$E1043/(COUNTIF($J1043:$Q1043,"x")+1),-$E1043*N(J1043)))</f>
        <v/>
      </c>
      <c r="Y1043" s="34">
        <f>IF(OR($A1043="",$H1043&lt;&gt;"Ausgabe",K1043=""),0,IF(K1043="x",-$E1043/(COUNTIF($J1043:$Q1043,"x")+1),-$E1043*N(K1043)))</f>
        <v/>
      </c>
      <c r="Z1043" s="34">
        <f>IF(OR($A1043="",$H1043&lt;&gt;"Ausgabe",L1043=""),0,IF(L1043="x",-$E1043/(COUNTIF($J1043:$Q1043,"x")+1),-$E1043*N(L1043)))</f>
        <v/>
      </c>
      <c r="AA1043" s="34">
        <f>IF(OR($A1043="",$H1043&lt;&gt;"Ausgabe",M1043=""),0,IF(M1043="x",-$E1043/(COUNTIF($J1043:$Q1043,"x")+1),-$E1043*N(M1043)))</f>
        <v/>
      </c>
      <c r="AB1043" s="34">
        <f>IF(OR($A1043="",$H1043&lt;&gt;"Ausgabe",N1043=""),0,IF(N1043="x",-$E1043/(COUNTIF($J1043:$Q1043,"x")+1),-$E1043*N(N1043)))</f>
        <v/>
      </c>
      <c r="AC1043" s="34">
        <f>IF(OR($A1043="",$H1043&lt;&gt;"Ausgabe",O1043=""),0,IF(O1043="x",-$E1043/(COUNTIF($J1043:$Q1043,"x")+1),-$E1043*N(O1043)))</f>
        <v/>
      </c>
      <c r="AD1043" s="34">
        <f>IF(OR($A1043="",$H1043&lt;&gt;"Ausgabe",P1043=""),0,IF(P1043="x",-$E1043/(COUNTIF($J1043:$Q1043,"x")+1),-$E1043*N(P1043)))</f>
        <v/>
      </c>
      <c r="AE1043" s="34">
        <f>IF(OR($A1043="",$H1043&lt;&gt;"Ausgabe",Q1043=""),0,IF(Q1043="x",-$E1043/(COUNTIF($J1043:$Q1043,"x")+1),-$E1043*N(Q1043)))</f>
        <v/>
      </c>
    </row>
    <row r="1044">
      <c r="A1044" s="30" t="n"/>
      <c r="E1044" s="31" t="n"/>
      <c r="J1044" s="32" t="n"/>
      <c r="K1044" s="32" t="n"/>
      <c r="L1044" s="32" t="n"/>
      <c r="M1044" s="32" t="n"/>
      <c r="N1044" s="32" t="n"/>
      <c r="O1044" s="32" t="n"/>
      <c r="P1044" s="32" t="n"/>
      <c r="Q1044" s="32" t="n"/>
      <c r="U1044" s="31">
        <f>IF($A1044="","",SUM(X1044:AE1044))</f>
        <v/>
      </c>
      <c r="V1044" s="31">
        <f>IF($A1044="","",IF($H1044&lt;&gt;"Ausgabe",0,-$E1044-$U1044))</f>
        <v/>
      </c>
      <c r="W1044" s="33">
        <f>IF($A1044="","",DATE(YEAR($A1044),MONTH($A1044),1))</f>
        <v/>
      </c>
      <c r="X1044" s="34">
        <f>IF(OR($A1044="",$H1044&lt;&gt;"Ausgabe",J1044=""),0,IF(J1044="x",-$E1044/(COUNTIF($J1044:$Q1044,"x")+1),-$E1044*N(J1044)))</f>
        <v/>
      </c>
      <c r="Y1044" s="34">
        <f>IF(OR($A1044="",$H1044&lt;&gt;"Ausgabe",K1044=""),0,IF(K1044="x",-$E1044/(COUNTIF($J1044:$Q1044,"x")+1),-$E1044*N(K1044)))</f>
        <v/>
      </c>
      <c r="Z1044" s="34">
        <f>IF(OR($A1044="",$H1044&lt;&gt;"Ausgabe",L1044=""),0,IF(L1044="x",-$E1044/(COUNTIF($J1044:$Q1044,"x")+1),-$E1044*N(L1044)))</f>
        <v/>
      </c>
      <c r="AA1044" s="34">
        <f>IF(OR($A1044="",$H1044&lt;&gt;"Ausgabe",M1044=""),0,IF(M1044="x",-$E1044/(COUNTIF($J1044:$Q1044,"x")+1),-$E1044*N(M1044)))</f>
        <v/>
      </c>
      <c r="AB1044" s="34">
        <f>IF(OR($A1044="",$H1044&lt;&gt;"Ausgabe",N1044=""),0,IF(N1044="x",-$E1044/(COUNTIF($J1044:$Q1044,"x")+1),-$E1044*N(N1044)))</f>
        <v/>
      </c>
      <c r="AC1044" s="34">
        <f>IF(OR($A1044="",$H1044&lt;&gt;"Ausgabe",O1044=""),0,IF(O1044="x",-$E1044/(COUNTIF($J1044:$Q1044,"x")+1),-$E1044*N(O1044)))</f>
        <v/>
      </c>
      <c r="AD1044" s="34">
        <f>IF(OR($A1044="",$H1044&lt;&gt;"Ausgabe",P1044=""),0,IF(P1044="x",-$E1044/(COUNTIF($J1044:$Q1044,"x")+1),-$E1044*N(P1044)))</f>
        <v/>
      </c>
      <c r="AE1044" s="34">
        <f>IF(OR($A1044="",$H1044&lt;&gt;"Ausgabe",Q1044=""),0,IF(Q1044="x",-$E1044/(COUNTIF($J1044:$Q1044,"x")+1),-$E1044*N(Q1044)))</f>
        <v/>
      </c>
    </row>
    <row r="1045">
      <c r="A1045" s="30" t="n"/>
      <c r="E1045" s="31" t="n"/>
      <c r="J1045" s="32" t="n"/>
      <c r="K1045" s="32" t="n"/>
      <c r="L1045" s="32" t="n"/>
      <c r="M1045" s="32" t="n"/>
      <c r="N1045" s="32" t="n"/>
      <c r="O1045" s="32" t="n"/>
      <c r="P1045" s="32" t="n"/>
      <c r="Q1045" s="32" t="n"/>
      <c r="U1045" s="31">
        <f>IF($A1045="","",SUM(X1045:AE1045))</f>
        <v/>
      </c>
      <c r="V1045" s="31">
        <f>IF($A1045="","",IF($H1045&lt;&gt;"Ausgabe",0,-$E1045-$U1045))</f>
        <v/>
      </c>
      <c r="W1045" s="33">
        <f>IF($A1045="","",DATE(YEAR($A1045),MONTH($A1045),1))</f>
        <v/>
      </c>
      <c r="X1045" s="34">
        <f>IF(OR($A1045="",$H1045&lt;&gt;"Ausgabe",J1045=""),0,IF(J1045="x",-$E1045/(COUNTIF($J1045:$Q1045,"x")+1),-$E1045*N(J1045)))</f>
        <v/>
      </c>
      <c r="Y1045" s="34">
        <f>IF(OR($A1045="",$H1045&lt;&gt;"Ausgabe",K1045=""),0,IF(K1045="x",-$E1045/(COUNTIF($J1045:$Q1045,"x")+1),-$E1045*N(K1045)))</f>
        <v/>
      </c>
      <c r="Z1045" s="34">
        <f>IF(OR($A1045="",$H1045&lt;&gt;"Ausgabe",L1045=""),0,IF(L1045="x",-$E1045/(COUNTIF($J1045:$Q1045,"x")+1),-$E1045*N(L1045)))</f>
        <v/>
      </c>
      <c r="AA1045" s="34">
        <f>IF(OR($A1045="",$H1045&lt;&gt;"Ausgabe",M1045=""),0,IF(M1045="x",-$E1045/(COUNTIF($J1045:$Q1045,"x")+1),-$E1045*N(M1045)))</f>
        <v/>
      </c>
      <c r="AB1045" s="34">
        <f>IF(OR($A1045="",$H1045&lt;&gt;"Ausgabe",N1045=""),0,IF(N1045="x",-$E1045/(COUNTIF($J1045:$Q1045,"x")+1),-$E1045*N(N1045)))</f>
        <v/>
      </c>
      <c r="AC1045" s="34">
        <f>IF(OR($A1045="",$H1045&lt;&gt;"Ausgabe",O1045=""),0,IF(O1045="x",-$E1045/(COUNTIF($J1045:$Q1045,"x")+1),-$E1045*N(O1045)))</f>
        <v/>
      </c>
      <c r="AD1045" s="34">
        <f>IF(OR($A1045="",$H1045&lt;&gt;"Ausgabe",P1045=""),0,IF(P1045="x",-$E1045/(COUNTIF($J1045:$Q1045,"x")+1),-$E1045*N(P1045)))</f>
        <v/>
      </c>
      <c r="AE1045" s="34">
        <f>IF(OR($A1045="",$H1045&lt;&gt;"Ausgabe",Q1045=""),0,IF(Q1045="x",-$E1045/(COUNTIF($J1045:$Q1045,"x")+1),-$E1045*N(Q1045)))</f>
        <v/>
      </c>
    </row>
    <row r="1046">
      <c r="A1046" s="30" t="n"/>
      <c r="E1046" s="31" t="n"/>
      <c r="J1046" s="32" t="n"/>
      <c r="K1046" s="32" t="n"/>
      <c r="L1046" s="32" t="n"/>
      <c r="M1046" s="32" t="n"/>
      <c r="N1046" s="32" t="n"/>
      <c r="O1046" s="32" t="n"/>
      <c r="P1046" s="32" t="n"/>
      <c r="Q1046" s="32" t="n"/>
      <c r="U1046" s="31">
        <f>IF($A1046="","",SUM(X1046:AE1046))</f>
        <v/>
      </c>
      <c r="V1046" s="31">
        <f>IF($A1046="","",IF($H1046&lt;&gt;"Ausgabe",0,-$E1046-$U1046))</f>
        <v/>
      </c>
      <c r="W1046" s="33">
        <f>IF($A1046="","",DATE(YEAR($A1046),MONTH($A1046),1))</f>
        <v/>
      </c>
      <c r="X1046" s="34">
        <f>IF(OR($A1046="",$H1046&lt;&gt;"Ausgabe",J1046=""),0,IF(J1046="x",-$E1046/(COUNTIF($J1046:$Q1046,"x")+1),-$E1046*N(J1046)))</f>
        <v/>
      </c>
      <c r="Y1046" s="34">
        <f>IF(OR($A1046="",$H1046&lt;&gt;"Ausgabe",K1046=""),0,IF(K1046="x",-$E1046/(COUNTIF($J1046:$Q1046,"x")+1),-$E1046*N(K1046)))</f>
        <v/>
      </c>
      <c r="Z1046" s="34">
        <f>IF(OR($A1046="",$H1046&lt;&gt;"Ausgabe",L1046=""),0,IF(L1046="x",-$E1046/(COUNTIF($J1046:$Q1046,"x")+1),-$E1046*N(L1046)))</f>
        <v/>
      </c>
      <c r="AA1046" s="34">
        <f>IF(OR($A1046="",$H1046&lt;&gt;"Ausgabe",M1046=""),0,IF(M1046="x",-$E1046/(COUNTIF($J1046:$Q1046,"x")+1),-$E1046*N(M1046)))</f>
        <v/>
      </c>
      <c r="AB1046" s="34">
        <f>IF(OR($A1046="",$H1046&lt;&gt;"Ausgabe",N1046=""),0,IF(N1046="x",-$E1046/(COUNTIF($J1046:$Q1046,"x")+1),-$E1046*N(N1046)))</f>
        <v/>
      </c>
      <c r="AC1046" s="34">
        <f>IF(OR($A1046="",$H1046&lt;&gt;"Ausgabe",O1046=""),0,IF(O1046="x",-$E1046/(COUNTIF($J1046:$Q1046,"x")+1),-$E1046*N(O1046)))</f>
        <v/>
      </c>
      <c r="AD1046" s="34">
        <f>IF(OR($A1046="",$H1046&lt;&gt;"Ausgabe",P1046=""),0,IF(P1046="x",-$E1046/(COUNTIF($J1046:$Q1046,"x")+1),-$E1046*N(P1046)))</f>
        <v/>
      </c>
      <c r="AE1046" s="34">
        <f>IF(OR($A1046="",$H1046&lt;&gt;"Ausgabe",Q1046=""),0,IF(Q1046="x",-$E1046/(COUNTIF($J1046:$Q1046,"x")+1),-$E1046*N(Q1046)))</f>
        <v/>
      </c>
    </row>
    <row r="1047">
      <c r="A1047" s="30" t="n"/>
      <c r="E1047" s="31" t="n"/>
      <c r="J1047" s="32" t="n"/>
      <c r="K1047" s="32" t="n"/>
      <c r="L1047" s="32" t="n"/>
      <c r="M1047" s="32" t="n"/>
      <c r="N1047" s="32" t="n"/>
      <c r="O1047" s="32" t="n"/>
      <c r="P1047" s="32" t="n"/>
      <c r="Q1047" s="32" t="n"/>
      <c r="U1047" s="31">
        <f>IF($A1047="","",SUM(X1047:AE1047))</f>
        <v/>
      </c>
      <c r="V1047" s="31">
        <f>IF($A1047="","",IF($H1047&lt;&gt;"Ausgabe",0,-$E1047-$U1047))</f>
        <v/>
      </c>
      <c r="W1047" s="33">
        <f>IF($A1047="","",DATE(YEAR($A1047),MONTH($A1047),1))</f>
        <v/>
      </c>
      <c r="X1047" s="34">
        <f>IF(OR($A1047="",$H1047&lt;&gt;"Ausgabe",J1047=""),0,IF(J1047="x",-$E1047/(COUNTIF($J1047:$Q1047,"x")+1),-$E1047*N(J1047)))</f>
        <v/>
      </c>
      <c r="Y1047" s="34">
        <f>IF(OR($A1047="",$H1047&lt;&gt;"Ausgabe",K1047=""),0,IF(K1047="x",-$E1047/(COUNTIF($J1047:$Q1047,"x")+1),-$E1047*N(K1047)))</f>
        <v/>
      </c>
      <c r="Z1047" s="34">
        <f>IF(OR($A1047="",$H1047&lt;&gt;"Ausgabe",L1047=""),0,IF(L1047="x",-$E1047/(COUNTIF($J1047:$Q1047,"x")+1),-$E1047*N(L1047)))</f>
        <v/>
      </c>
      <c r="AA1047" s="34">
        <f>IF(OR($A1047="",$H1047&lt;&gt;"Ausgabe",M1047=""),0,IF(M1047="x",-$E1047/(COUNTIF($J1047:$Q1047,"x")+1),-$E1047*N(M1047)))</f>
        <v/>
      </c>
      <c r="AB1047" s="34">
        <f>IF(OR($A1047="",$H1047&lt;&gt;"Ausgabe",N1047=""),0,IF(N1047="x",-$E1047/(COUNTIF($J1047:$Q1047,"x")+1),-$E1047*N(N1047)))</f>
        <v/>
      </c>
      <c r="AC1047" s="34">
        <f>IF(OR($A1047="",$H1047&lt;&gt;"Ausgabe",O1047=""),0,IF(O1047="x",-$E1047/(COUNTIF($J1047:$Q1047,"x")+1),-$E1047*N(O1047)))</f>
        <v/>
      </c>
      <c r="AD1047" s="34">
        <f>IF(OR($A1047="",$H1047&lt;&gt;"Ausgabe",P1047=""),0,IF(P1047="x",-$E1047/(COUNTIF($J1047:$Q1047,"x")+1),-$E1047*N(P1047)))</f>
        <v/>
      </c>
      <c r="AE1047" s="34">
        <f>IF(OR($A1047="",$H1047&lt;&gt;"Ausgabe",Q1047=""),0,IF(Q1047="x",-$E1047/(COUNTIF($J1047:$Q1047,"x")+1),-$E1047*N(Q1047)))</f>
        <v/>
      </c>
    </row>
    <row r="1048">
      <c r="A1048" s="30" t="n"/>
      <c r="E1048" s="31" t="n"/>
      <c r="J1048" s="32" t="n"/>
      <c r="K1048" s="32" t="n"/>
      <c r="L1048" s="32" t="n"/>
      <c r="M1048" s="32" t="n"/>
      <c r="N1048" s="32" t="n"/>
      <c r="O1048" s="32" t="n"/>
      <c r="P1048" s="32" t="n"/>
      <c r="Q1048" s="32" t="n"/>
      <c r="U1048" s="31">
        <f>IF($A1048="","",SUM(X1048:AE1048))</f>
        <v/>
      </c>
      <c r="V1048" s="31">
        <f>IF($A1048="","",IF($H1048&lt;&gt;"Ausgabe",0,-$E1048-$U1048))</f>
        <v/>
      </c>
      <c r="W1048" s="33">
        <f>IF($A1048="","",DATE(YEAR($A1048),MONTH($A1048),1))</f>
        <v/>
      </c>
      <c r="X1048" s="34">
        <f>IF(OR($A1048="",$H1048&lt;&gt;"Ausgabe",J1048=""),0,IF(J1048="x",-$E1048/(COUNTIF($J1048:$Q1048,"x")+1),-$E1048*N(J1048)))</f>
        <v/>
      </c>
      <c r="Y1048" s="34">
        <f>IF(OR($A1048="",$H1048&lt;&gt;"Ausgabe",K1048=""),0,IF(K1048="x",-$E1048/(COUNTIF($J1048:$Q1048,"x")+1),-$E1048*N(K1048)))</f>
        <v/>
      </c>
      <c r="Z1048" s="34">
        <f>IF(OR($A1048="",$H1048&lt;&gt;"Ausgabe",L1048=""),0,IF(L1048="x",-$E1048/(COUNTIF($J1048:$Q1048,"x")+1),-$E1048*N(L1048)))</f>
        <v/>
      </c>
      <c r="AA1048" s="34">
        <f>IF(OR($A1048="",$H1048&lt;&gt;"Ausgabe",M1048=""),0,IF(M1048="x",-$E1048/(COUNTIF($J1048:$Q1048,"x")+1),-$E1048*N(M1048)))</f>
        <v/>
      </c>
      <c r="AB1048" s="34">
        <f>IF(OR($A1048="",$H1048&lt;&gt;"Ausgabe",N1048=""),0,IF(N1048="x",-$E1048/(COUNTIF($J1048:$Q1048,"x")+1),-$E1048*N(N1048)))</f>
        <v/>
      </c>
      <c r="AC1048" s="34">
        <f>IF(OR($A1048="",$H1048&lt;&gt;"Ausgabe",O1048=""),0,IF(O1048="x",-$E1048/(COUNTIF($J1048:$Q1048,"x")+1),-$E1048*N(O1048)))</f>
        <v/>
      </c>
      <c r="AD1048" s="34">
        <f>IF(OR($A1048="",$H1048&lt;&gt;"Ausgabe",P1048=""),0,IF(P1048="x",-$E1048/(COUNTIF($J1048:$Q1048,"x")+1),-$E1048*N(P1048)))</f>
        <v/>
      </c>
      <c r="AE1048" s="34">
        <f>IF(OR($A1048="",$H1048&lt;&gt;"Ausgabe",Q1048=""),0,IF(Q1048="x",-$E1048/(COUNTIF($J1048:$Q1048,"x")+1),-$E1048*N(Q1048)))</f>
        <v/>
      </c>
    </row>
    <row r="1049">
      <c r="A1049" s="30" t="n"/>
      <c r="E1049" s="31" t="n"/>
      <c r="J1049" s="32" t="n"/>
      <c r="K1049" s="32" t="n"/>
      <c r="L1049" s="32" t="n"/>
      <c r="M1049" s="32" t="n"/>
      <c r="N1049" s="32" t="n"/>
      <c r="O1049" s="32" t="n"/>
      <c r="P1049" s="32" t="n"/>
      <c r="Q1049" s="32" t="n"/>
      <c r="U1049" s="31">
        <f>IF($A1049="","",SUM(X1049:AE1049))</f>
        <v/>
      </c>
      <c r="V1049" s="31">
        <f>IF($A1049="","",IF($H1049&lt;&gt;"Ausgabe",0,-$E1049-$U1049))</f>
        <v/>
      </c>
      <c r="W1049" s="33">
        <f>IF($A1049="","",DATE(YEAR($A1049),MONTH($A1049),1))</f>
        <v/>
      </c>
      <c r="X1049" s="34">
        <f>IF(OR($A1049="",$H1049&lt;&gt;"Ausgabe",J1049=""),0,IF(J1049="x",-$E1049/(COUNTIF($J1049:$Q1049,"x")+1),-$E1049*N(J1049)))</f>
        <v/>
      </c>
      <c r="Y1049" s="34">
        <f>IF(OR($A1049="",$H1049&lt;&gt;"Ausgabe",K1049=""),0,IF(K1049="x",-$E1049/(COUNTIF($J1049:$Q1049,"x")+1),-$E1049*N(K1049)))</f>
        <v/>
      </c>
      <c r="Z1049" s="34">
        <f>IF(OR($A1049="",$H1049&lt;&gt;"Ausgabe",L1049=""),0,IF(L1049="x",-$E1049/(COUNTIF($J1049:$Q1049,"x")+1),-$E1049*N(L1049)))</f>
        <v/>
      </c>
      <c r="AA1049" s="34">
        <f>IF(OR($A1049="",$H1049&lt;&gt;"Ausgabe",M1049=""),0,IF(M1049="x",-$E1049/(COUNTIF($J1049:$Q1049,"x")+1),-$E1049*N(M1049)))</f>
        <v/>
      </c>
      <c r="AB1049" s="34">
        <f>IF(OR($A1049="",$H1049&lt;&gt;"Ausgabe",N1049=""),0,IF(N1049="x",-$E1049/(COUNTIF($J1049:$Q1049,"x")+1),-$E1049*N(N1049)))</f>
        <v/>
      </c>
      <c r="AC1049" s="34">
        <f>IF(OR($A1049="",$H1049&lt;&gt;"Ausgabe",O1049=""),0,IF(O1049="x",-$E1049/(COUNTIF($J1049:$Q1049,"x")+1),-$E1049*N(O1049)))</f>
        <v/>
      </c>
      <c r="AD1049" s="34">
        <f>IF(OR($A1049="",$H1049&lt;&gt;"Ausgabe",P1049=""),0,IF(P1049="x",-$E1049/(COUNTIF($J1049:$Q1049,"x")+1),-$E1049*N(P1049)))</f>
        <v/>
      </c>
      <c r="AE1049" s="34">
        <f>IF(OR($A1049="",$H1049&lt;&gt;"Ausgabe",Q1049=""),0,IF(Q1049="x",-$E1049/(COUNTIF($J1049:$Q1049,"x")+1),-$E1049*N(Q1049)))</f>
        <v/>
      </c>
    </row>
    <row r="1050">
      <c r="A1050" s="30" t="n"/>
      <c r="E1050" s="31" t="n"/>
      <c r="J1050" s="32" t="n"/>
      <c r="K1050" s="32" t="n"/>
      <c r="L1050" s="32" t="n"/>
      <c r="M1050" s="32" t="n"/>
      <c r="N1050" s="32" t="n"/>
      <c r="O1050" s="32" t="n"/>
      <c r="P1050" s="32" t="n"/>
      <c r="Q1050" s="32" t="n"/>
      <c r="U1050" s="31">
        <f>IF($A1050="","",SUM(X1050:AE1050))</f>
        <v/>
      </c>
      <c r="V1050" s="31">
        <f>IF($A1050="","",IF($H1050&lt;&gt;"Ausgabe",0,-$E1050-$U1050))</f>
        <v/>
      </c>
      <c r="W1050" s="33">
        <f>IF($A1050="","",DATE(YEAR($A1050),MONTH($A1050),1))</f>
        <v/>
      </c>
      <c r="X1050" s="34">
        <f>IF(OR($A1050="",$H1050&lt;&gt;"Ausgabe",J1050=""),0,IF(J1050="x",-$E1050/(COUNTIF($J1050:$Q1050,"x")+1),-$E1050*N(J1050)))</f>
        <v/>
      </c>
      <c r="Y1050" s="34">
        <f>IF(OR($A1050="",$H1050&lt;&gt;"Ausgabe",K1050=""),0,IF(K1050="x",-$E1050/(COUNTIF($J1050:$Q1050,"x")+1),-$E1050*N(K1050)))</f>
        <v/>
      </c>
      <c r="Z1050" s="34">
        <f>IF(OR($A1050="",$H1050&lt;&gt;"Ausgabe",L1050=""),0,IF(L1050="x",-$E1050/(COUNTIF($J1050:$Q1050,"x")+1),-$E1050*N(L1050)))</f>
        <v/>
      </c>
      <c r="AA1050" s="34">
        <f>IF(OR($A1050="",$H1050&lt;&gt;"Ausgabe",M1050=""),0,IF(M1050="x",-$E1050/(COUNTIF($J1050:$Q1050,"x")+1),-$E1050*N(M1050)))</f>
        <v/>
      </c>
      <c r="AB1050" s="34">
        <f>IF(OR($A1050="",$H1050&lt;&gt;"Ausgabe",N1050=""),0,IF(N1050="x",-$E1050/(COUNTIF($J1050:$Q1050,"x")+1),-$E1050*N(N1050)))</f>
        <v/>
      </c>
      <c r="AC1050" s="34">
        <f>IF(OR($A1050="",$H1050&lt;&gt;"Ausgabe",O1050=""),0,IF(O1050="x",-$E1050/(COUNTIF($J1050:$Q1050,"x")+1),-$E1050*N(O1050)))</f>
        <v/>
      </c>
      <c r="AD1050" s="34">
        <f>IF(OR($A1050="",$H1050&lt;&gt;"Ausgabe",P1050=""),0,IF(P1050="x",-$E1050/(COUNTIF($J1050:$Q1050,"x")+1),-$E1050*N(P1050)))</f>
        <v/>
      </c>
      <c r="AE1050" s="34">
        <f>IF(OR($A1050="",$H1050&lt;&gt;"Ausgabe",Q1050=""),0,IF(Q1050="x",-$E1050/(COUNTIF($J1050:$Q1050,"x")+1),-$E1050*N(Q1050)))</f>
        <v/>
      </c>
    </row>
    <row r="1051">
      <c r="A1051" s="30" t="n"/>
      <c r="E1051" s="31" t="n"/>
      <c r="J1051" s="32" t="n"/>
      <c r="K1051" s="32" t="n"/>
      <c r="L1051" s="32" t="n"/>
      <c r="M1051" s="32" t="n"/>
      <c r="N1051" s="32" t="n"/>
      <c r="O1051" s="32" t="n"/>
      <c r="P1051" s="32" t="n"/>
      <c r="Q1051" s="32" t="n"/>
      <c r="U1051" s="31">
        <f>IF($A1051="","",SUM(X1051:AE1051))</f>
        <v/>
      </c>
      <c r="V1051" s="31">
        <f>IF($A1051="","",IF($H1051&lt;&gt;"Ausgabe",0,-$E1051-$U1051))</f>
        <v/>
      </c>
      <c r="W1051" s="33">
        <f>IF($A1051="","",DATE(YEAR($A1051),MONTH($A1051),1))</f>
        <v/>
      </c>
      <c r="X1051" s="34">
        <f>IF(OR($A1051="",$H1051&lt;&gt;"Ausgabe",J1051=""),0,IF(J1051="x",-$E1051/(COUNTIF($J1051:$Q1051,"x")+1),-$E1051*N(J1051)))</f>
        <v/>
      </c>
      <c r="Y1051" s="34">
        <f>IF(OR($A1051="",$H1051&lt;&gt;"Ausgabe",K1051=""),0,IF(K1051="x",-$E1051/(COUNTIF($J1051:$Q1051,"x")+1),-$E1051*N(K1051)))</f>
        <v/>
      </c>
      <c r="Z1051" s="34">
        <f>IF(OR($A1051="",$H1051&lt;&gt;"Ausgabe",L1051=""),0,IF(L1051="x",-$E1051/(COUNTIF($J1051:$Q1051,"x")+1),-$E1051*N(L1051)))</f>
        <v/>
      </c>
      <c r="AA1051" s="34">
        <f>IF(OR($A1051="",$H1051&lt;&gt;"Ausgabe",M1051=""),0,IF(M1051="x",-$E1051/(COUNTIF($J1051:$Q1051,"x")+1),-$E1051*N(M1051)))</f>
        <v/>
      </c>
      <c r="AB1051" s="34">
        <f>IF(OR($A1051="",$H1051&lt;&gt;"Ausgabe",N1051=""),0,IF(N1051="x",-$E1051/(COUNTIF($J1051:$Q1051,"x")+1),-$E1051*N(N1051)))</f>
        <v/>
      </c>
      <c r="AC1051" s="34">
        <f>IF(OR($A1051="",$H1051&lt;&gt;"Ausgabe",O1051=""),0,IF(O1051="x",-$E1051/(COUNTIF($J1051:$Q1051,"x")+1),-$E1051*N(O1051)))</f>
        <v/>
      </c>
      <c r="AD1051" s="34">
        <f>IF(OR($A1051="",$H1051&lt;&gt;"Ausgabe",P1051=""),0,IF(P1051="x",-$E1051/(COUNTIF($J1051:$Q1051,"x")+1),-$E1051*N(P1051)))</f>
        <v/>
      </c>
      <c r="AE1051" s="34">
        <f>IF(OR($A1051="",$H1051&lt;&gt;"Ausgabe",Q1051=""),0,IF(Q1051="x",-$E1051/(COUNTIF($J1051:$Q1051,"x")+1),-$E1051*N(Q1051)))</f>
        <v/>
      </c>
    </row>
    <row r="1052">
      <c r="A1052" s="30" t="n"/>
      <c r="E1052" s="31" t="n"/>
      <c r="J1052" s="32" t="n"/>
      <c r="K1052" s="32" t="n"/>
      <c r="L1052" s="32" t="n"/>
      <c r="M1052" s="32" t="n"/>
      <c r="N1052" s="32" t="n"/>
      <c r="O1052" s="32" t="n"/>
      <c r="P1052" s="32" t="n"/>
      <c r="Q1052" s="32" t="n"/>
      <c r="U1052" s="31">
        <f>IF($A1052="","",SUM(X1052:AE1052))</f>
        <v/>
      </c>
      <c r="V1052" s="31">
        <f>IF($A1052="","",IF($H1052&lt;&gt;"Ausgabe",0,-$E1052-$U1052))</f>
        <v/>
      </c>
      <c r="W1052" s="33">
        <f>IF($A1052="","",DATE(YEAR($A1052),MONTH($A1052),1))</f>
        <v/>
      </c>
      <c r="X1052" s="34">
        <f>IF(OR($A1052="",$H1052&lt;&gt;"Ausgabe",J1052=""),0,IF(J1052="x",-$E1052/(COUNTIF($J1052:$Q1052,"x")+1),-$E1052*N(J1052)))</f>
        <v/>
      </c>
      <c r="Y1052" s="34">
        <f>IF(OR($A1052="",$H1052&lt;&gt;"Ausgabe",K1052=""),0,IF(K1052="x",-$E1052/(COUNTIF($J1052:$Q1052,"x")+1),-$E1052*N(K1052)))</f>
        <v/>
      </c>
      <c r="Z1052" s="34">
        <f>IF(OR($A1052="",$H1052&lt;&gt;"Ausgabe",L1052=""),0,IF(L1052="x",-$E1052/(COUNTIF($J1052:$Q1052,"x")+1),-$E1052*N(L1052)))</f>
        <v/>
      </c>
      <c r="AA1052" s="34">
        <f>IF(OR($A1052="",$H1052&lt;&gt;"Ausgabe",M1052=""),0,IF(M1052="x",-$E1052/(COUNTIF($J1052:$Q1052,"x")+1),-$E1052*N(M1052)))</f>
        <v/>
      </c>
      <c r="AB1052" s="34">
        <f>IF(OR($A1052="",$H1052&lt;&gt;"Ausgabe",N1052=""),0,IF(N1052="x",-$E1052/(COUNTIF($J1052:$Q1052,"x")+1),-$E1052*N(N1052)))</f>
        <v/>
      </c>
      <c r="AC1052" s="34">
        <f>IF(OR($A1052="",$H1052&lt;&gt;"Ausgabe",O1052=""),0,IF(O1052="x",-$E1052/(COUNTIF($J1052:$Q1052,"x")+1),-$E1052*N(O1052)))</f>
        <v/>
      </c>
      <c r="AD1052" s="34">
        <f>IF(OR($A1052="",$H1052&lt;&gt;"Ausgabe",P1052=""),0,IF(P1052="x",-$E1052/(COUNTIF($J1052:$Q1052,"x")+1),-$E1052*N(P1052)))</f>
        <v/>
      </c>
      <c r="AE1052" s="34">
        <f>IF(OR($A1052="",$H1052&lt;&gt;"Ausgabe",Q1052=""),0,IF(Q1052="x",-$E1052/(COUNTIF($J1052:$Q1052,"x")+1),-$E1052*N(Q1052)))</f>
        <v/>
      </c>
    </row>
    <row r="1053">
      <c r="A1053" s="30" t="n"/>
      <c r="E1053" s="31" t="n"/>
      <c r="J1053" s="32" t="n"/>
      <c r="K1053" s="32" t="n"/>
      <c r="L1053" s="32" t="n"/>
      <c r="M1053" s="32" t="n"/>
      <c r="N1053" s="32" t="n"/>
      <c r="O1053" s="32" t="n"/>
      <c r="P1053" s="32" t="n"/>
      <c r="Q1053" s="32" t="n"/>
      <c r="U1053" s="31">
        <f>IF($A1053="","",SUM(X1053:AE1053))</f>
        <v/>
      </c>
      <c r="V1053" s="31">
        <f>IF($A1053="","",IF($H1053&lt;&gt;"Ausgabe",0,-$E1053-$U1053))</f>
        <v/>
      </c>
      <c r="W1053" s="33">
        <f>IF($A1053="","",DATE(YEAR($A1053),MONTH($A1053),1))</f>
        <v/>
      </c>
      <c r="X1053" s="34">
        <f>IF(OR($A1053="",$H1053&lt;&gt;"Ausgabe",J1053=""),0,IF(J1053="x",-$E1053/(COUNTIF($J1053:$Q1053,"x")+1),-$E1053*N(J1053)))</f>
        <v/>
      </c>
      <c r="Y1053" s="34">
        <f>IF(OR($A1053="",$H1053&lt;&gt;"Ausgabe",K1053=""),0,IF(K1053="x",-$E1053/(COUNTIF($J1053:$Q1053,"x")+1),-$E1053*N(K1053)))</f>
        <v/>
      </c>
      <c r="Z1053" s="34">
        <f>IF(OR($A1053="",$H1053&lt;&gt;"Ausgabe",L1053=""),0,IF(L1053="x",-$E1053/(COUNTIF($J1053:$Q1053,"x")+1),-$E1053*N(L1053)))</f>
        <v/>
      </c>
      <c r="AA1053" s="34">
        <f>IF(OR($A1053="",$H1053&lt;&gt;"Ausgabe",M1053=""),0,IF(M1053="x",-$E1053/(COUNTIF($J1053:$Q1053,"x")+1),-$E1053*N(M1053)))</f>
        <v/>
      </c>
      <c r="AB1053" s="34">
        <f>IF(OR($A1053="",$H1053&lt;&gt;"Ausgabe",N1053=""),0,IF(N1053="x",-$E1053/(COUNTIF($J1053:$Q1053,"x")+1),-$E1053*N(N1053)))</f>
        <v/>
      </c>
      <c r="AC1053" s="34">
        <f>IF(OR($A1053="",$H1053&lt;&gt;"Ausgabe",O1053=""),0,IF(O1053="x",-$E1053/(COUNTIF($J1053:$Q1053,"x")+1),-$E1053*N(O1053)))</f>
        <v/>
      </c>
      <c r="AD1053" s="34">
        <f>IF(OR($A1053="",$H1053&lt;&gt;"Ausgabe",P1053=""),0,IF(P1053="x",-$E1053/(COUNTIF($J1053:$Q1053,"x")+1),-$E1053*N(P1053)))</f>
        <v/>
      </c>
      <c r="AE1053" s="34">
        <f>IF(OR($A1053="",$H1053&lt;&gt;"Ausgabe",Q1053=""),0,IF(Q1053="x",-$E1053/(COUNTIF($J1053:$Q1053,"x")+1),-$E1053*N(Q1053)))</f>
        <v/>
      </c>
    </row>
    <row r="1054">
      <c r="A1054" s="30" t="n"/>
      <c r="E1054" s="31" t="n"/>
      <c r="J1054" s="32" t="n"/>
      <c r="K1054" s="32" t="n"/>
      <c r="L1054" s="32" t="n"/>
      <c r="M1054" s="32" t="n"/>
      <c r="N1054" s="32" t="n"/>
      <c r="O1054" s="32" t="n"/>
      <c r="P1054" s="32" t="n"/>
      <c r="Q1054" s="32" t="n"/>
      <c r="U1054" s="31">
        <f>IF($A1054="","",SUM(X1054:AE1054))</f>
        <v/>
      </c>
      <c r="V1054" s="31">
        <f>IF($A1054="","",IF($H1054&lt;&gt;"Ausgabe",0,-$E1054-$U1054))</f>
        <v/>
      </c>
      <c r="W1054" s="33">
        <f>IF($A1054="","",DATE(YEAR($A1054),MONTH($A1054),1))</f>
        <v/>
      </c>
      <c r="X1054" s="34">
        <f>IF(OR($A1054="",$H1054&lt;&gt;"Ausgabe",J1054=""),0,IF(J1054="x",-$E1054/(COUNTIF($J1054:$Q1054,"x")+1),-$E1054*N(J1054)))</f>
        <v/>
      </c>
      <c r="Y1054" s="34">
        <f>IF(OR($A1054="",$H1054&lt;&gt;"Ausgabe",K1054=""),0,IF(K1054="x",-$E1054/(COUNTIF($J1054:$Q1054,"x")+1),-$E1054*N(K1054)))</f>
        <v/>
      </c>
      <c r="Z1054" s="34">
        <f>IF(OR($A1054="",$H1054&lt;&gt;"Ausgabe",L1054=""),0,IF(L1054="x",-$E1054/(COUNTIF($J1054:$Q1054,"x")+1),-$E1054*N(L1054)))</f>
        <v/>
      </c>
      <c r="AA1054" s="34">
        <f>IF(OR($A1054="",$H1054&lt;&gt;"Ausgabe",M1054=""),0,IF(M1054="x",-$E1054/(COUNTIF($J1054:$Q1054,"x")+1),-$E1054*N(M1054)))</f>
        <v/>
      </c>
      <c r="AB1054" s="34">
        <f>IF(OR($A1054="",$H1054&lt;&gt;"Ausgabe",N1054=""),0,IF(N1054="x",-$E1054/(COUNTIF($J1054:$Q1054,"x")+1),-$E1054*N(N1054)))</f>
        <v/>
      </c>
      <c r="AC1054" s="34">
        <f>IF(OR($A1054="",$H1054&lt;&gt;"Ausgabe",O1054=""),0,IF(O1054="x",-$E1054/(COUNTIF($J1054:$Q1054,"x")+1),-$E1054*N(O1054)))</f>
        <v/>
      </c>
      <c r="AD1054" s="34">
        <f>IF(OR($A1054="",$H1054&lt;&gt;"Ausgabe",P1054=""),0,IF(P1054="x",-$E1054/(COUNTIF($J1054:$Q1054,"x")+1),-$E1054*N(P1054)))</f>
        <v/>
      </c>
      <c r="AE1054" s="34">
        <f>IF(OR($A1054="",$H1054&lt;&gt;"Ausgabe",Q1054=""),0,IF(Q1054="x",-$E1054/(COUNTIF($J1054:$Q1054,"x")+1),-$E1054*N(Q1054)))</f>
        <v/>
      </c>
    </row>
    <row r="1055">
      <c r="A1055" s="30" t="n"/>
      <c r="E1055" s="31" t="n"/>
      <c r="J1055" s="32" t="n"/>
      <c r="K1055" s="32" t="n"/>
      <c r="L1055" s="32" t="n"/>
      <c r="M1055" s="32" t="n"/>
      <c r="N1055" s="32" t="n"/>
      <c r="O1055" s="32" t="n"/>
      <c r="P1055" s="32" t="n"/>
      <c r="Q1055" s="32" t="n"/>
      <c r="U1055" s="31">
        <f>IF($A1055="","",SUM(X1055:AE1055))</f>
        <v/>
      </c>
      <c r="V1055" s="31">
        <f>IF($A1055="","",IF($H1055&lt;&gt;"Ausgabe",0,-$E1055-$U1055))</f>
        <v/>
      </c>
      <c r="W1055" s="33">
        <f>IF($A1055="","",DATE(YEAR($A1055),MONTH($A1055),1))</f>
        <v/>
      </c>
      <c r="X1055" s="34">
        <f>IF(OR($A1055="",$H1055&lt;&gt;"Ausgabe",J1055=""),0,IF(J1055="x",-$E1055/(COUNTIF($J1055:$Q1055,"x")+1),-$E1055*N(J1055)))</f>
        <v/>
      </c>
      <c r="Y1055" s="34">
        <f>IF(OR($A1055="",$H1055&lt;&gt;"Ausgabe",K1055=""),0,IF(K1055="x",-$E1055/(COUNTIF($J1055:$Q1055,"x")+1),-$E1055*N(K1055)))</f>
        <v/>
      </c>
      <c r="Z1055" s="34">
        <f>IF(OR($A1055="",$H1055&lt;&gt;"Ausgabe",L1055=""),0,IF(L1055="x",-$E1055/(COUNTIF($J1055:$Q1055,"x")+1),-$E1055*N(L1055)))</f>
        <v/>
      </c>
      <c r="AA1055" s="34">
        <f>IF(OR($A1055="",$H1055&lt;&gt;"Ausgabe",M1055=""),0,IF(M1055="x",-$E1055/(COUNTIF($J1055:$Q1055,"x")+1),-$E1055*N(M1055)))</f>
        <v/>
      </c>
      <c r="AB1055" s="34">
        <f>IF(OR($A1055="",$H1055&lt;&gt;"Ausgabe",N1055=""),0,IF(N1055="x",-$E1055/(COUNTIF($J1055:$Q1055,"x")+1),-$E1055*N(N1055)))</f>
        <v/>
      </c>
      <c r="AC1055" s="34">
        <f>IF(OR($A1055="",$H1055&lt;&gt;"Ausgabe",O1055=""),0,IF(O1055="x",-$E1055/(COUNTIF($J1055:$Q1055,"x")+1),-$E1055*N(O1055)))</f>
        <v/>
      </c>
      <c r="AD1055" s="34">
        <f>IF(OR($A1055="",$H1055&lt;&gt;"Ausgabe",P1055=""),0,IF(P1055="x",-$E1055/(COUNTIF($J1055:$Q1055,"x")+1),-$E1055*N(P1055)))</f>
        <v/>
      </c>
      <c r="AE1055" s="34">
        <f>IF(OR($A1055="",$H1055&lt;&gt;"Ausgabe",Q1055=""),0,IF(Q1055="x",-$E1055/(COUNTIF($J1055:$Q1055,"x")+1),-$E1055*N(Q1055)))</f>
        <v/>
      </c>
    </row>
    <row r="1056">
      <c r="A1056" s="30" t="n"/>
      <c r="E1056" s="31" t="n"/>
      <c r="J1056" s="32" t="n"/>
      <c r="K1056" s="32" t="n"/>
      <c r="L1056" s="32" t="n"/>
      <c r="M1056" s="32" t="n"/>
      <c r="N1056" s="32" t="n"/>
      <c r="O1056" s="32" t="n"/>
      <c r="P1056" s="32" t="n"/>
      <c r="Q1056" s="32" t="n"/>
      <c r="U1056" s="31">
        <f>IF($A1056="","",SUM(X1056:AE1056))</f>
        <v/>
      </c>
      <c r="V1056" s="31">
        <f>IF($A1056="","",IF($H1056&lt;&gt;"Ausgabe",0,-$E1056-$U1056))</f>
        <v/>
      </c>
      <c r="W1056" s="33">
        <f>IF($A1056="","",DATE(YEAR($A1056),MONTH($A1056),1))</f>
        <v/>
      </c>
      <c r="X1056" s="34">
        <f>IF(OR($A1056="",$H1056&lt;&gt;"Ausgabe",J1056=""),0,IF(J1056="x",-$E1056/(COUNTIF($J1056:$Q1056,"x")+1),-$E1056*N(J1056)))</f>
        <v/>
      </c>
      <c r="Y1056" s="34">
        <f>IF(OR($A1056="",$H1056&lt;&gt;"Ausgabe",K1056=""),0,IF(K1056="x",-$E1056/(COUNTIF($J1056:$Q1056,"x")+1),-$E1056*N(K1056)))</f>
        <v/>
      </c>
      <c r="Z1056" s="34">
        <f>IF(OR($A1056="",$H1056&lt;&gt;"Ausgabe",L1056=""),0,IF(L1056="x",-$E1056/(COUNTIF($J1056:$Q1056,"x")+1),-$E1056*N(L1056)))</f>
        <v/>
      </c>
      <c r="AA1056" s="34">
        <f>IF(OR($A1056="",$H1056&lt;&gt;"Ausgabe",M1056=""),0,IF(M1056="x",-$E1056/(COUNTIF($J1056:$Q1056,"x")+1),-$E1056*N(M1056)))</f>
        <v/>
      </c>
      <c r="AB1056" s="34">
        <f>IF(OR($A1056="",$H1056&lt;&gt;"Ausgabe",N1056=""),0,IF(N1056="x",-$E1056/(COUNTIF($J1056:$Q1056,"x")+1),-$E1056*N(N1056)))</f>
        <v/>
      </c>
      <c r="AC1056" s="34">
        <f>IF(OR($A1056="",$H1056&lt;&gt;"Ausgabe",O1056=""),0,IF(O1056="x",-$E1056/(COUNTIF($J1056:$Q1056,"x")+1),-$E1056*N(O1056)))</f>
        <v/>
      </c>
      <c r="AD1056" s="34">
        <f>IF(OR($A1056="",$H1056&lt;&gt;"Ausgabe",P1056=""),0,IF(P1056="x",-$E1056/(COUNTIF($J1056:$Q1056,"x")+1),-$E1056*N(P1056)))</f>
        <v/>
      </c>
      <c r="AE1056" s="34">
        <f>IF(OR($A1056="",$H1056&lt;&gt;"Ausgabe",Q1056=""),0,IF(Q1056="x",-$E1056/(COUNTIF($J1056:$Q1056,"x")+1),-$E1056*N(Q1056)))</f>
        <v/>
      </c>
    </row>
    <row r="1057">
      <c r="A1057" s="30" t="n"/>
      <c r="E1057" s="31" t="n"/>
      <c r="J1057" s="32" t="n"/>
      <c r="K1057" s="32" t="n"/>
      <c r="L1057" s="32" t="n"/>
      <c r="M1057" s="32" t="n"/>
      <c r="N1057" s="32" t="n"/>
      <c r="O1057" s="32" t="n"/>
      <c r="P1057" s="32" t="n"/>
      <c r="Q1057" s="32" t="n"/>
      <c r="U1057" s="31">
        <f>IF($A1057="","",SUM(X1057:AE1057))</f>
        <v/>
      </c>
      <c r="V1057" s="31">
        <f>IF($A1057="","",IF($H1057&lt;&gt;"Ausgabe",0,-$E1057-$U1057))</f>
        <v/>
      </c>
      <c r="W1057" s="33">
        <f>IF($A1057="","",DATE(YEAR($A1057),MONTH($A1057),1))</f>
        <v/>
      </c>
      <c r="X1057" s="34">
        <f>IF(OR($A1057="",$H1057&lt;&gt;"Ausgabe",J1057=""),0,IF(J1057="x",-$E1057/(COUNTIF($J1057:$Q1057,"x")+1),-$E1057*N(J1057)))</f>
        <v/>
      </c>
      <c r="Y1057" s="34">
        <f>IF(OR($A1057="",$H1057&lt;&gt;"Ausgabe",K1057=""),0,IF(K1057="x",-$E1057/(COUNTIF($J1057:$Q1057,"x")+1),-$E1057*N(K1057)))</f>
        <v/>
      </c>
      <c r="Z1057" s="34">
        <f>IF(OR($A1057="",$H1057&lt;&gt;"Ausgabe",L1057=""),0,IF(L1057="x",-$E1057/(COUNTIF($J1057:$Q1057,"x")+1),-$E1057*N(L1057)))</f>
        <v/>
      </c>
      <c r="AA1057" s="34">
        <f>IF(OR($A1057="",$H1057&lt;&gt;"Ausgabe",M1057=""),0,IF(M1057="x",-$E1057/(COUNTIF($J1057:$Q1057,"x")+1),-$E1057*N(M1057)))</f>
        <v/>
      </c>
      <c r="AB1057" s="34">
        <f>IF(OR($A1057="",$H1057&lt;&gt;"Ausgabe",N1057=""),0,IF(N1057="x",-$E1057/(COUNTIF($J1057:$Q1057,"x")+1),-$E1057*N(N1057)))</f>
        <v/>
      </c>
      <c r="AC1057" s="34">
        <f>IF(OR($A1057="",$H1057&lt;&gt;"Ausgabe",O1057=""),0,IF(O1057="x",-$E1057/(COUNTIF($J1057:$Q1057,"x")+1),-$E1057*N(O1057)))</f>
        <v/>
      </c>
      <c r="AD1057" s="34">
        <f>IF(OR($A1057="",$H1057&lt;&gt;"Ausgabe",P1057=""),0,IF(P1057="x",-$E1057/(COUNTIF($J1057:$Q1057,"x")+1),-$E1057*N(P1057)))</f>
        <v/>
      </c>
      <c r="AE1057" s="34">
        <f>IF(OR($A1057="",$H1057&lt;&gt;"Ausgabe",Q1057=""),0,IF(Q1057="x",-$E1057/(COUNTIF($J1057:$Q1057,"x")+1),-$E1057*N(Q1057)))</f>
        <v/>
      </c>
    </row>
    <row r="1058">
      <c r="A1058" s="30" t="n"/>
      <c r="E1058" s="31" t="n"/>
      <c r="J1058" s="32" t="n"/>
      <c r="K1058" s="32" t="n"/>
      <c r="L1058" s="32" t="n"/>
      <c r="M1058" s="32" t="n"/>
      <c r="N1058" s="32" t="n"/>
      <c r="O1058" s="32" t="n"/>
      <c r="P1058" s="32" t="n"/>
      <c r="Q1058" s="32" t="n"/>
      <c r="U1058" s="31">
        <f>IF($A1058="","",SUM(X1058:AE1058))</f>
        <v/>
      </c>
      <c r="V1058" s="31">
        <f>IF($A1058="","",IF($H1058&lt;&gt;"Ausgabe",0,-$E1058-$U1058))</f>
        <v/>
      </c>
      <c r="W1058" s="33">
        <f>IF($A1058="","",DATE(YEAR($A1058),MONTH($A1058),1))</f>
        <v/>
      </c>
      <c r="X1058" s="34">
        <f>IF(OR($A1058="",$H1058&lt;&gt;"Ausgabe",J1058=""),0,IF(J1058="x",-$E1058/(COUNTIF($J1058:$Q1058,"x")+1),-$E1058*N(J1058)))</f>
        <v/>
      </c>
      <c r="Y1058" s="34">
        <f>IF(OR($A1058="",$H1058&lt;&gt;"Ausgabe",K1058=""),0,IF(K1058="x",-$E1058/(COUNTIF($J1058:$Q1058,"x")+1),-$E1058*N(K1058)))</f>
        <v/>
      </c>
      <c r="Z1058" s="34">
        <f>IF(OR($A1058="",$H1058&lt;&gt;"Ausgabe",L1058=""),0,IF(L1058="x",-$E1058/(COUNTIF($J1058:$Q1058,"x")+1),-$E1058*N(L1058)))</f>
        <v/>
      </c>
      <c r="AA1058" s="34">
        <f>IF(OR($A1058="",$H1058&lt;&gt;"Ausgabe",M1058=""),0,IF(M1058="x",-$E1058/(COUNTIF($J1058:$Q1058,"x")+1),-$E1058*N(M1058)))</f>
        <v/>
      </c>
      <c r="AB1058" s="34">
        <f>IF(OR($A1058="",$H1058&lt;&gt;"Ausgabe",N1058=""),0,IF(N1058="x",-$E1058/(COUNTIF($J1058:$Q1058,"x")+1),-$E1058*N(N1058)))</f>
        <v/>
      </c>
      <c r="AC1058" s="34">
        <f>IF(OR($A1058="",$H1058&lt;&gt;"Ausgabe",O1058=""),0,IF(O1058="x",-$E1058/(COUNTIF($J1058:$Q1058,"x")+1),-$E1058*N(O1058)))</f>
        <v/>
      </c>
      <c r="AD1058" s="34">
        <f>IF(OR($A1058="",$H1058&lt;&gt;"Ausgabe",P1058=""),0,IF(P1058="x",-$E1058/(COUNTIF($J1058:$Q1058,"x")+1),-$E1058*N(P1058)))</f>
        <v/>
      </c>
      <c r="AE1058" s="34">
        <f>IF(OR($A1058="",$H1058&lt;&gt;"Ausgabe",Q1058=""),0,IF(Q1058="x",-$E1058/(COUNTIF($J1058:$Q1058,"x")+1),-$E1058*N(Q1058)))</f>
        <v/>
      </c>
    </row>
    <row r="1059">
      <c r="A1059" s="30" t="n"/>
      <c r="E1059" s="31" t="n"/>
      <c r="J1059" s="32" t="n"/>
      <c r="K1059" s="32" t="n"/>
      <c r="L1059" s="32" t="n"/>
      <c r="M1059" s="32" t="n"/>
      <c r="N1059" s="32" t="n"/>
      <c r="O1059" s="32" t="n"/>
      <c r="P1059" s="32" t="n"/>
      <c r="Q1059" s="32" t="n"/>
      <c r="U1059" s="31">
        <f>IF($A1059="","",SUM(X1059:AE1059))</f>
        <v/>
      </c>
      <c r="V1059" s="31">
        <f>IF($A1059="","",IF($H1059&lt;&gt;"Ausgabe",0,-$E1059-$U1059))</f>
        <v/>
      </c>
      <c r="W1059" s="33">
        <f>IF($A1059="","",DATE(YEAR($A1059),MONTH($A1059),1))</f>
        <v/>
      </c>
      <c r="X1059" s="34">
        <f>IF(OR($A1059="",$H1059&lt;&gt;"Ausgabe",J1059=""),0,IF(J1059="x",-$E1059/(COUNTIF($J1059:$Q1059,"x")+1),-$E1059*N(J1059)))</f>
        <v/>
      </c>
      <c r="Y1059" s="34">
        <f>IF(OR($A1059="",$H1059&lt;&gt;"Ausgabe",K1059=""),0,IF(K1059="x",-$E1059/(COUNTIF($J1059:$Q1059,"x")+1),-$E1059*N(K1059)))</f>
        <v/>
      </c>
      <c r="Z1059" s="34">
        <f>IF(OR($A1059="",$H1059&lt;&gt;"Ausgabe",L1059=""),0,IF(L1059="x",-$E1059/(COUNTIF($J1059:$Q1059,"x")+1),-$E1059*N(L1059)))</f>
        <v/>
      </c>
      <c r="AA1059" s="34">
        <f>IF(OR($A1059="",$H1059&lt;&gt;"Ausgabe",M1059=""),0,IF(M1059="x",-$E1059/(COUNTIF($J1059:$Q1059,"x")+1),-$E1059*N(M1059)))</f>
        <v/>
      </c>
      <c r="AB1059" s="34">
        <f>IF(OR($A1059="",$H1059&lt;&gt;"Ausgabe",N1059=""),0,IF(N1059="x",-$E1059/(COUNTIF($J1059:$Q1059,"x")+1),-$E1059*N(N1059)))</f>
        <v/>
      </c>
      <c r="AC1059" s="34">
        <f>IF(OR($A1059="",$H1059&lt;&gt;"Ausgabe",O1059=""),0,IF(O1059="x",-$E1059/(COUNTIF($J1059:$Q1059,"x")+1),-$E1059*N(O1059)))</f>
        <v/>
      </c>
      <c r="AD1059" s="34">
        <f>IF(OR($A1059="",$H1059&lt;&gt;"Ausgabe",P1059=""),0,IF(P1059="x",-$E1059/(COUNTIF($J1059:$Q1059,"x")+1),-$E1059*N(P1059)))</f>
        <v/>
      </c>
      <c r="AE1059" s="34">
        <f>IF(OR($A1059="",$H1059&lt;&gt;"Ausgabe",Q1059=""),0,IF(Q1059="x",-$E1059/(COUNTIF($J1059:$Q1059,"x")+1),-$E1059*N(Q1059)))</f>
        <v/>
      </c>
    </row>
    <row r="1060">
      <c r="A1060" s="30" t="n"/>
      <c r="E1060" s="31" t="n"/>
      <c r="J1060" s="32" t="n"/>
      <c r="K1060" s="32" t="n"/>
      <c r="L1060" s="32" t="n"/>
      <c r="M1060" s="32" t="n"/>
      <c r="N1060" s="32" t="n"/>
      <c r="O1060" s="32" t="n"/>
      <c r="P1060" s="32" t="n"/>
      <c r="Q1060" s="32" t="n"/>
      <c r="U1060" s="31">
        <f>IF($A1060="","",SUM(X1060:AE1060))</f>
        <v/>
      </c>
      <c r="V1060" s="31">
        <f>IF($A1060="","",IF($H1060&lt;&gt;"Ausgabe",0,-$E1060-$U1060))</f>
        <v/>
      </c>
      <c r="W1060" s="33">
        <f>IF($A1060="","",DATE(YEAR($A1060),MONTH($A1060),1))</f>
        <v/>
      </c>
      <c r="X1060" s="34">
        <f>IF(OR($A1060="",$H1060&lt;&gt;"Ausgabe",J1060=""),0,IF(J1060="x",-$E1060/(COUNTIF($J1060:$Q1060,"x")+1),-$E1060*N(J1060)))</f>
        <v/>
      </c>
      <c r="Y1060" s="34">
        <f>IF(OR($A1060="",$H1060&lt;&gt;"Ausgabe",K1060=""),0,IF(K1060="x",-$E1060/(COUNTIF($J1060:$Q1060,"x")+1),-$E1060*N(K1060)))</f>
        <v/>
      </c>
      <c r="Z1060" s="34">
        <f>IF(OR($A1060="",$H1060&lt;&gt;"Ausgabe",L1060=""),0,IF(L1060="x",-$E1060/(COUNTIF($J1060:$Q1060,"x")+1),-$E1060*N(L1060)))</f>
        <v/>
      </c>
      <c r="AA1060" s="34">
        <f>IF(OR($A1060="",$H1060&lt;&gt;"Ausgabe",M1060=""),0,IF(M1060="x",-$E1060/(COUNTIF($J1060:$Q1060,"x")+1),-$E1060*N(M1060)))</f>
        <v/>
      </c>
      <c r="AB1060" s="34">
        <f>IF(OR($A1060="",$H1060&lt;&gt;"Ausgabe",N1060=""),0,IF(N1060="x",-$E1060/(COUNTIF($J1060:$Q1060,"x")+1),-$E1060*N(N1060)))</f>
        <v/>
      </c>
      <c r="AC1060" s="34">
        <f>IF(OR($A1060="",$H1060&lt;&gt;"Ausgabe",O1060=""),0,IF(O1060="x",-$E1060/(COUNTIF($J1060:$Q1060,"x")+1),-$E1060*N(O1060)))</f>
        <v/>
      </c>
      <c r="AD1060" s="34">
        <f>IF(OR($A1060="",$H1060&lt;&gt;"Ausgabe",P1060=""),0,IF(P1060="x",-$E1060/(COUNTIF($J1060:$Q1060,"x")+1),-$E1060*N(P1060)))</f>
        <v/>
      </c>
      <c r="AE1060" s="34">
        <f>IF(OR($A1060="",$H1060&lt;&gt;"Ausgabe",Q1060=""),0,IF(Q1060="x",-$E1060/(COUNTIF($J1060:$Q1060,"x")+1),-$E1060*N(Q1060)))</f>
        <v/>
      </c>
    </row>
    <row r="1061">
      <c r="A1061" s="30" t="n"/>
      <c r="E1061" s="31" t="n"/>
      <c r="J1061" s="32" t="n"/>
      <c r="K1061" s="32" t="n"/>
      <c r="L1061" s="32" t="n"/>
      <c r="M1061" s="32" t="n"/>
      <c r="N1061" s="32" t="n"/>
      <c r="O1061" s="32" t="n"/>
      <c r="P1061" s="32" t="n"/>
      <c r="Q1061" s="32" t="n"/>
      <c r="U1061" s="31">
        <f>IF($A1061="","",SUM(X1061:AE1061))</f>
        <v/>
      </c>
      <c r="V1061" s="31">
        <f>IF($A1061="","",IF($H1061&lt;&gt;"Ausgabe",0,-$E1061-$U1061))</f>
        <v/>
      </c>
      <c r="W1061" s="33">
        <f>IF($A1061="","",DATE(YEAR($A1061),MONTH($A1061),1))</f>
        <v/>
      </c>
      <c r="X1061" s="34">
        <f>IF(OR($A1061="",$H1061&lt;&gt;"Ausgabe",J1061=""),0,IF(J1061="x",-$E1061/(COUNTIF($J1061:$Q1061,"x")+1),-$E1061*N(J1061)))</f>
        <v/>
      </c>
      <c r="Y1061" s="34">
        <f>IF(OR($A1061="",$H1061&lt;&gt;"Ausgabe",K1061=""),0,IF(K1061="x",-$E1061/(COUNTIF($J1061:$Q1061,"x")+1),-$E1061*N(K1061)))</f>
        <v/>
      </c>
      <c r="Z1061" s="34">
        <f>IF(OR($A1061="",$H1061&lt;&gt;"Ausgabe",L1061=""),0,IF(L1061="x",-$E1061/(COUNTIF($J1061:$Q1061,"x")+1),-$E1061*N(L1061)))</f>
        <v/>
      </c>
      <c r="AA1061" s="34">
        <f>IF(OR($A1061="",$H1061&lt;&gt;"Ausgabe",M1061=""),0,IF(M1061="x",-$E1061/(COUNTIF($J1061:$Q1061,"x")+1),-$E1061*N(M1061)))</f>
        <v/>
      </c>
      <c r="AB1061" s="34">
        <f>IF(OR($A1061="",$H1061&lt;&gt;"Ausgabe",N1061=""),0,IF(N1061="x",-$E1061/(COUNTIF($J1061:$Q1061,"x")+1),-$E1061*N(N1061)))</f>
        <v/>
      </c>
      <c r="AC1061" s="34">
        <f>IF(OR($A1061="",$H1061&lt;&gt;"Ausgabe",O1061=""),0,IF(O1061="x",-$E1061/(COUNTIF($J1061:$Q1061,"x")+1),-$E1061*N(O1061)))</f>
        <v/>
      </c>
      <c r="AD1061" s="34">
        <f>IF(OR($A1061="",$H1061&lt;&gt;"Ausgabe",P1061=""),0,IF(P1061="x",-$E1061/(COUNTIF($J1061:$Q1061,"x")+1),-$E1061*N(P1061)))</f>
        <v/>
      </c>
      <c r="AE1061" s="34">
        <f>IF(OR($A1061="",$H1061&lt;&gt;"Ausgabe",Q1061=""),0,IF(Q1061="x",-$E1061/(COUNTIF($J1061:$Q1061,"x")+1),-$E1061*N(Q1061)))</f>
        <v/>
      </c>
    </row>
    <row r="1062">
      <c r="A1062" s="30" t="n"/>
      <c r="E1062" s="31" t="n"/>
      <c r="J1062" s="32" t="n"/>
      <c r="K1062" s="32" t="n"/>
      <c r="L1062" s="32" t="n"/>
      <c r="M1062" s="32" t="n"/>
      <c r="N1062" s="32" t="n"/>
      <c r="O1062" s="32" t="n"/>
      <c r="P1062" s="32" t="n"/>
      <c r="Q1062" s="32" t="n"/>
      <c r="U1062" s="31">
        <f>IF($A1062="","",SUM(X1062:AE1062))</f>
        <v/>
      </c>
      <c r="V1062" s="31">
        <f>IF($A1062="","",IF($H1062&lt;&gt;"Ausgabe",0,-$E1062-$U1062))</f>
        <v/>
      </c>
      <c r="W1062" s="33">
        <f>IF($A1062="","",DATE(YEAR($A1062),MONTH($A1062),1))</f>
        <v/>
      </c>
      <c r="X1062" s="34">
        <f>IF(OR($A1062="",$H1062&lt;&gt;"Ausgabe",J1062=""),0,IF(J1062="x",-$E1062/(COUNTIF($J1062:$Q1062,"x")+1),-$E1062*N(J1062)))</f>
        <v/>
      </c>
      <c r="Y1062" s="34">
        <f>IF(OR($A1062="",$H1062&lt;&gt;"Ausgabe",K1062=""),0,IF(K1062="x",-$E1062/(COUNTIF($J1062:$Q1062,"x")+1),-$E1062*N(K1062)))</f>
        <v/>
      </c>
      <c r="Z1062" s="34">
        <f>IF(OR($A1062="",$H1062&lt;&gt;"Ausgabe",L1062=""),0,IF(L1062="x",-$E1062/(COUNTIF($J1062:$Q1062,"x")+1),-$E1062*N(L1062)))</f>
        <v/>
      </c>
      <c r="AA1062" s="34">
        <f>IF(OR($A1062="",$H1062&lt;&gt;"Ausgabe",M1062=""),0,IF(M1062="x",-$E1062/(COUNTIF($J1062:$Q1062,"x")+1),-$E1062*N(M1062)))</f>
        <v/>
      </c>
      <c r="AB1062" s="34">
        <f>IF(OR($A1062="",$H1062&lt;&gt;"Ausgabe",N1062=""),0,IF(N1062="x",-$E1062/(COUNTIF($J1062:$Q1062,"x")+1),-$E1062*N(N1062)))</f>
        <v/>
      </c>
      <c r="AC1062" s="34">
        <f>IF(OR($A1062="",$H1062&lt;&gt;"Ausgabe",O1062=""),0,IF(O1062="x",-$E1062/(COUNTIF($J1062:$Q1062,"x")+1),-$E1062*N(O1062)))</f>
        <v/>
      </c>
      <c r="AD1062" s="34">
        <f>IF(OR($A1062="",$H1062&lt;&gt;"Ausgabe",P1062=""),0,IF(P1062="x",-$E1062/(COUNTIF($J1062:$Q1062,"x")+1),-$E1062*N(P1062)))</f>
        <v/>
      </c>
      <c r="AE1062" s="34">
        <f>IF(OR($A1062="",$H1062&lt;&gt;"Ausgabe",Q1062=""),0,IF(Q1062="x",-$E1062/(COUNTIF($J1062:$Q1062,"x")+1),-$E1062*N(Q1062)))</f>
        <v/>
      </c>
    </row>
    <row r="1063">
      <c r="A1063" s="30" t="n"/>
      <c r="E1063" s="31" t="n"/>
      <c r="J1063" s="32" t="n"/>
      <c r="K1063" s="32" t="n"/>
      <c r="L1063" s="32" t="n"/>
      <c r="M1063" s="32" t="n"/>
      <c r="N1063" s="32" t="n"/>
      <c r="O1063" s="32" t="n"/>
      <c r="P1063" s="32" t="n"/>
      <c r="Q1063" s="32" t="n"/>
      <c r="U1063" s="31">
        <f>IF($A1063="","",SUM(X1063:AE1063))</f>
        <v/>
      </c>
      <c r="V1063" s="31">
        <f>IF($A1063="","",IF($H1063&lt;&gt;"Ausgabe",0,-$E1063-$U1063))</f>
        <v/>
      </c>
      <c r="W1063" s="33">
        <f>IF($A1063="","",DATE(YEAR($A1063),MONTH($A1063),1))</f>
        <v/>
      </c>
      <c r="X1063" s="34">
        <f>IF(OR($A1063="",$H1063&lt;&gt;"Ausgabe",J1063=""),0,IF(J1063="x",-$E1063/(COUNTIF($J1063:$Q1063,"x")+1),-$E1063*N(J1063)))</f>
        <v/>
      </c>
      <c r="Y1063" s="34">
        <f>IF(OR($A1063="",$H1063&lt;&gt;"Ausgabe",K1063=""),0,IF(K1063="x",-$E1063/(COUNTIF($J1063:$Q1063,"x")+1),-$E1063*N(K1063)))</f>
        <v/>
      </c>
      <c r="Z1063" s="34">
        <f>IF(OR($A1063="",$H1063&lt;&gt;"Ausgabe",L1063=""),0,IF(L1063="x",-$E1063/(COUNTIF($J1063:$Q1063,"x")+1),-$E1063*N(L1063)))</f>
        <v/>
      </c>
      <c r="AA1063" s="34">
        <f>IF(OR($A1063="",$H1063&lt;&gt;"Ausgabe",M1063=""),0,IF(M1063="x",-$E1063/(COUNTIF($J1063:$Q1063,"x")+1),-$E1063*N(M1063)))</f>
        <v/>
      </c>
      <c r="AB1063" s="34">
        <f>IF(OR($A1063="",$H1063&lt;&gt;"Ausgabe",N1063=""),0,IF(N1063="x",-$E1063/(COUNTIF($J1063:$Q1063,"x")+1),-$E1063*N(N1063)))</f>
        <v/>
      </c>
      <c r="AC1063" s="34">
        <f>IF(OR($A1063="",$H1063&lt;&gt;"Ausgabe",O1063=""),0,IF(O1063="x",-$E1063/(COUNTIF($J1063:$Q1063,"x")+1),-$E1063*N(O1063)))</f>
        <v/>
      </c>
      <c r="AD1063" s="34">
        <f>IF(OR($A1063="",$H1063&lt;&gt;"Ausgabe",P1063=""),0,IF(P1063="x",-$E1063/(COUNTIF($J1063:$Q1063,"x")+1),-$E1063*N(P1063)))</f>
        <v/>
      </c>
      <c r="AE1063" s="34">
        <f>IF(OR($A1063="",$H1063&lt;&gt;"Ausgabe",Q1063=""),0,IF(Q1063="x",-$E1063/(COUNTIF($J1063:$Q1063,"x")+1),-$E1063*N(Q1063)))</f>
        <v/>
      </c>
    </row>
    <row r="1064">
      <c r="A1064" s="30" t="n"/>
      <c r="E1064" s="31" t="n"/>
      <c r="J1064" s="32" t="n"/>
      <c r="K1064" s="32" t="n"/>
      <c r="L1064" s="32" t="n"/>
      <c r="M1064" s="32" t="n"/>
      <c r="N1064" s="32" t="n"/>
      <c r="O1064" s="32" t="n"/>
      <c r="P1064" s="32" t="n"/>
      <c r="Q1064" s="32" t="n"/>
      <c r="U1064" s="31">
        <f>IF($A1064="","",SUM(X1064:AE1064))</f>
        <v/>
      </c>
      <c r="V1064" s="31">
        <f>IF($A1064="","",IF($H1064&lt;&gt;"Ausgabe",0,-$E1064-$U1064))</f>
        <v/>
      </c>
      <c r="W1064" s="33">
        <f>IF($A1064="","",DATE(YEAR($A1064),MONTH($A1064),1))</f>
        <v/>
      </c>
      <c r="X1064" s="34">
        <f>IF(OR($A1064="",$H1064&lt;&gt;"Ausgabe",J1064=""),0,IF(J1064="x",-$E1064/(COUNTIF($J1064:$Q1064,"x")+1),-$E1064*N(J1064)))</f>
        <v/>
      </c>
      <c r="Y1064" s="34">
        <f>IF(OR($A1064="",$H1064&lt;&gt;"Ausgabe",K1064=""),0,IF(K1064="x",-$E1064/(COUNTIF($J1064:$Q1064,"x")+1),-$E1064*N(K1064)))</f>
        <v/>
      </c>
      <c r="Z1064" s="34">
        <f>IF(OR($A1064="",$H1064&lt;&gt;"Ausgabe",L1064=""),0,IF(L1064="x",-$E1064/(COUNTIF($J1064:$Q1064,"x")+1),-$E1064*N(L1064)))</f>
        <v/>
      </c>
      <c r="AA1064" s="34">
        <f>IF(OR($A1064="",$H1064&lt;&gt;"Ausgabe",M1064=""),0,IF(M1064="x",-$E1064/(COUNTIF($J1064:$Q1064,"x")+1),-$E1064*N(M1064)))</f>
        <v/>
      </c>
      <c r="AB1064" s="34">
        <f>IF(OR($A1064="",$H1064&lt;&gt;"Ausgabe",N1064=""),0,IF(N1064="x",-$E1064/(COUNTIF($J1064:$Q1064,"x")+1),-$E1064*N(N1064)))</f>
        <v/>
      </c>
      <c r="AC1064" s="34">
        <f>IF(OR($A1064="",$H1064&lt;&gt;"Ausgabe",O1064=""),0,IF(O1064="x",-$E1064/(COUNTIF($J1064:$Q1064,"x")+1),-$E1064*N(O1064)))</f>
        <v/>
      </c>
      <c r="AD1064" s="34">
        <f>IF(OR($A1064="",$H1064&lt;&gt;"Ausgabe",P1064=""),0,IF(P1064="x",-$E1064/(COUNTIF($J1064:$Q1064,"x")+1),-$E1064*N(P1064)))</f>
        <v/>
      </c>
      <c r="AE1064" s="34">
        <f>IF(OR($A1064="",$H1064&lt;&gt;"Ausgabe",Q1064=""),0,IF(Q1064="x",-$E1064/(COUNTIF($J1064:$Q1064,"x")+1),-$E1064*N(Q1064)))</f>
        <v/>
      </c>
    </row>
    <row r="1065">
      <c r="A1065" s="30" t="n"/>
      <c r="E1065" s="31" t="n"/>
      <c r="J1065" s="32" t="n"/>
      <c r="K1065" s="32" t="n"/>
      <c r="L1065" s="32" t="n"/>
      <c r="M1065" s="32" t="n"/>
      <c r="N1065" s="32" t="n"/>
      <c r="O1065" s="32" t="n"/>
      <c r="P1065" s="32" t="n"/>
      <c r="Q1065" s="32" t="n"/>
      <c r="U1065" s="31">
        <f>IF($A1065="","",SUM(X1065:AE1065))</f>
        <v/>
      </c>
      <c r="V1065" s="31">
        <f>IF($A1065="","",IF($H1065&lt;&gt;"Ausgabe",0,-$E1065-$U1065))</f>
        <v/>
      </c>
      <c r="W1065" s="33">
        <f>IF($A1065="","",DATE(YEAR($A1065),MONTH($A1065),1))</f>
        <v/>
      </c>
      <c r="X1065" s="34">
        <f>IF(OR($A1065="",$H1065&lt;&gt;"Ausgabe",J1065=""),0,IF(J1065="x",-$E1065/(COUNTIF($J1065:$Q1065,"x")+1),-$E1065*N(J1065)))</f>
        <v/>
      </c>
      <c r="Y1065" s="34">
        <f>IF(OR($A1065="",$H1065&lt;&gt;"Ausgabe",K1065=""),0,IF(K1065="x",-$E1065/(COUNTIF($J1065:$Q1065,"x")+1),-$E1065*N(K1065)))</f>
        <v/>
      </c>
      <c r="Z1065" s="34">
        <f>IF(OR($A1065="",$H1065&lt;&gt;"Ausgabe",L1065=""),0,IF(L1065="x",-$E1065/(COUNTIF($J1065:$Q1065,"x")+1),-$E1065*N(L1065)))</f>
        <v/>
      </c>
      <c r="AA1065" s="34">
        <f>IF(OR($A1065="",$H1065&lt;&gt;"Ausgabe",M1065=""),0,IF(M1065="x",-$E1065/(COUNTIF($J1065:$Q1065,"x")+1),-$E1065*N(M1065)))</f>
        <v/>
      </c>
      <c r="AB1065" s="34">
        <f>IF(OR($A1065="",$H1065&lt;&gt;"Ausgabe",N1065=""),0,IF(N1065="x",-$E1065/(COUNTIF($J1065:$Q1065,"x")+1),-$E1065*N(N1065)))</f>
        <v/>
      </c>
      <c r="AC1065" s="34">
        <f>IF(OR($A1065="",$H1065&lt;&gt;"Ausgabe",O1065=""),0,IF(O1065="x",-$E1065/(COUNTIF($J1065:$Q1065,"x")+1),-$E1065*N(O1065)))</f>
        <v/>
      </c>
      <c r="AD1065" s="34">
        <f>IF(OR($A1065="",$H1065&lt;&gt;"Ausgabe",P1065=""),0,IF(P1065="x",-$E1065/(COUNTIF($J1065:$Q1065,"x")+1),-$E1065*N(P1065)))</f>
        <v/>
      </c>
      <c r="AE1065" s="34">
        <f>IF(OR($A1065="",$H1065&lt;&gt;"Ausgabe",Q1065=""),0,IF(Q1065="x",-$E1065/(COUNTIF($J1065:$Q1065,"x")+1),-$E1065*N(Q1065)))</f>
        <v/>
      </c>
    </row>
    <row r="1066">
      <c r="A1066" s="30" t="n"/>
      <c r="E1066" s="31" t="n"/>
      <c r="J1066" s="32" t="n"/>
      <c r="K1066" s="32" t="n"/>
      <c r="L1066" s="32" t="n"/>
      <c r="M1066" s="32" t="n"/>
      <c r="N1066" s="32" t="n"/>
      <c r="O1066" s="32" t="n"/>
      <c r="P1066" s="32" t="n"/>
      <c r="Q1066" s="32" t="n"/>
      <c r="U1066" s="31">
        <f>IF($A1066="","",SUM(X1066:AE1066))</f>
        <v/>
      </c>
      <c r="V1066" s="31">
        <f>IF($A1066="","",IF($H1066&lt;&gt;"Ausgabe",0,-$E1066-$U1066))</f>
        <v/>
      </c>
      <c r="W1066" s="33">
        <f>IF($A1066="","",DATE(YEAR($A1066),MONTH($A1066),1))</f>
        <v/>
      </c>
      <c r="X1066" s="34">
        <f>IF(OR($A1066="",$H1066&lt;&gt;"Ausgabe",J1066=""),0,IF(J1066="x",-$E1066/(COUNTIF($J1066:$Q1066,"x")+1),-$E1066*N(J1066)))</f>
        <v/>
      </c>
      <c r="Y1066" s="34">
        <f>IF(OR($A1066="",$H1066&lt;&gt;"Ausgabe",K1066=""),0,IF(K1066="x",-$E1066/(COUNTIF($J1066:$Q1066,"x")+1),-$E1066*N(K1066)))</f>
        <v/>
      </c>
      <c r="Z1066" s="34">
        <f>IF(OR($A1066="",$H1066&lt;&gt;"Ausgabe",L1066=""),0,IF(L1066="x",-$E1066/(COUNTIF($J1066:$Q1066,"x")+1),-$E1066*N(L1066)))</f>
        <v/>
      </c>
      <c r="AA1066" s="34">
        <f>IF(OR($A1066="",$H1066&lt;&gt;"Ausgabe",M1066=""),0,IF(M1066="x",-$E1066/(COUNTIF($J1066:$Q1066,"x")+1),-$E1066*N(M1066)))</f>
        <v/>
      </c>
      <c r="AB1066" s="34">
        <f>IF(OR($A1066="",$H1066&lt;&gt;"Ausgabe",N1066=""),0,IF(N1066="x",-$E1066/(COUNTIF($J1066:$Q1066,"x")+1),-$E1066*N(N1066)))</f>
        <v/>
      </c>
      <c r="AC1066" s="34">
        <f>IF(OR($A1066="",$H1066&lt;&gt;"Ausgabe",O1066=""),0,IF(O1066="x",-$E1066/(COUNTIF($J1066:$Q1066,"x")+1),-$E1066*N(O1066)))</f>
        <v/>
      </c>
      <c r="AD1066" s="34">
        <f>IF(OR($A1066="",$H1066&lt;&gt;"Ausgabe",P1066=""),0,IF(P1066="x",-$E1066/(COUNTIF($J1066:$Q1066,"x")+1),-$E1066*N(P1066)))</f>
        <v/>
      </c>
      <c r="AE1066" s="34">
        <f>IF(OR($A1066="",$H1066&lt;&gt;"Ausgabe",Q1066=""),0,IF(Q1066="x",-$E1066/(COUNTIF($J1066:$Q1066,"x")+1),-$E1066*N(Q1066)))</f>
        <v/>
      </c>
    </row>
    <row r="1067">
      <c r="A1067" s="30" t="n"/>
      <c r="E1067" s="31" t="n"/>
      <c r="J1067" s="32" t="n"/>
      <c r="K1067" s="32" t="n"/>
      <c r="L1067" s="32" t="n"/>
      <c r="M1067" s="32" t="n"/>
      <c r="N1067" s="32" t="n"/>
      <c r="O1067" s="32" t="n"/>
      <c r="P1067" s="32" t="n"/>
      <c r="Q1067" s="32" t="n"/>
      <c r="U1067" s="31">
        <f>IF($A1067="","",SUM(X1067:AE1067))</f>
        <v/>
      </c>
      <c r="V1067" s="31">
        <f>IF($A1067="","",IF($H1067&lt;&gt;"Ausgabe",0,-$E1067-$U1067))</f>
        <v/>
      </c>
      <c r="W1067" s="33">
        <f>IF($A1067="","",DATE(YEAR($A1067),MONTH($A1067),1))</f>
        <v/>
      </c>
      <c r="X1067" s="34">
        <f>IF(OR($A1067="",$H1067&lt;&gt;"Ausgabe",J1067=""),0,IF(J1067="x",-$E1067/(COUNTIF($J1067:$Q1067,"x")+1),-$E1067*N(J1067)))</f>
        <v/>
      </c>
      <c r="Y1067" s="34">
        <f>IF(OR($A1067="",$H1067&lt;&gt;"Ausgabe",K1067=""),0,IF(K1067="x",-$E1067/(COUNTIF($J1067:$Q1067,"x")+1),-$E1067*N(K1067)))</f>
        <v/>
      </c>
      <c r="Z1067" s="34">
        <f>IF(OR($A1067="",$H1067&lt;&gt;"Ausgabe",L1067=""),0,IF(L1067="x",-$E1067/(COUNTIF($J1067:$Q1067,"x")+1),-$E1067*N(L1067)))</f>
        <v/>
      </c>
      <c r="AA1067" s="34">
        <f>IF(OR($A1067="",$H1067&lt;&gt;"Ausgabe",M1067=""),0,IF(M1067="x",-$E1067/(COUNTIF($J1067:$Q1067,"x")+1),-$E1067*N(M1067)))</f>
        <v/>
      </c>
      <c r="AB1067" s="34">
        <f>IF(OR($A1067="",$H1067&lt;&gt;"Ausgabe",N1067=""),0,IF(N1067="x",-$E1067/(COUNTIF($J1067:$Q1067,"x")+1),-$E1067*N(N1067)))</f>
        <v/>
      </c>
      <c r="AC1067" s="34">
        <f>IF(OR($A1067="",$H1067&lt;&gt;"Ausgabe",O1067=""),0,IF(O1067="x",-$E1067/(COUNTIF($J1067:$Q1067,"x")+1),-$E1067*N(O1067)))</f>
        <v/>
      </c>
      <c r="AD1067" s="34">
        <f>IF(OR($A1067="",$H1067&lt;&gt;"Ausgabe",P1067=""),0,IF(P1067="x",-$E1067/(COUNTIF($J1067:$Q1067,"x")+1),-$E1067*N(P1067)))</f>
        <v/>
      </c>
      <c r="AE1067" s="34">
        <f>IF(OR($A1067="",$H1067&lt;&gt;"Ausgabe",Q1067=""),0,IF(Q1067="x",-$E1067/(COUNTIF($J1067:$Q1067,"x")+1),-$E1067*N(Q1067)))</f>
        <v/>
      </c>
    </row>
    <row r="1068">
      <c r="A1068" s="30" t="n"/>
      <c r="E1068" s="31" t="n"/>
      <c r="J1068" s="32" t="n"/>
      <c r="K1068" s="32" t="n"/>
      <c r="L1068" s="32" t="n"/>
      <c r="M1068" s="32" t="n"/>
      <c r="N1068" s="32" t="n"/>
      <c r="O1068" s="32" t="n"/>
      <c r="P1068" s="32" t="n"/>
      <c r="Q1068" s="32" t="n"/>
      <c r="U1068" s="31">
        <f>IF($A1068="","",SUM(X1068:AE1068))</f>
        <v/>
      </c>
      <c r="V1068" s="31">
        <f>IF($A1068="","",IF($H1068&lt;&gt;"Ausgabe",0,-$E1068-$U1068))</f>
        <v/>
      </c>
      <c r="W1068" s="33">
        <f>IF($A1068="","",DATE(YEAR($A1068),MONTH($A1068),1))</f>
        <v/>
      </c>
      <c r="X1068" s="34">
        <f>IF(OR($A1068="",$H1068&lt;&gt;"Ausgabe",J1068=""),0,IF(J1068="x",-$E1068/(COUNTIF($J1068:$Q1068,"x")+1),-$E1068*N(J1068)))</f>
        <v/>
      </c>
      <c r="Y1068" s="34">
        <f>IF(OR($A1068="",$H1068&lt;&gt;"Ausgabe",K1068=""),0,IF(K1068="x",-$E1068/(COUNTIF($J1068:$Q1068,"x")+1),-$E1068*N(K1068)))</f>
        <v/>
      </c>
      <c r="Z1068" s="34">
        <f>IF(OR($A1068="",$H1068&lt;&gt;"Ausgabe",L1068=""),0,IF(L1068="x",-$E1068/(COUNTIF($J1068:$Q1068,"x")+1),-$E1068*N(L1068)))</f>
        <v/>
      </c>
      <c r="AA1068" s="34">
        <f>IF(OR($A1068="",$H1068&lt;&gt;"Ausgabe",M1068=""),0,IF(M1068="x",-$E1068/(COUNTIF($J1068:$Q1068,"x")+1),-$E1068*N(M1068)))</f>
        <v/>
      </c>
      <c r="AB1068" s="34">
        <f>IF(OR($A1068="",$H1068&lt;&gt;"Ausgabe",N1068=""),0,IF(N1068="x",-$E1068/(COUNTIF($J1068:$Q1068,"x")+1),-$E1068*N(N1068)))</f>
        <v/>
      </c>
      <c r="AC1068" s="34">
        <f>IF(OR($A1068="",$H1068&lt;&gt;"Ausgabe",O1068=""),0,IF(O1068="x",-$E1068/(COUNTIF($J1068:$Q1068,"x")+1),-$E1068*N(O1068)))</f>
        <v/>
      </c>
      <c r="AD1068" s="34">
        <f>IF(OR($A1068="",$H1068&lt;&gt;"Ausgabe",P1068=""),0,IF(P1068="x",-$E1068/(COUNTIF($J1068:$Q1068,"x")+1),-$E1068*N(P1068)))</f>
        <v/>
      </c>
      <c r="AE1068" s="34">
        <f>IF(OR($A1068="",$H1068&lt;&gt;"Ausgabe",Q1068=""),0,IF(Q1068="x",-$E1068/(COUNTIF($J1068:$Q1068,"x")+1),-$E1068*N(Q1068)))</f>
        <v/>
      </c>
    </row>
    <row r="1069">
      <c r="A1069" s="30" t="n"/>
      <c r="E1069" s="31" t="n"/>
      <c r="J1069" s="32" t="n"/>
      <c r="K1069" s="32" t="n"/>
      <c r="L1069" s="32" t="n"/>
      <c r="M1069" s="32" t="n"/>
      <c r="N1069" s="32" t="n"/>
      <c r="O1069" s="32" t="n"/>
      <c r="P1069" s="32" t="n"/>
      <c r="Q1069" s="32" t="n"/>
      <c r="U1069" s="31">
        <f>IF($A1069="","",SUM(X1069:AE1069))</f>
        <v/>
      </c>
      <c r="V1069" s="31">
        <f>IF($A1069="","",IF($H1069&lt;&gt;"Ausgabe",0,-$E1069-$U1069))</f>
        <v/>
      </c>
      <c r="W1069" s="33">
        <f>IF($A1069="","",DATE(YEAR($A1069),MONTH($A1069),1))</f>
        <v/>
      </c>
      <c r="X1069" s="34">
        <f>IF(OR($A1069="",$H1069&lt;&gt;"Ausgabe",J1069=""),0,IF(J1069="x",-$E1069/(COUNTIF($J1069:$Q1069,"x")+1),-$E1069*N(J1069)))</f>
        <v/>
      </c>
      <c r="Y1069" s="34">
        <f>IF(OR($A1069="",$H1069&lt;&gt;"Ausgabe",K1069=""),0,IF(K1069="x",-$E1069/(COUNTIF($J1069:$Q1069,"x")+1),-$E1069*N(K1069)))</f>
        <v/>
      </c>
      <c r="Z1069" s="34">
        <f>IF(OR($A1069="",$H1069&lt;&gt;"Ausgabe",L1069=""),0,IF(L1069="x",-$E1069/(COUNTIF($J1069:$Q1069,"x")+1),-$E1069*N(L1069)))</f>
        <v/>
      </c>
      <c r="AA1069" s="34">
        <f>IF(OR($A1069="",$H1069&lt;&gt;"Ausgabe",M1069=""),0,IF(M1069="x",-$E1069/(COUNTIF($J1069:$Q1069,"x")+1),-$E1069*N(M1069)))</f>
        <v/>
      </c>
      <c r="AB1069" s="34">
        <f>IF(OR($A1069="",$H1069&lt;&gt;"Ausgabe",N1069=""),0,IF(N1069="x",-$E1069/(COUNTIF($J1069:$Q1069,"x")+1),-$E1069*N(N1069)))</f>
        <v/>
      </c>
      <c r="AC1069" s="34">
        <f>IF(OR($A1069="",$H1069&lt;&gt;"Ausgabe",O1069=""),0,IF(O1069="x",-$E1069/(COUNTIF($J1069:$Q1069,"x")+1),-$E1069*N(O1069)))</f>
        <v/>
      </c>
      <c r="AD1069" s="34">
        <f>IF(OR($A1069="",$H1069&lt;&gt;"Ausgabe",P1069=""),0,IF(P1069="x",-$E1069/(COUNTIF($J1069:$Q1069,"x")+1),-$E1069*N(P1069)))</f>
        <v/>
      </c>
      <c r="AE1069" s="34">
        <f>IF(OR($A1069="",$H1069&lt;&gt;"Ausgabe",Q1069=""),0,IF(Q1069="x",-$E1069/(COUNTIF($J1069:$Q1069,"x")+1),-$E1069*N(Q1069)))</f>
        <v/>
      </c>
    </row>
    <row r="1070">
      <c r="A1070" s="30" t="n"/>
      <c r="E1070" s="31" t="n"/>
      <c r="J1070" s="32" t="n"/>
      <c r="K1070" s="32" t="n"/>
      <c r="L1070" s="32" t="n"/>
      <c r="M1070" s="32" t="n"/>
      <c r="N1070" s="32" t="n"/>
      <c r="O1070" s="32" t="n"/>
      <c r="P1070" s="32" t="n"/>
      <c r="Q1070" s="32" t="n"/>
      <c r="U1070" s="31">
        <f>IF($A1070="","",SUM(X1070:AE1070))</f>
        <v/>
      </c>
      <c r="V1070" s="31">
        <f>IF($A1070="","",IF($H1070&lt;&gt;"Ausgabe",0,-$E1070-$U1070))</f>
        <v/>
      </c>
      <c r="W1070" s="33">
        <f>IF($A1070="","",DATE(YEAR($A1070),MONTH($A1070),1))</f>
        <v/>
      </c>
      <c r="X1070" s="34">
        <f>IF(OR($A1070="",$H1070&lt;&gt;"Ausgabe",J1070=""),0,IF(J1070="x",-$E1070/(COUNTIF($J1070:$Q1070,"x")+1),-$E1070*N(J1070)))</f>
        <v/>
      </c>
      <c r="Y1070" s="34">
        <f>IF(OR($A1070="",$H1070&lt;&gt;"Ausgabe",K1070=""),0,IF(K1070="x",-$E1070/(COUNTIF($J1070:$Q1070,"x")+1),-$E1070*N(K1070)))</f>
        <v/>
      </c>
      <c r="Z1070" s="34">
        <f>IF(OR($A1070="",$H1070&lt;&gt;"Ausgabe",L1070=""),0,IF(L1070="x",-$E1070/(COUNTIF($J1070:$Q1070,"x")+1),-$E1070*N(L1070)))</f>
        <v/>
      </c>
      <c r="AA1070" s="34">
        <f>IF(OR($A1070="",$H1070&lt;&gt;"Ausgabe",M1070=""),0,IF(M1070="x",-$E1070/(COUNTIF($J1070:$Q1070,"x")+1),-$E1070*N(M1070)))</f>
        <v/>
      </c>
      <c r="AB1070" s="34">
        <f>IF(OR($A1070="",$H1070&lt;&gt;"Ausgabe",N1070=""),0,IF(N1070="x",-$E1070/(COUNTIF($J1070:$Q1070,"x")+1),-$E1070*N(N1070)))</f>
        <v/>
      </c>
      <c r="AC1070" s="34">
        <f>IF(OR($A1070="",$H1070&lt;&gt;"Ausgabe",O1070=""),0,IF(O1070="x",-$E1070/(COUNTIF($J1070:$Q1070,"x")+1),-$E1070*N(O1070)))</f>
        <v/>
      </c>
      <c r="AD1070" s="34">
        <f>IF(OR($A1070="",$H1070&lt;&gt;"Ausgabe",P1070=""),0,IF(P1070="x",-$E1070/(COUNTIF($J1070:$Q1070,"x")+1),-$E1070*N(P1070)))</f>
        <v/>
      </c>
      <c r="AE1070" s="34">
        <f>IF(OR($A1070="",$H1070&lt;&gt;"Ausgabe",Q1070=""),0,IF(Q1070="x",-$E1070/(COUNTIF($J1070:$Q1070,"x")+1),-$E1070*N(Q1070)))</f>
        <v/>
      </c>
    </row>
    <row r="1071">
      <c r="A1071" s="30" t="n"/>
      <c r="E1071" s="31" t="n"/>
      <c r="J1071" s="32" t="n"/>
      <c r="K1071" s="32" t="n"/>
      <c r="L1071" s="32" t="n"/>
      <c r="M1071" s="32" t="n"/>
      <c r="N1071" s="32" t="n"/>
      <c r="O1071" s="32" t="n"/>
      <c r="P1071" s="32" t="n"/>
      <c r="Q1071" s="32" t="n"/>
      <c r="U1071" s="31">
        <f>IF($A1071="","",SUM(X1071:AE1071))</f>
        <v/>
      </c>
      <c r="V1071" s="31">
        <f>IF($A1071="","",IF($H1071&lt;&gt;"Ausgabe",0,-$E1071-$U1071))</f>
        <v/>
      </c>
      <c r="W1071" s="33">
        <f>IF($A1071="","",DATE(YEAR($A1071),MONTH($A1071),1))</f>
        <v/>
      </c>
      <c r="X1071" s="34">
        <f>IF(OR($A1071="",$H1071&lt;&gt;"Ausgabe",J1071=""),0,IF(J1071="x",-$E1071/(COUNTIF($J1071:$Q1071,"x")+1),-$E1071*N(J1071)))</f>
        <v/>
      </c>
      <c r="Y1071" s="34">
        <f>IF(OR($A1071="",$H1071&lt;&gt;"Ausgabe",K1071=""),0,IF(K1071="x",-$E1071/(COUNTIF($J1071:$Q1071,"x")+1),-$E1071*N(K1071)))</f>
        <v/>
      </c>
      <c r="Z1071" s="34">
        <f>IF(OR($A1071="",$H1071&lt;&gt;"Ausgabe",L1071=""),0,IF(L1071="x",-$E1071/(COUNTIF($J1071:$Q1071,"x")+1),-$E1071*N(L1071)))</f>
        <v/>
      </c>
      <c r="AA1071" s="34">
        <f>IF(OR($A1071="",$H1071&lt;&gt;"Ausgabe",M1071=""),0,IF(M1071="x",-$E1071/(COUNTIF($J1071:$Q1071,"x")+1),-$E1071*N(M1071)))</f>
        <v/>
      </c>
      <c r="AB1071" s="34">
        <f>IF(OR($A1071="",$H1071&lt;&gt;"Ausgabe",N1071=""),0,IF(N1071="x",-$E1071/(COUNTIF($J1071:$Q1071,"x")+1),-$E1071*N(N1071)))</f>
        <v/>
      </c>
      <c r="AC1071" s="34">
        <f>IF(OR($A1071="",$H1071&lt;&gt;"Ausgabe",O1071=""),0,IF(O1071="x",-$E1071/(COUNTIF($J1071:$Q1071,"x")+1),-$E1071*N(O1071)))</f>
        <v/>
      </c>
      <c r="AD1071" s="34">
        <f>IF(OR($A1071="",$H1071&lt;&gt;"Ausgabe",P1071=""),0,IF(P1071="x",-$E1071/(COUNTIF($J1071:$Q1071,"x")+1),-$E1071*N(P1071)))</f>
        <v/>
      </c>
      <c r="AE1071" s="34">
        <f>IF(OR($A1071="",$H1071&lt;&gt;"Ausgabe",Q1071=""),0,IF(Q1071="x",-$E1071/(COUNTIF($J1071:$Q1071,"x")+1),-$E1071*N(Q1071)))</f>
        <v/>
      </c>
    </row>
    <row r="1072">
      <c r="A1072" s="30" t="n"/>
      <c r="E1072" s="31" t="n"/>
      <c r="J1072" s="32" t="n"/>
      <c r="K1072" s="32" t="n"/>
      <c r="L1072" s="32" t="n"/>
      <c r="M1072" s="32" t="n"/>
      <c r="N1072" s="32" t="n"/>
      <c r="O1072" s="32" t="n"/>
      <c r="P1072" s="32" t="n"/>
      <c r="Q1072" s="32" t="n"/>
      <c r="U1072" s="31">
        <f>IF($A1072="","",SUM(X1072:AE1072))</f>
        <v/>
      </c>
      <c r="V1072" s="31">
        <f>IF($A1072="","",IF($H1072&lt;&gt;"Ausgabe",0,-$E1072-$U1072))</f>
        <v/>
      </c>
      <c r="W1072" s="33">
        <f>IF($A1072="","",DATE(YEAR($A1072),MONTH($A1072),1))</f>
        <v/>
      </c>
      <c r="X1072" s="34">
        <f>IF(OR($A1072="",$H1072&lt;&gt;"Ausgabe",J1072=""),0,IF(J1072="x",-$E1072/(COUNTIF($J1072:$Q1072,"x")+1),-$E1072*N(J1072)))</f>
        <v/>
      </c>
      <c r="Y1072" s="34">
        <f>IF(OR($A1072="",$H1072&lt;&gt;"Ausgabe",K1072=""),0,IF(K1072="x",-$E1072/(COUNTIF($J1072:$Q1072,"x")+1),-$E1072*N(K1072)))</f>
        <v/>
      </c>
      <c r="Z1072" s="34">
        <f>IF(OR($A1072="",$H1072&lt;&gt;"Ausgabe",L1072=""),0,IF(L1072="x",-$E1072/(COUNTIF($J1072:$Q1072,"x")+1),-$E1072*N(L1072)))</f>
        <v/>
      </c>
      <c r="AA1072" s="34">
        <f>IF(OR($A1072="",$H1072&lt;&gt;"Ausgabe",M1072=""),0,IF(M1072="x",-$E1072/(COUNTIF($J1072:$Q1072,"x")+1),-$E1072*N(M1072)))</f>
        <v/>
      </c>
      <c r="AB1072" s="34">
        <f>IF(OR($A1072="",$H1072&lt;&gt;"Ausgabe",N1072=""),0,IF(N1072="x",-$E1072/(COUNTIF($J1072:$Q1072,"x")+1),-$E1072*N(N1072)))</f>
        <v/>
      </c>
      <c r="AC1072" s="34">
        <f>IF(OR($A1072="",$H1072&lt;&gt;"Ausgabe",O1072=""),0,IF(O1072="x",-$E1072/(COUNTIF($J1072:$Q1072,"x")+1),-$E1072*N(O1072)))</f>
        <v/>
      </c>
      <c r="AD1072" s="34">
        <f>IF(OR($A1072="",$H1072&lt;&gt;"Ausgabe",P1072=""),0,IF(P1072="x",-$E1072/(COUNTIF($J1072:$Q1072,"x")+1),-$E1072*N(P1072)))</f>
        <v/>
      </c>
      <c r="AE1072" s="34">
        <f>IF(OR($A1072="",$H1072&lt;&gt;"Ausgabe",Q1072=""),0,IF(Q1072="x",-$E1072/(COUNTIF($J1072:$Q1072,"x")+1),-$E1072*N(Q1072)))</f>
        <v/>
      </c>
    </row>
    <row r="1073">
      <c r="A1073" s="30" t="n"/>
      <c r="E1073" s="31" t="n"/>
      <c r="J1073" s="32" t="n"/>
      <c r="K1073" s="32" t="n"/>
      <c r="L1073" s="32" t="n"/>
      <c r="M1073" s="32" t="n"/>
      <c r="N1073" s="32" t="n"/>
      <c r="O1073" s="32" t="n"/>
      <c r="P1073" s="32" t="n"/>
      <c r="Q1073" s="32" t="n"/>
      <c r="U1073" s="31">
        <f>IF($A1073="","",SUM(X1073:AE1073))</f>
        <v/>
      </c>
      <c r="V1073" s="31">
        <f>IF($A1073="","",IF($H1073&lt;&gt;"Ausgabe",0,-$E1073-$U1073))</f>
        <v/>
      </c>
      <c r="W1073" s="33">
        <f>IF($A1073="","",DATE(YEAR($A1073),MONTH($A1073),1))</f>
        <v/>
      </c>
      <c r="X1073" s="34">
        <f>IF(OR($A1073="",$H1073&lt;&gt;"Ausgabe",J1073=""),0,IF(J1073="x",-$E1073/(COUNTIF($J1073:$Q1073,"x")+1),-$E1073*N(J1073)))</f>
        <v/>
      </c>
      <c r="Y1073" s="34">
        <f>IF(OR($A1073="",$H1073&lt;&gt;"Ausgabe",K1073=""),0,IF(K1073="x",-$E1073/(COUNTIF($J1073:$Q1073,"x")+1),-$E1073*N(K1073)))</f>
        <v/>
      </c>
      <c r="Z1073" s="34">
        <f>IF(OR($A1073="",$H1073&lt;&gt;"Ausgabe",L1073=""),0,IF(L1073="x",-$E1073/(COUNTIF($J1073:$Q1073,"x")+1),-$E1073*N(L1073)))</f>
        <v/>
      </c>
      <c r="AA1073" s="34">
        <f>IF(OR($A1073="",$H1073&lt;&gt;"Ausgabe",M1073=""),0,IF(M1073="x",-$E1073/(COUNTIF($J1073:$Q1073,"x")+1),-$E1073*N(M1073)))</f>
        <v/>
      </c>
      <c r="AB1073" s="34">
        <f>IF(OR($A1073="",$H1073&lt;&gt;"Ausgabe",N1073=""),0,IF(N1073="x",-$E1073/(COUNTIF($J1073:$Q1073,"x")+1),-$E1073*N(N1073)))</f>
        <v/>
      </c>
      <c r="AC1073" s="34">
        <f>IF(OR($A1073="",$H1073&lt;&gt;"Ausgabe",O1073=""),0,IF(O1073="x",-$E1073/(COUNTIF($J1073:$Q1073,"x")+1),-$E1073*N(O1073)))</f>
        <v/>
      </c>
      <c r="AD1073" s="34">
        <f>IF(OR($A1073="",$H1073&lt;&gt;"Ausgabe",P1073=""),0,IF(P1073="x",-$E1073/(COUNTIF($J1073:$Q1073,"x")+1),-$E1073*N(P1073)))</f>
        <v/>
      </c>
      <c r="AE1073" s="34">
        <f>IF(OR($A1073="",$H1073&lt;&gt;"Ausgabe",Q1073=""),0,IF(Q1073="x",-$E1073/(COUNTIF($J1073:$Q1073,"x")+1),-$E1073*N(Q1073)))</f>
        <v/>
      </c>
    </row>
    <row r="1074">
      <c r="A1074" s="30" t="n"/>
      <c r="E1074" s="31" t="n"/>
      <c r="J1074" s="32" t="n"/>
      <c r="K1074" s="32" t="n"/>
      <c r="L1074" s="32" t="n"/>
      <c r="M1074" s="32" t="n"/>
      <c r="N1074" s="32" t="n"/>
      <c r="O1074" s="32" t="n"/>
      <c r="P1074" s="32" t="n"/>
      <c r="Q1074" s="32" t="n"/>
      <c r="U1074" s="31">
        <f>IF($A1074="","",SUM(X1074:AE1074))</f>
        <v/>
      </c>
      <c r="V1074" s="31">
        <f>IF($A1074="","",IF($H1074&lt;&gt;"Ausgabe",0,-$E1074-$U1074))</f>
        <v/>
      </c>
      <c r="W1074" s="33">
        <f>IF($A1074="","",DATE(YEAR($A1074),MONTH($A1074),1))</f>
        <v/>
      </c>
      <c r="X1074" s="34">
        <f>IF(OR($A1074="",$H1074&lt;&gt;"Ausgabe",J1074=""),0,IF(J1074="x",-$E1074/(COUNTIF($J1074:$Q1074,"x")+1),-$E1074*N(J1074)))</f>
        <v/>
      </c>
      <c r="Y1074" s="34">
        <f>IF(OR($A1074="",$H1074&lt;&gt;"Ausgabe",K1074=""),0,IF(K1074="x",-$E1074/(COUNTIF($J1074:$Q1074,"x")+1),-$E1074*N(K1074)))</f>
        <v/>
      </c>
      <c r="Z1074" s="34">
        <f>IF(OR($A1074="",$H1074&lt;&gt;"Ausgabe",L1074=""),0,IF(L1074="x",-$E1074/(COUNTIF($J1074:$Q1074,"x")+1),-$E1074*N(L1074)))</f>
        <v/>
      </c>
      <c r="AA1074" s="34">
        <f>IF(OR($A1074="",$H1074&lt;&gt;"Ausgabe",M1074=""),0,IF(M1074="x",-$E1074/(COUNTIF($J1074:$Q1074,"x")+1),-$E1074*N(M1074)))</f>
        <v/>
      </c>
      <c r="AB1074" s="34">
        <f>IF(OR($A1074="",$H1074&lt;&gt;"Ausgabe",N1074=""),0,IF(N1074="x",-$E1074/(COUNTIF($J1074:$Q1074,"x")+1),-$E1074*N(N1074)))</f>
        <v/>
      </c>
      <c r="AC1074" s="34">
        <f>IF(OR($A1074="",$H1074&lt;&gt;"Ausgabe",O1074=""),0,IF(O1074="x",-$E1074/(COUNTIF($J1074:$Q1074,"x")+1),-$E1074*N(O1074)))</f>
        <v/>
      </c>
      <c r="AD1074" s="34">
        <f>IF(OR($A1074="",$H1074&lt;&gt;"Ausgabe",P1074=""),0,IF(P1074="x",-$E1074/(COUNTIF($J1074:$Q1074,"x")+1),-$E1074*N(P1074)))</f>
        <v/>
      </c>
      <c r="AE1074" s="34">
        <f>IF(OR($A1074="",$H1074&lt;&gt;"Ausgabe",Q1074=""),0,IF(Q1074="x",-$E1074/(COUNTIF($J1074:$Q1074,"x")+1),-$E1074*N(Q1074)))</f>
        <v/>
      </c>
    </row>
    <row r="1075">
      <c r="A1075" s="30" t="n"/>
      <c r="E1075" s="31" t="n"/>
      <c r="J1075" s="32" t="n"/>
      <c r="K1075" s="32" t="n"/>
      <c r="L1075" s="32" t="n"/>
      <c r="M1075" s="32" t="n"/>
      <c r="N1075" s="32" t="n"/>
      <c r="O1075" s="32" t="n"/>
      <c r="P1075" s="32" t="n"/>
      <c r="Q1075" s="32" t="n"/>
      <c r="U1075" s="31">
        <f>IF($A1075="","",SUM(X1075:AE1075))</f>
        <v/>
      </c>
      <c r="V1075" s="31">
        <f>IF($A1075="","",IF($H1075&lt;&gt;"Ausgabe",0,-$E1075-$U1075))</f>
        <v/>
      </c>
      <c r="W1075" s="33">
        <f>IF($A1075="","",DATE(YEAR($A1075),MONTH($A1075),1))</f>
        <v/>
      </c>
      <c r="X1075" s="34">
        <f>IF(OR($A1075="",$H1075&lt;&gt;"Ausgabe",J1075=""),0,IF(J1075="x",-$E1075/(COUNTIF($J1075:$Q1075,"x")+1),-$E1075*N(J1075)))</f>
        <v/>
      </c>
      <c r="Y1075" s="34">
        <f>IF(OR($A1075="",$H1075&lt;&gt;"Ausgabe",K1075=""),0,IF(K1075="x",-$E1075/(COUNTIF($J1075:$Q1075,"x")+1),-$E1075*N(K1075)))</f>
        <v/>
      </c>
      <c r="Z1075" s="34">
        <f>IF(OR($A1075="",$H1075&lt;&gt;"Ausgabe",L1075=""),0,IF(L1075="x",-$E1075/(COUNTIF($J1075:$Q1075,"x")+1),-$E1075*N(L1075)))</f>
        <v/>
      </c>
      <c r="AA1075" s="34">
        <f>IF(OR($A1075="",$H1075&lt;&gt;"Ausgabe",M1075=""),0,IF(M1075="x",-$E1075/(COUNTIF($J1075:$Q1075,"x")+1),-$E1075*N(M1075)))</f>
        <v/>
      </c>
      <c r="AB1075" s="34">
        <f>IF(OR($A1075="",$H1075&lt;&gt;"Ausgabe",N1075=""),0,IF(N1075="x",-$E1075/(COUNTIF($J1075:$Q1075,"x")+1),-$E1075*N(N1075)))</f>
        <v/>
      </c>
      <c r="AC1075" s="34">
        <f>IF(OR($A1075="",$H1075&lt;&gt;"Ausgabe",O1075=""),0,IF(O1075="x",-$E1075/(COUNTIF($J1075:$Q1075,"x")+1),-$E1075*N(O1075)))</f>
        <v/>
      </c>
      <c r="AD1075" s="34">
        <f>IF(OR($A1075="",$H1075&lt;&gt;"Ausgabe",P1075=""),0,IF(P1075="x",-$E1075/(COUNTIF($J1075:$Q1075,"x")+1),-$E1075*N(P1075)))</f>
        <v/>
      </c>
      <c r="AE1075" s="34">
        <f>IF(OR($A1075="",$H1075&lt;&gt;"Ausgabe",Q1075=""),0,IF(Q1075="x",-$E1075/(COUNTIF($J1075:$Q1075,"x")+1),-$E1075*N(Q1075)))</f>
        <v/>
      </c>
    </row>
    <row r="1076">
      <c r="A1076" s="30" t="n"/>
      <c r="E1076" s="31" t="n"/>
      <c r="J1076" s="32" t="n"/>
      <c r="K1076" s="32" t="n"/>
      <c r="L1076" s="32" t="n"/>
      <c r="M1076" s="32" t="n"/>
      <c r="N1076" s="32" t="n"/>
      <c r="O1076" s="32" t="n"/>
      <c r="P1076" s="32" t="n"/>
      <c r="Q1076" s="32" t="n"/>
      <c r="U1076" s="31">
        <f>IF($A1076="","",SUM(X1076:AE1076))</f>
        <v/>
      </c>
      <c r="V1076" s="31">
        <f>IF($A1076="","",IF($H1076&lt;&gt;"Ausgabe",0,-$E1076-$U1076))</f>
        <v/>
      </c>
      <c r="W1076" s="33">
        <f>IF($A1076="","",DATE(YEAR($A1076),MONTH($A1076),1))</f>
        <v/>
      </c>
      <c r="X1076" s="34">
        <f>IF(OR($A1076="",$H1076&lt;&gt;"Ausgabe",J1076=""),0,IF(J1076="x",-$E1076/(COUNTIF($J1076:$Q1076,"x")+1),-$E1076*N(J1076)))</f>
        <v/>
      </c>
      <c r="Y1076" s="34">
        <f>IF(OR($A1076="",$H1076&lt;&gt;"Ausgabe",K1076=""),0,IF(K1076="x",-$E1076/(COUNTIF($J1076:$Q1076,"x")+1),-$E1076*N(K1076)))</f>
        <v/>
      </c>
      <c r="Z1076" s="34">
        <f>IF(OR($A1076="",$H1076&lt;&gt;"Ausgabe",L1076=""),0,IF(L1076="x",-$E1076/(COUNTIF($J1076:$Q1076,"x")+1),-$E1076*N(L1076)))</f>
        <v/>
      </c>
      <c r="AA1076" s="34">
        <f>IF(OR($A1076="",$H1076&lt;&gt;"Ausgabe",M1076=""),0,IF(M1076="x",-$E1076/(COUNTIF($J1076:$Q1076,"x")+1),-$E1076*N(M1076)))</f>
        <v/>
      </c>
      <c r="AB1076" s="34">
        <f>IF(OR($A1076="",$H1076&lt;&gt;"Ausgabe",N1076=""),0,IF(N1076="x",-$E1076/(COUNTIF($J1076:$Q1076,"x")+1),-$E1076*N(N1076)))</f>
        <v/>
      </c>
      <c r="AC1076" s="34">
        <f>IF(OR($A1076="",$H1076&lt;&gt;"Ausgabe",O1076=""),0,IF(O1076="x",-$E1076/(COUNTIF($J1076:$Q1076,"x")+1),-$E1076*N(O1076)))</f>
        <v/>
      </c>
      <c r="AD1076" s="34">
        <f>IF(OR($A1076="",$H1076&lt;&gt;"Ausgabe",P1076=""),0,IF(P1076="x",-$E1076/(COUNTIF($J1076:$Q1076,"x")+1),-$E1076*N(P1076)))</f>
        <v/>
      </c>
      <c r="AE1076" s="34">
        <f>IF(OR($A1076="",$H1076&lt;&gt;"Ausgabe",Q1076=""),0,IF(Q1076="x",-$E1076/(COUNTIF($J1076:$Q1076,"x")+1),-$E1076*N(Q1076)))</f>
        <v/>
      </c>
    </row>
    <row r="1077">
      <c r="A1077" s="30" t="n"/>
      <c r="E1077" s="31" t="n"/>
      <c r="J1077" s="32" t="n"/>
      <c r="K1077" s="32" t="n"/>
      <c r="L1077" s="32" t="n"/>
      <c r="M1077" s="32" t="n"/>
      <c r="N1077" s="32" t="n"/>
      <c r="O1077" s="32" t="n"/>
      <c r="P1077" s="32" t="n"/>
      <c r="Q1077" s="32" t="n"/>
      <c r="U1077" s="31">
        <f>IF($A1077="","",SUM(X1077:AE1077))</f>
        <v/>
      </c>
      <c r="V1077" s="31">
        <f>IF($A1077="","",IF($H1077&lt;&gt;"Ausgabe",0,-$E1077-$U1077))</f>
        <v/>
      </c>
      <c r="W1077" s="33">
        <f>IF($A1077="","",DATE(YEAR($A1077),MONTH($A1077),1))</f>
        <v/>
      </c>
      <c r="X1077" s="34">
        <f>IF(OR($A1077="",$H1077&lt;&gt;"Ausgabe",J1077=""),0,IF(J1077="x",-$E1077/(COUNTIF($J1077:$Q1077,"x")+1),-$E1077*N(J1077)))</f>
        <v/>
      </c>
      <c r="Y1077" s="34">
        <f>IF(OR($A1077="",$H1077&lt;&gt;"Ausgabe",K1077=""),0,IF(K1077="x",-$E1077/(COUNTIF($J1077:$Q1077,"x")+1),-$E1077*N(K1077)))</f>
        <v/>
      </c>
      <c r="Z1077" s="34">
        <f>IF(OR($A1077="",$H1077&lt;&gt;"Ausgabe",L1077=""),0,IF(L1077="x",-$E1077/(COUNTIF($J1077:$Q1077,"x")+1),-$E1077*N(L1077)))</f>
        <v/>
      </c>
      <c r="AA1077" s="34">
        <f>IF(OR($A1077="",$H1077&lt;&gt;"Ausgabe",M1077=""),0,IF(M1077="x",-$E1077/(COUNTIF($J1077:$Q1077,"x")+1),-$E1077*N(M1077)))</f>
        <v/>
      </c>
      <c r="AB1077" s="34">
        <f>IF(OR($A1077="",$H1077&lt;&gt;"Ausgabe",N1077=""),0,IF(N1077="x",-$E1077/(COUNTIF($J1077:$Q1077,"x")+1),-$E1077*N(N1077)))</f>
        <v/>
      </c>
      <c r="AC1077" s="34">
        <f>IF(OR($A1077="",$H1077&lt;&gt;"Ausgabe",O1077=""),0,IF(O1077="x",-$E1077/(COUNTIF($J1077:$Q1077,"x")+1),-$E1077*N(O1077)))</f>
        <v/>
      </c>
      <c r="AD1077" s="34">
        <f>IF(OR($A1077="",$H1077&lt;&gt;"Ausgabe",P1077=""),0,IF(P1077="x",-$E1077/(COUNTIF($J1077:$Q1077,"x")+1),-$E1077*N(P1077)))</f>
        <v/>
      </c>
      <c r="AE1077" s="34">
        <f>IF(OR($A1077="",$H1077&lt;&gt;"Ausgabe",Q1077=""),0,IF(Q1077="x",-$E1077/(COUNTIF($J1077:$Q1077,"x")+1),-$E1077*N(Q1077)))</f>
        <v/>
      </c>
    </row>
    <row r="1078">
      <c r="A1078" s="30" t="n"/>
      <c r="E1078" s="31" t="n"/>
      <c r="J1078" s="32" t="n"/>
      <c r="K1078" s="32" t="n"/>
      <c r="L1078" s="32" t="n"/>
      <c r="M1078" s="32" t="n"/>
      <c r="N1078" s="32" t="n"/>
      <c r="O1078" s="32" t="n"/>
      <c r="P1078" s="32" t="n"/>
      <c r="Q1078" s="32" t="n"/>
      <c r="U1078" s="31">
        <f>IF($A1078="","",SUM(X1078:AE1078))</f>
        <v/>
      </c>
      <c r="V1078" s="31">
        <f>IF($A1078="","",IF($H1078&lt;&gt;"Ausgabe",0,-$E1078-$U1078))</f>
        <v/>
      </c>
      <c r="W1078" s="33">
        <f>IF($A1078="","",DATE(YEAR($A1078),MONTH($A1078),1))</f>
        <v/>
      </c>
      <c r="X1078" s="34">
        <f>IF(OR($A1078="",$H1078&lt;&gt;"Ausgabe",J1078=""),0,IF(J1078="x",-$E1078/(COUNTIF($J1078:$Q1078,"x")+1),-$E1078*N(J1078)))</f>
        <v/>
      </c>
      <c r="Y1078" s="34">
        <f>IF(OR($A1078="",$H1078&lt;&gt;"Ausgabe",K1078=""),0,IF(K1078="x",-$E1078/(COUNTIF($J1078:$Q1078,"x")+1),-$E1078*N(K1078)))</f>
        <v/>
      </c>
      <c r="Z1078" s="34">
        <f>IF(OR($A1078="",$H1078&lt;&gt;"Ausgabe",L1078=""),0,IF(L1078="x",-$E1078/(COUNTIF($J1078:$Q1078,"x")+1),-$E1078*N(L1078)))</f>
        <v/>
      </c>
      <c r="AA1078" s="34">
        <f>IF(OR($A1078="",$H1078&lt;&gt;"Ausgabe",M1078=""),0,IF(M1078="x",-$E1078/(COUNTIF($J1078:$Q1078,"x")+1),-$E1078*N(M1078)))</f>
        <v/>
      </c>
      <c r="AB1078" s="34">
        <f>IF(OR($A1078="",$H1078&lt;&gt;"Ausgabe",N1078=""),0,IF(N1078="x",-$E1078/(COUNTIF($J1078:$Q1078,"x")+1),-$E1078*N(N1078)))</f>
        <v/>
      </c>
      <c r="AC1078" s="34">
        <f>IF(OR($A1078="",$H1078&lt;&gt;"Ausgabe",O1078=""),0,IF(O1078="x",-$E1078/(COUNTIF($J1078:$Q1078,"x")+1),-$E1078*N(O1078)))</f>
        <v/>
      </c>
      <c r="AD1078" s="34">
        <f>IF(OR($A1078="",$H1078&lt;&gt;"Ausgabe",P1078=""),0,IF(P1078="x",-$E1078/(COUNTIF($J1078:$Q1078,"x")+1),-$E1078*N(P1078)))</f>
        <v/>
      </c>
      <c r="AE1078" s="34">
        <f>IF(OR($A1078="",$H1078&lt;&gt;"Ausgabe",Q1078=""),0,IF(Q1078="x",-$E1078/(COUNTIF($J1078:$Q1078,"x")+1),-$E1078*N(Q1078)))</f>
        <v/>
      </c>
    </row>
    <row r="1079">
      <c r="A1079" s="30" t="n"/>
      <c r="E1079" s="31" t="n"/>
      <c r="J1079" s="32" t="n"/>
      <c r="K1079" s="32" t="n"/>
      <c r="L1079" s="32" t="n"/>
      <c r="M1079" s="32" t="n"/>
      <c r="N1079" s="32" t="n"/>
      <c r="O1079" s="32" t="n"/>
      <c r="P1079" s="32" t="n"/>
      <c r="Q1079" s="32" t="n"/>
      <c r="U1079" s="31">
        <f>IF($A1079="","",SUM(X1079:AE1079))</f>
        <v/>
      </c>
      <c r="V1079" s="31">
        <f>IF($A1079="","",IF($H1079&lt;&gt;"Ausgabe",0,-$E1079-$U1079))</f>
        <v/>
      </c>
      <c r="W1079" s="33">
        <f>IF($A1079="","",DATE(YEAR($A1079),MONTH($A1079),1))</f>
        <v/>
      </c>
      <c r="X1079" s="34">
        <f>IF(OR($A1079="",$H1079&lt;&gt;"Ausgabe",J1079=""),0,IF(J1079="x",-$E1079/(COUNTIF($J1079:$Q1079,"x")+1),-$E1079*N(J1079)))</f>
        <v/>
      </c>
      <c r="Y1079" s="34">
        <f>IF(OR($A1079="",$H1079&lt;&gt;"Ausgabe",K1079=""),0,IF(K1079="x",-$E1079/(COUNTIF($J1079:$Q1079,"x")+1),-$E1079*N(K1079)))</f>
        <v/>
      </c>
      <c r="Z1079" s="34">
        <f>IF(OR($A1079="",$H1079&lt;&gt;"Ausgabe",L1079=""),0,IF(L1079="x",-$E1079/(COUNTIF($J1079:$Q1079,"x")+1),-$E1079*N(L1079)))</f>
        <v/>
      </c>
      <c r="AA1079" s="34">
        <f>IF(OR($A1079="",$H1079&lt;&gt;"Ausgabe",M1079=""),0,IF(M1079="x",-$E1079/(COUNTIF($J1079:$Q1079,"x")+1),-$E1079*N(M1079)))</f>
        <v/>
      </c>
      <c r="AB1079" s="34">
        <f>IF(OR($A1079="",$H1079&lt;&gt;"Ausgabe",N1079=""),0,IF(N1079="x",-$E1079/(COUNTIF($J1079:$Q1079,"x")+1),-$E1079*N(N1079)))</f>
        <v/>
      </c>
      <c r="AC1079" s="34">
        <f>IF(OR($A1079="",$H1079&lt;&gt;"Ausgabe",O1079=""),0,IF(O1079="x",-$E1079/(COUNTIF($J1079:$Q1079,"x")+1),-$E1079*N(O1079)))</f>
        <v/>
      </c>
      <c r="AD1079" s="34">
        <f>IF(OR($A1079="",$H1079&lt;&gt;"Ausgabe",P1079=""),0,IF(P1079="x",-$E1079/(COUNTIF($J1079:$Q1079,"x")+1),-$E1079*N(P1079)))</f>
        <v/>
      </c>
      <c r="AE1079" s="34">
        <f>IF(OR($A1079="",$H1079&lt;&gt;"Ausgabe",Q1079=""),0,IF(Q1079="x",-$E1079/(COUNTIF($J1079:$Q1079,"x")+1),-$E1079*N(Q1079)))</f>
        <v/>
      </c>
    </row>
    <row r="1080">
      <c r="A1080" s="30" t="n"/>
      <c r="E1080" s="31" t="n"/>
      <c r="J1080" s="32" t="n"/>
      <c r="K1080" s="32" t="n"/>
      <c r="L1080" s="32" t="n"/>
      <c r="M1080" s="32" t="n"/>
      <c r="N1080" s="32" t="n"/>
      <c r="O1080" s="32" t="n"/>
      <c r="P1080" s="32" t="n"/>
      <c r="Q1080" s="32" t="n"/>
      <c r="U1080" s="31">
        <f>IF($A1080="","",SUM(X1080:AE1080))</f>
        <v/>
      </c>
      <c r="V1080" s="31">
        <f>IF($A1080="","",IF($H1080&lt;&gt;"Ausgabe",0,-$E1080-$U1080))</f>
        <v/>
      </c>
      <c r="W1080" s="33">
        <f>IF($A1080="","",DATE(YEAR($A1080),MONTH($A1080),1))</f>
        <v/>
      </c>
      <c r="X1080" s="34">
        <f>IF(OR($A1080="",$H1080&lt;&gt;"Ausgabe",J1080=""),0,IF(J1080="x",-$E1080/(COUNTIF($J1080:$Q1080,"x")+1),-$E1080*N(J1080)))</f>
        <v/>
      </c>
      <c r="Y1080" s="34">
        <f>IF(OR($A1080="",$H1080&lt;&gt;"Ausgabe",K1080=""),0,IF(K1080="x",-$E1080/(COUNTIF($J1080:$Q1080,"x")+1),-$E1080*N(K1080)))</f>
        <v/>
      </c>
      <c r="Z1080" s="34">
        <f>IF(OR($A1080="",$H1080&lt;&gt;"Ausgabe",L1080=""),0,IF(L1080="x",-$E1080/(COUNTIF($J1080:$Q1080,"x")+1),-$E1080*N(L1080)))</f>
        <v/>
      </c>
      <c r="AA1080" s="34">
        <f>IF(OR($A1080="",$H1080&lt;&gt;"Ausgabe",M1080=""),0,IF(M1080="x",-$E1080/(COUNTIF($J1080:$Q1080,"x")+1),-$E1080*N(M1080)))</f>
        <v/>
      </c>
      <c r="AB1080" s="34">
        <f>IF(OR($A1080="",$H1080&lt;&gt;"Ausgabe",N1080=""),0,IF(N1080="x",-$E1080/(COUNTIF($J1080:$Q1080,"x")+1),-$E1080*N(N1080)))</f>
        <v/>
      </c>
      <c r="AC1080" s="34">
        <f>IF(OR($A1080="",$H1080&lt;&gt;"Ausgabe",O1080=""),0,IF(O1080="x",-$E1080/(COUNTIF($J1080:$Q1080,"x")+1),-$E1080*N(O1080)))</f>
        <v/>
      </c>
      <c r="AD1080" s="34">
        <f>IF(OR($A1080="",$H1080&lt;&gt;"Ausgabe",P1080=""),0,IF(P1080="x",-$E1080/(COUNTIF($J1080:$Q1080,"x")+1),-$E1080*N(P1080)))</f>
        <v/>
      </c>
      <c r="AE1080" s="34">
        <f>IF(OR($A1080="",$H1080&lt;&gt;"Ausgabe",Q1080=""),0,IF(Q1080="x",-$E1080/(COUNTIF($J1080:$Q1080,"x")+1),-$E1080*N(Q1080)))</f>
        <v/>
      </c>
    </row>
    <row r="1081">
      <c r="A1081" s="30" t="n"/>
      <c r="E1081" s="31" t="n"/>
      <c r="J1081" s="32" t="n"/>
      <c r="K1081" s="32" t="n"/>
      <c r="L1081" s="32" t="n"/>
      <c r="M1081" s="32" t="n"/>
      <c r="N1081" s="32" t="n"/>
      <c r="O1081" s="32" t="n"/>
      <c r="P1081" s="32" t="n"/>
      <c r="Q1081" s="32" t="n"/>
      <c r="U1081" s="31">
        <f>IF($A1081="","",SUM(X1081:AE1081))</f>
        <v/>
      </c>
      <c r="V1081" s="31">
        <f>IF($A1081="","",IF($H1081&lt;&gt;"Ausgabe",0,-$E1081-$U1081))</f>
        <v/>
      </c>
      <c r="W1081" s="33">
        <f>IF($A1081="","",DATE(YEAR($A1081),MONTH($A1081),1))</f>
        <v/>
      </c>
      <c r="X1081" s="34">
        <f>IF(OR($A1081="",$H1081&lt;&gt;"Ausgabe",J1081=""),0,IF(J1081="x",-$E1081/(COUNTIF($J1081:$Q1081,"x")+1),-$E1081*N(J1081)))</f>
        <v/>
      </c>
      <c r="Y1081" s="34">
        <f>IF(OR($A1081="",$H1081&lt;&gt;"Ausgabe",K1081=""),0,IF(K1081="x",-$E1081/(COUNTIF($J1081:$Q1081,"x")+1),-$E1081*N(K1081)))</f>
        <v/>
      </c>
      <c r="Z1081" s="34">
        <f>IF(OR($A1081="",$H1081&lt;&gt;"Ausgabe",L1081=""),0,IF(L1081="x",-$E1081/(COUNTIF($J1081:$Q1081,"x")+1),-$E1081*N(L1081)))</f>
        <v/>
      </c>
      <c r="AA1081" s="34">
        <f>IF(OR($A1081="",$H1081&lt;&gt;"Ausgabe",M1081=""),0,IF(M1081="x",-$E1081/(COUNTIF($J1081:$Q1081,"x")+1),-$E1081*N(M1081)))</f>
        <v/>
      </c>
      <c r="AB1081" s="34">
        <f>IF(OR($A1081="",$H1081&lt;&gt;"Ausgabe",N1081=""),0,IF(N1081="x",-$E1081/(COUNTIF($J1081:$Q1081,"x")+1),-$E1081*N(N1081)))</f>
        <v/>
      </c>
      <c r="AC1081" s="34">
        <f>IF(OR($A1081="",$H1081&lt;&gt;"Ausgabe",O1081=""),0,IF(O1081="x",-$E1081/(COUNTIF($J1081:$Q1081,"x")+1),-$E1081*N(O1081)))</f>
        <v/>
      </c>
      <c r="AD1081" s="34">
        <f>IF(OR($A1081="",$H1081&lt;&gt;"Ausgabe",P1081=""),0,IF(P1081="x",-$E1081/(COUNTIF($J1081:$Q1081,"x")+1),-$E1081*N(P1081)))</f>
        <v/>
      </c>
      <c r="AE1081" s="34">
        <f>IF(OR($A1081="",$H1081&lt;&gt;"Ausgabe",Q1081=""),0,IF(Q1081="x",-$E1081/(COUNTIF($J1081:$Q1081,"x")+1),-$E1081*N(Q1081)))</f>
        <v/>
      </c>
    </row>
    <row r="1082">
      <c r="A1082" s="30" t="n"/>
      <c r="E1082" s="31" t="n"/>
      <c r="J1082" s="32" t="n"/>
      <c r="K1082" s="32" t="n"/>
      <c r="L1082" s="32" t="n"/>
      <c r="M1082" s="32" t="n"/>
      <c r="N1082" s="32" t="n"/>
      <c r="O1082" s="32" t="n"/>
      <c r="P1082" s="32" t="n"/>
      <c r="Q1082" s="32" t="n"/>
      <c r="U1082" s="31">
        <f>IF($A1082="","",SUM(X1082:AE1082))</f>
        <v/>
      </c>
      <c r="V1082" s="31">
        <f>IF($A1082="","",IF($H1082&lt;&gt;"Ausgabe",0,-$E1082-$U1082))</f>
        <v/>
      </c>
      <c r="W1082" s="33">
        <f>IF($A1082="","",DATE(YEAR($A1082),MONTH($A1082),1))</f>
        <v/>
      </c>
      <c r="X1082" s="34">
        <f>IF(OR($A1082="",$H1082&lt;&gt;"Ausgabe",J1082=""),0,IF(J1082="x",-$E1082/(COUNTIF($J1082:$Q1082,"x")+1),-$E1082*N(J1082)))</f>
        <v/>
      </c>
      <c r="Y1082" s="34">
        <f>IF(OR($A1082="",$H1082&lt;&gt;"Ausgabe",K1082=""),0,IF(K1082="x",-$E1082/(COUNTIF($J1082:$Q1082,"x")+1),-$E1082*N(K1082)))</f>
        <v/>
      </c>
      <c r="Z1082" s="34">
        <f>IF(OR($A1082="",$H1082&lt;&gt;"Ausgabe",L1082=""),0,IF(L1082="x",-$E1082/(COUNTIF($J1082:$Q1082,"x")+1),-$E1082*N(L1082)))</f>
        <v/>
      </c>
      <c r="AA1082" s="34">
        <f>IF(OR($A1082="",$H1082&lt;&gt;"Ausgabe",M1082=""),0,IF(M1082="x",-$E1082/(COUNTIF($J1082:$Q1082,"x")+1),-$E1082*N(M1082)))</f>
        <v/>
      </c>
      <c r="AB1082" s="34">
        <f>IF(OR($A1082="",$H1082&lt;&gt;"Ausgabe",N1082=""),0,IF(N1082="x",-$E1082/(COUNTIF($J1082:$Q1082,"x")+1),-$E1082*N(N1082)))</f>
        <v/>
      </c>
      <c r="AC1082" s="34">
        <f>IF(OR($A1082="",$H1082&lt;&gt;"Ausgabe",O1082=""),0,IF(O1082="x",-$E1082/(COUNTIF($J1082:$Q1082,"x")+1),-$E1082*N(O1082)))</f>
        <v/>
      </c>
      <c r="AD1082" s="34">
        <f>IF(OR($A1082="",$H1082&lt;&gt;"Ausgabe",P1082=""),0,IF(P1082="x",-$E1082/(COUNTIF($J1082:$Q1082,"x")+1),-$E1082*N(P1082)))</f>
        <v/>
      </c>
      <c r="AE1082" s="34">
        <f>IF(OR($A1082="",$H1082&lt;&gt;"Ausgabe",Q1082=""),0,IF(Q1082="x",-$E1082/(COUNTIF($J1082:$Q1082,"x")+1),-$E1082*N(Q1082)))</f>
        <v/>
      </c>
    </row>
    <row r="1083">
      <c r="A1083" s="30" t="n"/>
      <c r="E1083" s="31" t="n"/>
      <c r="J1083" s="32" t="n"/>
      <c r="K1083" s="32" t="n"/>
      <c r="L1083" s="32" t="n"/>
      <c r="M1083" s="32" t="n"/>
      <c r="N1083" s="32" t="n"/>
      <c r="O1083" s="32" t="n"/>
      <c r="P1083" s="32" t="n"/>
      <c r="Q1083" s="32" t="n"/>
      <c r="U1083" s="31">
        <f>IF($A1083="","",SUM(X1083:AE1083))</f>
        <v/>
      </c>
      <c r="V1083" s="31">
        <f>IF($A1083="","",IF($H1083&lt;&gt;"Ausgabe",0,-$E1083-$U1083))</f>
        <v/>
      </c>
      <c r="W1083" s="33">
        <f>IF($A1083="","",DATE(YEAR($A1083),MONTH($A1083),1))</f>
        <v/>
      </c>
      <c r="X1083" s="34">
        <f>IF(OR($A1083="",$H1083&lt;&gt;"Ausgabe",J1083=""),0,IF(J1083="x",-$E1083/(COUNTIF($J1083:$Q1083,"x")+1),-$E1083*N(J1083)))</f>
        <v/>
      </c>
      <c r="Y1083" s="34">
        <f>IF(OR($A1083="",$H1083&lt;&gt;"Ausgabe",K1083=""),0,IF(K1083="x",-$E1083/(COUNTIF($J1083:$Q1083,"x")+1),-$E1083*N(K1083)))</f>
        <v/>
      </c>
      <c r="Z1083" s="34">
        <f>IF(OR($A1083="",$H1083&lt;&gt;"Ausgabe",L1083=""),0,IF(L1083="x",-$E1083/(COUNTIF($J1083:$Q1083,"x")+1),-$E1083*N(L1083)))</f>
        <v/>
      </c>
      <c r="AA1083" s="34">
        <f>IF(OR($A1083="",$H1083&lt;&gt;"Ausgabe",M1083=""),0,IF(M1083="x",-$E1083/(COUNTIF($J1083:$Q1083,"x")+1),-$E1083*N(M1083)))</f>
        <v/>
      </c>
      <c r="AB1083" s="34">
        <f>IF(OR($A1083="",$H1083&lt;&gt;"Ausgabe",N1083=""),0,IF(N1083="x",-$E1083/(COUNTIF($J1083:$Q1083,"x")+1),-$E1083*N(N1083)))</f>
        <v/>
      </c>
      <c r="AC1083" s="34">
        <f>IF(OR($A1083="",$H1083&lt;&gt;"Ausgabe",O1083=""),0,IF(O1083="x",-$E1083/(COUNTIF($J1083:$Q1083,"x")+1),-$E1083*N(O1083)))</f>
        <v/>
      </c>
      <c r="AD1083" s="34">
        <f>IF(OR($A1083="",$H1083&lt;&gt;"Ausgabe",P1083=""),0,IF(P1083="x",-$E1083/(COUNTIF($J1083:$Q1083,"x")+1),-$E1083*N(P1083)))</f>
        <v/>
      </c>
      <c r="AE1083" s="34">
        <f>IF(OR($A1083="",$H1083&lt;&gt;"Ausgabe",Q1083=""),0,IF(Q1083="x",-$E1083/(COUNTIF($J1083:$Q1083,"x")+1),-$E1083*N(Q1083)))</f>
        <v/>
      </c>
    </row>
    <row r="1084">
      <c r="A1084" s="30" t="n"/>
      <c r="E1084" s="31" t="n"/>
      <c r="J1084" s="32" t="n"/>
      <c r="K1084" s="32" t="n"/>
      <c r="L1084" s="32" t="n"/>
      <c r="M1084" s="32" t="n"/>
      <c r="N1084" s="32" t="n"/>
      <c r="O1084" s="32" t="n"/>
      <c r="P1084" s="32" t="n"/>
      <c r="Q1084" s="32" t="n"/>
      <c r="U1084" s="31">
        <f>IF($A1084="","",SUM(X1084:AE1084))</f>
        <v/>
      </c>
      <c r="V1084" s="31">
        <f>IF($A1084="","",IF($H1084&lt;&gt;"Ausgabe",0,-$E1084-$U1084))</f>
        <v/>
      </c>
      <c r="W1084" s="33">
        <f>IF($A1084="","",DATE(YEAR($A1084),MONTH($A1084),1))</f>
        <v/>
      </c>
      <c r="X1084" s="34">
        <f>IF(OR($A1084="",$H1084&lt;&gt;"Ausgabe",J1084=""),0,IF(J1084="x",-$E1084/(COUNTIF($J1084:$Q1084,"x")+1),-$E1084*N(J1084)))</f>
        <v/>
      </c>
      <c r="Y1084" s="34">
        <f>IF(OR($A1084="",$H1084&lt;&gt;"Ausgabe",K1084=""),0,IF(K1084="x",-$E1084/(COUNTIF($J1084:$Q1084,"x")+1),-$E1084*N(K1084)))</f>
        <v/>
      </c>
      <c r="Z1084" s="34">
        <f>IF(OR($A1084="",$H1084&lt;&gt;"Ausgabe",L1084=""),0,IF(L1084="x",-$E1084/(COUNTIF($J1084:$Q1084,"x")+1),-$E1084*N(L1084)))</f>
        <v/>
      </c>
      <c r="AA1084" s="34">
        <f>IF(OR($A1084="",$H1084&lt;&gt;"Ausgabe",M1084=""),0,IF(M1084="x",-$E1084/(COUNTIF($J1084:$Q1084,"x")+1),-$E1084*N(M1084)))</f>
        <v/>
      </c>
      <c r="AB1084" s="34">
        <f>IF(OR($A1084="",$H1084&lt;&gt;"Ausgabe",N1084=""),0,IF(N1084="x",-$E1084/(COUNTIF($J1084:$Q1084,"x")+1),-$E1084*N(N1084)))</f>
        <v/>
      </c>
      <c r="AC1084" s="34">
        <f>IF(OR($A1084="",$H1084&lt;&gt;"Ausgabe",O1084=""),0,IF(O1084="x",-$E1084/(COUNTIF($J1084:$Q1084,"x")+1),-$E1084*N(O1084)))</f>
        <v/>
      </c>
      <c r="AD1084" s="34">
        <f>IF(OR($A1084="",$H1084&lt;&gt;"Ausgabe",P1084=""),0,IF(P1084="x",-$E1084/(COUNTIF($J1084:$Q1084,"x")+1),-$E1084*N(P1084)))</f>
        <v/>
      </c>
      <c r="AE1084" s="34">
        <f>IF(OR($A1084="",$H1084&lt;&gt;"Ausgabe",Q1084=""),0,IF(Q1084="x",-$E1084/(COUNTIF($J1084:$Q1084,"x")+1),-$E1084*N(Q1084)))</f>
        <v/>
      </c>
    </row>
    <row r="1085">
      <c r="A1085" s="30" t="n"/>
      <c r="E1085" s="31" t="n"/>
      <c r="J1085" s="32" t="n"/>
      <c r="K1085" s="32" t="n"/>
      <c r="L1085" s="32" t="n"/>
      <c r="M1085" s="32" t="n"/>
      <c r="N1085" s="32" t="n"/>
      <c r="O1085" s="32" t="n"/>
      <c r="P1085" s="32" t="n"/>
      <c r="Q1085" s="32" t="n"/>
      <c r="U1085" s="31">
        <f>IF($A1085="","",SUM(X1085:AE1085))</f>
        <v/>
      </c>
      <c r="V1085" s="31">
        <f>IF($A1085="","",IF($H1085&lt;&gt;"Ausgabe",0,-$E1085-$U1085))</f>
        <v/>
      </c>
      <c r="W1085" s="33">
        <f>IF($A1085="","",DATE(YEAR($A1085),MONTH($A1085),1))</f>
        <v/>
      </c>
      <c r="X1085" s="34">
        <f>IF(OR($A1085="",$H1085&lt;&gt;"Ausgabe",J1085=""),0,IF(J1085="x",-$E1085/(COUNTIF($J1085:$Q1085,"x")+1),-$E1085*N(J1085)))</f>
        <v/>
      </c>
      <c r="Y1085" s="34">
        <f>IF(OR($A1085="",$H1085&lt;&gt;"Ausgabe",K1085=""),0,IF(K1085="x",-$E1085/(COUNTIF($J1085:$Q1085,"x")+1),-$E1085*N(K1085)))</f>
        <v/>
      </c>
      <c r="Z1085" s="34">
        <f>IF(OR($A1085="",$H1085&lt;&gt;"Ausgabe",L1085=""),0,IF(L1085="x",-$E1085/(COUNTIF($J1085:$Q1085,"x")+1),-$E1085*N(L1085)))</f>
        <v/>
      </c>
      <c r="AA1085" s="34">
        <f>IF(OR($A1085="",$H1085&lt;&gt;"Ausgabe",M1085=""),0,IF(M1085="x",-$E1085/(COUNTIF($J1085:$Q1085,"x")+1),-$E1085*N(M1085)))</f>
        <v/>
      </c>
      <c r="AB1085" s="34">
        <f>IF(OR($A1085="",$H1085&lt;&gt;"Ausgabe",N1085=""),0,IF(N1085="x",-$E1085/(COUNTIF($J1085:$Q1085,"x")+1),-$E1085*N(N1085)))</f>
        <v/>
      </c>
      <c r="AC1085" s="34">
        <f>IF(OR($A1085="",$H1085&lt;&gt;"Ausgabe",O1085=""),0,IF(O1085="x",-$E1085/(COUNTIF($J1085:$Q1085,"x")+1),-$E1085*N(O1085)))</f>
        <v/>
      </c>
      <c r="AD1085" s="34">
        <f>IF(OR($A1085="",$H1085&lt;&gt;"Ausgabe",P1085=""),0,IF(P1085="x",-$E1085/(COUNTIF($J1085:$Q1085,"x")+1),-$E1085*N(P1085)))</f>
        <v/>
      </c>
      <c r="AE1085" s="34">
        <f>IF(OR($A1085="",$H1085&lt;&gt;"Ausgabe",Q1085=""),0,IF(Q1085="x",-$E1085/(COUNTIF($J1085:$Q1085,"x")+1),-$E1085*N(Q1085)))</f>
        <v/>
      </c>
    </row>
    <row r="1086">
      <c r="A1086" s="30" t="n"/>
      <c r="E1086" s="31" t="n"/>
      <c r="J1086" s="32" t="n"/>
      <c r="K1086" s="32" t="n"/>
      <c r="L1086" s="32" t="n"/>
      <c r="M1086" s="32" t="n"/>
      <c r="N1086" s="32" t="n"/>
      <c r="O1086" s="32" t="n"/>
      <c r="P1086" s="32" t="n"/>
      <c r="Q1086" s="32" t="n"/>
      <c r="U1086" s="31">
        <f>IF($A1086="","",SUM(X1086:AE1086))</f>
        <v/>
      </c>
      <c r="V1086" s="31">
        <f>IF($A1086="","",IF($H1086&lt;&gt;"Ausgabe",0,-$E1086-$U1086))</f>
        <v/>
      </c>
      <c r="W1086" s="33">
        <f>IF($A1086="","",DATE(YEAR($A1086),MONTH($A1086),1))</f>
        <v/>
      </c>
      <c r="X1086" s="34">
        <f>IF(OR($A1086="",$H1086&lt;&gt;"Ausgabe",J1086=""),0,IF(J1086="x",-$E1086/(COUNTIF($J1086:$Q1086,"x")+1),-$E1086*N(J1086)))</f>
        <v/>
      </c>
      <c r="Y1086" s="34">
        <f>IF(OR($A1086="",$H1086&lt;&gt;"Ausgabe",K1086=""),0,IF(K1086="x",-$E1086/(COUNTIF($J1086:$Q1086,"x")+1),-$E1086*N(K1086)))</f>
        <v/>
      </c>
      <c r="Z1086" s="34">
        <f>IF(OR($A1086="",$H1086&lt;&gt;"Ausgabe",L1086=""),0,IF(L1086="x",-$E1086/(COUNTIF($J1086:$Q1086,"x")+1),-$E1086*N(L1086)))</f>
        <v/>
      </c>
      <c r="AA1086" s="34">
        <f>IF(OR($A1086="",$H1086&lt;&gt;"Ausgabe",M1086=""),0,IF(M1086="x",-$E1086/(COUNTIF($J1086:$Q1086,"x")+1),-$E1086*N(M1086)))</f>
        <v/>
      </c>
      <c r="AB1086" s="34">
        <f>IF(OR($A1086="",$H1086&lt;&gt;"Ausgabe",N1086=""),0,IF(N1086="x",-$E1086/(COUNTIF($J1086:$Q1086,"x")+1),-$E1086*N(N1086)))</f>
        <v/>
      </c>
      <c r="AC1086" s="34">
        <f>IF(OR($A1086="",$H1086&lt;&gt;"Ausgabe",O1086=""),0,IF(O1086="x",-$E1086/(COUNTIF($J1086:$Q1086,"x")+1),-$E1086*N(O1086)))</f>
        <v/>
      </c>
      <c r="AD1086" s="34">
        <f>IF(OR($A1086="",$H1086&lt;&gt;"Ausgabe",P1086=""),0,IF(P1086="x",-$E1086/(COUNTIF($J1086:$Q1086,"x")+1),-$E1086*N(P1086)))</f>
        <v/>
      </c>
      <c r="AE1086" s="34">
        <f>IF(OR($A1086="",$H1086&lt;&gt;"Ausgabe",Q1086=""),0,IF(Q1086="x",-$E1086/(COUNTIF($J1086:$Q1086,"x")+1),-$E1086*N(Q1086)))</f>
        <v/>
      </c>
    </row>
    <row r="1087">
      <c r="A1087" s="30" t="n"/>
      <c r="E1087" s="31" t="n"/>
      <c r="J1087" s="32" t="n"/>
      <c r="K1087" s="32" t="n"/>
      <c r="L1087" s="32" t="n"/>
      <c r="M1087" s="32" t="n"/>
      <c r="N1087" s="32" t="n"/>
      <c r="O1087" s="32" t="n"/>
      <c r="P1087" s="32" t="n"/>
      <c r="Q1087" s="32" t="n"/>
      <c r="U1087" s="31">
        <f>IF($A1087="","",SUM(X1087:AE1087))</f>
        <v/>
      </c>
      <c r="V1087" s="31">
        <f>IF($A1087="","",IF($H1087&lt;&gt;"Ausgabe",0,-$E1087-$U1087))</f>
        <v/>
      </c>
      <c r="W1087" s="33">
        <f>IF($A1087="","",DATE(YEAR($A1087),MONTH($A1087),1))</f>
        <v/>
      </c>
      <c r="X1087" s="34">
        <f>IF(OR($A1087="",$H1087&lt;&gt;"Ausgabe",J1087=""),0,IF(J1087="x",-$E1087/(COUNTIF($J1087:$Q1087,"x")+1),-$E1087*N(J1087)))</f>
        <v/>
      </c>
      <c r="Y1087" s="34">
        <f>IF(OR($A1087="",$H1087&lt;&gt;"Ausgabe",K1087=""),0,IF(K1087="x",-$E1087/(COUNTIF($J1087:$Q1087,"x")+1),-$E1087*N(K1087)))</f>
        <v/>
      </c>
      <c r="Z1087" s="34">
        <f>IF(OR($A1087="",$H1087&lt;&gt;"Ausgabe",L1087=""),0,IF(L1087="x",-$E1087/(COUNTIF($J1087:$Q1087,"x")+1),-$E1087*N(L1087)))</f>
        <v/>
      </c>
      <c r="AA1087" s="34">
        <f>IF(OR($A1087="",$H1087&lt;&gt;"Ausgabe",M1087=""),0,IF(M1087="x",-$E1087/(COUNTIF($J1087:$Q1087,"x")+1),-$E1087*N(M1087)))</f>
        <v/>
      </c>
      <c r="AB1087" s="34">
        <f>IF(OR($A1087="",$H1087&lt;&gt;"Ausgabe",N1087=""),0,IF(N1087="x",-$E1087/(COUNTIF($J1087:$Q1087,"x")+1),-$E1087*N(N1087)))</f>
        <v/>
      </c>
      <c r="AC1087" s="34">
        <f>IF(OR($A1087="",$H1087&lt;&gt;"Ausgabe",O1087=""),0,IF(O1087="x",-$E1087/(COUNTIF($J1087:$Q1087,"x")+1),-$E1087*N(O1087)))</f>
        <v/>
      </c>
      <c r="AD1087" s="34">
        <f>IF(OR($A1087="",$H1087&lt;&gt;"Ausgabe",P1087=""),0,IF(P1087="x",-$E1087/(COUNTIF($J1087:$Q1087,"x")+1),-$E1087*N(P1087)))</f>
        <v/>
      </c>
      <c r="AE1087" s="34">
        <f>IF(OR($A1087="",$H1087&lt;&gt;"Ausgabe",Q1087=""),0,IF(Q1087="x",-$E1087/(COUNTIF($J1087:$Q1087,"x")+1),-$E1087*N(Q1087)))</f>
        <v/>
      </c>
    </row>
    <row r="1088">
      <c r="A1088" s="30" t="n"/>
      <c r="E1088" s="31" t="n"/>
      <c r="J1088" s="32" t="n"/>
      <c r="K1088" s="32" t="n"/>
      <c r="L1088" s="32" t="n"/>
      <c r="M1088" s="32" t="n"/>
      <c r="N1088" s="32" t="n"/>
      <c r="O1088" s="32" t="n"/>
      <c r="P1088" s="32" t="n"/>
      <c r="Q1088" s="32" t="n"/>
      <c r="U1088" s="31">
        <f>IF($A1088="","",SUM(X1088:AE1088))</f>
        <v/>
      </c>
      <c r="V1088" s="31">
        <f>IF($A1088="","",IF($H1088&lt;&gt;"Ausgabe",0,-$E1088-$U1088))</f>
        <v/>
      </c>
      <c r="W1088" s="33">
        <f>IF($A1088="","",DATE(YEAR($A1088),MONTH($A1088),1))</f>
        <v/>
      </c>
      <c r="X1088" s="34">
        <f>IF(OR($A1088="",$H1088&lt;&gt;"Ausgabe",J1088=""),0,IF(J1088="x",-$E1088/(COUNTIF($J1088:$Q1088,"x")+1),-$E1088*N(J1088)))</f>
        <v/>
      </c>
      <c r="Y1088" s="34">
        <f>IF(OR($A1088="",$H1088&lt;&gt;"Ausgabe",K1088=""),0,IF(K1088="x",-$E1088/(COUNTIF($J1088:$Q1088,"x")+1),-$E1088*N(K1088)))</f>
        <v/>
      </c>
      <c r="Z1088" s="34">
        <f>IF(OR($A1088="",$H1088&lt;&gt;"Ausgabe",L1088=""),0,IF(L1088="x",-$E1088/(COUNTIF($J1088:$Q1088,"x")+1),-$E1088*N(L1088)))</f>
        <v/>
      </c>
      <c r="AA1088" s="34">
        <f>IF(OR($A1088="",$H1088&lt;&gt;"Ausgabe",M1088=""),0,IF(M1088="x",-$E1088/(COUNTIF($J1088:$Q1088,"x")+1),-$E1088*N(M1088)))</f>
        <v/>
      </c>
      <c r="AB1088" s="34">
        <f>IF(OR($A1088="",$H1088&lt;&gt;"Ausgabe",N1088=""),0,IF(N1088="x",-$E1088/(COUNTIF($J1088:$Q1088,"x")+1),-$E1088*N(N1088)))</f>
        <v/>
      </c>
      <c r="AC1088" s="34">
        <f>IF(OR($A1088="",$H1088&lt;&gt;"Ausgabe",O1088=""),0,IF(O1088="x",-$E1088/(COUNTIF($J1088:$Q1088,"x")+1),-$E1088*N(O1088)))</f>
        <v/>
      </c>
      <c r="AD1088" s="34">
        <f>IF(OR($A1088="",$H1088&lt;&gt;"Ausgabe",P1088=""),0,IF(P1088="x",-$E1088/(COUNTIF($J1088:$Q1088,"x")+1),-$E1088*N(P1088)))</f>
        <v/>
      </c>
      <c r="AE1088" s="34">
        <f>IF(OR($A1088="",$H1088&lt;&gt;"Ausgabe",Q1088=""),0,IF(Q1088="x",-$E1088/(COUNTIF($J1088:$Q1088,"x")+1),-$E1088*N(Q1088)))</f>
        <v/>
      </c>
    </row>
    <row r="1089">
      <c r="A1089" s="30" t="n"/>
      <c r="E1089" s="31" t="n"/>
      <c r="J1089" s="32" t="n"/>
      <c r="K1089" s="32" t="n"/>
      <c r="L1089" s="32" t="n"/>
      <c r="M1089" s="32" t="n"/>
      <c r="N1089" s="32" t="n"/>
      <c r="O1089" s="32" t="n"/>
      <c r="P1089" s="32" t="n"/>
      <c r="Q1089" s="32" t="n"/>
      <c r="U1089" s="31">
        <f>IF($A1089="","",SUM(X1089:AE1089))</f>
        <v/>
      </c>
      <c r="V1089" s="31">
        <f>IF($A1089="","",IF($H1089&lt;&gt;"Ausgabe",0,-$E1089-$U1089))</f>
        <v/>
      </c>
      <c r="W1089" s="33">
        <f>IF($A1089="","",DATE(YEAR($A1089),MONTH($A1089),1))</f>
        <v/>
      </c>
      <c r="X1089" s="34">
        <f>IF(OR($A1089="",$H1089&lt;&gt;"Ausgabe",J1089=""),0,IF(J1089="x",-$E1089/(COUNTIF($J1089:$Q1089,"x")+1),-$E1089*N(J1089)))</f>
        <v/>
      </c>
      <c r="Y1089" s="34">
        <f>IF(OR($A1089="",$H1089&lt;&gt;"Ausgabe",K1089=""),0,IF(K1089="x",-$E1089/(COUNTIF($J1089:$Q1089,"x")+1),-$E1089*N(K1089)))</f>
        <v/>
      </c>
      <c r="Z1089" s="34">
        <f>IF(OR($A1089="",$H1089&lt;&gt;"Ausgabe",L1089=""),0,IF(L1089="x",-$E1089/(COUNTIF($J1089:$Q1089,"x")+1),-$E1089*N(L1089)))</f>
        <v/>
      </c>
      <c r="AA1089" s="34">
        <f>IF(OR($A1089="",$H1089&lt;&gt;"Ausgabe",M1089=""),0,IF(M1089="x",-$E1089/(COUNTIF($J1089:$Q1089,"x")+1),-$E1089*N(M1089)))</f>
        <v/>
      </c>
      <c r="AB1089" s="34">
        <f>IF(OR($A1089="",$H1089&lt;&gt;"Ausgabe",N1089=""),0,IF(N1089="x",-$E1089/(COUNTIF($J1089:$Q1089,"x")+1),-$E1089*N(N1089)))</f>
        <v/>
      </c>
      <c r="AC1089" s="34">
        <f>IF(OR($A1089="",$H1089&lt;&gt;"Ausgabe",O1089=""),0,IF(O1089="x",-$E1089/(COUNTIF($J1089:$Q1089,"x")+1),-$E1089*N(O1089)))</f>
        <v/>
      </c>
      <c r="AD1089" s="34">
        <f>IF(OR($A1089="",$H1089&lt;&gt;"Ausgabe",P1089=""),0,IF(P1089="x",-$E1089/(COUNTIF($J1089:$Q1089,"x")+1),-$E1089*N(P1089)))</f>
        <v/>
      </c>
      <c r="AE1089" s="34">
        <f>IF(OR($A1089="",$H1089&lt;&gt;"Ausgabe",Q1089=""),0,IF(Q1089="x",-$E1089/(COUNTIF($J1089:$Q1089,"x")+1),-$E1089*N(Q1089)))</f>
        <v/>
      </c>
    </row>
    <row r="1090">
      <c r="A1090" s="30" t="n"/>
      <c r="E1090" s="31" t="n"/>
      <c r="J1090" s="32" t="n"/>
      <c r="K1090" s="32" t="n"/>
      <c r="L1090" s="32" t="n"/>
      <c r="M1090" s="32" t="n"/>
      <c r="N1090" s="32" t="n"/>
      <c r="O1090" s="32" t="n"/>
      <c r="P1090" s="32" t="n"/>
      <c r="Q1090" s="32" t="n"/>
      <c r="U1090" s="31">
        <f>IF($A1090="","",SUM(X1090:AE1090))</f>
        <v/>
      </c>
      <c r="V1090" s="31">
        <f>IF($A1090="","",IF($H1090&lt;&gt;"Ausgabe",0,-$E1090-$U1090))</f>
        <v/>
      </c>
      <c r="W1090" s="33">
        <f>IF($A1090="","",DATE(YEAR($A1090),MONTH($A1090),1))</f>
        <v/>
      </c>
      <c r="X1090" s="34">
        <f>IF(OR($A1090="",$H1090&lt;&gt;"Ausgabe",J1090=""),0,IF(J1090="x",-$E1090/(COUNTIF($J1090:$Q1090,"x")+1),-$E1090*N(J1090)))</f>
        <v/>
      </c>
      <c r="Y1090" s="34">
        <f>IF(OR($A1090="",$H1090&lt;&gt;"Ausgabe",K1090=""),0,IF(K1090="x",-$E1090/(COUNTIF($J1090:$Q1090,"x")+1),-$E1090*N(K1090)))</f>
        <v/>
      </c>
      <c r="Z1090" s="34">
        <f>IF(OR($A1090="",$H1090&lt;&gt;"Ausgabe",L1090=""),0,IF(L1090="x",-$E1090/(COUNTIF($J1090:$Q1090,"x")+1),-$E1090*N(L1090)))</f>
        <v/>
      </c>
      <c r="AA1090" s="34">
        <f>IF(OR($A1090="",$H1090&lt;&gt;"Ausgabe",M1090=""),0,IF(M1090="x",-$E1090/(COUNTIF($J1090:$Q1090,"x")+1),-$E1090*N(M1090)))</f>
        <v/>
      </c>
      <c r="AB1090" s="34">
        <f>IF(OR($A1090="",$H1090&lt;&gt;"Ausgabe",N1090=""),0,IF(N1090="x",-$E1090/(COUNTIF($J1090:$Q1090,"x")+1),-$E1090*N(N1090)))</f>
        <v/>
      </c>
      <c r="AC1090" s="34">
        <f>IF(OR($A1090="",$H1090&lt;&gt;"Ausgabe",O1090=""),0,IF(O1090="x",-$E1090/(COUNTIF($J1090:$Q1090,"x")+1),-$E1090*N(O1090)))</f>
        <v/>
      </c>
      <c r="AD1090" s="34">
        <f>IF(OR($A1090="",$H1090&lt;&gt;"Ausgabe",P1090=""),0,IF(P1090="x",-$E1090/(COUNTIF($J1090:$Q1090,"x")+1),-$E1090*N(P1090)))</f>
        <v/>
      </c>
      <c r="AE1090" s="34">
        <f>IF(OR($A1090="",$H1090&lt;&gt;"Ausgabe",Q1090=""),0,IF(Q1090="x",-$E1090/(COUNTIF($J1090:$Q1090,"x")+1),-$E1090*N(Q1090)))</f>
        <v/>
      </c>
    </row>
    <row r="1091">
      <c r="A1091" s="30" t="n"/>
      <c r="E1091" s="31" t="n"/>
      <c r="J1091" s="32" t="n"/>
      <c r="K1091" s="32" t="n"/>
      <c r="L1091" s="32" t="n"/>
      <c r="M1091" s="32" t="n"/>
      <c r="N1091" s="32" t="n"/>
      <c r="O1091" s="32" t="n"/>
      <c r="P1091" s="32" t="n"/>
      <c r="Q1091" s="32" t="n"/>
      <c r="U1091" s="31">
        <f>IF($A1091="","",SUM(X1091:AE1091))</f>
        <v/>
      </c>
      <c r="V1091" s="31">
        <f>IF($A1091="","",IF($H1091&lt;&gt;"Ausgabe",0,-$E1091-$U1091))</f>
        <v/>
      </c>
      <c r="W1091" s="33">
        <f>IF($A1091="","",DATE(YEAR($A1091),MONTH($A1091),1))</f>
        <v/>
      </c>
      <c r="X1091" s="34">
        <f>IF(OR($A1091="",$H1091&lt;&gt;"Ausgabe",J1091=""),0,IF(J1091="x",-$E1091/(COUNTIF($J1091:$Q1091,"x")+1),-$E1091*N(J1091)))</f>
        <v/>
      </c>
      <c r="Y1091" s="34">
        <f>IF(OR($A1091="",$H1091&lt;&gt;"Ausgabe",K1091=""),0,IF(K1091="x",-$E1091/(COUNTIF($J1091:$Q1091,"x")+1),-$E1091*N(K1091)))</f>
        <v/>
      </c>
      <c r="Z1091" s="34">
        <f>IF(OR($A1091="",$H1091&lt;&gt;"Ausgabe",L1091=""),0,IF(L1091="x",-$E1091/(COUNTIF($J1091:$Q1091,"x")+1),-$E1091*N(L1091)))</f>
        <v/>
      </c>
      <c r="AA1091" s="34">
        <f>IF(OR($A1091="",$H1091&lt;&gt;"Ausgabe",M1091=""),0,IF(M1091="x",-$E1091/(COUNTIF($J1091:$Q1091,"x")+1),-$E1091*N(M1091)))</f>
        <v/>
      </c>
      <c r="AB1091" s="34">
        <f>IF(OR($A1091="",$H1091&lt;&gt;"Ausgabe",N1091=""),0,IF(N1091="x",-$E1091/(COUNTIF($J1091:$Q1091,"x")+1),-$E1091*N(N1091)))</f>
        <v/>
      </c>
      <c r="AC1091" s="34">
        <f>IF(OR($A1091="",$H1091&lt;&gt;"Ausgabe",O1091=""),0,IF(O1091="x",-$E1091/(COUNTIF($J1091:$Q1091,"x")+1),-$E1091*N(O1091)))</f>
        <v/>
      </c>
      <c r="AD1091" s="34">
        <f>IF(OR($A1091="",$H1091&lt;&gt;"Ausgabe",P1091=""),0,IF(P1091="x",-$E1091/(COUNTIF($J1091:$Q1091,"x")+1),-$E1091*N(P1091)))</f>
        <v/>
      </c>
      <c r="AE1091" s="34">
        <f>IF(OR($A1091="",$H1091&lt;&gt;"Ausgabe",Q1091=""),0,IF(Q1091="x",-$E1091/(COUNTIF($J1091:$Q1091,"x")+1),-$E1091*N(Q1091)))</f>
        <v/>
      </c>
    </row>
    <row r="1092">
      <c r="A1092" s="30" t="n"/>
      <c r="E1092" s="31" t="n"/>
      <c r="J1092" s="32" t="n"/>
      <c r="K1092" s="32" t="n"/>
      <c r="L1092" s="32" t="n"/>
      <c r="M1092" s="32" t="n"/>
      <c r="N1092" s="32" t="n"/>
      <c r="O1092" s="32" t="n"/>
      <c r="P1092" s="32" t="n"/>
      <c r="Q1092" s="32" t="n"/>
      <c r="U1092" s="31">
        <f>IF($A1092="","",SUM(X1092:AE1092))</f>
        <v/>
      </c>
      <c r="V1092" s="31">
        <f>IF($A1092="","",IF($H1092&lt;&gt;"Ausgabe",0,-$E1092-$U1092))</f>
        <v/>
      </c>
      <c r="W1092" s="33">
        <f>IF($A1092="","",DATE(YEAR($A1092),MONTH($A1092),1))</f>
        <v/>
      </c>
      <c r="X1092" s="34">
        <f>IF(OR($A1092="",$H1092&lt;&gt;"Ausgabe",J1092=""),0,IF(J1092="x",-$E1092/(COUNTIF($J1092:$Q1092,"x")+1),-$E1092*N(J1092)))</f>
        <v/>
      </c>
      <c r="Y1092" s="34">
        <f>IF(OR($A1092="",$H1092&lt;&gt;"Ausgabe",K1092=""),0,IF(K1092="x",-$E1092/(COUNTIF($J1092:$Q1092,"x")+1),-$E1092*N(K1092)))</f>
        <v/>
      </c>
      <c r="Z1092" s="34">
        <f>IF(OR($A1092="",$H1092&lt;&gt;"Ausgabe",L1092=""),0,IF(L1092="x",-$E1092/(COUNTIF($J1092:$Q1092,"x")+1),-$E1092*N(L1092)))</f>
        <v/>
      </c>
      <c r="AA1092" s="34">
        <f>IF(OR($A1092="",$H1092&lt;&gt;"Ausgabe",M1092=""),0,IF(M1092="x",-$E1092/(COUNTIF($J1092:$Q1092,"x")+1),-$E1092*N(M1092)))</f>
        <v/>
      </c>
      <c r="AB1092" s="34">
        <f>IF(OR($A1092="",$H1092&lt;&gt;"Ausgabe",N1092=""),0,IF(N1092="x",-$E1092/(COUNTIF($J1092:$Q1092,"x")+1),-$E1092*N(N1092)))</f>
        <v/>
      </c>
      <c r="AC1092" s="34">
        <f>IF(OR($A1092="",$H1092&lt;&gt;"Ausgabe",O1092=""),0,IF(O1092="x",-$E1092/(COUNTIF($J1092:$Q1092,"x")+1),-$E1092*N(O1092)))</f>
        <v/>
      </c>
      <c r="AD1092" s="34">
        <f>IF(OR($A1092="",$H1092&lt;&gt;"Ausgabe",P1092=""),0,IF(P1092="x",-$E1092/(COUNTIF($J1092:$Q1092,"x")+1),-$E1092*N(P1092)))</f>
        <v/>
      </c>
      <c r="AE1092" s="34">
        <f>IF(OR($A1092="",$H1092&lt;&gt;"Ausgabe",Q1092=""),0,IF(Q1092="x",-$E1092/(COUNTIF($J1092:$Q1092,"x")+1),-$E1092*N(Q1092)))</f>
        <v/>
      </c>
    </row>
    <row r="1093">
      <c r="A1093" s="30" t="n"/>
      <c r="E1093" s="31" t="n"/>
      <c r="J1093" s="32" t="n"/>
      <c r="K1093" s="32" t="n"/>
      <c r="L1093" s="32" t="n"/>
      <c r="M1093" s="32" t="n"/>
      <c r="N1093" s="32" t="n"/>
      <c r="O1093" s="32" t="n"/>
      <c r="P1093" s="32" t="n"/>
      <c r="Q1093" s="32" t="n"/>
      <c r="U1093" s="31">
        <f>IF($A1093="","",SUM(X1093:AE1093))</f>
        <v/>
      </c>
      <c r="V1093" s="31">
        <f>IF($A1093="","",IF($H1093&lt;&gt;"Ausgabe",0,-$E1093-$U1093))</f>
        <v/>
      </c>
      <c r="W1093" s="33">
        <f>IF($A1093="","",DATE(YEAR($A1093),MONTH($A1093),1))</f>
        <v/>
      </c>
      <c r="X1093" s="34">
        <f>IF(OR($A1093="",$H1093&lt;&gt;"Ausgabe",J1093=""),0,IF(J1093="x",-$E1093/(COUNTIF($J1093:$Q1093,"x")+1),-$E1093*N(J1093)))</f>
        <v/>
      </c>
      <c r="Y1093" s="34">
        <f>IF(OR($A1093="",$H1093&lt;&gt;"Ausgabe",K1093=""),0,IF(K1093="x",-$E1093/(COUNTIF($J1093:$Q1093,"x")+1),-$E1093*N(K1093)))</f>
        <v/>
      </c>
      <c r="Z1093" s="34">
        <f>IF(OR($A1093="",$H1093&lt;&gt;"Ausgabe",L1093=""),0,IF(L1093="x",-$E1093/(COUNTIF($J1093:$Q1093,"x")+1),-$E1093*N(L1093)))</f>
        <v/>
      </c>
      <c r="AA1093" s="34">
        <f>IF(OR($A1093="",$H1093&lt;&gt;"Ausgabe",M1093=""),0,IF(M1093="x",-$E1093/(COUNTIF($J1093:$Q1093,"x")+1),-$E1093*N(M1093)))</f>
        <v/>
      </c>
      <c r="AB1093" s="34">
        <f>IF(OR($A1093="",$H1093&lt;&gt;"Ausgabe",N1093=""),0,IF(N1093="x",-$E1093/(COUNTIF($J1093:$Q1093,"x")+1),-$E1093*N(N1093)))</f>
        <v/>
      </c>
      <c r="AC1093" s="34">
        <f>IF(OR($A1093="",$H1093&lt;&gt;"Ausgabe",O1093=""),0,IF(O1093="x",-$E1093/(COUNTIF($J1093:$Q1093,"x")+1),-$E1093*N(O1093)))</f>
        <v/>
      </c>
      <c r="AD1093" s="34">
        <f>IF(OR($A1093="",$H1093&lt;&gt;"Ausgabe",P1093=""),0,IF(P1093="x",-$E1093/(COUNTIF($J1093:$Q1093,"x")+1),-$E1093*N(P1093)))</f>
        <v/>
      </c>
      <c r="AE1093" s="34">
        <f>IF(OR($A1093="",$H1093&lt;&gt;"Ausgabe",Q1093=""),0,IF(Q1093="x",-$E1093/(COUNTIF($J1093:$Q1093,"x")+1),-$E1093*N(Q1093)))</f>
        <v/>
      </c>
    </row>
    <row r="1094">
      <c r="A1094" s="30" t="n"/>
      <c r="E1094" s="31" t="n"/>
      <c r="J1094" s="32" t="n"/>
      <c r="K1094" s="32" t="n"/>
      <c r="L1094" s="32" t="n"/>
      <c r="M1094" s="32" t="n"/>
      <c r="N1094" s="32" t="n"/>
      <c r="O1094" s="32" t="n"/>
      <c r="P1094" s="32" t="n"/>
      <c r="Q1094" s="32" t="n"/>
      <c r="U1094" s="31">
        <f>IF($A1094="","",SUM(X1094:AE1094))</f>
        <v/>
      </c>
      <c r="V1094" s="31">
        <f>IF($A1094="","",IF($H1094&lt;&gt;"Ausgabe",0,-$E1094-$U1094))</f>
        <v/>
      </c>
      <c r="W1094" s="33">
        <f>IF($A1094="","",DATE(YEAR($A1094),MONTH($A1094),1))</f>
        <v/>
      </c>
      <c r="X1094" s="34">
        <f>IF(OR($A1094="",$H1094&lt;&gt;"Ausgabe",J1094=""),0,IF(J1094="x",-$E1094/(COUNTIF($J1094:$Q1094,"x")+1),-$E1094*N(J1094)))</f>
        <v/>
      </c>
      <c r="Y1094" s="34">
        <f>IF(OR($A1094="",$H1094&lt;&gt;"Ausgabe",K1094=""),0,IF(K1094="x",-$E1094/(COUNTIF($J1094:$Q1094,"x")+1),-$E1094*N(K1094)))</f>
        <v/>
      </c>
      <c r="Z1094" s="34">
        <f>IF(OR($A1094="",$H1094&lt;&gt;"Ausgabe",L1094=""),0,IF(L1094="x",-$E1094/(COUNTIF($J1094:$Q1094,"x")+1),-$E1094*N(L1094)))</f>
        <v/>
      </c>
      <c r="AA1094" s="34">
        <f>IF(OR($A1094="",$H1094&lt;&gt;"Ausgabe",M1094=""),0,IF(M1094="x",-$E1094/(COUNTIF($J1094:$Q1094,"x")+1),-$E1094*N(M1094)))</f>
        <v/>
      </c>
      <c r="AB1094" s="34">
        <f>IF(OR($A1094="",$H1094&lt;&gt;"Ausgabe",N1094=""),0,IF(N1094="x",-$E1094/(COUNTIF($J1094:$Q1094,"x")+1),-$E1094*N(N1094)))</f>
        <v/>
      </c>
      <c r="AC1094" s="34">
        <f>IF(OR($A1094="",$H1094&lt;&gt;"Ausgabe",O1094=""),0,IF(O1094="x",-$E1094/(COUNTIF($J1094:$Q1094,"x")+1),-$E1094*N(O1094)))</f>
        <v/>
      </c>
      <c r="AD1094" s="34">
        <f>IF(OR($A1094="",$H1094&lt;&gt;"Ausgabe",P1094=""),0,IF(P1094="x",-$E1094/(COUNTIF($J1094:$Q1094,"x")+1),-$E1094*N(P1094)))</f>
        <v/>
      </c>
      <c r="AE1094" s="34">
        <f>IF(OR($A1094="",$H1094&lt;&gt;"Ausgabe",Q1094=""),0,IF(Q1094="x",-$E1094/(COUNTIF($J1094:$Q1094,"x")+1),-$E1094*N(Q1094)))</f>
        <v/>
      </c>
    </row>
    <row r="1095">
      <c r="A1095" s="30" t="n"/>
      <c r="E1095" s="31" t="n"/>
      <c r="J1095" s="32" t="n"/>
      <c r="K1095" s="32" t="n"/>
      <c r="L1095" s="32" t="n"/>
      <c r="M1095" s="32" t="n"/>
      <c r="N1095" s="32" t="n"/>
      <c r="O1095" s="32" t="n"/>
      <c r="P1095" s="32" t="n"/>
      <c r="Q1095" s="32" t="n"/>
      <c r="U1095" s="31">
        <f>IF($A1095="","",SUM(X1095:AE1095))</f>
        <v/>
      </c>
      <c r="V1095" s="31">
        <f>IF($A1095="","",IF($H1095&lt;&gt;"Ausgabe",0,-$E1095-$U1095))</f>
        <v/>
      </c>
      <c r="W1095" s="33">
        <f>IF($A1095="","",DATE(YEAR($A1095),MONTH($A1095),1))</f>
        <v/>
      </c>
      <c r="X1095" s="34">
        <f>IF(OR($A1095="",$H1095&lt;&gt;"Ausgabe",J1095=""),0,IF(J1095="x",-$E1095/(COUNTIF($J1095:$Q1095,"x")+1),-$E1095*N(J1095)))</f>
        <v/>
      </c>
      <c r="Y1095" s="34">
        <f>IF(OR($A1095="",$H1095&lt;&gt;"Ausgabe",K1095=""),0,IF(K1095="x",-$E1095/(COUNTIF($J1095:$Q1095,"x")+1),-$E1095*N(K1095)))</f>
        <v/>
      </c>
      <c r="Z1095" s="34">
        <f>IF(OR($A1095="",$H1095&lt;&gt;"Ausgabe",L1095=""),0,IF(L1095="x",-$E1095/(COUNTIF($J1095:$Q1095,"x")+1),-$E1095*N(L1095)))</f>
        <v/>
      </c>
      <c r="AA1095" s="34">
        <f>IF(OR($A1095="",$H1095&lt;&gt;"Ausgabe",M1095=""),0,IF(M1095="x",-$E1095/(COUNTIF($J1095:$Q1095,"x")+1),-$E1095*N(M1095)))</f>
        <v/>
      </c>
      <c r="AB1095" s="34">
        <f>IF(OR($A1095="",$H1095&lt;&gt;"Ausgabe",N1095=""),0,IF(N1095="x",-$E1095/(COUNTIF($J1095:$Q1095,"x")+1),-$E1095*N(N1095)))</f>
        <v/>
      </c>
      <c r="AC1095" s="34">
        <f>IF(OR($A1095="",$H1095&lt;&gt;"Ausgabe",O1095=""),0,IF(O1095="x",-$E1095/(COUNTIF($J1095:$Q1095,"x")+1),-$E1095*N(O1095)))</f>
        <v/>
      </c>
      <c r="AD1095" s="34">
        <f>IF(OR($A1095="",$H1095&lt;&gt;"Ausgabe",P1095=""),0,IF(P1095="x",-$E1095/(COUNTIF($J1095:$Q1095,"x")+1),-$E1095*N(P1095)))</f>
        <v/>
      </c>
      <c r="AE1095" s="34">
        <f>IF(OR($A1095="",$H1095&lt;&gt;"Ausgabe",Q1095=""),0,IF(Q1095="x",-$E1095/(COUNTIF($J1095:$Q1095,"x")+1),-$E1095*N(Q1095)))</f>
        <v/>
      </c>
    </row>
    <row r="1096">
      <c r="A1096" s="30" t="n"/>
      <c r="E1096" s="31" t="n"/>
      <c r="J1096" s="32" t="n"/>
      <c r="K1096" s="32" t="n"/>
      <c r="L1096" s="32" t="n"/>
      <c r="M1096" s="32" t="n"/>
      <c r="N1096" s="32" t="n"/>
      <c r="O1096" s="32" t="n"/>
      <c r="P1096" s="32" t="n"/>
      <c r="Q1096" s="32" t="n"/>
      <c r="U1096" s="31">
        <f>IF($A1096="","",SUM(X1096:AE1096))</f>
        <v/>
      </c>
      <c r="V1096" s="31">
        <f>IF($A1096="","",IF($H1096&lt;&gt;"Ausgabe",0,-$E1096-$U1096))</f>
        <v/>
      </c>
      <c r="W1096" s="33">
        <f>IF($A1096="","",DATE(YEAR($A1096),MONTH($A1096),1))</f>
        <v/>
      </c>
      <c r="X1096" s="34">
        <f>IF(OR($A1096="",$H1096&lt;&gt;"Ausgabe",J1096=""),0,IF(J1096="x",-$E1096/(COUNTIF($J1096:$Q1096,"x")+1),-$E1096*N(J1096)))</f>
        <v/>
      </c>
      <c r="Y1096" s="34">
        <f>IF(OR($A1096="",$H1096&lt;&gt;"Ausgabe",K1096=""),0,IF(K1096="x",-$E1096/(COUNTIF($J1096:$Q1096,"x")+1),-$E1096*N(K1096)))</f>
        <v/>
      </c>
      <c r="Z1096" s="34">
        <f>IF(OR($A1096="",$H1096&lt;&gt;"Ausgabe",L1096=""),0,IF(L1096="x",-$E1096/(COUNTIF($J1096:$Q1096,"x")+1),-$E1096*N(L1096)))</f>
        <v/>
      </c>
      <c r="AA1096" s="34">
        <f>IF(OR($A1096="",$H1096&lt;&gt;"Ausgabe",M1096=""),0,IF(M1096="x",-$E1096/(COUNTIF($J1096:$Q1096,"x")+1),-$E1096*N(M1096)))</f>
        <v/>
      </c>
      <c r="AB1096" s="34">
        <f>IF(OR($A1096="",$H1096&lt;&gt;"Ausgabe",N1096=""),0,IF(N1096="x",-$E1096/(COUNTIF($J1096:$Q1096,"x")+1),-$E1096*N(N1096)))</f>
        <v/>
      </c>
      <c r="AC1096" s="34">
        <f>IF(OR($A1096="",$H1096&lt;&gt;"Ausgabe",O1096=""),0,IF(O1096="x",-$E1096/(COUNTIF($J1096:$Q1096,"x")+1),-$E1096*N(O1096)))</f>
        <v/>
      </c>
      <c r="AD1096" s="34">
        <f>IF(OR($A1096="",$H1096&lt;&gt;"Ausgabe",P1096=""),0,IF(P1096="x",-$E1096/(COUNTIF($J1096:$Q1096,"x")+1),-$E1096*N(P1096)))</f>
        <v/>
      </c>
      <c r="AE1096" s="34">
        <f>IF(OR($A1096="",$H1096&lt;&gt;"Ausgabe",Q1096=""),0,IF(Q1096="x",-$E1096/(COUNTIF($J1096:$Q1096,"x")+1),-$E1096*N(Q1096)))</f>
        <v/>
      </c>
    </row>
    <row r="1097">
      <c r="A1097" s="30" t="n"/>
      <c r="E1097" s="31" t="n"/>
      <c r="J1097" s="32" t="n"/>
      <c r="K1097" s="32" t="n"/>
      <c r="L1097" s="32" t="n"/>
      <c r="M1097" s="32" t="n"/>
      <c r="N1097" s="32" t="n"/>
      <c r="O1097" s="32" t="n"/>
      <c r="P1097" s="32" t="n"/>
      <c r="Q1097" s="32" t="n"/>
      <c r="U1097" s="31">
        <f>IF($A1097="","",SUM(X1097:AE1097))</f>
        <v/>
      </c>
      <c r="V1097" s="31">
        <f>IF($A1097="","",IF($H1097&lt;&gt;"Ausgabe",0,-$E1097-$U1097))</f>
        <v/>
      </c>
      <c r="W1097" s="33">
        <f>IF($A1097="","",DATE(YEAR($A1097),MONTH($A1097),1))</f>
        <v/>
      </c>
      <c r="X1097" s="34">
        <f>IF(OR($A1097="",$H1097&lt;&gt;"Ausgabe",J1097=""),0,IF(J1097="x",-$E1097/(COUNTIF($J1097:$Q1097,"x")+1),-$E1097*N(J1097)))</f>
        <v/>
      </c>
      <c r="Y1097" s="34">
        <f>IF(OR($A1097="",$H1097&lt;&gt;"Ausgabe",K1097=""),0,IF(K1097="x",-$E1097/(COUNTIF($J1097:$Q1097,"x")+1),-$E1097*N(K1097)))</f>
        <v/>
      </c>
      <c r="Z1097" s="34">
        <f>IF(OR($A1097="",$H1097&lt;&gt;"Ausgabe",L1097=""),0,IF(L1097="x",-$E1097/(COUNTIF($J1097:$Q1097,"x")+1),-$E1097*N(L1097)))</f>
        <v/>
      </c>
      <c r="AA1097" s="34">
        <f>IF(OR($A1097="",$H1097&lt;&gt;"Ausgabe",M1097=""),0,IF(M1097="x",-$E1097/(COUNTIF($J1097:$Q1097,"x")+1),-$E1097*N(M1097)))</f>
        <v/>
      </c>
      <c r="AB1097" s="34">
        <f>IF(OR($A1097="",$H1097&lt;&gt;"Ausgabe",N1097=""),0,IF(N1097="x",-$E1097/(COUNTIF($J1097:$Q1097,"x")+1),-$E1097*N(N1097)))</f>
        <v/>
      </c>
      <c r="AC1097" s="34">
        <f>IF(OR($A1097="",$H1097&lt;&gt;"Ausgabe",O1097=""),0,IF(O1097="x",-$E1097/(COUNTIF($J1097:$Q1097,"x")+1),-$E1097*N(O1097)))</f>
        <v/>
      </c>
      <c r="AD1097" s="34">
        <f>IF(OR($A1097="",$H1097&lt;&gt;"Ausgabe",P1097=""),0,IF(P1097="x",-$E1097/(COUNTIF($J1097:$Q1097,"x")+1),-$E1097*N(P1097)))</f>
        <v/>
      </c>
      <c r="AE1097" s="34">
        <f>IF(OR($A1097="",$H1097&lt;&gt;"Ausgabe",Q1097=""),0,IF(Q1097="x",-$E1097/(COUNTIF($J1097:$Q1097,"x")+1),-$E1097*N(Q1097)))</f>
        <v/>
      </c>
    </row>
    <row r="1098">
      <c r="A1098" s="30" t="n"/>
      <c r="E1098" s="31" t="n"/>
      <c r="J1098" s="32" t="n"/>
      <c r="K1098" s="32" t="n"/>
      <c r="L1098" s="32" t="n"/>
      <c r="M1098" s="32" t="n"/>
      <c r="N1098" s="32" t="n"/>
      <c r="O1098" s="32" t="n"/>
      <c r="P1098" s="32" t="n"/>
      <c r="Q1098" s="32" t="n"/>
      <c r="U1098" s="31">
        <f>IF($A1098="","",SUM(X1098:AE1098))</f>
        <v/>
      </c>
      <c r="V1098" s="31">
        <f>IF($A1098="","",IF($H1098&lt;&gt;"Ausgabe",0,-$E1098-$U1098))</f>
        <v/>
      </c>
      <c r="W1098" s="33">
        <f>IF($A1098="","",DATE(YEAR($A1098),MONTH($A1098),1))</f>
        <v/>
      </c>
      <c r="X1098" s="34">
        <f>IF(OR($A1098="",$H1098&lt;&gt;"Ausgabe",J1098=""),0,IF(J1098="x",-$E1098/(COUNTIF($J1098:$Q1098,"x")+1),-$E1098*N(J1098)))</f>
        <v/>
      </c>
      <c r="Y1098" s="34">
        <f>IF(OR($A1098="",$H1098&lt;&gt;"Ausgabe",K1098=""),0,IF(K1098="x",-$E1098/(COUNTIF($J1098:$Q1098,"x")+1),-$E1098*N(K1098)))</f>
        <v/>
      </c>
      <c r="Z1098" s="34">
        <f>IF(OR($A1098="",$H1098&lt;&gt;"Ausgabe",L1098=""),0,IF(L1098="x",-$E1098/(COUNTIF($J1098:$Q1098,"x")+1),-$E1098*N(L1098)))</f>
        <v/>
      </c>
      <c r="AA1098" s="34">
        <f>IF(OR($A1098="",$H1098&lt;&gt;"Ausgabe",M1098=""),0,IF(M1098="x",-$E1098/(COUNTIF($J1098:$Q1098,"x")+1),-$E1098*N(M1098)))</f>
        <v/>
      </c>
      <c r="AB1098" s="34">
        <f>IF(OR($A1098="",$H1098&lt;&gt;"Ausgabe",N1098=""),0,IF(N1098="x",-$E1098/(COUNTIF($J1098:$Q1098,"x")+1),-$E1098*N(N1098)))</f>
        <v/>
      </c>
      <c r="AC1098" s="34">
        <f>IF(OR($A1098="",$H1098&lt;&gt;"Ausgabe",O1098=""),0,IF(O1098="x",-$E1098/(COUNTIF($J1098:$Q1098,"x")+1),-$E1098*N(O1098)))</f>
        <v/>
      </c>
      <c r="AD1098" s="34">
        <f>IF(OR($A1098="",$H1098&lt;&gt;"Ausgabe",P1098=""),0,IF(P1098="x",-$E1098/(COUNTIF($J1098:$Q1098,"x")+1),-$E1098*N(P1098)))</f>
        <v/>
      </c>
      <c r="AE1098" s="34">
        <f>IF(OR($A1098="",$H1098&lt;&gt;"Ausgabe",Q1098=""),0,IF(Q1098="x",-$E1098/(COUNTIF($J1098:$Q1098,"x")+1),-$E1098*N(Q1098)))</f>
        <v/>
      </c>
    </row>
    <row r="1099">
      <c r="A1099" s="30" t="n"/>
      <c r="E1099" s="31" t="n"/>
      <c r="J1099" s="32" t="n"/>
      <c r="K1099" s="32" t="n"/>
      <c r="L1099" s="32" t="n"/>
      <c r="M1099" s="32" t="n"/>
      <c r="N1099" s="32" t="n"/>
      <c r="O1099" s="32" t="n"/>
      <c r="P1099" s="32" t="n"/>
      <c r="Q1099" s="32" t="n"/>
      <c r="U1099" s="31">
        <f>IF($A1099="","",SUM(X1099:AE1099))</f>
        <v/>
      </c>
      <c r="V1099" s="31">
        <f>IF($A1099="","",IF($H1099&lt;&gt;"Ausgabe",0,-$E1099-$U1099))</f>
        <v/>
      </c>
      <c r="W1099" s="33">
        <f>IF($A1099="","",DATE(YEAR($A1099),MONTH($A1099),1))</f>
        <v/>
      </c>
      <c r="X1099" s="34">
        <f>IF(OR($A1099="",$H1099&lt;&gt;"Ausgabe",J1099=""),0,IF(J1099="x",-$E1099/(COUNTIF($J1099:$Q1099,"x")+1),-$E1099*N(J1099)))</f>
        <v/>
      </c>
      <c r="Y1099" s="34">
        <f>IF(OR($A1099="",$H1099&lt;&gt;"Ausgabe",K1099=""),0,IF(K1099="x",-$E1099/(COUNTIF($J1099:$Q1099,"x")+1),-$E1099*N(K1099)))</f>
        <v/>
      </c>
      <c r="Z1099" s="34">
        <f>IF(OR($A1099="",$H1099&lt;&gt;"Ausgabe",L1099=""),0,IF(L1099="x",-$E1099/(COUNTIF($J1099:$Q1099,"x")+1),-$E1099*N(L1099)))</f>
        <v/>
      </c>
      <c r="AA1099" s="34">
        <f>IF(OR($A1099="",$H1099&lt;&gt;"Ausgabe",M1099=""),0,IF(M1099="x",-$E1099/(COUNTIF($J1099:$Q1099,"x")+1),-$E1099*N(M1099)))</f>
        <v/>
      </c>
      <c r="AB1099" s="34">
        <f>IF(OR($A1099="",$H1099&lt;&gt;"Ausgabe",N1099=""),0,IF(N1099="x",-$E1099/(COUNTIF($J1099:$Q1099,"x")+1),-$E1099*N(N1099)))</f>
        <v/>
      </c>
      <c r="AC1099" s="34">
        <f>IF(OR($A1099="",$H1099&lt;&gt;"Ausgabe",O1099=""),0,IF(O1099="x",-$E1099/(COUNTIF($J1099:$Q1099,"x")+1),-$E1099*N(O1099)))</f>
        <v/>
      </c>
      <c r="AD1099" s="34">
        <f>IF(OR($A1099="",$H1099&lt;&gt;"Ausgabe",P1099=""),0,IF(P1099="x",-$E1099/(COUNTIF($J1099:$Q1099,"x")+1),-$E1099*N(P1099)))</f>
        <v/>
      </c>
      <c r="AE1099" s="34">
        <f>IF(OR($A1099="",$H1099&lt;&gt;"Ausgabe",Q1099=""),0,IF(Q1099="x",-$E1099/(COUNTIF($J1099:$Q1099,"x")+1),-$E1099*N(Q1099)))</f>
        <v/>
      </c>
    </row>
    <row r="1100">
      <c r="A1100" s="30" t="n"/>
      <c r="E1100" s="31" t="n"/>
      <c r="J1100" s="32" t="n"/>
      <c r="K1100" s="32" t="n"/>
      <c r="L1100" s="32" t="n"/>
      <c r="M1100" s="32" t="n"/>
      <c r="N1100" s="32" t="n"/>
      <c r="O1100" s="32" t="n"/>
      <c r="P1100" s="32" t="n"/>
      <c r="Q1100" s="32" t="n"/>
      <c r="U1100" s="31">
        <f>IF($A1100="","",SUM(X1100:AE1100))</f>
        <v/>
      </c>
      <c r="V1100" s="31">
        <f>IF($A1100="","",IF($H1100&lt;&gt;"Ausgabe",0,-$E1100-$U1100))</f>
        <v/>
      </c>
      <c r="W1100" s="33">
        <f>IF($A1100="","",DATE(YEAR($A1100),MONTH($A1100),1))</f>
        <v/>
      </c>
      <c r="X1100" s="34">
        <f>IF(OR($A1100="",$H1100&lt;&gt;"Ausgabe",J1100=""),0,IF(J1100="x",-$E1100/(COUNTIF($J1100:$Q1100,"x")+1),-$E1100*N(J1100)))</f>
        <v/>
      </c>
      <c r="Y1100" s="34">
        <f>IF(OR($A1100="",$H1100&lt;&gt;"Ausgabe",K1100=""),0,IF(K1100="x",-$E1100/(COUNTIF($J1100:$Q1100,"x")+1),-$E1100*N(K1100)))</f>
        <v/>
      </c>
      <c r="Z1100" s="34">
        <f>IF(OR($A1100="",$H1100&lt;&gt;"Ausgabe",L1100=""),0,IF(L1100="x",-$E1100/(COUNTIF($J1100:$Q1100,"x")+1),-$E1100*N(L1100)))</f>
        <v/>
      </c>
      <c r="AA1100" s="34">
        <f>IF(OR($A1100="",$H1100&lt;&gt;"Ausgabe",M1100=""),0,IF(M1100="x",-$E1100/(COUNTIF($J1100:$Q1100,"x")+1),-$E1100*N(M1100)))</f>
        <v/>
      </c>
      <c r="AB1100" s="34">
        <f>IF(OR($A1100="",$H1100&lt;&gt;"Ausgabe",N1100=""),0,IF(N1100="x",-$E1100/(COUNTIF($J1100:$Q1100,"x")+1),-$E1100*N(N1100)))</f>
        <v/>
      </c>
      <c r="AC1100" s="34">
        <f>IF(OR($A1100="",$H1100&lt;&gt;"Ausgabe",O1100=""),0,IF(O1100="x",-$E1100/(COUNTIF($J1100:$Q1100,"x")+1),-$E1100*N(O1100)))</f>
        <v/>
      </c>
      <c r="AD1100" s="34">
        <f>IF(OR($A1100="",$H1100&lt;&gt;"Ausgabe",P1100=""),0,IF(P1100="x",-$E1100/(COUNTIF($J1100:$Q1100,"x")+1),-$E1100*N(P1100)))</f>
        <v/>
      </c>
      <c r="AE1100" s="34">
        <f>IF(OR($A1100="",$H1100&lt;&gt;"Ausgabe",Q1100=""),0,IF(Q1100="x",-$E1100/(COUNTIF($J1100:$Q1100,"x")+1),-$E1100*N(Q1100)))</f>
        <v/>
      </c>
    </row>
    <row r="1101">
      <c r="A1101" s="30" t="n"/>
      <c r="E1101" s="31" t="n"/>
      <c r="J1101" s="32" t="n"/>
      <c r="K1101" s="32" t="n"/>
      <c r="L1101" s="32" t="n"/>
      <c r="M1101" s="32" t="n"/>
      <c r="N1101" s="32" t="n"/>
      <c r="O1101" s="32" t="n"/>
      <c r="P1101" s="32" t="n"/>
      <c r="Q1101" s="32" t="n"/>
      <c r="U1101" s="31">
        <f>IF($A1101="","",SUM(X1101:AE1101))</f>
        <v/>
      </c>
      <c r="V1101" s="31">
        <f>IF($A1101="","",IF($H1101&lt;&gt;"Ausgabe",0,-$E1101-$U1101))</f>
        <v/>
      </c>
      <c r="W1101" s="33">
        <f>IF($A1101="","",DATE(YEAR($A1101),MONTH($A1101),1))</f>
        <v/>
      </c>
      <c r="X1101" s="34">
        <f>IF(OR($A1101="",$H1101&lt;&gt;"Ausgabe",J1101=""),0,IF(J1101="x",-$E1101/(COUNTIF($J1101:$Q1101,"x")+1),-$E1101*N(J1101)))</f>
        <v/>
      </c>
      <c r="Y1101" s="34">
        <f>IF(OR($A1101="",$H1101&lt;&gt;"Ausgabe",K1101=""),0,IF(K1101="x",-$E1101/(COUNTIF($J1101:$Q1101,"x")+1),-$E1101*N(K1101)))</f>
        <v/>
      </c>
      <c r="Z1101" s="34">
        <f>IF(OR($A1101="",$H1101&lt;&gt;"Ausgabe",L1101=""),0,IF(L1101="x",-$E1101/(COUNTIF($J1101:$Q1101,"x")+1),-$E1101*N(L1101)))</f>
        <v/>
      </c>
      <c r="AA1101" s="34">
        <f>IF(OR($A1101="",$H1101&lt;&gt;"Ausgabe",M1101=""),0,IF(M1101="x",-$E1101/(COUNTIF($J1101:$Q1101,"x")+1),-$E1101*N(M1101)))</f>
        <v/>
      </c>
      <c r="AB1101" s="34">
        <f>IF(OR($A1101="",$H1101&lt;&gt;"Ausgabe",N1101=""),0,IF(N1101="x",-$E1101/(COUNTIF($J1101:$Q1101,"x")+1),-$E1101*N(N1101)))</f>
        <v/>
      </c>
      <c r="AC1101" s="34">
        <f>IF(OR($A1101="",$H1101&lt;&gt;"Ausgabe",O1101=""),0,IF(O1101="x",-$E1101/(COUNTIF($J1101:$Q1101,"x")+1),-$E1101*N(O1101)))</f>
        <v/>
      </c>
      <c r="AD1101" s="34">
        <f>IF(OR($A1101="",$H1101&lt;&gt;"Ausgabe",P1101=""),0,IF(P1101="x",-$E1101/(COUNTIF($J1101:$Q1101,"x")+1),-$E1101*N(P1101)))</f>
        <v/>
      </c>
      <c r="AE1101" s="34">
        <f>IF(OR($A1101="",$H1101&lt;&gt;"Ausgabe",Q1101=""),0,IF(Q1101="x",-$E1101/(COUNTIF($J1101:$Q1101,"x")+1),-$E1101*N(Q1101)))</f>
        <v/>
      </c>
    </row>
    <row r="1102">
      <c r="A1102" s="30" t="n"/>
      <c r="E1102" s="31" t="n"/>
      <c r="J1102" s="32" t="n"/>
      <c r="K1102" s="32" t="n"/>
      <c r="L1102" s="32" t="n"/>
      <c r="M1102" s="32" t="n"/>
      <c r="N1102" s="32" t="n"/>
      <c r="O1102" s="32" t="n"/>
      <c r="P1102" s="32" t="n"/>
      <c r="Q1102" s="32" t="n"/>
      <c r="U1102" s="31">
        <f>IF($A1102="","",SUM(X1102:AE1102))</f>
        <v/>
      </c>
      <c r="V1102" s="31">
        <f>IF($A1102="","",IF($H1102&lt;&gt;"Ausgabe",0,-$E1102-$U1102))</f>
        <v/>
      </c>
      <c r="W1102" s="33">
        <f>IF($A1102="","",DATE(YEAR($A1102),MONTH($A1102),1))</f>
        <v/>
      </c>
      <c r="X1102" s="34">
        <f>IF(OR($A1102="",$H1102&lt;&gt;"Ausgabe",J1102=""),0,IF(J1102="x",-$E1102/(COUNTIF($J1102:$Q1102,"x")+1),-$E1102*N(J1102)))</f>
        <v/>
      </c>
      <c r="Y1102" s="34">
        <f>IF(OR($A1102="",$H1102&lt;&gt;"Ausgabe",K1102=""),0,IF(K1102="x",-$E1102/(COUNTIF($J1102:$Q1102,"x")+1),-$E1102*N(K1102)))</f>
        <v/>
      </c>
      <c r="Z1102" s="34">
        <f>IF(OR($A1102="",$H1102&lt;&gt;"Ausgabe",L1102=""),0,IF(L1102="x",-$E1102/(COUNTIF($J1102:$Q1102,"x")+1),-$E1102*N(L1102)))</f>
        <v/>
      </c>
      <c r="AA1102" s="34">
        <f>IF(OR($A1102="",$H1102&lt;&gt;"Ausgabe",M1102=""),0,IF(M1102="x",-$E1102/(COUNTIF($J1102:$Q1102,"x")+1),-$E1102*N(M1102)))</f>
        <v/>
      </c>
      <c r="AB1102" s="34">
        <f>IF(OR($A1102="",$H1102&lt;&gt;"Ausgabe",N1102=""),0,IF(N1102="x",-$E1102/(COUNTIF($J1102:$Q1102,"x")+1),-$E1102*N(N1102)))</f>
        <v/>
      </c>
      <c r="AC1102" s="34">
        <f>IF(OR($A1102="",$H1102&lt;&gt;"Ausgabe",O1102=""),0,IF(O1102="x",-$E1102/(COUNTIF($J1102:$Q1102,"x")+1),-$E1102*N(O1102)))</f>
        <v/>
      </c>
      <c r="AD1102" s="34">
        <f>IF(OR($A1102="",$H1102&lt;&gt;"Ausgabe",P1102=""),0,IF(P1102="x",-$E1102/(COUNTIF($J1102:$Q1102,"x")+1),-$E1102*N(P1102)))</f>
        <v/>
      </c>
      <c r="AE1102" s="34">
        <f>IF(OR($A1102="",$H1102&lt;&gt;"Ausgabe",Q1102=""),0,IF(Q1102="x",-$E1102/(COUNTIF($J1102:$Q1102,"x")+1),-$E1102*N(Q1102)))</f>
        <v/>
      </c>
    </row>
    <row r="1103">
      <c r="A1103" s="30" t="n"/>
      <c r="E1103" s="31" t="n"/>
      <c r="J1103" s="32" t="n"/>
      <c r="K1103" s="32" t="n"/>
      <c r="L1103" s="32" t="n"/>
      <c r="M1103" s="32" t="n"/>
      <c r="N1103" s="32" t="n"/>
      <c r="O1103" s="32" t="n"/>
      <c r="P1103" s="32" t="n"/>
      <c r="Q1103" s="32" t="n"/>
      <c r="U1103" s="31">
        <f>IF($A1103="","",SUM(X1103:AE1103))</f>
        <v/>
      </c>
      <c r="V1103" s="31">
        <f>IF($A1103="","",IF($H1103&lt;&gt;"Ausgabe",0,-$E1103-$U1103))</f>
        <v/>
      </c>
      <c r="W1103" s="33">
        <f>IF($A1103="","",DATE(YEAR($A1103),MONTH($A1103),1))</f>
        <v/>
      </c>
      <c r="X1103" s="34">
        <f>IF(OR($A1103="",$H1103&lt;&gt;"Ausgabe",J1103=""),0,IF(J1103="x",-$E1103/(COUNTIF($J1103:$Q1103,"x")+1),-$E1103*N(J1103)))</f>
        <v/>
      </c>
      <c r="Y1103" s="34">
        <f>IF(OR($A1103="",$H1103&lt;&gt;"Ausgabe",K1103=""),0,IF(K1103="x",-$E1103/(COUNTIF($J1103:$Q1103,"x")+1),-$E1103*N(K1103)))</f>
        <v/>
      </c>
      <c r="Z1103" s="34">
        <f>IF(OR($A1103="",$H1103&lt;&gt;"Ausgabe",L1103=""),0,IF(L1103="x",-$E1103/(COUNTIF($J1103:$Q1103,"x")+1),-$E1103*N(L1103)))</f>
        <v/>
      </c>
      <c r="AA1103" s="34">
        <f>IF(OR($A1103="",$H1103&lt;&gt;"Ausgabe",M1103=""),0,IF(M1103="x",-$E1103/(COUNTIF($J1103:$Q1103,"x")+1),-$E1103*N(M1103)))</f>
        <v/>
      </c>
      <c r="AB1103" s="34">
        <f>IF(OR($A1103="",$H1103&lt;&gt;"Ausgabe",N1103=""),0,IF(N1103="x",-$E1103/(COUNTIF($J1103:$Q1103,"x")+1),-$E1103*N(N1103)))</f>
        <v/>
      </c>
      <c r="AC1103" s="34">
        <f>IF(OR($A1103="",$H1103&lt;&gt;"Ausgabe",O1103=""),0,IF(O1103="x",-$E1103/(COUNTIF($J1103:$Q1103,"x")+1),-$E1103*N(O1103)))</f>
        <v/>
      </c>
      <c r="AD1103" s="34">
        <f>IF(OR($A1103="",$H1103&lt;&gt;"Ausgabe",P1103=""),0,IF(P1103="x",-$E1103/(COUNTIF($J1103:$Q1103,"x")+1),-$E1103*N(P1103)))</f>
        <v/>
      </c>
      <c r="AE1103" s="34">
        <f>IF(OR($A1103="",$H1103&lt;&gt;"Ausgabe",Q1103=""),0,IF(Q1103="x",-$E1103/(COUNTIF($J1103:$Q1103,"x")+1),-$E1103*N(Q1103)))</f>
        <v/>
      </c>
    </row>
    <row r="1104">
      <c r="A1104" s="30" t="n"/>
      <c r="E1104" s="31" t="n"/>
      <c r="J1104" s="32" t="n"/>
      <c r="K1104" s="32" t="n"/>
      <c r="L1104" s="32" t="n"/>
      <c r="M1104" s="32" t="n"/>
      <c r="N1104" s="32" t="n"/>
      <c r="O1104" s="32" t="n"/>
      <c r="P1104" s="32" t="n"/>
      <c r="Q1104" s="32" t="n"/>
      <c r="U1104" s="31">
        <f>IF($A1104="","",SUM(X1104:AE1104))</f>
        <v/>
      </c>
      <c r="V1104" s="31">
        <f>IF($A1104="","",IF($H1104&lt;&gt;"Ausgabe",0,-$E1104-$U1104))</f>
        <v/>
      </c>
      <c r="W1104" s="33">
        <f>IF($A1104="","",DATE(YEAR($A1104),MONTH($A1104),1))</f>
        <v/>
      </c>
      <c r="X1104" s="34">
        <f>IF(OR($A1104="",$H1104&lt;&gt;"Ausgabe",J1104=""),0,IF(J1104="x",-$E1104/(COUNTIF($J1104:$Q1104,"x")+1),-$E1104*N(J1104)))</f>
        <v/>
      </c>
      <c r="Y1104" s="34">
        <f>IF(OR($A1104="",$H1104&lt;&gt;"Ausgabe",K1104=""),0,IF(K1104="x",-$E1104/(COUNTIF($J1104:$Q1104,"x")+1),-$E1104*N(K1104)))</f>
        <v/>
      </c>
      <c r="Z1104" s="34">
        <f>IF(OR($A1104="",$H1104&lt;&gt;"Ausgabe",L1104=""),0,IF(L1104="x",-$E1104/(COUNTIF($J1104:$Q1104,"x")+1),-$E1104*N(L1104)))</f>
        <v/>
      </c>
      <c r="AA1104" s="34">
        <f>IF(OR($A1104="",$H1104&lt;&gt;"Ausgabe",M1104=""),0,IF(M1104="x",-$E1104/(COUNTIF($J1104:$Q1104,"x")+1),-$E1104*N(M1104)))</f>
        <v/>
      </c>
      <c r="AB1104" s="34">
        <f>IF(OR($A1104="",$H1104&lt;&gt;"Ausgabe",N1104=""),0,IF(N1104="x",-$E1104/(COUNTIF($J1104:$Q1104,"x")+1),-$E1104*N(N1104)))</f>
        <v/>
      </c>
      <c r="AC1104" s="34">
        <f>IF(OR($A1104="",$H1104&lt;&gt;"Ausgabe",O1104=""),0,IF(O1104="x",-$E1104/(COUNTIF($J1104:$Q1104,"x")+1),-$E1104*N(O1104)))</f>
        <v/>
      </c>
      <c r="AD1104" s="34">
        <f>IF(OR($A1104="",$H1104&lt;&gt;"Ausgabe",P1104=""),0,IF(P1104="x",-$E1104/(COUNTIF($J1104:$Q1104,"x")+1),-$E1104*N(P1104)))</f>
        <v/>
      </c>
      <c r="AE1104" s="34">
        <f>IF(OR($A1104="",$H1104&lt;&gt;"Ausgabe",Q1104=""),0,IF(Q1104="x",-$E1104/(COUNTIF($J1104:$Q1104,"x")+1),-$E1104*N(Q1104)))</f>
        <v/>
      </c>
    </row>
    <row r="1105">
      <c r="A1105" s="30" t="n"/>
      <c r="E1105" s="31" t="n"/>
      <c r="J1105" s="32" t="n"/>
      <c r="K1105" s="32" t="n"/>
      <c r="L1105" s="32" t="n"/>
      <c r="M1105" s="32" t="n"/>
      <c r="N1105" s="32" t="n"/>
      <c r="O1105" s="32" t="n"/>
      <c r="P1105" s="32" t="n"/>
      <c r="Q1105" s="32" t="n"/>
      <c r="U1105" s="31">
        <f>IF($A1105="","",SUM(X1105:AE1105))</f>
        <v/>
      </c>
      <c r="V1105" s="31">
        <f>IF($A1105="","",IF($H1105&lt;&gt;"Ausgabe",0,-$E1105-$U1105))</f>
        <v/>
      </c>
      <c r="W1105" s="33">
        <f>IF($A1105="","",DATE(YEAR($A1105),MONTH($A1105),1))</f>
        <v/>
      </c>
      <c r="X1105" s="34">
        <f>IF(OR($A1105="",$H1105&lt;&gt;"Ausgabe",J1105=""),0,IF(J1105="x",-$E1105/(COUNTIF($J1105:$Q1105,"x")+1),-$E1105*N(J1105)))</f>
        <v/>
      </c>
      <c r="Y1105" s="34">
        <f>IF(OR($A1105="",$H1105&lt;&gt;"Ausgabe",K1105=""),0,IF(K1105="x",-$E1105/(COUNTIF($J1105:$Q1105,"x")+1),-$E1105*N(K1105)))</f>
        <v/>
      </c>
      <c r="Z1105" s="34">
        <f>IF(OR($A1105="",$H1105&lt;&gt;"Ausgabe",L1105=""),0,IF(L1105="x",-$E1105/(COUNTIF($J1105:$Q1105,"x")+1),-$E1105*N(L1105)))</f>
        <v/>
      </c>
      <c r="AA1105" s="34">
        <f>IF(OR($A1105="",$H1105&lt;&gt;"Ausgabe",M1105=""),0,IF(M1105="x",-$E1105/(COUNTIF($J1105:$Q1105,"x")+1),-$E1105*N(M1105)))</f>
        <v/>
      </c>
      <c r="AB1105" s="34">
        <f>IF(OR($A1105="",$H1105&lt;&gt;"Ausgabe",N1105=""),0,IF(N1105="x",-$E1105/(COUNTIF($J1105:$Q1105,"x")+1),-$E1105*N(N1105)))</f>
        <v/>
      </c>
      <c r="AC1105" s="34">
        <f>IF(OR($A1105="",$H1105&lt;&gt;"Ausgabe",O1105=""),0,IF(O1105="x",-$E1105/(COUNTIF($J1105:$Q1105,"x")+1),-$E1105*N(O1105)))</f>
        <v/>
      </c>
      <c r="AD1105" s="34">
        <f>IF(OR($A1105="",$H1105&lt;&gt;"Ausgabe",P1105=""),0,IF(P1105="x",-$E1105/(COUNTIF($J1105:$Q1105,"x")+1),-$E1105*N(P1105)))</f>
        <v/>
      </c>
      <c r="AE1105" s="34">
        <f>IF(OR($A1105="",$H1105&lt;&gt;"Ausgabe",Q1105=""),0,IF(Q1105="x",-$E1105/(COUNTIF($J1105:$Q1105,"x")+1),-$E1105*N(Q1105)))</f>
        <v/>
      </c>
    </row>
    <row r="1106">
      <c r="A1106" s="30" t="n"/>
      <c r="E1106" s="31" t="n"/>
      <c r="J1106" s="32" t="n"/>
      <c r="K1106" s="32" t="n"/>
      <c r="L1106" s="32" t="n"/>
      <c r="M1106" s="32" t="n"/>
      <c r="N1106" s="32" t="n"/>
      <c r="O1106" s="32" t="n"/>
      <c r="P1106" s="32" t="n"/>
      <c r="Q1106" s="32" t="n"/>
      <c r="U1106" s="31">
        <f>IF($A1106="","",SUM(X1106:AE1106))</f>
        <v/>
      </c>
      <c r="V1106" s="31">
        <f>IF($A1106="","",IF($H1106&lt;&gt;"Ausgabe",0,-$E1106-$U1106))</f>
        <v/>
      </c>
      <c r="W1106" s="33">
        <f>IF($A1106="","",DATE(YEAR($A1106),MONTH($A1106),1))</f>
        <v/>
      </c>
      <c r="X1106" s="34">
        <f>IF(OR($A1106="",$H1106&lt;&gt;"Ausgabe",J1106=""),0,IF(J1106="x",-$E1106/(COUNTIF($J1106:$Q1106,"x")+1),-$E1106*N(J1106)))</f>
        <v/>
      </c>
      <c r="Y1106" s="34">
        <f>IF(OR($A1106="",$H1106&lt;&gt;"Ausgabe",K1106=""),0,IF(K1106="x",-$E1106/(COUNTIF($J1106:$Q1106,"x")+1),-$E1106*N(K1106)))</f>
        <v/>
      </c>
      <c r="Z1106" s="34">
        <f>IF(OR($A1106="",$H1106&lt;&gt;"Ausgabe",L1106=""),0,IF(L1106="x",-$E1106/(COUNTIF($J1106:$Q1106,"x")+1),-$E1106*N(L1106)))</f>
        <v/>
      </c>
      <c r="AA1106" s="34">
        <f>IF(OR($A1106="",$H1106&lt;&gt;"Ausgabe",M1106=""),0,IF(M1106="x",-$E1106/(COUNTIF($J1106:$Q1106,"x")+1),-$E1106*N(M1106)))</f>
        <v/>
      </c>
      <c r="AB1106" s="34">
        <f>IF(OR($A1106="",$H1106&lt;&gt;"Ausgabe",N1106=""),0,IF(N1106="x",-$E1106/(COUNTIF($J1106:$Q1106,"x")+1),-$E1106*N(N1106)))</f>
        <v/>
      </c>
      <c r="AC1106" s="34">
        <f>IF(OR($A1106="",$H1106&lt;&gt;"Ausgabe",O1106=""),0,IF(O1106="x",-$E1106/(COUNTIF($J1106:$Q1106,"x")+1),-$E1106*N(O1106)))</f>
        <v/>
      </c>
      <c r="AD1106" s="34">
        <f>IF(OR($A1106="",$H1106&lt;&gt;"Ausgabe",P1106=""),0,IF(P1106="x",-$E1106/(COUNTIF($J1106:$Q1106,"x")+1),-$E1106*N(P1106)))</f>
        <v/>
      </c>
      <c r="AE1106" s="34">
        <f>IF(OR($A1106="",$H1106&lt;&gt;"Ausgabe",Q1106=""),0,IF(Q1106="x",-$E1106/(COUNTIF($J1106:$Q1106,"x")+1),-$E1106*N(Q1106)))</f>
        <v/>
      </c>
    </row>
    <row r="1107">
      <c r="A1107" s="30" t="n"/>
      <c r="E1107" s="31" t="n"/>
      <c r="J1107" s="32" t="n"/>
      <c r="K1107" s="32" t="n"/>
      <c r="L1107" s="32" t="n"/>
      <c r="M1107" s="32" t="n"/>
      <c r="N1107" s="32" t="n"/>
      <c r="O1107" s="32" t="n"/>
      <c r="P1107" s="32" t="n"/>
      <c r="Q1107" s="32" t="n"/>
      <c r="U1107" s="31">
        <f>IF($A1107="","",SUM(X1107:AE1107))</f>
        <v/>
      </c>
      <c r="V1107" s="31">
        <f>IF($A1107="","",IF($H1107&lt;&gt;"Ausgabe",0,-$E1107-$U1107))</f>
        <v/>
      </c>
      <c r="W1107" s="33">
        <f>IF($A1107="","",DATE(YEAR($A1107),MONTH($A1107),1))</f>
        <v/>
      </c>
      <c r="X1107" s="34">
        <f>IF(OR($A1107="",$H1107&lt;&gt;"Ausgabe",J1107=""),0,IF(J1107="x",-$E1107/(COUNTIF($J1107:$Q1107,"x")+1),-$E1107*N(J1107)))</f>
        <v/>
      </c>
      <c r="Y1107" s="34">
        <f>IF(OR($A1107="",$H1107&lt;&gt;"Ausgabe",K1107=""),0,IF(K1107="x",-$E1107/(COUNTIF($J1107:$Q1107,"x")+1),-$E1107*N(K1107)))</f>
        <v/>
      </c>
      <c r="Z1107" s="34">
        <f>IF(OR($A1107="",$H1107&lt;&gt;"Ausgabe",L1107=""),0,IF(L1107="x",-$E1107/(COUNTIF($J1107:$Q1107,"x")+1),-$E1107*N(L1107)))</f>
        <v/>
      </c>
      <c r="AA1107" s="34">
        <f>IF(OR($A1107="",$H1107&lt;&gt;"Ausgabe",M1107=""),0,IF(M1107="x",-$E1107/(COUNTIF($J1107:$Q1107,"x")+1),-$E1107*N(M1107)))</f>
        <v/>
      </c>
      <c r="AB1107" s="34">
        <f>IF(OR($A1107="",$H1107&lt;&gt;"Ausgabe",N1107=""),0,IF(N1107="x",-$E1107/(COUNTIF($J1107:$Q1107,"x")+1),-$E1107*N(N1107)))</f>
        <v/>
      </c>
      <c r="AC1107" s="34">
        <f>IF(OR($A1107="",$H1107&lt;&gt;"Ausgabe",O1107=""),0,IF(O1107="x",-$E1107/(COUNTIF($J1107:$Q1107,"x")+1),-$E1107*N(O1107)))</f>
        <v/>
      </c>
      <c r="AD1107" s="34">
        <f>IF(OR($A1107="",$H1107&lt;&gt;"Ausgabe",P1107=""),0,IF(P1107="x",-$E1107/(COUNTIF($J1107:$Q1107,"x")+1),-$E1107*N(P1107)))</f>
        <v/>
      </c>
      <c r="AE1107" s="34">
        <f>IF(OR($A1107="",$H1107&lt;&gt;"Ausgabe",Q1107=""),0,IF(Q1107="x",-$E1107/(COUNTIF($J1107:$Q1107,"x")+1),-$E1107*N(Q1107)))</f>
        <v/>
      </c>
    </row>
    <row r="1108">
      <c r="A1108" s="30" t="n"/>
      <c r="E1108" s="31" t="n"/>
      <c r="J1108" s="32" t="n"/>
      <c r="K1108" s="32" t="n"/>
      <c r="L1108" s="32" t="n"/>
      <c r="M1108" s="32" t="n"/>
      <c r="N1108" s="32" t="n"/>
      <c r="O1108" s="32" t="n"/>
      <c r="P1108" s="32" t="n"/>
      <c r="Q1108" s="32" t="n"/>
      <c r="U1108" s="31">
        <f>IF($A1108="","",SUM(X1108:AE1108))</f>
        <v/>
      </c>
      <c r="V1108" s="31">
        <f>IF($A1108="","",IF($H1108&lt;&gt;"Ausgabe",0,-$E1108-$U1108))</f>
        <v/>
      </c>
      <c r="W1108" s="33">
        <f>IF($A1108="","",DATE(YEAR($A1108),MONTH($A1108),1))</f>
        <v/>
      </c>
      <c r="X1108" s="34">
        <f>IF(OR($A1108="",$H1108&lt;&gt;"Ausgabe",J1108=""),0,IF(J1108="x",-$E1108/(COUNTIF($J1108:$Q1108,"x")+1),-$E1108*N(J1108)))</f>
        <v/>
      </c>
      <c r="Y1108" s="34">
        <f>IF(OR($A1108="",$H1108&lt;&gt;"Ausgabe",K1108=""),0,IF(K1108="x",-$E1108/(COUNTIF($J1108:$Q1108,"x")+1),-$E1108*N(K1108)))</f>
        <v/>
      </c>
      <c r="Z1108" s="34">
        <f>IF(OR($A1108="",$H1108&lt;&gt;"Ausgabe",L1108=""),0,IF(L1108="x",-$E1108/(COUNTIF($J1108:$Q1108,"x")+1),-$E1108*N(L1108)))</f>
        <v/>
      </c>
      <c r="AA1108" s="34">
        <f>IF(OR($A1108="",$H1108&lt;&gt;"Ausgabe",M1108=""),0,IF(M1108="x",-$E1108/(COUNTIF($J1108:$Q1108,"x")+1),-$E1108*N(M1108)))</f>
        <v/>
      </c>
      <c r="AB1108" s="34">
        <f>IF(OR($A1108="",$H1108&lt;&gt;"Ausgabe",N1108=""),0,IF(N1108="x",-$E1108/(COUNTIF($J1108:$Q1108,"x")+1),-$E1108*N(N1108)))</f>
        <v/>
      </c>
      <c r="AC1108" s="34">
        <f>IF(OR($A1108="",$H1108&lt;&gt;"Ausgabe",O1108=""),0,IF(O1108="x",-$E1108/(COUNTIF($J1108:$Q1108,"x")+1),-$E1108*N(O1108)))</f>
        <v/>
      </c>
      <c r="AD1108" s="34">
        <f>IF(OR($A1108="",$H1108&lt;&gt;"Ausgabe",P1108=""),0,IF(P1108="x",-$E1108/(COUNTIF($J1108:$Q1108,"x")+1),-$E1108*N(P1108)))</f>
        <v/>
      </c>
      <c r="AE1108" s="34">
        <f>IF(OR($A1108="",$H1108&lt;&gt;"Ausgabe",Q1108=""),0,IF(Q1108="x",-$E1108/(COUNTIF($J1108:$Q1108,"x")+1),-$E1108*N(Q1108)))</f>
        <v/>
      </c>
    </row>
    <row r="1109">
      <c r="A1109" s="30" t="n"/>
      <c r="E1109" s="31" t="n"/>
      <c r="J1109" s="32" t="n"/>
      <c r="K1109" s="32" t="n"/>
      <c r="L1109" s="32" t="n"/>
      <c r="M1109" s="32" t="n"/>
      <c r="N1109" s="32" t="n"/>
      <c r="O1109" s="32" t="n"/>
      <c r="P1109" s="32" t="n"/>
      <c r="Q1109" s="32" t="n"/>
      <c r="U1109" s="31">
        <f>IF($A1109="","",SUM(X1109:AE1109))</f>
        <v/>
      </c>
      <c r="V1109" s="31">
        <f>IF($A1109="","",IF($H1109&lt;&gt;"Ausgabe",0,-$E1109-$U1109))</f>
        <v/>
      </c>
      <c r="W1109" s="33">
        <f>IF($A1109="","",DATE(YEAR($A1109),MONTH($A1109),1))</f>
        <v/>
      </c>
      <c r="X1109" s="34">
        <f>IF(OR($A1109="",$H1109&lt;&gt;"Ausgabe",J1109=""),0,IF(J1109="x",-$E1109/(COUNTIF($J1109:$Q1109,"x")+1),-$E1109*N(J1109)))</f>
        <v/>
      </c>
      <c r="Y1109" s="34">
        <f>IF(OR($A1109="",$H1109&lt;&gt;"Ausgabe",K1109=""),0,IF(K1109="x",-$E1109/(COUNTIF($J1109:$Q1109,"x")+1),-$E1109*N(K1109)))</f>
        <v/>
      </c>
      <c r="Z1109" s="34">
        <f>IF(OR($A1109="",$H1109&lt;&gt;"Ausgabe",L1109=""),0,IF(L1109="x",-$E1109/(COUNTIF($J1109:$Q1109,"x")+1),-$E1109*N(L1109)))</f>
        <v/>
      </c>
      <c r="AA1109" s="34">
        <f>IF(OR($A1109="",$H1109&lt;&gt;"Ausgabe",M1109=""),0,IF(M1109="x",-$E1109/(COUNTIF($J1109:$Q1109,"x")+1),-$E1109*N(M1109)))</f>
        <v/>
      </c>
      <c r="AB1109" s="34">
        <f>IF(OR($A1109="",$H1109&lt;&gt;"Ausgabe",N1109=""),0,IF(N1109="x",-$E1109/(COUNTIF($J1109:$Q1109,"x")+1),-$E1109*N(N1109)))</f>
        <v/>
      </c>
      <c r="AC1109" s="34">
        <f>IF(OR($A1109="",$H1109&lt;&gt;"Ausgabe",O1109=""),0,IF(O1109="x",-$E1109/(COUNTIF($J1109:$Q1109,"x")+1),-$E1109*N(O1109)))</f>
        <v/>
      </c>
      <c r="AD1109" s="34">
        <f>IF(OR($A1109="",$H1109&lt;&gt;"Ausgabe",P1109=""),0,IF(P1109="x",-$E1109/(COUNTIF($J1109:$Q1109,"x")+1),-$E1109*N(P1109)))</f>
        <v/>
      </c>
      <c r="AE1109" s="34">
        <f>IF(OR($A1109="",$H1109&lt;&gt;"Ausgabe",Q1109=""),0,IF(Q1109="x",-$E1109/(COUNTIF($J1109:$Q1109,"x")+1),-$E1109*N(Q1109)))</f>
        <v/>
      </c>
    </row>
    <row r="1110">
      <c r="A1110" s="30" t="n"/>
      <c r="E1110" s="31" t="n"/>
      <c r="J1110" s="32" t="n"/>
      <c r="K1110" s="32" t="n"/>
      <c r="L1110" s="32" t="n"/>
      <c r="M1110" s="32" t="n"/>
      <c r="N1110" s="32" t="n"/>
      <c r="O1110" s="32" t="n"/>
      <c r="P1110" s="32" t="n"/>
      <c r="Q1110" s="32" t="n"/>
      <c r="U1110" s="31">
        <f>IF($A1110="","",SUM(X1110:AE1110))</f>
        <v/>
      </c>
      <c r="V1110" s="31">
        <f>IF($A1110="","",IF($H1110&lt;&gt;"Ausgabe",0,-$E1110-$U1110))</f>
        <v/>
      </c>
      <c r="W1110" s="33">
        <f>IF($A1110="","",DATE(YEAR($A1110),MONTH($A1110),1))</f>
        <v/>
      </c>
      <c r="X1110" s="34">
        <f>IF(OR($A1110="",$H1110&lt;&gt;"Ausgabe",J1110=""),0,IF(J1110="x",-$E1110/(COUNTIF($J1110:$Q1110,"x")+1),-$E1110*N(J1110)))</f>
        <v/>
      </c>
      <c r="Y1110" s="34">
        <f>IF(OR($A1110="",$H1110&lt;&gt;"Ausgabe",K1110=""),0,IF(K1110="x",-$E1110/(COUNTIF($J1110:$Q1110,"x")+1),-$E1110*N(K1110)))</f>
        <v/>
      </c>
      <c r="Z1110" s="34">
        <f>IF(OR($A1110="",$H1110&lt;&gt;"Ausgabe",L1110=""),0,IF(L1110="x",-$E1110/(COUNTIF($J1110:$Q1110,"x")+1),-$E1110*N(L1110)))</f>
        <v/>
      </c>
      <c r="AA1110" s="34">
        <f>IF(OR($A1110="",$H1110&lt;&gt;"Ausgabe",M1110=""),0,IF(M1110="x",-$E1110/(COUNTIF($J1110:$Q1110,"x")+1),-$E1110*N(M1110)))</f>
        <v/>
      </c>
      <c r="AB1110" s="34">
        <f>IF(OR($A1110="",$H1110&lt;&gt;"Ausgabe",N1110=""),0,IF(N1110="x",-$E1110/(COUNTIF($J1110:$Q1110,"x")+1),-$E1110*N(N1110)))</f>
        <v/>
      </c>
      <c r="AC1110" s="34">
        <f>IF(OR($A1110="",$H1110&lt;&gt;"Ausgabe",O1110=""),0,IF(O1110="x",-$E1110/(COUNTIF($J1110:$Q1110,"x")+1),-$E1110*N(O1110)))</f>
        <v/>
      </c>
      <c r="AD1110" s="34">
        <f>IF(OR($A1110="",$H1110&lt;&gt;"Ausgabe",P1110=""),0,IF(P1110="x",-$E1110/(COUNTIF($J1110:$Q1110,"x")+1),-$E1110*N(P1110)))</f>
        <v/>
      </c>
      <c r="AE1110" s="34">
        <f>IF(OR($A1110="",$H1110&lt;&gt;"Ausgabe",Q1110=""),0,IF(Q1110="x",-$E1110/(COUNTIF($J1110:$Q1110,"x")+1),-$E1110*N(Q1110)))</f>
        <v/>
      </c>
    </row>
    <row r="1111">
      <c r="A1111" s="30" t="n"/>
      <c r="E1111" s="31" t="n"/>
      <c r="J1111" s="32" t="n"/>
      <c r="K1111" s="32" t="n"/>
      <c r="L1111" s="32" t="n"/>
      <c r="M1111" s="32" t="n"/>
      <c r="N1111" s="32" t="n"/>
      <c r="O1111" s="32" t="n"/>
      <c r="P1111" s="32" t="n"/>
      <c r="Q1111" s="32" t="n"/>
      <c r="U1111" s="31">
        <f>IF($A1111="","",SUM(X1111:AE1111))</f>
        <v/>
      </c>
      <c r="V1111" s="31">
        <f>IF($A1111="","",IF($H1111&lt;&gt;"Ausgabe",0,-$E1111-$U1111))</f>
        <v/>
      </c>
      <c r="W1111" s="33">
        <f>IF($A1111="","",DATE(YEAR($A1111),MONTH($A1111),1))</f>
        <v/>
      </c>
      <c r="X1111" s="34">
        <f>IF(OR($A1111="",$H1111&lt;&gt;"Ausgabe",J1111=""),0,IF(J1111="x",-$E1111/(COUNTIF($J1111:$Q1111,"x")+1),-$E1111*N(J1111)))</f>
        <v/>
      </c>
      <c r="Y1111" s="34">
        <f>IF(OR($A1111="",$H1111&lt;&gt;"Ausgabe",K1111=""),0,IF(K1111="x",-$E1111/(COUNTIF($J1111:$Q1111,"x")+1),-$E1111*N(K1111)))</f>
        <v/>
      </c>
      <c r="Z1111" s="34">
        <f>IF(OR($A1111="",$H1111&lt;&gt;"Ausgabe",L1111=""),0,IF(L1111="x",-$E1111/(COUNTIF($J1111:$Q1111,"x")+1),-$E1111*N(L1111)))</f>
        <v/>
      </c>
      <c r="AA1111" s="34">
        <f>IF(OR($A1111="",$H1111&lt;&gt;"Ausgabe",M1111=""),0,IF(M1111="x",-$E1111/(COUNTIF($J1111:$Q1111,"x")+1),-$E1111*N(M1111)))</f>
        <v/>
      </c>
      <c r="AB1111" s="34">
        <f>IF(OR($A1111="",$H1111&lt;&gt;"Ausgabe",N1111=""),0,IF(N1111="x",-$E1111/(COUNTIF($J1111:$Q1111,"x")+1),-$E1111*N(N1111)))</f>
        <v/>
      </c>
      <c r="AC1111" s="34">
        <f>IF(OR($A1111="",$H1111&lt;&gt;"Ausgabe",O1111=""),0,IF(O1111="x",-$E1111/(COUNTIF($J1111:$Q1111,"x")+1),-$E1111*N(O1111)))</f>
        <v/>
      </c>
      <c r="AD1111" s="34">
        <f>IF(OR($A1111="",$H1111&lt;&gt;"Ausgabe",P1111=""),0,IF(P1111="x",-$E1111/(COUNTIF($J1111:$Q1111,"x")+1),-$E1111*N(P1111)))</f>
        <v/>
      </c>
      <c r="AE1111" s="34">
        <f>IF(OR($A1111="",$H1111&lt;&gt;"Ausgabe",Q1111=""),0,IF(Q1111="x",-$E1111/(COUNTIF($J1111:$Q1111,"x")+1),-$E1111*N(Q1111)))</f>
        <v/>
      </c>
    </row>
    <row r="1112">
      <c r="A1112" s="30" t="n"/>
      <c r="E1112" s="31" t="n"/>
      <c r="J1112" s="32" t="n"/>
      <c r="K1112" s="32" t="n"/>
      <c r="L1112" s="32" t="n"/>
      <c r="M1112" s="32" t="n"/>
      <c r="N1112" s="32" t="n"/>
      <c r="O1112" s="32" t="n"/>
      <c r="P1112" s="32" t="n"/>
      <c r="Q1112" s="32" t="n"/>
      <c r="U1112" s="31">
        <f>IF($A1112="","",SUM(X1112:AE1112))</f>
        <v/>
      </c>
      <c r="V1112" s="31">
        <f>IF($A1112="","",IF($H1112&lt;&gt;"Ausgabe",0,-$E1112-$U1112))</f>
        <v/>
      </c>
      <c r="W1112" s="33">
        <f>IF($A1112="","",DATE(YEAR($A1112),MONTH($A1112),1))</f>
        <v/>
      </c>
      <c r="X1112" s="34">
        <f>IF(OR($A1112="",$H1112&lt;&gt;"Ausgabe",J1112=""),0,IF(J1112="x",-$E1112/(COUNTIF($J1112:$Q1112,"x")+1),-$E1112*N(J1112)))</f>
        <v/>
      </c>
      <c r="Y1112" s="34">
        <f>IF(OR($A1112="",$H1112&lt;&gt;"Ausgabe",K1112=""),0,IF(K1112="x",-$E1112/(COUNTIF($J1112:$Q1112,"x")+1),-$E1112*N(K1112)))</f>
        <v/>
      </c>
      <c r="Z1112" s="34">
        <f>IF(OR($A1112="",$H1112&lt;&gt;"Ausgabe",L1112=""),0,IF(L1112="x",-$E1112/(COUNTIF($J1112:$Q1112,"x")+1),-$E1112*N(L1112)))</f>
        <v/>
      </c>
      <c r="AA1112" s="34">
        <f>IF(OR($A1112="",$H1112&lt;&gt;"Ausgabe",M1112=""),0,IF(M1112="x",-$E1112/(COUNTIF($J1112:$Q1112,"x")+1),-$E1112*N(M1112)))</f>
        <v/>
      </c>
      <c r="AB1112" s="34">
        <f>IF(OR($A1112="",$H1112&lt;&gt;"Ausgabe",N1112=""),0,IF(N1112="x",-$E1112/(COUNTIF($J1112:$Q1112,"x")+1),-$E1112*N(N1112)))</f>
        <v/>
      </c>
      <c r="AC1112" s="34">
        <f>IF(OR($A1112="",$H1112&lt;&gt;"Ausgabe",O1112=""),0,IF(O1112="x",-$E1112/(COUNTIF($J1112:$Q1112,"x")+1),-$E1112*N(O1112)))</f>
        <v/>
      </c>
      <c r="AD1112" s="34">
        <f>IF(OR($A1112="",$H1112&lt;&gt;"Ausgabe",P1112=""),0,IF(P1112="x",-$E1112/(COUNTIF($J1112:$Q1112,"x")+1),-$E1112*N(P1112)))</f>
        <v/>
      </c>
      <c r="AE1112" s="34">
        <f>IF(OR($A1112="",$H1112&lt;&gt;"Ausgabe",Q1112=""),0,IF(Q1112="x",-$E1112/(COUNTIF($J1112:$Q1112,"x")+1),-$E1112*N(Q1112)))</f>
        <v/>
      </c>
    </row>
    <row r="1113">
      <c r="A1113" s="30" t="n"/>
      <c r="E1113" s="31" t="n"/>
      <c r="J1113" s="32" t="n"/>
      <c r="K1113" s="32" t="n"/>
      <c r="L1113" s="32" t="n"/>
      <c r="M1113" s="32" t="n"/>
      <c r="N1113" s="32" t="n"/>
      <c r="O1113" s="32" t="n"/>
      <c r="P1113" s="32" t="n"/>
      <c r="Q1113" s="32" t="n"/>
      <c r="U1113" s="31">
        <f>IF($A1113="","",SUM(X1113:AE1113))</f>
        <v/>
      </c>
      <c r="V1113" s="31">
        <f>IF($A1113="","",IF($H1113&lt;&gt;"Ausgabe",0,-$E1113-$U1113))</f>
        <v/>
      </c>
      <c r="W1113" s="33">
        <f>IF($A1113="","",DATE(YEAR($A1113),MONTH($A1113),1))</f>
        <v/>
      </c>
      <c r="X1113" s="34">
        <f>IF(OR($A1113="",$H1113&lt;&gt;"Ausgabe",J1113=""),0,IF(J1113="x",-$E1113/(COUNTIF($J1113:$Q1113,"x")+1),-$E1113*N(J1113)))</f>
        <v/>
      </c>
      <c r="Y1113" s="34">
        <f>IF(OR($A1113="",$H1113&lt;&gt;"Ausgabe",K1113=""),0,IF(K1113="x",-$E1113/(COUNTIF($J1113:$Q1113,"x")+1),-$E1113*N(K1113)))</f>
        <v/>
      </c>
      <c r="Z1113" s="34">
        <f>IF(OR($A1113="",$H1113&lt;&gt;"Ausgabe",L1113=""),0,IF(L1113="x",-$E1113/(COUNTIF($J1113:$Q1113,"x")+1),-$E1113*N(L1113)))</f>
        <v/>
      </c>
      <c r="AA1113" s="34">
        <f>IF(OR($A1113="",$H1113&lt;&gt;"Ausgabe",M1113=""),0,IF(M1113="x",-$E1113/(COUNTIF($J1113:$Q1113,"x")+1),-$E1113*N(M1113)))</f>
        <v/>
      </c>
      <c r="AB1113" s="34">
        <f>IF(OR($A1113="",$H1113&lt;&gt;"Ausgabe",N1113=""),0,IF(N1113="x",-$E1113/(COUNTIF($J1113:$Q1113,"x")+1),-$E1113*N(N1113)))</f>
        <v/>
      </c>
      <c r="AC1113" s="34">
        <f>IF(OR($A1113="",$H1113&lt;&gt;"Ausgabe",O1113=""),0,IF(O1113="x",-$E1113/(COUNTIF($J1113:$Q1113,"x")+1),-$E1113*N(O1113)))</f>
        <v/>
      </c>
      <c r="AD1113" s="34">
        <f>IF(OR($A1113="",$H1113&lt;&gt;"Ausgabe",P1113=""),0,IF(P1113="x",-$E1113/(COUNTIF($J1113:$Q1113,"x")+1),-$E1113*N(P1113)))</f>
        <v/>
      </c>
      <c r="AE1113" s="34">
        <f>IF(OR($A1113="",$H1113&lt;&gt;"Ausgabe",Q1113=""),0,IF(Q1113="x",-$E1113/(COUNTIF($J1113:$Q1113,"x")+1),-$E1113*N(Q1113)))</f>
        <v/>
      </c>
    </row>
    <row r="1114">
      <c r="A1114" s="30" t="n"/>
      <c r="E1114" s="31" t="n"/>
      <c r="J1114" s="32" t="n"/>
      <c r="K1114" s="32" t="n"/>
      <c r="L1114" s="32" t="n"/>
      <c r="M1114" s="32" t="n"/>
      <c r="N1114" s="32" t="n"/>
      <c r="O1114" s="32" t="n"/>
      <c r="P1114" s="32" t="n"/>
      <c r="Q1114" s="32" t="n"/>
      <c r="U1114" s="31">
        <f>IF($A1114="","",SUM(X1114:AE1114))</f>
        <v/>
      </c>
      <c r="V1114" s="31">
        <f>IF($A1114="","",IF($H1114&lt;&gt;"Ausgabe",0,-$E1114-$U1114))</f>
        <v/>
      </c>
      <c r="W1114" s="33">
        <f>IF($A1114="","",DATE(YEAR($A1114),MONTH($A1114),1))</f>
        <v/>
      </c>
      <c r="X1114" s="34">
        <f>IF(OR($A1114="",$H1114&lt;&gt;"Ausgabe",J1114=""),0,IF(J1114="x",-$E1114/(COUNTIF($J1114:$Q1114,"x")+1),-$E1114*N(J1114)))</f>
        <v/>
      </c>
      <c r="Y1114" s="34">
        <f>IF(OR($A1114="",$H1114&lt;&gt;"Ausgabe",K1114=""),0,IF(K1114="x",-$E1114/(COUNTIF($J1114:$Q1114,"x")+1),-$E1114*N(K1114)))</f>
        <v/>
      </c>
      <c r="Z1114" s="34">
        <f>IF(OR($A1114="",$H1114&lt;&gt;"Ausgabe",L1114=""),0,IF(L1114="x",-$E1114/(COUNTIF($J1114:$Q1114,"x")+1),-$E1114*N(L1114)))</f>
        <v/>
      </c>
      <c r="AA1114" s="34">
        <f>IF(OR($A1114="",$H1114&lt;&gt;"Ausgabe",M1114=""),0,IF(M1114="x",-$E1114/(COUNTIF($J1114:$Q1114,"x")+1),-$E1114*N(M1114)))</f>
        <v/>
      </c>
      <c r="AB1114" s="34">
        <f>IF(OR($A1114="",$H1114&lt;&gt;"Ausgabe",N1114=""),0,IF(N1114="x",-$E1114/(COUNTIF($J1114:$Q1114,"x")+1),-$E1114*N(N1114)))</f>
        <v/>
      </c>
      <c r="AC1114" s="34">
        <f>IF(OR($A1114="",$H1114&lt;&gt;"Ausgabe",O1114=""),0,IF(O1114="x",-$E1114/(COUNTIF($J1114:$Q1114,"x")+1),-$E1114*N(O1114)))</f>
        <v/>
      </c>
      <c r="AD1114" s="34">
        <f>IF(OR($A1114="",$H1114&lt;&gt;"Ausgabe",P1114=""),0,IF(P1114="x",-$E1114/(COUNTIF($J1114:$Q1114,"x")+1),-$E1114*N(P1114)))</f>
        <v/>
      </c>
      <c r="AE1114" s="34">
        <f>IF(OR($A1114="",$H1114&lt;&gt;"Ausgabe",Q1114=""),0,IF(Q1114="x",-$E1114/(COUNTIF($J1114:$Q1114,"x")+1),-$E1114*N(Q1114)))</f>
        <v/>
      </c>
    </row>
    <row r="1115">
      <c r="A1115" s="30" t="n"/>
      <c r="E1115" s="31" t="n"/>
      <c r="J1115" s="32" t="n"/>
      <c r="K1115" s="32" t="n"/>
      <c r="L1115" s="32" t="n"/>
      <c r="M1115" s="32" t="n"/>
      <c r="N1115" s="32" t="n"/>
      <c r="O1115" s="32" t="n"/>
      <c r="P1115" s="32" t="n"/>
      <c r="Q1115" s="32" t="n"/>
      <c r="U1115" s="31">
        <f>IF($A1115="","",SUM(X1115:AE1115))</f>
        <v/>
      </c>
      <c r="V1115" s="31">
        <f>IF($A1115="","",IF($H1115&lt;&gt;"Ausgabe",0,-$E1115-$U1115))</f>
        <v/>
      </c>
      <c r="W1115" s="33">
        <f>IF($A1115="","",DATE(YEAR($A1115),MONTH($A1115),1))</f>
        <v/>
      </c>
      <c r="X1115" s="34">
        <f>IF(OR($A1115="",$H1115&lt;&gt;"Ausgabe",J1115=""),0,IF(J1115="x",-$E1115/(COUNTIF($J1115:$Q1115,"x")+1),-$E1115*N(J1115)))</f>
        <v/>
      </c>
      <c r="Y1115" s="34">
        <f>IF(OR($A1115="",$H1115&lt;&gt;"Ausgabe",K1115=""),0,IF(K1115="x",-$E1115/(COUNTIF($J1115:$Q1115,"x")+1),-$E1115*N(K1115)))</f>
        <v/>
      </c>
      <c r="Z1115" s="34">
        <f>IF(OR($A1115="",$H1115&lt;&gt;"Ausgabe",L1115=""),0,IF(L1115="x",-$E1115/(COUNTIF($J1115:$Q1115,"x")+1),-$E1115*N(L1115)))</f>
        <v/>
      </c>
      <c r="AA1115" s="34">
        <f>IF(OR($A1115="",$H1115&lt;&gt;"Ausgabe",M1115=""),0,IF(M1115="x",-$E1115/(COUNTIF($J1115:$Q1115,"x")+1),-$E1115*N(M1115)))</f>
        <v/>
      </c>
      <c r="AB1115" s="34">
        <f>IF(OR($A1115="",$H1115&lt;&gt;"Ausgabe",N1115=""),0,IF(N1115="x",-$E1115/(COUNTIF($J1115:$Q1115,"x")+1),-$E1115*N(N1115)))</f>
        <v/>
      </c>
      <c r="AC1115" s="34">
        <f>IF(OR($A1115="",$H1115&lt;&gt;"Ausgabe",O1115=""),0,IF(O1115="x",-$E1115/(COUNTIF($J1115:$Q1115,"x")+1),-$E1115*N(O1115)))</f>
        <v/>
      </c>
      <c r="AD1115" s="34">
        <f>IF(OR($A1115="",$H1115&lt;&gt;"Ausgabe",P1115=""),0,IF(P1115="x",-$E1115/(COUNTIF($J1115:$Q1115,"x")+1),-$E1115*N(P1115)))</f>
        <v/>
      </c>
      <c r="AE1115" s="34">
        <f>IF(OR($A1115="",$H1115&lt;&gt;"Ausgabe",Q1115=""),0,IF(Q1115="x",-$E1115/(COUNTIF($J1115:$Q1115,"x")+1),-$E1115*N(Q1115)))</f>
        <v/>
      </c>
    </row>
    <row r="1116">
      <c r="A1116" s="30" t="n"/>
      <c r="E1116" s="31" t="n"/>
      <c r="J1116" s="32" t="n"/>
      <c r="K1116" s="32" t="n"/>
      <c r="L1116" s="32" t="n"/>
      <c r="M1116" s="32" t="n"/>
      <c r="N1116" s="32" t="n"/>
      <c r="O1116" s="32" t="n"/>
      <c r="P1116" s="32" t="n"/>
      <c r="Q1116" s="32" t="n"/>
      <c r="U1116" s="31">
        <f>IF($A1116="","",SUM(X1116:AE1116))</f>
        <v/>
      </c>
      <c r="V1116" s="31">
        <f>IF($A1116="","",IF($H1116&lt;&gt;"Ausgabe",0,-$E1116-$U1116))</f>
        <v/>
      </c>
      <c r="W1116" s="33">
        <f>IF($A1116="","",DATE(YEAR($A1116),MONTH($A1116),1))</f>
        <v/>
      </c>
      <c r="X1116" s="34">
        <f>IF(OR($A1116="",$H1116&lt;&gt;"Ausgabe",J1116=""),0,IF(J1116="x",-$E1116/(COUNTIF($J1116:$Q1116,"x")+1),-$E1116*N(J1116)))</f>
        <v/>
      </c>
      <c r="Y1116" s="34">
        <f>IF(OR($A1116="",$H1116&lt;&gt;"Ausgabe",K1116=""),0,IF(K1116="x",-$E1116/(COUNTIF($J1116:$Q1116,"x")+1),-$E1116*N(K1116)))</f>
        <v/>
      </c>
      <c r="Z1116" s="34">
        <f>IF(OR($A1116="",$H1116&lt;&gt;"Ausgabe",L1116=""),0,IF(L1116="x",-$E1116/(COUNTIF($J1116:$Q1116,"x")+1),-$E1116*N(L1116)))</f>
        <v/>
      </c>
      <c r="AA1116" s="34">
        <f>IF(OR($A1116="",$H1116&lt;&gt;"Ausgabe",M1116=""),0,IF(M1116="x",-$E1116/(COUNTIF($J1116:$Q1116,"x")+1),-$E1116*N(M1116)))</f>
        <v/>
      </c>
      <c r="AB1116" s="34">
        <f>IF(OR($A1116="",$H1116&lt;&gt;"Ausgabe",N1116=""),0,IF(N1116="x",-$E1116/(COUNTIF($J1116:$Q1116,"x")+1),-$E1116*N(N1116)))</f>
        <v/>
      </c>
      <c r="AC1116" s="34">
        <f>IF(OR($A1116="",$H1116&lt;&gt;"Ausgabe",O1116=""),0,IF(O1116="x",-$E1116/(COUNTIF($J1116:$Q1116,"x")+1),-$E1116*N(O1116)))</f>
        <v/>
      </c>
      <c r="AD1116" s="34">
        <f>IF(OR($A1116="",$H1116&lt;&gt;"Ausgabe",P1116=""),0,IF(P1116="x",-$E1116/(COUNTIF($J1116:$Q1116,"x")+1),-$E1116*N(P1116)))</f>
        <v/>
      </c>
      <c r="AE1116" s="34">
        <f>IF(OR($A1116="",$H1116&lt;&gt;"Ausgabe",Q1116=""),0,IF(Q1116="x",-$E1116/(COUNTIF($J1116:$Q1116,"x")+1),-$E1116*N(Q1116)))</f>
        <v/>
      </c>
    </row>
    <row r="1117">
      <c r="A1117" s="30" t="n"/>
      <c r="E1117" s="31" t="n"/>
      <c r="J1117" s="32" t="n"/>
      <c r="K1117" s="32" t="n"/>
      <c r="L1117" s="32" t="n"/>
      <c r="M1117" s="32" t="n"/>
      <c r="N1117" s="32" t="n"/>
      <c r="O1117" s="32" t="n"/>
      <c r="P1117" s="32" t="n"/>
      <c r="Q1117" s="32" t="n"/>
      <c r="U1117" s="31">
        <f>IF($A1117="","",SUM(X1117:AE1117))</f>
        <v/>
      </c>
      <c r="V1117" s="31">
        <f>IF($A1117="","",IF($H1117&lt;&gt;"Ausgabe",0,-$E1117-$U1117))</f>
        <v/>
      </c>
      <c r="W1117" s="33">
        <f>IF($A1117="","",DATE(YEAR($A1117),MONTH($A1117),1))</f>
        <v/>
      </c>
      <c r="X1117" s="34">
        <f>IF(OR($A1117="",$H1117&lt;&gt;"Ausgabe",J1117=""),0,IF(J1117="x",-$E1117/(COUNTIF($J1117:$Q1117,"x")+1),-$E1117*N(J1117)))</f>
        <v/>
      </c>
      <c r="Y1117" s="34">
        <f>IF(OR($A1117="",$H1117&lt;&gt;"Ausgabe",K1117=""),0,IF(K1117="x",-$E1117/(COUNTIF($J1117:$Q1117,"x")+1),-$E1117*N(K1117)))</f>
        <v/>
      </c>
      <c r="Z1117" s="34">
        <f>IF(OR($A1117="",$H1117&lt;&gt;"Ausgabe",L1117=""),0,IF(L1117="x",-$E1117/(COUNTIF($J1117:$Q1117,"x")+1),-$E1117*N(L1117)))</f>
        <v/>
      </c>
      <c r="AA1117" s="34">
        <f>IF(OR($A1117="",$H1117&lt;&gt;"Ausgabe",M1117=""),0,IF(M1117="x",-$E1117/(COUNTIF($J1117:$Q1117,"x")+1),-$E1117*N(M1117)))</f>
        <v/>
      </c>
      <c r="AB1117" s="34">
        <f>IF(OR($A1117="",$H1117&lt;&gt;"Ausgabe",N1117=""),0,IF(N1117="x",-$E1117/(COUNTIF($J1117:$Q1117,"x")+1),-$E1117*N(N1117)))</f>
        <v/>
      </c>
      <c r="AC1117" s="34">
        <f>IF(OR($A1117="",$H1117&lt;&gt;"Ausgabe",O1117=""),0,IF(O1117="x",-$E1117/(COUNTIF($J1117:$Q1117,"x")+1),-$E1117*N(O1117)))</f>
        <v/>
      </c>
      <c r="AD1117" s="34">
        <f>IF(OR($A1117="",$H1117&lt;&gt;"Ausgabe",P1117=""),0,IF(P1117="x",-$E1117/(COUNTIF($J1117:$Q1117,"x")+1),-$E1117*N(P1117)))</f>
        <v/>
      </c>
      <c r="AE1117" s="34">
        <f>IF(OR($A1117="",$H1117&lt;&gt;"Ausgabe",Q1117=""),0,IF(Q1117="x",-$E1117/(COUNTIF($J1117:$Q1117,"x")+1),-$E1117*N(Q1117)))</f>
        <v/>
      </c>
    </row>
    <row r="1118">
      <c r="A1118" s="30" t="n"/>
      <c r="E1118" s="31" t="n"/>
      <c r="J1118" s="32" t="n"/>
      <c r="K1118" s="32" t="n"/>
      <c r="L1118" s="32" t="n"/>
      <c r="M1118" s="32" t="n"/>
      <c r="N1118" s="32" t="n"/>
      <c r="O1118" s="32" t="n"/>
      <c r="P1118" s="32" t="n"/>
      <c r="Q1118" s="32" t="n"/>
      <c r="U1118" s="31">
        <f>IF($A1118="","",SUM(X1118:AE1118))</f>
        <v/>
      </c>
      <c r="V1118" s="31">
        <f>IF($A1118="","",IF($H1118&lt;&gt;"Ausgabe",0,-$E1118-$U1118))</f>
        <v/>
      </c>
      <c r="W1118" s="33">
        <f>IF($A1118="","",DATE(YEAR($A1118),MONTH($A1118),1))</f>
        <v/>
      </c>
      <c r="X1118" s="34">
        <f>IF(OR($A1118="",$H1118&lt;&gt;"Ausgabe",J1118=""),0,IF(J1118="x",-$E1118/(COUNTIF($J1118:$Q1118,"x")+1),-$E1118*N(J1118)))</f>
        <v/>
      </c>
      <c r="Y1118" s="34">
        <f>IF(OR($A1118="",$H1118&lt;&gt;"Ausgabe",K1118=""),0,IF(K1118="x",-$E1118/(COUNTIF($J1118:$Q1118,"x")+1),-$E1118*N(K1118)))</f>
        <v/>
      </c>
      <c r="Z1118" s="34">
        <f>IF(OR($A1118="",$H1118&lt;&gt;"Ausgabe",L1118=""),0,IF(L1118="x",-$E1118/(COUNTIF($J1118:$Q1118,"x")+1),-$E1118*N(L1118)))</f>
        <v/>
      </c>
      <c r="AA1118" s="34">
        <f>IF(OR($A1118="",$H1118&lt;&gt;"Ausgabe",M1118=""),0,IF(M1118="x",-$E1118/(COUNTIF($J1118:$Q1118,"x")+1),-$E1118*N(M1118)))</f>
        <v/>
      </c>
      <c r="AB1118" s="34">
        <f>IF(OR($A1118="",$H1118&lt;&gt;"Ausgabe",N1118=""),0,IF(N1118="x",-$E1118/(COUNTIF($J1118:$Q1118,"x")+1),-$E1118*N(N1118)))</f>
        <v/>
      </c>
      <c r="AC1118" s="34">
        <f>IF(OR($A1118="",$H1118&lt;&gt;"Ausgabe",O1118=""),0,IF(O1118="x",-$E1118/(COUNTIF($J1118:$Q1118,"x")+1),-$E1118*N(O1118)))</f>
        <v/>
      </c>
      <c r="AD1118" s="34">
        <f>IF(OR($A1118="",$H1118&lt;&gt;"Ausgabe",P1118=""),0,IF(P1118="x",-$E1118/(COUNTIF($J1118:$Q1118,"x")+1),-$E1118*N(P1118)))</f>
        <v/>
      </c>
      <c r="AE1118" s="34">
        <f>IF(OR($A1118="",$H1118&lt;&gt;"Ausgabe",Q1118=""),0,IF(Q1118="x",-$E1118/(COUNTIF($J1118:$Q1118,"x")+1),-$E1118*N(Q1118)))</f>
        <v/>
      </c>
    </row>
    <row r="1119">
      <c r="A1119" s="30" t="n"/>
      <c r="E1119" s="31" t="n"/>
      <c r="J1119" s="32" t="n"/>
      <c r="K1119" s="32" t="n"/>
      <c r="L1119" s="32" t="n"/>
      <c r="M1119" s="32" t="n"/>
      <c r="N1119" s="32" t="n"/>
      <c r="O1119" s="32" t="n"/>
      <c r="P1119" s="32" t="n"/>
      <c r="Q1119" s="32" t="n"/>
      <c r="U1119" s="31">
        <f>IF($A1119="","",SUM(X1119:AE1119))</f>
        <v/>
      </c>
      <c r="V1119" s="31">
        <f>IF($A1119="","",IF($H1119&lt;&gt;"Ausgabe",0,-$E1119-$U1119))</f>
        <v/>
      </c>
      <c r="W1119" s="33">
        <f>IF($A1119="","",DATE(YEAR($A1119),MONTH($A1119),1))</f>
        <v/>
      </c>
      <c r="X1119" s="34">
        <f>IF(OR($A1119="",$H1119&lt;&gt;"Ausgabe",J1119=""),0,IF(J1119="x",-$E1119/(COUNTIF($J1119:$Q1119,"x")+1),-$E1119*N(J1119)))</f>
        <v/>
      </c>
      <c r="Y1119" s="34">
        <f>IF(OR($A1119="",$H1119&lt;&gt;"Ausgabe",K1119=""),0,IF(K1119="x",-$E1119/(COUNTIF($J1119:$Q1119,"x")+1),-$E1119*N(K1119)))</f>
        <v/>
      </c>
      <c r="Z1119" s="34">
        <f>IF(OR($A1119="",$H1119&lt;&gt;"Ausgabe",L1119=""),0,IF(L1119="x",-$E1119/(COUNTIF($J1119:$Q1119,"x")+1),-$E1119*N(L1119)))</f>
        <v/>
      </c>
      <c r="AA1119" s="34">
        <f>IF(OR($A1119="",$H1119&lt;&gt;"Ausgabe",M1119=""),0,IF(M1119="x",-$E1119/(COUNTIF($J1119:$Q1119,"x")+1),-$E1119*N(M1119)))</f>
        <v/>
      </c>
      <c r="AB1119" s="34">
        <f>IF(OR($A1119="",$H1119&lt;&gt;"Ausgabe",N1119=""),0,IF(N1119="x",-$E1119/(COUNTIF($J1119:$Q1119,"x")+1),-$E1119*N(N1119)))</f>
        <v/>
      </c>
      <c r="AC1119" s="34">
        <f>IF(OR($A1119="",$H1119&lt;&gt;"Ausgabe",O1119=""),0,IF(O1119="x",-$E1119/(COUNTIF($J1119:$Q1119,"x")+1),-$E1119*N(O1119)))</f>
        <v/>
      </c>
      <c r="AD1119" s="34">
        <f>IF(OR($A1119="",$H1119&lt;&gt;"Ausgabe",P1119=""),0,IF(P1119="x",-$E1119/(COUNTIF($J1119:$Q1119,"x")+1),-$E1119*N(P1119)))</f>
        <v/>
      </c>
      <c r="AE1119" s="34">
        <f>IF(OR($A1119="",$H1119&lt;&gt;"Ausgabe",Q1119=""),0,IF(Q1119="x",-$E1119/(COUNTIF($J1119:$Q1119,"x")+1),-$E1119*N(Q1119)))</f>
        <v/>
      </c>
    </row>
    <row r="1120">
      <c r="A1120" s="30" t="n"/>
      <c r="E1120" s="31" t="n"/>
      <c r="J1120" s="32" t="n"/>
      <c r="K1120" s="32" t="n"/>
      <c r="L1120" s="32" t="n"/>
      <c r="M1120" s="32" t="n"/>
      <c r="N1120" s="32" t="n"/>
      <c r="O1120" s="32" t="n"/>
      <c r="P1120" s="32" t="n"/>
      <c r="Q1120" s="32" t="n"/>
      <c r="U1120" s="31">
        <f>IF($A1120="","",SUM(X1120:AE1120))</f>
        <v/>
      </c>
      <c r="V1120" s="31">
        <f>IF($A1120="","",IF($H1120&lt;&gt;"Ausgabe",0,-$E1120-$U1120))</f>
        <v/>
      </c>
      <c r="W1120" s="33">
        <f>IF($A1120="","",DATE(YEAR($A1120),MONTH($A1120),1))</f>
        <v/>
      </c>
      <c r="X1120" s="34">
        <f>IF(OR($A1120="",$H1120&lt;&gt;"Ausgabe",J1120=""),0,IF(J1120="x",-$E1120/(COUNTIF($J1120:$Q1120,"x")+1),-$E1120*N(J1120)))</f>
        <v/>
      </c>
      <c r="Y1120" s="34">
        <f>IF(OR($A1120="",$H1120&lt;&gt;"Ausgabe",K1120=""),0,IF(K1120="x",-$E1120/(COUNTIF($J1120:$Q1120,"x")+1),-$E1120*N(K1120)))</f>
        <v/>
      </c>
      <c r="Z1120" s="34">
        <f>IF(OR($A1120="",$H1120&lt;&gt;"Ausgabe",L1120=""),0,IF(L1120="x",-$E1120/(COUNTIF($J1120:$Q1120,"x")+1),-$E1120*N(L1120)))</f>
        <v/>
      </c>
      <c r="AA1120" s="34">
        <f>IF(OR($A1120="",$H1120&lt;&gt;"Ausgabe",M1120=""),0,IF(M1120="x",-$E1120/(COUNTIF($J1120:$Q1120,"x")+1),-$E1120*N(M1120)))</f>
        <v/>
      </c>
      <c r="AB1120" s="34">
        <f>IF(OR($A1120="",$H1120&lt;&gt;"Ausgabe",N1120=""),0,IF(N1120="x",-$E1120/(COUNTIF($J1120:$Q1120,"x")+1),-$E1120*N(N1120)))</f>
        <v/>
      </c>
      <c r="AC1120" s="34">
        <f>IF(OR($A1120="",$H1120&lt;&gt;"Ausgabe",O1120=""),0,IF(O1120="x",-$E1120/(COUNTIF($J1120:$Q1120,"x")+1),-$E1120*N(O1120)))</f>
        <v/>
      </c>
      <c r="AD1120" s="34">
        <f>IF(OR($A1120="",$H1120&lt;&gt;"Ausgabe",P1120=""),0,IF(P1120="x",-$E1120/(COUNTIF($J1120:$Q1120,"x")+1),-$E1120*N(P1120)))</f>
        <v/>
      </c>
      <c r="AE1120" s="34">
        <f>IF(OR($A1120="",$H1120&lt;&gt;"Ausgabe",Q1120=""),0,IF(Q1120="x",-$E1120/(COUNTIF($J1120:$Q1120,"x")+1),-$E1120*N(Q1120)))</f>
        <v/>
      </c>
    </row>
    <row r="1121">
      <c r="A1121" s="30" t="n"/>
      <c r="E1121" s="31" t="n"/>
      <c r="J1121" s="32" t="n"/>
      <c r="K1121" s="32" t="n"/>
      <c r="L1121" s="32" t="n"/>
      <c r="M1121" s="32" t="n"/>
      <c r="N1121" s="32" t="n"/>
      <c r="O1121" s="32" t="n"/>
      <c r="P1121" s="32" t="n"/>
      <c r="Q1121" s="32" t="n"/>
      <c r="U1121" s="31">
        <f>IF($A1121="","",SUM(X1121:AE1121))</f>
        <v/>
      </c>
      <c r="V1121" s="31">
        <f>IF($A1121="","",IF($H1121&lt;&gt;"Ausgabe",0,-$E1121-$U1121))</f>
        <v/>
      </c>
      <c r="W1121" s="33">
        <f>IF($A1121="","",DATE(YEAR($A1121),MONTH($A1121),1))</f>
        <v/>
      </c>
      <c r="X1121" s="34">
        <f>IF(OR($A1121="",$H1121&lt;&gt;"Ausgabe",J1121=""),0,IF(J1121="x",-$E1121/(COUNTIF($J1121:$Q1121,"x")+1),-$E1121*N(J1121)))</f>
        <v/>
      </c>
      <c r="Y1121" s="34">
        <f>IF(OR($A1121="",$H1121&lt;&gt;"Ausgabe",K1121=""),0,IF(K1121="x",-$E1121/(COUNTIF($J1121:$Q1121,"x")+1),-$E1121*N(K1121)))</f>
        <v/>
      </c>
      <c r="Z1121" s="34">
        <f>IF(OR($A1121="",$H1121&lt;&gt;"Ausgabe",L1121=""),0,IF(L1121="x",-$E1121/(COUNTIF($J1121:$Q1121,"x")+1),-$E1121*N(L1121)))</f>
        <v/>
      </c>
      <c r="AA1121" s="34">
        <f>IF(OR($A1121="",$H1121&lt;&gt;"Ausgabe",M1121=""),0,IF(M1121="x",-$E1121/(COUNTIF($J1121:$Q1121,"x")+1),-$E1121*N(M1121)))</f>
        <v/>
      </c>
      <c r="AB1121" s="34">
        <f>IF(OR($A1121="",$H1121&lt;&gt;"Ausgabe",N1121=""),0,IF(N1121="x",-$E1121/(COUNTIF($J1121:$Q1121,"x")+1),-$E1121*N(N1121)))</f>
        <v/>
      </c>
      <c r="AC1121" s="34">
        <f>IF(OR($A1121="",$H1121&lt;&gt;"Ausgabe",O1121=""),0,IF(O1121="x",-$E1121/(COUNTIF($J1121:$Q1121,"x")+1),-$E1121*N(O1121)))</f>
        <v/>
      </c>
      <c r="AD1121" s="34">
        <f>IF(OR($A1121="",$H1121&lt;&gt;"Ausgabe",P1121=""),0,IF(P1121="x",-$E1121/(COUNTIF($J1121:$Q1121,"x")+1),-$E1121*N(P1121)))</f>
        <v/>
      </c>
      <c r="AE1121" s="34">
        <f>IF(OR($A1121="",$H1121&lt;&gt;"Ausgabe",Q1121=""),0,IF(Q1121="x",-$E1121/(COUNTIF($J1121:$Q1121,"x")+1),-$E1121*N(Q1121)))</f>
        <v/>
      </c>
    </row>
    <row r="1122">
      <c r="A1122" s="30" t="n"/>
      <c r="E1122" s="31" t="n"/>
      <c r="J1122" s="32" t="n"/>
      <c r="K1122" s="32" t="n"/>
      <c r="L1122" s="32" t="n"/>
      <c r="M1122" s="32" t="n"/>
      <c r="N1122" s="32" t="n"/>
      <c r="O1122" s="32" t="n"/>
      <c r="P1122" s="32" t="n"/>
      <c r="Q1122" s="32" t="n"/>
      <c r="U1122" s="31">
        <f>IF($A1122="","",SUM(X1122:AE1122))</f>
        <v/>
      </c>
      <c r="V1122" s="31">
        <f>IF($A1122="","",IF($H1122&lt;&gt;"Ausgabe",0,-$E1122-$U1122))</f>
        <v/>
      </c>
      <c r="W1122" s="33">
        <f>IF($A1122="","",DATE(YEAR($A1122),MONTH($A1122),1))</f>
        <v/>
      </c>
      <c r="X1122" s="34">
        <f>IF(OR($A1122="",$H1122&lt;&gt;"Ausgabe",J1122=""),0,IF(J1122="x",-$E1122/(COUNTIF($J1122:$Q1122,"x")+1),-$E1122*N(J1122)))</f>
        <v/>
      </c>
      <c r="Y1122" s="34">
        <f>IF(OR($A1122="",$H1122&lt;&gt;"Ausgabe",K1122=""),0,IF(K1122="x",-$E1122/(COUNTIF($J1122:$Q1122,"x")+1),-$E1122*N(K1122)))</f>
        <v/>
      </c>
      <c r="Z1122" s="34">
        <f>IF(OR($A1122="",$H1122&lt;&gt;"Ausgabe",L1122=""),0,IF(L1122="x",-$E1122/(COUNTIF($J1122:$Q1122,"x")+1),-$E1122*N(L1122)))</f>
        <v/>
      </c>
      <c r="AA1122" s="34">
        <f>IF(OR($A1122="",$H1122&lt;&gt;"Ausgabe",M1122=""),0,IF(M1122="x",-$E1122/(COUNTIF($J1122:$Q1122,"x")+1),-$E1122*N(M1122)))</f>
        <v/>
      </c>
      <c r="AB1122" s="34">
        <f>IF(OR($A1122="",$H1122&lt;&gt;"Ausgabe",N1122=""),0,IF(N1122="x",-$E1122/(COUNTIF($J1122:$Q1122,"x")+1),-$E1122*N(N1122)))</f>
        <v/>
      </c>
      <c r="AC1122" s="34">
        <f>IF(OR($A1122="",$H1122&lt;&gt;"Ausgabe",O1122=""),0,IF(O1122="x",-$E1122/(COUNTIF($J1122:$Q1122,"x")+1),-$E1122*N(O1122)))</f>
        <v/>
      </c>
      <c r="AD1122" s="34">
        <f>IF(OR($A1122="",$H1122&lt;&gt;"Ausgabe",P1122=""),0,IF(P1122="x",-$E1122/(COUNTIF($J1122:$Q1122,"x")+1),-$E1122*N(P1122)))</f>
        <v/>
      </c>
      <c r="AE1122" s="34">
        <f>IF(OR($A1122="",$H1122&lt;&gt;"Ausgabe",Q1122=""),0,IF(Q1122="x",-$E1122/(COUNTIF($J1122:$Q1122,"x")+1),-$E1122*N(Q1122)))</f>
        <v/>
      </c>
    </row>
    <row r="1123">
      <c r="A1123" s="30" t="n"/>
      <c r="E1123" s="31" t="n"/>
      <c r="J1123" s="32" t="n"/>
      <c r="K1123" s="32" t="n"/>
      <c r="L1123" s="32" t="n"/>
      <c r="M1123" s="32" t="n"/>
      <c r="N1123" s="32" t="n"/>
      <c r="O1123" s="32" t="n"/>
      <c r="P1123" s="32" t="n"/>
      <c r="Q1123" s="32" t="n"/>
      <c r="U1123" s="31">
        <f>IF($A1123="","",SUM(X1123:AE1123))</f>
        <v/>
      </c>
      <c r="V1123" s="31">
        <f>IF($A1123="","",IF($H1123&lt;&gt;"Ausgabe",0,-$E1123-$U1123))</f>
        <v/>
      </c>
      <c r="W1123" s="33">
        <f>IF($A1123="","",DATE(YEAR($A1123),MONTH($A1123),1))</f>
        <v/>
      </c>
      <c r="X1123" s="34">
        <f>IF(OR($A1123="",$H1123&lt;&gt;"Ausgabe",J1123=""),0,IF(J1123="x",-$E1123/(COUNTIF($J1123:$Q1123,"x")+1),-$E1123*N(J1123)))</f>
        <v/>
      </c>
      <c r="Y1123" s="34">
        <f>IF(OR($A1123="",$H1123&lt;&gt;"Ausgabe",K1123=""),0,IF(K1123="x",-$E1123/(COUNTIF($J1123:$Q1123,"x")+1),-$E1123*N(K1123)))</f>
        <v/>
      </c>
      <c r="Z1123" s="34">
        <f>IF(OR($A1123="",$H1123&lt;&gt;"Ausgabe",L1123=""),0,IF(L1123="x",-$E1123/(COUNTIF($J1123:$Q1123,"x")+1),-$E1123*N(L1123)))</f>
        <v/>
      </c>
      <c r="AA1123" s="34">
        <f>IF(OR($A1123="",$H1123&lt;&gt;"Ausgabe",M1123=""),0,IF(M1123="x",-$E1123/(COUNTIF($J1123:$Q1123,"x")+1),-$E1123*N(M1123)))</f>
        <v/>
      </c>
      <c r="AB1123" s="34">
        <f>IF(OR($A1123="",$H1123&lt;&gt;"Ausgabe",N1123=""),0,IF(N1123="x",-$E1123/(COUNTIF($J1123:$Q1123,"x")+1),-$E1123*N(N1123)))</f>
        <v/>
      </c>
      <c r="AC1123" s="34">
        <f>IF(OR($A1123="",$H1123&lt;&gt;"Ausgabe",O1123=""),0,IF(O1123="x",-$E1123/(COUNTIF($J1123:$Q1123,"x")+1),-$E1123*N(O1123)))</f>
        <v/>
      </c>
      <c r="AD1123" s="34">
        <f>IF(OR($A1123="",$H1123&lt;&gt;"Ausgabe",P1123=""),0,IF(P1123="x",-$E1123/(COUNTIF($J1123:$Q1123,"x")+1),-$E1123*N(P1123)))</f>
        <v/>
      </c>
      <c r="AE1123" s="34">
        <f>IF(OR($A1123="",$H1123&lt;&gt;"Ausgabe",Q1123=""),0,IF(Q1123="x",-$E1123/(COUNTIF($J1123:$Q1123,"x")+1),-$E1123*N(Q1123)))</f>
        <v/>
      </c>
    </row>
    <row r="1124">
      <c r="A1124" s="30" t="n"/>
      <c r="E1124" s="31" t="n"/>
      <c r="J1124" s="32" t="n"/>
      <c r="K1124" s="32" t="n"/>
      <c r="L1124" s="32" t="n"/>
      <c r="M1124" s="32" t="n"/>
      <c r="N1124" s="32" t="n"/>
      <c r="O1124" s="32" t="n"/>
      <c r="P1124" s="32" t="n"/>
      <c r="Q1124" s="32" t="n"/>
      <c r="U1124" s="31">
        <f>IF($A1124="","",SUM(X1124:AE1124))</f>
        <v/>
      </c>
      <c r="V1124" s="31">
        <f>IF($A1124="","",IF($H1124&lt;&gt;"Ausgabe",0,-$E1124-$U1124))</f>
        <v/>
      </c>
      <c r="W1124" s="33">
        <f>IF($A1124="","",DATE(YEAR($A1124),MONTH($A1124),1))</f>
        <v/>
      </c>
      <c r="X1124" s="34">
        <f>IF(OR($A1124="",$H1124&lt;&gt;"Ausgabe",J1124=""),0,IF(J1124="x",-$E1124/(COUNTIF($J1124:$Q1124,"x")+1),-$E1124*N(J1124)))</f>
        <v/>
      </c>
      <c r="Y1124" s="34">
        <f>IF(OR($A1124="",$H1124&lt;&gt;"Ausgabe",K1124=""),0,IF(K1124="x",-$E1124/(COUNTIF($J1124:$Q1124,"x")+1),-$E1124*N(K1124)))</f>
        <v/>
      </c>
      <c r="Z1124" s="34">
        <f>IF(OR($A1124="",$H1124&lt;&gt;"Ausgabe",L1124=""),0,IF(L1124="x",-$E1124/(COUNTIF($J1124:$Q1124,"x")+1),-$E1124*N(L1124)))</f>
        <v/>
      </c>
      <c r="AA1124" s="34">
        <f>IF(OR($A1124="",$H1124&lt;&gt;"Ausgabe",M1124=""),0,IF(M1124="x",-$E1124/(COUNTIF($J1124:$Q1124,"x")+1),-$E1124*N(M1124)))</f>
        <v/>
      </c>
      <c r="AB1124" s="34">
        <f>IF(OR($A1124="",$H1124&lt;&gt;"Ausgabe",N1124=""),0,IF(N1124="x",-$E1124/(COUNTIF($J1124:$Q1124,"x")+1),-$E1124*N(N1124)))</f>
        <v/>
      </c>
      <c r="AC1124" s="34">
        <f>IF(OR($A1124="",$H1124&lt;&gt;"Ausgabe",O1124=""),0,IF(O1124="x",-$E1124/(COUNTIF($J1124:$Q1124,"x")+1),-$E1124*N(O1124)))</f>
        <v/>
      </c>
      <c r="AD1124" s="34">
        <f>IF(OR($A1124="",$H1124&lt;&gt;"Ausgabe",P1124=""),0,IF(P1124="x",-$E1124/(COUNTIF($J1124:$Q1124,"x")+1),-$E1124*N(P1124)))</f>
        <v/>
      </c>
      <c r="AE1124" s="34">
        <f>IF(OR($A1124="",$H1124&lt;&gt;"Ausgabe",Q1124=""),0,IF(Q1124="x",-$E1124/(COUNTIF($J1124:$Q1124,"x")+1),-$E1124*N(Q1124)))</f>
        <v/>
      </c>
    </row>
    <row r="1125">
      <c r="A1125" s="30" t="n"/>
      <c r="E1125" s="31" t="n"/>
      <c r="J1125" s="32" t="n"/>
      <c r="K1125" s="32" t="n"/>
      <c r="L1125" s="32" t="n"/>
      <c r="M1125" s="32" t="n"/>
      <c r="N1125" s="32" t="n"/>
      <c r="O1125" s="32" t="n"/>
      <c r="P1125" s="32" t="n"/>
      <c r="Q1125" s="32" t="n"/>
      <c r="U1125" s="31">
        <f>IF($A1125="","",SUM(X1125:AE1125))</f>
        <v/>
      </c>
      <c r="V1125" s="31">
        <f>IF($A1125="","",IF($H1125&lt;&gt;"Ausgabe",0,-$E1125-$U1125))</f>
        <v/>
      </c>
      <c r="W1125" s="33">
        <f>IF($A1125="","",DATE(YEAR($A1125),MONTH($A1125),1))</f>
        <v/>
      </c>
      <c r="X1125" s="34">
        <f>IF(OR($A1125="",$H1125&lt;&gt;"Ausgabe",J1125=""),0,IF(J1125="x",-$E1125/(COUNTIF($J1125:$Q1125,"x")+1),-$E1125*N(J1125)))</f>
        <v/>
      </c>
      <c r="Y1125" s="34">
        <f>IF(OR($A1125="",$H1125&lt;&gt;"Ausgabe",K1125=""),0,IF(K1125="x",-$E1125/(COUNTIF($J1125:$Q1125,"x")+1),-$E1125*N(K1125)))</f>
        <v/>
      </c>
      <c r="Z1125" s="34">
        <f>IF(OR($A1125="",$H1125&lt;&gt;"Ausgabe",L1125=""),0,IF(L1125="x",-$E1125/(COUNTIF($J1125:$Q1125,"x")+1),-$E1125*N(L1125)))</f>
        <v/>
      </c>
      <c r="AA1125" s="34">
        <f>IF(OR($A1125="",$H1125&lt;&gt;"Ausgabe",M1125=""),0,IF(M1125="x",-$E1125/(COUNTIF($J1125:$Q1125,"x")+1),-$E1125*N(M1125)))</f>
        <v/>
      </c>
      <c r="AB1125" s="34">
        <f>IF(OR($A1125="",$H1125&lt;&gt;"Ausgabe",N1125=""),0,IF(N1125="x",-$E1125/(COUNTIF($J1125:$Q1125,"x")+1),-$E1125*N(N1125)))</f>
        <v/>
      </c>
      <c r="AC1125" s="34">
        <f>IF(OR($A1125="",$H1125&lt;&gt;"Ausgabe",O1125=""),0,IF(O1125="x",-$E1125/(COUNTIF($J1125:$Q1125,"x")+1),-$E1125*N(O1125)))</f>
        <v/>
      </c>
      <c r="AD1125" s="34">
        <f>IF(OR($A1125="",$H1125&lt;&gt;"Ausgabe",P1125=""),0,IF(P1125="x",-$E1125/(COUNTIF($J1125:$Q1125,"x")+1),-$E1125*N(P1125)))</f>
        <v/>
      </c>
      <c r="AE1125" s="34">
        <f>IF(OR($A1125="",$H1125&lt;&gt;"Ausgabe",Q1125=""),0,IF(Q1125="x",-$E1125/(COUNTIF($J1125:$Q1125,"x")+1),-$E1125*N(Q1125)))</f>
        <v/>
      </c>
    </row>
    <row r="1126">
      <c r="A1126" s="30" t="n"/>
      <c r="E1126" s="31" t="n"/>
      <c r="J1126" s="32" t="n"/>
      <c r="K1126" s="32" t="n"/>
      <c r="L1126" s="32" t="n"/>
      <c r="M1126" s="32" t="n"/>
      <c r="N1126" s="32" t="n"/>
      <c r="O1126" s="32" t="n"/>
      <c r="P1126" s="32" t="n"/>
      <c r="Q1126" s="32" t="n"/>
      <c r="U1126" s="31">
        <f>IF($A1126="","",SUM(X1126:AE1126))</f>
        <v/>
      </c>
      <c r="V1126" s="31">
        <f>IF($A1126="","",IF($H1126&lt;&gt;"Ausgabe",0,-$E1126-$U1126))</f>
        <v/>
      </c>
      <c r="W1126" s="33">
        <f>IF($A1126="","",DATE(YEAR($A1126),MONTH($A1126),1))</f>
        <v/>
      </c>
      <c r="X1126" s="34">
        <f>IF(OR($A1126="",$H1126&lt;&gt;"Ausgabe",J1126=""),0,IF(J1126="x",-$E1126/(COUNTIF($J1126:$Q1126,"x")+1),-$E1126*N(J1126)))</f>
        <v/>
      </c>
      <c r="Y1126" s="34">
        <f>IF(OR($A1126="",$H1126&lt;&gt;"Ausgabe",K1126=""),0,IF(K1126="x",-$E1126/(COUNTIF($J1126:$Q1126,"x")+1),-$E1126*N(K1126)))</f>
        <v/>
      </c>
      <c r="Z1126" s="34">
        <f>IF(OR($A1126="",$H1126&lt;&gt;"Ausgabe",L1126=""),0,IF(L1126="x",-$E1126/(COUNTIF($J1126:$Q1126,"x")+1),-$E1126*N(L1126)))</f>
        <v/>
      </c>
      <c r="AA1126" s="34">
        <f>IF(OR($A1126="",$H1126&lt;&gt;"Ausgabe",M1126=""),0,IF(M1126="x",-$E1126/(COUNTIF($J1126:$Q1126,"x")+1),-$E1126*N(M1126)))</f>
        <v/>
      </c>
      <c r="AB1126" s="34">
        <f>IF(OR($A1126="",$H1126&lt;&gt;"Ausgabe",N1126=""),0,IF(N1126="x",-$E1126/(COUNTIF($J1126:$Q1126,"x")+1),-$E1126*N(N1126)))</f>
        <v/>
      </c>
      <c r="AC1126" s="34">
        <f>IF(OR($A1126="",$H1126&lt;&gt;"Ausgabe",O1126=""),0,IF(O1126="x",-$E1126/(COUNTIF($J1126:$Q1126,"x")+1),-$E1126*N(O1126)))</f>
        <v/>
      </c>
      <c r="AD1126" s="34">
        <f>IF(OR($A1126="",$H1126&lt;&gt;"Ausgabe",P1126=""),0,IF(P1126="x",-$E1126/(COUNTIF($J1126:$Q1126,"x")+1),-$E1126*N(P1126)))</f>
        <v/>
      </c>
      <c r="AE1126" s="34">
        <f>IF(OR($A1126="",$H1126&lt;&gt;"Ausgabe",Q1126=""),0,IF(Q1126="x",-$E1126/(COUNTIF($J1126:$Q1126,"x")+1),-$E1126*N(Q1126)))</f>
        <v/>
      </c>
    </row>
    <row r="1127">
      <c r="A1127" s="30" t="n"/>
      <c r="E1127" s="31" t="n"/>
      <c r="J1127" s="32" t="n"/>
      <c r="K1127" s="32" t="n"/>
      <c r="L1127" s="32" t="n"/>
      <c r="M1127" s="32" t="n"/>
      <c r="N1127" s="32" t="n"/>
      <c r="O1127" s="32" t="n"/>
      <c r="P1127" s="32" t="n"/>
      <c r="Q1127" s="32" t="n"/>
      <c r="U1127" s="31">
        <f>IF($A1127="","",SUM(X1127:AE1127))</f>
        <v/>
      </c>
      <c r="V1127" s="31">
        <f>IF($A1127="","",IF($H1127&lt;&gt;"Ausgabe",0,-$E1127-$U1127))</f>
        <v/>
      </c>
      <c r="W1127" s="33">
        <f>IF($A1127="","",DATE(YEAR($A1127),MONTH($A1127),1))</f>
        <v/>
      </c>
      <c r="X1127" s="34">
        <f>IF(OR($A1127="",$H1127&lt;&gt;"Ausgabe",J1127=""),0,IF(J1127="x",-$E1127/(COUNTIF($J1127:$Q1127,"x")+1),-$E1127*N(J1127)))</f>
        <v/>
      </c>
      <c r="Y1127" s="34">
        <f>IF(OR($A1127="",$H1127&lt;&gt;"Ausgabe",K1127=""),0,IF(K1127="x",-$E1127/(COUNTIF($J1127:$Q1127,"x")+1),-$E1127*N(K1127)))</f>
        <v/>
      </c>
      <c r="Z1127" s="34">
        <f>IF(OR($A1127="",$H1127&lt;&gt;"Ausgabe",L1127=""),0,IF(L1127="x",-$E1127/(COUNTIF($J1127:$Q1127,"x")+1),-$E1127*N(L1127)))</f>
        <v/>
      </c>
      <c r="AA1127" s="34">
        <f>IF(OR($A1127="",$H1127&lt;&gt;"Ausgabe",M1127=""),0,IF(M1127="x",-$E1127/(COUNTIF($J1127:$Q1127,"x")+1),-$E1127*N(M1127)))</f>
        <v/>
      </c>
      <c r="AB1127" s="34">
        <f>IF(OR($A1127="",$H1127&lt;&gt;"Ausgabe",N1127=""),0,IF(N1127="x",-$E1127/(COUNTIF($J1127:$Q1127,"x")+1),-$E1127*N(N1127)))</f>
        <v/>
      </c>
      <c r="AC1127" s="34">
        <f>IF(OR($A1127="",$H1127&lt;&gt;"Ausgabe",O1127=""),0,IF(O1127="x",-$E1127/(COUNTIF($J1127:$Q1127,"x")+1),-$E1127*N(O1127)))</f>
        <v/>
      </c>
      <c r="AD1127" s="34">
        <f>IF(OR($A1127="",$H1127&lt;&gt;"Ausgabe",P1127=""),0,IF(P1127="x",-$E1127/(COUNTIF($J1127:$Q1127,"x")+1),-$E1127*N(P1127)))</f>
        <v/>
      </c>
      <c r="AE1127" s="34">
        <f>IF(OR($A1127="",$H1127&lt;&gt;"Ausgabe",Q1127=""),0,IF(Q1127="x",-$E1127/(COUNTIF($J1127:$Q1127,"x")+1),-$E1127*N(Q1127)))</f>
        <v/>
      </c>
    </row>
    <row r="1128">
      <c r="A1128" s="30" t="n"/>
      <c r="E1128" s="31" t="n"/>
      <c r="J1128" s="32" t="n"/>
      <c r="K1128" s="32" t="n"/>
      <c r="L1128" s="32" t="n"/>
      <c r="M1128" s="32" t="n"/>
      <c r="N1128" s="32" t="n"/>
      <c r="O1128" s="32" t="n"/>
      <c r="P1128" s="32" t="n"/>
      <c r="Q1128" s="32" t="n"/>
      <c r="U1128" s="31">
        <f>IF($A1128="","",SUM(X1128:AE1128))</f>
        <v/>
      </c>
      <c r="V1128" s="31">
        <f>IF($A1128="","",IF($H1128&lt;&gt;"Ausgabe",0,-$E1128-$U1128))</f>
        <v/>
      </c>
      <c r="W1128" s="33">
        <f>IF($A1128="","",DATE(YEAR($A1128),MONTH($A1128),1))</f>
        <v/>
      </c>
      <c r="X1128" s="34">
        <f>IF(OR($A1128="",$H1128&lt;&gt;"Ausgabe",J1128=""),0,IF(J1128="x",-$E1128/(COUNTIF($J1128:$Q1128,"x")+1),-$E1128*N(J1128)))</f>
        <v/>
      </c>
      <c r="Y1128" s="34">
        <f>IF(OR($A1128="",$H1128&lt;&gt;"Ausgabe",K1128=""),0,IF(K1128="x",-$E1128/(COUNTIF($J1128:$Q1128,"x")+1),-$E1128*N(K1128)))</f>
        <v/>
      </c>
      <c r="Z1128" s="34">
        <f>IF(OR($A1128="",$H1128&lt;&gt;"Ausgabe",L1128=""),0,IF(L1128="x",-$E1128/(COUNTIF($J1128:$Q1128,"x")+1),-$E1128*N(L1128)))</f>
        <v/>
      </c>
      <c r="AA1128" s="34">
        <f>IF(OR($A1128="",$H1128&lt;&gt;"Ausgabe",M1128=""),0,IF(M1128="x",-$E1128/(COUNTIF($J1128:$Q1128,"x")+1),-$E1128*N(M1128)))</f>
        <v/>
      </c>
      <c r="AB1128" s="34">
        <f>IF(OR($A1128="",$H1128&lt;&gt;"Ausgabe",N1128=""),0,IF(N1128="x",-$E1128/(COUNTIF($J1128:$Q1128,"x")+1),-$E1128*N(N1128)))</f>
        <v/>
      </c>
      <c r="AC1128" s="34">
        <f>IF(OR($A1128="",$H1128&lt;&gt;"Ausgabe",O1128=""),0,IF(O1128="x",-$E1128/(COUNTIF($J1128:$Q1128,"x")+1),-$E1128*N(O1128)))</f>
        <v/>
      </c>
      <c r="AD1128" s="34">
        <f>IF(OR($A1128="",$H1128&lt;&gt;"Ausgabe",P1128=""),0,IF(P1128="x",-$E1128/(COUNTIF($J1128:$Q1128,"x")+1),-$E1128*N(P1128)))</f>
        <v/>
      </c>
      <c r="AE1128" s="34">
        <f>IF(OR($A1128="",$H1128&lt;&gt;"Ausgabe",Q1128=""),0,IF(Q1128="x",-$E1128/(COUNTIF($J1128:$Q1128,"x")+1),-$E1128*N(Q1128)))</f>
        <v/>
      </c>
    </row>
    <row r="1129">
      <c r="A1129" s="30" t="n"/>
      <c r="E1129" s="31" t="n"/>
      <c r="J1129" s="32" t="n"/>
      <c r="K1129" s="32" t="n"/>
      <c r="L1129" s="32" t="n"/>
      <c r="M1129" s="32" t="n"/>
      <c r="N1129" s="32" t="n"/>
      <c r="O1129" s="32" t="n"/>
      <c r="P1129" s="32" t="n"/>
      <c r="Q1129" s="32" t="n"/>
      <c r="U1129" s="31">
        <f>IF($A1129="","",SUM(X1129:AE1129))</f>
        <v/>
      </c>
      <c r="V1129" s="31">
        <f>IF($A1129="","",IF($H1129&lt;&gt;"Ausgabe",0,-$E1129-$U1129))</f>
        <v/>
      </c>
      <c r="W1129" s="33">
        <f>IF($A1129="","",DATE(YEAR($A1129),MONTH($A1129),1))</f>
        <v/>
      </c>
      <c r="X1129" s="34">
        <f>IF(OR($A1129="",$H1129&lt;&gt;"Ausgabe",J1129=""),0,IF(J1129="x",-$E1129/(COUNTIF($J1129:$Q1129,"x")+1),-$E1129*N(J1129)))</f>
        <v/>
      </c>
      <c r="Y1129" s="34">
        <f>IF(OR($A1129="",$H1129&lt;&gt;"Ausgabe",K1129=""),0,IF(K1129="x",-$E1129/(COUNTIF($J1129:$Q1129,"x")+1),-$E1129*N(K1129)))</f>
        <v/>
      </c>
      <c r="Z1129" s="34">
        <f>IF(OR($A1129="",$H1129&lt;&gt;"Ausgabe",L1129=""),0,IF(L1129="x",-$E1129/(COUNTIF($J1129:$Q1129,"x")+1),-$E1129*N(L1129)))</f>
        <v/>
      </c>
      <c r="AA1129" s="34">
        <f>IF(OR($A1129="",$H1129&lt;&gt;"Ausgabe",M1129=""),0,IF(M1129="x",-$E1129/(COUNTIF($J1129:$Q1129,"x")+1),-$E1129*N(M1129)))</f>
        <v/>
      </c>
      <c r="AB1129" s="34">
        <f>IF(OR($A1129="",$H1129&lt;&gt;"Ausgabe",N1129=""),0,IF(N1129="x",-$E1129/(COUNTIF($J1129:$Q1129,"x")+1),-$E1129*N(N1129)))</f>
        <v/>
      </c>
      <c r="AC1129" s="34">
        <f>IF(OR($A1129="",$H1129&lt;&gt;"Ausgabe",O1129=""),0,IF(O1129="x",-$E1129/(COUNTIF($J1129:$Q1129,"x")+1),-$E1129*N(O1129)))</f>
        <v/>
      </c>
      <c r="AD1129" s="34">
        <f>IF(OR($A1129="",$H1129&lt;&gt;"Ausgabe",P1129=""),0,IF(P1129="x",-$E1129/(COUNTIF($J1129:$Q1129,"x")+1),-$E1129*N(P1129)))</f>
        <v/>
      </c>
      <c r="AE1129" s="34">
        <f>IF(OR($A1129="",$H1129&lt;&gt;"Ausgabe",Q1129=""),0,IF(Q1129="x",-$E1129/(COUNTIF($J1129:$Q1129,"x")+1),-$E1129*N(Q1129)))</f>
        <v/>
      </c>
    </row>
    <row r="1130">
      <c r="A1130" s="30" t="n"/>
      <c r="E1130" s="31" t="n"/>
      <c r="J1130" s="32" t="n"/>
      <c r="K1130" s="32" t="n"/>
      <c r="L1130" s="32" t="n"/>
      <c r="M1130" s="32" t="n"/>
      <c r="N1130" s="32" t="n"/>
      <c r="O1130" s="32" t="n"/>
      <c r="P1130" s="32" t="n"/>
      <c r="Q1130" s="32" t="n"/>
      <c r="U1130" s="31">
        <f>IF($A1130="","",SUM(X1130:AE1130))</f>
        <v/>
      </c>
      <c r="V1130" s="31">
        <f>IF($A1130="","",IF($H1130&lt;&gt;"Ausgabe",0,-$E1130-$U1130))</f>
        <v/>
      </c>
      <c r="W1130" s="33">
        <f>IF($A1130="","",DATE(YEAR($A1130),MONTH($A1130),1))</f>
        <v/>
      </c>
      <c r="X1130" s="34">
        <f>IF(OR($A1130="",$H1130&lt;&gt;"Ausgabe",J1130=""),0,IF(J1130="x",-$E1130/(COUNTIF($J1130:$Q1130,"x")+1),-$E1130*N(J1130)))</f>
        <v/>
      </c>
      <c r="Y1130" s="34">
        <f>IF(OR($A1130="",$H1130&lt;&gt;"Ausgabe",K1130=""),0,IF(K1130="x",-$E1130/(COUNTIF($J1130:$Q1130,"x")+1),-$E1130*N(K1130)))</f>
        <v/>
      </c>
      <c r="Z1130" s="34">
        <f>IF(OR($A1130="",$H1130&lt;&gt;"Ausgabe",L1130=""),0,IF(L1130="x",-$E1130/(COUNTIF($J1130:$Q1130,"x")+1),-$E1130*N(L1130)))</f>
        <v/>
      </c>
      <c r="AA1130" s="34">
        <f>IF(OR($A1130="",$H1130&lt;&gt;"Ausgabe",M1130=""),0,IF(M1130="x",-$E1130/(COUNTIF($J1130:$Q1130,"x")+1),-$E1130*N(M1130)))</f>
        <v/>
      </c>
      <c r="AB1130" s="34">
        <f>IF(OR($A1130="",$H1130&lt;&gt;"Ausgabe",N1130=""),0,IF(N1130="x",-$E1130/(COUNTIF($J1130:$Q1130,"x")+1),-$E1130*N(N1130)))</f>
        <v/>
      </c>
      <c r="AC1130" s="34">
        <f>IF(OR($A1130="",$H1130&lt;&gt;"Ausgabe",O1130=""),0,IF(O1130="x",-$E1130/(COUNTIF($J1130:$Q1130,"x")+1),-$E1130*N(O1130)))</f>
        <v/>
      </c>
      <c r="AD1130" s="34">
        <f>IF(OR($A1130="",$H1130&lt;&gt;"Ausgabe",P1130=""),0,IF(P1130="x",-$E1130/(COUNTIF($J1130:$Q1130,"x")+1),-$E1130*N(P1130)))</f>
        <v/>
      </c>
      <c r="AE1130" s="34">
        <f>IF(OR($A1130="",$H1130&lt;&gt;"Ausgabe",Q1130=""),0,IF(Q1130="x",-$E1130/(COUNTIF($J1130:$Q1130,"x")+1),-$E1130*N(Q1130)))</f>
        <v/>
      </c>
    </row>
    <row r="1131">
      <c r="A1131" s="30" t="n"/>
      <c r="E1131" s="31" t="n"/>
      <c r="J1131" s="32" t="n"/>
      <c r="K1131" s="32" t="n"/>
      <c r="L1131" s="32" t="n"/>
      <c r="M1131" s="32" t="n"/>
      <c r="N1131" s="32" t="n"/>
      <c r="O1131" s="32" t="n"/>
      <c r="P1131" s="32" t="n"/>
      <c r="Q1131" s="32" t="n"/>
      <c r="U1131" s="31">
        <f>IF($A1131="","",SUM(X1131:AE1131))</f>
        <v/>
      </c>
      <c r="V1131" s="31">
        <f>IF($A1131="","",IF($H1131&lt;&gt;"Ausgabe",0,-$E1131-$U1131))</f>
        <v/>
      </c>
      <c r="W1131" s="33">
        <f>IF($A1131="","",DATE(YEAR($A1131),MONTH($A1131),1))</f>
        <v/>
      </c>
      <c r="X1131" s="34">
        <f>IF(OR($A1131="",$H1131&lt;&gt;"Ausgabe",J1131=""),0,IF(J1131="x",-$E1131/(COUNTIF($J1131:$Q1131,"x")+1),-$E1131*N(J1131)))</f>
        <v/>
      </c>
      <c r="Y1131" s="34">
        <f>IF(OR($A1131="",$H1131&lt;&gt;"Ausgabe",K1131=""),0,IF(K1131="x",-$E1131/(COUNTIF($J1131:$Q1131,"x")+1),-$E1131*N(K1131)))</f>
        <v/>
      </c>
      <c r="Z1131" s="34">
        <f>IF(OR($A1131="",$H1131&lt;&gt;"Ausgabe",L1131=""),0,IF(L1131="x",-$E1131/(COUNTIF($J1131:$Q1131,"x")+1),-$E1131*N(L1131)))</f>
        <v/>
      </c>
      <c r="AA1131" s="34">
        <f>IF(OR($A1131="",$H1131&lt;&gt;"Ausgabe",M1131=""),0,IF(M1131="x",-$E1131/(COUNTIF($J1131:$Q1131,"x")+1),-$E1131*N(M1131)))</f>
        <v/>
      </c>
      <c r="AB1131" s="34">
        <f>IF(OR($A1131="",$H1131&lt;&gt;"Ausgabe",N1131=""),0,IF(N1131="x",-$E1131/(COUNTIF($J1131:$Q1131,"x")+1),-$E1131*N(N1131)))</f>
        <v/>
      </c>
      <c r="AC1131" s="34">
        <f>IF(OR($A1131="",$H1131&lt;&gt;"Ausgabe",O1131=""),0,IF(O1131="x",-$E1131/(COUNTIF($J1131:$Q1131,"x")+1),-$E1131*N(O1131)))</f>
        <v/>
      </c>
      <c r="AD1131" s="34">
        <f>IF(OR($A1131="",$H1131&lt;&gt;"Ausgabe",P1131=""),0,IF(P1131="x",-$E1131/(COUNTIF($J1131:$Q1131,"x")+1),-$E1131*N(P1131)))</f>
        <v/>
      </c>
      <c r="AE1131" s="34">
        <f>IF(OR($A1131="",$H1131&lt;&gt;"Ausgabe",Q1131=""),0,IF(Q1131="x",-$E1131/(COUNTIF($J1131:$Q1131,"x")+1),-$E1131*N(Q1131)))</f>
        <v/>
      </c>
    </row>
    <row r="1132">
      <c r="A1132" s="30" t="n"/>
      <c r="E1132" s="31" t="n"/>
      <c r="J1132" s="32" t="n"/>
      <c r="K1132" s="32" t="n"/>
      <c r="L1132" s="32" t="n"/>
      <c r="M1132" s="32" t="n"/>
      <c r="N1132" s="32" t="n"/>
      <c r="O1132" s="32" t="n"/>
      <c r="P1132" s="32" t="n"/>
      <c r="Q1132" s="32" t="n"/>
      <c r="U1132" s="31">
        <f>IF($A1132="","",SUM(X1132:AE1132))</f>
        <v/>
      </c>
      <c r="V1132" s="31">
        <f>IF($A1132="","",IF($H1132&lt;&gt;"Ausgabe",0,-$E1132-$U1132))</f>
        <v/>
      </c>
      <c r="W1132" s="33">
        <f>IF($A1132="","",DATE(YEAR($A1132),MONTH($A1132),1))</f>
        <v/>
      </c>
      <c r="X1132" s="34">
        <f>IF(OR($A1132="",$H1132&lt;&gt;"Ausgabe",J1132=""),0,IF(J1132="x",-$E1132/(COUNTIF($J1132:$Q1132,"x")+1),-$E1132*N(J1132)))</f>
        <v/>
      </c>
      <c r="Y1132" s="34">
        <f>IF(OR($A1132="",$H1132&lt;&gt;"Ausgabe",K1132=""),0,IF(K1132="x",-$E1132/(COUNTIF($J1132:$Q1132,"x")+1),-$E1132*N(K1132)))</f>
        <v/>
      </c>
      <c r="Z1132" s="34">
        <f>IF(OR($A1132="",$H1132&lt;&gt;"Ausgabe",L1132=""),0,IF(L1132="x",-$E1132/(COUNTIF($J1132:$Q1132,"x")+1),-$E1132*N(L1132)))</f>
        <v/>
      </c>
      <c r="AA1132" s="34">
        <f>IF(OR($A1132="",$H1132&lt;&gt;"Ausgabe",M1132=""),0,IF(M1132="x",-$E1132/(COUNTIF($J1132:$Q1132,"x")+1),-$E1132*N(M1132)))</f>
        <v/>
      </c>
      <c r="AB1132" s="34">
        <f>IF(OR($A1132="",$H1132&lt;&gt;"Ausgabe",N1132=""),0,IF(N1132="x",-$E1132/(COUNTIF($J1132:$Q1132,"x")+1),-$E1132*N(N1132)))</f>
        <v/>
      </c>
      <c r="AC1132" s="34">
        <f>IF(OR($A1132="",$H1132&lt;&gt;"Ausgabe",O1132=""),0,IF(O1132="x",-$E1132/(COUNTIF($J1132:$Q1132,"x")+1),-$E1132*N(O1132)))</f>
        <v/>
      </c>
      <c r="AD1132" s="34">
        <f>IF(OR($A1132="",$H1132&lt;&gt;"Ausgabe",P1132=""),0,IF(P1132="x",-$E1132/(COUNTIF($J1132:$Q1132,"x")+1),-$E1132*N(P1132)))</f>
        <v/>
      </c>
      <c r="AE1132" s="34">
        <f>IF(OR($A1132="",$H1132&lt;&gt;"Ausgabe",Q1132=""),0,IF(Q1132="x",-$E1132/(COUNTIF($J1132:$Q1132,"x")+1),-$E1132*N(Q1132)))</f>
        <v/>
      </c>
    </row>
    <row r="1133">
      <c r="A1133" s="30" t="n"/>
      <c r="E1133" s="31" t="n"/>
      <c r="J1133" s="32" t="n"/>
      <c r="K1133" s="32" t="n"/>
      <c r="L1133" s="32" t="n"/>
      <c r="M1133" s="32" t="n"/>
      <c r="N1133" s="32" t="n"/>
      <c r="O1133" s="32" t="n"/>
      <c r="P1133" s="32" t="n"/>
      <c r="Q1133" s="32" t="n"/>
      <c r="U1133" s="31">
        <f>IF($A1133="","",SUM(X1133:AE1133))</f>
        <v/>
      </c>
      <c r="V1133" s="31">
        <f>IF($A1133="","",IF($H1133&lt;&gt;"Ausgabe",0,-$E1133-$U1133))</f>
        <v/>
      </c>
      <c r="W1133" s="33">
        <f>IF($A1133="","",DATE(YEAR($A1133),MONTH($A1133),1))</f>
        <v/>
      </c>
      <c r="X1133" s="34">
        <f>IF(OR($A1133="",$H1133&lt;&gt;"Ausgabe",J1133=""),0,IF(J1133="x",-$E1133/(COUNTIF($J1133:$Q1133,"x")+1),-$E1133*N(J1133)))</f>
        <v/>
      </c>
      <c r="Y1133" s="34">
        <f>IF(OR($A1133="",$H1133&lt;&gt;"Ausgabe",K1133=""),0,IF(K1133="x",-$E1133/(COUNTIF($J1133:$Q1133,"x")+1),-$E1133*N(K1133)))</f>
        <v/>
      </c>
      <c r="Z1133" s="34">
        <f>IF(OR($A1133="",$H1133&lt;&gt;"Ausgabe",L1133=""),0,IF(L1133="x",-$E1133/(COUNTIF($J1133:$Q1133,"x")+1),-$E1133*N(L1133)))</f>
        <v/>
      </c>
      <c r="AA1133" s="34">
        <f>IF(OR($A1133="",$H1133&lt;&gt;"Ausgabe",M1133=""),0,IF(M1133="x",-$E1133/(COUNTIF($J1133:$Q1133,"x")+1),-$E1133*N(M1133)))</f>
        <v/>
      </c>
      <c r="AB1133" s="34">
        <f>IF(OR($A1133="",$H1133&lt;&gt;"Ausgabe",N1133=""),0,IF(N1133="x",-$E1133/(COUNTIF($J1133:$Q1133,"x")+1),-$E1133*N(N1133)))</f>
        <v/>
      </c>
      <c r="AC1133" s="34">
        <f>IF(OR($A1133="",$H1133&lt;&gt;"Ausgabe",O1133=""),0,IF(O1133="x",-$E1133/(COUNTIF($J1133:$Q1133,"x")+1),-$E1133*N(O1133)))</f>
        <v/>
      </c>
      <c r="AD1133" s="34">
        <f>IF(OR($A1133="",$H1133&lt;&gt;"Ausgabe",P1133=""),0,IF(P1133="x",-$E1133/(COUNTIF($J1133:$Q1133,"x")+1),-$E1133*N(P1133)))</f>
        <v/>
      </c>
      <c r="AE1133" s="34">
        <f>IF(OR($A1133="",$H1133&lt;&gt;"Ausgabe",Q1133=""),0,IF(Q1133="x",-$E1133/(COUNTIF($J1133:$Q1133,"x")+1),-$E1133*N(Q1133)))</f>
        <v/>
      </c>
    </row>
    <row r="1134">
      <c r="A1134" s="30" t="n"/>
      <c r="E1134" s="31" t="n"/>
      <c r="J1134" s="32" t="n"/>
      <c r="K1134" s="32" t="n"/>
      <c r="L1134" s="32" t="n"/>
      <c r="M1134" s="32" t="n"/>
      <c r="N1134" s="32" t="n"/>
      <c r="O1134" s="32" t="n"/>
      <c r="P1134" s="32" t="n"/>
      <c r="Q1134" s="32" t="n"/>
      <c r="U1134" s="31">
        <f>IF($A1134="","",SUM(X1134:AE1134))</f>
        <v/>
      </c>
      <c r="V1134" s="31">
        <f>IF($A1134="","",IF($H1134&lt;&gt;"Ausgabe",0,-$E1134-$U1134))</f>
        <v/>
      </c>
      <c r="W1134" s="33">
        <f>IF($A1134="","",DATE(YEAR($A1134),MONTH($A1134),1))</f>
        <v/>
      </c>
      <c r="X1134" s="34">
        <f>IF(OR($A1134="",$H1134&lt;&gt;"Ausgabe",J1134=""),0,IF(J1134="x",-$E1134/(COUNTIF($J1134:$Q1134,"x")+1),-$E1134*N(J1134)))</f>
        <v/>
      </c>
      <c r="Y1134" s="34">
        <f>IF(OR($A1134="",$H1134&lt;&gt;"Ausgabe",K1134=""),0,IF(K1134="x",-$E1134/(COUNTIF($J1134:$Q1134,"x")+1),-$E1134*N(K1134)))</f>
        <v/>
      </c>
      <c r="Z1134" s="34">
        <f>IF(OR($A1134="",$H1134&lt;&gt;"Ausgabe",L1134=""),0,IF(L1134="x",-$E1134/(COUNTIF($J1134:$Q1134,"x")+1),-$E1134*N(L1134)))</f>
        <v/>
      </c>
      <c r="AA1134" s="34">
        <f>IF(OR($A1134="",$H1134&lt;&gt;"Ausgabe",M1134=""),0,IF(M1134="x",-$E1134/(COUNTIF($J1134:$Q1134,"x")+1),-$E1134*N(M1134)))</f>
        <v/>
      </c>
      <c r="AB1134" s="34">
        <f>IF(OR($A1134="",$H1134&lt;&gt;"Ausgabe",N1134=""),0,IF(N1134="x",-$E1134/(COUNTIF($J1134:$Q1134,"x")+1),-$E1134*N(N1134)))</f>
        <v/>
      </c>
      <c r="AC1134" s="34">
        <f>IF(OR($A1134="",$H1134&lt;&gt;"Ausgabe",O1134=""),0,IF(O1134="x",-$E1134/(COUNTIF($J1134:$Q1134,"x")+1),-$E1134*N(O1134)))</f>
        <v/>
      </c>
      <c r="AD1134" s="34">
        <f>IF(OR($A1134="",$H1134&lt;&gt;"Ausgabe",P1134=""),0,IF(P1134="x",-$E1134/(COUNTIF($J1134:$Q1134,"x")+1),-$E1134*N(P1134)))</f>
        <v/>
      </c>
      <c r="AE1134" s="34">
        <f>IF(OR($A1134="",$H1134&lt;&gt;"Ausgabe",Q1134=""),0,IF(Q1134="x",-$E1134/(COUNTIF($J1134:$Q1134,"x")+1),-$E1134*N(Q1134)))</f>
        <v/>
      </c>
    </row>
    <row r="1135">
      <c r="A1135" s="30" t="n"/>
      <c r="E1135" s="31" t="n"/>
      <c r="J1135" s="32" t="n"/>
      <c r="K1135" s="32" t="n"/>
      <c r="L1135" s="32" t="n"/>
      <c r="M1135" s="32" t="n"/>
      <c r="N1135" s="32" t="n"/>
      <c r="O1135" s="32" t="n"/>
      <c r="P1135" s="32" t="n"/>
      <c r="Q1135" s="32" t="n"/>
      <c r="U1135" s="31">
        <f>IF($A1135="","",SUM(X1135:AE1135))</f>
        <v/>
      </c>
      <c r="V1135" s="31">
        <f>IF($A1135="","",IF($H1135&lt;&gt;"Ausgabe",0,-$E1135-$U1135))</f>
        <v/>
      </c>
      <c r="W1135" s="33">
        <f>IF($A1135="","",DATE(YEAR($A1135),MONTH($A1135),1))</f>
        <v/>
      </c>
      <c r="X1135" s="34">
        <f>IF(OR($A1135="",$H1135&lt;&gt;"Ausgabe",J1135=""),0,IF(J1135="x",-$E1135/(COUNTIF($J1135:$Q1135,"x")+1),-$E1135*N(J1135)))</f>
        <v/>
      </c>
      <c r="Y1135" s="34">
        <f>IF(OR($A1135="",$H1135&lt;&gt;"Ausgabe",K1135=""),0,IF(K1135="x",-$E1135/(COUNTIF($J1135:$Q1135,"x")+1),-$E1135*N(K1135)))</f>
        <v/>
      </c>
      <c r="Z1135" s="34">
        <f>IF(OR($A1135="",$H1135&lt;&gt;"Ausgabe",L1135=""),0,IF(L1135="x",-$E1135/(COUNTIF($J1135:$Q1135,"x")+1),-$E1135*N(L1135)))</f>
        <v/>
      </c>
      <c r="AA1135" s="34">
        <f>IF(OR($A1135="",$H1135&lt;&gt;"Ausgabe",M1135=""),0,IF(M1135="x",-$E1135/(COUNTIF($J1135:$Q1135,"x")+1),-$E1135*N(M1135)))</f>
        <v/>
      </c>
      <c r="AB1135" s="34">
        <f>IF(OR($A1135="",$H1135&lt;&gt;"Ausgabe",N1135=""),0,IF(N1135="x",-$E1135/(COUNTIF($J1135:$Q1135,"x")+1),-$E1135*N(N1135)))</f>
        <v/>
      </c>
      <c r="AC1135" s="34">
        <f>IF(OR($A1135="",$H1135&lt;&gt;"Ausgabe",O1135=""),0,IF(O1135="x",-$E1135/(COUNTIF($J1135:$Q1135,"x")+1),-$E1135*N(O1135)))</f>
        <v/>
      </c>
      <c r="AD1135" s="34">
        <f>IF(OR($A1135="",$H1135&lt;&gt;"Ausgabe",P1135=""),0,IF(P1135="x",-$E1135/(COUNTIF($J1135:$Q1135,"x")+1),-$E1135*N(P1135)))</f>
        <v/>
      </c>
      <c r="AE1135" s="34">
        <f>IF(OR($A1135="",$H1135&lt;&gt;"Ausgabe",Q1135=""),0,IF(Q1135="x",-$E1135/(COUNTIF($J1135:$Q1135,"x")+1),-$E1135*N(Q1135)))</f>
        <v/>
      </c>
    </row>
    <row r="1136">
      <c r="A1136" s="30" t="n"/>
      <c r="E1136" s="31" t="n"/>
      <c r="J1136" s="32" t="n"/>
      <c r="K1136" s="32" t="n"/>
      <c r="L1136" s="32" t="n"/>
      <c r="M1136" s="32" t="n"/>
      <c r="N1136" s="32" t="n"/>
      <c r="O1136" s="32" t="n"/>
      <c r="P1136" s="32" t="n"/>
      <c r="Q1136" s="32" t="n"/>
      <c r="U1136" s="31">
        <f>IF($A1136="","",SUM(X1136:AE1136))</f>
        <v/>
      </c>
      <c r="V1136" s="31">
        <f>IF($A1136="","",IF($H1136&lt;&gt;"Ausgabe",0,-$E1136-$U1136))</f>
        <v/>
      </c>
      <c r="W1136" s="33">
        <f>IF($A1136="","",DATE(YEAR($A1136),MONTH($A1136),1))</f>
        <v/>
      </c>
      <c r="X1136" s="34">
        <f>IF(OR($A1136="",$H1136&lt;&gt;"Ausgabe",J1136=""),0,IF(J1136="x",-$E1136/(COUNTIF($J1136:$Q1136,"x")+1),-$E1136*N(J1136)))</f>
        <v/>
      </c>
      <c r="Y1136" s="34">
        <f>IF(OR($A1136="",$H1136&lt;&gt;"Ausgabe",K1136=""),0,IF(K1136="x",-$E1136/(COUNTIF($J1136:$Q1136,"x")+1),-$E1136*N(K1136)))</f>
        <v/>
      </c>
      <c r="Z1136" s="34">
        <f>IF(OR($A1136="",$H1136&lt;&gt;"Ausgabe",L1136=""),0,IF(L1136="x",-$E1136/(COUNTIF($J1136:$Q1136,"x")+1),-$E1136*N(L1136)))</f>
        <v/>
      </c>
      <c r="AA1136" s="34">
        <f>IF(OR($A1136="",$H1136&lt;&gt;"Ausgabe",M1136=""),0,IF(M1136="x",-$E1136/(COUNTIF($J1136:$Q1136,"x")+1),-$E1136*N(M1136)))</f>
        <v/>
      </c>
      <c r="AB1136" s="34">
        <f>IF(OR($A1136="",$H1136&lt;&gt;"Ausgabe",N1136=""),0,IF(N1136="x",-$E1136/(COUNTIF($J1136:$Q1136,"x")+1),-$E1136*N(N1136)))</f>
        <v/>
      </c>
      <c r="AC1136" s="34">
        <f>IF(OR($A1136="",$H1136&lt;&gt;"Ausgabe",O1136=""),0,IF(O1136="x",-$E1136/(COUNTIF($J1136:$Q1136,"x")+1),-$E1136*N(O1136)))</f>
        <v/>
      </c>
      <c r="AD1136" s="34">
        <f>IF(OR($A1136="",$H1136&lt;&gt;"Ausgabe",P1136=""),0,IF(P1136="x",-$E1136/(COUNTIF($J1136:$Q1136,"x")+1),-$E1136*N(P1136)))</f>
        <v/>
      </c>
      <c r="AE1136" s="34">
        <f>IF(OR($A1136="",$H1136&lt;&gt;"Ausgabe",Q1136=""),0,IF(Q1136="x",-$E1136/(COUNTIF($J1136:$Q1136,"x")+1),-$E1136*N(Q1136)))</f>
        <v/>
      </c>
    </row>
    <row r="1137">
      <c r="A1137" s="30" t="n"/>
      <c r="E1137" s="31" t="n"/>
      <c r="J1137" s="32" t="n"/>
      <c r="K1137" s="32" t="n"/>
      <c r="L1137" s="32" t="n"/>
      <c r="M1137" s="32" t="n"/>
      <c r="N1137" s="32" t="n"/>
      <c r="O1137" s="32" t="n"/>
      <c r="P1137" s="32" t="n"/>
      <c r="Q1137" s="32" t="n"/>
      <c r="U1137" s="31">
        <f>IF($A1137="","",SUM(X1137:AE1137))</f>
        <v/>
      </c>
      <c r="V1137" s="31">
        <f>IF($A1137="","",IF($H1137&lt;&gt;"Ausgabe",0,-$E1137-$U1137))</f>
        <v/>
      </c>
      <c r="W1137" s="33">
        <f>IF($A1137="","",DATE(YEAR($A1137),MONTH($A1137),1))</f>
        <v/>
      </c>
      <c r="X1137" s="34">
        <f>IF(OR($A1137="",$H1137&lt;&gt;"Ausgabe",J1137=""),0,IF(J1137="x",-$E1137/(COUNTIF($J1137:$Q1137,"x")+1),-$E1137*N(J1137)))</f>
        <v/>
      </c>
      <c r="Y1137" s="34">
        <f>IF(OR($A1137="",$H1137&lt;&gt;"Ausgabe",K1137=""),0,IF(K1137="x",-$E1137/(COUNTIF($J1137:$Q1137,"x")+1),-$E1137*N(K1137)))</f>
        <v/>
      </c>
      <c r="Z1137" s="34">
        <f>IF(OR($A1137="",$H1137&lt;&gt;"Ausgabe",L1137=""),0,IF(L1137="x",-$E1137/(COUNTIF($J1137:$Q1137,"x")+1),-$E1137*N(L1137)))</f>
        <v/>
      </c>
      <c r="AA1137" s="34">
        <f>IF(OR($A1137="",$H1137&lt;&gt;"Ausgabe",M1137=""),0,IF(M1137="x",-$E1137/(COUNTIF($J1137:$Q1137,"x")+1),-$E1137*N(M1137)))</f>
        <v/>
      </c>
      <c r="AB1137" s="34">
        <f>IF(OR($A1137="",$H1137&lt;&gt;"Ausgabe",N1137=""),0,IF(N1137="x",-$E1137/(COUNTIF($J1137:$Q1137,"x")+1),-$E1137*N(N1137)))</f>
        <v/>
      </c>
      <c r="AC1137" s="34">
        <f>IF(OR($A1137="",$H1137&lt;&gt;"Ausgabe",O1137=""),0,IF(O1137="x",-$E1137/(COUNTIF($J1137:$Q1137,"x")+1),-$E1137*N(O1137)))</f>
        <v/>
      </c>
      <c r="AD1137" s="34">
        <f>IF(OR($A1137="",$H1137&lt;&gt;"Ausgabe",P1137=""),0,IF(P1137="x",-$E1137/(COUNTIF($J1137:$Q1137,"x")+1),-$E1137*N(P1137)))</f>
        <v/>
      </c>
      <c r="AE1137" s="34">
        <f>IF(OR($A1137="",$H1137&lt;&gt;"Ausgabe",Q1137=""),0,IF(Q1137="x",-$E1137/(COUNTIF($J1137:$Q1137,"x")+1),-$E1137*N(Q1137)))</f>
        <v/>
      </c>
    </row>
    <row r="1138">
      <c r="A1138" s="30" t="n"/>
      <c r="E1138" s="31" t="n"/>
      <c r="J1138" s="32" t="n"/>
      <c r="K1138" s="32" t="n"/>
      <c r="L1138" s="32" t="n"/>
      <c r="M1138" s="32" t="n"/>
      <c r="N1138" s="32" t="n"/>
      <c r="O1138" s="32" t="n"/>
      <c r="P1138" s="32" t="n"/>
      <c r="Q1138" s="32" t="n"/>
      <c r="U1138" s="31">
        <f>IF($A1138="","",SUM(X1138:AE1138))</f>
        <v/>
      </c>
      <c r="V1138" s="31">
        <f>IF($A1138="","",IF($H1138&lt;&gt;"Ausgabe",0,-$E1138-$U1138))</f>
        <v/>
      </c>
      <c r="W1138" s="33">
        <f>IF($A1138="","",DATE(YEAR($A1138),MONTH($A1138),1))</f>
        <v/>
      </c>
      <c r="X1138" s="34">
        <f>IF(OR($A1138="",$H1138&lt;&gt;"Ausgabe",J1138=""),0,IF(J1138="x",-$E1138/(COUNTIF($J1138:$Q1138,"x")+1),-$E1138*N(J1138)))</f>
        <v/>
      </c>
      <c r="Y1138" s="34">
        <f>IF(OR($A1138="",$H1138&lt;&gt;"Ausgabe",K1138=""),0,IF(K1138="x",-$E1138/(COUNTIF($J1138:$Q1138,"x")+1),-$E1138*N(K1138)))</f>
        <v/>
      </c>
      <c r="Z1138" s="34">
        <f>IF(OR($A1138="",$H1138&lt;&gt;"Ausgabe",L1138=""),0,IF(L1138="x",-$E1138/(COUNTIF($J1138:$Q1138,"x")+1),-$E1138*N(L1138)))</f>
        <v/>
      </c>
      <c r="AA1138" s="34">
        <f>IF(OR($A1138="",$H1138&lt;&gt;"Ausgabe",M1138=""),0,IF(M1138="x",-$E1138/(COUNTIF($J1138:$Q1138,"x")+1),-$E1138*N(M1138)))</f>
        <v/>
      </c>
      <c r="AB1138" s="34">
        <f>IF(OR($A1138="",$H1138&lt;&gt;"Ausgabe",N1138=""),0,IF(N1138="x",-$E1138/(COUNTIF($J1138:$Q1138,"x")+1),-$E1138*N(N1138)))</f>
        <v/>
      </c>
      <c r="AC1138" s="34">
        <f>IF(OR($A1138="",$H1138&lt;&gt;"Ausgabe",O1138=""),0,IF(O1138="x",-$E1138/(COUNTIF($J1138:$Q1138,"x")+1),-$E1138*N(O1138)))</f>
        <v/>
      </c>
      <c r="AD1138" s="34">
        <f>IF(OR($A1138="",$H1138&lt;&gt;"Ausgabe",P1138=""),0,IF(P1138="x",-$E1138/(COUNTIF($J1138:$Q1138,"x")+1),-$E1138*N(P1138)))</f>
        <v/>
      </c>
      <c r="AE1138" s="34">
        <f>IF(OR($A1138="",$H1138&lt;&gt;"Ausgabe",Q1138=""),0,IF(Q1138="x",-$E1138/(COUNTIF($J1138:$Q1138,"x")+1),-$E1138*N(Q1138)))</f>
        <v/>
      </c>
    </row>
    <row r="1139">
      <c r="A1139" s="30" t="n"/>
      <c r="E1139" s="31" t="n"/>
      <c r="J1139" s="32" t="n"/>
      <c r="K1139" s="32" t="n"/>
      <c r="L1139" s="32" t="n"/>
      <c r="M1139" s="32" t="n"/>
      <c r="N1139" s="32" t="n"/>
      <c r="O1139" s="32" t="n"/>
      <c r="P1139" s="32" t="n"/>
      <c r="Q1139" s="32" t="n"/>
      <c r="U1139" s="31">
        <f>IF($A1139="","",SUM(X1139:AE1139))</f>
        <v/>
      </c>
      <c r="V1139" s="31">
        <f>IF($A1139="","",IF($H1139&lt;&gt;"Ausgabe",0,-$E1139-$U1139))</f>
        <v/>
      </c>
      <c r="W1139" s="33">
        <f>IF($A1139="","",DATE(YEAR($A1139),MONTH($A1139),1))</f>
        <v/>
      </c>
      <c r="X1139" s="34">
        <f>IF(OR($A1139="",$H1139&lt;&gt;"Ausgabe",J1139=""),0,IF(J1139="x",-$E1139/(COUNTIF($J1139:$Q1139,"x")+1),-$E1139*N(J1139)))</f>
        <v/>
      </c>
      <c r="Y1139" s="34">
        <f>IF(OR($A1139="",$H1139&lt;&gt;"Ausgabe",K1139=""),0,IF(K1139="x",-$E1139/(COUNTIF($J1139:$Q1139,"x")+1),-$E1139*N(K1139)))</f>
        <v/>
      </c>
      <c r="Z1139" s="34">
        <f>IF(OR($A1139="",$H1139&lt;&gt;"Ausgabe",L1139=""),0,IF(L1139="x",-$E1139/(COUNTIF($J1139:$Q1139,"x")+1),-$E1139*N(L1139)))</f>
        <v/>
      </c>
      <c r="AA1139" s="34">
        <f>IF(OR($A1139="",$H1139&lt;&gt;"Ausgabe",M1139=""),0,IF(M1139="x",-$E1139/(COUNTIF($J1139:$Q1139,"x")+1),-$E1139*N(M1139)))</f>
        <v/>
      </c>
      <c r="AB1139" s="34">
        <f>IF(OR($A1139="",$H1139&lt;&gt;"Ausgabe",N1139=""),0,IF(N1139="x",-$E1139/(COUNTIF($J1139:$Q1139,"x")+1),-$E1139*N(N1139)))</f>
        <v/>
      </c>
      <c r="AC1139" s="34">
        <f>IF(OR($A1139="",$H1139&lt;&gt;"Ausgabe",O1139=""),0,IF(O1139="x",-$E1139/(COUNTIF($J1139:$Q1139,"x")+1),-$E1139*N(O1139)))</f>
        <v/>
      </c>
      <c r="AD1139" s="34">
        <f>IF(OR($A1139="",$H1139&lt;&gt;"Ausgabe",P1139=""),0,IF(P1139="x",-$E1139/(COUNTIF($J1139:$Q1139,"x")+1),-$E1139*N(P1139)))</f>
        <v/>
      </c>
      <c r="AE1139" s="34">
        <f>IF(OR($A1139="",$H1139&lt;&gt;"Ausgabe",Q1139=""),0,IF(Q1139="x",-$E1139/(COUNTIF($J1139:$Q1139,"x")+1),-$E1139*N(Q1139)))</f>
        <v/>
      </c>
    </row>
    <row r="1140">
      <c r="A1140" s="30" t="n"/>
      <c r="E1140" s="31" t="n"/>
      <c r="J1140" s="32" t="n"/>
      <c r="K1140" s="32" t="n"/>
      <c r="L1140" s="32" t="n"/>
      <c r="M1140" s="32" t="n"/>
      <c r="N1140" s="32" t="n"/>
      <c r="O1140" s="32" t="n"/>
      <c r="P1140" s="32" t="n"/>
      <c r="Q1140" s="32" t="n"/>
      <c r="U1140" s="31">
        <f>IF($A1140="","",SUM(X1140:AE1140))</f>
        <v/>
      </c>
      <c r="V1140" s="31">
        <f>IF($A1140="","",IF($H1140&lt;&gt;"Ausgabe",0,-$E1140-$U1140))</f>
        <v/>
      </c>
      <c r="W1140" s="33">
        <f>IF($A1140="","",DATE(YEAR($A1140),MONTH($A1140),1))</f>
        <v/>
      </c>
      <c r="X1140" s="34">
        <f>IF(OR($A1140="",$H1140&lt;&gt;"Ausgabe",J1140=""),0,IF(J1140="x",-$E1140/(COUNTIF($J1140:$Q1140,"x")+1),-$E1140*N(J1140)))</f>
        <v/>
      </c>
      <c r="Y1140" s="34">
        <f>IF(OR($A1140="",$H1140&lt;&gt;"Ausgabe",K1140=""),0,IF(K1140="x",-$E1140/(COUNTIF($J1140:$Q1140,"x")+1),-$E1140*N(K1140)))</f>
        <v/>
      </c>
      <c r="Z1140" s="34">
        <f>IF(OR($A1140="",$H1140&lt;&gt;"Ausgabe",L1140=""),0,IF(L1140="x",-$E1140/(COUNTIF($J1140:$Q1140,"x")+1),-$E1140*N(L1140)))</f>
        <v/>
      </c>
      <c r="AA1140" s="34">
        <f>IF(OR($A1140="",$H1140&lt;&gt;"Ausgabe",M1140=""),0,IF(M1140="x",-$E1140/(COUNTIF($J1140:$Q1140,"x")+1),-$E1140*N(M1140)))</f>
        <v/>
      </c>
      <c r="AB1140" s="34">
        <f>IF(OR($A1140="",$H1140&lt;&gt;"Ausgabe",N1140=""),0,IF(N1140="x",-$E1140/(COUNTIF($J1140:$Q1140,"x")+1),-$E1140*N(N1140)))</f>
        <v/>
      </c>
      <c r="AC1140" s="34">
        <f>IF(OR($A1140="",$H1140&lt;&gt;"Ausgabe",O1140=""),0,IF(O1140="x",-$E1140/(COUNTIF($J1140:$Q1140,"x")+1),-$E1140*N(O1140)))</f>
        <v/>
      </c>
      <c r="AD1140" s="34">
        <f>IF(OR($A1140="",$H1140&lt;&gt;"Ausgabe",P1140=""),0,IF(P1140="x",-$E1140/(COUNTIF($J1140:$Q1140,"x")+1),-$E1140*N(P1140)))</f>
        <v/>
      </c>
      <c r="AE1140" s="34">
        <f>IF(OR($A1140="",$H1140&lt;&gt;"Ausgabe",Q1140=""),0,IF(Q1140="x",-$E1140/(COUNTIF($J1140:$Q1140,"x")+1),-$E1140*N(Q1140)))</f>
        <v/>
      </c>
    </row>
    <row r="1141">
      <c r="A1141" s="30" t="n"/>
      <c r="E1141" s="31" t="n"/>
      <c r="J1141" s="32" t="n"/>
      <c r="K1141" s="32" t="n"/>
      <c r="L1141" s="32" t="n"/>
      <c r="M1141" s="32" t="n"/>
      <c r="N1141" s="32" t="n"/>
      <c r="O1141" s="32" t="n"/>
      <c r="P1141" s="32" t="n"/>
      <c r="Q1141" s="32" t="n"/>
      <c r="U1141" s="31">
        <f>IF($A1141="","",SUM(X1141:AE1141))</f>
        <v/>
      </c>
      <c r="V1141" s="31">
        <f>IF($A1141="","",IF($H1141&lt;&gt;"Ausgabe",0,-$E1141-$U1141))</f>
        <v/>
      </c>
      <c r="W1141" s="33">
        <f>IF($A1141="","",DATE(YEAR($A1141),MONTH($A1141),1))</f>
        <v/>
      </c>
      <c r="X1141" s="34">
        <f>IF(OR($A1141="",$H1141&lt;&gt;"Ausgabe",J1141=""),0,IF(J1141="x",-$E1141/(COUNTIF($J1141:$Q1141,"x")+1),-$E1141*N(J1141)))</f>
        <v/>
      </c>
      <c r="Y1141" s="34">
        <f>IF(OR($A1141="",$H1141&lt;&gt;"Ausgabe",K1141=""),0,IF(K1141="x",-$E1141/(COUNTIF($J1141:$Q1141,"x")+1),-$E1141*N(K1141)))</f>
        <v/>
      </c>
      <c r="Z1141" s="34">
        <f>IF(OR($A1141="",$H1141&lt;&gt;"Ausgabe",L1141=""),0,IF(L1141="x",-$E1141/(COUNTIF($J1141:$Q1141,"x")+1),-$E1141*N(L1141)))</f>
        <v/>
      </c>
      <c r="AA1141" s="34">
        <f>IF(OR($A1141="",$H1141&lt;&gt;"Ausgabe",M1141=""),0,IF(M1141="x",-$E1141/(COUNTIF($J1141:$Q1141,"x")+1),-$E1141*N(M1141)))</f>
        <v/>
      </c>
      <c r="AB1141" s="34">
        <f>IF(OR($A1141="",$H1141&lt;&gt;"Ausgabe",N1141=""),0,IF(N1141="x",-$E1141/(COUNTIF($J1141:$Q1141,"x")+1),-$E1141*N(N1141)))</f>
        <v/>
      </c>
      <c r="AC1141" s="34">
        <f>IF(OR($A1141="",$H1141&lt;&gt;"Ausgabe",O1141=""),0,IF(O1141="x",-$E1141/(COUNTIF($J1141:$Q1141,"x")+1),-$E1141*N(O1141)))</f>
        <v/>
      </c>
      <c r="AD1141" s="34">
        <f>IF(OR($A1141="",$H1141&lt;&gt;"Ausgabe",P1141=""),0,IF(P1141="x",-$E1141/(COUNTIF($J1141:$Q1141,"x")+1),-$E1141*N(P1141)))</f>
        <v/>
      </c>
      <c r="AE1141" s="34">
        <f>IF(OR($A1141="",$H1141&lt;&gt;"Ausgabe",Q1141=""),0,IF(Q1141="x",-$E1141/(COUNTIF($J1141:$Q1141,"x")+1),-$E1141*N(Q1141)))</f>
        <v/>
      </c>
    </row>
    <row r="1142">
      <c r="A1142" s="30" t="n"/>
      <c r="E1142" s="31" t="n"/>
      <c r="J1142" s="32" t="n"/>
      <c r="K1142" s="32" t="n"/>
      <c r="L1142" s="32" t="n"/>
      <c r="M1142" s="32" t="n"/>
      <c r="N1142" s="32" t="n"/>
      <c r="O1142" s="32" t="n"/>
      <c r="P1142" s="32" t="n"/>
      <c r="Q1142" s="32" t="n"/>
      <c r="U1142" s="31">
        <f>IF($A1142="","",SUM(X1142:AE1142))</f>
        <v/>
      </c>
      <c r="V1142" s="31">
        <f>IF($A1142="","",IF($H1142&lt;&gt;"Ausgabe",0,-$E1142-$U1142))</f>
        <v/>
      </c>
      <c r="W1142" s="33">
        <f>IF($A1142="","",DATE(YEAR($A1142),MONTH($A1142),1))</f>
        <v/>
      </c>
      <c r="X1142" s="34">
        <f>IF(OR($A1142="",$H1142&lt;&gt;"Ausgabe",J1142=""),0,IF(J1142="x",-$E1142/(COUNTIF($J1142:$Q1142,"x")+1),-$E1142*N(J1142)))</f>
        <v/>
      </c>
      <c r="Y1142" s="34">
        <f>IF(OR($A1142="",$H1142&lt;&gt;"Ausgabe",K1142=""),0,IF(K1142="x",-$E1142/(COUNTIF($J1142:$Q1142,"x")+1),-$E1142*N(K1142)))</f>
        <v/>
      </c>
      <c r="Z1142" s="34">
        <f>IF(OR($A1142="",$H1142&lt;&gt;"Ausgabe",L1142=""),0,IF(L1142="x",-$E1142/(COUNTIF($J1142:$Q1142,"x")+1),-$E1142*N(L1142)))</f>
        <v/>
      </c>
      <c r="AA1142" s="34">
        <f>IF(OR($A1142="",$H1142&lt;&gt;"Ausgabe",M1142=""),0,IF(M1142="x",-$E1142/(COUNTIF($J1142:$Q1142,"x")+1),-$E1142*N(M1142)))</f>
        <v/>
      </c>
      <c r="AB1142" s="34">
        <f>IF(OR($A1142="",$H1142&lt;&gt;"Ausgabe",N1142=""),0,IF(N1142="x",-$E1142/(COUNTIF($J1142:$Q1142,"x")+1),-$E1142*N(N1142)))</f>
        <v/>
      </c>
      <c r="AC1142" s="34">
        <f>IF(OR($A1142="",$H1142&lt;&gt;"Ausgabe",O1142=""),0,IF(O1142="x",-$E1142/(COUNTIF($J1142:$Q1142,"x")+1),-$E1142*N(O1142)))</f>
        <v/>
      </c>
      <c r="AD1142" s="34">
        <f>IF(OR($A1142="",$H1142&lt;&gt;"Ausgabe",P1142=""),0,IF(P1142="x",-$E1142/(COUNTIF($J1142:$Q1142,"x")+1),-$E1142*N(P1142)))</f>
        <v/>
      </c>
      <c r="AE1142" s="34">
        <f>IF(OR($A1142="",$H1142&lt;&gt;"Ausgabe",Q1142=""),0,IF(Q1142="x",-$E1142/(COUNTIF($J1142:$Q1142,"x")+1),-$E1142*N(Q1142)))</f>
        <v/>
      </c>
    </row>
    <row r="1143">
      <c r="A1143" s="30" t="n"/>
      <c r="E1143" s="31" t="n"/>
      <c r="J1143" s="32" t="n"/>
      <c r="K1143" s="32" t="n"/>
      <c r="L1143" s="32" t="n"/>
      <c r="M1143" s="32" t="n"/>
      <c r="N1143" s="32" t="n"/>
      <c r="O1143" s="32" t="n"/>
      <c r="P1143" s="32" t="n"/>
      <c r="Q1143" s="32" t="n"/>
      <c r="U1143" s="31">
        <f>IF($A1143="","",SUM(X1143:AE1143))</f>
        <v/>
      </c>
      <c r="V1143" s="31">
        <f>IF($A1143="","",IF($H1143&lt;&gt;"Ausgabe",0,-$E1143-$U1143))</f>
        <v/>
      </c>
      <c r="W1143" s="33">
        <f>IF($A1143="","",DATE(YEAR($A1143),MONTH($A1143),1))</f>
        <v/>
      </c>
      <c r="X1143" s="34">
        <f>IF(OR($A1143="",$H1143&lt;&gt;"Ausgabe",J1143=""),0,IF(J1143="x",-$E1143/(COUNTIF($J1143:$Q1143,"x")+1),-$E1143*N(J1143)))</f>
        <v/>
      </c>
      <c r="Y1143" s="34">
        <f>IF(OR($A1143="",$H1143&lt;&gt;"Ausgabe",K1143=""),0,IF(K1143="x",-$E1143/(COUNTIF($J1143:$Q1143,"x")+1),-$E1143*N(K1143)))</f>
        <v/>
      </c>
      <c r="Z1143" s="34">
        <f>IF(OR($A1143="",$H1143&lt;&gt;"Ausgabe",L1143=""),0,IF(L1143="x",-$E1143/(COUNTIF($J1143:$Q1143,"x")+1),-$E1143*N(L1143)))</f>
        <v/>
      </c>
      <c r="AA1143" s="34">
        <f>IF(OR($A1143="",$H1143&lt;&gt;"Ausgabe",M1143=""),0,IF(M1143="x",-$E1143/(COUNTIF($J1143:$Q1143,"x")+1),-$E1143*N(M1143)))</f>
        <v/>
      </c>
      <c r="AB1143" s="34">
        <f>IF(OR($A1143="",$H1143&lt;&gt;"Ausgabe",N1143=""),0,IF(N1143="x",-$E1143/(COUNTIF($J1143:$Q1143,"x")+1),-$E1143*N(N1143)))</f>
        <v/>
      </c>
      <c r="AC1143" s="34">
        <f>IF(OR($A1143="",$H1143&lt;&gt;"Ausgabe",O1143=""),0,IF(O1143="x",-$E1143/(COUNTIF($J1143:$Q1143,"x")+1),-$E1143*N(O1143)))</f>
        <v/>
      </c>
      <c r="AD1143" s="34">
        <f>IF(OR($A1143="",$H1143&lt;&gt;"Ausgabe",P1143=""),0,IF(P1143="x",-$E1143/(COUNTIF($J1143:$Q1143,"x")+1),-$E1143*N(P1143)))</f>
        <v/>
      </c>
      <c r="AE1143" s="34">
        <f>IF(OR($A1143="",$H1143&lt;&gt;"Ausgabe",Q1143=""),0,IF(Q1143="x",-$E1143/(COUNTIF($J1143:$Q1143,"x")+1),-$E1143*N(Q1143)))</f>
        <v/>
      </c>
    </row>
    <row r="1144">
      <c r="A1144" s="30" t="n"/>
      <c r="E1144" s="31" t="n"/>
      <c r="J1144" s="32" t="n"/>
      <c r="K1144" s="32" t="n"/>
      <c r="L1144" s="32" t="n"/>
      <c r="M1144" s="32" t="n"/>
      <c r="N1144" s="32" t="n"/>
      <c r="O1144" s="32" t="n"/>
      <c r="P1144" s="32" t="n"/>
      <c r="Q1144" s="32" t="n"/>
      <c r="U1144" s="31">
        <f>IF($A1144="","",SUM(X1144:AE1144))</f>
        <v/>
      </c>
      <c r="V1144" s="31">
        <f>IF($A1144="","",IF($H1144&lt;&gt;"Ausgabe",0,-$E1144-$U1144))</f>
        <v/>
      </c>
      <c r="W1144" s="33">
        <f>IF($A1144="","",DATE(YEAR($A1144),MONTH($A1144),1))</f>
        <v/>
      </c>
      <c r="X1144" s="34">
        <f>IF(OR($A1144="",$H1144&lt;&gt;"Ausgabe",J1144=""),0,IF(J1144="x",-$E1144/(COUNTIF($J1144:$Q1144,"x")+1),-$E1144*N(J1144)))</f>
        <v/>
      </c>
      <c r="Y1144" s="34">
        <f>IF(OR($A1144="",$H1144&lt;&gt;"Ausgabe",K1144=""),0,IF(K1144="x",-$E1144/(COUNTIF($J1144:$Q1144,"x")+1),-$E1144*N(K1144)))</f>
        <v/>
      </c>
      <c r="Z1144" s="34">
        <f>IF(OR($A1144="",$H1144&lt;&gt;"Ausgabe",L1144=""),0,IF(L1144="x",-$E1144/(COUNTIF($J1144:$Q1144,"x")+1),-$E1144*N(L1144)))</f>
        <v/>
      </c>
      <c r="AA1144" s="34">
        <f>IF(OR($A1144="",$H1144&lt;&gt;"Ausgabe",M1144=""),0,IF(M1144="x",-$E1144/(COUNTIF($J1144:$Q1144,"x")+1),-$E1144*N(M1144)))</f>
        <v/>
      </c>
      <c r="AB1144" s="34">
        <f>IF(OR($A1144="",$H1144&lt;&gt;"Ausgabe",N1144=""),0,IF(N1144="x",-$E1144/(COUNTIF($J1144:$Q1144,"x")+1),-$E1144*N(N1144)))</f>
        <v/>
      </c>
      <c r="AC1144" s="34">
        <f>IF(OR($A1144="",$H1144&lt;&gt;"Ausgabe",O1144=""),0,IF(O1144="x",-$E1144/(COUNTIF($J1144:$Q1144,"x")+1),-$E1144*N(O1144)))</f>
        <v/>
      </c>
      <c r="AD1144" s="34">
        <f>IF(OR($A1144="",$H1144&lt;&gt;"Ausgabe",P1144=""),0,IF(P1144="x",-$E1144/(COUNTIF($J1144:$Q1144,"x")+1),-$E1144*N(P1144)))</f>
        <v/>
      </c>
      <c r="AE1144" s="34">
        <f>IF(OR($A1144="",$H1144&lt;&gt;"Ausgabe",Q1144=""),0,IF(Q1144="x",-$E1144/(COUNTIF($J1144:$Q1144,"x")+1),-$E1144*N(Q1144)))</f>
        <v/>
      </c>
    </row>
    <row r="1145">
      <c r="A1145" s="30" t="n"/>
      <c r="E1145" s="31" t="n"/>
      <c r="J1145" s="32" t="n"/>
      <c r="K1145" s="32" t="n"/>
      <c r="L1145" s="32" t="n"/>
      <c r="M1145" s="32" t="n"/>
      <c r="N1145" s="32" t="n"/>
      <c r="O1145" s="32" t="n"/>
      <c r="P1145" s="32" t="n"/>
      <c r="Q1145" s="32" t="n"/>
      <c r="U1145" s="31">
        <f>IF($A1145="","",SUM(X1145:AE1145))</f>
        <v/>
      </c>
      <c r="V1145" s="31">
        <f>IF($A1145="","",IF($H1145&lt;&gt;"Ausgabe",0,-$E1145-$U1145))</f>
        <v/>
      </c>
      <c r="W1145" s="33">
        <f>IF($A1145="","",DATE(YEAR($A1145),MONTH($A1145),1))</f>
        <v/>
      </c>
      <c r="X1145" s="34">
        <f>IF(OR($A1145="",$H1145&lt;&gt;"Ausgabe",J1145=""),0,IF(J1145="x",-$E1145/(COUNTIF($J1145:$Q1145,"x")+1),-$E1145*N(J1145)))</f>
        <v/>
      </c>
      <c r="Y1145" s="34">
        <f>IF(OR($A1145="",$H1145&lt;&gt;"Ausgabe",K1145=""),0,IF(K1145="x",-$E1145/(COUNTIF($J1145:$Q1145,"x")+1),-$E1145*N(K1145)))</f>
        <v/>
      </c>
      <c r="Z1145" s="34">
        <f>IF(OR($A1145="",$H1145&lt;&gt;"Ausgabe",L1145=""),0,IF(L1145="x",-$E1145/(COUNTIF($J1145:$Q1145,"x")+1),-$E1145*N(L1145)))</f>
        <v/>
      </c>
      <c r="AA1145" s="34">
        <f>IF(OR($A1145="",$H1145&lt;&gt;"Ausgabe",M1145=""),0,IF(M1145="x",-$E1145/(COUNTIF($J1145:$Q1145,"x")+1),-$E1145*N(M1145)))</f>
        <v/>
      </c>
      <c r="AB1145" s="34">
        <f>IF(OR($A1145="",$H1145&lt;&gt;"Ausgabe",N1145=""),0,IF(N1145="x",-$E1145/(COUNTIF($J1145:$Q1145,"x")+1),-$E1145*N(N1145)))</f>
        <v/>
      </c>
      <c r="AC1145" s="34">
        <f>IF(OR($A1145="",$H1145&lt;&gt;"Ausgabe",O1145=""),0,IF(O1145="x",-$E1145/(COUNTIF($J1145:$Q1145,"x")+1),-$E1145*N(O1145)))</f>
        <v/>
      </c>
      <c r="AD1145" s="34">
        <f>IF(OR($A1145="",$H1145&lt;&gt;"Ausgabe",P1145=""),0,IF(P1145="x",-$E1145/(COUNTIF($J1145:$Q1145,"x")+1),-$E1145*N(P1145)))</f>
        <v/>
      </c>
      <c r="AE1145" s="34">
        <f>IF(OR($A1145="",$H1145&lt;&gt;"Ausgabe",Q1145=""),0,IF(Q1145="x",-$E1145/(COUNTIF($J1145:$Q1145,"x")+1),-$E1145*N(Q1145)))</f>
        <v/>
      </c>
    </row>
    <row r="1146">
      <c r="A1146" s="30" t="n"/>
      <c r="E1146" s="31" t="n"/>
      <c r="J1146" s="32" t="n"/>
      <c r="K1146" s="32" t="n"/>
      <c r="L1146" s="32" t="n"/>
      <c r="M1146" s="32" t="n"/>
      <c r="N1146" s="32" t="n"/>
      <c r="O1146" s="32" t="n"/>
      <c r="P1146" s="32" t="n"/>
      <c r="Q1146" s="32" t="n"/>
      <c r="U1146" s="31">
        <f>IF($A1146="","",SUM(X1146:AE1146))</f>
        <v/>
      </c>
      <c r="V1146" s="31">
        <f>IF($A1146="","",IF($H1146&lt;&gt;"Ausgabe",0,-$E1146-$U1146))</f>
        <v/>
      </c>
      <c r="W1146" s="33">
        <f>IF($A1146="","",DATE(YEAR($A1146),MONTH($A1146),1))</f>
        <v/>
      </c>
      <c r="X1146" s="34">
        <f>IF(OR($A1146="",$H1146&lt;&gt;"Ausgabe",J1146=""),0,IF(J1146="x",-$E1146/(COUNTIF($J1146:$Q1146,"x")+1),-$E1146*N(J1146)))</f>
        <v/>
      </c>
      <c r="Y1146" s="34">
        <f>IF(OR($A1146="",$H1146&lt;&gt;"Ausgabe",K1146=""),0,IF(K1146="x",-$E1146/(COUNTIF($J1146:$Q1146,"x")+1),-$E1146*N(K1146)))</f>
        <v/>
      </c>
      <c r="Z1146" s="34">
        <f>IF(OR($A1146="",$H1146&lt;&gt;"Ausgabe",L1146=""),0,IF(L1146="x",-$E1146/(COUNTIF($J1146:$Q1146,"x")+1),-$E1146*N(L1146)))</f>
        <v/>
      </c>
      <c r="AA1146" s="34">
        <f>IF(OR($A1146="",$H1146&lt;&gt;"Ausgabe",M1146=""),0,IF(M1146="x",-$E1146/(COUNTIF($J1146:$Q1146,"x")+1),-$E1146*N(M1146)))</f>
        <v/>
      </c>
      <c r="AB1146" s="34">
        <f>IF(OR($A1146="",$H1146&lt;&gt;"Ausgabe",N1146=""),0,IF(N1146="x",-$E1146/(COUNTIF($J1146:$Q1146,"x")+1),-$E1146*N(N1146)))</f>
        <v/>
      </c>
      <c r="AC1146" s="34">
        <f>IF(OR($A1146="",$H1146&lt;&gt;"Ausgabe",O1146=""),0,IF(O1146="x",-$E1146/(COUNTIF($J1146:$Q1146,"x")+1),-$E1146*N(O1146)))</f>
        <v/>
      </c>
      <c r="AD1146" s="34">
        <f>IF(OR($A1146="",$H1146&lt;&gt;"Ausgabe",P1146=""),0,IF(P1146="x",-$E1146/(COUNTIF($J1146:$Q1146,"x")+1),-$E1146*N(P1146)))</f>
        <v/>
      </c>
      <c r="AE1146" s="34">
        <f>IF(OR($A1146="",$H1146&lt;&gt;"Ausgabe",Q1146=""),0,IF(Q1146="x",-$E1146/(COUNTIF($J1146:$Q1146,"x")+1),-$E1146*N(Q1146)))</f>
        <v/>
      </c>
    </row>
    <row r="1147">
      <c r="A1147" s="30" t="n"/>
      <c r="E1147" s="31" t="n"/>
      <c r="J1147" s="32" t="n"/>
      <c r="K1147" s="32" t="n"/>
      <c r="L1147" s="32" t="n"/>
      <c r="M1147" s="32" t="n"/>
      <c r="N1147" s="32" t="n"/>
      <c r="O1147" s="32" t="n"/>
      <c r="P1147" s="32" t="n"/>
      <c r="Q1147" s="32" t="n"/>
      <c r="U1147" s="31">
        <f>IF($A1147="","",SUM(X1147:AE1147))</f>
        <v/>
      </c>
      <c r="V1147" s="31">
        <f>IF($A1147="","",IF($H1147&lt;&gt;"Ausgabe",0,-$E1147-$U1147))</f>
        <v/>
      </c>
      <c r="W1147" s="33">
        <f>IF($A1147="","",DATE(YEAR($A1147),MONTH($A1147),1))</f>
        <v/>
      </c>
      <c r="X1147" s="34">
        <f>IF(OR($A1147="",$H1147&lt;&gt;"Ausgabe",J1147=""),0,IF(J1147="x",-$E1147/(COUNTIF($J1147:$Q1147,"x")+1),-$E1147*N(J1147)))</f>
        <v/>
      </c>
      <c r="Y1147" s="34">
        <f>IF(OR($A1147="",$H1147&lt;&gt;"Ausgabe",K1147=""),0,IF(K1147="x",-$E1147/(COUNTIF($J1147:$Q1147,"x")+1),-$E1147*N(K1147)))</f>
        <v/>
      </c>
      <c r="Z1147" s="34">
        <f>IF(OR($A1147="",$H1147&lt;&gt;"Ausgabe",L1147=""),0,IF(L1147="x",-$E1147/(COUNTIF($J1147:$Q1147,"x")+1),-$E1147*N(L1147)))</f>
        <v/>
      </c>
      <c r="AA1147" s="34">
        <f>IF(OR($A1147="",$H1147&lt;&gt;"Ausgabe",M1147=""),0,IF(M1147="x",-$E1147/(COUNTIF($J1147:$Q1147,"x")+1),-$E1147*N(M1147)))</f>
        <v/>
      </c>
      <c r="AB1147" s="34">
        <f>IF(OR($A1147="",$H1147&lt;&gt;"Ausgabe",N1147=""),0,IF(N1147="x",-$E1147/(COUNTIF($J1147:$Q1147,"x")+1),-$E1147*N(N1147)))</f>
        <v/>
      </c>
      <c r="AC1147" s="34">
        <f>IF(OR($A1147="",$H1147&lt;&gt;"Ausgabe",O1147=""),0,IF(O1147="x",-$E1147/(COUNTIF($J1147:$Q1147,"x")+1),-$E1147*N(O1147)))</f>
        <v/>
      </c>
      <c r="AD1147" s="34">
        <f>IF(OR($A1147="",$H1147&lt;&gt;"Ausgabe",P1147=""),0,IF(P1147="x",-$E1147/(COUNTIF($J1147:$Q1147,"x")+1),-$E1147*N(P1147)))</f>
        <v/>
      </c>
      <c r="AE1147" s="34">
        <f>IF(OR($A1147="",$H1147&lt;&gt;"Ausgabe",Q1147=""),0,IF(Q1147="x",-$E1147/(COUNTIF($J1147:$Q1147,"x")+1),-$E1147*N(Q1147)))</f>
        <v/>
      </c>
    </row>
    <row r="1148">
      <c r="A1148" s="30" t="n"/>
      <c r="E1148" s="31" t="n"/>
      <c r="J1148" s="32" t="n"/>
      <c r="K1148" s="32" t="n"/>
      <c r="L1148" s="32" t="n"/>
      <c r="M1148" s="32" t="n"/>
      <c r="N1148" s="32" t="n"/>
      <c r="O1148" s="32" t="n"/>
      <c r="P1148" s="32" t="n"/>
      <c r="Q1148" s="32" t="n"/>
      <c r="U1148" s="31">
        <f>IF($A1148="","",SUM(X1148:AE1148))</f>
        <v/>
      </c>
      <c r="V1148" s="31">
        <f>IF($A1148="","",IF($H1148&lt;&gt;"Ausgabe",0,-$E1148-$U1148))</f>
        <v/>
      </c>
      <c r="W1148" s="33">
        <f>IF($A1148="","",DATE(YEAR($A1148),MONTH($A1148),1))</f>
        <v/>
      </c>
      <c r="X1148" s="34">
        <f>IF(OR($A1148="",$H1148&lt;&gt;"Ausgabe",J1148=""),0,IF(J1148="x",-$E1148/(COUNTIF($J1148:$Q1148,"x")+1),-$E1148*N(J1148)))</f>
        <v/>
      </c>
      <c r="Y1148" s="34">
        <f>IF(OR($A1148="",$H1148&lt;&gt;"Ausgabe",K1148=""),0,IF(K1148="x",-$E1148/(COUNTIF($J1148:$Q1148,"x")+1),-$E1148*N(K1148)))</f>
        <v/>
      </c>
      <c r="Z1148" s="34">
        <f>IF(OR($A1148="",$H1148&lt;&gt;"Ausgabe",L1148=""),0,IF(L1148="x",-$E1148/(COUNTIF($J1148:$Q1148,"x")+1),-$E1148*N(L1148)))</f>
        <v/>
      </c>
      <c r="AA1148" s="34">
        <f>IF(OR($A1148="",$H1148&lt;&gt;"Ausgabe",M1148=""),0,IF(M1148="x",-$E1148/(COUNTIF($J1148:$Q1148,"x")+1),-$E1148*N(M1148)))</f>
        <v/>
      </c>
      <c r="AB1148" s="34">
        <f>IF(OR($A1148="",$H1148&lt;&gt;"Ausgabe",N1148=""),0,IF(N1148="x",-$E1148/(COUNTIF($J1148:$Q1148,"x")+1),-$E1148*N(N1148)))</f>
        <v/>
      </c>
      <c r="AC1148" s="34">
        <f>IF(OR($A1148="",$H1148&lt;&gt;"Ausgabe",O1148=""),0,IF(O1148="x",-$E1148/(COUNTIF($J1148:$Q1148,"x")+1),-$E1148*N(O1148)))</f>
        <v/>
      </c>
      <c r="AD1148" s="34">
        <f>IF(OR($A1148="",$H1148&lt;&gt;"Ausgabe",P1148=""),0,IF(P1148="x",-$E1148/(COUNTIF($J1148:$Q1148,"x")+1),-$E1148*N(P1148)))</f>
        <v/>
      </c>
      <c r="AE1148" s="34">
        <f>IF(OR($A1148="",$H1148&lt;&gt;"Ausgabe",Q1148=""),0,IF(Q1148="x",-$E1148/(COUNTIF($J1148:$Q1148,"x")+1),-$E1148*N(Q1148)))</f>
        <v/>
      </c>
    </row>
    <row r="1149">
      <c r="A1149" s="30" t="n"/>
      <c r="E1149" s="31" t="n"/>
      <c r="J1149" s="32" t="n"/>
      <c r="K1149" s="32" t="n"/>
      <c r="L1149" s="32" t="n"/>
      <c r="M1149" s="32" t="n"/>
      <c r="N1149" s="32" t="n"/>
      <c r="O1149" s="32" t="n"/>
      <c r="P1149" s="32" t="n"/>
      <c r="Q1149" s="32" t="n"/>
      <c r="U1149" s="31">
        <f>IF($A1149="","",SUM(X1149:AE1149))</f>
        <v/>
      </c>
      <c r="V1149" s="31">
        <f>IF($A1149="","",IF($H1149&lt;&gt;"Ausgabe",0,-$E1149-$U1149))</f>
        <v/>
      </c>
      <c r="W1149" s="33">
        <f>IF($A1149="","",DATE(YEAR($A1149),MONTH($A1149),1))</f>
        <v/>
      </c>
      <c r="X1149" s="34">
        <f>IF(OR($A1149="",$H1149&lt;&gt;"Ausgabe",J1149=""),0,IF(J1149="x",-$E1149/(COUNTIF($J1149:$Q1149,"x")+1),-$E1149*N(J1149)))</f>
        <v/>
      </c>
      <c r="Y1149" s="34">
        <f>IF(OR($A1149="",$H1149&lt;&gt;"Ausgabe",K1149=""),0,IF(K1149="x",-$E1149/(COUNTIF($J1149:$Q1149,"x")+1),-$E1149*N(K1149)))</f>
        <v/>
      </c>
      <c r="Z1149" s="34">
        <f>IF(OR($A1149="",$H1149&lt;&gt;"Ausgabe",L1149=""),0,IF(L1149="x",-$E1149/(COUNTIF($J1149:$Q1149,"x")+1),-$E1149*N(L1149)))</f>
        <v/>
      </c>
      <c r="AA1149" s="34">
        <f>IF(OR($A1149="",$H1149&lt;&gt;"Ausgabe",M1149=""),0,IF(M1149="x",-$E1149/(COUNTIF($J1149:$Q1149,"x")+1),-$E1149*N(M1149)))</f>
        <v/>
      </c>
      <c r="AB1149" s="34">
        <f>IF(OR($A1149="",$H1149&lt;&gt;"Ausgabe",N1149=""),0,IF(N1149="x",-$E1149/(COUNTIF($J1149:$Q1149,"x")+1),-$E1149*N(N1149)))</f>
        <v/>
      </c>
      <c r="AC1149" s="34">
        <f>IF(OR($A1149="",$H1149&lt;&gt;"Ausgabe",O1149=""),0,IF(O1149="x",-$E1149/(COUNTIF($J1149:$Q1149,"x")+1),-$E1149*N(O1149)))</f>
        <v/>
      </c>
      <c r="AD1149" s="34">
        <f>IF(OR($A1149="",$H1149&lt;&gt;"Ausgabe",P1149=""),0,IF(P1149="x",-$E1149/(COUNTIF($J1149:$Q1149,"x")+1),-$E1149*N(P1149)))</f>
        <v/>
      </c>
      <c r="AE1149" s="34">
        <f>IF(OR($A1149="",$H1149&lt;&gt;"Ausgabe",Q1149=""),0,IF(Q1149="x",-$E1149/(COUNTIF($J1149:$Q1149,"x")+1),-$E1149*N(Q1149)))</f>
        <v/>
      </c>
    </row>
    <row r="1150">
      <c r="A1150" s="30" t="n"/>
      <c r="E1150" s="31" t="n"/>
      <c r="J1150" s="32" t="n"/>
      <c r="K1150" s="32" t="n"/>
      <c r="L1150" s="32" t="n"/>
      <c r="M1150" s="32" t="n"/>
      <c r="N1150" s="32" t="n"/>
      <c r="O1150" s="32" t="n"/>
      <c r="P1150" s="32" t="n"/>
      <c r="Q1150" s="32" t="n"/>
      <c r="U1150" s="31">
        <f>IF($A1150="","",SUM(X1150:AE1150))</f>
        <v/>
      </c>
      <c r="V1150" s="31">
        <f>IF($A1150="","",IF($H1150&lt;&gt;"Ausgabe",0,-$E1150-$U1150))</f>
        <v/>
      </c>
      <c r="W1150" s="33">
        <f>IF($A1150="","",DATE(YEAR($A1150),MONTH($A1150),1))</f>
        <v/>
      </c>
      <c r="X1150" s="34">
        <f>IF(OR($A1150="",$H1150&lt;&gt;"Ausgabe",J1150=""),0,IF(J1150="x",-$E1150/(COUNTIF($J1150:$Q1150,"x")+1),-$E1150*N(J1150)))</f>
        <v/>
      </c>
      <c r="Y1150" s="34">
        <f>IF(OR($A1150="",$H1150&lt;&gt;"Ausgabe",K1150=""),0,IF(K1150="x",-$E1150/(COUNTIF($J1150:$Q1150,"x")+1),-$E1150*N(K1150)))</f>
        <v/>
      </c>
      <c r="Z1150" s="34">
        <f>IF(OR($A1150="",$H1150&lt;&gt;"Ausgabe",L1150=""),0,IF(L1150="x",-$E1150/(COUNTIF($J1150:$Q1150,"x")+1),-$E1150*N(L1150)))</f>
        <v/>
      </c>
      <c r="AA1150" s="34">
        <f>IF(OR($A1150="",$H1150&lt;&gt;"Ausgabe",M1150=""),0,IF(M1150="x",-$E1150/(COUNTIF($J1150:$Q1150,"x")+1),-$E1150*N(M1150)))</f>
        <v/>
      </c>
      <c r="AB1150" s="34">
        <f>IF(OR($A1150="",$H1150&lt;&gt;"Ausgabe",N1150=""),0,IF(N1150="x",-$E1150/(COUNTIF($J1150:$Q1150,"x")+1),-$E1150*N(N1150)))</f>
        <v/>
      </c>
      <c r="AC1150" s="34">
        <f>IF(OR($A1150="",$H1150&lt;&gt;"Ausgabe",O1150=""),0,IF(O1150="x",-$E1150/(COUNTIF($J1150:$Q1150,"x")+1),-$E1150*N(O1150)))</f>
        <v/>
      </c>
      <c r="AD1150" s="34">
        <f>IF(OR($A1150="",$H1150&lt;&gt;"Ausgabe",P1150=""),0,IF(P1150="x",-$E1150/(COUNTIF($J1150:$Q1150,"x")+1),-$E1150*N(P1150)))</f>
        <v/>
      </c>
      <c r="AE1150" s="34">
        <f>IF(OR($A1150="",$H1150&lt;&gt;"Ausgabe",Q1150=""),0,IF(Q1150="x",-$E1150/(COUNTIF($J1150:$Q1150,"x")+1),-$E1150*N(Q1150)))</f>
        <v/>
      </c>
    </row>
    <row r="1151">
      <c r="A1151" s="30" t="n"/>
      <c r="E1151" s="31" t="n"/>
      <c r="J1151" s="32" t="n"/>
      <c r="K1151" s="32" t="n"/>
      <c r="L1151" s="32" t="n"/>
      <c r="M1151" s="32" t="n"/>
      <c r="N1151" s="32" t="n"/>
      <c r="O1151" s="32" t="n"/>
      <c r="P1151" s="32" t="n"/>
      <c r="Q1151" s="32" t="n"/>
      <c r="U1151" s="31">
        <f>IF($A1151="","",SUM(X1151:AE1151))</f>
        <v/>
      </c>
      <c r="V1151" s="31">
        <f>IF($A1151="","",IF($H1151&lt;&gt;"Ausgabe",0,-$E1151-$U1151))</f>
        <v/>
      </c>
      <c r="W1151" s="33">
        <f>IF($A1151="","",DATE(YEAR($A1151),MONTH($A1151),1))</f>
        <v/>
      </c>
      <c r="X1151" s="34">
        <f>IF(OR($A1151="",$H1151&lt;&gt;"Ausgabe",J1151=""),0,IF(J1151="x",-$E1151/(COUNTIF($J1151:$Q1151,"x")+1),-$E1151*N(J1151)))</f>
        <v/>
      </c>
      <c r="Y1151" s="34">
        <f>IF(OR($A1151="",$H1151&lt;&gt;"Ausgabe",K1151=""),0,IF(K1151="x",-$E1151/(COUNTIF($J1151:$Q1151,"x")+1),-$E1151*N(K1151)))</f>
        <v/>
      </c>
      <c r="Z1151" s="34">
        <f>IF(OR($A1151="",$H1151&lt;&gt;"Ausgabe",L1151=""),0,IF(L1151="x",-$E1151/(COUNTIF($J1151:$Q1151,"x")+1),-$E1151*N(L1151)))</f>
        <v/>
      </c>
      <c r="AA1151" s="34">
        <f>IF(OR($A1151="",$H1151&lt;&gt;"Ausgabe",M1151=""),0,IF(M1151="x",-$E1151/(COUNTIF($J1151:$Q1151,"x")+1),-$E1151*N(M1151)))</f>
        <v/>
      </c>
      <c r="AB1151" s="34">
        <f>IF(OR($A1151="",$H1151&lt;&gt;"Ausgabe",N1151=""),0,IF(N1151="x",-$E1151/(COUNTIF($J1151:$Q1151,"x")+1),-$E1151*N(N1151)))</f>
        <v/>
      </c>
      <c r="AC1151" s="34">
        <f>IF(OR($A1151="",$H1151&lt;&gt;"Ausgabe",O1151=""),0,IF(O1151="x",-$E1151/(COUNTIF($J1151:$Q1151,"x")+1),-$E1151*N(O1151)))</f>
        <v/>
      </c>
      <c r="AD1151" s="34">
        <f>IF(OR($A1151="",$H1151&lt;&gt;"Ausgabe",P1151=""),0,IF(P1151="x",-$E1151/(COUNTIF($J1151:$Q1151,"x")+1),-$E1151*N(P1151)))</f>
        <v/>
      </c>
      <c r="AE1151" s="34">
        <f>IF(OR($A1151="",$H1151&lt;&gt;"Ausgabe",Q1151=""),0,IF(Q1151="x",-$E1151/(COUNTIF($J1151:$Q1151,"x")+1),-$E1151*N(Q1151)))</f>
        <v/>
      </c>
    </row>
    <row r="1152">
      <c r="A1152" s="30" t="n"/>
      <c r="E1152" s="31" t="n"/>
      <c r="J1152" s="32" t="n"/>
      <c r="K1152" s="32" t="n"/>
      <c r="L1152" s="32" t="n"/>
      <c r="M1152" s="32" t="n"/>
      <c r="N1152" s="32" t="n"/>
      <c r="O1152" s="32" t="n"/>
      <c r="P1152" s="32" t="n"/>
      <c r="Q1152" s="32" t="n"/>
      <c r="U1152" s="31">
        <f>IF($A1152="","",SUM(X1152:AE1152))</f>
        <v/>
      </c>
      <c r="V1152" s="31">
        <f>IF($A1152="","",IF($H1152&lt;&gt;"Ausgabe",0,-$E1152-$U1152))</f>
        <v/>
      </c>
      <c r="W1152" s="33">
        <f>IF($A1152="","",DATE(YEAR($A1152),MONTH($A1152),1))</f>
        <v/>
      </c>
      <c r="X1152" s="34">
        <f>IF(OR($A1152="",$H1152&lt;&gt;"Ausgabe",J1152=""),0,IF(J1152="x",-$E1152/(COUNTIF($J1152:$Q1152,"x")+1),-$E1152*N(J1152)))</f>
        <v/>
      </c>
      <c r="Y1152" s="34">
        <f>IF(OR($A1152="",$H1152&lt;&gt;"Ausgabe",K1152=""),0,IF(K1152="x",-$E1152/(COUNTIF($J1152:$Q1152,"x")+1),-$E1152*N(K1152)))</f>
        <v/>
      </c>
      <c r="Z1152" s="34">
        <f>IF(OR($A1152="",$H1152&lt;&gt;"Ausgabe",L1152=""),0,IF(L1152="x",-$E1152/(COUNTIF($J1152:$Q1152,"x")+1),-$E1152*N(L1152)))</f>
        <v/>
      </c>
      <c r="AA1152" s="34">
        <f>IF(OR($A1152="",$H1152&lt;&gt;"Ausgabe",M1152=""),0,IF(M1152="x",-$E1152/(COUNTIF($J1152:$Q1152,"x")+1),-$E1152*N(M1152)))</f>
        <v/>
      </c>
      <c r="AB1152" s="34">
        <f>IF(OR($A1152="",$H1152&lt;&gt;"Ausgabe",N1152=""),0,IF(N1152="x",-$E1152/(COUNTIF($J1152:$Q1152,"x")+1),-$E1152*N(N1152)))</f>
        <v/>
      </c>
      <c r="AC1152" s="34">
        <f>IF(OR($A1152="",$H1152&lt;&gt;"Ausgabe",O1152=""),0,IF(O1152="x",-$E1152/(COUNTIF($J1152:$Q1152,"x")+1),-$E1152*N(O1152)))</f>
        <v/>
      </c>
      <c r="AD1152" s="34">
        <f>IF(OR($A1152="",$H1152&lt;&gt;"Ausgabe",P1152=""),0,IF(P1152="x",-$E1152/(COUNTIF($J1152:$Q1152,"x")+1),-$E1152*N(P1152)))</f>
        <v/>
      </c>
      <c r="AE1152" s="34">
        <f>IF(OR($A1152="",$H1152&lt;&gt;"Ausgabe",Q1152=""),0,IF(Q1152="x",-$E1152/(COUNTIF($J1152:$Q1152,"x")+1),-$E1152*N(Q1152)))</f>
        <v/>
      </c>
    </row>
    <row r="1153">
      <c r="A1153" s="30" t="n"/>
      <c r="E1153" s="31" t="n"/>
      <c r="J1153" s="32" t="n"/>
      <c r="K1153" s="32" t="n"/>
      <c r="L1153" s="32" t="n"/>
      <c r="M1153" s="32" t="n"/>
      <c r="N1153" s="32" t="n"/>
      <c r="O1153" s="32" t="n"/>
      <c r="P1153" s="32" t="n"/>
      <c r="Q1153" s="32" t="n"/>
      <c r="U1153" s="31">
        <f>IF($A1153="","",SUM(X1153:AE1153))</f>
        <v/>
      </c>
      <c r="V1153" s="31">
        <f>IF($A1153="","",IF($H1153&lt;&gt;"Ausgabe",0,-$E1153-$U1153))</f>
        <v/>
      </c>
      <c r="W1153" s="33">
        <f>IF($A1153="","",DATE(YEAR($A1153),MONTH($A1153),1))</f>
        <v/>
      </c>
      <c r="X1153" s="34">
        <f>IF(OR($A1153="",$H1153&lt;&gt;"Ausgabe",J1153=""),0,IF(J1153="x",-$E1153/(COUNTIF($J1153:$Q1153,"x")+1),-$E1153*N(J1153)))</f>
        <v/>
      </c>
      <c r="Y1153" s="34">
        <f>IF(OR($A1153="",$H1153&lt;&gt;"Ausgabe",K1153=""),0,IF(K1153="x",-$E1153/(COUNTIF($J1153:$Q1153,"x")+1),-$E1153*N(K1153)))</f>
        <v/>
      </c>
      <c r="Z1153" s="34">
        <f>IF(OR($A1153="",$H1153&lt;&gt;"Ausgabe",L1153=""),0,IF(L1153="x",-$E1153/(COUNTIF($J1153:$Q1153,"x")+1),-$E1153*N(L1153)))</f>
        <v/>
      </c>
      <c r="AA1153" s="34">
        <f>IF(OR($A1153="",$H1153&lt;&gt;"Ausgabe",M1153=""),0,IF(M1153="x",-$E1153/(COUNTIF($J1153:$Q1153,"x")+1),-$E1153*N(M1153)))</f>
        <v/>
      </c>
      <c r="AB1153" s="34">
        <f>IF(OR($A1153="",$H1153&lt;&gt;"Ausgabe",N1153=""),0,IF(N1153="x",-$E1153/(COUNTIF($J1153:$Q1153,"x")+1),-$E1153*N(N1153)))</f>
        <v/>
      </c>
      <c r="AC1153" s="34">
        <f>IF(OR($A1153="",$H1153&lt;&gt;"Ausgabe",O1153=""),0,IF(O1153="x",-$E1153/(COUNTIF($J1153:$Q1153,"x")+1),-$E1153*N(O1153)))</f>
        <v/>
      </c>
      <c r="AD1153" s="34">
        <f>IF(OR($A1153="",$H1153&lt;&gt;"Ausgabe",P1153=""),0,IF(P1153="x",-$E1153/(COUNTIF($J1153:$Q1153,"x")+1),-$E1153*N(P1153)))</f>
        <v/>
      </c>
      <c r="AE1153" s="34">
        <f>IF(OR($A1153="",$H1153&lt;&gt;"Ausgabe",Q1153=""),0,IF(Q1153="x",-$E1153/(COUNTIF($J1153:$Q1153,"x")+1),-$E1153*N(Q1153)))</f>
        <v/>
      </c>
    </row>
    <row r="1154">
      <c r="A1154" s="30" t="n"/>
      <c r="E1154" s="31" t="n"/>
      <c r="J1154" s="32" t="n"/>
      <c r="K1154" s="32" t="n"/>
      <c r="L1154" s="32" t="n"/>
      <c r="M1154" s="32" t="n"/>
      <c r="N1154" s="32" t="n"/>
      <c r="O1154" s="32" t="n"/>
      <c r="P1154" s="32" t="n"/>
      <c r="Q1154" s="32" t="n"/>
      <c r="U1154" s="31">
        <f>IF($A1154="","",SUM(X1154:AE1154))</f>
        <v/>
      </c>
      <c r="V1154" s="31">
        <f>IF($A1154="","",IF($H1154&lt;&gt;"Ausgabe",0,-$E1154-$U1154))</f>
        <v/>
      </c>
      <c r="W1154" s="33">
        <f>IF($A1154="","",DATE(YEAR($A1154),MONTH($A1154),1))</f>
        <v/>
      </c>
      <c r="X1154" s="34">
        <f>IF(OR($A1154="",$H1154&lt;&gt;"Ausgabe",J1154=""),0,IF(J1154="x",-$E1154/(COUNTIF($J1154:$Q1154,"x")+1),-$E1154*N(J1154)))</f>
        <v/>
      </c>
      <c r="Y1154" s="34">
        <f>IF(OR($A1154="",$H1154&lt;&gt;"Ausgabe",K1154=""),0,IF(K1154="x",-$E1154/(COUNTIF($J1154:$Q1154,"x")+1),-$E1154*N(K1154)))</f>
        <v/>
      </c>
      <c r="Z1154" s="34">
        <f>IF(OR($A1154="",$H1154&lt;&gt;"Ausgabe",L1154=""),0,IF(L1154="x",-$E1154/(COUNTIF($J1154:$Q1154,"x")+1),-$E1154*N(L1154)))</f>
        <v/>
      </c>
      <c r="AA1154" s="34">
        <f>IF(OR($A1154="",$H1154&lt;&gt;"Ausgabe",M1154=""),0,IF(M1154="x",-$E1154/(COUNTIF($J1154:$Q1154,"x")+1),-$E1154*N(M1154)))</f>
        <v/>
      </c>
      <c r="AB1154" s="34">
        <f>IF(OR($A1154="",$H1154&lt;&gt;"Ausgabe",N1154=""),0,IF(N1154="x",-$E1154/(COUNTIF($J1154:$Q1154,"x")+1),-$E1154*N(N1154)))</f>
        <v/>
      </c>
      <c r="AC1154" s="34">
        <f>IF(OR($A1154="",$H1154&lt;&gt;"Ausgabe",O1154=""),0,IF(O1154="x",-$E1154/(COUNTIF($J1154:$Q1154,"x")+1),-$E1154*N(O1154)))</f>
        <v/>
      </c>
      <c r="AD1154" s="34">
        <f>IF(OR($A1154="",$H1154&lt;&gt;"Ausgabe",P1154=""),0,IF(P1154="x",-$E1154/(COUNTIF($J1154:$Q1154,"x")+1),-$E1154*N(P1154)))</f>
        <v/>
      </c>
      <c r="AE1154" s="34">
        <f>IF(OR($A1154="",$H1154&lt;&gt;"Ausgabe",Q1154=""),0,IF(Q1154="x",-$E1154/(COUNTIF($J1154:$Q1154,"x")+1),-$E1154*N(Q1154)))</f>
        <v/>
      </c>
    </row>
    <row r="1155">
      <c r="A1155" s="30" t="n"/>
      <c r="E1155" s="31" t="n"/>
      <c r="J1155" s="32" t="n"/>
      <c r="K1155" s="32" t="n"/>
      <c r="L1155" s="32" t="n"/>
      <c r="M1155" s="32" t="n"/>
      <c r="N1155" s="32" t="n"/>
      <c r="O1155" s="32" t="n"/>
      <c r="P1155" s="32" t="n"/>
      <c r="Q1155" s="32" t="n"/>
      <c r="U1155" s="31">
        <f>IF($A1155="","",SUM(X1155:AE1155))</f>
        <v/>
      </c>
      <c r="V1155" s="31">
        <f>IF($A1155="","",IF($H1155&lt;&gt;"Ausgabe",0,-$E1155-$U1155))</f>
        <v/>
      </c>
      <c r="W1155" s="33">
        <f>IF($A1155="","",DATE(YEAR($A1155),MONTH($A1155),1))</f>
        <v/>
      </c>
      <c r="X1155" s="34">
        <f>IF(OR($A1155="",$H1155&lt;&gt;"Ausgabe",J1155=""),0,IF(J1155="x",-$E1155/(COUNTIF($J1155:$Q1155,"x")+1),-$E1155*N(J1155)))</f>
        <v/>
      </c>
      <c r="Y1155" s="34">
        <f>IF(OR($A1155="",$H1155&lt;&gt;"Ausgabe",K1155=""),0,IF(K1155="x",-$E1155/(COUNTIF($J1155:$Q1155,"x")+1),-$E1155*N(K1155)))</f>
        <v/>
      </c>
      <c r="Z1155" s="34">
        <f>IF(OR($A1155="",$H1155&lt;&gt;"Ausgabe",L1155=""),0,IF(L1155="x",-$E1155/(COUNTIF($J1155:$Q1155,"x")+1),-$E1155*N(L1155)))</f>
        <v/>
      </c>
      <c r="AA1155" s="34">
        <f>IF(OR($A1155="",$H1155&lt;&gt;"Ausgabe",M1155=""),0,IF(M1155="x",-$E1155/(COUNTIF($J1155:$Q1155,"x")+1),-$E1155*N(M1155)))</f>
        <v/>
      </c>
      <c r="AB1155" s="34">
        <f>IF(OR($A1155="",$H1155&lt;&gt;"Ausgabe",N1155=""),0,IF(N1155="x",-$E1155/(COUNTIF($J1155:$Q1155,"x")+1),-$E1155*N(N1155)))</f>
        <v/>
      </c>
      <c r="AC1155" s="34">
        <f>IF(OR($A1155="",$H1155&lt;&gt;"Ausgabe",O1155=""),0,IF(O1155="x",-$E1155/(COUNTIF($J1155:$Q1155,"x")+1),-$E1155*N(O1155)))</f>
        <v/>
      </c>
      <c r="AD1155" s="34">
        <f>IF(OR($A1155="",$H1155&lt;&gt;"Ausgabe",P1155=""),0,IF(P1155="x",-$E1155/(COUNTIF($J1155:$Q1155,"x")+1),-$E1155*N(P1155)))</f>
        <v/>
      </c>
      <c r="AE1155" s="34">
        <f>IF(OR($A1155="",$H1155&lt;&gt;"Ausgabe",Q1155=""),0,IF(Q1155="x",-$E1155/(COUNTIF($J1155:$Q1155,"x")+1),-$E1155*N(Q1155)))</f>
        <v/>
      </c>
    </row>
    <row r="1156">
      <c r="A1156" s="30" t="n"/>
      <c r="E1156" s="31" t="n"/>
      <c r="J1156" s="32" t="n"/>
      <c r="K1156" s="32" t="n"/>
      <c r="L1156" s="32" t="n"/>
      <c r="M1156" s="32" t="n"/>
      <c r="N1156" s="32" t="n"/>
      <c r="O1156" s="32" t="n"/>
      <c r="P1156" s="32" t="n"/>
      <c r="Q1156" s="32" t="n"/>
      <c r="U1156" s="31">
        <f>IF($A1156="","",SUM(X1156:AE1156))</f>
        <v/>
      </c>
      <c r="V1156" s="31">
        <f>IF($A1156="","",IF($H1156&lt;&gt;"Ausgabe",0,-$E1156-$U1156))</f>
        <v/>
      </c>
      <c r="W1156" s="33">
        <f>IF($A1156="","",DATE(YEAR($A1156),MONTH($A1156),1))</f>
        <v/>
      </c>
      <c r="X1156" s="34">
        <f>IF(OR($A1156="",$H1156&lt;&gt;"Ausgabe",J1156=""),0,IF(J1156="x",-$E1156/(COUNTIF($J1156:$Q1156,"x")+1),-$E1156*N(J1156)))</f>
        <v/>
      </c>
      <c r="Y1156" s="34">
        <f>IF(OR($A1156="",$H1156&lt;&gt;"Ausgabe",K1156=""),0,IF(K1156="x",-$E1156/(COUNTIF($J1156:$Q1156,"x")+1),-$E1156*N(K1156)))</f>
        <v/>
      </c>
      <c r="Z1156" s="34">
        <f>IF(OR($A1156="",$H1156&lt;&gt;"Ausgabe",L1156=""),0,IF(L1156="x",-$E1156/(COUNTIF($J1156:$Q1156,"x")+1),-$E1156*N(L1156)))</f>
        <v/>
      </c>
      <c r="AA1156" s="34">
        <f>IF(OR($A1156="",$H1156&lt;&gt;"Ausgabe",M1156=""),0,IF(M1156="x",-$E1156/(COUNTIF($J1156:$Q1156,"x")+1),-$E1156*N(M1156)))</f>
        <v/>
      </c>
      <c r="AB1156" s="34">
        <f>IF(OR($A1156="",$H1156&lt;&gt;"Ausgabe",N1156=""),0,IF(N1156="x",-$E1156/(COUNTIF($J1156:$Q1156,"x")+1),-$E1156*N(N1156)))</f>
        <v/>
      </c>
      <c r="AC1156" s="34">
        <f>IF(OR($A1156="",$H1156&lt;&gt;"Ausgabe",O1156=""),0,IF(O1156="x",-$E1156/(COUNTIF($J1156:$Q1156,"x")+1),-$E1156*N(O1156)))</f>
        <v/>
      </c>
      <c r="AD1156" s="34">
        <f>IF(OR($A1156="",$H1156&lt;&gt;"Ausgabe",P1156=""),0,IF(P1156="x",-$E1156/(COUNTIF($J1156:$Q1156,"x")+1),-$E1156*N(P1156)))</f>
        <v/>
      </c>
      <c r="AE1156" s="34">
        <f>IF(OR($A1156="",$H1156&lt;&gt;"Ausgabe",Q1156=""),0,IF(Q1156="x",-$E1156/(COUNTIF($J1156:$Q1156,"x")+1),-$E1156*N(Q1156)))</f>
        <v/>
      </c>
    </row>
    <row r="1157">
      <c r="A1157" s="30" t="n"/>
      <c r="E1157" s="31" t="n"/>
      <c r="J1157" s="32" t="n"/>
      <c r="K1157" s="32" t="n"/>
      <c r="L1157" s="32" t="n"/>
      <c r="M1157" s="32" t="n"/>
      <c r="N1157" s="32" t="n"/>
      <c r="O1157" s="32" t="n"/>
      <c r="P1157" s="32" t="n"/>
      <c r="Q1157" s="32" t="n"/>
      <c r="U1157" s="31">
        <f>IF($A1157="","",SUM(X1157:AE1157))</f>
        <v/>
      </c>
      <c r="V1157" s="31">
        <f>IF($A1157="","",IF($H1157&lt;&gt;"Ausgabe",0,-$E1157-$U1157))</f>
        <v/>
      </c>
      <c r="W1157" s="33">
        <f>IF($A1157="","",DATE(YEAR($A1157),MONTH($A1157),1))</f>
        <v/>
      </c>
      <c r="X1157" s="34">
        <f>IF(OR($A1157="",$H1157&lt;&gt;"Ausgabe",J1157=""),0,IF(J1157="x",-$E1157/(COUNTIF($J1157:$Q1157,"x")+1),-$E1157*N(J1157)))</f>
        <v/>
      </c>
      <c r="Y1157" s="34">
        <f>IF(OR($A1157="",$H1157&lt;&gt;"Ausgabe",K1157=""),0,IF(K1157="x",-$E1157/(COUNTIF($J1157:$Q1157,"x")+1),-$E1157*N(K1157)))</f>
        <v/>
      </c>
      <c r="Z1157" s="34">
        <f>IF(OR($A1157="",$H1157&lt;&gt;"Ausgabe",L1157=""),0,IF(L1157="x",-$E1157/(COUNTIF($J1157:$Q1157,"x")+1),-$E1157*N(L1157)))</f>
        <v/>
      </c>
      <c r="AA1157" s="34">
        <f>IF(OR($A1157="",$H1157&lt;&gt;"Ausgabe",M1157=""),0,IF(M1157="x",-$E1157/(COUNTIF($J1157:$Q1157,"x")+1),-$E1157*N(M1157)))</f>
        <v/>
      </c>
      <c r="AB1157" s="34">
        <f>IF(OR($A1157="",$H1157&lt;&gt;"Ausgabe",N1157=""),0,IF(N1157="x",-$E1157/(COUNTIF($J1157:$Q1157,"x")+1),-$E1157*N(N1157)))</f>
        <v/>
      </c>
      <c r="AC1157" s="34">
        <f>IF(OR($A1157="",$H1157&lt;&gt;"Ausgabe",O1157=""),0,IF(O1157="x",-$E1157/(COUNTIF($J1157:$Q1157,"x")+1),-$E1157*N(O1157)))</f>
        <v/>
      </c>
      <c r="AD1157" s="34">
        <f>IF(OR($A1157="",$H1157&lt;&gt;"Ausgabe",P1157=""),0,IF(P1157="x",-$E1157/(COUNTIF($J1157:$Q1157,"x")+1),-$E1157*N(P1157)))</f>
        <v/>
      </c>
      <c r="AE1157" s="34">
        <f>IF(OR($A1157="",$H1157&lt;&gt;"Ausgabe",Q1157=""),0,IF(Q1157="x",-$E1157/(COUNTIF($J1157:$Q1157,"x")+1),-$E1157*N(Q1157)))</f>
        <v/>
      </c>
    </row>
    <row r="1158">
      <c r="A1158" s="30" t="n"/>
      <c r="E1158" s="31" t="n"/>
      <c r="J1158" s="32" t="n"/>
      <c r="K1158" s="32" t="n"/>
      <c r="L1158" s="32" t="n"/>
      <c r="M1158" s="32" t="n"/>
      <c r="N1158" s="32" t="n"/>
      <c r="O1158" s="32" t="n"/>
      <c r="P1158" s="32" t="n"/>
      <c r="Q1158" s="32" t="n"/>
      <c r="U1158" s="31">
        <f>IF($A1158="","",SUM(X1158:AE1158))</f>
        <v/>
      </c>
      <c r="V1158" s="31">
        <f>IF($A1158="","",IF($H1158&lt;&gt;"Ausgabe",0,-$E1158-$U1158))</f>
        <v/>
      </c>
      <c r="W1158" s="33">
        <f>IF($A1158="","",DATE(YEAR($A1158),MONTH($A1158),1))</f>
        <v/>
      </c>
      <c r="X1158" s="34">
        <f>IF(OR($A1158="",$H1158&lt;&gt;"Ausgabe",J1158=""),0,IF(J1158="x",-$E1158/(COUNTIF($J1158:$Q1158,"x")+1),-$E1158*N(J1158)))</f>
        <v/>
      </c>
      <c r="Y1158" s="34">
        <f>IF(OR($A1158="",$H1158&lt;&gt;"Ausgabe",K1158=""),0,IF(K1158="x",-$E1158/(COUNTIF($J1158:$Q1158,"x")+1),-$E1158*N(K1158)))</f>
        <v/>
      </c>
      <c r="Z1158" s="34">
        <f>IF(OR($A1158="",$H1158&lt;&gt;"Ausgabe",L1158=""),0,IF(L1158="x",-$E1158/(COUNTIF($J1158:$Q1158,"x")+1),-$E1158*N(L1158)))</f>
        <v/>
      </c>
      <c r="AA1158" s="34">
        <f>IF(OR($A1158="",$H1158&lt;&gt;"Ausgabe",M1158=""),0,IF(M1158="x",-$E1158/(COUNTIF($J1158:$Q1158,"x")+1),-$E1158*N(M1158)))</f>
        <v/>
      </c>
      <c r="AB1158" s="34">
        <f>IF(OR($A1158="",$H1158&lt;&gt;"Ausgabe",N1158=""),0,IF(N1158="x",-$E1158/(COUNTIF($J1158:$Q1158,"x")+1),-$E1158*N(N1158)))</f>
        <v/>
      </c>
      <c r="AC1158" s="34">
        <f>IF(OR($A1158="",$H1158&lt;&gt;"Ausgabe",O1158=""),0,IF(O1158="x",-$E1158/(COUNTIF($J1158:$Q1158,"x")+1),-$E1158*N(O1158)))</f>
        <v/>
      </c>
      <c r="AD1158" s="34">
        <f>IF(OR($A1158="",$H1158&lt;&gt;"Ausgabe",P1158=""),0,IF(P1158="x",-$E1158/(COUNTIF($J1158:$Q1158,"x")+1),-$E1158*N(P1158)))</f>
        <v/>
      </c>
      <c r="AE1158" s="34">
        <f>IF(OR($A1158="",$H1158&lt;&gt;"Ausgabe",Q1158=""),0,IF(Q1158="x",-$E1158/(COUNTIF($J1158:$Q1158,"x")+1),-$E1158*N(Q1158)))</f>
        <v/>
      </c>
    </row>
    <row r="1159">
      <c r="A1159" s="30" t="n"/>
      <c r="E1159" s="31" t="n"/>
      <c r="J1159" s="32" t="n"/>
      <c r="K1159" s="32" t="n"/>
      <c r="L1159" s="32" t="n"/>
      <c r="M1159" s="32" t="n"/>
      <c r="N1159" s="32" t="n"/>
      <c r="O1159" s="32" t="n"/>
      <c r="P1159" s="32" t="n"/>
      <c r="Q1159" s="32" t="n"/>
      <c r="U1159" s="31">
        <f>IF($A1159="","",SUM(X1159:AE1159))</f>
        <v/>
      </c>
      <c r="V1159" s="31">
        <f>IF($A1159="","",IF($H1159&lt;&gt;"Ausgabe",0,-$E1159-$U1159))</f>
        <v/>
      </c>
      <c r="W1159" s="33">
        <f>IF($A1159="","",DATE(YEAR($A1159),MONTH($A1159),1))</f>
        <v/>
      </c>
      <c r="X1159" s="34">
        <f>IF(OR($A1159="",$H1159&lt;&gt;"Ausgabe",J1159=""),0,IF(J1159="x",-$E1159/(COUNTIF($J1159:$Q1159,"x")+1),-$E1159*N(J1159)))</f>
        <v/>
      </c>
      <c r="Y1159" s="34">
        <f>IF(OR($A1159="",$H1159&lt;&gt;"Ausgabe",K1159=""),0,IF(K1159="x",-$E1159/(COUNTIF($J1159:$Q1159,"x")+1),-$E1159*N(K1159)))</f>
        <v/>
      </c>
      <c r="Z1159" s="34">
        <f>IF(OR($A1159="",$H1159&lt;&gt;"Ausgabe",L1159=""),0,IF(L1159="x",-$E1159/(COUNTIF($J1159:$Q1159,"x")+1),-$E1159*N(L1159)))</f>
        <v/>
      </c>
      <c r="AA1159" s="34">
        <f>IF(OR($A1159="",$H1159&lt;&gt;"Ausgabe",M1159=""),0,IF(M1159="x",-$E1159/(COUNTIF($J1159:$Q1159,"x")+1),-$E1159*N(M1159)))</f>
        <v/>
      </c>
      <c r="AB1159" s="34">
        <f>IF(OR($A1159="",$H1159&lt;&gt;"Ausgabe",N1159=""),0,IF(N1159="x",-$E1159/(COUNTIF($J1159:$Q1159,"x")+1),-$E1159*N(N1159)))</f>
        <v/>
      </c>
      <c r="AC1159" s="34">
        <f>IF(OR($A1159="",$H1159&lt;&gt;"Ausgabe",O1159=""),0,IF(O1159="x",-$E1159/(COUNTIF($J1159:$Q1159,"x")+1),-$E1159*N(O1159)))</f>
        <v/>
      </c>
      <c r="AD1159" s="34">
        <f>IF(OR($A1159="",$H1159&lt;&gt;"Ausgabe",P1159=""),0,IF(P1159="x",-$E1159/(COUNTIF($J1159:$Q1159,"x")+1),-$E1159*N(P1159)))</f>
        <v/>
      </c>
      <c r="AE1159" s="34">
        <f>IF(OR($A1159="",$H1159&lt;&gt;"Ausgabe",Q1159=""),0,IF(Q1159="x",-$E1159/(COUNTIF($J1159:$Q1159,"x")+1),-$E1159*N(Q1159)))</f>
        <v/>
      </c>
    </row>
    <row r="1160">
      <c r="A1160" s="30" t="n"/>
      <c r="E1160" s="31" t="n"/>
      <c r="J1160" s="32" t="n"/>
      <c r="K1160" s="32" t="n"/>
      <c r="L1160" s="32" t="n"/>
      <c r="M1160" s="32" t="n"/>
      <c r="N1160" s="32" t="n"/>
      <c r="O1160" s="32" t="n"/>
      <c r="P1160" s="32" t="n"/>
      <c r="Q1160" s="32" t="n"/>
      <c r="U1160" s="31">
        <f>IF($A1160="","",SUM(X1160:AE1160))</f>
        <v/>
      </c>
      <c r="V1160" s="31">
        <f>IF($A1160="","",IF($H1160&lt;&gt;"Ausgabe",0,-$E1160-$U1160))</f>
        <v/>
      </c>
      <c r="W1160" s="33">
        <f>IF($A1160="","",DATE(YEAR($A1160),MONTH($A1160),1))</f>
        <v/>
      </c>
      <c r="X1160" s="34">
        <f>IF(OR($A1160="",$H1160&lt;&gt;"Ausgabe",J1160=""),0,IF(J1160="x",-$E1160/(COUNTIF($J1160:$Q1160,"x")+1),-$E1160*N(J1160)))</f>
        <v/>
      </c>
      <c r="Y1160" s="34">
        <f>IF(OR($A1160="",$H1160&lt;&gt;"Ausgabe",K1160=""),0,IF(K1160="x",-$E1160/(COUNTIF($J1160:$Q1160,"x")+1),-$E1160*N(K1160)))</f>
        <v/>
      </c>
      <c r="Z1160" s="34">
        <f>IF(OR($A1160="",$H1160&lt;&gt;"Ausgabe",L1160=""),0,IF(L1160="x",-$E1160/(COUNTIF($J1160:$Q1160,"x")+1),-$E1160*N(L1160)))</f>
        <v/>
      </c>
      <c r="AA1160" s="34">
        <f>IF(OR($A1160="",$H1160&lt;&gt;"Ausgabe",M1160=""),0,IF(M1160="x",-$E1160/(COUNTIF($J1160:$Q1160,"x")+1),-$E1160*N(M1160)))</f>
        <v/>
      </c>
      <c r="AB1160" s="34">
        <f>IF(OR($A1160="",$H1160&lt;&gt;"Ausgabe",N1160=""),0,IF(N1160="x",-$E1160/(COUNTIF($J1160:$Q1160,"x")+1),-$E1160*N(N1160)))</f>
        <v/>
      </c>
      <c r="AC1160" s="34">
        <f>IF(OR($A1160="",$H1160&lt;&gt;"Ausgabe",O1160=""),0,IF(O1160="x",-$E1160/(COUNTIF($J1160:$Q1160,"x")+1),-$E1160*N(O1160)))</f>
        <v/>
      </c>
      <c r="AD1160" s="34">
        <f>IF(OR($A1160="",$H1160&lt;&gt;"Ausgabe",P1160=""),0,IF(P1160="x",-$E1160/(COUNTIF($J1160:$Q1160,"x")+1),-$E1160*N(P1160)))</f>
        <v/>
      </c>
      <c r="AE1160" s="34">
        <f>IF(OR($A1160="",$H1160&lt;&gt;"Ausgabe",Q1160=""),0,IF(Q1160="x",-$E1160/(COUNTIF($J1160:$Q1160,"x")+1),-$E1160*N(Q1160)))</f>
        <v/>
      </c>
    </row>
    <row r="1161">
      <c r="A1161" s="30" t="n"/>
      <c r="E1161" s="31" t="n"/>
      <c r="J1161" s="32" t="n"/>
      <c r="K1161" s="32" t="n"/>
      <c r="L1161" s="32" t="n"/>
      <c r="M1161" s="32" t="n"/>
      <c r="N1161" s="32" t="n"/>
      <c r="O1161" s="32" t="n"/>
      <c r="P1161" s="32" t="n"/>
      <c r="Q1161" s="32" t="n"/>
      <c r="U1161" s="31">
        <f>IF($A1161="","",SUM(X1161:AE1161))</f>
        <v/>
      </c>
      <c r="V1161" s="31">
        <f>IF($A1161="","",IF($H1161&lt;&gt;"Ausgabe",0,-$E1161-$U1161))</f>
        <v/>
      </c>
      <c r="W1161" s="33">
        <f>IF($A1161="","",DATE(YEAR($A1161),MONTH($A1161),1))</f>
        <v/>
      </c>
      <c r="X1161" s="34">
        <f>IF(OR($A1161="",$H1161&lt;&gt;"Ausgabe",J1161=""),0,IF(J1161="x",-$E1161/(COUNTIF($J1161:$Q1161,"x")+1),-$E1161*N(J1161)))</f>
        <v/>
      </c>
      <c r="Y1161" s="34">
        <f>IF(OR($A1161="",$H1161&lt;&gt;"Ausgabe",K1161=""),0,IF(K1161="x",-$E1161/(COUNTIF($J1161:$Q1161,"x")+1),-$E1161*N(K1161)))</f>
        <v/>
      </c>
      <c r="Z1161" s="34">
        <f>IF(OR($A1161="",$H1161&lt;&gt;"Ausgabe",L1161=""),0,IF(L1161="x",-$E1161/(COUNTIF($J1161:$Q1161,"x")+1),-$E1161*N(L1161)))</f>
        <v/>
      </c>
      <c r="AA1161" s="34">
        <f>IF(OR($A1161="",$H1161&lt;&gt;"Ausgabe",M1161=""),0,IF(M1161="x",-$E1161/(COUNTIF($J1161:$Q1161,"x")+1),-$E1161*N(M1161)))</f>
        <v/>
      </c>
      <c r="AB1161" s="34">
        <f>IF(OR($A1161="",$H1161&lt;&gt;"Ausgabe",N1161=""),0,IF(N1161="x",-$E1161/(COUNTIF($J1161:$Q1161,"x")+1),-$E1161*N(N1161)))</f>
        <v/>
      </c>
      <c r="AC1161" s="34">
        <f>IF(OR($A1161="",$H1161&lt;&gt;"Ausgabe",O1161=""),0,IF(O1161="x",-$E1161/(COUNTIF($J1161:$Q1161,"x")+1),-$E1161*N(O1161)))</f>
        <v/>
      </c>
      <c r="AD1161" s="34">
        <f>IF(OR($A1161="",$H1161&lt;&gt;"Ausgabe",P1161=""),0,IF(P1161="x",-$E1161/(COUNTIF($J1161:$Q1161,"x")+1),-$E1161*N(P1161)))</f>
        <v/>
      </c>
      <c r="AE1161" s="34">
        <f>IF(OR($A1161="",$H1161&lt;&gt;"Ausgabe",Q1161=""),0,IF(Q1161="x",-$E1161/(COUNTIF($J1161:$Q1161,"x")+1),-$E1161*N(Q1161)))</f>
        <v/>
      </c>
    </row>
    <row r="1162">
      <c r="A1162" s="30" t="n"/>
      <c r="E1162" s="31" t="n"/>
      <c r="J1162" s="32" t="n"/>
      <c r="K1162" s="32" t="n"/>
      <c r="L1162" s="32" t="n"/>
      <c r="M1162" s="32" t="n"/>
      <c r="N1162" s="32" t="n"/>
      <c r="O1162" s="32" t="n"/>
      <c r="P1162" s="32" t="n"/>
      <c r="Q1162" s="32" t="n"/>
      <c r="U1162" s="31">
        <f>IF($A1162="","",SUM(X1162:AE1162))</f>
        <v/>
      </c>
      <c r="V1162" s="31">
        <f>IF($A1162="","",IF($H1162&lt;&gt;"Ausgabe",0,-$E1162-$U1162))</f>
        <v/>
      </c>
      <c r="W1162" s="33">
        <f>IF($A1162="","",DATE(YEAR($A1162),MONTH($A1162),1))</f>
        <v/>
      </c>
      <c r="X1162" s="34">
        <f>IF(OR($A1162="",$H1162&lt;&gt;"Ausgabe",J1162=""),0,IF(J1162="x",-$E1162/(COUNTIF($J1162:$Q1162,"x")+1),-$E1162*N(J1162)))</f>
        <v/>
      </c>
      <c r="Y1162" s="34">
        <f>IF(OR($A1162="",$H1162&lt;&gt;"Ausgabe",K1162=""),0,IF(K1162="x",-$E1162/(COUNTIF($J1162:$Q1162,"x")+1),-$E1162*N(K1162)))</f>
        <v/>
      </c>
      <c r="Z1162" s="34">
        <f>IF(OR($A1162="",$H1162&lt;&gt;"Ausgabe",L1162=""),0,IF(L1162="x",-$E1162/(COUNTIF($J1162:$Q1162,"x")+1),-$E1162*N(L1162)))</f>
        <v/>
      </c>
      <c r="AA1162" s="34">
        <f>IF(OR($A1162="",$H1162&lt;&gt;"Ausgabe",M1162=""),0,IF(M1162="x",-$E1162/(COUNTIF($J1162:$Q1162,"x")+1),-$E1162*N(M1162)))</f>
        <v/>
      </c>
      <c r="AB1162" s="34">
        <f>IF(OR($A1162="",$H1162&lt;&gt;"Ausgabe",N1162=""),0,IF(N1162="x",-$E1162/(COUNTIF($J1162:$Q1162,"x")+1),-$E1162*N(N1162)))</f>
        <v/>
      </c>
      <c r="AC1162" s="34">
        <f>IF(OR($A1162="",$H1162&lt;&gt;"Ausgabe",O1162=""),0,IF(O1162="x",-$E1162/(COUNTIF($J1162:$Q1162,"x")+1),-$E1162*N(O1162)))</f>
        <v/>
      </c>
      <c r="AD1162" s="34">
        <f>IF(OR($A1162="",$H1162&lt;&gt;"Ausgabe",P1162=""),0,IF(P1162="x",-$E1162/(COUNTIF($J1162:$Q1162,"x")+1),-$E1162*N(P1162)))</f>
        <v/>
      </c>
      <c r="AE1162" s="34">
        <f>IF(OR($A1162="",$H1162&lt;&gt;"Ausgabe",Q1162=""),0,IF(Q1162="x",-$E1162/(COUNTIF($J1162:$Q1162,"x")+1),-$E1162*N(Q1162)))</f>
        <v/>
      </c>
    </row>
    <row r="1163">
      <c r="A1163" s="30" t="n"/>
      <c r="E1163" s="31" t="n"/>
      <c r="J1163" s="32" t="n"/>
      <c r="K1163" s="32" t="n"/>
      <c r="L1163" s="32" t="n"/>
      <c r="M1163" s="32" t="n"/>
      <c r="N1163" s="32" t="n"/>
      <c r="O1163" s="32" t="n"/>
      <c r="P1163" s="32" t="n"/>
      <c r="Q1163" s="32" t="n"/>
      <c r="U1163" s="31">
        <f>IF($A1163="","",SUM(X1163:AE1163))</f>
        <v/>
      </c>
      <c r="V1163" s="31">
        <f>IF($A1163="","",IF($H1163&lt;&gt;"Ausgabe",0,-$E1163-$U1163))</f>
        <v/>
      </c>
      <c r="W1163" s="33">
        <f>IF($A1163="","",DATE(YEAR($A1163),MONTH($A1163),1))</f>
        <v/>
      </c>
      <c r="X1163" s="34">
        <f>IF(OR($A1163="",$H1163&lt;&gt;"Ausgabe",J1163=""),0,IF(J1163="x",-$E1163/(COUNTIF($J1163:$Q1163,"x")+1),-$E1163*N(J1163)))</f>
        <v/>
      </c>
      <c r="Y1163" s="34">
        <f>IF(OR($A1163="",$H1163&lt;&gt;"Ausgabe",K1163=""),0,IF(K1163="x",-$E1163/(COUNTIF($J1163:$Q1163,"x")+1),-$E1163*N(K1163)))</f>
        <v/>
      </c>
      <c r="Z1163" s="34">
        <f>IF(OR($A1163="",$H1163&lt;&gt;"Ausgabe",L1163=""),0,IF(L1163="x",-$E1163/(COUNTIF($J1163:$Q1163,"x")+1),-$E1163*N(L1163)))</f>
        <v/>
      </c>
      <c r="AA1163" s="34">
        <f>IF(OR($A1163="",$H1163&lt;&gt;"Ausgabe",M1163=""),0,IF(M1163="x",-$E1163/(COUNTIF($J1163:$Q1163,"x")+1),-$E1163*N(M1163)))</f>
        <v/>
      </c>
      <c r="AB1163" s="34">
        <f>IF(OR($A1163="",$H1163&lt;&gt;"Ausgabe",N1163=""),0,IF(N1163="x",-$E1163/(COUNTIF($J1163:$Q1163,"x")+1),-$E1163*N(N1163)))</f>
        <v/>
      </c>
      <c r="AC1163" s="34">
        <f>IF(OR($A1163="",$H1163&lt;&gt;"Ausgabe",O1163=""),0,IF(O1163="x",-$E1163/(COUNTIF($J1163:$Q1163,"x")+1),-$E1163*N(O1163)))</f>
        <v/>
      </c>
      <c r="AD1163" s="34">
        <f>IF(OR($A1163="",$H1163&lt;&gt;"Ausgabe",P1163=""),0,IF(P1163="x",-$E1163/(COUNTIF($J1163:$Q1163,"x")+1),-$E1163*N(P1163)))</f>
        <v/>
      </c>
      <c r="AE1163" s="34">
        <f>IF(OR($A1163="",$H1163&lt;&gt;"Ausgabe",Q1163=""),0,IF(Q1163="x",-$E1163/(COUNTIF($J1163:$Q1163,"x")+1),-$E1163*N(Q1163)))</f>
        <v/>
      </c>
    </row>
    <row r="1164">
      <c r="A1164" s="30" t="n"/>
      <c r="E1164" s="31" t="n"/>
      <c r="J1164" s="32" t="n"/>
      <c r="K1164" s="32" t="n"/>
      <c r="L1164" s="32" t="n"/>
      <c r="M1164" s="32" t="n"/>
      <c r="N1164" s="32" t="n"/>
      <c r="O1164" s="32" t="n"/>
      <c r="P1164" s="32" t="n"/>
      <c r="Q1164" s="32" t="n"/>
      <c r="U1164" s="31">
        <f>IF($A1164="","",SUM(X1164:AE1164))</f>
        <v/>
      </c>
      <c r="V1164" s="31">
        <f>IF($A1164="","",IF($H1164&lt;&gt;"Ausgabe",0,-$E1164-$U1164))</f>
        <v/>
      </c>
      <c r="W1164" s="33">
        <f>IF($A1164="","",DATE(YEAR($A1164),MONTH($A1164),1))</f>
        <v/>
      </c>
      <c r="X1164" s="34">
        <f>IF(OR($A1164="",$H1164&lt;&gt;"Ausgabe",J1164=""),0,IF(J1164="x",-$E1164/(COUNTIF($J1164:$Q1164,"x")+1),-$E1164*N(J1164)))</f>
        <v/>
      </c>
      <c r="Y1164" s="34">
        <f>IF(OR($A1164="",$H1164&lt;&gt;"Ausgabe",K1164=""),0,IF(K1164="x",-$E1164/(COUNTIF($J1164:$Q1164,"x")+1),-$E1164*N(K1164)))</f>
        <v/>
      </c>
      <c r="Z1164" s="34">
        <f>IF(OR($A1164="",$H1164&lt;&gt;"Ausgabe",L1164=""),0,IF(L1164="x",-$E1164/(COUNTIF($J1164:$Q1164,"x")+1),-$E1164*N(L1164)))</f>
        <v/>
      </c>
      <c r="AA1164" s="34">
        <f>IF(OR($A1164="",$H1164&lt;&gt;"Ausgabe",M1164=""),0,IF(M1164="x",-$E1164/(COUNTIF($J1164:$Q1164,"x")+1),-$E1164*N(M1164)))</f>
        <v/>
      </c>
      <c r="AB1164" s="34">
        <f>IF(OR($A1164="",$H1164&lt;&gt;"Ausgabe",N1164=""),0,IF(N1164="x",-$E1164/(COUNTIF($J1164:$Q1164,"x")+1),-$E1164*N(N1164)))</f>
        <v/>
      </c>
      <c r="AC1164" s="34">
        <f>IF(OR($A1164="",$H1164&lt;&gt;"Ausgabe",O1164=""),0,IF(O1164="x",-$E1164/(COUNTIF($J1164:$Q1164,"x")+1),-$E1164*N(O1164)))</f>
        <v/>
      </c>
      <c r="AD1164" s="34">
        <f>IF(OR($A1164="",$H1164&lt;&gt;"Ausgabe",P1164=""),0,IF(P1164="x",-$E1164/(COUNTIF($J1164:$Q1164,"x")+1),-$E1164*N(P1164)))</f>
        <v/>
      </c>
      <c r="AE1164" s="34">
        <f>IF(OR($A1164="",$H1164&lt;&gt;"Ausgabe",Q1164=""),0,IF(Q1164="x",-$E1164/(COUNTIF($J1164:$Q1164,"x")+1),-$E1164*N(Q1164)))</f>
        <v/>
      </c>
    </row>
    <row r="1165">
      <c r="A1165" s="30" t="n"/>
      <c r="E1165" s="31" t="n"/>
      <c r="J1165" s="32" t="n"/>
      <c r="K1165" s="32" t="n"/>
      <c r="L1165" s="32" t="n"/>
      <c r="M1165" s="32" t="n"/>
      <c r="N1165" s="32" t="n"/>
      <c r="O1165" s="32" t="n"/>
      <c r="P1165" s="32" t="n"/>
      <c r="Q1165" s="32" t="n"/>
      <c r="U1165" s="31">
        <f>IF($A1165="","",SUM(X1165:AE1165))</f>
        <v/>
      </c>
      <c r="V1165" s="31">
        <f>IF($A1165="","",IF($H1165&lt;&gt;"Ausgabe",0,-$E1165-$U1165))</f>
        <v/>
      </c>
      <c r="W1165" s="33">
        <f>IF($A1165="","",DATE(YEAR($A1165),MONTH($A1165),1))</f>
        <v/>
      </c>
      <c r="X1165" s="34">
        <f>IF(OR($A1165="",$H1165&lt;&gt;"Ausgabe",J1165=""),0,IF(J1165="x",-$E1165/(COUNTIF($J1165:$Q1165,"x")+1),-$E1165*N(J1165)))</f>
        <v/>
      </c>
      <c r="Y1165" s="34">
        <f>IF(OR($A1165="",$H1165&lt;&gt;"Ausgabe",K1165=""),0,IF(K1165="x",-$E1165/(COUNTIF($J1165:$Q1165,"x")+1),-$E1165*N(K1165)))</f>
        <v/>
      </c>
      <c r="Z1165" s="34">
        <f>IF(OR($A1165="",$H1165&lt;&gt;"Ausgabe",L1165=""),0,IF(L1165="x",-$E1165/(COUNTIF($J1165:$Q1165,"x")+1),-$E1165*N(L1165)))</f>
        <v/>
      </c>
      <c r="AA1165" s="34">
        <f>IF(OR($A1165="",$H1165&lt;&gt;"Ausgabe",M1165=""),0,IF(M1165="x",-$E1165/(COUNTIF($J1165:$Q1165,"x")+1),-$E1165*N(M1165)))</f>
        <v/>
      </c>
      <c r="AB1165" s="34">
        <f>IF(OR($A1165="",$H1165&lt;&gt;"Ausgabe",N1165=""),0,IF(N1165="x",-$E1165/(COUNTIF($J1165:$Q1165,"x")+1),-$E1165*N(N1165)))</f>
        <v/>
      </c>
      <c r="AC1165" s="34">
        <f>IF(OR($A1165="",$H1165&lt;&gt;"Ausgabe",O1165=""),0,IF(O1165="x",-$E1165/(COUNTIF($J1165:$Q1165,"x")+1),-$E1165*N(O1165)))</f>
        <v/>
      </c>
      <c r="AD1165" s="34">
        <f>IF(OR($A1165="",$H1165&lt;&gt;"Ausgabe",P1165=""),0,IF(P1165="x",-$E1165/(COUNTIF($J1165:$Q1165,"x")+1),-$E1165*N(P1165)))</f>
        <v/>
      </c>
      <c r="AE1165" s="34">
        <f>IF(OR($A1165="",$H1165&lt;&gt;"Ausgabe",Q1165=""),0,IF(Q1165="x",-$E1165/(COUNTIF($J1165:$Q1165,"x")+1),-$E1165*N(Q1165)))</f>
        <v/>
      </c>
    </row>
    <row r="1166">
      <c r="A1166" s="30" t="n"/>
      <c r="E1166" s="31" t="n"/>
      <c r="J1166" s="32" t="n"/>
      <c r="K1166" s="32" t="n"/>
      <c r="L1166" s="32" t="n"/>
      <c r="M1166" s="32" t="n"/>
      <c r="N1166" s="32" t="n"/>
      <c r="O1166" s="32" t="n"/>
      <c r="P1166" s="32" t="n"/>
      <c r="Q1166" s="32" t="n"/>
      <c r="U1166" s="31">
        <f>IF($A1166="","",SUM(X1166:AE1166))</f>
        <v/>
      </c>
      <c r="V1166" s="31">
        <f>IF($A1166="","",IF($H1166&lt;&gt;"Ausgabe",0,-$E1166-$U1166))</f>
        <v/>
      </c>
      <c r="W1166" s="33">
        <f>IF($A1166="","",DATE(YEAR($A1166),MONTH($A1166),1))</f>
        <v/>
      </c>
      <c r="X1166" s="34">
        <f>IF(OR($A1166="",$H1166&lt;&gt;"Ausgabe",J1166=""),0,IF(J1166="x",-$E1166/(COUNTIF($J1166:$Q1166,"x")+1),-$E1166*N(J1166)))</f>
        <v/>
      </c>
      <c r="Y1166" s="34">
        <f>IF(OR($A1166="",$H1166&lt;&gt;"Ausgabe",K1166=""),0,IF(K1166="x",-$E1166/(COUNTIF($J1166:$Q1166,"x")+1),-$E1166*N(K1166)))</f>
        <v/>
      </c>
      <c r="Z1166" s="34">
        <f>IF(OR($A1166="",$H1166&lt;&gt;"Ausgabe",L1166=""),0,IF(L1166="x",-$E1166/(COUNTIF($J1166:$Q1166,"x")+1),-$E1166*N(L1166)))</f>
        <v/>
      </c>
      <c r="AA1166" s="34">
        <f>IF(OR($A1166="",$H1166&lt;&gt;"Ausgabe",M1166=""),0,IF(M1166="x",-$E1166/(COUNTIF($J1166:$Q1166,"x")+1),-$E1166*N(M1166)))</f>
        <v/>
      </c>
      <c r="AB1166" s="34">
        <f>IF(OR($A1166="",$H1166&lt;&gt;"Ausgabe",N1166=""),0,IF(N1166="x",-$E1166/(COUNTIF($J1166:$Q1166,"x")+1),-$E1166*N(N1166)))</f>
        <v/>
      </c>
      <c r="AC1166" s="34">
        <f>IF(OR($A1166="",$H1166&lt;&gt;"Ausgabe",O1166=""),0,IF(O1166="x",-$E1166/(COUNTIF($J1166:$Q1166,"x")+1),-$E1166*N(O1166)))</f>
        <v/>
      </c>
      <c r="AD1166" s="34">
        <f>IF(OR($A1166="",$H1166&lt;&gt;"Ausgabe",P1166=""),0,IF(P1166="x",-$E1166/(COUNTIF($J1166:$Q1166,"x")+1),-$E1166*N(P1166)))</f>
        <v/>
      </c>
      <c r="AE1166" s="34">
        <f>IF(OR($A1166="",$H1166&lt;&gt;"Ausgabe",Q1166=""),0,IF(Q1166="x",-$E1166/(COUNTIF($J1166:$Q1166,"x")+1),-$E1166*N(Q1166)))</f>
        <v/>
      </c>
    </row>
    <row r="1167">
      <c r="A1167" s="30" t="n"/>
      <c r="E1167" s="31" t="n"/>
      <c r="J1167" s="32" t="n"/>
      <c r="K1167" s="32" t="n"/>
      <c r="L1167" s="32" t="n"/>
      <c r="M1167" s="32" t="n"/>
      <c r="N1167" s="32" t="n"/>
      <c r="O1167" s="32" t="n"/>
      <c r="P1167" s="32" t="n"/>
      <c r="Q1167" s="32" t="n"/>
      <c r="U1167" s="31">
        <f>IF($A1167="","",SUM(X1167:AE1167))</f>
        <v/>
      </c>
      <c r="V1167" s="31">
        <f>IF($A1167="","",IF($H1167&lt;&gt;"Ausgabe",0,-$E1167-$U1167))</f>
        <v/>
      </c>
      <c r="W1167" s="33">
        <f>IF($A1167="","",DATE(YEAR($A1167),MONTH($A1167),1))</f>
        <v/>
      </c>
      <c r="X1167" s="34">
        <f>IF(OR($A1167="",$H1167&lt;&gt;"Ausgabe",J1167=""),0,IF(J1167="x",-$E1167/(COUNTIF($J1167:$Q1167,"x")+1),-$E1167*N(J1167)))</f>
        <v/>
      </c>
      <c r="Y1167" s="34">
        <f>IF(OR($A1167="",$H1167&lt;&gt;"Ausgabe",K1167=""),0,IF(K1167="x",-$E1167/(COUNTIF($J1167:$Q1167,"x")+1),-$E1167*N(K1167)))</f>
        <v/>
      </c>
      <c r="Z1167" s="34">
        <f>IF(OR($A1167="",$H1167&lt;&gt;"Ausgabe",L1167=""),0,IF(L1167="x",-$E1167/(COUNTIF($J1167:$Q1167,"x")+1),-$E1167*N(L1167)))</f>
        <v/>
      </c>
      <c r="AA1167" s="34">
        <f>IF(OR($A1167="",$H1167&lt;&gt;"Ausgabe",M1167=""),0,IF(M1167="x",-$E1167/(COUNTIF($J1167:$Q1167,"x")+1),-$E1167*N(M1167)))</f>
        <v/>
      </c>
      <c r="AB1167" s="34">
        <f>IF(OR($A1167="",$H1167&lt;&gt;"Ausgabe",N1167=""),0,IF(N1167="x",-$E1167/(COUNTIF($J1167:$Q1167,"x")+1),-$E1167*N(N1167)))</f>
        <v/>
      </c>
      <c r="AC1167" s="34">
        <f>IF(OR($A1167="",$H1167&lt;&gt;"Ausgabe",O1167=""),0,IF(O1167="x",-$E1167/(COUNTIF($J1167:$Q1167,"x")+1),-$E1167*N(O1167)))</f>
        <v/>
      </c>
      <c r="AD1167" s="34">
        <f>IF(OR($A1167="",$H1167&lt;&gt;"Ausgabe",P1167=""),0,IF(P1167="x",-$E1167/(COUNTIF($J1167:$Q1167,"x")+1),-$E1167*N(P1167)))</f>
        <v/>
      </c>
      <c r="AE1167" s="34">
        <f>IF(OR($A1167="",$H1167&lt;&gt;"Ausgabe",Q1167=""),0,IF(Q1167="x",-$E1167/(COUNTIF($J1167:$Q1167,"x")+1),-$E1167*N(Q1167)))</f>
        <v/>
      </c>
    </row>
    <row r="1168">
      <c r="A1168" s="30" t="n"/>
      <c r="E1168" s="31" t="n"/>
      <c r="J1168" s="32" t="n"/>
      <c r="K1168" s="32" t="n"/>
      <c r="L1168" s="32" t="n"/>
      <c r="M1168" s="32" t="n"/>
      <c r="N1168" s="32" t="n"/>
      <c r="O1168" s="32" t="n"/>
      <c r="P1168" s="32" t="n"/>
      <c r="Q1168" s="32" t="n"/>
      <c r="U1168" s="31">
        <f>IF($A1168="","",SUM(X1168:AE1168))</f>
        <v/>
      </c>
      <c r="V1168" s="31">
        <f>IF($A1168="","",IF($H1168&lt;&gt;"Ausgabe",0,-$E1168-$U1168))</f>
        <v/>
      </c>
      <c r="W1168" s="33">
        <f>IF($A1168="","",DATE(YEAR($A1168),MONTH($A1168),1))</f>
        <v/>
      </c>
      <c r="X1168" s="34">
        <f>IF(OR($A1168="",$H1168&lt;&gt;"Ausgabe",J1168=""),0,IF(J1168="x",-$E1168/(COUNTIF($J1168:$Q1168,"x")+1),-$E1168*N(J1168)))</f>
        <v/>
      </c>
      <c r="Y1168" s="34">
        <f>IF(OR($A1168="",$H1168&lt;&gt;"Ausgabe",K1168=""),0,IF(K1168="x",-$E1168/(COUNTIF($J1168:$Q1168,"x")+1),-$E1168*N(K1168)))</f>
        <v/>
      </c>
      <c r="Z1168" s="34">
        <f>IF(OR($A1168="",$H1168&lt;&gt;"Ausgabe",L1168=""),0,IF(L1168="x",-$E1168/(COUNTIF($J1168:$Q1168,"x")+1),-$E1168*N(L1168)))</f>
        <v/>
      </c>
      <c r="AA1168" s="34">
        <f>IF(OR($A1168="",$H1168&lt;&gt;"Ausgabe",M1168=""),0,IF(M1168="x",-$E1168/(COUNTIF($J1168:$Q1168,"x")+1),-$E1168*N(M1168)))</f>
        <v/>
      </c>
      <c r="AB1168" s="34">
        <f>IF(OR($A1168="",$H1168&lt;&gt;"Ausgabe",N1168=""),0,IF(N1168="x",-$E1168/(COUNTIF($J1168:$Q1168,"x")+1),-$E1168*N(N1168)))</f>
        <v/>
      </c>
      <c r="AC1168" s="34">
        <f>IF(OR($A1168="",$H1168&lt;&gt;"Ausgabe",O1168=""),0,IF(O1168="x",-$E1168/(COUNTIF($J1168:$Q1168,"x")+1),-$E1168*N(O1168)))</f>
        <v/>
      </c>
      <c r="AD1168" s="34">
        <f>IF(OR($A1168="",$H1168&lt;&gt;"Ausgabe",P1168=""),0,IF(P1168="x",-$E1168/(COUNTIF($J1168:$Q1168,"x")+1),-$E1168*N(P1168)))</f>
        <v/>
      </c>
      <c r="AE1168" s="34">
        <f>IF(OR($A1168="",$H1168&lt;&gt;"Ausgabe",Q1168=""),0,IF(Q1168="x",-$E1168/(COUNTIF($J1168:$Q1168,"x")+1),-$E1168*N(Q1168)))</f>
        <v/>
      </c>
    </row>
    <row r="1169">
      <c r="A1169" s="30" t="n"/>
      <c r="E1169" s="31" t="n"/>
      <c r="J1169" s="32" t="n"/>
      <c r="K1169" s="32" t="n"/>
      <c r="L1169" s="32" t="n"/>
      <c r="M1169" s="32" t="n"/>
      <c r="N1169" s="32" t="n"/>
      <c r="O1169" s="32" t="n"/>
      <c r="P1169" s="32" t="n"/>
      <c r="Q1169" s="32" t="n"/>
      <c r="U1169" s="31">
        <f>IF($A1169="","",SUM(X1169:AE1169))</f>
        <v/>
      </c>
      <c r="V1169" s="31">
        <f>IF($A1169="","",IF($H1169&lt;&gt;"Ausgabe",0,-$E1169-$U1169))</f>
        <v/>
      </c>
      <c r="W1169" s="33">
        <f>IF($A1169="","",DATE(YEAR($A1169),MONTH($A1169),1))</f>
        <v/>
      </c>
      <c r="X1169" s="34">
        <f>IF(OR($A1169="",$H1169&lt;&gt;"Ausgabe",J1169=""),0,IF(J1169="x",-$E1169/(COUNTIF($J1169:$Q1169,"x")+1),-$E1169*N(J1169)))</f>
        <v/>
      </c>
      <c r="Y1169" s="34">
        <f>IF(OR($A1169="",$H1169&lt;&gt;"Ausgabe",K1169=""),0,IF(K1169="x",-$E1169/(COUNTIF($J1169:$Q1169,"x")+1),-$E1169*N(K1169)))</f>
        <v/>
      </c>
      <c r="Z1169" s="34">
        <f>IF(OR($A1169="",$H1169&lt;&gt;"Ausgabe",L1169=""),0,IF(L1169="x",-$E1169/(COUNTIF($J1169:$Q1169,"x")+1),-$E1169*N(L1169)))</f>
        <v/>
      </c>
      <c r="AA1169" s="34">
        <f>IF(OR($A1169="",$H1169&lt;&gt;"Ausgabe",M1169=""),0,IF(M1169="x",-$E1169/(COUNTIF($J1169:$Q1169,"x")+1),-$E1169*N(M1169)))</f>
        <v/>
      </c>
      <c r="AB1169" s="34">
        <f>IF(OR($A1169="",$H1169&lt;&gt;"Ausgabe",N1169=""),0,IF(N1169="x",-$E1169/(COUNTIF($J1169:$Q1169,"x")+1),-$E1169*N(N1169)))</f>
        <v/>
      </c>
      <c r="AC1169" s="34">
        <f>IF(OR($A1169="",$H1169&lt;&gt;"Ausgabe",O1169=""),0,IF(O1169="x",-$E1169/(COUNTIF($J1169:$Q1169,"x")+1),-$E1169*N(O1169)))</f>
        <v/>
      </c>
      <c r="AD1169" s="34">
        <f>IF(OR($A1169="",$H1169&lt;&gt;"Ausgabe",P1169=""),0,IF(P1169="x",-$E1169/(COUNTIF($J1169:$Q1169,"x")+1),-$E1169*N(P1169)))</f>
        <v/>
      </c>
      <c r="AE1169" s="34">
        <f>IF(OR($A1169="",$H1169&lt;&gt;"Ausgabe",Q1169=""),0,IF(Q1169="x",-$E1169/(COUNTIF($J1169:$Q1169,"x")+1),-$E1169*N(Q1169)))</f>
        <v/>
      </c>
    </row>
    <row r="1170">
      <c r="A1170" s="30" t="n"/>
      <c r="E1170" s="31" t="n"/>
      <c r="J1170" s="32" t="n"/>
      <c r="K1170" s="32" t="n"/>
      <c r="L1170" s="32" t="n"/>
      <c r="M1170" s="32" t="n"/>
      <c r="N1170" s="32" t="n"/>
      <c r="O1170" s="32" t="n"/>
      <c r="P1170" s="32" t="n"/>
      <c r="Q1170" s="32" t="n"/>
      <c r="U1170" s="31">
        <f>IF($A1170="","",SUM(X1170:AE1170))</f>
        <v/>
      </c>
      <c r="V1170" s="31">
        <f>IF($A1170="","",IF($H1170&lt;&gt;"Ausgabe",0,-$E1170-$U1170))</f>
        <v/>
      </c>
      <c r="W1170" s="33">
        <f>IF($A1170="","",DATE(YEAR($A1170),MONTH($A1170),1))</f>
        <v/>
      </c>
      <c r="X1170" s="34">
        <f>IF(OR($A1170="",$H1170&lt;&gt;"Ausgabe",J1170=""),0,IF(J1170="x",-$E1170/(COUNTIF($J1170:$Q1170,"x")+1),-$E1170*N(J1170)))</f>
        <v/>
      </c>
      <c r="Y1170" s="34">
        <f>IF(OR($A1170="",$H1170&lt;&gt;"Ausgabe",K1170=""),0,IF(K1170="x",-$E1170/(COUNTIF($J1170:$Q1170,"x")+1),-$E1170*N(K1170)))</f>
        <v/>
      </c>
      <c r="Z1170" s="34">
        <f>IF(OR($A1170="",$H1170&lt;&gt;"Ausgabe",L1170=""),0,IF(L1170="x",-$E1170/(COUNTIF($J1170:$Q1170,"x")+1),-$E1170*N(L1170)))</f>
        <v/>
      </c>
      <c r="AA1170" s="34">
        <f>IF(OR($A1170="",$H1170&lt;&gt;"Ausgabe",M1170=""),0,IF(M1170="x",-$E1170/(COUNTIF($J1170:$Q1170,"x")+1),-$E1170*N(M1170)))</f>
        <v/>
      </c>
      <c r="AB1170" s="34">
        <f>IF(OR($A1170="",$H1170&lt;&gt;"Ausgabe",N1170=""),0,IF(N1170="x",-$E1170/(COUNTIF($J1170:$Q1170,"x")+1),-$E1170*N(N1170)))</f>
        <v/>
      </c>
      <c r="AC1170" s="34">
        <f>IF(OR($A1170="",$H1170&lt;&gt;"Ausgabe",O1170=""),0,IF(O1170="x",-$E1170/(COUNTIF($J1170:$Q1170,"x")+1),-$E1170*N(O1170)))</f>
        <v/>
      </c>
      <c r="AD1170" s="34">
        <f>IF(OR($A1170="",$H1170&lt;&gt;"Ausgabe",P1170=""),0,IF(P1170="x",-$E1170/(COUNTIF($J1170:$Q1170,"x")+1),-$E1170*N(P1170)))</f>
        <v/>
      </c>
      <c r="AE1170" s="34">
        <f>IF(OR($A1170="",$H1170&lt;&gt;"Ausgabe",Q1170=""),0,IF(Q1170="x",-$E1170/(COUNTIF($J1170:$Q1170,"x")+1),-$E1170*N(Q1170)))</f>
        <v/>
      </c>
    </row>
    <row r="1171">
      <c r="A1171" s="30" t="n"/>
      <c r="E1171" s="31" t="n"/>
      <c r="J1171" s="32" t="n"/>
      <c r="K1171" s="32" t="n"/>
      <c r="L1171" s="32" t="n"/>
      <c r="M1171" s="32" t="n"/>
      <c r="N1171" s="32" t="n"/>
      <c r="O1171" s="32" t="n"/>
      <c r="P1171" s="32" t="n"/>
      <c r="Q1171" s="32" t="n"/>
      <c r="U1171" s="31">
        <f>IF($A1171="","",SUM(X1171:AE1171))</f>
        <v/>
      </c>
      <c r="V1171" s="31">
        <f>IF($A1171="","",IF($H1171&lt;&gt;"Ausgabe",0,-$E1171-$U1171))</f>
        <v/>
      </c>
      <c r="W1171" s="33">
        <f>IF($A1171="","",DATE(YEAR($A1171),MONTH($A1171),1))</f>
        <v/>
      </c>
      <c r="X1171" s="34">
        <f>IF(OR($A1171="",$H1171&lt;&gt;"Ausgabe",J1171=""),0,IF(J1171="x",-$E1171/(COUNTIF($J1171:$Q1171,"x")+1),-$E1171*N(J1171)))</f>
        <v/>
      </c>
      <c r="Y1171" s="34">
        <f>IF(OR($A1171="",$H1171&lt;&gt;"Ausgabe",K1171=""),0,IF(K1171="x",-$E1171/(COUNTIF($J1171:$Q1171,"x")+1),-$E1171*N(K1171)))</f>
        <v/>
      </c>
      <c r="Z1171" s="34">
        <f>IF(OR($A1171="",$H1171&lt;&gt;"Ausgabe",L1171=""),0,IF(L1171="x",-$E1171/(COUNTIF($J1171:$Q1171,"x")+1),-$E1171*N(L1171)))</f>
        <v/>
      </c>
      <c r="AA1171" s="34">
        <f>IF(OR($A1171="",$H1171&lt;&gt;"Ausgabe",M1171=""),0,IF(M1171="x",-$E1171/(COUNTIF($J1171:$Q1171,"x")+1),-$E1171*N(M1171)))</f>
        <v/>
      </c>
      <c r="AB1171" s="34">
        <f>IF(OR($A1171="",$H1171&lt;&gt;"Ausgabe",N1171=""),0,IF(N1171="x",-$E1171/(COUNTIF($J1171:$Q1171,"x")+1),-$E1171*N(N1171)))</f>
        <v/>
      </c>
      <c r="AC1171" s="34">
        <f>IF(OR($A1171="",$H1171&lt;&gt;"Ausgabe",O1171=""),0,IF(O1171="x",-$E1171/(COUNTIF($J1171:$Q1171,"x")+1),-$E1171*N(O1171)))</f>
        <v/>
      </c>
      <c r="AD1171" s="34">
        <f>IF(OR($A1171="",$H1171&lt;&gt;"Ausgabe",P1171=""),0,IF(P1171="x",-$E1171/(COUNTIF($J1171:$Q1171,"x")+1),-$E1171*N(P1171)))</f>
        <v/>
      </c>
      <c r="AE1171" s="34">
        <f>IF(OR($A1171="",$H1171&lt;&gt;"Ausgabe",Q1171=""),0,IF(Q1171="x",-$E1171/(COUNTIF($J1171:$Q1171,"x")+1),-$E1171*N(Q1171)))</f>
        <v/>
      </c>
    </row>
    <row r="1172">
      <c r="A1172" s="30" t="n"/>
      <c r="E1172" s="31" t="n"/>
      <c r="J1172" s="32" t="n"/>
      <c r="K1172" s="32" t="n"/>
      <c r="L1172" s="32" t="n"/>
      <c r="M1172" s="32" t="n"/>
      <c r="N1172" s="32" t="n"/>
      <c r="O1172" s="32" t="n"/>
      <c r="P1172" s="32" t="n"/>
      <c r="Q1172" s="32" t="n"/>
      <c r="U1172" s="31">
        <f>IF($A1172="","",SUM(X1172:AE1172))</f>
        <v/>
      </c>
      <c r="V1172" s="31">
        <f>IF($A1172="","",IF($H1172&lt;&gt;"Ausgabe",0,-$E1172-$U1172))</f>
        <v/>
      </c>
      <c r="W1172" s="33">
        <f>IF($A1172="","",DATE(YEAR($A1172),MONTH($A1172),1))</f>
        <v/>
      </c>
      <c r="X1172" s="34">
        <f>IF(OR($A1172="",$H1172&lt;&gt;"Ausgabe",J1172=""),0,IF(J1172="x",-$E1172/(COUNTIF($J1172:$Q1172,"x")+1),-$E1172*N(J1172)))</f>
        <v/>
      </c>
      <c r="Y1172" s="34">
        <f>IF(OR($A1172="",$H1172&lt;&gt;"Ausgabe",K1172=""),0,IF(K1172="x",-$E1172/(COUNTIF($J1172:$Q1172,"x")+1),-$E1172*N(K1172)))</f>
        <v/>
      </c>
      <c r="Z1172" s="34">
        <f>IF(OR($A1172="",$H1172&lt;&gt;"Ausgabe",L1172=""),0,IF(L1172="x",-$E1172/(COUNTIF($J1172:$Q1172,"x")+1),-$E1172*N(L1172)))</f>
        <v/>
      </c>
      <c r="AA1172" s="34">
        <f>IF(OR($A1172="",$H1172&lt;&gt;"Ausgabe",M1172=""),0,IF(M1172="x",-$E1172/(COUNTIF($J1172:$Q1172,"x")+1),-$E1172*N(M1172)))</f>
        <v/>
      </c>
      <c r="AB1172" s="34">
        <f>IF(OR($A1172="",$H1172&lt;&gt;"Ausgabe",N1172=""),0,IF(N1172="x",-$E1172/(COUNTIF($J1172:$Q1172,"x")+1),-$E1172*N(N1172)))</f>
        <v/>
      </c>
      <c r="AC1172" s="34">
        <f>IF(OR($A1172="",$H1172&lt;&gt;"Ausgabe",O1172=""),0,IF(O1172="x",-$E1172/(COUNTIF($J1172:$Q1172,"x")+1),-$E1172*N(O1172)))</f>
        <v/>
      </c>
      <c r="AD1172" s="34">
        <f>IF(OR($A1172="",$H1172&lt;&gt;"Ausgabe",P1172=""),0,IF(P1172="x",-$E1172/(COUNTIF($J1172:$Q1172,"x")+1),-$E1172*N(P1172)))</f>
        <v/>
      </c>
      <c r="AE1172" s="34">
        <f>IF(OR($A1172="",$H1172&lt;&gt;"Ausgabe",Q1172=""),0,IF(Q1172="x",-$E1172/(COUNTIF($J1172:$Q1172,"x")+1),-$E1172*N(Q1172)))</f>
        <v/>
      </c>
    </row>
    <row r="1173">
      <c r="A1173" s="30" t="n"/>
      <c r="E1173" s="31" t="n"/>
      <c r="J1173" s="32" t="n"/>
      <c r="K1173" s="32" t="n"/>
      <c r="L1173" s="32" t="n"/>
      <c r="M1173" s="32" t="n"/>
      <c r="N1173" s="32" t="n"/>
      <c r="O1173" s="32" t="n"/>
      <c r="P1173" s="32" t="n"/>
      <c r="Q1173" s="32" t="n"/>
      <c r="U1173" s="31">
        <f>IF($A1173="","",SUM(X1173:AE1173))</f>
        <v/>
      </c>
      <c r="V1173" s="31">
        <f>IF($A1173="","",IF($H1173&lt;&gt;"Ausgabe",0,-$E1173-$U1173))</f>
        <v/>
      </c>
      <c r="W1173" s="33">
        <f>IF($A1173="","",DATE(YEAR($A1173),MONTH($A1173),1))</f>
        <v/>
      </c>
      <c r="X1173" s="34">
        <f>IF(OR($A1173="",$H1173&lt;&gt;"Ausgabe",J1173=""),0,IF(J1173="x",-$E1173/(COUNTIF($J1173:$Q1173,"x")+1),-$E1173*N(J1173)))</f>
        <v/>
      </c>
      <c r="Y1173" s="34">
        <f>IF(OR($A1173="",$H1173&lt;&gt;"Ausgabe",K1173=""),0,IF(K1173="x",-$E1173/(COUNTIF($J1173:$Q1173,"x")+1),-$E1173*N(K1173)))</f>
        <v/>
      </c>
      <c r="Z1173" s="34">
        <f>IF(OR($A1173="",$H1173&lt;&gt;"Ausgabe",L1173=""),0,IF(L1173="x",-$E1173/(COUNTIF($J1173:$Q1173,"x")+1),-$E1173*N(L1173)))</f>
        <v/>
      </c>
      <c r="AA1173" s="34">
        <f>IF(OR($A1173="",$H1173&lt;&gt;"Ausgabe",M1173=""),0,IF(M1173="x",-$E1173/(COUNTIF($J1173:$Q1173,"x")+1),-$E1173*N(M1173)))</f>
        <v/>
      </c>
      <c r="AB1173" s="34">
        <f>IF(OR($A1173="",$H1173&lt;&gt;"Ausgabe",N1173=""),0,IF(N1173="x",-$E1173/(COUNTIF($J1173:$Q1173,"x")+1),-$E1173*N(N1173)))</f>
        <v/>
      </c>
      <c r="AC1173" s="34">
        <f>IF(OR($A1173="",$H1173&lt;&gt;"Ausgabe",O1173=""),0,IF(O1173="x",-$E1173/(COUNTIF($J1173:$Q1173,"x")+1),-$E1173*N(O1173)))</f>
        <v/>
      </c>
      <c r="AD1173" s="34">
        <f>IF(OR($A1173="",$H1173&lt;&gt;"Ausgabe",P1173=""),0,IF(P1173="x",-$E1173/(COUNTIF($J1173:$Q1173,"x")+1),-$E1173*N(P1173)))</f>
        <v/>
      </c>
      <c r="AE1173" s="34">
        <f>IF(OR($A1173="",$H1173&lt;&gt;"Ausgabe",Q1173=""),0,IF(Q1173="x",-$E1173/(COUNTIF($J1173:$Q1173,"x")+1),-$E1173*N(Q1173)))</f>
        <v/>
      </c>
    </row>
    <row r="1174">
      <c r="A1174" s="30" t="n"/>
      <c r="E1174" s="31" t="n"/>
      <c r="J1174" s="32" t="n"/>
      <c r="K1174" s="32" t="n"/>
      <c r="L1174" s="32" t="n"/>
      <c r="M1174" s="32" t="n"/>
      <c r="N1174" s="32" t="n"/>
      <c r="O1174" s="32" t="n"/>
      <c r="P1174" s="32" t="n"/>
      <c r="Q1174" s="32" t="n"/>
      <c r="U1174" s="31">
        <f>IF($A1174="","",SUM(X1174:AE1174))</f>
        <v/>
      </c>
      <c r="V1174" s="31">
        <f>IF($A1174="","",IF($H1174&lt;&gt;"Ausgabe",0,-$E1174-$U1174))</f>
        <v/>
      </c>
      <c r="W1174" s="33">
        <f>IF($A1174="","",DATE(YEAR($A1174),MONTH($A1174),1))</f>
        <v/>
      </c>
      <c r="X1174" s="34">
        <f>IF(OR($A1174="",$H1174&lt;&gt;"Ausgabe",J1174=""),0,IF(J1174="x",-$E1174/(COUNTIF($J1174:$Q1174,"x")+1),-$E1174*N(J1174)))</f>
        <v/>
      </c>
      <c r="Y1174" s="34">
        <f>IF(OR($A1174="",$H1174&lt;&gt;"Ausgabe",K1174=""),0,IF(K1174="x",-$E1174/(COUNTIF($J1174:$Q1174,"x")+1),-$E1174*N(K1174)))</f>
        <v/>
      </c>
      <c r="Z1174" s="34">
        <f>IF(OR($A1174="",$H1174&lt;&gt;"Ausgabe",L1174=""),0,IF(L1174="x",-$E1174/(COUNTIF($J1174:$Q1174,"x")+1),-$E1174*N(L1174)))</f>
        <v/>
      </c>
      <c r="AA1174" s="34">
        <f>IF(OR($A1174="",$H1174&lt;&gt;"Ausgabe",M1174=""),0,IF(M1174="x",-$E1174/(COUNTIF($J1174:$Q1174,"x")+1),-$E1174*N(M1174)))</f>
        <v/>
      </c>
      <c r="AB1174" s="34">
        <f>IF(OR($A1174="",$H1174&lt;&gt;"Ausgabe",N1174=""),0,IF(N1174="x",-$E1174/(COUNTIF($J1174:$Q1174,"x")+1),-$E1174*N(N1174)))</f>
        <v/>
      </c>
      <c r="AC1174" s="34">
        <f>IF(OR($A1174="",$H1174&lt;&gt;"Ausgabe",O1174=""),0,IF(O1174="x",-$E1174/(COUNTIF($J1174:$Q1174,"x")+1),-$E1174*N(O1174)))</f>
        <v/>
      </c>
      <c r="AD1174" s="34">
        <f>IF(OR($A1174="",$H1174&lt;&gt;"Ausgabe",P1174=""),0,IF(P1174="x",-$E1174/(COUNTIF($J1174:$Q1174,"x")+1),-$E1174*N(P1174)))</f>
        <v/>
      </c>
      <c r="AE1174" s="34">
        <f>IF(OR($A1174="",$H1174&lt;&gt;"Ausgabe",Q1174=""),0,IF(Q1174="x",-$E1174/(COUNTIF($J1174:$Q1174,"x")+1),-$E1174*N(Q1174)))</f>
        <v/>
      </c>
    </row>
    <row r="1175">
      <c r="A1175" s="30" t="n"/>
      <c r="E1175" s="31" t="n"/>
      <c r="J1175" s="32" t="n"/>
      <c r="K1175" s="32" t="n"/>
      <c r="L1175" s="32" t="n"/>
      <c r="M1175" s="32" t="n"/>
      <c r="N1175" s="32" t="n"/>
      <c r="O1175" s="32" t="n"/>
      <c r="P1175" s="32" t="n"/>
      <c r="Q1175" s="32" t="n"/>
      <c r="U1175" s="31">
        <f>IF($A1175="","",SUM(X1175:AE1175))</f>
        <v/>
      </c>
      <c r="V1175" s="31">
        <f>IF($A1175="","",IF($H1175&lt;&gt;"Ausgabe",0,-$E1175-$U1175))</f>
        <v/>
      </c>
      <c r="W1175" s="33">
        <f>IF($A1175="","",DATE(YEAR($A1175),MONTH($A1175),1))</f>
        <v/>
      </c>
      <c r="X1175" s="34">
        <f>IF(OR($A1175="",$H1175&lt;&gt;"Ausgabe",J1175=""),0,IF(J1175="x",-$E1175/(COUNTIF($J1175:$Q1175,"x")+1),-$E1175*N(J1175)))</f>
        <v/>
      </c>
      <c r="Y1175" s="34">
        <f>IF(OR($A1175="",$H1175&lt;&gt;"Ausgabe",K1175=""),0,IF(K1175="x",-$E1175/(COUNTIF($J1175:$Q1175,"x")+1),-$E1175*N(K1175)))</f>
        <v/>
      </c>
      <c r="Z1175" s="34">
        <f>IF(OR($A1175="",$H1175&lt;&gt;"Ausgabe",L1175=""),0,IF(L1175="x",-$E1175/(COUNTIF($J1175:$Q1175,"x")+1),-$E1175*N(L1175)))</f>
        <v/>
      </c>
      <c r="AA1175" s="34">
        <f>IF(OR($A1175="",$H1175&lt;&gt;"Ausgabe",M1175=""),0,IF(M1175="x",-$E1175/(COUNTIF($J1175:$Q1175,"x")+1),-$E1175*N(M1175)))</f>
        <v/>
      </c>
      <c r="AB1175" s="34">
        <f>IF(OR($A1175="",$H1175&lt;&gt;"Ausgabe",N1175=""),0,IF(N1175="x",-$E1175/(COUNTIF($J1175:$Q1175,"x")+1),-$E1175*N(N1175)))</f>
        <v/>
      </c>
      <c r="AC1175" s="34">
        <f>IF(OR($A1175="",$H1175&lt;&gt;"Ausgabe",O1175=""),0,IF(O1175="x",-$E1175/(COUNTIF($J1175:$Q1175,"x")+1),-$E1175*N(O1175)))</f>
        <v/>
      </c>
      <c r="AD1175" s="34">
        <f>IF(OR($A1175="",$H1175&lt;&gt;"Ausgabe",P1175=""),0,IF(P1175="x",-$E1175/(COUNTIF($J1175:$Q1175,"x")+1),-$E1175*N(P1175)))</f>
        <v/>
      </c>
      <c r="AE1175" s="34">
        <f>IF(OR($A1175="",$H1175&lt;&gt;"Ausgabe",Q1175=""),0,IF(Q1175="x",-$E1175/(COUNTIF($J1175:$Q1175,"x")+1),-$E1175*N(Q1175)))</f>
        <v/>
      </c>
    </row>
    <row r="1176">
      <c r="A1176" s="30" t="n"/>
      <c r="E1176" s="31" t="n"/>
      <c r="J1176" s="32" t="n"/>
      <c r="K1176" s="32" t="n"/>
      <c r="L1176" s="32" t="n"/>
      <c r="M1176" s="32" t="n"/>
      <c r="N1176" s="32" t="n"/>
      <c r="O1176" s="32" t="n"/>
      <c r="P1176" s="32" t="n"/>
      <c r="Q1176" s="32" t="n"/>
      <c r="U1176" s="31">
        <f>IF($A1176="","",SUM(X1176:AE1176))</f>
        <v/>
      </c>
      <c r="V1176" s="31">
        <f>IF($A1176="","",IF($H1176&lt;&gt;"Ausgabe",0,-$E1176-$U1176))</f>
        <v/>
      </c>
      <c r="W1176" s="33">
        <f>IF($A1176="","",DATE(YEAR($A1176),MONTH($A1176),1))</f>
        <v/>
      </c>
      <c r="X1176" s="34">
        <f>IF(OR($A1176="",$H1176&lt;&gt;"Ausgabe",J1176=""),0,IF(J1176="x",-$E1176/(COUNTIF($J1176:$Q1176,"x")+1),-$E1176*N(J1176)))</f>
        <v/>
      </c>
      <c r="Y1176" s="34">
        <f>IF(OR($A1176="",$H1176&lt;&gt;"Ausgabe",K1176=""),0,IF(K1176="x",-$E1176/(COUNTIF($J1176:$Q1176,"x")+1),-$E1176*N(K1176)))</f>
        <v/>
      </c>
      <c r="Z1176" s="34">
        <f>IF(OR($A1176="",$H1176&lt;&gt;"Ausgabe",L1176=""),0,IF(L1176="x",-$E1176/(COUNTIF($J1176:$Q1176,"x")+1),-$E1176*N(L1176)))</f>
        <v/>
      </c>
      <c r="AA1176" s="34">
        <f>IF(OR($A1176="",$H1176&lt;&gt;"Ausgabe",M1176=""),0,IF(M1176="x",-$E1176/(COUNTIF($J1176:$Q1176,"x")+1),-$E1176*N(M1176)))</f>
        <v/>
      </c>
      <c r="AB1176" s="34">
        <f>IF(OR($A1176="",$H1176&lt;&gt;"Ausgabe",N1176=""),0,IF(N1176="x",-$E1176/(COUNTIF($J1176:$Q1176,"x")+1),-$E1176*N(N1176)))</f>
        <v/>
      </c>
      <c r="AC1176" s="34">
        <f>IF(OR($A1176="",$H1176&lt;&gt;"Ausgabe",O1176=""),0,IF(O1176="x",-$E1176/(COUNTIF($J1176:$Q1176,"x")+1),-$E1176*N(O1176)))</f>
        <v/>
      </c>
      <c r="AD1176" s="34">
        <f>IF(OR($A1176="",$H1176&lt;&gt;"Ausgabe",P1176=""),0,IF(P1176="x",-$E1176/(COUNTIF($J1176:$Q1176,"x")+1),-$E1176*N(P1176)))</f>
        <v/>
      </c>
      <c r="AE1176" s="34">
        <f>IF(OR($A1176="",$H1176&lt;&gt;"Ausgabe",Q1176=""),0,IF(Q1176="x",-$E1176/(COUNTIF($J1176:$Q1176,"x")+1),-$E1176*N(Q1176)))</f>
        <v/>
      </c>
    </row>
    <row r="1177">
      <c r="A1177" s="30" t="n"/>
      <c r="E1177" s="31" t="n"/>
      <c r="J1177" s="32" t="n"/>
      <c r="K1177" s="32" t="n"/>
      <c r="L1177" s="32" t="n"/>
      <c r="M1177" s="32" t="n"/>
      <c r="N1177" s="32" t="n"/>
      <c r="O1177" s="32" t="n"/>
      <c r="P1177" s="32" t="n"/>
      <c r="Q1177" s="32" t="n"/>
      <c r="U1177" s="31">
        <f>IF($A1177="","",SUM(X1177:AE1177))</f>
        <v/>
      </c>
      <c r="V1177" s="31">
        <f>IF($A1177="","",IF($H1177&lt;&gt;"Ausgabe",0,-$E1177-$U1177))</f>
        <v/>
      </c>
      <c r="W1177" s="33">
        <f>IF($A1177="","",DATE(YEAR($A1177),MONTH($A1177),1))</f>
        <v/>
      </c>
      <c r="X1177" s="34">
        <f>IF(OR($A1177="",$H1177&lt;&gt;"Ausgabe",J1177=""),0,IF(J1177="x",-$E1177/(COUNTIF($J1177:$Q1177,"x")+1),-$E1177*N(J1177)))</f>
        <v/>
      </c>
      <c r="Y1177" s="34">
        <f>IF(OR($A1177="",$H1177&lt;&gt;"Ausgabe",K1177=""),0,IF(K1177="x",-$E1177/(COUNTIF($J1177:$Q1177,"x")+1),-$E1177*N(K1177)))</f>
        <v/>
      </c>
      <c r="Z1177" s="34">
        <f>IF(OR($A1177="",$H1177&lt;&gt;"Ausgabe",L1177=""),0,IF(L1177="x",-$E1177/(COUNTIF($J1177:$Q1177,"x")+1),-$E1177*N(L1177)))</f>
        <v/>
      </c>
      <c r="AA1177" s="34">
        <f>IF(OR($A1177="",$H1177&lt;&gt;"Ausgabe",M1177=""),0,IF(M1177="x",-$E1177/(COUNTIF($J1177:$Q1177,"x")+1),-$E1177*N(M1177)))</f>
        <v/>
      </c>
      <c r="AB1177" s="34">
        <f>IF(OR($A1177="",$H1177&lt;&gt;"Ausgabe",N1177=""),0,IF(N1177="x",-$E1177/(COUNTIF($J1177:$Q1177,"x")+1),-$E1177*N(N1177)))</f>
        <v/>
      </c>
      <c r="AC1177" s="34">
        <f>IF(OR($A1177="",$H1177&lt;&gt;"Ausgabe",O1177=""),0,IF(O1177="x",-$E1177/(COUNTIF($J1177:$Q1177,"x")+1),-$E1177*N(O1177)))</f>
        <v/>
      </c>
      <c r="AD1177" s="34">
        <f>IF(OR($A1177="",$H1177&lt;&gt;"Ausgabe",P1177=""),0,IF(P1177="x",-$E1177/(COUNTIF($J1177:$Q1177,"x")+1),-$E1177*N(P1177)))</f>
        <v/>
      </c>
      <c r="AE1177" s="34">
        <f>IF(OR($A1177="",$H1177&lt;&gt;"Ausgabe",Q1177=""),0,IF(Q1177="x",-$E1177/(COUNTIF($J1177:$Q1177,"x")+1),-$E1177*N(Q1177)))</f>
        <v/>
      </c>
    </row>
    <row r="1178">
      <c r="A1178" s="30" t="n"/>
      <c r="E1178" s="31" t="n"/>
      <c r="J1178" s="32" t="n"/>
      <c r="K1178" s="32" t="n"/>
      <c r="L1178" s="32" t="n"/>
      <c r="M1178" s="32" t="n"/>
      <c r="N1178" s="32" t="n"/>
      <c r="O1178" s="32" t="n"/>
      <c r="P1178" s="32" t="n"/>
      <c r="Q1178" s="32" t="n"/>
      <c r="U1178" s="31">
        <f>IF($A1178="","",SUM(X1178:AE1178))</f>
        <v/>
      </c>
      <c r="V1178" s="31">
        <f>IF($A1178="","",IF($H1178&lt;&gt;"Ausgabe",0,-$E1178-$U1178))</f>
        <v/>
      </c>
      <c r="W1178" s="33">
        <f>IF($A1178="","",DATE(YEAR($A1178),MONTH($A1178),1))</f>
        <v/>
      </c>
      <c r="X1178" s="34">
        <f>IF(OR($A1178="",$H1178&lt;&gt;"Ausgabe",J1178=""),0,IF(J1178="x",-$E1178/(COUNTIF($J1178:$Q1178,"x")+1),-$E1178*N(J1178)))</f>
        <v/>
      </c>
      <c r="Y1178" s="34">
        <f>IF(OR($A1178="",$H1178&lt;&gt;"Ausgabe",K1178=""),0,IF(K1178="x",-$E1178/(COUNTIF($J1178:$Q1178,"x")+1),-$E1178*N(K1178)))</f>
        <v/>
      </c>
      <c r="Z1178" s="34">
        <f>IF(OR($A1178="",$H1178&lt;&gt;"Ausgabe",L1178=""),0,IF(L1178="x",-$E1178/(COUNTIF($J1178:$Q1178,"x")+1),-$E1178*N(L1178)))</f>
        <v/>
      </c>
      <c r="AA1178" s="34">
        <f>IF(OR($A1178="",$H1178&lt;&gt;"Ausgabe",M1178=""),0,IF(M1178="x",-$E1178/(COUNTIF($J1178:$Q1178,"x")+1),-$E1178*N(M1178)))</f>
        <v/>
      </c>
      <c r="AB1178" s="34">
        <f>IF(OR($A1178="",$H1178&lt;&gt;"Ausgabe",N1178=""),0,IF(N1178="x",-$E1178/(COUNTIF($J1178:$Q1178,"x")+1),-$E1178*N(N1178)))</f>
        <v/>
      </c>
      <c r="AC1178" s="34">
        <f>IF(OR($A1178="",$H1178&lt;&gt;"Ausgabe",O1178=""),0,IF(O1178="x",-$E1178/(COUNTIF($J1178:$Q1178,"x")+1),-$E1178*N(O1178)))</f>
        <v/>
      </c>
      <c r="AD1178" s="34">
        <f>IF(OR($A1178="",$H1178&lt;&gt;"Ausgabe",P1178=""),0,IF(P1178="x",-$E1178/(COUNTIF($J1178:$Q1178,"x")+1),-$E1178*N(P1178)))</f>
        <v/>
      </c>
      <c r="AE1178" s="34">
        <f>IF(OR($A1178="",$H1178&lt;&gt;"Ausgabe",Q1178=""),0,IF(Q1178="x",-$E1178/(COUNTIF($J1178:$Q1178,"x")+1),-$E1178*N(Q1178)))</f>
        <v/>
      </c>
    </row>
    <row r="1179">
      <c r="A1179" s="30" t="n"/>
      <c r="E1179" s="31" t="n"/>
      <c r="J1179" s="32" t="n"/>
      <c r="K1179" s="32" t="n"/>
      <c r="L1179" s="32" t="n"/>
      <c r="M1179" s="32" t="n"/>
      <c r="N1179" s="32" t="n"/>
      <c r="O1179" s="32" t="n"/>
      <c r="P1179" s="32" t="n"/>
      <c r="Q1179" s="32" t="n"/>
      <c r="U1179" s="31">
        <f>IF($A1179="","",SUM(X1179:AE1179))</f>
        <v/>
      </c>
      <c r="V1179" s="31">
        <f>IF($A1179="","",IF($H1179&lt;&gt;"Ausgabe",0,-$E1179-$U1179))</f>
        <v/>
      </c>
      <c r="W1179" s="33">
        <f>IF($A1179="","",DATE(YEAR($A1179),MONTH($A1179),1))</f>
        <v/>
      </c>
      <c r="X1179" s="34">
        <f>IF(OR($A1179="",$H1179&lt;&gt;"Ausgabe",J1179=""),0,IF(J1179="x",-$E1179/(COUNTIF($J1179:$Q1179,"x")+1),-$E1179*N(J1179)))</f>
        <v/>
      </c>
      <c r="Y1179" s="34">
        <f>IF(OR($A1179="",$H1179&lt;&gt;"Ausgabe",K1179=""),0,IF(K1179="x",-$E1179/(COUNTIF($J1179:$Q1179,"x")+1),-$E1179*N(K1179)))</f>
        <v/>
      </c>
      <c r="Z1179" s="34">
        <f>IF(OR($A1179="",$H1179&lt;&gt;"Ausgabe",L1179=""),0,IF(L1179="x",-$E1179/(COUNTIF($J1179:$Q1179,"x")+1),-$E1179*N(L1179)))</f>
        <v/>
      </c>
      <c r="AA1179" s="34">
        <f>IF(OR($A1179="",$H1179&lt;&gt;"Ausgabe",M1179=""),0,IF(M1179="x",-$E1179/(COUNTIF($J1179:$Q1179,"x")+1),-$E1179*N(M1179)))</f>
        <v/>
      </c>
      <c r="AB1179" s="34">
        <f>IF(OR($A1179="",$H1179&lt;&gt;"Ausgabe",N1179=""),0,IF(N1179="x",-$E1179/(COUNTIF($J1179:$Q1179,"x")+1),-$E1179*N(N1179)))</f>
        <v/>
      </c>
      <c r="AC1179" s="34">
        <f>IF(OR($A1179="",$H1179&lt;&gt;"Ausgabe",O1179=""),0,IF(O1179="x",-$E1179/(COUNTIF($J1179:$Q1179,"x")+1),-$E1179*N(O1179)))</f>
        <v/>
      </c>
      <c r="AD1179" s="34">
        <f>IF(OR($A1179="",$H1179&lt;&gt;"Ausgabe",P1179=""),0,IF(P1179="x",-$E1179/(COUNTIF($J1179:$Q1179,"x")+1),-$E1179*N(P1179)))</f>
        <v/>
      </c>
      <c r="AE1179" s="34">
        <f>IF(OR($A1179="",$H1179&lt;&gt;"Ausgabe",Q1179=""),0,IF(Q1179="x",-$E1179/(COUNTIF($J1179:$Q1179,"x")+1),-$E1179*N(Q1179)))</f>
        <v/>
      </c>
    </row>
    <row r="1180">
      <c r="A1180" s="30" t="n"/>
      <c r="E1180" s="31" t="n"/>
      <c r="J1180" s="32" t="n"/>
      <c r="K1180" s="32" t="n"/>
      <c r="L1180" s="32" t="n"/>
      <c r="M1180" s="32" t="n"/>
      <c r="N1180" s="32" t="n"/>
      <c r="O1180" s="32" t="n"/>
      <c r="P1180" s="32" t="n"/>
      <c r="Q1180" s="32" t="n"/>
      <c r="U1180" s="31">
        <f>IF($A1180="","",SUM(X1180:AE1180))</f>
        <v/>
      </c>
      <c r="V1180" s="31">
        <f>IF($A1180="","",IF($H1180&lt;&gt;"Ausgabe",0,-$E1180-$U1180))</f>
        <v/>
      </c>
      <c r="W1180" s="33">
        <f>IF($A1180="","",DATE(YEAR($A1180),MONTH($A1180),1))</f>
        <v/>
      </c>
      <c r="X1180" s="34">
        <f>IF(OR($A1180="",$H1180&lt;&gt;"Ausgabe",J1180=""),0,IF(J1180="x",-$E1180/(COUNTIF($J1180:$Q1180,"x")+1),-$E1180*N(J1180)))</f>
        <v/>
      </c>
      <c r="Y1180" s="34">
        <f>IF(OR($A1180="",$H1180&lt;&gt;"Ausgabe",K1180=""),0,IF(K1180="x",-$E1180/(COUNTIF($J1180:$Q1180,"x")+1),-$E1180*N(K1180)))</f>
        <v/>
      </c>
      <c r="Z1180" s="34">
        <f>IF(OR($A1180="",$H1180&lt;&gt;"Ausgabe",L1180=""),0,IF(L1180="x",-$E1180/(COUNTIF($J1180:$Q1180,"x")+1),-$E1180*N(L1180)))</f>
        <v/>
      </c>
      <c r="AA1180" s="34">
        <f>IF(OR($A1180="",$H1180&lt;&gt;"Ausgabe",M1180=""),0,IF(M1180="x",-$E1180/(COUNTIF($J1180:$Q1180,"x")+1),-$E1180*N(M1180)))</f>
        <v/>
      </c>
      <c r="AB1180" s="34">
        <f>IF(OR($A1180="",$H1180&lt;&gt;"Ausgabe",N1180=""),0,IF(N1180="x",-$E1180/(COUNTIF($J1180:$Q1180,"x")+1),-$E1180*N(N1180)))</f>
        <v/>
      </c>
      <c r="AC1180" s="34">
        <f>IF(OR($A1180="",$H1180&lt;&gt;"Ausgabe",O1180=""),0,IF(O1180="x",-$E1180/(COUNTIF($J1180:$Q1180,"x")+1),-$E1180*N(O1180)))</f>
        <v/>
      </c>
      <c r="AD1180" s="34">
        <f>IF(OR($A1180="",$H1180&lt;&gt;"Ausgabe",P1180=""),0,IF(P1180="x",-$E1180/(COUNTIF($J1180:$Q1180,"x")+1),-$E1180*N(P1180)))</f>
        <v/>
      </c>
      <c r="AE1180" s="34">
        <f>IF(OR($A1180="",$H1180&lt;&gt;"Ausgabe",Q1180=""),0,IF(Q1180="x",-$E1180/(COUNTIF($J1180:$Q1180,"x")+1),-$E1180*N(Q1180)))</f>
        <v/>
      </c>
    </row>
    <row r="1181">
      <c r="A1181" s="30" t="n"/>
      <c r="E1181" s="31" t="n"/>
      <c r="J1181" s="32" t="n"/>
      <c r="K1181" s="32" t="n"/>
      <c r="L1181" s="32" t="n"/>
      <c r="M1181" s="32" t="n"/>
      <c r="N1181" s="32" t="n"/>
      <c r="O1181" s="32" t="n"/>
      <c r="P1181" s="32" t="n"/>
      <c r="Q1181" s="32" t="n"/>
      <c r="U1181" s="31">
        <f>IF($A1181="","",SUM(X1181:AE1181))</f>
        <v/>
      </c>
      <c r="V1181" s="31">
        <f>IF($A1181="","",IF($H1181&lt;&gt;"Ausgabe",0,-$E1181-$U1181))</f>
        <v/>
      </c>
      <c r="W1181" s="33">
        <f>IF($A1181="","",DATE(YEAR($A1181),MONTH($A1181),1))</f>
        <v/>
      </c>
      <c r="X1181" s="34">
        <f>IF(OR($A1181="",$H1181&lt;&gt;"Ausgabe",J1181=""),0,IF(J1181="x",-$E1181/(COUNTIF($J1181:$Q1181,"x")+1),-$E1181*N(J1181)))</f>
        <v/>
      </c>
      <c r="Y1181" s="34">
        <f>IF(OR($A1181="",$H1181&lt;&gt;"Ausgabe",K1181=""),0,IF(K1181="x",-$E1181/(COUNTIF($J1181:$Q1181,"x")+1),-$E1181*N(K1181)))</f>
        <v/>
      </c>
      <c r="Z1181" s="34">
        <f>IF(OR($A1181="",$H1181&lt;&gt;"Ausgabe",L1181=""),0,IF(L1181="x",-$E1181/(COUNTIF($J1181:$Q1181,"x")+1),-$E1181*N(L1181)))</f>
        <v/>
      </c>
      <c r="AA1181" s="34">
        <f>IF(OR($A1181="",$H1181&lt;&gt;"Ausgabe",M1181=""),0,IF(M1181="x",-$E1181/(COUNTIF($J1181:$Q1181,"x")+1),-$E1181*N(M1181)))</f>
        <v/>
      </c>
      <c r="AB1181" s="34">
        <f>IF(OR($A1181="",$H1181&lt;&gt;"Ausgabe",N1181=""),0,IF(N1181="x",-$E1181/(COUNTIF($J1181:$Q1181,"x")+1),-$E1181*N(N1181)))</f>
        <v/>
      </c>
      <c r="AC1181" s="34">
        <f>IF(OR($A1181="",$H1181&lt;&gt;"Ausgabe",O1181=""),0,IF(O1181="x",-$E1181/(COUNTIF($J1181:$Q1181,"x")+1),-$E1181*N(O1181)))</f>
        <v/>
      </c>
      <c r="AD1181" s="34">
        <f>IF(OR($A1181="",$H1181&lt;&gt;"Ausgabe",P1181=""),0,IF(P1181="x",-$E1181/(COUNTIF($J1181:$Q1181,"x")+1),-$E1181*N(P1181)))</f>
        <v/>
      </c>
      <c r="AE1181" s="34">
        <f>IF(OR($A1181="",$H1181&lt;&gt;"Ausgabe",Q1181=""),0,IF(Q1181="x",-$E1181/(COUNTIF($J1181:$Q1181,"x")+1),-$E1181*N(Q1181)))</f>
        <v/>
      </c>
    </row>
    <row r="1182">
      <c r="A1182" s="30" t="n"/>
      <c r="E1182" s="31" t="n"/>
      <c r="J1182" s="32" t="n"/>
      <c r="K1182" s="32" t="n"/>
      <c r="L1182" s="32" t="n"/>
      <c r="M1182" s="32" t="n"/>
      <c r="N1182" s="32" t="n"/>
      <c r="O1182" s="32" t="n"/>
      <c r="P1182" s="32" t="n"/>
      <c r="Q1182" s="32" t="n"/>
      <c r="U1182" s="31">
        <f>IF($A1182="","",SUM(X1182:AE1182))</f>
        <v/>
      </c>
      <c r="V1182" s="31">
        <f>IF($A1182="","",IF($H1182&lt;&gt;"Ausgabe",0,-$E1182-$U1182))</f>
        <v/>
      </c>
      <c r="W1182" s="33">
        <f>IF($A1182="","",DATE(YEAR($A1182),MONTH($A1182),1))</f>
        <v/>
      </c>
      <c r="X1182" s="34">
        <f>IF(OR($A1182="",$H1182&lt;&gt;"Ausgabe",J1182=""),0,IF(J1182="x",-$E1182/(COUNTIF($J1182:$Q1182,"x")+1),-$E1182*N(J1182)))</f>
        <v/>
      </c>
      <c r="Y1182" s="34">
        <f>IF(OR($A1182="",$H1182&lt;&gt;"Ausgabe",K1182=""),0,IF(K1182="x",-$E1182/(COUNTIF($J1182:$Q1182,"x")+1),-$E1182*N(K1182)))</f>
        <v/>
      </c>
      <c r="Z1182" s="34">
        <f>IF(OR($A1182="",$H1182&lt;&gt;"Ausgabe",L1182=""),0,IF(L1182="x",-$E1182/(COUNTIF($J1182:$Q1182,"x")+1),-$E1182*N(L1182)))</f>
        <v/>
      </c>
      <c r="AA1182" s="34">
        <f>IF(OR($A1182="",$H1182&lt;&gt;"Ausgabe",M1182=""),0,IF(M1182="x",-$E1182/(COUNTIF($J1182:$Q1182,"x")+1),-$E1182*N(M1182)))</f>
        <v/>
      </c>
      <c r="AB1182" s="34">
        <f>IF(OR($A1182="",$H1182&lt;&gt;"Ausgabe",N1182=""),0,IF(N1182="x",-$E1182/(COUNTIF($J1182:$Q1182,"x")+1),-$E1182*N(N1182)))</f>
        <v/>
      </c>
      <c r="AC1182" s="34">
        <f>IF(OR($A1182="",$H1182&lt;&gt;"Ausgabe",O1182=""),0,IF(O1182="x",-$E1182/(COUNTIF($J1182:$Q1182,"x")+1),-$E1182*N(O1182)))</f>
        <v/>
      </c>
      <c r="AD1182" s="34">
        <f>IF(OR($A1182="",$H1182&lt;&gt;"Ausgabe",P1182=""),0,IF(P1182="x",-$E1182/(COUNTIF($J1182:$Q1182,"x")+1),-$E1182*N(P1182)))</f>
        <v/>
      </c>
      <c r="AE1182" s="34">
        <f>IF(OR($A1182="",$H1182&lt;&gt;"Ausgabe",Q1182=""),0,IF(Q1182="x",-$E1182/(COUNTIF($J1182:$Q1182,"x")+1),-$E1182*N(Q1182)))</f>
        <v/>
      </c>
    </row>
    <row r="1183">
      <c r="A1183" s="30" t="n"/>
      <c r="E1183" s="31" t="n"/>
      <c r="J1183" s="32" t="n"/>
      <c r="K1183" s="32" t="n"/>
      <c r="L1183" s="32" t="n"/>
      <c r="M1183" s="32" t="n"/>
      <c r="N1183" s="32" t="n"/>
      <c r="O1183" s="32" t="n"/>
      <c r="P1183" s="32" t="n"/>
      <c r="Q1183" s="32" t="n"/>
      <c r="U1183" s="31">
        <f>IF($A1183="","",SUM(X1183:AE1183))</f>
        <v/>
      </c>
      <c r="V1183" s="31">
        <f>IF($A1183="","",IF($H1183&lt;&gt;"Ausgabe",0,-$E1183-$U1183))</f>
        <v/>
      </c>
      <c r="W1183" s="33">
        <f>IF($A1183="","",DATE(YEAR($A1183),MONTH($A1183),1))</f>
        <v/>
      </c>
      <c r="X1183" s="34">
        <f>IF(OR($A1183="",$H1183&lt;&gt;"Ausgabe",J1183=""),0,IF(J1183="x",-$E1183/(COUNTIF($J1183:$Q1183,"x")+1),-$E1183*N(J1183)))</f>
        <v/>
      </c>
      <c r="Y1183" s="34">
        <f>IF(OR($A1183="",$H1183&lt;&gt;"Ausgabe",K1183=""),0,IF(K1183="x",-$E1183/(COUNTIF($J1183:$Q1183,"x")+1),-$E1183*N(K1183)))</f>
        <v/>
      </c>
      <c r="Z1183" s="34">
        <f>IF(OR($A1183="",$H1183&lt;&gt;"Ausgabe",L1183=""),0,IF(L1183="x",-$E1183/(COUNTIF($J1183:$Q1183,"x")+1),-$E1183*N(L1183)))</f>
        <v/>
      </c>
      <c r="AA1183" s="34">
        <f>IF(OR($A1183="",$H1183&lt;&gt;"Ausgabe",M1183=""),0,IF(M1183="x",-$E1183/(COUNTIF($J1183:$Q1183,"x")+1),-$E1183*N(M1183)))</f>
        <v/>
      </c>
      <c r="AB1183" s="34">
        <f>IF(OR($A1183="",$H1183&lt;&gt;"Ausgabe",N1183=""),0,IF(N1183="x",-$E1183/(COUNTIF($J1183:$Q1183,"x")+1),-$E1183*N(N1183)))</f>
        <v/>
      </c>
      <c r="AC1183" s="34">
        <f>IF(OR($A1183="",$H1183&lt;&gt;"Ausgabe",O1183=""),0,IF(O1183="x",-$E1183/(COUNTIF($J1183:$Q1183,"x")+1),-$E1183*N(O1183)))</f>
        <v/>
      </c>
      <c r="AD1183" s="34">
        <f>IF(OR($A1183="",$H1183&lt;&gt;"Ausgabe",P1183=""),0,IF(P1183="x",-$E1183/(COUNTIF($J1183:$Q1183,"x")+1),-$E1183*N(P1183)))</f>
        <v/>
      </c>
      <c r="AE1183" s="34">
        <f>IF(OR($A1183="",$H1183&lt;&gt;"Ausgabe",Q1183=""),0,IF(Q1183="x",-$E1183/(COUNTIF($J1183:$Q1183,"x")+1),-$E1183*N(Q1183)))</f>
        <v/>
      </c>
    </row>
    <row r="1184">
      <c r="A1184" s="30" t="n"/>
      <c r="E1184" s="31" t="n"/>
      <c r="J1184" s="32" t="n"/>
      <c r="K1184" s="32" t="n"/>
      <c r="L1184" s="32" t="n"/>
      <c r="M1184" s="32" t="n"/>
      <c r="N1184" s="32" t="n"/>
      <c r="O1184" s="32" t="n"/>
      <c r="P1184" s="32" t="n"/>
      <c r="Q1184" s="32" t="n"/>
      <c r="U1184" s="31">
        <f>IF($A1184="","",SUM(X1184:AE1184))</f>
        <v/>
      </c>
      <c r="V1184" s="31">
        <f>IF($A1184="","",IF($H1184&lt;&gt;"Ausgabe",0,-$E1184-$U1184))</f>
        <v/>
      </c>
      <c r="W1184" s="33">
        <f>IF($A1184="","",DATE(YEAR($A1184),MONTH($A1184),1))</f>
        <v/>
      </c>
      <c r="X1184" s="34">
        <f>IF(OR($A1184="",$H1184&lt;&gt;"Ausgabe",J1184=""),0,IF(J1184="x",-$E1184/(COUNTIF($J1184:$Q1184,"x")+1),-$E1184*N(J1184)))</f>
        <v/>
      </c>
      <c r="Y1184" s="34">
        <f>IF(OR($A1184="",$H1184&lt;&gt;"Ausgabe",K1184=""),0,IF(K1184="x",-$E1184/(COUNTIF($J1184:$Q1184,"x")+1),-$E1184*N(K1184)))</f>
        <v/>
      </c>
      <c r="Z1184" s="34">
        <f>IF(OR($A1184="",$H1184&lt;&gt;"Ausgabe",L1184=""),0,IF(L1184="x",-$E1184/(COUNTIF($J1184:$Q1184,"x")+1),-$E1184*N(L1184)))</f>
        <v/>
      </c>
      <c r="AA1184" s="34">
        <f>IF(OR($A1184="",$H1184&lt;&gt;"Ausgabe",M1184=""),0,IF(M1184="x",-$E1184/(COUNTIF($J1184:$Q1184,"x")+1),-$E1184*N(M1184)))</f>
        <v/>
      </c>
      <c r="AB1184" s="34">
        <f>IF(OR($A1184="",$H1184&lt;&gt;"Ausgabe",N1184=""),0,IF(N1184="x",-$E1184/(COUNTIF($J1184:$Q1184,"x")+1),-$E1184*N(N1184)))</f>
        <v/>
      </c>
      <c r="AC1184" s="34">
        <f>IF(OR($A1184="",$H1184&lt;&gt;"Ausgabe",O1184=""),0,IF(O1184="x",-$E1184/(COUNTIF($J1184:$Q1184,"x")+1),-$E1184*N(O1184)))</f>
        <v/>
      </c>
      <c r="AD1184" s="34">
        <f>IF(OR($A1184="",$H1184&lt;&gt;"Ausgabe",P1184=""),0,IF(P1184="x",-$E1184/(COUNTIF($J1184:$Q1184,"x")+1),-$E1184*N(P1184)))</f>
        <v/>
      </c>
      <c r="AE1184" s="34">
        <f>IF(OR($A1184="",$H1184&lt;&gt;"Ausgabe",Q1184=""),0,IF(Q1184="x",-$E1184/(COUNTIF($J1184:$Q1184,"x")+1),-$E1184*N(Q1184)))</f>
        <v/>
      </c>
    </row>
    <row r="1185">
      <c r="A1185" s="30" t="n"/>
      <c r="E1185" s="31" t="n"/>
      <c r="J1185" s="32" t="n"/>
      <c r="K1185" s="32" t="n"/>
      <c r="L1185" s="32" t="n"/>
      <c r="M1185" s="32" t="n"/>
      <c r="N1185" s="32" t="n"/>
      <c r="O1185" s="32" t="n"/>
      <c r="P1185" s="32" t="n"/>
      <c r="Q1185" s="32" t="n"/>
      <c r="U1185" s="31">
        <f>IF($A1185="","",SUM(X1185:AE1185))</f>
        <v/>
      </c>
      <c r="V1185" s="31">
        <f>IF($A1185="","",IF($H1185&lt;&gt;"Ausgabe",0,-$E1185-$U1185))</f>
        <v/>
      </c>
      <c r="W1185" s="33">
        <f>IF($A1185="","",DATE(YEAR($A1185),MONTH($A1185),1))</f>
        <v/>
      </c>
      <c r="X1185" s="34">
        <f>IF(OR($A1185="",$H1185&lt;&gt;"Ausgabe",J1185=""),0,IF(J1185="x",-$E1185/(COUNTIF($J1185:$Q1185,"x")+1),-$E1185*N(J1185)))</f>
        <v/>
      </c>
      <c r="Y1185" s="34">
        <f>IF(OR($A1185="",$H1185&lt;&gt;"Ausgabe",K1185=""),0,IF(K1185="x",-$E1185/(COUNTIF($J1185:$Q1185,"x")+1),-$E1185*N(K1185)))</f>
        <v/>
      </c>
      <c r="Z1185" s="34">
        <f>IF(OR($A1185="",$H1185&lt;&gt;"Ausgabe",L1185=""),0,IF(L1185="x",-$E1185/(COUNTIF($J1185:$Q1185,"x")+1),-$E1185*N(L1185)))</f>
        <v/>
      </c>
      <c r="AA1185" s="34">
        <f>IF(OR($A1185="",$H1185&lt;&gt;"Ausgabe",M1185=""),0,IF(M1185="x",-$E1185/(COUNTIF($J1185:$Q1185,"x")+1),-$E1185*N(M1185)))</f>
        <v/>
      </c>
      <c r="AB1185" s="34">
        <f>IF(OR($A1185="",$H1185&lt;&gt;"Ausgabe",N1185=""),0,IF(N1185="x",-$E1185/(COUNTIF($J1185:$Q1185,"x")+1),-$E1185*N(N1185)))</f>
        <v/>
      </c>
      <c r="AC1185" s="34">
        <f>IF(OR($A1185="",$H1185&lt;&gt;"Ausgabe",O1185=""),0,IF(O1185="x",-$E1185/(COUNTIF($J1185:$Q1185,"x")+1),-$E1185*N(O1185)))</f>
        <v/>
      </c>
      <c r="AD1185" s="34">
        <f>IF(OR($A1185="",$H1185&lt;&gt;"Ausgabe",P1185=""),0,IF(P1185="x",-$E1185/(COUNTIF($J1185:$Q1185,"x")+1),-$E1185*N(P1185)))</f>
        <v/>
      </c>
      <c r="AE1185" s="34">
        <f>IF(OR($A1185="",$H1185&lt;&gt;"Ausgabe",Q1185=""),0,IF(Q1185="x",-$E1185/(COUNTIF($J1185:$Q1185,"x")+1),-$E1185*N(Q1185)))</f>
        <v/>
      </c>
    </row>
    <row r="1186">
      <c r="A1186" s="30" t="n"/>
      <c r="E1186" s="31" t="n"/>
      <c r="J1186" s="32" t="n"/>
      <c r="K1186" s="32" t="n"/>
      <c r="L1186" s="32" t="n"/>
      <c r="M1186" s="32" t="n"/>
      <c r="N1186" s="32" t="n"/>
      <c r="O1186" s="32" t="n"/>
      <c r="P1186" s="32" t="n"/>
      <c r="Q1186" s="32" t="n"/>
      <c r="U1186" s="31">
        <f>IF($A1186="","",SUM(X1186:AE1186))</f>
        <v/>
      </c>
      <c r="V1186" s="31">
        <f>IF($A1186="","",IF($H1186&lt;&gt;"Ausgabe",0,-$E1186-$U1186))</f>
        <v/>
      </c>
      <c r="W1186" s="33">
        <f>IF($A1186="","",DATE(YEAR($A1186),MONTH($A1186),1))</f>
        <v/>
      </c>
      <c r="X1186" s="34">
        <f>IF(OR($A1186="",$H1186&lt;&gt;"Ausgabe",J1186=""),0,IF(J1186="x",-$E1186/(COUNTIF($J1186:$Q1186,"x")+1),-$E1186*N(J1186)))</f>
        <v/>
      </c>
      <c r="Y1186" s="34">
        <f>IF(OR($A1186="",$H1186&lt;&gt;"Ausgabe",K1186=""),0,IF(K1186="x",-$E1186/(COUNTIF($J1186:$Q1186,"x")+1),-$E1186*N(K1186)))</f>
        <v/>
      </c>
      <c r="Z1186" s="34">
        <f>IF(OR($A1186="",$H1186&lt;&gt;"Ausgabe",L1186=""),0,IF(L1186="x",-$E1186/(COUNTIF($J1186:$Q1186,"x")+1),-$E1186*N(L1186)))</f>
        <v/>
      </c>
      <c r="AA1186" s="34">
        <f>IF(OR($A1186="",$H1186&lt;&gt;"Ausgabe",M1186=""),0,IF(M1186="x",-$E1186/(COUNTIF($J1186:$Q1186,"x")+1),-$E1186*N(M1186)))</f>
        <v/>
      </c>
      <c r="AB1186" s="34">
        <f>IF(OR($A1186="",$H1186&lt;&gt;"Ausgabe",N1186=""),0,IF(N1186="x",-$E1186/(COUNTIF($J1186:$Q1186,"x")+1),-$E1186*N(N1186)))</f>
        <v/>
      </c>
      <c r="AC1186" s="34">
        <f>IF(OR($A1186="",$H1186&lt;&gt;"Ausgabe",O1186=""),0,IF(O1186="x",-$E1186/(COUNTIF($J1186:$Q1186,"x")+1),-$E1186*N(O1186)))</f>
        <v/>
      </c>
      <c r="AD1186" s="34">
        <f>IF(OR($A1186="",$H1186&lt;&gt;"Ausgabe",P1186=""),0,IF(P1186="x",-$E1186/(COUNTIF($J1186:$Q1186,"x")+1),-$E1186*N(P1186)))</f>
        <v/>
      </c>
      <c r="AE1186" s="34">
        <f>IF(OR($A1186="",$H1186&lt;&gt;"Ausgabe",Q1186=""),0,IF(Q1186="x",-$E1186/(COUNTIF($J1186:$Q1186,"x")+1),-$E1186*N(Q1186)))</f>
        <v/>
      </c>
    </row>
    <row r="1187">
      <c r="A1187" s="30" t="n"/>
      <c r="E1187" s="31" t="n"/>
      <c r="J1187" s="32" t="n"/>
      <c r="K1187" s="32" t="n"/>
      <c r="L1187" s="32" t="n"/>
      <c r="M1187" s="32" t="n"/>
      <c r="N1187" s="32" t="n"/>
      <c r="O1187" s="32" t="n"/>
      <c r="P1187" s="32" t="n"/>
      <c r="Q1187" s="32" t="n"/>
      <c r="U1187" s="31">
        <f>IF($A1187="","",SUM(X1187:AE1187))</f>
        <v/>
      </c>
      <c r="V1187" s="31">
        <f>IF($A1187="","",IF($H1187&lt;&gt;"Ausgabe",0,-$E1187-$U1187))</f>
        <v/>
      </c>
      <c r="W1187" s="33">
        <f>IF($A1187="","",DATE(YEAR($A1187),MONTH($A1187),1))</f>
        <v/>
      </c>
      <c r="X1187" s="34">
        <f>IF(OR($A1187="",$H1187&lt;&gt;"Ausgabe",J1187=""),0,IF(J1187="x",-$E1187/(COUNTIF($J1187:$Q1187,"x")+1),-$E1187*N(J1187)))</f>
        <v/>
      </c>
      <c r="Y1187" s="34">
        <f>IF(OR($A1187="",$H1187&lt;&gt;"Ausgabe",K1187=""),0,IF(K1187="x",-$E1187/(COUNTIF($J1187:$Q1187,"x")+1),-$E1187*N(K1187)))</f>
        <v/>
      </c>
      <c r="Z1187" s="34">
        <f>IF(OR($A1187="",$H1187&lt;&gt;"Ausgabe",L1187=""),0,IF(L1187="x",-$E1187/(COUNTIF($J1187:$Q1187,"x")+1),-$E1187*N(L1187)))</f>
        <v/>
      </c>
      <c r="AA1187" s="34">
        <f>IF(OR($A1187="",$H1187&lt;&gt;"Ausgabe",M1187=""),0,IF(M1187="x",-$E1187/(COUNTIF($J1187:$Q1187,"x")+1),-$E1187*N(M1187)))</f>
        <v/>
      </c>
      <c r="AB1187" s="34">
        <f>IF(OR($A1187="",$H1187&lt;&gt;"Ausgabe",N1187=""),0,IF(N1187="x",-$E1187/(COUNTIF($J1187:$Q1187,"x")+1),-$E1187*N(N1187)))</f>
        <v/>
      </c>
      <c r="AC1187" s="34">
        <f>IF(OR($A1187="",$H1187&lt;&gt;"Ausgabe",O1187=""),0,IF(O1187="x",-$E1187/(COUNTIF($J1187:$Q1187,"x")+1),-$E1187*N(O1187)))</f>
        <v/>
      </c>
      <c r="AD1187" s="34">
        <f>IF(OR($A1187="",$H1187&lt;&gt;"Ausgabe",P1187=""),0,IF(P1187="x",-$E1187/(COUNTIF($J1187:$Q1187,"x")+1),-$E1187*N(P1187)))</f>
        <v/>
      </c>
      <c r="AE1187" s="34">
        <f>IF(OR($A1187="",$H1187&lt;&gt;"Ausgabe",Q1187=""),0,IF(Q1187="x",-$E1187/(COUNTIF($J1187:$Q1187,"x")+1),-$E1187*N(Q1187)))</f>
        <v/>
      </c>
    </row>
    <row r="1188">
      <c r="A1188" s="30" t="n"/>
      <c r="E1188" s="31" t="n"/>
      <c r="J1188" s="32" t="n"/>
      <c r="K1188" s="32" t="n"/>
      <c r="L1188" s="32" t="n"/>
      <c r="M1188" s="32" t="n"/>
      <c r="N1188" s="32" t="n"/>
      <c r="O1188" s="32" t="n"/>
      <c r="P1188" s="32" t="n"/>
      <c r="Q1188" s="32" t="n"/>
      <c r="U1188" s="31">
        <f>IF($A1188="","",SUM(X1188:AE1188))</f>
        <v/>
      </c>
      <c r="V1188" s="31">
        <f>IF($A1188="","",IF($H1188&lt;&gt;"Ausgabe",0,-$E1188-$U1188))</f>
        <v/>
      </c>
      <c r="W1188" s="33">
        <f>IF($A1188="","",DATE(YEAR($A1188),MONTH($A1188),1))</f>
        <v/>
      </c>
      <c r="X1188" s="34">
        <f>IF(OR($A1188="",$H1188&lt;&gt;"Ausgabe",J1188=""),0,IF(J1188="x",-$E1188/(COUNTIF($J1188:$Q1188,"x")+1),-$E1188*N(J1188)))</f>
        <v/>
      </c>
      <c r="Y1188" s="34">
        <f>IF(OR($A1188="",$H1188&lt;&gt;"Ausgabe",K1188=""),0,IF(K1188="x",-$E1188/(COUNTIF($J1188:$Q1188,"x")+1),-$E1188*N(K1188)))</f>
        <v/>
      </c>
      <c r="Z1188" s="34">
        <f>IF(OR($A1188="",$H1188&lt;&gt;"Ausgabe",L1188=""),0,IF(L1188="x",-$E1188/(COUNTIF($J1188:$Q1188,"x")+1),-$E1188*N(L1188)))</f>
        <v/>
      </c>
      <c r="AA1188" s="34">
        <f>IF(OR($A1188="",$H1188&lt;&gt;"Ausgabe",M1188=""),0,IF(M1188="x",-$E1188/(COUNTIF($J1188:$Q1188,"x")+1),-$E1188*N(M1188)))</f>
        <v/>
      </c>
      <c r="AB1188" s="34">
        <f>IF(OR($A1188="",$H1188&lt;&gt;"Ausgabe",N1188=""),0,IF(N1188="x",-$E1188/(COUNTIF($J1188:$Q1188,"x")+1),-$E1188*N(N1188)))</f>
        <v/>
      </c>
      <c r="AC1188" s="34">
        <f>IF(OR($A1188="",$H1188&lt;&gt;"Ausgabe",O1188=""),0,IF(O1188="x",-$E1188/(COUNTIF($J1188:$Q1188,"x")+1),-$E1188*N(O1188)))</f>
        <v/>
      </c>
      <c r="AD1188" s="34">
        <f>IF(OR($A1188="",$H1188&lt;&gt;"Ausgabe",P1188=""),0,IF(P1188="x",-$E1188/(COUNTIF($J1188:$Q1188,"x")+1),-$E1188*N(P1188)))</f>
        <v/>
      </c>
      <c r="AE1188" s="34">
        <f>IF(OR($A1188="",$H1188&lt;&gt;"Ausgabe",Q1188=""),0,IF(Q1188="x",-$E1188/(COUNTIF($J1188:$Q1188,"x")+1),-$E1188*N(Q1188)))</f>
        <v/>
      </c>
    </row>
    <row r="1189">
      <c r="A1189" s="30" t="n"/>
      <c r="E1189" s="31" t="n"/>
      <c r="J1189" s="32" t="n"/>
      <c r="K1189" s="32" t="n"/>
      <c r="L1189" s="32" t="n"/>
      <c r="M1189" s="32" t="n"/>
      <c r="N1189" s="32" t="n"/>
      <c r="O1189" s="32" t="n"/>
      <c r="P1189" s="32" t="n"/>
      <c r="Q1189" s="32" t="n"/>
      <c r="U1189" s="31">
        <f>IF($A1189="","",SUM(X1189:AE1189))</f>
        <v/>
      </c>
      <c r="V1189" s="31">
        <f>IF($A1189="","",IF($H1189&lt;&gt;"Ausgabe",0,-$E1189-$U1189))</f>
        <v/>
      </c>
      <c r="W1189" s="33">
        <f>IF($A1189="","",DATE(YEAR($A1189),MONTH($A1189),1))</f>
        <v/>
      </c>
      <c r="X1189" s="34">
        <f>IF(OR($A1189="",$H1189&lt;&gt;"Ausgabe",J1189=""),0,IF(J1189="x",-$E1189/(COUNTIF($J1189:$Q1189,"x")+1),-$E1189*N(J1189)))</f>
        <v/>
      </c>
      <c r="Y1189" s="34">
        <f>IF(OR($A1189="",$H1189&lt;&gt;"Ausgabe",K1189=""),0,IF(K1189="x",-$E1189/(COUNTIF($J1189:$Q1189,"x")+1),-$E1189*N(K1189)))</f>
        <v/>
      </c>
      <c r="Z1189" s="34">
        <f>IF(OR($A1189="",$H1189&lt;&gt;"Ausgabe",L1189=""),0,IF(L1189="x",-$E1189/(COUNTIF($J1189:$Q1189,"x")+1),-$E1189*N(L1189)))</f>
        <v/>
      </c>
      <c r="AA1189" s="34">
        <f>IF(OR($A1189="",$H1189&lt;&gt;"Ausgabe",M1189=""),0,IF(M1189="x",-$E1189/(COUNTIF($J1189:$Q1189,"x")+1),-$E1189*N(M1189)))</f>
        <v/>
      </c>
      <c r="AB1189" s="34">
        <f>IF(OR($A1189="",$H1189&lt;&gt;"Ausgabe",N1189=""),0,IF(N1189="x",-$E1189/(COUNTIF($J1189:$Q1189,"x")+1),-$E1189*N(N1189)))</f>
        <v/>
      </c>
      <c r="AC1189" s="34">
        <f>IF(OR($A1189="",$H1189&lt;&gt;"Ausgabe",O1189=""),0,IF(O1189="x",-$E1189/(COUNTIF($J1189:$Q1189,"x")+1),-$E1189*N(O1189)))</f>
        <v/>
      </c>
      <c r="AD1189" s="34">
        <f>IF(OR($A1189="",$H1189&lt;&gt;"Ausgabe",P1189=""),0,IF(P1189="x",-$E1189/(COUNTIF($J1189:$Q1189,"x")+1),-$E1189*N(P1189)))</f>
        <v/>
      </c>
      <c r="AE1189" s="34">
        <f>IF(OR($A1189="",$H1189&lt;&gt;"Ausgabe",Q1189=""),0,IF(Q1189="x",-$E1189/(COUNTIF($J1189:$Q1189,"x")+1),-$E1189*N(Q1189)))</f>
        <v/>
      </c>
    </row>
    <row r="1190">
      <c r="A1190" s="30" t="n"/>
      <c r="E1190" s="31" t="n"/>
      <c r="J1190" s="32" t="n"/>
      <c r="K1190" s="32" t="n"/>
      <c r="L1190" s="32" t="n"/>
      <c r="M1190" s="32" t="n"/>
      <c r="N1190" s="32" t="n"/>
      <c r="O1190" s="32" t="n"/>
      <c r="P1190" s="32" t="n"/>
      <c r="Q1190" s="32" t="n"/>
      <c r="U1190" s="31">
        <f>IF($A1190="","",SUM(X1190:AE1190))</f>
        <v/>
      </c>
      <c r="V1190" s="31">
        <f>IF($A1190="","",IF($H1190&lt;&gt;"Ausgabe",0,-$E1190-$U1190))</f>
        <v/>
      </c>
      <c r="W1190" s="33">
        <f>IF($A1190="","",DATE(YEAR($A1190),MONTH($A1190),1))</f>
        <v/>
      </c>
      <c r="X1190" s="34">
        <f>IF(OR($A1190="",$H1190&lt;&gt;"Ausgabe",J1190=""),0,IF(J1190="x",-$E1190/(COUNTIF($J1190:$Q1190,"x")+1),-$E1190*N(J1190)))</f>
        <v/>
      </c>
      <c r="Y1190" s="34">
        <f>IF(OR($A1190="",$H1190&lt;&gt;"Ausgabe",K1190=""),0,IF(K1190="x",-$E1190/(COUNTIF($J1190:$Q1190,"x")+1),-$E1190*N(K1190)))</f>
        <v/>
      </c>
      <c r="Z1190" s="34">
        <f>IF(OR($A1190="",$H1190&lt;&gt;"Ausgabe",L1190=""),0,IF(L1190="x",-$E1190/(COUNTIF($J1190:$Q1190,"x")+1),-$E1190*N(L1190)))</f>
        <v/>
      </c>
      <c r="AA1190" s="34">
        <f>IF(OR($A1190="",$H1190&lt;&gt;"Ausgabe",M1190=""),0,IF(M1190="x",-$E1190/(COUNTIF($J1190:$Q1190,"x")+1),-$E1190*N(M1190)))</f>
        <v/>
      </c>
      <c r="AB1190" s="34">
        <f>IF(OR($A1190="",$H1190&lt;&gt;"Ausgabe",N1190=""),0,IF(N1190="x",-$E1190/(COUNTIF($J1190:$Q1190,"x")+1),-$E1190*N(N1190)))</f>
        <v/>
      </c>
      <c r="AC1190" s="34">
        <f>IF(OR($A1190="",$H1190&lt;&gt;"Ausgabe",O1190=""),0,IF(O1190="x",-$E1190/(COUNTIF($J1190:$Q1190,"x")+1),-$E1190*N(O1190)))</f>
        <v/>
      </c>
      <c r="AD1190" s="34">
        <f>IF(OR($A1190="",$H1190&lt;&gt;"Ausgabe",P1190=""),0,IF(P1190="x",-$E1190/(COUNTIF($J1190:$Q1190,"x")+1),-$E1190*N(P1190)))</f>
        <v/>
      </c>
      <c r="AE1190" s="34">
        <f>IF(OR($A1190="",$H1190&lt;&gt;"Ausgabe",Q1190=""),0,IF(Q1190="x",-$E1190/(COUNTIF($J1190:$Q1190,"x")+1),-$E1190*N(Q1190)))</f>
        <v/>
      </c>
    </row>
    <row r="1191">
      <c r="A1191" s="30" t="n"/>
      <c r="E1191" s="31" t="n"/>
      <c r="J1191" s="32" t="n"/>
      <c r="K1191" s="32" t="n"/>
      <c r="L1191" s="32" t="n"/>
      <c r="M1191" s="32" t="n"/>
      <c r="N1191" s="32" t="n"/>
      <c r="O1191" s="32" t="n"/>
      <c r="P1191" s="32" t="n"/>
      <c r="Q1191" s="32" t="n"/>
      <c r="U1191" s="31">
        <f>IF($A1191="","",SUM(X1191:AE1191))</f>
        <v/>
      </c>
      <c r="V1191" s="31">
        <f>IF($A1191="","",IF($H1191&lt;&gt;"Ausgabe",0,-$E1191-$U1191))</f>
        <v/>
      </c>
      <c r="W1191" s="33">
        <f>IF($A1191="","",DATE(YEAR($A1191),MONTH($A1191),1))</f>
        <v/>
      </c>
      <c r="X1191" s="34">
        <f>IF(OR($A1191="",$H1191&lt;&gt;"Ausgabe",J1191=""),0,IF(J1191="x",-$E1191/(COUNTIF($J1191:$Q1191,"x")+1),-$E1191*N(J1191)))</f>
        <v/>
      </c>
      <c r="Y1191" s="34">
        <f>IF(OR($A1191="",$H1191&lt;&gt;"Ausgabe",K1191=""),0,IF(K1191="x",-$E1191/(COUNTIF($J1191:$Q1191,"x")+1),-$E1191*N(K1191)))</f>
        <v/>
      </c>
      <c r="Z1191" s="34">
        <f>IF(OR($A1191="",$H1191&lt;&gt;"Ausgabe",L1191=""),0,IF(L1191="x",-$E1191/(COUNTIF($J1191:$Q1191,"x")+1),-$E1191*N(L1191)))</f>
        <v/>
      </c>
      <c r="AA1191" s="34">
        <f>IF(OR($A1191="",$H1191&lt;&gt;"Ausgabe",M1191=""),0,IF(M1191="x",-$E1191/(COUNTIF($J1191:$Q1191,"x")+1),-$E1191*N(M1191)))</f>
        <v/>
      </c>
      <c r="AB1191" s="34">
        <f>IF(OR($A1191="",$H1191&lt;&gt;"Ausgabe",N1191=""),0,IF(N1191="x",-$E1191/(COUNTIF($J1191:$Q1191,"x")+1),-$E1191*N(N1191)))</f>
        <v/>
      </c>
      <c r="AC1191" s="34">
        <f>IF(OR($A1191="",$H1191&lt;&gt;"Ausgabe",O1191=""),0,IF(O1191="x",-$E1191/(COUNTIF($J1191:$Q1191,"x")+1),-$E1191*N(O1191)))</f>
        <v/>
      </c>
      <c r="AD1191" s="34">
        <f>IF(OR($A1191="",$H1191&lt;&gt;"Ausgabe",P1191=""),0,IF(P1191="x",-$E1191/(COUNTIF($J1191:$Q1191,"x")+1),-$E1191*N(P1191)))</f>
        <v/>
      </c>
      <c r="AE1191" s="34">
        <f>IF(OR($A1191="",$H1191&lt;&gt;"Ausgabe",Q1191=""),0,IF(Q1191="x",-$E1191/(COUNTIF($J1191:$Q1191,"x")+1),-$E1191*N(Q1191)))</f>
        <v/>
      </c>
    </row>
    <row r="1192">
      <c r="A1192" s="30" t="n"/>
      <c r="E1192" s="31" t="n"/>
      <c r="J1192" s="32" t="n"/>
      <c r="K1192" s="32" t="n"/>
      <c r="L1192" s="32" t="n"/>
      <c r="M1192" s="32" t="n"/>
      <c r="N1192" s="32" t="n"/>
      <c r="O1192" s="32" t="n"/>
      <c r="P1192" s="32" t="n"/>
      <c r="Q1192" s="32" t="n"/>
      <c r="U1192" s="31">
        <f>IF($A1192="","",SUM(X1192:AE1192))</f>
        <v/>
      </c>
      <c r="V1192" s="31">
        <f>IF($A1192="","",IF($H1192&lt;&gt;"Ausgabe",0,-$E1192-$U1192))</f>
        <v/>
      </c>
      <c r="W1192" s="33">
        <f>IF($A1192="","",DATE(YEAR($A1192),MONTH($A1192),1))</f>
        <v/>
      </c>
      <c r="X1192" s="34">
        <f>IF(OR($A1192="",$H1192&lt;&gt;"Ausgabe",J1192=""),0,IF(J1192="x",-$E1192/(COUNTIF($J1192:$Q1192,"x")+1),-$E1192*N(J1192)))</f>
        <v/>
      </c>
      <c r="Y1192" s="34">
        <f>IF(OR($A1192="",$H1192&lt;&gt;"Ausgabe",K1192=""),0,IF(K1192="x",-$E1192/(COUNTIF($J1192:$Q1192,"x")+1),-$E1192*N(K1192)))</f>
        <v/>
      </c>
      <c r="Z1192" s="34">
        <f>IF(OR($A1192="",$H1192&lt;&gt;"Ausgabe",L1192=""),0,IF(L1192="x",-$E1192/(COUNTIF($J1192:$Q1192,"x")+1),-$E1192*N(L1192)))</f>
        <v/>
      </c>
      <c r="AA1192" s="34">
        <f>IF(OR($A1192="",$H1192&lt;&gt;"Ausgabe",M1192=""),0,IF(M1192="x",-$E1192/(COUNTIF($J1192:$Q1192,"x")+1),-$E1192*N(M1192)))</f>
        <v/>
      </c>
      <c r="AB1192" s="34">
        <f>IF(OR($A1192="",$H1192&lt;&gt;"Ausgabe",N1192=""),0,IF(N1192="x",-$E1192/(COUNTIF($J1192:$Q1192,"x")+1),-$E1192*N(N1192)))</f>
        <v/>
      </c>
      <c r="AC1192" s="34">
        <f>IF(OR($A1192="",$H1192&lt;&gt;"Ausgabe",O1192=""),0,IF(O1192="x",-$E1192/(COUNTIF($J1192:$Q1192,"x")+1),-$E1192*N(O1192)))</f>
        <v/>
      </c>
      <c r="AD1192" s="34">
        <f>IF(OR($A1192="",$H1192&lt;&gt;"Ausgabe",P1192=""),0,IF(P1192="x",-$E1192/(COUNTIF($J1192:$Q1192,"x")+1),-$E1192*N(P1192)))</f>
        <v/>
      </c>
      <c r="AE1192" s="34">
        <f>IF(OR($A1192="",$H1192&lt;&gt;"Ausgabe",Q1192=""),0,IF(Q1192="x",-$E1192/(COUNTIF($J1192:$Q1192,"x")+1),-$E1192*N(Q1192)))</f>
        <v/>
      </c>
    </row>
    <row r="1193">
      <c r="A1193" s="30" t="n"/>
      <c r="E1193" s="31" t="n"/>
      <c r="J1193" s="32" t="n"/>
      <c r="K1193" s="32" t="n"/>
      <c r="L1193" s="32" t="n"/>
      <c r="M1193" s="32" t="n"/>
      <c r="N1193" s="32" t="n"/>
      <c r="O1193" s="32" t="n"/>
      <c r="P1193" s="32" t="n"/>
      <c r="Q1193" s="32" t="n"/>
      <c r="U1193" s="31">
        <f>IF($A1193="","",SUM(X1193:AE1193))</f>
        <v/>
      </c>
      <c r="V1193" s="31">
        <f>IF($A1193="","",IF($H1193&lt;&gt;"Ausgabe",0,-$E1193-$U1193))</f>
        <v/>
      </c>
      <c r="W1193" s="33">
        <f>IF($A1193="","",DATE(YEAR($A1193),MONTH($A1193),1))</f>
        <v/>
      </c>
      <c r="X1193" s="34">
        <f>IF(OR($A1193="",$H1193&lt;&gt;"Ausgabe",J1193=""),0,IF(J1193="x",-$E1193/(COUNTIF($J1193:$Q1193,"x")+1),-$E1193*N(J1193)))</f>
        <v/>
      </c>
      <c r="Y1193" s="34">
        <f>IF(OR($A1193="",$H1193&lt;&gt;"Ausgabe",K1193=""),0,IF(K1193="x",-$E1193/(COUNTIF($J1193:$Q1193,"x")+1),-$E1193*N(K1193)))</f>
        <v/>
      </c>
      <c r="Z1193" s="34">
        <f>IF(OR($A1193="",$H1193&lt;&gt;"Ausgabe",L1193=""),0,IF(L1193="x",-$E1193/(COUNTIF($J1193:$Q1193,"x")+1),-$E1193*N(L1193)))</f>
        <v/>
      </c>
      <c r="AA1193" s="34">
        <f>IF(OR($A1193="",$H1193&lt;&gt;"Ausgabe",M1193=""),0,IF(M1193="x",-$E1193/(COUNTIF($J1193:$Q1193,"x")+1),-$E1193*N(M1193)))</f>
        <v/>
      </c>
      <c r="AB1193" s="34">
        <f>IF(OR($A1193="",$H1193&lt;&gt;"Ausgabe",N1193=""),0,IF(N1193="x",-$E1193/(COUNTIF($J1193:$Q1193,"x")+1),-$E1193*N(N1193)))</f>
        <v/>
      </c>
      <c r="AC1193" s="34">
        <f>IF(OR($A1193="",$H1193&lt;&gt;"Ausgabe",O1193=""),0,IF(O1193="x",-$E1193/(COUNTIF($J1193:$Q1193,"x")+1),-$E1193*N(O1193)))</f>
        <v/>
      </c>
      <c r="AD1193" s="34">
        <f>IF(OR($A1193="",$H1193&lt;&gt;"Ausgabe",P1193=""),0,IF(P1193="x",-$E1193/(COUNTIF($J1193:$Q1193,"x")+1),-$E1193*N(P1193)))</f>
        <v/>
      </c>
      <c r="AE1193" s="34">
        <f>IF(OR($A1193="",$H1193&lt;&gt;"Ausgabe",Q1193=""),0,IF(Q1193="x",-$E1193/(COUNTIF($J1193:$Q1193,"x")+1),-$E1193*N(Q1193)))</f>
        <v/>
      </c>
    </row>
    <row r="1194">
      <c r="A1194" s="30" t="n"/>
      <c r="E1194" s="31" t="n"/>
      <c r="J1194" s="32" t="n"/>
      <c r="K1194" s="32" t="n"/>
      <c r="L1194" s="32" t="n"/>
      <c r="M1194" s="32" t="n"/>
      <c r="N1194" s="32" t="n"/>
      <c r="O1194" s="32" t="n"/>
      <c r="P1194" s="32" t="n"/>
      <c r="Q1194" s="32" t="n"/>
      <c r="U1194" s="31">
        <f>IF($A1194="","",SUM(X1194:AE1194))</f>
        <v/>
      </c>
      <c r="V1194" s="31">
        <f>IF($A1194="","",IF($H1194&lt;&gt;"Ausgabe",0,-$E1194-$U1194))</f>
        <v/>
      </c>
      <c r="W1194" s="33">
        <f>IF($A1194="","",DATE(YEAR($A1194),MONTH($A1194),1))</f>
        <v/>
      </c>
      <c r="X1194" s="34">
        <f>IF(OR($A1194="",$H1194&lt;&gt;"Ausgabe",J1194=""),0,IF(J1194="x",-$E1194/(COUNTIF($J1194:$Q1194,"x")+1),-$E1194*N(J1194)))</f>
        <v/>
      </c>
      <c r="Y1194" s="34">
        <f>IF(OR($A1194="",$H1194&lt;&gt;"Ausgabe",K1194=""),0,IF(K1194="x",-$E1194/(COUNTIF($J1194:$Q1194,"x")+1),-$E1194*N(K1194)))</f>
        <v/>
      </c>
      <c r="Z1194" s="34">
        <f>IF(OR($A1194="",$H1194&lt;&gt;"Ausgabe",L1194=""),0,IF(L1194="x",-$E1194/(COUNTIF($J1194:$Q1194,"x")+1),-$E1194*N(L1194)))</f>
        <v/>
      </c>
      <c r="AA1194" s="34">
        <f>IF(OR($A1194="",$H1194&lt;&gt;"Ausgabe",M1194=""),0,IF(M1194="x",-$E1194/(COUNTIF($J1194:$Q1194,"x")+1),-$E1194*N(M1194)))</f>
        <v/>
      </c>
      <c r="AB1194" s="34">
        <f>IF(OR($A1194="",$H1194&lt;&gt;"Ausgabe",N1194=""),0,IF(N1194="x",-$E1194/(COUNTIF($J1194:$Q1194,"x")+1),-$E1194*N(N1194)))</f>
        <v/>
      </c>
      <c r="AC1194" s="34">
        <f>IF(OR($A1194="",$H1194&lt;&gt;"Ausgabe",O1194=""),0,IF(O1194="x",-$E1194/(COUNTIF($J1194:$Q1194,"x")+1),-$E1194*N(O1194)))</f>
        <v/>
      </c>
      <c r="AD1194" s="34">
        <f>IF(OR($A1194="",$H1194&lt;&gt;"Ausgabe",P1194=""),0,IF(P1194="x",-$E1194/(COUNTIF($J1194:$Q1194,"x")+1),-$E1194*N(P1194)))</f>
        <v/>
      </c>
      <c r="AE1194" s="34">
        <f>IF(OR($A1194="",$H1194&lt;&gt;"Ausgabe",Q1194=""),0,IF(Q1194="x",-$E1194/(COUNTIF($J1194:$Q1194,"x")+1),-$E1194*N(Q1194)))</f>
        <v/>
      </c>
    </row>
    <row r="1195">
      <c r="A1195" s="30" t="n"/>
      <c r="E1195" s="31" t="n"/>
      <c r="J1195" s="32" t="n"/>
      <c r="K1195" s="32" t="n"/>
      <c r="L1195" s="32" t="n"/>
      <c r="M1195" s="32" t="n"/>
      <c r="N1195" s="32" t="n"/>
      <c r="O1195" s="32" t="n"/>
      <c r="P1195" s="32" t="n"/>
      <c r="Q1195" s="32" t="n"/>
      <c r="U1195" s="31">
        <f>IF($A1195="","",SUM(X1195:AE1195))</f>
        <v/>
      </c>
      <c r="V1195" s="31">
        <f>IF($A1195="","",IF($H1195&lt;&gt;"Ausgabe",0,-$E1195-$U1195))</f>
        <v/>
      </c>
      <c r="W1195" s="33">
        <f>IF($A1195="","",DATE(YEAR($A1195),MONTH($A1195),1))</f>
        <v/>
      </c>
      <c r="X1195" s="34">
        <f>IF(OR($A1195="",$H1195&lt;&gt;"Ausgabe",J1195=""),0,IF(J1195="x",-$E1195/(COUNTIF($J1195:$Q1195,"x")+1),-$E1195*N(J1195)))</f>
        <v/>
      </c>
      <c r="Y1195" s="34">
        <f>IF(OR($A1195="",$H1195&lt;&gt;"Ausgabe",K1195=""),0,IF(K1195="x",-$E1195/(COUNTIF($J1195:$Q1195,"x")+1),-$E1195*N(K1195)))</f>
        <v/>
      </c>
      <c r="Z1195" s="34">
        <f>IF(OR($A1195="",$H1195&lt;&gt;"Ausgabe",L1195=""),0,IF(L1195="x",-$E1195/(COUNTIF($J1195:$Q1195,"x")+1),-$E1195*N(L1195)))</f>
        <v/>
      </c>
      <c r="AA1195" s="34">
        <f>IF(OR($A1195="",$H1195&lt;&gt;"Ausgabe",M1195=""),0,IF(M1195="x",-$E1195/(COUNTIF($J1195:$Q1195,"x")+1),-$E1195*N(M1195)))</f>
        <v/>
      </c>
      <c r="AB1195" s="34">
        <f>IF(OR($A1195="",$H1195&lt;&gt;"Ausgabe",N1195=""),0,IF(N1195="x",-$E1195/(COUNTIF($J1195:$Q1195,"x")+1),-$E1195*N(N1195)))</f>
        <v/>
      </c>
      <c r="AC1195" s="34">
        <f>IF(OR($A1195="",$H1195&lt;&gt;"Ausgabe",O1195=""),0,IF(O1195="x",-$E1195/(COUNTIF($J1195:$Q1195,"x")+1),-$E1195*N(O1195)))</f>
        <v/>
      </c>
      <c r="AD1195" s="34">
        <f>IF(OR($A1195="",$H1195&lt;&gt;"Ausgabe",P1195=""),0,IF(P1195="x",-$E1195/(COUNTIF($J1195:$Q1195,"x")+1),-$E1195*N(P1195)))</f>
        <v/>
      </c>
      <c r="AE1195" s="34">
        <f>IF(OR($A1195="",$H1195&lt;&gt;"Ausgabe",Q1195=""),0,IF(Q1195="x",-$E1195/(COUNTIF($J1195:$Q1195,"x")+1),-$E1195*N(Q1195)))</f>
        <v/>
      </c>
    </row>
    <row r="1196">
      <c r="A1196" s="30" t="n"/>
      <c r="E1196" s="31" t="n"/>
      <c r="J1196" s="32" t="n"/>
      <c r="K1196" s="32" t="n"/>
      <c r="L1196" s="32" t="n"/>
      <c r="M1196" s="32" t="n"/>
      <c r="N1196" s="32" t="n"/>
      <c r="O1196" s="32" t="n"/>
      <c r="P1196" s="32" t="n"/>
      <c r="Q1196" s="32" t="n"/>
      <c r="U1196" s="31">
        <f>IF($A1196="","",SUM(X1196:AE1196))</f>
        <v/>
      </c>
      <c r="V1196" s="31">
        <f>IF($A1196="","",IF($H1196&lt;&gt;"Ausgabe",0,-$E1196-$U1196))</f>
        <v/>
      </c>
      <c r="W1196" s="33">
        <f>IF($A1196="","",DATE(YEAR($A1196),MONTH($A1196),1))</f>
        <v/>
      </c>
      <c r="X1196" s="34">
        <f>IF(OR($A1196="",$H1196&lt;&gt;"Ausgabe",J1196=""),0,IF(J1196="x",-$E1196/(COUNTIF($J1196:$Q1196,"x")+1),-$E1196*N(J1196)))</f>
        <v/>
      </c>
      <c r="Y1196" s="34">
        <f>IF(OR($A1196="",$H1196&lt;&gt;"Ausgabe",K1196=""),0,IF(K1196="x",-$E1196/(COUNTIF($J1196:$Q1196,"x")+1),-$E1196*N(K1196)))</f>
        <v/>
      </c>
      <c r="Z1196" s="34">
        <f>IF(OR($A1196="",$H1196&lt;&gt;"Ausgabe",L1196=""),0,IF(L1196="x",-$E1196/(COUNTIF($J1196:$Q1196,"x")+1),-$E1196*N(L1196)))</f>
        <v/>
      </c>
      <c r="AA1196" s="34">
        <f>IF(OR($A1196="",$H1196&lt;&gt;"Ausgabe",M1196=""),0,IF(M1196="x",-$E1196/(COUNTIF($J1196:$Q1196,"x")+1),-$E1196*N(M1196)))</f>
        <v/>
      </c>
      <c r="AB1196" s="34">
        <f>IF(OR($A1196="",$H1196&lt;&gt;"Ausgabe",N1196=""),0,IF(N1196="x",-$E1196/(COUNTIF($J1196:$Q1196,"x")+1),-$E1196*N(N1196)))</f>
        <v/>
      </c>
      <c r="AC1196" s="34">
        <f>IF(OR($A1196="",$H1196&lt;&gt;"Ausgabe",O1196=""),0,IF(O1196="x",-$E1196/(COUNTIF($J1196:$Q1196,"x")+1),-$E1196*N(O1196)))</f>
        <v/>
      </c>
      <c r="AD1196" s="34">
        <f>IF(OR($A1196="",$H1196&lt;&gt;"Ausgabe",P1196=""),0,IF(P1196="x",-$E1196/(COUNTIF($J1196:$Q1196,"x")+1),-$E1196*N(P1196)))</f>
        <v/>
      </c>
      <c r="AE1196" s="34">
        <f>IF(OR($A1196="",$H1196&lt;&gt;"Ausgabe",Q1196=""),0,IF(Q1196="x",-$E1196/(COUNTIF($J1196:$Q1196,"x")+1),-$E1196*N(Q1196)))</f>
        <v/>
      </c>
    </row>
    <row r="1197">
      <c r="A1197" s="30" t="n"/>
      <c r="E1197" s="31" t="n"/>
      <c r="J1197" s="32" t="n"/>
      <c r="K1197" s="32" t="n"/>
      <c r="L1197" s="32" t="n"/>
      <c r="M1197" s="32" t="n"/>
      <c r="N1197" s="32" t="n"/>
      <c r="O1197" s="32" t="n"/>
      <c r="P1197" s="32" t="n"/>
      <c r="Q1197" s="32" t="n"/>
      <c r="U1197" s="31">
        <f>IF($A1197="","",SUM(X1197:AE1197))</f>
        <v/>
      </c>
      <c r="V1197" s="31">
        <f>IF($A1197="","",IF($H1197&lt;&gt;"Ausgabe",0,-$E1197-$U1197))</f>
        <v/>
      </c>
      <c r="W1197" s="33">
        <f>IF($A1197="","",DATE(YEAR($A1197),MONTH($A1197),1))</f>
        <v/>
      </c>
      <c r="X1197" s="34">
        <f>IF(OR($A1197="",$H1197&lt;&gt;"Ausgabe",J1197=""),0,IF(J1197="x",-$E1197/(COUNTIF($J1197:$Q1197,"x")+1),-$E1197*N(J1197)))</f>
        <v/>
      </c>
      <c r="Y1197" s="34">
        <f>IF(OR($A1197="",$H1197&lt;&gt;"Ausgabe",K1197=""),0,IF(K1197="x",-$E1197/(COUNTIF($J1197:$Q1197,"x")+1),-$E1197*N(K1197)))</f>
        <v/>
      </c>
      <c r="Z1197" s="34">
        <f>IF(OR($A1197="",$H1197&lt;&gt;"Ausgabe",L1197=""),0,IF(L1197="x",-$E1197/(COUNTIF($J1197:$Q1197,"x")+1),-$E1197*N(L1197)))</f>
        <v/>
      </c>
      <c r="AA1197" s="34">
        <f>IF(OR($A1197="",$H1197&lt;&gt;"Ausgabe",M1197=""),0,IF(M1197="x",-$E1197/(COUNTIF($J1197:$Q1197,"x")+1),-$E1197*N(M1197)))</f>
        <v/>
      </c>
      <c r="AB1197" s="34">
        <f>IF(OR($A1197="",$H1197&lt;&gt;"Ausgabe",N1197=""),0,IF(N1197="x",-$E1197/(COUNTIF($J1197:$Q1197,"x")+1),-$E1197*N(N1197)))</f>
        <v/>
      </c>
      <c r="AC1197" s="34">
        <f>IF(OR($A1197="",$H1197&lt;&gt;"Ausgabe",O1197=""),0,IF(O1197="x",-$E1197/(COUNTIF($J1197:$Q1197,"x")+1),-$E1197*N(O1197)))</f>
        <v/>
      </c>
      <c r="AD1197" s="34">
        <f>IF(OR($A1197="",$H1197&lt;&gt;"Ausgabe",P1197=""),0,IF(P1197="x",-$E1197/(COUNTIF($J1197:$Q1197,"x")+1),-$E1197*N(P1197)))</f>
        <v/>
      </c>
      <c r="AE1197" s="34">
        <f>IF(OR($A1197="",$H1197&lt;&gt;"Ausgabe",Q1197=""),0,IF(Q1197="x",-$E1197/(COUNTIF($J1197:$Q1197,"x")+1),-$E1197*N(Q1197)))</f>
        <v/>
      </c>
    </row>
    <row r="1198">
      <c r="A1198" s="30" t="n"/>
      <c r="E1198" s="31" t="n"/>
      <c r="J1198" s="32" t="n"/>
      <c r="K1198" s="32" t="n"/>
      <c r="L1198" s="32" t="n"/>
      <c r="M1198" s="32" t="n"/>
      <c r="N1198" s="32" t="n"/>
      <c r="O1198" s="32" t="n"/>
      <c r="P1198" s="32" t="n"/>
      <c r="Q1198" s="32" t="n"/>
      <c r="U1198" s="31">
        <f>IF($A1198="","",SUM(X1198:AE1198))</f>
        <v/>
      </c>
      <c r="V1198" s="31">
        <f>IF($A1198="","",IF($H1198&lt;&gt;"Ausgabe",0,-$E1198-$U1198))</f>
        <v/>
      </c>
      <c r="W1198" s="33">
        <f>IF($A1198="","",DATE(YEAR($A1198),MONTH($A1198),1))</f>
        <v/>
      </c>
      <c r="X1198" s="34">
        <f>IF(OR($A1198="",$H1198&lt;&gt;"Ausgabe",J1198=""),0,IF(J1198="x",-$E1198/(COUNTIF($J1198:$Q1198,"x")+1),-$E1198*N(J1198)))</f>
        <v/>
      </c>
      <c r="Y1198" s="34">
        <f>IF(OR($A1198="",$H1198&lt;&gt;"Ausgabe",K1198=""),0,IF(K1198="x",-$E1198/(COUNTIF($J1198:$Q1198,"x")+1),-$E1198*N(K1198)))</f>
        <v/>
      </c>
      <c r="Z1198" s="34">
        <f>IF(OR($A1198="",$H1198&lt;&gt;"Ausgabe",L1198=""),0,IF(L1198="x",-$E1198/(COUNTIF($J1198:$Q1198,"x")+1),-$E1198*N(L1198)))</f>
        <v/>
      </c>
      <c r="AA1198" s="34">
        <f>IF(OR($A1198="",$H1198&lt;&gt;"Ausgabe",M1198=""),0,IF(M1198="x",-$E1198/(COUNTIF($J1198:$Q1198,"x")+1),-$E1198*N(M1198)))</f>
        <v/>
      </c>
      <c r="AB1198" s="34">
        <f>IF(OR($A1198="",$H1198&lt;&gt;"Ausgabe",N1198=""),0,IF(N1198="x",-$E1198/(COUNTIF($J1198:$Q1198,"x")+1),-$E1198*N(N1198)))</f>
        <v/>
      </c>
      <c r="AC1198" s="34">
        <f>IF(OR($A1198="",$H1198&lt;&gt;"Ausgabe",O1198=""),0,IF(O1198="x",-$E1198/(COUNTIF($J1198:$Q1198,"x")+1),-$E1198*N(O1198)))</f>
        <v/>
      </c>
      <c r="AD1198" s="34">
        <f>IF(OR($A1198="",$H1198&lt;&gt;"Ausgabe",P1198=""),0,IF(P1198="x",-$E1198/(COUNTIF($J1198:$Q1198,"x")+1),-$E1198*N(P1198)))</f>
        <v/>
      </c>
      <c r="AE1198" s="34">
        <f>IF(OR($A1198="",$H1198&lt;&gt;"Ausgabe",Q1198=""),0,IF(Q1198="x",-$E1198/(COUNTIF($J1198:$Q1198,"x")+1),-$E1198*N(Q1198)))</f>
        <v/>
      </c>
    </row>
    <row r="1199">
      <c r="A1199" s="30" t="n"/>
      <c r="E1199" s="31" t="n"/>
      <c r="J1199" s="32" t="n"/>
      <c r="K1199" s="32" t="n"/>
      <c r="L1199" s="32" t="n"/>
      <c r="M1199" s="32" t="n"/>
      <c r="N1199" s="32" t="n"/>
      <c r="O1199" s="32" t="n"/>
      <c r="P1199" s="32" t="n"/>
      <c r="Q1199" s="32" t="n"/>
      <c r="U1199" s="31">
        <f>IF($A1199="","",SUM(X1199:AE1199))</f>
        <v/>
      </c>
      <c r="V1199" s="31">
        <f>IF($A1199="","",IF($H1199&lt;&gt;"Ausgabe",0,-$E1199-$U1199))</f>
        <v/>
      </c>
      <c r="W1199" s="33">
        <f>IF($A1199="","",DATE(YEAR($A1199),MONTH($A1199),1))</f>
        <v/>
      </c>
      <c r="X1199" s="34">
        <f>IF(OR($A1199="",$H1199&lt;&gt;"Ausgabe",J1199=""),0,IF(J1199="x",-$E1199/(COUNTIF($J1199:$Q1199,"x")+1),-$E1199*N(J1199)))</f>
        <v/>
      </c>
      <c r="Y1199" s="34">
        <f>IF(OR($A1199="",$H1199&lt;&gt;"Ausgabe",K1199=""),0,IF(K1199="x",-$E1199/(COUNTIF($J1199:$Q1199,"x")+1),-$E1199*N(K1199)))</f>
        <v/>
      </c>
      <c r="Z1199" s="34">
        <f>IF(OR($A1199="",$H1199&lt;&gt;"Ausgabe",L1199=""),0,IF(L1199="x",-$E1199/(COUNTIF($J1199:$Q1199,"x")+1),-$E1199*N(L1199)))</f>
        <v/>
      </c>
      <c r="AA1199" s="34">
        <f>IF(OR($A1199="",$H1199&lt;&gt;"Ausgabe",M1199=""),0,IF(M1199="x",-$E1199/(COUNTIF($J1199:$Q1199,"x")+1),-$E1199*N(M1199)))</f>
        <v/>
      </c>
      <c r="AB1199" s="34">
        <f>IF(OR($A1199="",$H1199&lt;&gt;"Ausgabe",N1199=""),0,IF(N1199="x",-$E1199/(COUNTIF($J1199:$Q1199,"x")+1),-$E1199*N(N1199)))</f>
        <v/>
      </c>
      <c r="AC1199" s="34">
        <f>IF(OR($A1199="",$H1199&lt;&gt;"Ausgabe",O1199=""),0,IF(O1199="x",-$E1199/(COUNTIF($J1199:$Q1199,"x")+1),-$E1199*N(O1199)))</f>
        <v/>
      </c>
      <c r="AD1199" s="34">
        <f>IF(OR($A1199="",$H1199&lt;&gt;"Ausgabe",P1199=""),0,IF(P1199="x",-$E1199/(COUNTIF($J1199:$Q1199,"x")+1),-$E1199*N(P1199)))</f>
        <v/>
      </c>
      <c r="AE1199" s="34">
        <f>IF(OR($A1199="",$H1199&lt;&gt;"Ausgabe",Q1199=""),0,IF(Q1199="x",-$E1199/(COUNTIF($J1199:$Q1199,"x")+1),-$E1199*N(Q1199)))</f>
        <v/>
      </c>
    </row>
    <row r="1200">
      <c r="A1200" s="30" t="n"/>
      <c r="E1200" s="31" t="n"/>
      <c r="J1200" s="32" t="n"/>
      <c r="K1200" s="32" t="n"/>
      <c r="L1200" s="32" t="n"/>
      <c r="M1200" s="32" t="n"/>
      <c r="N1200" s="32" t="n"/>
      <c r="O1200" s="32" t="n"/>
      <c r="P1200" s="32" t="n"/>
      <c r="Q1200" s="32" t="n"/>
      <c r="U1200" s="31">
        <f>IF($A1200="","",SUM(X1200:AE1200))</f>
        <v/>
      </c>
      <c r="V1200" s="31">
        <f>IF($A1200="","",IF($H1200&lt;&gt;"Ausgabe",0,-$E1200-$U1200))</f>
        <v/>
      </c>
      <c r="W1200" s="33">
        <f>IF($A1200="","",DATE(YEAR($A1200),MONTH($A1200),1))</f>
        <v/>
      </c>
      <c r="X1200" s="34">
        <f>IF(OR($A1200="",$H1200&lt;&gt;"Ausgabe",J1200=""),0,IF(J1200="x",-$E1200/(COUNTIF($J1200:$Q1200,"x")+1),-$E1200*N(J1200)))</f>
        <v/>
      </c>
      <c r="Y1200" s="34">
        <f>IF(OR($A1200="",$H1200&lt;&gt;"Ausgabe",K1200=""),0,IF(K1200="x",-$E1200/(COUNTIF($J1200:$Q1200,"x")+1),-$E1200*N(K1200)))</f>
        <v/>
      </c>
      <c r="Z1200" s="34">
        <f>IF(OR($A1200="",$H1200&lt;&gt;"Ausgabe",L1200=""),0,IF(L1200="x",-$E1200/(COUNTIF($J1200:$Q1200,"x")+1),-$E1200*N(L1200)))</f>
        <v/>
      </c>
      <c r="AA1200" s="34">
        <f>IF(OR($A1200="",$H1200&lt;&gt;"Ausgabe",M1200=""),0,IF(M1200="x",-$E1200/(COUNTIF($J1200:$Q1200,"x")+1),-$E1200*N(M1200)))</f>
        <v/>
      </c>
      <c r="AB1200" s="34">
        <f>IF(OR($A1200="",$H1200&lt;&gt;"Ausgabe",N1200=""),0,IF(N1200="x",-$E1200/(COUNTIF($J1200:$Q1200,"x")+1),-$E1200*N(N1200)))</f>
        <v/>
      </c>
      <c r="AC1200" s="34">
        <f>IF(OR($A1200="",$H1200&lt;&gt;"Ausgabe",O1200=""),0,IF(O1200="x",-$E1200/(COUNTIF($J1200:$Q1200,"x")+1),-$E1200*N(O1200)))</f>
        <v/>
      </c>
      <c r="AD1200" s="34">
        <f>IF(OR($A1200="",$H1200&lt;&gt;"Ausgabe",P1200=""),0,IF(P1200="x",-$E1200/(COUNTIF($J1200:$Q1200,"x")+1),-$E1200*N(P1200)))</f>
        <v/>
      </c>
      <c r="AE1200" s="34">
        <f>IF(OR($A1200="",$H1200&lt;&gt;"Ausgabe",Q1200=""),0,IF(Q1200="x",-$E1200/(COUNTIF($J1200:$Q1200,"x")+1),-$E1200*N(Q1200)))</f>
        <v/>
      </c>
    </row>
    <row r="1201">
      <c r="A1201" s="30" t="n"/>
      <c r="E1201" s="31" t="n"/>
      <c r="J1201" s="32" t="n"/>
      <c r="K1201" s="32" t="n"/>
      <c r="L1201" s="32" t="n"/>
      <c r="M1201" s="32" t="n"/>
      <c r="N1201" s="32" t="n"/>
      <c r="O1201" s="32" t="n"/>
      <c r="P1201" s="32" t="n"/>
      <c r="Q1201" s="32" t="n"/>
      <c r="U1201" s="31">
        <f>IF($A1201="","",SUM(X1201:AE1201))</f>
        <v/>
      </c>
      <c r="V1201" s="31">
        <f>IF($A1201="","",IF($H1201&lt;&gt;"Ausgabe",0,-$E1201-$U1201))</f>
        <v/>
      </c>
      <c r="W1201" s="33">
        <f>IF($A1201="","",DATE(YEAR($A1201),MONTH($A1201),1))</f>
        <v/>
      </c>
      <c r="X1201" s="34">
        <f>IF(OR($A1201="",$H1201&lt;&gt;"Ausgabe",J1201=""),0,IF(J1201="x",-$E1201/(COUNTIF($J1201:$Q1201,"x")+1),-$E1201*N(J1201)))</f>
        <v/>
      </c>
      <c r="Y1201" s="34">
        <f>IF(OR($A1201="",$H1201&lt;&gt;"Ausgabe",K1201=""),0,IF(K1201="x",-$E1201/(COUNTIF($J1201:$Q1201,"x")+1),-$E1201*N(K1201)))</f>
        <v/>
      </c>
      <c r="Z1201" s="34">
        <f>IF(OR($A1201="",$H1201&lt;&gt;"Ausgabe",L1201=""),0,IF(L1201="x",-$E1201/(COUNTIF($J1201:$Q1201,"x")+1),-$E1201*N(L1201)))</f>
        <v/>
      </c>
      <c r="AA1201" s="34">
        <f>IF(OR($A1201="",$H1201&lt;&gt;"Ausgabe",M1201=""),0,IF(M1201="x",-$E1201/(COUNTIF($J1201:$Q1201,"x")+1),-$E1201*N(M1201)))</f>
        <v/>
      </c>
      <c r="AB1201" s="34">
        <f>IF(OR($A1201="",$H1201&lt;&gt;"Ausgabe",N1201=""),0,IF(N1201="x",-$E1201/(COUNTIF($J1201:$Q1201,"x")+1),-$E1201*N(N1201)))</f>
        <v/>
      </c>
      <c r="AC1201" s="34">
        <f>IF(OR($A1201="",$H1201&lt;&gt;"Ausgabe",O1201=""),0,IF(O1201="x",-$E1201/(COUNTIF($J1201:$Q1201,"x")+1),-$E1201*N(O1201)))</f>
        <v/>
      </c>
      <c r="AD1201" s="34">
        <f>IF(OR($A1201="",$H1201&lt;&gt;"Ausgabe",P1201=""),0,IF(P1201="x",-$E1201/(COUNTIF($J1201:$Q1201,"x")+1),-$E1201*N(P1201)))</f>
        <v/>
      </c>
      <c r="AE1201" s="34">
        <f>IF(OR($A1201="",$H1201&lt;&gt;"Ausgabe",Q1201=""),0,IF(Q1201="x",-$E1201/(COUNTIF($J1201:$Q1201,"x")+1),-$E1201*N(Q1201)))</f>
        <v/>
      </c>
    </row>
    <row r="1202">
      <c r="A1202" s="30" t="n"/>
      <c r="E1202" s="31" t="n"/>
      <c r="J1202" s="32" t="n"/>
      <c r="K1202" s="32" t="n"/>
      <c r="L1202" s="32" t="n"/>
      <c r="M1202" s="32" t="n"/>
      <c r="N1202" s="32" t="n"/>
      <c r="O1202" s="32" t="n"/>
      <c r="P1202" s="32" t="n"/>
      <c r="Q1202" s="32" t="n"/>
      <c r="U1202" s="31">
        <f>IF($A1202="","",SUM(X1202:AE1202))</f>
        <v/>
      </c>
      <c r="V1202" s="31">
        <f>IF($A1202="","",IF($H1202&lt;&gt;"Ausgabe",0,-$E1202-$U1202))</f>
        <v/>
      </c>
      <c r="W1202" s="33">
        <f>IF($A1202="","",DATE(YEAR($A1202),MONTH($A1202),1))</f>
        <v/>
      </c>
      <c r="X1202" s="34">
        <f>IF(OR($A1202="",$H1202&lt;&gt;"Ausgabe",J1202=""),0,IF(J1202="x",-$E1202/(COUNTIF($J1202:$Q1202,"x")+1),-$E1202*N(J1202)))</f>
        <v/>
      </c>
      <c r="Y1202" s="34">
        <f>IF(OR($A1202="",$H1202&lt;&gt;"Ausgabe",K1202=""),0,IF(K1202="x",-$E1202/(COUNTIF($J1202:$Q1202,"x")+1),-$E1202*N(K1202)))</f>
        <v/>
      </c>
      <c r="Z1202" s="34">
        <f>IF(OR($A1202="",$H1202&lt;&gt;"Ausgabe",L1202=""),0,IF(L1202="x",-$E1202/(COUNTIF($J1202:$Q1202,"x")+1),-$E1202*N(L1202)))</f>
        <v/>
      </c>
      <c r="AA1202" s="34">
        <f>IF(OR($A1202="",$H1202&lt;&gt;"Ausgabe",M1202=""),0,IF(M1202="x",-$E1202/(COUNTIF($J1202:$Q1202,"x")+1),-$E1202*N(M1202)))</f>
        <v/>
      </c>
      <c r="AB1202" s="34">
        <f>IF(OR($A1202="",$H1202&lt;&gt;"Ausgabe",N1202=""),0,IF(N1202="x",-$E1202/(COUNTIF($J1202:$Q1202,"x")+1),-$E1202*N(N1202)))</f>
        <v/>
      </c>
      <c r="AC1202" s="34">
        <f>IF(OR($A1202="",$H1202&lt;&gt;"Ausgabe",O1202=""),0,IF(O1202="x",-$E1202/(COUNTIF($J1202:$Q1202,"x")+1),-$E1202*N(O1202)))</f>
        <v/>
      </c>
      <c r="AD1202" s="34">
        <f>IF(OR($A1202="",$H1202&lt;&gt;"Ausgabe",P1202=""),0,IF(P1202="x",-$E1202/(COUNTIF($J1202:$Q1202,"x")+1),-$E1202*N(P1202)))</f>
        <v/>
      </c>
      <c r="AE1202" s="34">
        <f>IF(OR($A1202="",$H1202&lt;&gt;"Ausgabe",Q1202=""),0,IF(Q1202="x",-$E1202/(COUNTIF($J1202:$Q1202,"x")+1),-$E1202*N(Q1202)))</f>
        <v/>
      </c>
    </row>
    <row r="1203">
      <c r="A1203" s="30" t="n"/>
      <c r="E1203" s="31" t="n"/>
      <c r="J1203" s="32" t="n"/>
      <c r="K1203" s="32" t="n"/>
      <c r="L1203" s="32" t="n"/>
      <c r="M1203" s="32" t="n"/>
      <c r="N1203" s="32" t="n"/>
      <c r="O1203" s="32" t="n"/>
      <c r="P1203" s="32" t="n"/>
      <c r="Q1203" s="32" t="n"/>
      <c r="U1203" s="31">
        <f>IF($A1203="","",SUM(X1203:AE1203))</f>
        <v/>
      </c>
      <c r="V1203" s="31">
        <f>IF($A1203="","",IF($H1203&lt;&gt;"Ausgabe",0,-$E1203-$U1203))</f>
        <v/>
      </c>
      <c r="W1203" s="33">
        <f>IF($A1203="","",DATE(YEAR($A1203),MONTH($A1203),1))</f>
        <v/>
      </c>
      <c r="X1203" s="34">
        <f>IF(OR($A1203="",$H1203&lt;&gt;"Ausgabe",J1203=""),0,IF(J1203="x",-$E1203/(COUNTIF($J1203:$Q1203,"x")+1),-$E1203*N(J1203)))</f>
        <v/>
      </c>
      <c r="Y1203" s="34">
        <f>IF(OR($A1203="",$H1203&lt;&gt;"Ausgabe",K1203=""),0,IF(K1203="x",-$E1203/(COUNTIF($J1203:$Q1203,"x")+1),-$E1203*N(K1203)))</f>
        <v/>
      </c>
      <c r="Z1203" s="34">
        <f>IF(OR($A1203="",$H1203&lt;&gt;"Ausgabe",L1203=""),0,IF(L1203="x",-$E1203/(COUNTIF($J1203:$Q1203,"x")+1),-$E1203*N(L1203)))</f>
        <v/>
      </c>
      <c r="AA1203" s="34">
        <f>IF(OR($A1203="",$H1203&lt;&gt;"Ausgabe",M1203=""),0,IF(M1203="x",-$E1203/(COUNTIF($J1203:$Q1203,"x")+1),-$E1203*N(M1203)))</f>
        <v/>
      </c>
      <c r="AB1203" s="34">
        <f>IF(OR($A1203="",$H1203&lt;&gt;"Ausgabe",N1203=""),0,IF(N1203="x",-$E1203/(COUNTIF($J1203:$Q1203,"x")+1),-$E1203*N(N1203)))</f>
        <v/>
      </c>
      <c r="AC1203" s="34">
        <f>IF(OR($A1203="",$H1203&lt;&gt;"Ausgabe",O1203=""),0,IF(O1203="x",-$E1203/(COUNTIF($J1203:$Q1203,"x")+1),-$E1203*N(O1203)))</f>
        <v/>
      </c>
      <c r="AD1203" s="34">
        <f>IF(OR($A1203="",$H1203&lt;&gt;"Ausgabe",P1203=""),0,IF(P1203="x",-$E1203/(COUNTIF($J1203:$Q1203,"x")+1),-$E1203*N(P1203)))</f>
        <v/>
      </c>
      <c r="AE1203" s="34">
        <f>IF(OR($A1203="",$H1203&lt;&gt;"Ausgabe",Q1203=""),0,IF(Q1203="x",-$E1203/(COUNTIF($J1203:$Q1203,"x")+1),-$E1203*N(Q1203)))</f>
        <v/>
      </c>
    </row>
    <row r="1204">
      <c r="A1204" s="30" t="n"/>
      <c r="E1204" s="31" t="n"/>
      <c r="J1204" s="32" t="n"/>
      <c r="K1204" s="32" t="n"/>
      <c r="L1204" s="32" t="n"/>
      <c r="M1204" s="32" t="n"/>
      <c r="N1204" s="32" t="n"/>
      <c r="O1204" s="32" t="n"/>
      <c r="P1204" s="32" t="n"/>
      <c r="Q1204" s="32" t="n"/>
      <c r="U1204" s="31">
        <f>IF($A1204="","",SUM(X1204:AE1204))</f>
        <v/>
      </c>
      <c r="V1204" s="31">
        <f>IF($A1204="","",IF($H1204&lt;&gt;"Ausgabe",0,-$E1204-$U1204))</f>
        <v/>
      </c>
      <c r="W1204" s="33">
        <f>IF($A1204="","",DATE(YEAR($A1204),MONTH($A1204),1))</f>
        <v/>
      </c>
      <c r="X1204" s="34">
        <f>IF(OR($A1204="",$H1204&lt;&gt;"Ausgabe",J1204=""),0,IF(J1204="x",-$E1204/(COUNTIF($J1204:$Q1204,"x")+1),-$E1204*N(J1204)))</f>
        <v/>
      </c>
      <c r="Y1204" s="34">
        <f>IF(OR($A1204="",$H1204&lt;&gt;"Ausgabe",K1204=""),0,IF(K1204="x",-$E1204/(COUNTIF($J1204:$Q1204,"x")+1),-$E1204*N(K1204)))</f>
        <v/>
      </c>
      <c r="Z1204" s="34">
        <f>IF(OR($A1204="",$H1204&lt;&gt;"Ausgabe",L1204=""),0,IF(L1204="x",-$E1204/(COUNTIF($J1204:$Q1204,"x")+1),-$E1204*N(L1204)))</f>
        <v/>
      </c>
      <c r="AA1204" s="34">
        <f>IF(OR($A1204="",$H1204&lt;&gt;"Ausgabe",M1204=""),0,IF(M1204="x",-$E1204/(COUNTIF($J1204:$Q1204,"x")+1),-$E1204*N(M1204)))</f>
        <v/>
      </c>
      <c r="AB1204" s="34">
        <f>IF(OR($A1204="",$H1204&lt;&gt;"Ausgabe",N1204=""),0,IF(N1204="x",-$E1204/(COUNTIF($J1204:$Q1204,"x")+1),-$E1204*N(N1204)))</f>
        <v/>
      </c>
      <c r="AC1204" s="34">
        <f>IF(OR($A1204="",$H1204&lt;&gt;"Ausgabe",O1204=""),0,IF(O1204="x",-$E1204/(COUNTIF($J1204:$Q1204,"x")+1),-$E1204*N(O1204)))</f>
        <v/>
      </c>
      <c r="AD1204" s="34">
        <f>IF(OR($A1204="",$H1204&lt;&gt;"Ausgabe",P1204=""),0,IF(P1204="x",-$E1204/(COUNTIF($J1204:$Q1204,"x")+1),-$E1204*N(P1204)))</f>
        <v/>
      </c>
      <c r="AE1204" s="34">
        <f>IF(OR($A1204="",$H1204&lt;&gt;"Ausgabe",Q1204=""),0,IF(Q1204="x",-$E1204/(COUNTIF($J1204:$Q1204,"x")+1),-$E1204*N(Q1204)))</f>
        <v/>
      </c>
    </row>
    <row r="1205">
      <c r="A1205" s="30" t="n"/>
      <c r="E1205" s="31" t="n"/>
      <c r="J1205" s="32" t="n"/>
      <c r="K1205" s="32" t="n"/>
      <c r="L1205" s="32" t="n"/>
      <c r="M1205" s="32" t="n"/>
      <c r="N1205" s="32" t="n"/>
      <c r="O1205" s="32" t="n"/>
      <c r="P1205" s="32" t="n"/>
      <c r="Q1205" s="32" t="n"/>
      <c r="U1205" s="31">
        <f>IF($A1205="","",SUM(X1205:AE1205))</f>
        <v/>
      </c>
      <c r="V1205" s="31">
        <f>IF($A1205="","",IF($H1205&lt;&gt;"Ausgabe",0,-$E1205-$U1205))</f>
        <v/>
      </c>
      <c r="W1205" s="33">
        <f>IF($A1205="","",DATE(YEAR($A1205),MONTH($A1205),1))</f>
        <v/>
      </c>
      <c r="X1205" s="34">
        <f>IF(OR($A1205="",$H1205&lt;&gt;"Ausgabe",J1205=""),0,IF(J1205="x",-$E1205/(COUNTIF($J1205:$Q1205,"x")+1),-$E1205*N(J1205)))</f>
        <v/>
      </c>
      <c r="Y1205" s="34">
        <f>IF(OR($A1205="",$H1205&lt;&gt;"Ausgabe",K1205=""),0,IF(K1205="x",-$E1205/(COUNTIF($J1205:$Q1205,"x")+1),-$E1205*N(K1205)))</f>
        <v/>
      </c>
      <c r="Z1205" s="34">
        <f>IF(OR($A1205="",$H1205&lt;&gt;"Ausgabe",L1205=""),0,IF(L1205="x",-$E1205/(COUNTIF($J1205:$Q1205,"x")+1),-$E1205*N(L1205)))</f>
        <v/>
      </c>
      <c r="AA1205" s="34">
        <f>IF(OR($A1205="",$H1205&lt;&gt;"Ausgabe",M1205=""),0,IF(M1205="x",-$E1205/(COUNTIF($J1205:$Q1205,"x")+1),-$E1205*N(M1205)))</f>
        <v/>
      </c>
      <c r="AB1205" s="34">
        <f>IF(OR($A1205="",$H1205&lt;&gt;"Ausgabe",N1205=""),0,IF(N1205="x",-$E1205/(COUNTIF($J1205:$Q1205,"x")+1),-$E1205*N(N1205)))</f>
        <v/>
      </c>
      <c r="AC1205" s="34">
        <f>IF(OR($A1205="",$H1205&lt;&gt;"Ausgabe",O1205=""),0,IF(O1205="x",-$E1205/(COUNTIF($J1205:$Q1205,"x")+1),-$E1205*N(O1205)))</f>
        <v/>
      </c>
      <c r="AD1205" s="34">
        <f>IF(OR($A1205="",$H1205&lt;&gt;"Ausgabe",P1205=""),0,IF(P1205="x",-$E1205/(COUNTIF($J1205:$Q1205,"x")+1),-$E1205*N(P1205)))</f>
        <v/>
      </c>
      <c r="AE1205" s="34">
        <f>IF(OR($A1205="",$H1205&lt;&gt;"Ausgabe",Q1205=""),0,IF(Q1205="x",-$E1205/(COUNTIF($J1205:$Q1205,"x")+1),-$E1205*N(Q1205)))</f>
        <v/>
      </c>
    </row>
    <row r="1206">
      <c r="A1206" s="30" t="n"/>
      <c r="E1206" s="31" t="n"/>
      <c r="J1206" s="32" t="n"/>
      <c r="K1206" s="32" t="n"/>
      <c r="L1206" s="32" t="n"/>
      <c r="M1206" s="32" t="n"/>
      <c r="N1206" s="32" t="n"/>
      <c r="O1206" s="32" t="n"/>
      <c r="P1206" s="32" t="n"/>
      <c r="Q1206" s="32" t="n"/>
      <c r="U1206" s="31">
        <f>IF($A1206="","",SUM(X1206:AE1206))</f>
        <v/>
      </c>
      <c r="V1206" s="31">
        <f>IF($A1206="","",IF($H1206&lt;&gt;"Ausgabe",0,-$E1206-$U1206))</f>
        <v/>
      </c>
      <c r="W1206" s="33">
        <f>IF($A1206="","",DATE(YEAR($A1206),MONTH($A1206),1))</f>
        <v/>
      </c>
      <c r="X1206" s="34">
        <f>IF(OR($A1206="",$H1206&lt;&gt;"Ausgabe",J1206=""),0,IF(J1206="x",-$E1206/(COUNTIF($J1206:$Q1206,"x")+1),-$E1206*N(J1206)))</f>
        <v/>
      </c>
      <c r="Y1206" s="34">
        <f>IF(OR($A1206="",$H1206&lt;&gt;"Ausgabe",K1206=""),0,IF(K1206="x",-$E1206/(COUNTIF($J1206:$Q1206,"x")+1),-$E1206*N(K1206)))</f>
        <v/>
      </c>
      <c r="Z1206" s="34">
        <f>IF(OR($A1206="",$H1206&lt;&gt;"Ausgabe",L1206=""),0,IF(L1206="x",-$E1206/(COUNTIF($J1206:$Q1206,"x")+1),-$E1206*N(L1206)))</f>
        <v/>
      </c>
      <c r="AA1206" s="34">
        <f>IF(OR($A1206="",$H1206&lt;&gt;"Ausgabe",M1206=""),0,IF(M1206="x",-$E1206/(COUNTIF($J1206:$Q1206,"x")+1),-$E1206*N(M1206)))</f>
        <v/>
      </c>
      <c r="AB1206" s="34">
        <f>IF(OR($A1206="",$H1206&lt;&gt;"Ausgabe",N1206=""),0,IF(N1206="x",-$E1206/(COUNTIF($J1206:$Q1206,"x")+1),-$E1206*N(N1206)))</f>
        <v/>
      </c>
      <c r="AC1206" s="34">
        <f>IF(OR($A1206="",$H1206&lt;&gt;"Ausgabe",O1206=""),0,IF(O1206="x",-$E1206/(COUNTIF($J1206:$Q1206,"x")+1),-$E1206*N(O1206)))</f>
        <v/>
      </c>
      <c r="AD1206" s="34">
        <f>IF(OR($A1206="",$H1206&lt;&gt;"Ausgabe",P1206=""),0,IF(P1206="x",-$E1206/(COUNTIF($J1206:$Q1206,"x")+1),-$E1206*N(P1206)))</f>
        <v/>
      </c>
      <c r="AE1206" s="34">
        <f>IF(OR($A1206="",$H1206&lt;&gt;"Ausgabe",Q1206=""),0,IF(Q1206="x",-$E1206/(COUNTIF($J1206:$Q1206,"x")+1),-$E1206*N(Q1206)))</f>
        <v/>
      </c>
    </row>
    <row r="1207">
      <c r="A1207" s="30" t="n"/>
      <c r="E1207" s="31" t="n"/>
      <c r="J1207" s="32" t="n"/>
      <c r="K1207" s="32" t="n"/>
      <c r="L1207" s="32" t="n"/>
      <c r="M1207" s="32" t="n"/>
      <c r="N1207" s="32" t="n"/>
      <c r="O1207" s="32" t="n"/>
      <c r="P1207" s="32" t="n"/>
      <c r="Q1207" s="32" t="n"/>
      <c r="U1207" s="31">
        <f>IF($A1207="","",SUM(X1207:AE1207))</f>
        <v/>
      </c>
      <c r="V1207" s="31">
        <f>IF($A1207="","",IF($H1207&lt;&gt;"Ausgabe",0,-$E1207-$U1207))</f>
        <v/>
      </c>
      <c r="W1207" s="33">
        <f>IF($A1207="","",DATE(YEAR($A1207),MONTH($A1207),1))</f>
        <v/>
      </c>
      <c r="X1207" s="34">
        <f>IF(OR($A1207="",$H1207&lt;&gt;"Ausgabe",J1207=""),0,IF(J1207="x",-$E1207/(COUNTIF($J1207:$Q1207,"x")+1),-$E1207*N(J1207)))</f>
        <v/>
      </c>
      <c r="Y1207" s="34">
        <f>IF(OR($A1207="",$H1207&lt;&gt;"Ausgabe",K1207=""),0,IF(K1207="x",-$E1207/(COUNTIF($J1207:$Q1207,"x")+1),-$E1207*N(K1207)))</f>
        <v/>
      </c>
      <c r="Z1207" s="34">
        <f>IF(OR($A1207="",$H1207&lt;&gt;"Ausgabe",L1207=""),0,IF(L1207="x",-$E1207/(COUNTIF($J1207:$Q1207,"x")+1),-$E1207*N(L1207)))</f>
        <v/>
      </c>
      <c r="AA1207" s="34">
        <f>IF(OR($A1207="",$H1207&lt;&gt;"Ausgabe",M1207=""),0,IF(M1207="x",-$E1207/(COUNTIF($J1207:$Q1207,"x")+1),-$E1207*N(M1207)))</f>
        <v/>
      </c>
      <c r="AB1207" s="34">
        <f>IF(OR($A1207="",$H1207&lt;&gt;"Ausgabe",N1207=""),0,IF(N1207="x",-$E1207/(COUNTIF($J1207:$Q1207,"x")+1),-$E1207*N(N1207)))</f>
        <v/>
      </c>
      <c r="AC1207" s="34">
        <f>IF(OR($A1207="",$H1207&lt;&gt;"Ausgabe",O1207=""),0,IF(O1207="x",-$E1207/(COUNTIF($J1207:$Q1207,"x")+1),-$E1207*N(O1207)))</f>
        <v/>
      </c>
      <c r="AD1207" s="34">
        <f>IF(OR($A1207="",$H1207&lt;&gt;"Ausgabe",P1207=""),0,IF(P1207="x",-$E1207/(COUNTIF($J1207:$Q1207,"x")+1),-$E1207*N(P1207)))</f>
        <v/>
      </c>
      <c r="AE1207" s="34">
        <f>IF(OR($A1207="",$H1207&lt;&gt;"Ausgabe",Q1207=""),0,IF(Q1207="x",-$E1207/(COUNTIF($J1207:$Q1207,"x")+1),-$E1207*N(Q1207)))</f>
        <v/>
      </c>
    </row>
    <row r="1208">
      <c r="A1208" s="30" t="n"/>
      <c r="E1208" s="31" t="n"/>
      <c r="J1208" s="32" t="n"/>
      <c r="K1208" s="32" t="n"/>
      <c r="L1208" s="32" t="n"/>
      <c r="M1208" s="32" t="n"/>
      <c r="N1208" s="32" t="n"/>
      <c r="O1208" s="32" t="n"/>
      <c r="P1208" s="32" t="n"/>
      <c r="Q1208" s="32" t="n"/>
      <c r="U1208" s="31">
        <f>IF($A1208="","",SUM(X1208:AE1208))</f>
        <v/>
      </c>
      <c r="V1208" s="31">
        <f>IF($A1208="","",IF($H1208&lt;&gt;"Ausgabe",0,-$E1208-$U1208))</f>
        <v/>
      </c>
      <c r="W1208" s="33">
        <f>IF($A1208="","",DATE(YEAR($A1208),MONTH($A1208),1))</f>
        <v/>
      </c>
      <c r="X1208" s="34">
        <f>IF(OR($A1208="",$H1208&lt;&gt;"Ausgabe",J1208=""),0,IF(J1208="x",-$E1208/(COUNTIF($J1208:$Q1208,"x")+1),-$E1208*N(J1208)))</f>
        <v/>
      </c>
      <c r="Y1208" s="34">
        <f>IF(OR($A1208="",$H1208&lt;&gt;"Ausgabe",K1208=""),0,IF(K1208="x",-$E1208/(COUNTIF($J1208:$Q1208,"x")+1),-$E1208*N(K1208)))</f>
        <v/>
      </c>
      <c r="Z1208" s="34">
        <f>IF(OR($A1208="",$H1208&lt;&gt;"Ausgabe",L1208=""),0,IF(L1208="x",-$E1208/(COUNTIF($J1208:$Q1208,"x")+1),-$E1208*N(L1208)))</f>
        <v/>
      </c>
      <c r="AA1208" s="34">
        <f>IF(OR($A1208="",$H1208&lt;&gt;"Ausgabe",M1208=""),0,IF(M1208="x",-$E1208/(COUNTIF($J1208:$Q1208,"x")+1),-$E1208*N(M1208)))</f>
        <v/>
      </c>
      <c r="AB1208" s="34">
        <f>IF(OR($A1208="",$H1208&lt;&gt;"Ausgabe",N1208=""),0,IF(N1208="x",-$E1208/(COUNTIF($J1208:$Q1208,"x")+1),-$E1208*N(N1208)))</f>
        <v/>
      </c>
      <c r="AC1208" s="34">
        <f>IF(OR($A1208="",$H1208&lt;&gt;"Ausgabe",O1208=""),0,IF(O1208="x",-$E1208/(COUNTIF($J1208:$Q1208,"x")+1),-$E1208*N(O1208)))</f>
        <v/>
      </c>
      <c r="AD1208" s="34">
        <f>IF(OR($A1208="",$H1208&lt;&gt;"Ausgabe",P1208=""),0,IF(P1208="x",-$E1208/(COUNTIF($J1208:$Q1208,"x")+1),-$E1208*N(P1208)))</f>
        <v/>
      </c>
      <c r="AE1208" s="34">
        <f>IF(OR($A1208="",$H1208&lt;&gt;"Ausgabe",Q1208=""),0,IF(Q1208="x",-$E1208/(COUNTIF($J1208:$Q1208,"x")+1),-$E1208*N(Q1208)))</f>
        <v/>
      </c>
    </row>
    <row r="1209">
      <c r="A1209" s="30" t="n"/>
      <c r="E1209" s="31" t="n"/>
      <c r="J1209" s="32" t="n"/>
      <c r="K1209" s="32" t="n"/>
      <c r="L1209" s="32" t="n"/>
      <c r="M1209" s="32" t="n"/>
      <c r="N1209" s="32" t="n"/>
      <c r="O1209" s="32" t="n"/>
      <c r="P1209" s="32" t="n"/>
      <c r="Q1209" s="32" t="n"/>
      <c r="U1209" s="31">
        <f>IF($A1209="","",SUM(X1209:AE1209))</f>
        <v/>
      </c>
      <c r="V1209" s="31">
        <f>IF($A1209="","",IF($H1209&lt;&gt;"Ausgabe",0,-$E1209-$U1209))</f>
        <v/>
      </c>
      <c r="W1209" s="33">
        <f>IF($A1209="","",DATE(YEAR($A1209),MONTH($A1209),1))</f>
        <v/>
      </c>
      <c r="X1209" s="34">
        <f>IF(OR($A1209="",$H1209&lt;&gt;"Ausgabe",J1209=""),0,IF(J1209="x",-$E1209/(COUNTIF($J1209:$Q1209,"x")+1),-$E1209*N(J1209)))</f>
        <v/>
      </c>
      <c r="Y1209" s="34">
        <f>IF(OR($A1209="",$H1209&lt;&gt;"Ausgabe",K1209=""),0,IF(K1209="x",-$E1209/(COUNTIF($J1209:$Q1209,"x")+1),-$E1209*N(K1209)))</f>
        <v/>
      </c>
      <c r="Z1209" s="34">
        <f>IF(OR($A1209="",$H1209&lt;&gt;"Ausgabe",L1209=""),0,IF(L1209="x",-$E1209/(COUNTIF($J1209:$Q1209,"x")+1),-$E1209*N(L1209)))</f>
        <v/>
      </c>
      <c r="AA1209" s="34">
        <f>IF(OR($A1209="",$H1209&lt;&gt;"Ausgabe",M1209=""),0,IF(M1209="x",-$E1209/(COUNTIF($J1209:$Q1209,"x")+1),-$E1209*N(M1209)))</f>
        <v/>
      </c>
      <c r="AB1209" s="34">
        <f>IF(OR($A1209="",$H1209&lt;&gt;"Ausgabe",N1209=""),0,IF(N1209="x",-$E1209/(COUNTIF($J1209:$Q1209,"x")+1),-$E1209*N(N1209)))</f>
        <v/>
      </c>
      <c r="AC1209" s="34">
        <f>IF(OR($A1209="",$H1209&lt;&gt;"Ausgabe",O1209=""),0,IF(O1209="x",-$E1209/(COUNTIF($J1209:$Q1209,"x")+1),-$E1209*N(O1209)))</f>
        <v/>
      </c>
      <c r="AD1209" s="34">
        <f>IF(OR($A1209="",$H1209&lt;&gt;"Ausgabe",P1209=""),0,IF(P1209="x",-$E1209/(COUNTIF($J1209:$Q1209,"x")+1),-$E1209*N(P1209)))</f>
        <v/>
      </c>
      <c r="AE1209" s="34">
        <f>IF(OR($A1209="",$H1209&lt;&gt;"Ausgabe",Q1209=""),0,IF(Q1209="x",-$E1209/(COUNTIF($J1209:$Q1209,"x")+1),-$E1209*N(Q1209)))</f>
        <v/>
      </c>
    </row>
    <row r="1210">
      <c r="A1210" s="30" t="n"/>
      <c r="E1210" s="31" t="n"/>
      <c r="J1210" s="32" t="n"/>
      <c r="K1210" s="32" t="n"/>
      <c r="L1210" s="32" t="n"/>
      <c r="M1210" s="32" t="n"/>
      <c r="N1210" s="32" t="n"/>
      <c r="O1210" s="32" t="n"/>
      <c r="P1210" s="32" t="n"/>
      <c r="Q1210" s="32" t="n"/>
      <c r="U1210" s="31">
        <f>IF($A1210="","",SUM(X1210:AE1210))</f>
        <v/>
      </c>
      <c r="V1210" s="31">
        <f>IF($A1210="","",IF($H1210&lt;&gt;"Ausgabe",0,-$E1210-$U1210))</f>
        <v/>
      </c>
      <c r="W1210" s="33">
        <f>IF($A1210="","",DATE(YEAR($A1210),MONTH($A1210),1))</f>
        <v/>
      </c>
      <c r="X1210" s="34">
        <f>IF(OR($A1210="",$H1210&lt;&gt;"Ausgabe",J1210=""),0,IF(J1210="x",-$E1210/(COUNTIF($J1210:$Q1210,"x")+1),-$E1210*N(J1210)))</f>
        <v/>
      </c>
      <c r="Y1210" s="34">
        <f>IF(OR($A1210="",$H1210&lt;&gt;"Ausgabe",K1210=""),0,IF(K1210="x",-$E1210/(COUNTIF($J1210:$Q1210,"x")+1),-$E1210*N(K1210)))</f>
        <v/>
      </c>
      <c r="Z1210" s="34">
        <f>IF(OR($A1210="",$H1210&lt;&gt;"Ausgabe",L1210=""),0,IF(L1210="x",-$E1210/(COUNTIF($J1210:$Q1210,"x")+1),-$E1210*N(L1210)))</f>
        <v/>
      </c>
      <c r="AA1210" s="34">
        <f>IF(OR($A1210="",$H1210&lt;&gt;"Ausgabe",M1210=""),0,IF(M1210="x",-$E1210/(COUNTIF($J1210:$Q1210,"x")+1),-$E1210*N(M1210)))</f>
        <v/>
      </c>
      <c r="AB1210" s="34">
        <f>IF(OR($A1210="",$H1210&lt;&gt;"Ausgabe",N1210=""),0,IF(N1210="x",-$E1210/(COUNTIF($J1210:$Q1210,"x")+1),-$E1210*N(N1210)))</f>
        <v/>
      </c>
      <c r="AC1210" s="34">
        <f>IF(OR($A1210="",$H1210&lt;&gt;"Ausgabe",O1210=""),0,IF(O1210="x",-$E1210/(COUNTIF($J1210:$Q1210,"x")+1),-$E1210*N(O1210)))</f>
        <v/>
      </c>
      <c r="AD1210" s="34">
        <f>IF(OR($A1210="",$H1210&lt;&gt;"Ausgabe",P1210=""),0,IF(P1210="x",-$E1210/(COUNTIF($J1210:$Q1210,"x")+1),-$E1210*N(P1210)))</f>
        <v/>
      </c>
      <c r="AE1210" s="34">
        <f>IF(OR($A1210="",$H1210&lt;&gt;"Ausgabe",Q1210=""),0,IF(Q1210="x",-$E1210/(COUNTIF($J1210:$Q1210,"x")+1),-$E1210*N(Q1210)))</f>
        <v/>
      </c>
    </row>
    <row r="1211">
      <c r="A1211" s="30" t="n"/>
      <c r="E1211" s="31" t="n"/>
      <c r="J1211" s="32" t="n"/>
      <c r="K1211" s="32" t="n"/>
      <c r="L1211" s="32" t="n"/>
      <c r="M1211" s="32" t="n"/>
      <c r="N1211" s="32" t="n"/>
      <c r="O1211" s="32" t="n"/>
      <c r="P1211" s="32" t="n"/>
      <c r="Q1211" s="32" t="n"/>
      <c r="U1211" s="31">
        <f>IF($A1211="","",SUM(X1211:AE1211))</f>
        <v/>
      </c>
      <c r="V1211" s="31">
        <f>IF($A1211="","",IF($H1211&lt;&gt;"Ausgabe",0,-$E1211-$U1211))</f>
        <v/>
      </c>
      <c r="W1211" s="33">
        <f>IF($A1211="","",DATE(YEAR($A1211),MONTH($A1211),1))</f>
        <v/>
      </c>
      <c r="X1211" s="34">
        <f>IF(OR($A1211="",$H1211&lt;&gt;"Ausgabe",J1211=""),0,IF(J1211="x",-$E1211/(COUNTIF($J1211:$Q1211,"x")+1),-$E1211*N(J1211)))</f>
        <v/>
      </c>
      <c r="Y1211" s="34">
        <f>IF(OR($A1211="",$H1211&lt;&gt;"Ausgabe",K1211=""),0,IF(K1211="x",-$E1211/(COUNTIF($J1211:$Q1211,"x")+1),-$E1211*N(K1211)))</f>
        <v/>
      </c>
      <c r="Z1211" s="34">
        <f>IF(OR($A1211="",$H1211&lt;&gt;"Ausgabe",L1211=""),0,IF(L1211="x",-$E1211/(COUNTIF($J1211:$Q1211,"x")+1),-$E1211*N(L1211)))</f>
        <v/>
      </c>
      <c r="AA1211" s="34">
        <f>IF(OR($A1211="",$H1211&lt;&gt;"Ausgabe",M1211=""),0,IF(M1211="x",-$E1211/(COUNTIF($J1211:$Q1211,"x")+1),-$E1211*N(M1211)))</f>
        <v/>
      </c>
      <c r="AB1211" s="34">
        <f>IF(OR($A1211="",$H1211&lt;&gt;"Ausgabe",N1211=""),0,IF(N1211="x",-$E1211/(COUNTIF($J1211:$Q1211,"x")+1),-$E1211*N(N1211)))</f>
        <v/>
      </c>
      <c r="AC1211" s="34">
        <f>IF(OR($A1211="",$H1211&lt;&gt;"Ausgabe",O1211=""),0,IF(O1211="x",-$E1211/(COUNTIF($J1211:$Q1211,"x")+1),-$E1211*N(O1211)))</f>
        <v/>
      </c>
      <c r="AD1211" s="34">
        <f>IF(OR($A1211="",$H1211&lt;&gt;"Ausgabe",P1211=""),0,IF(P1211="x",-$E1211/(COUNTIF($J1211:$Q1211,"x")+1),-$E1211*N(P1211)))</f>
        <v/>
      </c>
      <c r="AE1211" s="34">
        <f>IF(OR($A1211="",$H1211&lt;&gt;"Ausgabe",Q1211=""),0,IF(Q1211="x",-$E1211/(COUNTIF($J1211:$Q1211,"x")+1),-$E1211*N(Q1211)))</f>
        <v/>
      </c>
    </row>
    <row r="1212">
      <c r="A1212" s="30" t="n"/>
      <c r="E1212" s="31" t="n"/>
      <c r="J1212" s="32" t="n"/>
      <c r="K1212" s="32" t="n"/>
      <c r="L1212" s="32" t="n"/>
      <c r="M1212" s="32" t="n"/>
      <c r="N1212" s="32" t="n"/>
      <c r="O1212" s="32" t="n"/>
      <c r="P1212" s="32" t="n"/>
      <c r="Q1212" s="32" t="n"/>
      <c r="U1212" s="31">
        <f>IF($A1212="","",SUM(X1212:AE1212))</f>
        <v/>
      </c>
      <c r="V1212" s="31">
        <f>IF($A1212="","",IF($H1212&lt;&gt;"Ausgabe",0,-$E1212-$U1212))</f>
        <v/>
      </c>
      <c r="W1212" s="33">
        <f>IF($A1212="","",DATE(YEAR($A1212),MONTH($A1212),1))</f>
        <v/>
      </c>
      <c r="X1212" s="34">
        <f>IF(OR($A1212="",$H1212&lt;&gt;"Ausgabe",J1212=""),0,IF(J1212="x",-$E1212/(COUNTIF($J1212:$Q1212,"x")+1),-$E1212*N(J1212)))</f>
        <v/>
      </c>
      <c r="Y1212" s="34">
        <f>IF(OR($A1212="",$H1212&lt;&gt;"Ausgabe",K1212=""),0,IF(K1212="x",-$E1212/(COUNTIF($J1212:$Q1212,"x")+1),-$E1212*N(K1212)))</f>
        <v/>
      </c>
      <c r="Z1212" s="34">
        <f>IF(OR($A1212="",$H1212&lt;&gt;"Ausgabe",L1212=""),0,IF(L1212="x",-$E1212/(COUNTIF($J1212:$Q1212,"x")+1),-$E1212*N(L1212)))</f>
        <v/>
      </c>
      <c r="AA1212" s="34">
        <f>IF(OR($A1212="",$H1212&lt;&gt;"Ausgabe",M1212=""),0,IF(M1212="x",-$E1212/(COUNTIF($J1212:$Q1212,"x")+1),-$E1212*N(M1212)))</f>
        <v/>
      </c>
      <c r="AB1212" s="34">
        <f>IF(OR($A1212="",$H1212&lt;&gt;"Ausgabe",N1212=""),0,IF(N1212="x",-$E1212/(COUNTIF($J1212:$Q1212,"x")+1),-$E1212*N(N1212)))</f>
        <v/>
      </c>
      <c r="AC1212" s="34">
        <f>IF(OR($A1212="",$H1212&lt;&gt;"Ausgabe",O1212=""),0,IF(O1212="x",-$E1212/(COUNTIF($J1212:$Q1212,"x")+1),-$E1212*N(O1212)))</f>
        <v/>
      </c>
      <c r="AD1212" s="34">
        <f>IF(OR($A1212="",$H1212&lt;&gt;"Ausgabe",P1212=""),0,IF(P1212="x",-$E1212/(COUNTIF($J1212:$Q1212,"x")+1),-$E1212*N(P1212)))</f>
        <v/>
      </c>
      <c r="AE1212" s="34">
        <f>IF(OR($A1212="",$H1212&lt;&gt;"Ausgabe",Q1212=""),0,IF(Q1212="x",-$E1212/(COUNTIF($J1212:$Q1212,"x")+1),-$E1212*N(Q1212)))</f>
        <v/>
      </c>
    </row>
    <row r="1213">
      <c r="A1213" s="30" t="n"/>
      <c r="E1213" s="31" t="n"/>
      <c r="J1213" s="32" t="n"/>
      <c r="K1213" s="32" t="n"/>
      <c r="L1213" s="32" t="n"/>
      <c r="M1213" s="32" t="n"/>
      <c r="N1213" s="32" t="n"/>
      <c r="O1213" s="32" t="n"/>
      <c r="P1213" s="32" t="n"/>
      <c r="Q1213" s="32" t="n"/>
      <c r="U1213" s="31">
        <f>IF($A1213="","",SUM(X1213:AE1213))</f>
        <v/>
      </c>
      <c r="V1213" s="31">
        <f>IF($A1213="","",IF($H1213&lt;&gt;"Ausgabe",0,-$E1213-$U1213))</f>
        <v/>
      </c>
      <c r="W1213" s="33">
        <f>IF($A1213="","",DATE(YEAR($A1213),MONTH($A1213),1))</f>
        <v/>
      </c>
      <c r="X1213" s="34">
        <f>IF(OR($A1213="",$H1213&lt;&gt;"Ausgabe",J1213=""),0,IF(J1213="x",-$E1213/(COUNTIF($J1213:$Q1213,"x")+1),-$E1213*N(J1213)))</f>
        <v/>
      </c>
      <c r="Y1213" s="34">
        <f>IF(OR($A1213="",$H1213&lt;&gt;"Ausgabe",K1213=""),0,IF(K1213="x",-$E1213/(COUNTIF($J1213:$Q1213,"x")+1),-$E1213*N(K1213)))</f>
        <v/>
      </c>
      <c r="Z1213" s="34">
        <f>IF(OR($A1213="",$H1213&lt;&gt;"Ausgabe",L1213=""),0,IF(L1213="x",-$E1213/(COUNTIF($J1213:$Q1213,"x")+1),-$E1213*N(L1213)))</f>
        <v/>
      </c>
      <c r="AA1213" s="34">
        <f>IF(OR($A1213="",$H1213&lt;&gt;"Ausgabe",M1213=""),0,IF(M1213="x",-$E1213/(COUNTIF($J1213:$Q1213,"x")+1),-$E1213*N(M1213)))</f>
        <v/>
      </c>
      <c r="AB1213" s="34">
        <f>IF(OR($A1213="",$H1213&lt;&gt;"Ausgabe",N1213=""),0,IF(N1213="x",-$E1213/(COUNTIF($J1213:$Q1213,"x")+1),-$E1213*N(N1213)))</f>
        <v/>
      </c>
      <c r="AC1213" s="34">
        <f>IF(OR($A1213="",$H1213&lt;&gt;"Ausgabe",O1213=""),0,IF(O1213="x",-$E1213/(COUNTIF($J1213:$Q1213,"x")+1),-$E1213*N(O1213)))</f>
        <v/>
      </c>
      <c r="AD1213" s="34">
        <f>IF(OR($A1213="",$H1213&lt;&gt;"Ausgabe",P1213=""),0,IF(P1213="x",-$E1213/(COUNTIF($J1213:$Q1213,"x")+1),-$E1213*N(P1213)))</f>
        <v/>
      </c>
      <c r="AE1213" s="34">
        <f>IF(OR($A1213="",$H1213&lt;&gt;"Ausgabe",Q1213=""),0,IF(Q1213="x",-$E1213/(COUNTIF($J1213:$Q1213,"x")+1),-$E1213*N(Q1213)))</f>
        <v/>
      </c>
    </row>
    <row r="1214">
      <c r="A1214" s="30" t="n"/>
      <c r="E1214" s="31" t="n"/>
      <c r="J1214" s="32" t="n"/>
      <c r="K1214" s="32" t="n"/>
      <c r="L1214" s="32" t="n"/>
      <c r="M1214" s="32" t="n"/>
      <c r="N1214" s="32" t="n"/>
      <c r="O1214" s="32" t="n"/>
      <c r="P1214" s="32" t="n"/>
      <c r="Q1214" s="32" t="n"/>
      <c r="U1214" s="31">
        <f>IF($A1214="","",SUM(X1214:AE1214))</f>
        <v/>
      </c>
      <c r="V1214" s="31">
        <f>IF($A1214="","",IF($H1214&lt;&gt;"Ausgabe",0,-$E1214-$U1214))</f>
        <v/>
      </c>
      <c r="W1214" s="33">
        <f>IF($A1214="","",DATE(YEAR($A1214),MONTH($A1214),1))</f>
        <v/>
      </c>
      <c r="X1214" s="34">
        <f>IF(OR($A1214="",$H1214&lt;&gt;"Ausgabe",J1214=""),0,IF(J1214="x",-$E1214/(COUNTIF($J1214:$Q1214,"x")+1),-$E1214*N(J1214)))</f>
        <v/>
      </c>
      <c r="Y1214" s="34">
        <f>IF(OR($A1214="",$H1214&lt;&gt;"Ausgabe",K1214=""),0,IF(K1214="x",-$E1214/(COUNTIF($J1214:$Q1214,"x")+1),-$E1214*N(K1214)))</f>
        <v/>
      </c>
      <c r="Z1214" s="34">
        <f>IF(OR($A1214="",$H1214&lt;&gt;"Ausgabe",L1214=""),0,IF(L1214="x",-$E1214/(COUNTIF($J1214:$Q1214,"x")+1),-$E1214*N(L1214)))</f>
        <v/>
      </c>
      <c r="AA1214" s="34">
        <f>IF(OR($A1214="",$H1214&lt;&gt;"Ausgabe",M1214=""),0,IF(M1214="x",-$E1214/(COUNTIF($J1214:$Q1214,"x")+1),-$E1214*N(M1214)))</f>
        <v/>
      </c>
      <c r="AB1214" s="34">
        <f>IF(OR($A1214="",$H1214&lt;&gt;"Ausgabe",N1214=""),0,IF(N1214="x",-$E1214/(COUNTIF($J1214:$Q1214,"x")+1),-$E1214*N(N1214)))</f>
        <v/>
      </c>
      <c r="AC1214" s="34">
        <f>IF(OR($A1214="",$H1214&lt;&gt;"Ausgabe",O1214=""),0,IF(O1214="x",-$E1214/(COUNTIF($J1214:$Q1214,"x")+1),-$E1214*N(O1214)))</f>
        <v/>
      </c>
      <c r="AD1214" s="34">
        <f>IF(OR($A1214="",$H1214&lt;&gt;"Ausgabe",P1214=""),0,IF(P1214="x",-$E1214/(COUNTIF($J1214:$Q1214,"x")+1),-$E1214*N(P1214)))</f>
        <v/>
      </c>
      <c r="AE1214" s="34">
        <f>IF(OR($A1214="",$H1214&lt;&gt;"Ausgabe",Q1214=""),0,IF(Q1214="x",-$E1214/(COUNTIF($J1214:$Q1214,"x")+1),-$E1214*N(Q1214)))</f>
        <v/>
      </c>
    </row>
    <row r="1215">
      <c r="A1215" s="30" t="n"/>
      <c r="E1215" s="31" t="n"/>
      <c r="J1215" s="32" t="n"/>
      <c r="K1215" s="32" t="n"/>
      <c r="L1215" s="32" t="n"/>
      <c r="M1215" s="32" t="n"/>
      <c r="N1215" s="32" t="n"/>
      <c r="O1215" s="32" t="n"/>
      <c r="P1215" s="32" t="n"/>
      <c r="Q1215" s="32" t="n"/>
      <c r="U1215" s="31">
        <f>IF($A1215="","",SUM(X1215:AE1215))</f>
        <v/>
      </c>
      <c r="V1215" s="31">
        <f>IF($A1215="","",IF($H1215&lt;&gt;"Ausgabe",0,-$E1215-$U1215))</f>
        <v/>
      </c>
      <c r="W1215" s="33">
        <f>IF($A1215="","",DATE(YEAR($A1215),MONTH($A1215),1))</f>
        <v/>
      </c>
      <c r="X1215" s="34">
        <f>IF(OR($A1215="",$H1215&lt;&gt;"Ausgabe",J1215=""),0,IF(J1215="x",-$E1215/(COUNTIF($J1215:$Q1215,"x")+1),-$E1215*N(J1215)))</f>
        <v/>
      </c>
      <c r="Y1215" s="34">
        <f>IF(OR($A1215="",$H1215&lt;&gt;"Ausgabe",K1215=""),0,IF(K1215="x",-$E1215/(COUNTIF($J1215:$Q1215,"x")+1),-$E1215*N(K1215)))</f>
        <v/>
      </c>
      <c r="Z1215" s="34">
        <f>IF(OR($A1215="",$H1215&lt;&gt;"Ausgabe",L1215=""),0,IF(L1215="x",-$E1215/(COUNTIF($J1215:$Q1215,"x")+1),-$E1215*N(L1215)))</f>
        <v/>
      </c>
      <c r="AA1215" s="34">
        <f>IF(OR($A1215="",$H1215&lt;&gt;"Ausgabe",M1215=""),0,IF(M1215="x",-$E1215/(COUNTIF($J1215:$Q1215,"x")+1),-$E1215*N(M1215)))</f>
        <v/>
      </c>
      <c r="AB1215" s="34">
        <f>IF(OR($A1215="",$H1215&lt;&gt;"Ausgabe",N1215=""),0,IF(N1215="x",-$E1215/(COUNTIF($J1215:$Q1215,"x")+1),-$E1215*N(N1215)))</f>
        <v/>
      </c>
      <c r="AC1215" s="34">
        <f>IF(OR($A1215="",$H1215&lt;&gt;"Ausgabe",O1215=""),0,IF(O1215="x",-$E1215/(COUNTIF($J1215:$Q1215,"x")+1),-$E1215*N(O1215)))</f>
        <v/>
      </c>
      <c r="AD1215" s="34">
        <f>IF(OR($A1215="",$H1215&lt;&gt;"Ausgabe",P1215=""),0,IF(P1215="x",-$E1215/(COUNTIF($J1215:$Q1215,"x")+1),-$E1215*N(P1215)))</f>
        <v/>
      </c>
      <c r="AE1215" s="34">
        <f>IF(OR($A1215="",$H1215&lt;&gt;"Ausgabe",Q1215=""),0,IF(Q1215="x",-$E1215/(COUNTIF($J1215:$Q1215,"x")+1),-$E1215*N(Q1215)))</f>
        <v/>
      </c>
    </row>
    <row r="1216">
      <c r="A1216" s="30" t="n"/>
      <c r="E1216" s="31" t="n"/>
      <c r="J1216" s="32" t="n"/>
      <c r="K1216" s="32" t="n"/>
      <c r="L1216" s="32" t="n"/>
      <c r="M1216" s="32" t="n"/>
      <c r="N1216" s="32" t="n"/>
      <c r="O1216" s="32" t="n"/>
      <c r="P1216" s="32" t="n"/>
      <c r="Q1216" s="32" t="n"/>
      <c r="U1216" s="31">
        <f>IF($A1216="","",SUM(X1216:AE1216))</f>
        <v/>
      </c>
      <c r="V1216" s="31">
        <f>IF($A1216="","",IF($H1216&lt;&gt;"Ausgabe",0,-$E1216-$U1216))</f>
        <v/>
      </c>
      <c r="W1216" s="33">
        <f>IF($A1216="","",DATE(YEAR($A1216),MONTH($A1216),1))</f>
        <v/>
      </c>
      <c r="X1216" s="34">
        <f>IF(OR($A1216="",$H1216&lt;&gt;"Ausgabe",J1216=""),0,IF(J1216="x",-$E1216/(COUNTIF($J1216:$Q1216,"x")+1),-$E1216*N(J1216)))</f>
        <v/>
      </c>
      <c r="Y1216" s="34">
        <f>IF(OR($A1216="",$H1216&lt;&gt;"Ausgabe",K1216=""),0,IF(K1216="x",-$E1216/(COUNTIF($J1216:$Q1216,"x")+1),-$E1216*N(K1216)))</f>
        <v/>
      </c>
      <c r="Z1216" s="34">
        <f>IF(OR($A1216="",$H1216&lt;&gt;"Ausgabe",L1216=""),0,IF(L1216="x",-$E1216/(COUNTIF($J1216:$Q1216,"x")+1),-$E1216*N(L1216)))</f>
        <v/>
      </c>
      <c r="AA1216" s="34">
        <f>IF(OR($A1216="",$H1216&lt;&gt;"Ausgabe",M1216=""),0,IF(M1216="x",-$E1216/(COUNTIF($J1216:$Q1216,"x")+1),-$E1216*N(M1216)))</f>
        <v/>
      </c>
      <c r="AB1216" s="34">
        <f>IF(OR($A1216="",$H1216&lt;&gt;"Ausgabe",N1216=""),0,IF(N1216="x",-$E1216/(COUNTIF($J1216:$Q1216,"x")+1),-$E1216*N(N1216)))</f>
        <v/>
      </c>
      <c r="AC1216" s="34">
        <f>IF(OR($A1216="",$H1216&lt;&gt;"Ausgabe",O1216=""),0,IF(O1216="x",-$E1216/(COUNTIF($J1216:$Q1216,"x")+1),-$E1216*N(O1216)))</f>
        <v/>
      </c>
      <c r="AD1216" s="34">
        <f>IF(OR($A1216="",$H1216&lt;&gt;"Ausgabe",P1216=""),0,IF(P1216="x",-$E1216/(COUNTIF($J1216:$Q1216,"x")+1),-$E1216*N(P1216)))</f>
        <v/>
      </c>
      <c r="AE1216" s="34">
        <f>IF(OR($A1216="",$H1216&lt;&gt;"Ausgabe",Q1216=""),0,IF(Q1216="x",-$E1216/(COUNTIF($J1216:$Q1216,"x")+1),-$E1216*N(Q1216)))</f>
        <v/>
      </c>
    </row>
    <row r="1217">
      <c r="A1217" s="30" t="n"/>
      <c r="E1217" s="31" t="n"/>
      <c r="J1217" s="32" t="n"/>
      <c r="K1217" s="32" t="n"/>
      <c r="L1217" s="32" t="n"/>
      <c r="M1217" s="32" t="n"/>
      <c r="N1217" s="32" t="n"/>
      <c r="O1217" s="32" t="n"/>
      <c r="P1217" s="32" t="n"/>
      <c r="Q1217" s="32" t="n"/>
      <c r="U1217" s="31">
        <f>IF($A1217="","",SUM(X1217:AE1217))</f>
        <v/>
      </c>
      <c r="V1217" s="31">
        <f>IF($A1217="","",IF($H1217&lt;&gt;"Ausgabe",0,-$E1217-$U1217))</f>
        <v/>
      </c>
      <c r="W1217" s="33">
        <f>IF($A1217="","",DATE(YEAR($A1217),MONTH($A1217),1))</f>
        <v/>
      </c>
      <c r="X1217" s="34">
        <f>IF(OR($A1217="",$H1217&lt;&gt;"Ausgabe",J1217=""),0,IF(J1217="x",-$E1217/(COUNTIF($J1217:$Q1217,"x")+1),-$E1217*N(J1217)))</f>
        <v/>
      </c>
      <c r="Y1217" s="34">
        <f>IF(OR($A1217="",$H1217&lt;&gt;"Ausgabe",K1217=""),0,IF(K1217="x",-$E1217/(COUNTIF($J1217:$Q1217,"x")+1),-$E1217*N(K1217)))</f>
        <v/>
      </c>
      <c r="Z1217" s="34">
        <f>IF(OR($A1217="",$H1217&lt;&gt;"Ausgabe",L1217=""),0,IF(L1217="x",-$E1217/(COUNTIF($J1217:$Q1217,"x")+1),-$E1217*N(L1217)))</f>
        <v/>
      </c>
      <c r="AA1217" s="34">
        <f>IF(OR($A1217="",$H1217&lt;&gt;"Ausgabe",M1217=""),0,IF(M1217="x",-$E1217/(COUNTIF($J1217:$Q1217,"x")+1),-$E1217*N(M1217)))</f>
        <v/>
      </c>
      <c r="AB1217" s="34">
        <f>IF(OR($A1217="",$H1217&lt;&gt;"Ausgabe",N1217=""),0,IF(N1217="x",-$E1217/(COUNTIF($J1217:$Q1217,"x")+1),-$E1217*N(N1217)))</f>
        <v/>
      </c>
      <c r="AC1217" s="34">
        <f>IF(OR($A1217="",$H1217&lt;&gt;"Ausgabe",O1217=""),0,IF(O1217="x",-$E1217/(COUNTIF($J1217:$Q1217,"x")+1),-$E1217*N(O1217)))</f>
        <v/>
      </c>
      <c r="AD1217" s="34">
        <f>IF(OR($A1217="",$H1217&lt;&gt;"Ausgabe",P1217=""),0,IF(P1217="x",-$E1217/(COUNTIF($J1217:$Q1217,"x")+1),-$E1217*N(P1217)))</f>
        <v/>
      </c>
      <c r="AE1217" s="34">
        <f>IF(OR($A1217="",$H1217&lt;&gt;"Ausgabe",Q1217=""),0,IF(Q1217="x",-$E1217/(COUNTIF($J1217:$Q1217,"x")+1),-$E1217*N(Q1217)))</f>
        <v/>
      </c>
    </row>
    <row r="1218">
      <c r="A1218" s="30" t="n"/>
      <c r="E1218" s="31" t="n"/>
      <c r="J1218" s="32" t="n"/>
      <c r="K1218" s="32" t="n"/>
      <c r="L1218" s="32" t="n"/>
      <c r="M1218" s="32" t="n"/>
      <c r="N1218" s="32" t="n"/>
      <c r="O1218" s="32" t="n"/>
      <c r="P1218" s="32" t="n"/>
      <c r="Q1218" s="32" t="n"/>
      <c r="U1218" s="31">
        <f>IF($A1218="","",SUM(X1218:AE1218))</f>
        <v/>
      </c>
      <c r="V1218" s="31">
        <f>IF($A1218="","",IF($H1218&lt;&gt;"Ausgabe",0,-$E1218-$U1218))</f>
        <v/>
      </c>
      <c r="W1218" s="33">
        <f>IF($A1218="","",DATE(YEAR($A1218),MONTH($A1218),1))</f>
        <v/>
      </c>
      <c r="X1218" s="34">
        <f>IF(OR($A1218="",$H1218&lt;&gt;"Ausgabe",J1218=""),0,IF(J1218="x",-$E1218/(COUNTIF($J1218:$Q1218,"x")+1),-$E1218*N(J1218)))</f>
        <v/>
      </c>
      <c r="Y1218" s="34">
        <f>IF(OR($A1218="",$H1218&lt;&gt;"Ausgabe",K1218=""),0,IF(K1218="x",-$E1218/(COUNTIF($J1218:$Q1218,"x")+1),-$E1218*N(K1218)))</f>
        <v/>
      </c>
      <c r="Z1218" s="34">
        <f>IF(OR($A1218="",$H1218&lt;&gt;"Ausgabe",L1218=""),0,IF(L1218="x",-$E1218/(COUNTIF($J1218:$Q1218,"x")+1),-$E1218*N(L1218)))</f>
        <v/>
      </c>
      <c r="AA1218" s="34">
        <f>IF(OR($A1218="",$H1218&lt;&gt;"Ausgabe",M1218=""),0,IF(M1218="x",-$E1218/(COUNTIF($J1218:$Q1218,"x")+1),-$E1218*N(M1218)))</f>
        <v/>
      </c>
      <c r="AB1218" s="34">
        <f>IF(OR($A1218="",$H1218&lt;&gt;"Ausgabe",N1218=""),0,IF(N1218="x",-$E1218/(COUNTIF($J1218:$Q1218,"x")+1),-$E1218*N(N1218)))</f>
        <v/>
      </c>
      <c r="AC1218" s="34">
        <f>IF(OR($A1218="",$H1218&lt;&gt;"Ausgabe",O1218=""),0,IF(O1218="x",-$E1218/(COUNTIF($J1218:$Q1218,"x")+1),-$E1218*N(O1218)))</f>
        <v/>
      </c>
      <c r="AD1218" s="34">
        <f>IF(OR($A1218="",$H1218&lt;&gt;"Ausgabe",P1218=""),0,IF(P1218="x",-$E1218/(COUNTIF($J1218:$Q1218,"x")+1),-$E1218*N(P1218)))</f>
        <v/>
      </c>
      <c r="AE1218" s="34">
        <f>IF(OR($A1218="",$H1218&lt;&gt;"Ausgabe",Q1218=""),0,IF(Q1218="x",-$E1218/(COUNTIF($J1218:$Q1218,"x")+1),-$E1218*N(Q1218)))</f>
        <v/>
      </c>
    </row>
    <row r="1219">
      <c r="A1219" s="30" t="n"/>
      <c r="E1219" s="31" t="n"/>
      <c r="J1219" s="32" t="n"/>
      <c r="K1219" s="32" t="n"/>
      <c r="L1219" s="32" t="n"/>
      <c r="M1219" s="32" t="n"/>
      <c r="N1219" s="32" t="n"/>
      <c r="O1219" s="32" t="n"/>
      <c r="P1219" s="32" t="n"/>
      <c r="Q1219" s="32" t="n"/>
      <c r="U1219" s="31">
        <f>IF($A1219="","",SUM(X1219:AE1219))</f>
        <v/>
      </c>
      <c r="V1219" s="31">
        <f>IF($A1219="","",IF($H1219&lt;&gt;"Ausgabe",0,-$E1219-$U1219))</f>
        <v/>
      </c>
      <c r="W1219" s="33">
        <f>IF($A1219="","",DATE(YEAR($A1219),MONTH($A1219),1))</f>
        <v/>
      </c>
      <c r="X1219" s="34">
        <f>IF(OR($A1219="",$H1219&lt;&gt;"Ausgabe",J1219=""),0,IF(J1219="x",-$E1219/(COUNTIF($J1219:$Q1219,"x")+1),-$E1219*N(J1219)))</f>
        <v/>
      </c>
      <c r="Y1219" s="34">
        <f>IF(OR($A1219="",$H1219&lt;&gt;"Ausgabe",K1219=""),0,IF(K1219="x",-$E1219/(COUNTIF($J1219:$Q1219,"x")+1),-$E1219*N(K1219)))</f>
        <v/>
      </c>
      <c r="Z1219" s="34">
        <f>IF(OR($A1219="",$H1219&lt;&gt;"Ausgabe",L1219=""),0,IF(L1219="x",-$E1219/(COUNTIF($J1219:$Q1219,"x")+1),-$E1219*N(L1219)))</f>
        <v/>
      </c>
      <c r="AA1219" s="34">
        <f>IF(OR($A1219="",$H1219&lt;&gt;"Ausgabe",M1219=""),0,IF(M1219="x",-$E1219/(COUNTIF($J1219:$Q1219,"x")+1),-$E1219*N(M1219)))</f>
        <v/>
      </c>
      <c r="AB1219" s="34">
        <f>IF(OR($A1219="",$H1219&lt;&gt;"Ausgabe",N1219=""),0,IF(N1219="x",-$E1219/(COUNTIF($J1219:$Q1219,"x")+1),-$E1219*N(N1219)))</f>
        <v/>
      </c>
      <c r="AC1219" s="34">
        <f>IF(OR($A1219="",$H1219&lt;&gt;"Ausgabe",O1219=""),0,IF(O1219="x",-$E1219/(COUNTIF($J1219:$Q1219,"x")+1),-$E1219*N(O1219)))</f>
        <v/>
      </c>
      <c r="AD1219" s="34">
        <f>IF(OR($A1219="",$H1219&lt;&gt;"Ausgabe",P1219=""),0,IF(P1219="x",-$E1219/(COUNTIF($J1219:$Q1219,"x")+1),-$E1219*N(P1219)))</f>
        <v/>
      </c>
      <c r="AE1219" s="34">
        <f>IF(OR($A1219="",$H1219&lt;&gt;"Ausgabe",Q1219=""),0,IF(Q1219="x",-$E1219/(COUNTIF($J1219:$Q1219,"x")+1),-$E1219*N(Q1219)))</f>
        <v/>
      </c>
    </row>
    <row r="1220">
      <c r="A1220" s="30" t="n"/>
      <c r="E1220" s="31" t="n"/>
      <c r="J1220" s="32" t="n"/>
      <c r="K1220" s="32" t="n"/>
      <c r="L1220" s="32" t="n"/>
      <c r="M1220" s="32" t="n"/>
      <c r="N1220" s="32" t="n"/>
      <c r="O1220" s="32" t="n"/>
      <c r="P1220" s="32" t="n"/>
      <c r="Q1220" s="32" t="n"/>
      <c r="U1220" s="31">
        <f>IF($A1220="","",SUM(X1220:AE1220))</f>
        <v/>
      </c>
      <c r="V1220" s="31">
        <f>IF($A1220="","",IF($H1220&lt;&gt;"Ausgabe",0,-$E1220-$U1220))</f>
        <v/>
      </c>
      <c r="W1220" s="33">
        <f>IF($A1220="","",DATE(YEAR($A1220),MONTH($A1220),1))</f>
        <v/>
      </c>
      <c r="X1220" s="34">
        <f>IF(OR($A1220="",$H1220&lt;&gt;"Ausgabe",J1220=""),0,IF(J1220="x",-$E1220/(COUNTIF($J1220:$Q1220,"x")+1),-$E1220*N(J1220)))</f>
        <v/>
      </c>
      <c r="Y1220" s="34">
        <f>IF(OR($A1220="",$H1220&lt;&gt;"Ausgabe",K1220=""),0,IF(K1220="x",-$E1220/(COUNTIF($J1220:$Q1220,"x")+1),-$E1220*N(K1220)))</f>
        <v/>
      </c>
      <c r="Z1220" s="34">
        <f>IF(OR($A1220="",$H1220&lt;&gt;"Ausgabe",L1220=""),0,IF(L1220="x",-$E1220/(COUNTIF($J1220:$Q1220,"x")+1),-$E1220*N(L1220)))</f>
        <v/>
      </c>
      <c r="AA1220" s="34">
        <f>IF(OR($A1220="",$H1220&lt;&gt;"Ausgabe",M1220=""),0,IF(M1220="x",-$E1220/(COUNTIF($J1220:$Q1220,"x")+1),-$E1220*N(M1220)))</f>
        <v/>
      </c>
      <c r="AB1220" s="34">
        <f>IF(OR($A1220="",$H1220&lt;&gt;"Ausgabe",N1220=""),0,IF(N1220="x",-$E1220/(COUNTIF($J1220:$Q1220,"x")+1),-$E1220*N(N1220)))</f>
        <v/>
      </c>
      <c r="AC1220" s="34">
        <f>IF(OR($A1220="",$H1220&lt;&gt;"Ausgabe",O1220=""),0,IF(O1220="x",-$E1220/(COUNTIF($J1220:$Q1220,"x")+1),-$E1220*N(O1220)))</f>
        <v/>
      </c>
      <c r="AD1220" s="34">
        <f>IF(OR($A1220="",$H1220&lt;&gt;"Ausgabe",P1220=""),0,IF(P1220="x",-$E1220/(COUNTIF($J1220:$Q1220,"x")+1),-$E1220*N(P1220)))</f>
        <v/>
      </c>
      <c r="AE1220" s="34">
        <f>IF(OR($A1220="",$H1220&lt;&gt;"Ausgabe",Q1220=""),0,IF(Q1220="x",-$E1220/(COUNTIF($J1220:$Q1220,"x")+1),-$E1220*N(Q1220)))</f>
        <v/>
      </c>
    </row>
    <row r="1221">
      <c r="A1221" s="30" t="n"/>
      <c r="E1221" s="31" t="n"/>
      <c r="J1221" s="32" t="n"/>
      <c r="K1221" s="32" t="n"/>
      <c r="L1221" s="32" t="n"/>
      <c r="M1221" s="32" t="n"/>
      <c r="N1221" s="32" t="n"/>
      <c r="O1221" s="32" t="n"/>
      <c r="P1221" s="32" t="n"/>
      <c r="Q1221" s="32" t="n"/>
      <c r="U1221" s="31">
        <f>IF($A1221="","",SUM(X1221:AE1221))</f>
        <v/>
      </c>
      <c r="V1221" s="31">
        <f>IF($A1221="","",IF($H1221&lt;&gt;"Ausgabe",0,-$E1221-$U1221))</f>
        <v/>
      </c>
      <c r="W1221" s="33">
        <f>IF($A1221="","",DATE(YEAR($A1221),MONTH($A1221),1))</f>
        <v/>
      </c>
      <c r="X1221" s="34">
        <f>IF(OR($A1221="",$H1221&lt;&gt;"Ausgabe",J1221=""),0,IF(J1221="x",-$E1221/(COUNTIF($J1221:$Q1221,"x")+1),-$E1221*N(J1221)))</f>
        <v/>
      </c>
      <c r="Y1221" s="34">
        <f>IF(OR($A1221="",$H1221&lt;&gt;"Ausgabe",K1221=""),0,IF(K1221="x",-$E1221/(COUNTIF($J1221:$Q1221,"x")+1),-$E1221*N(K1221)))</f>
        <v/>
      </c>
      <c r="Z1221" s="34">
        <f>IF(OR($A1221="",$H1221&lt;&gt;"Ausgabe",L1221=""),0,IF(L1221="x",-$E1221/(COUNTIF($J1221:$Q1221,"x")+1),-$E1221*N(L1221)))</f>
        <v/>
      </c>
      <c r="AA1221" s="34">
        <f>IF(OR($A1221="",$H1221&lt;&gt;"Ausgabe",M1221=""),0,IF(M1221="x",-$E1221/(COUNTIF($J1221:$Q1221,"x")+1),-$E1221*N(M1221)))</f>
        <v/>
      </c>
      <c r="AB1221" s="34">
        <f>IF(OR($A1221="",$H1221&lt;&gt;"Ausgabe",N1221=""),0,IF(N1221="x",-$E1221/(COUNTIF($J1221:$Q1221,"x")+1),-$E1221*N(N1221)))</f>
        <v/>
      </c>
      <c r="AC1221" s="34">
        <f>IF(OR($A1221="",$H1221&lt;&gt;"Ausgabe",O1221=""),0,IF(O1221="x",-$E1221/(COUNTIF($J1221:$Q1221,"x")+1),-$E1221*N(O1221)))</f>
        <v/>
      </c>
      <c r="AD1221" s="34">
        <f>IF(OR($A1221="",$H1221&lt;&gt;"Ausgabe",P1221=""),0,IF(P1221="x",-$E1221/(COUNTIF($J1221:$Q1221,"x")+1),-$E1221*N(P1221)))</f>
        <v/>
      </c>
      <c r="AE1221" s="34">
        <f>IF(OR($A1221="",$H1221&lt;&gt;"Ausgabe",Q1221=""),0,IF(Q1221="x",-$E1221/(COUNTIF($J1221:$Q1221,"x")+1),-$E1221*N(Q1221)))</f>
        <v/>
      </c>
    </row>
    <row r="1222">
      <c r="A1222" s="30" t="n"/>
      <c r="E1222" s="31" t="n"/>
      <c r="J1222" s="32" t="n"/>
      <c r="K1222" s="32" t="n"/>
      <c r="L1222" s="32" t="n"/>
      <c r="M1222" s="32" t="n"/>
      <c r="N1222" s="32" t="n"/>
      <c r="O1222" s="32" t="n"/>
      <c r="P1222" s="32" t="n"/>
      <c r="Q1222" s="32" t="n"/>
      <c r="U1222" s="31">
        <f>IF($A1222="","",SUM(X1222:AE1222))</f>
        <v/>
      </c>
      <c r="V1222" s="31">
        <f>IF($A1222="","",IF($H1222&lt;&gt;"Ausgabe",0,-$E1222-$U1222))</f>
        <v/>
      </c>
      <c r="W1222" s="33">
        <f>IF($A1222="","",DATE(YEAR($A1222),MONTH($A1222),1))</f>
        <v/>
      </c>
      <c r="X1222" s="34">
        <f>IF(OR($A1222="",$H1222&lt;&gt;"Ausgabe",J1222=""),0,IF(J1222="x",-$E1222/(COUNTIF($J1222:$Q1222,"x")+1),-$E1222*N(J1222)))</f>
        <v/>
      </c>
      <c r="Y1222" s="34">
        <f>IF(OR($A1222="",$H1222&lt;&gt;"Ausgabe",K1222=""),0,IF(K1222="x",-$E1222/(COUNTIF($J1222:$Q1222,"x")+1),-$E1222*N(K1222)))</f>
        <v/>
      </c>
      <c r="Z1222" s="34">
        <f>IF(OR($A1222="",$H1222&lt;&gt;"Ausgabe",L1222=""),0,IF(L1222="x",-$E1222/(COUNTIF($J1222:$Q1222,"x")+1),-$E1222*N(L1222)))</f>
        <v/>
      </c>
      <c r="AA1222" s="34">
        <f>IF(OR($A1222="",$H1222&lt;&gt;"Ausgabe",M1222=""),0,IF(M1222="x",-$E1222/(COUNTIF($J1222:$Q1222,"x")+1),-$E1222*N(M1222)))</f>
        <v/>
      </c>
      <c r="AB1222" s="34">
        <f>IF(OR($A1222="",$H1222&lt;&gt;"Ausgabe",N1222=""),0,IF(N1222="x",-$E1222/(COUNTIF($J1222:$Q1222,"x")+1),-$E1222*N(N1222)))</f>
        <v/>
      </c>
      <c r="AC1222" s="34">
        <f>IF(OR($A1222="",$H1222&lt;&gt;"Ausgabe",O1222=""),0,IF(O1222="x",-$E1222/(COUNTIF($J1222:$Q1222,"x")+1),-$E1222*N(O1222)))</f>
        <v/>
      </c>
      <c r="AD1222" s="34">
        <f>IF(OR($A1222="",$H1222&lt;&gt;"Ausgabe",P1222=""),0,IF(P1222="x",-$E1222/(COUNTIF($J1222:$Q1222,"x")+1),-$E1222*N(P1222)))</f>
        <v/>
      </c>
      <c r="AE1222" s="34">
        <f>IF(OR($A1222="",$H1222&lt;&gt;"Ausgabe",Q1222=""),0,IF(Q1222="x",-$E1222/(COUNTIF($J1222:$Q1222,"x")+1),-$E1222*N(Q1222)))</f>
        <v/>
      </c>
    </row>
    <row r="1223">
      <c r="A1223" s="30" t="n"/>
      <c r="E1223" s="31" t="n"/>
      <c r="J1223" s="32" t="n"/>
      <c r="K1223" s="32" t="n"/>
      <c r="L1223" s="32" t="n"/>
      <c r="M1223" s="32" t="n"/>
      <c r="N1223" s="32" t="n"/>
      <c r="O1223" s="32" t="n"/>
      <c r="P1223" s="32" t="n"/>
      <c r="Q1223" s="32" t="n"/>
      <c r="U1223" s="31">
        <f>IF($A1223="","",SUM(X1223:AE1223))</f>
        <v/>
      </c>
      <c r="V1223" s="31">
        <f>IF($A1223="","",IF($H1223&lt;&gt;"Ausgabe",0,-$E1223-$U1223))</f>
        <v/>
      </c>
      <c r="W1223" s="33">
        <f>IF($A1223="","",DATE(YEAR($A1223),MONTH($A1223),1))</f>
        <v/>
      </c>
      <c r="X1223" s="34">
        <f>IF(OR($A1223="",$H1223&lt;&gt;"Ausgabe",J1223=""),0,IF(J1223="x",-$E1223/(COUNTIF($J1223:$Q1223,"x")+1),-$E1223*N(J1223)))</f>
        <v/>
      </c>
      <c r="Y1223" s="34">
        <f>IF(OR($A1223="",$H1223&lt;&gt;"Ausgabe",K1223=""),0,IF(K1223="x",-$E1223/(COUNTIF($J1223:$Q1223,"x")+1),-$E1223*N(K1223)))</f>
        <v/>
      </c>
      <c r="Z1223" s="34">
        <f>IF(OR($A1223="",$H1223&lt;&gt;"Ausgabe",L1223=""),0,IF(L1223="x",-$E1223/(COUNTIF($J1223:$Q1223,"x")+1),-$E1223*N(L1223)))</f>
        <v/>
      </c>
      <c r="AA1223" s="34">
        <f>IF(OR($A1223="",$H1223&lt;&gt;"Ausgabe",M1223=""),0,IF(M1223="x",-$E1223/(COUNTIF($J1223:$Q1223,"x")+1),-$E1223*N(M1223)))</f>
        <v/>
      </c>
      <c r="AB1223" s="34">
        <f>IF(OR($A1223="",$H1223&lt;&gt;"Ausgabe",N1223=""),0,IF(N1223="x",-$E1223/(COUNTIF($J1223:$Q1223,"x")+1),-$E1223*N(N1223)))</f>
        <v/>
      </c>
      <c r="AC1223" s="34">
        <f>IF(OR($A1223="",$H1223&lt;&gt;"Ausgabe",O1223=""),0,IF(O1223="x",-$E1223/(COUNTIF($J1223:$Q1223,"x")+1),-$E1223*N(O1223)))</f>
        <v/>
      </c>
      <c r="AD1223" s="34">
        <f>IF(OR($A1223="",$H1223&lt;&gt;"Ausgabe",P1223=""),0,IF(P1223="x",-$E1223/(COUNTIF($J1223:$Q1223,"x")+1),-$E1223*N(P1223)))</f>
        <v/>
      </c>
      <c r="AE1223" s="34">
        <f>IF(OR($A1223="",$H1223&lt;&gt;"Ausgabe",Q1223=""),0,IF(Q1223="x",-$E1223/(COUNTIF($J1223:$Q1223,"x")+1),-$E1223*N(Q1223)))</f>
        <v/>
      </c>
    </row>
    <row r="1224">
      <c r="A1224" s="30" t="n"/>
      <c r="E1224" s="31" t="n"/>
      <c r="J1224" s="32" t="n"/>
      <c r="K1224" s="32" t="n"/>
      <c r="L1224" s="32" t="n"/>
      <c r="M1224" s="32" t="n"/>
      <c r="N1224" s="32" t="n"/>
      <c r="O1224" s="32" t="n"/>
      <c r="P1224" s="32" t="n"/>
      <c r="Q1224" s="32" t="n"/>
      <c r="U1224" s="31">
        <f>IF($A1224="","",SUM(X1224:AE1224))</f>
        <v/>
      </c>
      <c r="V1224" s="31">
        <f>IF($A1224="","",IF($H1224&lt;&gt;"Ausgabe",0,-$E1224-$U1224))</f>
        <v/>
      </c>
      <c r="W1224" s="33">
        <f>IF($A1224="","",DATE(YEAR($A1224),MONTH($A1224),1))</f>
        <v/>
      </c>
      <c r="X1224" s="34">
        <f>IF(OR($A1224="",$H1224&lt;&gt;"Ausgabe",J1224=""),0,IF(J1224="x",-$E1224/(COUNTIF($J1224:$Q1224,"x")+1),-$E1224*N(J1224)))</f>
        <v/>
      </c>
      <c r="Y1224" s="34">
        <f>IF(OR($A1224="",$H1224&lt;&gt;"Ausgabe",K1224=""),0,IF(K1224="x",-$E1224/(COUNTIF($J1224:$Q1224,"x")+1),-$E1224*N(K1224)))</f>
        <v/>
      </c>
      <c r="Z1224" s="34">
        <f>IF(OR($A1224="",$H1224&lt;&gt;"Ausgabe",L1224=""),0,IF(L1224="x",-$E1224/(COUNTIF($J1224:$Q1224,"x")+1),-$E1224*N(L1224)))</f>
        <v/>
      </c>
      <c r="AA1224" s="34">
        <f>IF(OR($A1224="",$H1224&lt;&gt;"Ausgabe",M1224=""),0,IF(M1224="x",-$E1224/(COUNTIF($J1224:$Q1224,"x")+1),-$E1224*N(M1224)))</f>
        <v/>
      </c>
      <c r="AB1224" s="34">
        <f>IF(OR($A1224="",$H1224&lt;&gt;"Ausgabe",N1224=""),0,IF(N1224="x",-$E1224/(COUNTIF($J1224:$Q1224,"x")+1),-$E1224*N(N1224)))</f>
        <v/>
      </c>
      <c r="AC1224" s="34">
        <f>IF(OR($A1224="",$H1224&lt;&gt;"Ausgabe",O1224=""),0,IF(O1224="x",-$E1224/(COUNTIF($J1224:$Q1224,"x")+1),-$E1224*N(O1224)))</f>
        <v/>
      </c>
      <c r="AD1224" s="34">
        <f>IF(OR($A1224="",$H1224&lt;&gt;"Ausgabe",P1224=""),0,IF(P1224="x",-$E1224/(COUNTIF($J1224:$Q1224,"x")+1),-$E1224*N(P1224)))</f>
        <v/>
      </c>
      <c r="AE1224" s="34">
        <f>IF(OR($A1224="",$H1224&lt;&gt;"Ausgabe",Q1224=""),0,IF(Q1224="x",-$E1224/(COUNTIF($J1224:$Q1224,"x")+1),-$E1224*N(Q1224)))</f>
        <v/>
      </c>
    </row>
    <row r="1225">
      <c r="A1225" s="30" t="n"/>
      <c r="E1225" s="31" t="n"/>
      <c r="J1225" s="32" t="n"/>
      <c r="K1225" s="32" t="n"/>
      <c r="L1225" s="32" t="n"/>
      <c r="M1225" s="32" t="n"/>
      <c r="N1225" s="32" t="n"/>
      <c r="O1225" s="32" t="n"/>
      <c r="P1225" s="32" t="n"/>
      <c r="Q1225" s="32" t="n"/>
      <c r="U1225" s="31">
        <f>IF($A1225="","",SUM(X1225:AE1225))</f>
        <v/>
      </c>
      <c r="V1225" s="31">
        <f>IF($A1225="","",IF($H1225&lt;&gt;"Ausgabe",0,-$E1225-$U1225))</f>
        <v/>
      </c>
      <c r="W1225" s="33">
        <f>IF($A1225="","",DATE(YEAR($A1225),MONTH($A1225),1))</f>
        <v/>
      </c>
      <c r="X1225" s="34">
        <f>IF(OR($A1225="",$H1225&lt;&gt;"Ausgabe",J1225=""),0,IF(J1225="x",-$E1225/(COUNTIF($J1225:$Q1225,"x")+1),-$E1225*N(J1225)))</f>
        <v/>
      </c>
      <c r="Y1225" s="34">
        <f>IF(OR($A1225="",$H1225&lt;&gt;"Ausgabe",K1225=""),0,IF(K1225="x",-$E1225/(COUNTIF($J1225:$Q1225,"x")+1),-$E1225*N(K1225)))</f>
        <v/>
      </c>
      <c r="Z1225" s="34">
        <f>IF(OR($A1225="",$H1225&lt;&gt;"Ausgabe",L1225=""),0,IF(L1225="x",-$E1225/(COUNTIF($J1225:$Q1225,"x")+1),-$E1225*N(L1225)))</f>
        <v/>
      </c>
      <c r="AA1225" s="34">
        <f>IF(OR($A1225="",$H1225&lt;&gt;"Ausgabe",M1225=""),0,IF(M1225="x",-$E1225/(COUNTIF($J1225:$Q1225,"x")+1),-$E1225*N(M1225)))</f>
        <v/>
      </c>
      <c r="AB1225" s="34">
        <f>IF(OR($A1225="",$H1225&lt;&gt;"Ausgabe",N1225=""),0,IF(N1225="x",-$E1225/(COUNTIF($J1225:$Q1225,"x")+1),-$E1225*N(N1225)))</f>
        <v/>
      </c>
      <c r="AC1225" s="34">
        <f>IF(OR($A1225="",$H1225&lt;&gt;"Ausgabe",O1225=""),0,IF(O1225="x",-$E1225/(COUNTIF($J1225:$Q1225,"x")+1),-$E1225*N(O1225)))</f>
        <v/>
      </c>
      <c r="AD1225" s="34">
        <f>IF(OR($A1225="",$H1225&lt;&gt;"Ausgabe",P1225=""),0,IF(P1225="x",-$E1225/(COUNTIF($J1225:$Q1225,"x")+1),-$E1225*N(P1225)))</f>
        <v/>
      </c>
      <c r="AE1225" s="34">
        <f>IF(OR($A1225="",$H1225&lt;&gt;"Ausgabe",Q1225=""),0,IF(Q1225="x",-$E1225/(COUNTIF($J1225:$Q1225,"x")+1),-$E1225*N(Q1225)))</f>
        <v/>
      </c>
    </row>
    <row r="1226">
      <c r="A1226" s="30" t="n"/>
      <c r="E1226" s="31" t="n"/>
      <c r="J1226" s="32" t="n"/>
      <c r="K1226" s="32" t="n"/>
      <c r="L1226" s="32" t="n"/>
      <c r="M1226" s="32" t="n"/>
      <c r="N1226" s="32" t="n"/>
      <c r="O1226" s="32" t="n"/>
      <c r="P1226" s="32" t="n"/>
      <c r="Q1226" s="32" t="n"/>
      <c r="U1226" s="31">
        <f>IF($A1226="","",SUM(X1226:AE1226))</f>
        <v/>
      </c>
      <c r="V1226" s="31">
        <f>IF($A1226="","",IF($H1226&lt;&gt;"Ausgabe",0,-$E1226-$U1226))</f>
        <v/>
      </c>
      <c r="W1226" s="33">
        <f>IF($A1226="","",DATE(YEAR($A1226),MONTH($A1226),1))</f>
        <v/>
      </c>
      <c r="X1226" s="34">
        <f>IF(OR($A1226="",$H1226&lt;&gt;"Ausgabe",J1226=""),0,IF(J1226="x",-$E1226/(COUNTIF($J1226:$Q1226,"x")+1),-$E1226*N(J1226)))</f>
        <v/>
      </c>
      <c r="Y1226" s="34">
        <f>IF(OR($A1226="",$H1226&lt;&gt;"Ausgabe",K1226=""),0,IF(K1226="x",-$E1226/(COUNTIF($J1226:$Q1226,"x")+1),-$E1226*N(K1226)))</f>
        <v/>
      </c>
      <c r="Z1226" s="34">
        <f>IF(OR($A1226="",$H1226&lt;&gt;"Ausgabe",L1226=""),0,IF(L1226="x",-$E1226/(COUNTIF($J1226:$Q1226,"x")+1),-$E1226*N(L1226)))</f>
        <v/>
      </c>
      <c r="AA1226" s="34">
        <f>IF(OR($A1226="",$H1226&lt;&gt;"Ausgabe",M1226=""),0,IF(M1226="x",-$E1226/(COUNTIF($J1226:$Q1226,"x")+1),-$E1226*N(M1226)))</f>
        <v/>
      </c>
      <c r="AB1226" s="34">
        <f>IF(OR($A1226="",$H1226&lt;&gt;"Ausgabe",N1226=""),0,IF(N1226="x",-$E1226/(COUNTIF($J1226:$Q1226,"x")+1),-$E1226*N(N1226)))</f>
        <v/>
      </c>
      <c r="AC1226" s="34">
        <f>IF(OR($A1226="",$H1226&lt;&gt;"Ausgabe",O1226=""),0,IF(O1226="x",-$E1226/(COUNTIF($J1226:$Q1226,"x")+1),-$E1226*N(O1226)))</f>
        <v/>
      </c>
      <c r="AD1226" s="34">
        <f>IF(OR($A1226="",$H1226&lt;&gt;"Ausgabe",P1226=""),0,IF(P1226="x",-$E1226/(COUNTIF($J1226:$Q1226,"x")+1),-$E1226*N(P1226)))</f>
        <v/>
      </c>
      <c r="AE1226" s="34">
        <f>IF(OR($A1226="",$H1226&lt;&gt;"Ausgabe",Q1226=""),0,IF(Q1226="x",-$E1226/(COUNTIF($J1226:$Q1226,"x")+1),-$E1226*N(Q1226)))</f>
        <v/>
      </c>
    </row>
    <row r="1227">
      <c r="A1227" s="30" t="n"/>
      <c r="E1227" s="31" t="n"/>
      <c r="J1227" s="32" t="n"/>
      <c r="K1227" s="32" t="n"/>
      <c r="L1227" s="32" t="n"/>
      <c r="M1227" s="32" t="n"/>
      <c r="N1227" s="32" t="n"/>
      <c r="O1227" s="32" t="n"/>
      <c r="P1227" s="32" t="n"/>
      <c r="Q1227" s="32" t="n"/>
      <c r="U1227" s="31">
        <f>IF($A1227="","",SUM(X1227:AE1227))</f>
        <v/>
      </c>
      <c r="V1227" s="31">
        <f>IF($A1227="","",IF($H1227&lt;&gt;"Ausgabe",0,-$E1227-$U1227))</f>
        <v/>
      </c>
      <c r="W1227" s="33">
        <f>IF($A1227="","",DATE(YEAR($A1227),MONTH($A1227),1))</f>
        <v/>
      </c>
      <c r="X1227" s="34">
        <f>IF(OR($A1227="",$H1227&lt;&gt;"Ausgabe",J1227=""),0,IF(J1227="x",-$E1227/(COUNTIF($J1227:$Q1227,"x")+1),-$E1227*N(J1227)))</f>
        <v/>
      </c>
      <c r="Y1227" s="34">
        <f>IF(OR($A1227="",$H1227&lt;&gt;"Ausgabe",K1227=""),0,IF(K1227="x",-$E1227/(COUNTIF($J1227:$Q1227,"x")+1),-$E1227*N(K1227)))</f>
        <v/>
      </c>
      <c r="Z1227" s="34">
        <f>IF(OR($A1227="",$H1227&lt;&gt;"Ausgabe",L1227=""),0,IF(L1227="x",-$E1227/(COUNTIF($J1227:$Q1227,"x")+1),-$E1227*N(L1227)))</f>
        <v/>
      </c>
      <c r="AA1227" s="34">
        <f>IF(OR($A1227="",$H1227&lt;&gt;"Ausgabe",M1227=""),0,IF(M1227="x",-$E1227/(COUNTIF($J1227:$Q1227,"x")+1),-$E1227*N(M1227)))</f>
        <v/>
      </c>
      <c r="AB1227" s="34">
        <f>IF(OR($A1227="",$H1227&lt;&gt;"Ausgabe",N1227=""),0,IF(N1227="x",-$E1227/(COUNTIF($J1227:$Q1227,"x")+1),-$E1227*N(N1227)))</f>
        <v/>
      </c>
      <c r="AC1227" s="34">
        <f>IF(OR($A1227="",$H1227&lt;&gt;"Ausgabe",O1227=""),0,IF(O1227="x",-$E1227/(COUNTIF($J1227:$Q1227,"x")+1),-$E1227*N(O1227)))</f>
        <v/>
      </c>
      <c r="AD1227" s="34">
        <f>IF(OR($A1227="",$H1227&lt;&gt;"Ausgabe",P1227=""),0,IF(P1227="x",-$E1227/(COUNTIF($J1227:$Q1227,"x")+1),-$E1227*N(P1227)))</f>
        <v/>
      </c>
      <c r="AE1227" s="34">
        <f>IF(OR($A1227="",$H1227&lt;&gt;"Ausgabe",Q1227=""),0,IF(Q1227="x",-$E1227/(COUNTIF($J1227:$Q1227,"x")+1),-$E1227*N(Q1227)))</f>
        <v/>
      </c>
    </row>
    <row r="1228">
      <c r="A1228" s="30" t="n"/>
      <c r="E1228" s="31" t="n"/>
      <c r="J1228" s="32" t="n"/>
      <c r="K1228" s="32" t="n"/>
      <c r="L1228" s="32" t="n"/>
      <c r="M1228" s="32" t="n"/>
      <c r="N1228" s="32" t="n"/>
      <c r="O1228" s="32" t="n"/>
      <c r="P1228" s="32" t="n"/>
      <c r="Q1228" s="32" t="n"/>
      <c r="U1228" s="31">
        <f>IF($A1228="","",SUM(X1228:AE1228))</f>
        <v/>
      </c>
      <c r="V1228" s="31">
        <f>IF($A1228="","",IF($H1228&lt;&gt;"Ausgabe",0,-$E1228-$U1228))</f>
        <v/>
      </c>
      <c r="W1228" s="33">
        <f>IF($A1228="","",DATE(YEAR($A1228),MONTH($A1228),1))</f>
        <v/>
      </c>
      <c r="X1228" s="34">
        <f>IF(OR($A1228="",$H1228&lt;&gt;"Ausgabe",J1228=""),0,IF(J1228="x",-$E1228/(COUNTIF($J1228:$Q1228,"x")+1),-$E1228*N(J1228)))</f>
        <v/>
      </c>
      <c r="Y1228" s="34">
        <f>IF(OR($A1228="",$H1228&lt;&gt;"Ausgabe",K1228=""),0,IF(K1228="x",-$E1228/(COUNTIF($J1228:$Q1228,"x")+1),-$E1228*N(K1228)))</f>
        <v/>
      </c>
      <c r="Z1228" s="34">
        <f>IF(OR($A1228="",$H1228&lt;&gt;"Ausgabe",L1228=""),0,IF(L1228="x",-$E1228/(COUNTIF($J1228:$Q1228,"x")+1),-$E1228*N(L1228)))</f>
        <v/>
      </c>
      <c r="AA1228" s="34">
        <f>IF(OR($A1228="",$H1228&lt;&gt;"Ausgabe",M1228=""),0,IF(M1228="x",-$E1228/(COUNTIF($J1228:$Q1228,"x")+1),-$E1228*N(M1228)))</f>
        <v/>
      </c>
      <c r="AB1228" s="34">
        <f>IF(OR($A1228="",$H1228&lt;&gt;"Ausgabe",N1228=""),0,IF(N1228="x",-$E1228/(COUNTIF($J1228:$Q1228,"x")+1),-$E1228*N(N1228)))</f>
        <v/>
      </c>
      <c r="AC1228" s="34">
        <f>IF(OR($A1228="",$H1228&lt;&gt;"Ausgabe",O1228=""),0,IF(O1228="x",-$E1228/(COUNTIF($J1228:$Q1228,"x")+1),-$E1228*N(O1228)))</f>
        <v/>
      </c>
      <c r="AD1228" s="34">
        <f>IF(OR($A1228="",$H1228&lt;&gt;"Ausgabe",P1228=""),0,IF(P1228="x",-$E1228/(COUNTIF($J1228:$Q1228,"x")+1),-$E1228*N(P1228)))</f>
        <v/>
      </c>
      <c r="AE1228" s="34">
        <f>IF(OR($A1228="",$H1228&lt;&gt;"Ausgabe",Q1228=""),0,IF(Q1228="x",-$E1228/(COUNTIF($J1228:$Q1228,"x")+1),-$E1228*N(Q1228)))</f>
        <v/>
      </c>
    </row>
    <row r="1229">
      <c r="A1229" s="30" t="n"/>
      <c r="E1229" s="31" t="n"/>
      <c r="J1229" s="32" t="n"/>
      <c r="K1229" s="32" t="n"/>
      <c r="L1229" s="32" t="n"/>
      <c r="M1229" s="32" t="n"/>
      <c r="N1229" s="32" t="n"/>
      <c r="O1229" s="32" t="n"/>
      <c r="P1229" s="32" t="n"/>
      <c r="Q1229" s="32" t="n"/>
      <c r="U1229" s="31">
        <f>IF($A1229="","",SUM(X1229:AE1229))</f>
        <v/>
      </c>
      <c r="V1229" s="31">
        <f>IF($A1229="","",IF($H1229&lt;&gt;"Ausgabe",0,-$E1229-$U1229))</f>
        <v/>
      </c>
      <c r="W1229" s="33">
        <f>IF($A1229="","",DATE(YEAR($A1229),MONTH($A1229),1))</f>
        <v/>
      </c>
      <c r="X1229" s="34">
        <f>IF(OR($A1229="",$H1229&lt;&gt;"Ausgabe",J1229=""),0,IF(J1229="x",-$E1229/(COUNTIF($J1229:$Q1229,"x")+1),-$E1229*N(J1229)))</f>
        <v/>
      </c>
      <c r="Y1229" s="34">
        <f>IF(OR($A1229="",$H1229&lt;&gt;"Ausgabe",K1229=""),0,IF(K1229="x",-$E1229/(COUNTIF($J1229:$Q1229,"x")+1),-$E1229*N(K1229)))</f>
        <v/>
      </c>
      <c r="Z1229" s="34">
        <f>IF(OR($A1229="",$H1229&lt;&gt;"Ausgabe",L1229=""),0,IF(L1229="x",-$E1229/(COUNTIF($J1229:$Q1229,"x")+1),-$E1229*N(L1229)))</f>
        <v/>
      </c>
      <c r="AA1229" s="34">
        <f>IF(OR($A1229="",$H1229&lt;&gt;"Ausgabe",M1229=""),0,IF(M1229="x",-$E1229/(COUNTIF($J1229:$Q1229,"x")+1),-$E1229*N(M1229)))</f>
        <v/>
      </c>
      <c r="AB1229" s="34">
        <f>IF(OR($A1229="",$H1229&lt;&gt;"Ausgabe",N1229=""),0,IF(N1229="x",-$E1229/(COUNTIF($J1229:$Q1229,"x")+1),-$E1229*N(N1229)))</f>
        <v/>
      </c>
      <c r="AC1229" s="34">
        <f>IF(OR($A1229="",$H1229&lt;&gt;"Ausgabe",O1229=""),0,IF(O1229="x",-$E1229/(COUNTIF($J1229:$Q1229,"x")+1),-$E1229*N(O1229)))</f>
        <v/>
      </c>
      <c r="AD1229" s="34">
        <f>IF(OR($A1229="",$H1229&lt;&gt;"Ausgabe",P1229=""),0,IF(P1229="x",-$E1229/(COUNTIF($J1229:$Q1229,"x")+1),-$E1229*N(P1229)))</f>
        <v/>
      </c>
      <c r="AE1229" s="34">
        <f>IF(OR($A1229="",$H1229&lt;&gt;"Ausgabe",Q1229=""),0,IF(Q1229="x",-$E1229/(COUNTIF($J1229:$Q1229,"x")+1),-$E1229*N(Q1229)))</f>
        <v/>
      </c>
    </row>
    <row r="1230">
      <c r="A1230" s="30" t="n"/>
      <c r="E1230" s="31" t="n"/>
      <c r="J1230" s="32" t="n"/>
      <c r="K1230" s="32" t="n"/>
      <c r="L1230" s="32" t="n"/>
      <c r="M1230" s="32" t="n"/>
      <c r="N1230" s="32" t="n"/>
      <c r="O1230" s="32" t="n"/>
      <c r="P1230" s="32" t="n"/>
      <c r="Q1230" s="32" t="n"/>
      <c r="U1230" s="31">
        <f>IF($A1230="","",SUM(X1230:AE1230))</f>
        <v/>
      </c>
      <c r="V1230" s="31">
        <f>IF($A1230="","",IF($H1230&lt;&gt;"Ausgabe",0,-$E1230-$U1230))</f>
        <v/>
      </c>
      <c r="W1230" s="33">
        <f>IF($A1230="","",DATE(YEAR($A1230),MONTH($A1230),1))</f>
        <v/>
      </c>
      <c r="X1230" s="34">
        <f>IF(OR($A1230="",$H1230&lt;&gt;"Ausgabe",J1230=""),0,IF(J1230="x",-$E1230/(COUNTIF($J1230:$Q1230,"x")+1),-$E1230*N(J1230)))</f>
        <v/>
      </c>
      <c r="Y1230" s="34">
        <f>IF(OR($A1230="",$H1230&lt;&gt;"Ausgabe",K1230=""),0,IF(K1230="x",-$E1230/(COUNTIF($J1230:$Q1230,"x")+1),-$E1230*N(K1230)))</f>
        <v/>
      </c>
      <c r="Z1230" s="34">
        <f>IF(OR($A1230="",$H1230&lt;&gt;"Ausgabe",L1230=""),0,IF(L1230="x",-$E1230/(COUNTIF($J1230:$Q1230,"x")+1),-$E1230*N(L1230)))</f>
        <v/>
      </c>
      <c r="AA1230" s="34">
        <f>IF(OR($A1230="",$H1230&lt;&gt;"Ausgabe",M1230=""),0,IF(M1230="x",-$E1230/(COUNTIF($J1230:$Q1230,"x")+1),-$E1230*N(M1230)))</f>
        <v/>
      </c>
      <c r="AB1230" s="34">
        <f>IF(OR($A1230="",$H1230&lt;&gt;"Ausgabe",N1230=""),0,IF(N1230="x",-$E1230/(COUNTIF($J1230:$Q1230,"x")+1),-$E1230*N(N1230)))</f>
        <v/>
      </c>
      <c r="AC1230" s="34">
        <f>IF(OR($A1230="",$H1230&lt;&gt;"Ausgabe",O1230=""),0,IF(O1230="x",-$E1230/(COUNTIF($J1230:$Q1230,"x")+1),-$E1230*N(O1230)))</f>
        <v/>
      </c>
      <c r="AD1230" s="34">
        <f>IF(OR($A1230="",$H1230&lt;&gt;"Ausgabe",P1230=""),0,IF(P1230="x",-$E1230/(COUNTIF($J1230:$Q1230,"x")+1),-$E1230*N(P1230)))</f>
        <v/>
      </c>
      <c r="AE1230" s="34">
        <f>IF(OR($A1230="",$H1230&lt;&gt;"Ausgabe",Q1230=""),0,IF(Q1230="x",-$E1230/(COUNTIF($J1230:$Q1230,"x")+1),-$E1230*N(Q1230)))</f>
        <v/>
      </c>
    </row>
    <row r="1231">
      <c r="A1231" s="30" t="n"/>
      <c r="E1231" s="31" t="n"/>
      <c r="J1231" s="32" t="n"/>
      <c r="K1231" s="32" t="n"/>
      <c r="L1231" s="32" t="n"/>
      <c r="M1231" s="32" t="n"/>
      <c r="N1231" s="32" t="n"/>
      <c r="O1231" s="32" t="n"/>
      <c r="P1231" s="32" t="n"/>
      <c r="Q1231" s="32" t="n"/>
      <c r="U1231" s="31">
        <f>IF($A1231="","",SUM(X1231:AE1231))</f>
        <v/>
      </c>
      <c r="V1231" s="31">
        <f>IF($A1231="","",IF($H1231&lt;&gt;"Ausgabe",0,-$E1231-$U1231))</f>
        <v/>
      </c>
      <c r="W1231" s="33">
        <f>IF($A1231="","",DATE(YEAR($A1231),MONTH($A1231),1))</f>
        <v/>
      </c>
      <c r="X1231" s="34">
        <f>IF(OR($A1231="",$H1231&lt;&gt;"Ausgabe",J1231=""),0,IF(J1231="x",-$E1231/(COUNTIF($J1231:$Q1231,"x")+1),-$E1231*N(J1231)))</f>
        <v/>
      </c>
      <c r="Y1231" s="34">
        <f>IF(OR($A1231="",$H1231&lt;&gt;"Ausgabe",K1231=""),0,IF(K1231="x",-$E1231/(COUNTIF($J1231:$Q1231,"x")+1),-$E1231*N(K1231)))</f>
        <v/>
      </c>
      <c r="Z1231" s="34">
        <f>IF(OR($A1231="",$H1231&lt;&gt;"Ausgabe",L1231=""),0,IF(L1231="x",-$E1231/(COUNTIF($J1231:$Q1231,"x")+1),-$E1231*N(L1231)))</f>
        <v/>
      </c>
      <c r="AA1231" s="34">
        <f>IF(OR($A1231="",$H1231&lt;&gt;"Ausgabe",M1231=""),0,IF(M1231="x",-$E1231/(COUNTIF($J1231:$Q1231,"x")+1),-$E1231*N(M1231)))</f>
        <v/>
      </c>
      <c r="AB1231" s="34">
        <f>IF(OR($A1231="",$H1231&lt;&gt;"Ausgabe",N1231=""),0,IF(N1231="x",-$E1231/(COUNTIF($J1231:$Q1231,"x")+1),-$E1231*N(N1231)))</f>
        <v/>
      </c>
      <c r="AC1231" s="34">
        <f>IF(OR($A1231="",$H1231&lt;&gt;"Ausgabe",O1231=""),0,IF(O1231="x",-$E1231/(COUNTIF($J1231:$Q1231,"x")+1),-$E1231*N(O1231)))</f>
        <v/>
      </c>
      <c r="AD1231" s="34">
        <f>IF(OR($A1231="",$H1231&lt;&gt;"Ausgabe",P1231=""),0,IF(P1231="x",-$E1231/(COUNTIF($J1231:$Q1231,"x")+1),-$E1231*N(P1231)))</f>
        <v/>
      </c>
      <c r="AE1231" s="34">
        <f>IF(OR($A1231="",$H1231&lt;&gt;"Ausgabe",Q1231=""),0,IF(Q1231="x",-$E1231/(COUNTIF($J1231:$Q1231,"x")+1),-$E1231*N(Q1231)))</f>
        <v/>
      </c>
    </row>
    <row r="1232">
      <c r="A1232" s="30" t="n"/>
      <c r="E1232" s="31" t="n"/>
      <c r="J1232" s="32" t="n"/>
      <c r="K1232" s="32" t="n"/>
      <c r="L1232" s="32" t="n"/>
      <c r="M1232" s="32" t="n"/>
      <c r="N1232" s="32" t="n"/>
      <c r="O1232" s="32" t="n"/>
      <c r="P1232" s="32" t="n"/>
      <c r="Q1232" s="32" t="n"/>
      <c r="U1232" s="31">
        <f>IF($A1232="","",SUM(X1232:AE1232))</f>
        <v/>
      </c>
      <c r="V1232" s="31">
        <f>IF($A1232="","",IF($H1232&lt;&gt;"Ausgabe",0,-$E1232-$U1232))</f>
        <v/>
      </c>
      <c r="W1232" s="33">
        <f>IF($A1232="","",DATE(YEAR($A1232),MONTH($A1232),1))</f>
        <v/>
      </c>
      <c r="X1232" s="34">
        <f>IF(OR($A1232="",$H1232&lt;&gt;"Ausgabe",J1232=""),0,IF(J1232="x",-$E1232/(COUNTIF($J1232:$Q1232,"x")+1),-$E1232*N(J1232)))</f>
        <v/>
      </c>
      <c r="Y1232" s="34">
        <f>IF(OR($A1232="",$H1232&lt;&gt;"Ausgabe",K1232=""),0,IF(K1232="x",-$E1232/(COUNTIF($J1232:$Q1232,"x")+1),-$E1232*N(K1232)))</f>
        <v/>
      </c>
      <c r="Z1232" s="34">
        <f>IF(OR($A1232="",$H1232&lt;&gt;"Ausgabe",L1232=""),0,IF(L1232="x",-$E1232/(COUNTIF($J1232:$Q1232,"x")+1),-$E1232*N(L1232)))</f>
        <v/>
      </c>
      <c r="AA1232" s="34">
        <f>IF(OR($A1232="",$H1232&lt;&gt;"Ausgabe",M1232=""),0,IF(M1232="x",-$E1232/(COUNTIF($J1232:$Q1232,"x")+1),-$E1232*N(M1232)))</f>
        <v/>
      </c>
      <c r="AB1232" s="34">
        <f>IF(OR($A1232="",$H1232&lt;&gt;"Ausgabe",N1232=""),0,IF(N1232="x",-$E1232/(COUNTIF($J1232:$Q1232,"x")+1),-$E1232*N(N1232)))</f>
        <v/>
      </c>
      <c r="AC1232" s="34">
        <f>IF(OR($A1232="",$H1232&lt;&gt;"Ausgabe",O1232=""),0,IF(O1232="x",-$E1232/(COUNTIF($J1232:$Q1232,"x")+1),-$E1232*N(O1232)))</f>
        <v/>
      </c>
      <c r="AD1232" s="34">
        <f>IF(OR($A1232="",$H1232&lt;&gt;"Ausgabe",P1232=""),0,IF(P1232="x",-$E1232/(COUNTIF($J1232:$Q1232,"x")+1),-$E1232*N(P1232)))</f>
        <v/>
      </c>
      <c r="AE1232" s="34">
        <f>IF(OR($A1232="",$H1232&lt;&gt;"Ausgabe",Q1232=""),0,IF(Q1232="x",-$E1232/(COUNTIF($J1232:$Q1232,"x")+1),-$E1232*N(Q1232)))</f>
        <v/>
      </c>
    </row>
    <row r="1233">
      <c r="A1233" s="30" t="n"/>
      <c r="E1233" s="31" t="n"/>
      <c r="J1233" s="32" t="n"/>
      <c r="K1233" s="32" t="n"/>
      <c r="L1233" s="32" t="n"/>
      <c r="M1233" s="32" t="n"/>
      <c r="N1233" s="32" t="n"/>
      <c r="O1233" s="32" t="n"/>
      <c r="P1233" s="32" t="n"/>
      <c r="Q1233" s="32" t="n"/>
      <c r="U1233" s="31">
        <f>IF($A1233="","",SUM(X1233:AE1233))</f>
        <v/>
      </c>
      <c r="V1233" s="31">
        <f>IF($A1233="","",IF($H1233&lt;&gt;"Ausgabe",0,-$E1233-$U1233))</f>
        <v/>
      </c>
      <c r="W1233" s="33">
        <f>IF($A1233="","",DATE(YEAR($A1233),MONTH($A1233),1))</f>
        <v/>
      </c>
      <c r="X1233" s="34">
        <f>IF(OR($A1233="",$H1233&lt;&gt;"Ausgabe",J1233=""),0,IF(J1233="x",-$E1233/(COUNTIF($J1233:$Q1233,"x")+1),-$E1233*N(J1233)))</f>
        <v/>
      </c>
      <c r="Y1233" s="34">
        <f>IF(OR($A1233="",$H1233&lt;&gt;"Ausgabe",K1233=""),0,IF(K1233="x",-$E1233/(COUNTIF($J1233:$Q1233,"x")+1),-$E1233*N(K1233)))</f>
        <v/>
      </c>
      <c r="Z1233" s="34">
        <f>IF(OR($A1233="",$H1233&lt;&gt;"Ausgabe",L1233=""),0,IF(L1233="x",-$E1233/(COUNTIF($J1233:$Q1233,"x")+1),-$E1233*N(L1233)))</f>
        <v/>
      </c>
      <c r="AA1233" s="34">
        <f>IF(OR($A1233="",$H1233&lt;&gt;"Ausgabe",M1233=""),0,IF(M1233="x",-$E1233/(COUNTIF($J1233:$Q1233,"x")+1),-$E1233*N(M1233)))</f>
        <v/>
      </c>
      <c r="AB1233" s="34">
        <f>IF(OR($A1233="",$H1233&lt;&gt;"Ausgabe",N1233=""),0,IF(N1233="x",-$E1233/(COUNTIF($J1233:$Q1233,"x")+1),-$E1233*N(N1233)))</f>
        <v/>
      </c>
      <c r="AC1233" s="34">
        <f>IF(OR($A1233="",$H1233&lt;&gt;"Ausgabe",O1233=""),0,IF(O1233="x",-$E1233/(COUNTIF($J1233:$Q1233,"x")+1),-$E1233*N(O1233)))</f>
        <v/>
      </c>
      <c r="AD1233" s="34">
        <f>IF(OR($A1233="",$H1233&lt;&gt;"Ausgabe",P1233=""),0,IF(P1233="x",-$E1233/(COUNTIF($J1233:$Q1233,"x")+1),-$E1233*N(P1233)))</f>
        <v/>
      </c>
      <c r="AE1233" s="34">
        <f>IF(OR($A1233="",$H1233&lt;&gt;"Ausgabe",Q1233=""),0,IF(Q1233="x",-$E1233/(COUNTIF($J1233:$Q1233,"x")+1),-$E1233*N(Q1233)))</f>
        <v/>
      </c>
    </row>
    <row r="1234">
      <c r="A1234" s="30" t="n"/>
      <c r="E1234" s="31" t="n"/>
      <c r="J1234" s="32" t="n"/>
      <c r="K1234" s="32" t="n"/>
      <c r="L1234" s="32" t="n"/>
      <c r="M1234" s="32" t="n"/>
      <c r="N1234" s="32" t="n"/>
      <c r="O1234" s="32" t="n"/>
      <c r="P1234" s="32" t="n"/>
      <c r="Q1234" s="32" t="n"/>
      <c r="U1234" s="31">
        <f>IF($A1234="","",SUM(X1234:AE1234))</f>
        <v/>
      </c>
      <c r="V1234" s="31">
        <f>IF($A1234="","",IF($H1234&lt;&gt;"Ausgabe",0,-$E1234-$U1234))</f>
        <v/>
      </c>
      <c r="W1234" s="33">
        <f>IF($A1234="","",DATE(YEAR($A1234),MONTH($A1234),1))</f>
        <v/>
      </c>
      <c r="X1234" s="34">
        <f>IF(OR($A1234="",$H1234&lt;&gt;"Ausgabe",J1234=""),0,IF(J1234="x",-$E1234/(COUNTIF($J1234:$Q1234,"x")+1),-$E1234*N(J1234)))</f>
        <v/>
      </c>
      <c r="Y1234" s="34">
        <f>IF(OR($A1234="",$H1234&lt;&gt;"Ausgabe",K1234=""),0,IF(K1234="x",-$E1234/(COUNTIF($J1234:$Q1234,"x")+1),-$E1234*N(K1234)))</f>
        <v/>
      </c>
      <c r="Z1234" s="34">
        <f>IF(OR($A1234="",$H1234&lt;&gt;"Ausgabe",L1234=""),0,IF(L1234="x",-$E1234/(COUNTIF($J1234:$Q1234,"x")+1),-$E1234*N(L1234)))</f>
        <v/>
      </c>
      <c r="AA1234" s="34">
        <f>IF(OR($A1234="",$H1234&lt;&gt;"Ausgabe",M1234=""),0,IF(M1234="x",-$E1234/(COUNTIF($J1234:$Q1234,"x")+1),-$E1234*N(M1234)))</f>
        <v/>
      </c>
      <c r="AB1234" s="34">
        <f>IF(OR($A1234="",$H1234&lt;&gt;"Ausgabe",N1234=""),0,IF(N1234="x",-$E1234/(COUNTIF($J1234:$Q1234,"x")+1),-$E1234*N(N1234)))</f>
        <v/>
      </c>
      <c r="AC1234" s="34">
        <f>IF(OR($A1234="",$H1234&lt;&gt;"Ausgabe",O1234=""),0,IF(O1234="x",-$E1234/(COUNTIF($J1234:$Q1234,"x")+1),-$E1234*N(O1234)))</f>
        <v/>
      </c>
      <c r="AD1234" s="34">
        <f>IF(OR($A1234="",$H1234&lt;&gt;"Ausgabe",P1234=""),0,IF(P1234="x",-$E1234/(COUNTIF($J1234:$Q1234,"x")+1),-$E1234*N(P1234)))</f>
        <v/>
      </c>
      <c r="AE1234" s="34">
        <f>IF(OR($A1234="",$H1234&lt;&gt;"Ausgabe",Q1234=""),0,IF(Q1234="x",-$E1234/(COUNTIF($J1234:$Q1234,"x")+1),-$E1234*N(Q1234)))</f>
        <v/>
      </c>
    </row>
    <row r="1235">
      <c r="A1235" s="30" t="n"/>
      <c r="E1235" s="31" t="n"/>
      <c r="J1235" s="32" t="n"/>
      <c r="K1235" s="32" t="n"/>
      <c r="L1235" s="32" t="n"/>
      <c r="M1235" s="32" t="n"/>
      <c r="N1235" s="32" t="n"/>
      <c r="O1235" s="32" t="n"/>
      <c r="P1235" s="32" t="n"/>
      <c r="Q1235" s="32" t="n"/>
      <c r="U1235" s="31">
        <f>IF($A1235="","",SUM(X1235:AE1235))</f>
        <v/>
      </c>
      <c r="V1235" s="31">
        <f>IF($A1235="","",IF($H1235&lt;&gt;"Ausgabe",0,-$E1235-$U1235))</f>
        <v/>
      </c>
      <c r="W1235" s="33">
        <f>IF($A1235="","",DATE(YEAR($A1235),MONTH($A1235),1))</f>
        <v/>
      </c>
      <c r="X1235" s="34">
        <f>IF(OR($A1235="",$H1235&lt;&gt;"Ausgabe",J1235=""),0,IF(J1235="x",-$E1235/(COUNTIF($J1235:$Q1235,"x")+1),-$E1235*N(J1235)))</f>
        <v/>
      </c>
      <c r="Y1235" s="34">
        <f>IF(OR($A1235="",$H1235&lt;&gt;"Ausgabe",K1235=""),0,IF(K1235="x",-$E1235/(COUNTIF($J1235:$Q1235,"x")+1),-$E1235*N(K1235)))</f>
        <v/>
      </c>
      <c r="Z1235" s="34">
        <f>IF(OR($A1235="",$H1235&lt;&gt;"Ausgabe",L1235=""),0,IF(L1235="x",-$E1235/(COUNTIF($J1235:$Q1235,"x")+1),-$E1235*N(L1235)))</f>
        <v/>
      </c>
      <c r="AA1235" s="34">
        <f>IF(OR($A1235="",$H1235&lt;&gt;"Ausgabe",M1235=""),0,IF(M1235="x",-$E1235/(COUNTIF($J1235:$Q1235,"x")+1),-$E1235*N(M1235)))</f>
        <v/>
      </c>
      <c r="AB1235" s="34">
        <f>IF(OR($A1235="",$H1235&lt;&gt;"Ausgabe",N1235=""),0,IF(N1235="x",-$E1235/(COUNTIF($J1235:$Q1235,"x")+1),-$E1235*N(N1235)))</f>
        <v/>
      </c>
      <c r="AC1235" s="34">
        <f>IF(OR($A1235="",$H1235&lt;&gt;"Ausgabe",O1235=""),0,IF(O1235="x",-$E1235/(COUNTIF($J1235:$Q1235,"x")+1),-$E1235*N(O1235)))</f>
        <v/>
      </c>
      <c r="AD1235" s="34">
        <f>IF(OR($A1235="",$H1235&lt;&gt;"Ausgabe",P1235=""),0,IF(P1235="x",-$E1235/(COUNTIF($J1235:$Q1235,"x")+1),-$E1235*N(P1235)))</f>
        <v/>
      </c>
      <c r="AE1235" s="34">
        <f>IF(OR($A1235="",$H1235&lt;&gt;"Ausgabe",Q1235=""),0,IF(Q1235="x",-$E1235/(COUNTIF($J1235:$Q1235,"x")+1),-$E1235*N(Q1235)))</f>
        <v/>
      </c>
    </row>
    <row r="1236">
      <c r="A1236" s="30" t="n"/>
      <c r="E1236" s="31" t="n"/>
      <c r="J1236" s="32" t="n"/>
      <c r="K1236" s="32" t="n"/>
      <c r="L1236" s="32" t="n"/>
      <c r="M1236" s="32" t="n"/>
      <c r="N1236" s="32" t="n"/>
      <c r="O1236" s="32" t="n"/>
      <c r="P1236" s="32" t="n"/>
      <c r="Q1236" s="32" t="n"/>
      <c r="U1236" s="31">
        <f>IF($A1236="","",SUM(X1236:AE1236))</f>
        <v/>
      </c>
      <c r="V1236" s="31">
        <f>IF($A1236="","",IF($H1236&lt;&gt;"Ausgabe",0,-$E1236-$U1236))</f>
        <v/>
      </c>
      <c r="W1236" s="33">
        <f>IF($A1236="","",DATE(YEAR($A1236),MONTH($A1236),1))</f>
        <v/>
      </c>
      <c r="X1236" s="34">
        <f>IF(OR($A1236="",$H1236&lt;&gt;"Ausgabe",J1236=""),0,IF(J1236="x",-$E1236/(COUNTIF($J1236:$Q1236,"x")+1),-$E1236*N(J1236)))</f>
        <v/>
      </c>
      <c r="Y1236" s="34">
        <f>IF(OR($A1236="",$H1236&lt;&gt;"Ausgabe",K1236=""),0,IF(K1236="x",-$E1236/(COUNTIF($J1236:$Q1236,"x")+1),-$E1236*N(K1236)))</f>
        <v/>
      </c>
      <c r="Z1236" s="34">
        <f>IF(OR($A1236="",$H1236&lt;&gt;"Ausgabe",L1236=""),0,IF(L1236="x",-$E1236/(COUNTIF($J1236:$Q1236,"x")+1),-$E1236*N(L1236)))</f>
        <v/>
      </c>
      <c r="AA1236" s="34">
        <f>IF(OR($A1236="",$H1236&lt;&gt;"Ausgabe",M1236=""),0,IF(M1236="x",-$E1236/(COUNTIF($J1236:$Q1236,"x")+1),-$E1236*N(M1236)))</f>
        <v/>
      </c>
      <c r="AB1236" s="34">
        <f>IF(OR($A1236="",$H1236&lt;&gt;"Ausgabe",N1236=""),0,IF(N1236="x",-$E1236/(COUNTIF($J1236:$Q1236,"x")+1),-$E1236*N(N1236)))</f>
        <v/>
      </c>
      <c r="AC1236" s="34">
        <f>IF(OR($A1236="",$H1236&lt;&gt;"Ausgabe",O1236=""),0,IF(O1236="x",-$E1236/(COUNTIF($J1236:$Q1236,"x")+1),-$E1236*N(O1236)))</f>
        <v/>
      </c>
      <c r="AD1236" s="34">
        <f>IF(OR($A1236="",$H1236&lt;&gt;"Ausgabe",P1236=""),0,IF(P1236="x",-$E1236/(COUNTIF($J1236:$Q1236,"x")+1),-$E1236*N(P1236)))</f>
        <v/>
      </c>
      <c r="AE1236" s="34">
        <f>IF(OR($A1236="",$H1236&lt;&gt;"Ausgabe",Q1236=""),0,IF(Q1236="x",-$E1236/(COUNTIF($J1236:$Q1236,"x")+1),-$E1236*N(Q1236)))</f>
        <v/>
      </c>
    </row>
    <row r="1237">
      <c r="A1237" s="30" t="n"/>
      <c r="E1237" s="31" t="n"/>
      <c r="J1237" s="32" t="n"/>
      <c r="K1237" s="32" t="n"/>
      <c r="L1237" s="32" t="n"/>
      <c r="M1237" s="32" t="n"/>
      <c r="N1237" s="32" t="n"/>
      <c r="O1237" s="32" t="n"/>
      <c r="P1237" s="32" t="n"/>
      <c r="Q1237" s="32" t="n"/>
      <c r="U1237" s="31">
        <f>IF($A1237="","",SUM(X1237:AE1237))</f>
        <v/>
      </c>
      <c r="V1237" s="31">
        <f>IF($A1237="","",IF($H1237&lt;&gt;"Ausgabe",0,-$E1237-$U1237))</f>
        <v/>
      </c>
      <c r="W1237" s="33">
        <f>IF($A1237="","",DATE(YEAR($A1237),MONTH($A1237),1))</f>
        <v/>
      </c>
      <c r="X1237" s="34">
        <f>IF(OR($A1237="",$H1237&lt;&gt;"Ausgabe",J1237=""),0,IF(J1237="x",-$E1237/(COUNTIF($J1237:$Q1237,"x")+1),-$E1237*N(J1237)))</f>
        <v/>
      </c>
      <c r="Y1237" s="34">
        <f>IF(OR($A1237="",$H1237&lt;&gt;"Ausgabe",K1237=""),0,IF(K1237="x",-$E1237/(COUNTIF($J1237:$Q1237,"x")+1),-$E1237*N(K1237)))</f>
        <v/>
      </c>
      <c r="Z1237" s="34">
        <f>IF(OR($A1237="",$H1237&lt;&gt;"Ausgabe",L1237=""),0,IF(L1237="x",-$E1237/(COUNTIF($J1237:$Q1237,"x")+1),-$E1237*N(L1237)))</f>
        <v/>
      </c>
      <c r="AA1237" s="34">
        <f>IF(OR($A1237="",$H1237&lt;&gt;"Ausgabe",M1237=""),0,IF(M1237="x",-$E1237/(COUNTIF($J1237:$Q1237,"x")+1),-$E1237*N(M1237)))</f>
        <v/>
      </c>
      <c r="AB1237" s="34">
        <f>IF(OR($A1237="",$H1237&lt;&gt;"Ausgabe",N1237=""),0,IF(N1237="x",-$E1237/(COUNTIF($J1237:$Q1237,"x")+1),-$E1237*N(N1237)))</f>
        <v/>
      </c>
      <c r="AC1237" s="34">
        <f>IF(OR($A1237="",$H1237&lt;&gt;"Ausgabe",O1237=""),0,IF(O1237="x",-$E1237/(COUNTIF($J1237:$Q1237,"x")+1),-$E1237*N(O1237)))</f>
        <v/>
      </c>
      <c r="AD1237" s="34">
        <f>IF(OR($A1237="",$H1237&lt;&gt;"Ausgabe",P1237=""),0,IF(P1237="x",-$E1237/(COUNTIF($J1237:$Q1237,"x")+1),-$E1237*N(P1237)))</f>
        <v/>
      </c>
      <c r="AE1237" s="34">
        <f>IF(OR($A1237="",$H1237&lt;&gt;"Ausgabe",Q1237=""),0,IF(Q1237="x",-$E1237/(COUNTIF($J1237:$Q1237,"x")+1),-$E1237*N(Q1237)))</f>
        <v/>
      </c>
    </row>
    <row r="1238">
      <c r="A1238" s="30" t="n"/>
      <c r="E1238" s="31" t="n"/>
      <c r="J1238" s="32" t="n"/>
      <c r="K1238" s="32" t="n"/>
      <c r="L1238" s="32" t="n"/>
      <c r="M1238" s="32" t="n"/>
      <c r="N1238" s="32" t="n"/>
      <c r="O1238" s="32" t="n"/>
      <c r="P1238" s="32" t="n"/>
      <c r="Q1238" s="32" t="n"/>
      <c r="U1238" s="31">
        <f>IF($A1238="","",SUM(X1238:AE1238))</f>
        <v/>
      </c>
      <c r="V1238" s="31">
        <f>IF($A1238="","",IF($H1238&lt;&gt;"Ausgabe",0,-$E1238-$U1238))</f>
        <v/>
      </c>
      <c r="W1238" s="33">
        <f>IF($A1238="","",DATE(YEAR($A1238),MONTH($A1238),1))</f>
        <v/>
      </c>
      <c r="X1238" s="34">
        <f>IF(OR($A1238="",$H1238&lt;&gt;"Ausgabe",J1238=""),0,IF(J1238="x",-$E1238/(COUNTIF($J1238:$Q1238,"x")+1),-$E1238*N(J1238)))</f>
        <v/>
      </c>
      <c r="Y1238" s="34">
        <f>IF(OR($A1238="",$H1238&lt;&gt;"Ausgabe",K1238=""),0,IF(K1238="x",-$E1238/(COUNTIF($J1238:$Q1238,"x")+1),-$E1238*N(K1238)))</f>
        <v/>
      </c>
      <c r="Z1238" s="34">
        <f>IF(OR($A1238="",$H1238&lt;&gt;"Ausgabe",L1238=""),0,IF(L1238="x",-$E1238/(COUNTIF($J1238:$Q1238,"x")+1),-$E1238*N(L1238)))</f>
        <v/>
      </c>
      <c r="AA1238" s="34">
        <f>IF(OR($A1238="",$H1238&lt;&gt;"Ausgabe",M1238=""),0,IF(M1238="x",-$E1238/(COUNTIF($J1238:$Q1238,"x")+1),-$E1238*N(M1238)))</f>
        <v/>
      </c>
      <c r="AB1238" s="34">
        <f>IF(OR($A1238="",$H1238&lt;&gt;"Ausgabe",N1238=""),0,IF(N1238="x",-$E1238/(COUNTIF($J1238:$Q1238,"x")+1),-$E1238*N(N1238)))</f>
        <v/>
      </c>
      <c r="AC1238" s="34">
        <f>IF(OR($A1238="",$H1238&lt;&gt;"Ausgabe",O1238=""),0,IF(O1238="x",-$E1238/(COUNTIF($J1238:$Q1238,"x")+1),-$E1238*N(O1238)))</f>
        <v/>
      </c>
      <c r="AD1238" s="34">
        <f>IF(OR($A1238="",$H1238&lt;&gt;"Ausgabe",P1238=""),0,IF(P1238="x",-$E1238/(COUNTIF($J1238:$Q1238,"x")+1),-$E1238*N(P1238)))</f>
        <v/>
      </c>
      <c r="AE1238" s="34">
        <f>IF(OR($A1238="",$H1238&lt;&gt;"Ausgabe",Q1238=""),0,IF(Q1238="x",-$E1238/(COUNTIF($J1238:$Q1238,"x")+1),-$E1238*N(Q1238)))</f>
        <v/>
      </c>
    </row>
    <row r="1239">
      <c r="A1239" s="30" t="n"/>
      <c r="E1239" s="31" t="n"/>
      <c r="J1239" s="32" t="n"/>
      <c r="K1239" s="32" t="n"/>
      <c r="L1239" s="32" t="n"/>
      <c r="M1239" s="32" t="n"/>
      <c r="N1239" s="32" t="n"/>
      <c r="O1239" s="32" t="n"/>
      <c r="P1239" s="32" t="n"/>
      <c r="Q1239" s="32" t="n"/>
      <c r="U1239" s="31">
        <f>IF($A1239="","",SUM(X1239:AE1239))</f>
        <v/>
      </c>
      <c r="V1239" s="31">
        <f>IF($A1239="","",IF($H1239&lt;&gt;"Ausgabe",0,-$E1239-$U1239))</f>
        <v/>
      </c>
      <c r="W1239" s="33">
        <f>IF($A1239="","",DATE(YEAR($A1239),MONTH($A1239),1))</f>
        <v/>
      </c>
      <c r="X1239" s="34">
        <f>IF(OR($A1239="",$H1239&lt;&gt;"Ausgabe",J1239=""),0,IF(J1239="x",-$E1239/(COUNTIF($J1239:$Q1239,"x")+1),-$E1239*N(J1239)))</f>
        <v/>
      </c>
      <c r="Y1239" s="34">
        <f>IF(OR($A1239="",$H1239&lt;&gt;"Ausgabe",K1239=""),0,IF(K1239="x",-$E1239/(COUNTIF($J1239:$Q1239,"x")+1),-$E1239*N(K1239)))</f>
        <v/>
      </c>
      <c r="Z1239" s="34">
        <f>IF(OR($A1239="",$H1239&lt;&gt;"Ausgabe",L1239=""),0,IF(L1239="x",-$E1239/(COUNTIF($J1239:$Q1239,"x")+1),-$E1239*N(L1239)))</f>
        <v/>
      </c>
      <c r="AA1239" s="34">
        <f>IF(OR($A1239="",$H1239&lt;&gt;"Ausgabe",M1239=""),0,IF(M1239="x",-$E1239/(COUNTIF($J1239:$Q1239,"x")+1),-$E1239*N(M1239)))</f>
        <v/>
      </c>
      <c r="AB1239" s="34">
        <f>IF(OR($A1239="",$H1239&lt;&gt;"Ausgabe",N1239=""),0,IF(N1239="x",-$E1239/(COUNTIF($J1239:$Q1239,"x")+1),-$E1239*N(N1239)))</f>
        <v/>
      </c>
      <c r="AC1239" s="34">
        <f>IF(OR($A1239="",$H1239&lt;&gt;"Ausgabe",O1239=""),0,IF(O1239="x",-$E1239/(COUNTIF($J1239:$Q1239,"x")+1),-$E1239*N(O1239)))</f>
        <v/>
      </c>
      <c r="AD1239" s="34">
        <f>IF(OR($A1239="",$H1239&lt;&gt;"Ausgabe",P1239=""),0,IF(P1239="x",-$E1239/(COUNTIF($J1239:$Q1239,"x")+1),-$E1239*N(P1239)))</f>
        <v/>
      </c>
      <c r="AE1239" s="34">
        <f>IF(OR($A1239="",$H1239&lt;&gt;"Ausgabe",Q1239=""),0,IF(Q1239="x",-$E1239/(COUNTIF($J1239:$Q1239,"x")+1),-$E1239*N(Q1239)))</f>
        <v/>
      </c>
    </row>
    <row r="1240">
      <c r="A1240" s="30" t="n"/>
      <c r="E1240" s="31" t="n"/>
      <c r="J1240" s="32" t="n"/>
      <c r="K1240" s="32" t="n"/>
      <c r="L1240" s="32" t="n"/>
      <c r="M1240" s="32" t="n"/>
      <c r="N1240" s="32" t="n"/>
      <c r="O1240" s="32" t="n"/>
      <c r="P1240" s="32" t="n"/>
      <c r="Q1240" s="32" t="n"/>
      <c r="U1240" s="31">
        <f>IF($A1240="","",SUM(X1240:AE1240))</f>
        <v/>
      </c>
      <c r="V1240" s="31">
        <f>IF($A1240="","",IF($H1240&lt;&gt;"Ausgabe",0,-$E1240-$U1240))</f>
        <v/>
      </c>
      <c r="W1240" s="33">
        <f>IF($A1240="","",DATE(YEAR($A1240),MONTH($A1240),1))</f>
        <v/>
      </c>
      <c r="X1240" s="34">
        <f>IF(OR($A1240="",$H1240&lt;&gt;"Ausgabe",J1240=""),0,IF(J1240="x",-$E1240/(COUNTIF($J1240:$Q1240,"x")+1),-$E1240*N(J1240)))</f>
        <v/>
      </c>
      <c r="Y1240" s="34">
        <f>IF(OR($A1240="",$H1240&lt;&gt;"Ausgabe",K1240=""),0,IF(K1240="x",-$E1240/(COUNTIF($J1240:$Q1240,"x")+1),-$E1240*N(K1240)))</f>
        <v/>
      </c>
      <c r="Z1240" s="34">
        <f>IF(OR($A1240="",$H1240&lt;&gt;"Ausgabe",L1240=""),0,IF(L1240="x",-$E1240/(COUNTIF($J1240:$Q1240,"x")+1),-$E1240*N(L1240)))</f>
        <v/>
      </c>
      <c r="AA1240" s="34">
        <f>IF(OR($A1240="",$H1240&lt;&gt;"Ausgabe",M1240=""),0,IF(M1240="x",-$E1240/(COUNTIF($J1240:$Q1240,"x")+1),-$E1240*N(M1240)))</f>
        <v/>
      </c>
      <c r="AB1240" s="34">
        <f>IF(OR($A1240="",$H1240&lt;&gt;"Ausgabe",N1240=""),0,IF(N1240="x",-$E1240/(COUNTIF($J1240:$Q1240,"x")+1),-$E1240*N(N1240)))</f>
        <v/>
      </c>
      <c r="AC1240" s="34">
        <f>IF(OR($A1240="",$H1240&lt;&gt;"Ausgabe",O1240=""),0,IF(O1240="x",-$E1240/(COUNTIF($J1240:$Q1240,"x")+1),-$E1240*N(O1240)))</f>
        <v/>
      </c>
      <c r="AD1240" s="34">
        <f>IF(OR($A1240="",$H1240&lt;&gt;"Ausgabe",P1240=""),0,IF(P1240="x",-$E1240/(COUNTIF($J1240:$Q1240,"x")+1),-$E1240*N(P1240)))</f>
        <v/>
      </c>
      <c r="AE1240" s="34">
        <f>IF(OR($A1240="",$H1240&lt;&gt;"Ausgabe",Q1240=""),0,IF(Q1240="x",-$E1240/(COUNTIF($J1240:$Q1240,"x")+1),-$E1240*N(Q1240)))</f>
        <v/>
      </c>
    </row>
    <row r="1241">
      <c r="A1241" s="30" t="n"/>
      <c r="E1241" s="31" t="n"/>
      <c r="J1241" s="32" t="n"/>
      <c r="K1241" s="32" t="n"/>
      <c r="L1241" s="32" t="n"/>
      <c r="M1241" s="32" t="n"/>
      <c r="N1241" s="32" t="n"/>
      <c r="O1241" s="32" t="n"/>
      <c r="P1241" s="32" t="n"/>
      <c r="Q1241" s="32" t="n"/>
      <c r="U1241" s="31">
        <f>IF($A1241="","",SUM(X1241:AE1241))</f>
        <v/>
      </c>
      <c r="V1241" s="31">
        <f>IF($A1241="","",IF($H1241&lt;&gt;"Ausgabe",0,-$E1241-$U1241))</f>
        <v/>
      </c>
      <c r="W1241" s="33">
        <f>IF($A1241="","",DATE(YEAR($A1241),MONTH($A1241),1))</f>
        <v/>
      </c>
      <c r="X1241" s="34">
        <f>IF(OR($A1241="",$H1241&lt;&gt;"Ausgabe",J1241=""),0,IF(J1241="x",-$E1241/(COUNTIF($J1241:$Q1241,"x")+1),-$E1241*N(J1241)))</f>
        <v/>
      </c>
      <c r="Y1241" s="34">
        <f>IF(OR($A1241="",$H1241&lt;&gt;"Ausgabe",K1241=""),0,IF(K1241="x",-$E1241/(COUNTIF($J1241:$Q1241,"x")+1),-$E1241*N(K1241)))</f>
        <v/>
      </c>
      <c r="Z1241" s="34">
        <f>IF(OR($A1241="",$H1241&lt;&gt;"Ausgabe",L1241=""),0,IF(L1241="x",-$E1241/(COUNTIF($J1241:$Q1241,"x")+1),-$E1241*N(L1241)))</f>
        <v/>
      </c>
      <c r="AA1241" s="34">
        <f>IF(OR($A1241="",$H1241&lt;&gt;"Ausgabe",M1241=""),0,IF(M1241="x",-$E1241/(COUNTIF($J1241:$Q1241,"x")+1),-$E1241*N(M1241)))</f>
        <v/>
      </c>
      <c r="AB1241" s="34">
        <f>IF(OR($A1241="",$H1241&lt;&gt;"Ausgabe",N1241=""),0,IF(N1241="x",-$E1241/(COUNTIF($J1241:$Q1241,"x")+1),-$E1241*N(N1241)))</f>
        <v/>
      </c>
      <c r="AC1241" s="34">
        <f>IF(OR($A1241="",$H1241&lt;&gt;"Ausgabe",O1241=""),0,IF(O1241="x",-$E1241/(COUNTIF($J1241:$Q1241,"x")+1),-$E1241*N(O1241)))</f>
        <v/>
      </c>
      <c r="AD1241" s="34">
        <f>IF(OR($A1241="",$H1241&lt;&gt;"Ausgabe",P1241=""),0,IF(P1241="x",-$E1241/(COUNTIF($J1241:$Q1241,"x")+1),-$E1241*N(P1241)))</f>
        <v/>
      </c>
      <c r="AE1241" s="34">
        <f>IF(OR($A1241="",$H1241&lt;&gt;"Ausgabe",Q1241=""),0,IF(Q1241="x",-$E1241/(COUNTIF($J1241:$Q1241,"x")+1),-$E1241*N(Q1241)))</f>
        <v/>
      </c>
    </row>
    <row r="1242">
      <c r="A1242" s="30" t="n"/>
      <c r="E1242" s="31" t="n"/>
      <c r="J1242" s="32" t="n"/>
      <c r="K1242" s="32" t="n"/>
      <c r="L1242" s="32" t="n"/>
      <c r="M1242" s="32" t="n"/>
      <c r="N1242" s="32" t="n"/>
      <c r="O1242" s="32" t="n"/>
      <c r="P1242" s="32" t="n"/>
      <c r="Q1242" s="32" t="n"/>
      <c r="U1242" s="31">
        <f>IF($A1242="","",SUM(X1242:AE1242))</f>
        <v/>
      </c>
      <c r="V1242" s="31">
        <f>IF($A1242="","",IF($H1242&lt;&gt;"Ausgabe",0,-$E1242-$U1242))</f>
        <v/>
      </c>
      <c r="W1242" s="33">
        <f>IF($A1242="","",DATE(YEAR($A1242),MONTH($A1242),1))</f>
        <v/>
      </c>
      <c r="X1242" s="34">
        <f>IF(OR($A1242="",$H1242&lt;&gt;"Ausgabe",J1242=""),0,IF(J1242="x",-$E1242/(COUNTIF($J1242:$Q1242,"x")+1),-$E1242*N(J1242)))</f>
        <v/>
      </c>
      <c r="Y1242" s="34">
        <f>IF(OR($A1242="",$H1242&lt;&gt;"Ausgabe",K1242=""),0,IF(K1242="x",-$E1242/(COUNTIF($J1242:$Q1242,"x")+1),-$E1242*N(K1242)))</f>
        <v/>
      </c>
      <c r="Z1242" s="34">
        <f>IF(OR($A1242="",$H1242&lt;&gt;"Ausgabe",L1242=""),0,IF(L1242="x",-$E1242/(COUNTIF($J1242:$Q1242,"x")+1),-$E1242*N(L1242)))</f>
        <v/>
      </c>
      <c r="AA1242" s="34">
        <f>IF(OR($A1242="",$H1242&lt;&gt;"Ausgabe",M1242=""),0,IF(M1242="x",-$E1242/(COUNTIF($J1242:$Q1242,"x")+1),-$E1242*N(M1242)))</f>
        <v/>
      </c>
      <c r="AB1242" s="34">
        <f>IF(OR($A1242="",$H1242&lt;&gt;"Ausgabe",N1242=""),0,IF(N1242="x",-$E1242/(COUNTIF($J1242:$Q1242,"x")+1),-$E1242*N(N1242)))</f>
        <v/>
      </c>
      <c r="AC1242" s="34">
        <f>IF(OR($A1242="",$H1242&lt;&gt;"Ausgabe",O1242=""),0,IF(O1242="x",-$E1242/(COUNTIF($J1242:$Q1242,"x")+1),-$E1242*N(O1242)))</f>
        <v/>
      </c>
      <c r="AD1242" s="34">
        <f>IF(OR($A1242="",$H1242&lt;&gt;"Ausgabe",P1242=""),0,IF(P1242="x",-$E1242/(COUNTIF($J1242:$Q1242,"x")+1),-$E1242*N(P1242)))</f>
        <v/>
      </c>
      <c r="AE1242" s="34">
        <f>IF(OR($A1242="",$H1242&lt;&gt;"Ausgabe",Q1242=""),0,IF(Q1242="x",-$E1242/(COUNTIF($J1242:$Q1242,"x")+1),-$E1242*N(Q1242)))</f>
        <v/>
      </c>
    </row>
    <row r="1243">
      <c r="A1243" s="30" t="n"/>
      <c r="E1243" s="31" t="n"/>
      <c r="J1243" s="32" t="n"/>
      <c r="K1243" s="32" t="n"/>
      <c r="L1243" s="32" t="n"/>
      <c r="M1243" s="32" t="n"/>
      <c r="N1243" s="32" t="n"/>
      <c r="O1243" s="32" t="n"/>
      <c r="P1243" s="32" t="n"/>
      <c r="Q1243" s="32" t="n"/>
      <c r="U1243" s="31">
        <f>IF($A1243="","",SUM(X1243:AE1243))</f>
        <v/>
      </c>
      <c r="V1243" s="31">
        <f>IF($A1243="","",IF($H1243&lt;&gt;"Ausgabe",0,-$E1243-$U1243))</f>
        <v/>
      </c>
      <c r="W1243" s="33">
        <f>IF($A1243="","",DATE(YEAR($A1243),MONTH($A1243),1))</f>
        <v/>
      </c>
      <c r="X1243" s="34">
        <f>IF(OR($A1243="",$H1243&lt;&gt;"Ausgabe",J1243=""),0,IF(J1243="x",-$E1243/(COUNTIF($J1243:$Q1243,"x")+1),-$E1243*N(J1243)))</f>
        <v/>
      </c>
      <c r="Y1243" s="34">
        <f>IF(OR($A1243="",$H1243&lt;&gt;"Ausgabe",K1243=""),0,IF(K1243="x",-$E1243/(COUNTIF($J1243:$Q1243,"x")+1),-$E1243*N(K1243)))</f>
        <v/>
      </c>
      <c r="Z1243" s="34">
        <f>IF(OR($A1243="",$H1243&lt;&gt;"Ausgabe",L1243=""),0,IF(L1243="x",-$E1243/(COUNTIF($J1243:$Q1243,"x")+1),-$E1243*N(L1243)))</f>
        <v/>
      </c>
      <c r="AA1243" s="34">
        <f>IF(OR($A1243="",$H1243&lt;&gt;"Ausgabe",M1243=""),0,IF(M1243="x",-$E1243/(COUNTIF($J1243:$Q1243,"x")+1),-$E1243*N(M1243)))</f>
        <v/>
      </c>
      <c r="AB1243" s="34">
        <f>IF(OR($A1243="",$H1243&lt;&gt;"Ausgabe",N1243=""),0,IF(N1243="x",-$E1243/(COUNTIF($J1243:$Q1243,"x")+1),-$E1243*N(N1243)))</f>
        <v/>
      </c>
      <c r="AC1243" s="34">
        <f>IF(OR($A1243="",$H1243&lt;&gt;"Ausgabe",O1243=""),0,IF(O1243="x",-$E1243/(COUNTIF($J1243:$Q1243,"x")+1),-$E1243*N(O1243)))</f>
        <v/>
      </c>
      <c r="AD1243" s="34">
        <f>IF(OR($A1243="",$H1243&lt;&gt;"Ausgabe",P1243=""),0,IF(P1243="x",-$E1243/(COUNTIF($J1243:$Q1243,"x")+1),-$E1243*N(P1243)))</f>
        <v/>
      </c>
      <c r="AE1243" s="34">
        <f>IF(OR($A1243="",$H1243&lt;&gt;"Ausgabe",Q1243=""),0,IF(Q1243="x",-$E1243/(COUNTIF($J1243:$Q1243,"x")+1),-$E1243*N(Q1243)))</f>
        <v/>
      </c>
    </row>
    <row r="1244">
      <c r="A1244" s="30" t="n"/>
      <c r="E1244" s="31" t="n"/>
      <c r="J1244" s="32" t="n"/>
      <c r="K1244" s="32" t="n"/>
      <c r="L1244" s="32" t="n"/>
      <c r="M1244" s="32" t="n"/>
      <c r="N1244" s="32" t="n"/>
      <c r="O1244" s="32" t="n"/>
      <c r="P1244" s="32" t="n"/>
      <c r="Q1244" s="32" t="n"/>
      <c r="U1244" s="31">
        <f>IF($A1244="","",SUM(X1244:AE1244))</f>
        <v/>
      </c>
      <c r="V1244" s="31">
        <f>IF($A1244="","",IF($H1244&lt;&gt;"Ausgabe",0,-$E1244-$U1244))</f>
        <v/>
      </c>
      <c r="W1244" s="33">
        <f>IF($A1244="","",DATE(YEAR($A1244),MONTH($A1244),1))</f>
        <v/>
      </c>
      <c r="X1244" s="34">
        <f>IF(OR($A1244="",$H1244&lt;&gt;"Ausgabe",J1244=""),0,IF(J1244="x",-$E1244/(COUNTIF($J1244:$Q1244,"x")+1),-$E1244*N(J1244)))</f>
        <v/>
      </c>
      <c r="Y1244" s="34">
        <f>IF(OR($A1244="",$H1244&lt;&gt;"Ausgabe",K1244=""),0,IF(K1244="x",-$E1244/(COUNTIF($J1244:$Q1244,"x")+1),-$E1244*N(K1244)))</f>
        <v/>
      </c>
      <c r="Z1244" s="34">
        <f>IF(OR($A1244="",$H1244&lt;&gt;"Ausgabe",L1244=""),0,IF(L1244="x",-$E1244/(COUNTIF($J1244:$Q1244,"x")+1),-$E1244*N(L1244)))</f>
        <v/>
      </c>
      <c r="AA1244" s="34">
        <f>IF(OR($A1244="",$H1244&lt;&gt;"Ausgabe",M1244=""),0,IF(M1244="x",-$E1244/(COUNTIF($J1244:$Q1244,"x")+1),-$E1244*N(M1244)))</f>
        <v/>
      </c>
      <c r="AB1244" s="34">
        <f>IF(OR($A1244="",$H1244&lt;&gt;"Ausgabe",N1244=""),0,IF(N1244="x",-$E1244/(COUNTIF($J1244:$Q1244,"x")+1),-$E1244*N(N1244)))</f>
        <v/>
      </c>
      <c r="AC1244" s="34">
        <f>IF(OR($A1244="",$H1244&lt;&gt;"Ausgabe",O1244=""),0,IF(O1244="x",-$E1244/(COUNTIF($J1244:$Q1244,"x")+1),-$E1244*N(O1244)))</f>
        <v/>
      </c>
      <c r="AD1244" s="34">
        <f>IF(OR($A1244="",$H1244&lt;&gt;"Ausgabe",P1244=""),0,IF(P1244="x",-$E1244/(COUNTIF($J1244:$Q1244,"x")+1),-$E1244*N(P1244)))</f>
        <v/>
      </c>
      <c r="AE1244" s="34">
        <f>IF(OR($A1244="",$H1244&lt;&gt;"Ausgabe",Q1244=""),0,IF(Q1244="x",-$E1244/(COUNTIF($J1244:$Q1244,"x")+1),-$E1244*N(Q1244)))</f>
        <v/>
      </c>
    </row>
    <row r="1245">
      <c r="A1245" s="30" t="n"/>
      <c r="E1245" s="31" t="n"/>
      <c r="J1245" s="32" t="n"/>
      <c r="K1245" s="32" t="n"/>
      <c r="L1245" s="32" t="n"/>
      <c r="M1245" s="32" t="n"/>
      <c r="N1245" s="32" t="n"/>
      <c r="O1245" s="32" t="n"/>
      <c r="P1245" s="32" t="n"/>
      <c r="Q1245" s="32" t="n"/>
      <c r="U1245" s="31">
        <f>IF($A1245="","",SUM(X1245:AE1245))</f>
        <v/>
      </c>
      <c r="V1245" s="31">
        <f>IF($A1245="","",IF($H1245&lt;&gt;"Ausgabe",0,-$E1245-$U1245))</f>
        <v/>
      </c>
      <c r="W1245" s="33">
        <f>IF($A1245="","",DATE(YEAR($A1245),MONTH($A1245),1))</f>
        <v/>
      </c>
      <c r="X1245" s="34">
        <f>IF(OR($A1245="",$H1245&lt;&gt;"Ausgabe",J1245=""),0,IF(J1245="x",-$E1245/(COUNTIF($J1245:$Q1245,"x")+1),-$E1245*N(J1245)))</f>
        <v/>
      </c>
      <c r="Y1245" s="34">
        <f>IF(OR($A1245="",$H1245&lt;&gt;"Ausgabe",K1245=""),0,IF(K1245="x",-$E1245/(COUNTIF($J1245:$Q1245,"x")+1),-$E1245*N(K1245)))</f>
        <v/>
      </c>
      <c r="Z1245" s="34">
        <f>IF(OR($A1245="",$H1245&lt;&gt;"Ausgabe",L1245=""),0,IF(L1245="x",-$E1245/(COUNTIF($J1245:$Q1245,"x")+1),-$E1245*N(L1245)))</f>
        <v/>
      </c>
      <c r="AA1245" s="34">
        <f>IF(OR($A1245="",$H1245&lt;&gt;"Ausgabe",M1245=""),0,IF(M1245="x",-$E1245/(COUNTIF($J1245:$Q1245,"x")+1),-$E1245*N(M1245)))</f>
        <v/>
      </c>
      <c r="AB1245" s="34">
        <f>IF(OR($A1245="",$H1245&lt;&gt;"Ausgabe",N1245=""),0,IF(N1245="x",-$E1245/(COUNTIF($J1245:$Q1245,"x")+1),-$E1245*N(N1245)))</f>
        <v/>
      </c>
      <c r="AC1245" s="34">
        <f>IF(OR($A1245="",$H1245&lt;&gt;"Ausgabe",O1245=""),0,IF(O1245="x",-$E1245/(COUNTIF($J1245:$Q1245,"x")+1),-$E1245*N(O1245)))</f>
        <v/>
      </c>
      <c r="AD1245" s="34">
        <f>IF(OR($A1245="",$H1245&lt;&gt;"Ausgabe",P1245=""),0,IF(P1245="x",-$E1245/(COUNTIF($J1245:$Q1245,"x")+1),-$E1245*N(P1245)))</f>
        <v/>
      </c>
      <c r="AE1245" s="34">
        <f>IF(OR($A1245="",$H1245&lt;&gt;"Ausgabe",Q1245=""),0,IF(Q1245="x",-$E1245/(COUNTIF($J1245:$Q1245,"x")+1),-$E1245*N(Q1245)))</f>
        <v/>
      </c>
    </row>
    <row r="1246">
      <c r="A1246" s="30" t="n"/>
      <c r="E1246" s="31" t="n"/>
      <c r="J1246" s="32" t="n"/>
      <c r="K1246" s="32" t="n"/>
      <c r="L1246" s="32" t="n"/>
      <c r="M1246" s="32" t="n"/>
      <c r="N1246" s="32" t="n"/>
      <c r="O1246" s="32" t="n"/>
      <c r="P1246" s="32" t="n"/>
      <c r="Q1246" s="32" t="n"/>
      <c r="U1246" s="31">
        <f>IF($A1246="","",SUM(X1246:AE1246))</f>
        <v/>
      </c>
      <c r="V1246" s="31">
        <f>IF($A1246="","",IF($H1246&lt;&gt;"Ausgabe",0,-$E1246-$U1246))</f>
        <v/>
      </c>
      <c r="W1246" s="33">
        <f>IF($A1246="","",DATE(YEAR($A1246),MONTH($A1246),1))</f>
        <v/>
      </c>
      <c r="X1246" s="34">
        <f>IF(OR($A1246="",$H1246&lt;&gt;"Ausgabe",J1246=""),0,IF(J1246="x",-$E1246/(COUNTIF($J1246:$Q1246,"x")+1),-$E1246*N(J1246)))</f>
        <v/>
      </c>
      <c r="Y1246" s="34">
        <f>IF(OR($A1246="",$H1246&lt;&gt;"Ausgabe",K1246=""),0,IF(K1246="x",-$E1246/(COUNTIF($J1246:$Q1246,"x")+1),-$E1246*N(K1246)))</f>
        <v/>
      </c>
      <c r="Z1246" s="34">
        <f>IF(OR($A1246="",$H1246&lt;&gt;"Ausgabe",L1246=""),0,IF(L1246="x",-$E1246/(COUNTIF($J1246:$Q1246,"x")+1),-$E1246*N(L1246)))</f>
        <v/>
      </c>
      <c r="AA1246" s="34">
        <f>IF(OR($A1246="",$H1246&lt;&gt;"Ausgabe",M1246=""),0,IF(M1246="x",-$E1246/(COUNTIF($J1246:$Q1246,"x")+1),-$E1246*N(M1246)))</f>
        <v/>
      </c>
      <c r="AB1246" s="34">
        <f>IF(OR($A1246="",$H1246&lt;&gt;"Ausgabe",N1246=""),0,IF(N1246="x",-$E1246/(COUNTIF($J1246:$Q1246,"x")+1),-$E1246*N(N1246)))</f>
        <v/>
      </c>
      <c r="AC1246" s="34">
        <f>IF(OR($A1246="",$H1246&lt;&gt;"Ausgabe",O1246=""),0,IF(O1246="x",-$E1246/(COUNTIF($J1246:$Q1246,"x")+1),-$E1246*N(O1246)))</f>
        <v/>
      </c>
      <c r="AD1246" s="34">
        <f>IF(OR($A1246="",$H1246&lt;&gt;"Ausgabe",P1246=""),0,IF(P1246="x",-$E1246/(COUNTIF($J1246:$Q1246,"x")+1),-$E1246*N(P1246)))</f>
        <v/>
      </c>
      <c r="AE1246" s="34">
        <f>IF(OR($A1246="",$H1246&lt;&gt;"Ausgabe",Q1246=""),0,IF(Q1246="x",-$E1246/(COUNTIF($J1246:$Q1246,"x")+1),-$E1246*N(Q1246)))</f>
        <v/>
      </c>
    </row>
    <row r="1247">
      <c r="A1247" s="30" t="n"/>
      <c r="E1247" s="31" t="n"/>
      <c r="J1247" s="32" t="n"/>
      <c r="K1247" s="32" t="n"/>
      <c r="L1247" s="32" t="n"/>
      <c r="M1247" s="32" t="n"/>
      <c r="N1247" s="32" t="n"/>
      <c r="O1247" s="32" t="n"/>
      <c r="P1247" s="32" t="n"/>
      <c r="Q1247" s="32" t="n"/>
      <c r="U1247" s="31">
        <f>IF($A1247="","",SUM(X1247:AE1247))</f>
        <v/>
      </c>
      <c r="V1247" s="31">
        <f>IF($A1247="","",IF($H1247&lt;&gt;"Ausgabe",0,-$E1247-$U1247))</f>
        <v/>
      </c>
      <c r="W1247" s="33">
        <f>IF($A1247="","",DATE(YEAR($A1247),MONTH($A1247),1))</f>
        <v/>
      </c>
      <c r="X1247" s="34">
        <f>IF(OR($A1247="",$H1247&lt;&gt;"Ausgabe",J1247=""),0,IF(J1247="x",-$E1247/(COUNTIF($J1247:$Q1247,"x")+1),-$E1247*N(J1247)))</f>
        <v/>
      </c>
      <c r="Y1247" s="34">
        <f>IF(OR($A1247="",$H1247&lt;&gt;"Ausgabe",K1247=""),0,IF(K1247="x",-$E1247/(COUNTIF($J1247:$Q1247,"x")+1),-$E1247*N(K1247)))</f>
        <v/>
      </c>
      <c r="Z1247" s="34">
        <f>IF(OR($A1247="",$H1247&lt;&gt;"Ausgabe",L1247=""),0,IF(L1247="x",-$E1247/(COUNTIF($J1247:$Q1247,"x")+1),-$E1247*N(L1247)))</f>
        <v/>
      </c>
      <c r="AA1247" s="34">
        <f>IF(OR($A1247="",$H1247&lt;&gt;"Ausgabe",M1247=""),0,IF(M1247="x",-$E1247/(COUNTIF($J1247:$Q1247,"x")+1),-$E1247*N(M1247)))</f>
        <v/>
      </c>
      <c r="AB1247" s="34">
        <f>IF(OR($A1247="",$H1247&lt;&gt;"Ausgabe",N1247=""),0,IF(N1247="x",-$E1247/(COUNTIF($J1247:$Q1247,"x")+1),-$E1247*N(N1247)))</f>
        <v/>
      </c>
      <c r="AC1247" s="34">
        <f>IF(OR($A1247="",$H1247&lt;&gt;"Ausgabe",O1247=""),0,IF(O1247="x",-$E1247/(COUNTIF($J1247:$Q1247,"x")+1),-$E1247*N(O1247)))</f>
        <v/>
      </c>
      <c r="AD1247" s="34">
        <f>IF(OR($A1247="",$H1247&lt;&gt;"Ausgabe",P1247=""),0,IF(P1247="x",-$E1247/(COUNTIF($J1247:$Q1247,"x")+1),-$E1247*N(P1247)))</f>
        <v/>
      </c>
      <c r="AE1247" s="34">
        <f>IF(OR($A1247="",$H1247&lt;&gt;"Ausgabe",Q1247=""),0,IF(Q1247="x",-$E1247/(COUNTIF($J1247:$Q1247,"x")+1),-$E1247*N(Q1247)))</f>
        <v/>
      </c>
    </row>
    <row r="1248">
      <c r="A1248" s="30" t="n"/>
      <c r="E1248" s="31" t="n"/>
      <c r="J1248" s="32" t="n"/>
      <c r="K1248" s="32" t="n"/>
      <c r="L1248" s="32" t="n"/>
      <c r="M1248" s="32" t="n"/>
      <c r="N1248" s="32" t="n"/>
      <c r="O1248" s="32" t="n"/>
      <c r="P1248" s="32" t="n"/>
      <c r="Q1248" s="32" t="n"/>
      <c r="U1248" s="31">
        <f>IF($A1248="","",SUM(X1248:AE1248))</f>
        <v/>
      </c>
      <c r="V1248" s="31">
        <f>IF($A1248="","",IF($H1248&lt;&gt;"Ausgabe",0,-$E1248-$U1248))</f>
        <v/>
      </c>
      <c r="W1248" s="33">
        <f>IF($A1248="","",DATE(YEAR($A1248),MONTH($A1248),1))</f>
        <v/>
      </c>
      <c r="X1248" s="34">
        <f>IF(OR($A1248="",$H1248&lt;&gt;"Ausgabe",J1248=""),0,IF(J1248="x",-$E1248/(COUNTIF($J1248:$Q1248,"x")+1),-$E1248*N(J1248)))</f>
        <v/>
      </c>
      <c r="Y1248" s="34">
        <f>IF(OR($A1248="",$H1248&lt;&gt;"Ausgabe",K1248=""),0,IF(K1248="x",-$E1248/(COUNTIF($J1248:$Q1248,"x")+1),-$E1248*N(K1248)))</f>
        <v/>
      </c>
      <c r="Z1248" s="34">
        <f>IF(OR($A1248="",$H1248&lt;&gt;"Ausgabe",L1248=""),0,IF(L1248="x",-$E1248/(COUNTIF($J1248:$Q1248,"x")+1),-$E1248*N(L1248)))</f>
        <v/>
      </c>
      <c r="AA1248" s="34">
        <f>IF(OR($A1248="",$H1248&lt;&gt;"Ausgabe",M1248=""),0,IF(M1248="x",-$E1248/(COUNTIF($J1248:$Q1248,"x")+1),-$E1248*N(M1248)))</f>
        <v/>
      </c>
      <c r="AB1248" s="34">
        <f>IF(OR($A1248="",$H1248&lt;&gt;"Ausgabe",N1248=""),0,IF(N1248="x",-$E1248/(COUNTIF($J1248:$Q1248,"x")+1),-$E1248*N(N1248)))</f>
        <v/>
      </c>
      <c r="AC1248" s="34">
        <f>IF(OR($A1248="",$H1248&lt;&gt;"Ausgabe",O1248=""),0,IF(O1248="x",-$E1248/(COUNTIF($J1248:$Q1248,"x")+1),-$E1248*N(O1248)))</f>
        <v/>
      </c>
      <c r="AD1248" s="34">
        <f>IF(OR($A1248="",$H1248&lt;&gt;"Ausgabe",P1248=""),0,IF(P1248="x",-$E1248/(COUNTIF($J1248:$Q1248,"x")+1),-$E1248*N(P1248)))</f>
        <v/>
      </c>
      <c r="AE1248" s="34">
        <f>IF(OR($A1248="",$H1248&lt;&gt;"Ausgabe",Q1248=""),0,IF(Q1248="x",-$E1248/(COUNTIF($J1248:$Q1248,"x")+1),-$E1248*N(Q1248)))</f>
        <v/>
      </c>
    </row>
    <row r="1249">
      <c r="A1249" s="30" t="n"/>
      <c r="E1249" s="31" t="n"/>
      <c r="J1249" s="32" t="n"/>
      <c r="K1249" s="32" t="n"/>
      <c r="L1249" s="32" t="n"/>
      <c r="M1249" s="32" t="n"/>
      <c r="N1249" s="32" t="n"/>
      <c r="O1249" s="32" t="n"/>
      <c r="P1249" s="32" t="n"/>
      <c r="Q1249" s="32" t="n"/>
      <c r="U1249" s="31">
        <f>IF($A1249="","",SUM(X1249:AE1249))</f>
        <v/>
      </c>
      <c r="V1249" s="31">
        <f>IF($A1249="","",IF($H1249&lt;&gt;"Ausgabe",0,-$E1249-$U1249))</f>
        <v/>
      </c>
      <c r="W1249" s="33">
        <f>IF($A1249="","",DATE(YEAR($A1249),MONTH($A1249),1))</f>
        <v/>
      </c>
      <c r="X1249" s="34">
        <f>IF(OR($A1249="",$H1249&lt;&gt;"Ausgabe",J1249=""),0,IF(J1249="x",-$E1249/(COUNTIF($J1249:$Q1249,"x")+1),-$E1249*N(J1249)))</f>
        <v/>
      </c>
      <c r="Y1249" s="34">
        <f>IF(OR($A1249="",$H1249&lt;&gt;"Ausgabe",K1249=""),0,IF(K1249="x",-$E1249/(COUNTIF($J1249:$Q1249,"x")+1),-$E1249*N(K1249)))</f>
        <v/>
      </c>
      <c r="Z1249" s="34">
        <f>IF(OR($A1249="",$H1249&lt;&gt;"Ausgabe",L1249=""),0,IF(L1249="x",-$E1249/(COUNTIF($J1249:$Q1249,"x")+1),-$E1249*N(L1249)))</f>
        <v/>
      </c>
      <c r="AA1249" s="34">
        <f>IF(OR($A1249="",$H1249&lt;&gt;"Ausgabe",M1249=""),0,IF(M1249="x",-$E1249/(COUNTIF($J1249:$Q1249,"x")+1),-$E1249*N(M1249)))</f>
        <v/>
      </c>
      <c r="AB1249" s="34">
        <f>IF(OR($A1249="",$H1249&lt;&gt;"Ausgabe",N1249=""),0,IF(N1249="x",-$E1249/(COUNTIF($J1249:$Q1249,"x")+1),-$E1249*N(N1249)))</f>
        <v/>
      </c>
      <c r="AC1249" s="34">
        <f>IF(OR($A1249="",$H1249&lt;&gt;"Ausgabe",O1249=""),0,IF(O1249="x",-$E1249/(COUNTIF($J1249:$Q1249,"x")+1),-$E1249*N(O1249)))</f>
        <v/>
      </c>
      <c r="AD1249" s="34">
        <f>IF(OR($A1249="",$H1249&lt;&gt;"Ausgabe",P1249=""),0,IF(P1249="x",-$E1249/(COUNTIF($J1249:$Q1249,"x")+1),-$E1249*N(P1249)))</f>
        <v/>
      </c>
      <c r="AE1249" s="34">
        <f>IF(OR($A1249="",$H1249&lt;&gt;"Ausgabe",Q1249=""),0,IF(Q1249="x",-$E1249/(COUNTIF($J1249:$Q1249,"x")+1),-$E1249*N(Q1249)))</f>
        <v/>
      </c>
    </row>
    <row r="1250">
      <c r="A1250" s="30" t="n"/>
      <c r="E1250" s="31" t="n"/>
      <c r="J1250" s="32" t="n"/>
      <c r="K1250" s="32" t="n"/>
      <c r="L1250" s="32" t="n"/>
      <c r="M1250" s="32" t="n"/>
      <c r="N1250" s="32" t="n"/>
      <c r="O1250" s="32" t="n"/>
      <c r="P1250" s="32" t="n"/>
      <c r="Q1250" s="32" t="n"/>
      <c r="U1250" s="31">
        <f>IF($A1250="","",SUM(X1250:AE1250))</f>
        <v/>
      </c>
      <c r="V1250" s="31">
        <f>IF($A1250="","",IF($H1250&lt;&gt;"Ausgabe",0,-$E1250-$U1250))</f>
        <v/>
      </c>
      <c r="W1250" s="33">
        <f>IF($A1250="","",DATE(YEAR($A1250),MONTH($A1250),1))</f>
        <v/>
      </c>
      <c r="X1250" s="34">
        <f>IF(OR($A1250="",$H1250&lt;&gt;"Ausgabe",J1250=""),0,IF(J1250="x",-$E1250/(COUNTIF($J1250:$Q1250,"x")+1),-$E1250*N(J1250)))</f>
        <v/>
      </c>
      <c r="Y1250" s="34">
        <f>IF(OR($A1250="",$H1250&lt;&gt;"Ausgabe",K1250=""),0,IF(K1250="x",-$E1250/(COUNTIF($J1250:$Q1250,"x")+1),-$E1250*N(K1250)))</f>
        <v/>
      </c>
      <c r="Z1250" s="34">
        <f>IF(OR($A1250="",$H1250&lt;&gt;"Ausgabe",L1250=""),0,IF(L1250="x",-$E1250/(COUNTIF($J1250:$Q1250,"x")+1),-$E1250*N(L1250)))</f>
        <v/>
      </c>
      <c r="AA1250" s="34">
        <f>IF(OR($A1250="",$H1250&lt;&gt;"Ausgabe",M1250=""),0,IF(M1250="x",-$E1250/(COUNTIF($J1250:$Q1250,"x")+1),-$E1250*N(M1250)))</f>
        <v/>
      </c>
      <c r="AB1250" s="34">
        <f>IF(OR($A1250="",$H1250&lt;&gt;"Ausgabe",N1250=""),0,IF(N1250="x",-$E1250/(COUNTIF($J1250:$Q1250,"x")+1),-$E1250*N(N1250)))</f>
        <v/>
      </c>
      <c r="AC1250" s="34">
        <f>IF(OR($A1250="",$H1250&lt;&gt;"Ausgabe",O1250=""),0,IF(O1250="x",-$E1250/(COUNTIF($J1250:$Q1250,"x")+1),-$E1250*N(O1250)))</f>
        <v/>
      </c>
      <c r="AD1250" s="34">
        <f>IF(OR($A1250="",$H1250&lt;&gt;"Ausgabe",P1250=""),0,IF(P1250="x",-$E1250/(COUNTIF($J1250:$Q1250,"x")+1),-$E1250*N(P1250)))</f>
        <v/>
      </c>
      <c r="AE1250" s="34">
        <f>IF(OR($A1250="",$H1250&lt;&gt;"Ausgabe",Q1250=""),0,IF(Q1250="x",-$E1250/(COUNTIF($J1250:$Q1250,"x")+1),-$E1250*N(Q1250)))</f>
        <v/>
      </c>
    </row>
    <row r="1251">
      <c r="A1251" s="30" t="n"/>
      <c r="E1251" s="31" t="n"/>
      <c r="J1251" s="32" t="n"/>
      <c r="K1251" s="32" t="n"/>
      <c r="L1251" s="32" t="n"/>
      <c r="M1251" s="32" t="n"/>
      <c r="N1251" s="32" t="n"/>
      <c r="O1251" s="32" t="n"/>
      <c r="P1251" s="32" t="n"/>
      <c r="Q1251" s="32" t="n"/>
      <c r="U1251" s="31">
        <f>IF($A1251="","",SUM(X1251:AE1251))</f>
        <v/>
      </c>
      <c r="V1251" s="31">
        <f>IF($A1251="","",IF($H1251&lt;&gt;"Ausgabe",0,-$E1251-$U1251))</f>
        <v/>
      </c>
      <c r="W1251" s="33">
        <f>IF($A1251="","",DATE(YEAR($A1251),MONTH($A1251),1))</f>
        <v/>
      </c>
      <c r="X1251" s="34">
        <f>IF(OR($A1251="",$H1251&lt;&gt;"Ausgabe",J1251=""),0,IF(J1251="x",-$E1251/(COUNTIF($J1251:$Q1251,"x")+1),-$E1251*N(J1251)))</f>
        <v/>
      </c>
      <c r="Y1251" s="34">
        <f>IF(OR($A1251="",$H1251&lt;&gt;"Ausgabe",K1251=""),0,IF(K1251="x",-$E1251/(COUNTIF($J1251:$Q1251,"x")+1),-$E1251*N(K1251)))</f>
        <v/>
      </c>
      <c r="Z1251" s="34">
        <f>IF(OR($A1251="",$H1251&lt;&gt;"Ausgabe",L1251=""),0,IF(L1251="x",-$E1251/(COUNTIF($J1251:$Q1251,"x")+1),-$E1251*N(L1251)))</f>
        <v/>
      </c>
      <c r="AA1251" s="34">
        <f>IF(OR($A1251="",$H1251&lt;&gt;"Ausgabe",M1251=""),0,IF(M1251="x",-$E1251/(COUNTIF($J1251:$Q1251,"x")+1),-$E1251*N(M1251)))</f>
        <v/>
      </c>
      <c r="AB1251" s="34">
        <f>IF(OR($A1251="",$H1251&lt;&gt;"Ausgabe",N1251=""),0,IF(N1251="x",-$E1251/(COUNTIF($J1251:$Q1251,"x")+1),-$E1251*N(N1251)))</f>
        <v/>
      </c>
      <c r="AC1251" s="34">
        <f>IF(OR($A1251="",$H1251&lt;&gt;"Ausgabe",O1251=""),0,IF(O1251="x",-$E1251/(COUNTIF($J1251:$Q1251,"x")+1),-$E1251*N(O1251)))</f>
        <v/>
      </c>
      <c r="AD1251" s="34">
        <f>IF(OR($A1251="",$H1251&lt;&gt;"Ausgabe",P1251=""),0,IF(P1251="x",-$E1251/(COUNTIF($J1251:$Q1251,"x")+1),-$E1251*N(P1251)))</f>
        <v/>
      </c>
      <c r="AE1251" s="34">
        <f>IF(OR($A1251="",$H1251&lt;&gt;"Ausgabe",Q1251=""),0,IF(Q1251="x",-$E1251/(COUNTIF($J1251:$Q1251,"x")+1),-$E1251*N(Q1251)))</f>
        <v/>
      </c>
    </row>
    <row r="1252">
      <c r="A1252" s="30" t="n"/>
      <c r="E1252" s="31" t="n"/>
      <c r="J1252" s="32" t="n"/>
      <c r="K1252" s="32" t="n"/>
      <c r="L1252" s="32" t="n"/>
      <c r="M1252" s="32" t="n"/>
      <c r="N1252" s="32" t="n"/>
      <c r="O1252" s="32" t="n"/>
      <c r="P1252" s="32" t="n"/>
      <c r="Q1252" s="32" t="n"/>
      <c r="U1252" s="31">
        <f>IF($A1252="","",SUM(X1252:AE1252))</f>
        <v/>
      </c>
      <c r="V1252" s="31">
        <f>IF($A1252="","",IF($H1252&lt;&gt;"Ausgabe",0,-$E1252-$U1252))</f>
        <v/>
      </c>
      <c r="W1252" s="33">
        <f>IF($A1252="","",DATE(YEAR($A1252),MONTH($A1252),1))</f>
        <v/>
      </c>
      <c r="X1252" s="34">
        <f>IF(OR($A1252="",$H1252&lt;&gt;"Ausgabe",J1252=""),0,IF(J1252="x",-$E1252/(COUNTIF($J1252:$Q1252,"x")+1),-$E1252*N(J1252)))</f>
        <v/>
      </c>
      <c r="Y1252" s="34">
        <f>IF(OR($A1252="",$H1252&lt;&gt;"Ausgabe",K1252=""),0,IF(K1252="x",-$E1252/(COUNTIF($J1252:$Q1252,"x")+1),-$E1252*N(K1252)))</f>
        <v/>
      </c>
      <c r="Z1252" s="34">
        <f>IF(OR($A1252="",$H1252&lt;&gt;"Ausgabe",L1252=""),0,IF(L1252="x",-$E1252/(COUNTIF($J1252:$Q1252,"x")+1),-$E1252*N(L1252)))</f>
        <v/>
      </c>
      <c r="AA1252" s="34">
        <f>IF(OR($A1252="",$H1252&lt;&gt;"Ausgabe",M1252=""),0,IF(M1252="x",-$E1252/(COUNTIF($J1252:$Q1252,"x")+1),-$E1252*N(M1252)))</f>
        <v/>
      </c>
      <c r="AB1252" s="34">
        <f>IF(OR($A1252="",$H1252&lt;&gt;"Ausgabe",N1252=""),0,IF(N1252="x",-$E1252/(COUNTIF($J1252:$Q1252,"x")+1),-$E1252*N(N1252)))</f>
        <v/>
      </c>
      <c r="AC1252" s="34">
        <f>IF(OR($A1252="",$H1252&lt;&gt;"Ausgabe",O1252=""),0,IF(O1252="x",-$E1252/(COUNTIF($J1252:$Q1252,"x")+1),-$E1252*N(O1252)))</f>
        <v/>
      </c>
      <c r="AD1252" s="34">
        <f>IF(OR($A1252="",$H1252&lt;&gt;"Ausgabe",P1252=""),0,IF(P1252="x",-$E1252/(COUNTIF($J1252:$Q1252,"x")+1),-$E1252*N(P1252)))</f>
        <v/>
      </c>
      <c r="AE1252" s="34">
        <f>IF(OR($A1252="",$H1252&lt;&gt;"Ausgabe",Q1252=""),0,IF(Q1252="x",-$E1252/(COUNTIF($J1252:$Q1252,"x")+1),-$E1252*N(Q1252)))</f>
        <v/>
      </c>
    </row>
    <row r="1253">
      <c r="A1253" s="30" t="n"/>
      <c r="E1253" s="31" t="n"/>
      <c r="J1253" s="32" t="n"/>
      <c r="K1253" s="32" t="n"/>
      <c r="L1253" s="32" t="n"/>
      <c r="M1253" s="32" t="n"/>
      <c r="N1253" s="32" t="n"/>
      <c r="O1253" s="32" t="n"/>
      <c r="P1253" s="32" t="n"/>
      <c r="Q1253" s="32" t="n"/>
      <c r="U1253" s="31">
        <f>IF($A1253="","",SUM(X1253:AE1253))</f>
        <v/>
      </c>
      <c r="V1253" s="31">
        <f>IF($A1253="","",IF($H1253&lt;&gt;"Ausgabe",0,-$E1253-$U1253))</f>
        <v/>
      </c>
      <c r="W1253" s="33">
        <f>IF($A1253="","",DATE(YEAR($A1253),MONTH($A1253),1))</f>
        <v/>
      </c>
      <c r="X1253" s="34">
        <f>IF(OR($A1253="",$H1253&lt;&gt;"Ausgabe",J1253=""),0,IF(J1253="x",-$E1253/(COUNTIF($J1253:$Q1253,"x")+1),-$E1253*N(J1253)))</f>
        <v/>
      </c>
      <c r="Y1253" s="34">
        <f>IF(OR($A1253="",$H1253&lt;&gt;"Ausgabe",K1253=""),0,IF(K1253="x",-$E1253/(COUNTIF($J1253:$Q1253,"x")+1),-$E1253*N(K1253)))</f>
        <v/>
      </c>
      <c r="Z1253" s="34">
        <f>IF(OR($A1253="",$H1253&lt;&gt;"Ausgabe",L1253=""),0,IF(L1253="x",-$E1253/(COUNTIF($J1253:$Q1253,"x")+1),-$E1253*N(L1253)))</f>
        <v/>
      </c>
      <c r="AA1253" s="34">
        <f>IF(OR($A1253="",$H1253&lt;&gt;"Ausgabe",M1253=""),0,IF(M1253="x",-$E1253/(COUNTIF($J1253:$Q1253,"x")+1),-$E1253*N(M1253)))</f>
        <v/>
      </c>
      <c r="AB1253" s="34">
        <f>IF(OR($A1253="",$H1253&lt;&gt;"Ausgabe",N1253=""),0,IF(N1253="x",-$E1253/(COUNTIF($J1253:$Q1253,"x")+1),-$E1253*N(N1253)))</f>
        <v/>
      </c>
      <c r="AC1253" s="34">
        <f>IF(OR($A1253="",$H1253&lt;&gt;"Ausgabe",O1253=""),0,IF(O1253="x",-$E1253/(COUNTIF($J1253:$Q1253,"x")+1),-$E1253*N(O1253)))</f>
        <v/>
      </c>
      <c r="AD1253" s="34">
        <f>IF(OR($A1253="",$H1253&lt;&gt;"Ausgabe",P1253=""),0,IF(P1253="x",-$E1253/(COUNTIF($J1253:$Q1253,"x")+1),-$E1253*N(P1253)))</f>
        <v/>
      </c>
      <c r="AE1253" s="34">
        <f>IF(OR($A1253="",$H1253&lt;&gt;"Ausgabe",Q1253=""),0,IF(Q1253="x",-$E1253/(COUNTIF($J1253:$Q1253,"x")+1),-$E1253*N(Q1253)))</f>
        <v/>
      </c>
    </row>
    <row r="1254">
      <c r="A1254" s="30" t="n"/>
      <c r="E1254" s="31" t="n"/>
      <c r="J1254" s="32" t="n"/>
      <c r="K1254" s="32" t="n"/>
      <c r="L1254" s="32" t="n"/>
      <c r="M1254" s="32" t="n"/>
      <c r="N1254" s="32" t="n"/>
      <c r="O1254" s="32" t="n"/>
      <c r="P1254" s="32" t="n"/>
      <c r="Q1254" s="32" t="n"/>
      <c r="U1254" s="31">
        <f>IF($A1254="","",SUM(X1254:AE1254))</f>
        <v/>
      </c>
      <c r="V1254" s="31">
        <f>IF($A1254="","",IF($H1254&lt;&gt;"Ausgabe",0,-$E1254-$U1254))</f>
        <v/>
      </c>
      <c r="W1254" s="33">
        <f>IF($A1254="","",DATE(YEAR($A1254),MONTH($A1254),1))</f>
        <v/>
      </c>
      <c r="X1254" s="34">
        <f>IF(OR($A1254="",$H1254&lt;&gt;"Ausgabe",J1254=""),0,IF(J1254="x",-$E1254/(COUNTIF($J1254:$Q1254,"x")+1),-$E1254*N(J1254)))</f>
        <v/>
      </c>
      <c r="Y1254" s="34">
        <f>IF(OR($A1254="",$H1254&lt;&gt;"Ausgabe",K1254=""),0,IF(K1254="x",-$E1254/(COUNTIF($J1254:$Q1254,"x")+1),-$E1254*N(K1254)))</f>
        <v/>
      </c>
      <c r="Z1254" s="34">
        <f>IF(OR($A1254="",$H1254&lt;&gt;"Ausgabe",L1254=""),0,IF(L1254="x",-$E1254/(COUNTIF($J1254:$Q1254,"x")+1),-$E1254*N(L1254)))</f>
        <v/>
      </c>
      <c r="AA1254" s="34">
        <f>IF(OR($A1254="",$H1254&lt;&gt;"Ausgabe",M1254=""),0,IF(M1254="x",-$E1254/(COUNTIF($J1254:$Q1254,"x")+1),-$E1254*N(M1254)))</f>
        <v/>
      </c>
      <c r="AB1254" s="34">
        <f>IF(OR($A1254="",$H1254&lt;&gt;"Ausgabe",N1254=""),0,IF(N1254="x",-$E1254/(COUNTIF($J1254:$Q1254,"x")+1),-$E1254*N(N1254)))</f>
        <v/>
      </c>
      <c r="AC1254" s="34">
        <f>IF(OR($A1254="",$H1254&lt;&gt;"Ausgabe",O1254=""),0,IF(O1254="x",-$E1254/(COUNTIF($J1254:$Q1254,"x")+1),-$E1254*N(O1254)))</f>
        <v/>
      </c>
      <c r="AD1254" s="34">
        <f>IF(OR($A1254="",$H1254&lt;&gt;"Ausgabe",P1254=""),0,IF(P1254="x",-$E1254/(COUNTIF($J1254:$Q1254,"x")+1),-$E1254*N(P1254)))</f>
        <v/>
      </c>
      <c r="AE1254" s="34">
        <f>IF(OR($A1254="",$H1254&lt;&gt;"Ausgabe",Q1254=""),0,IF(Q1254="x",-$E1254/(COUNTIF($J1254:$Q1254,"x")+1),-$E1254*N(Q1254)))</f>
        <v/>
      </c>
    </row>
    <row r="1255">
      <c r="A1255" s="30" t="n"/>
      <c r="E1255" s="31" t="n"/>
      <c r="J1255" s="32" t="n"/>
      <c r="K1255" s="32" t="n"/>
      <c r="L1255" s="32" t="n"/>
      <c r="M1255" s="32" t="n"/>
      <c r="N1255" s="32" t="n"/>
      <c r="O1255" s="32" t="n"/>
      <c r="P1255" s="32" t="n"/>
      <c r="Q1255" s="32" t="n"/>
      <c r="U1255" s="31">
        <f>IF($A1255="","",SUM(X1255:AE1255))</f>
        <v/>
      </c>
      <c r="V1255" s="31">
        <f>IF($A1255="","",IF($H1255&lt;&gt;"Ausgabe",0,-$E1255-$U1255))</f>
        <v/>
      </c>
      <c r="W1255" s="33">
        <f>IF($A1255="","",DATE(YEAR($A1255),MONTH($A1255),1))</f>
        <v/>
      </c>
      <c r="X1255" s="34">
        <f>IF(OR($A1255="",$H1255&lt;&gt;"Ausgabe",J1255=""),0,IF(J1255="x",-$E1255/(COUNTIF($J1255:$Q1255,"x")+1),-$E1255*N(J1255)))</f>
        <v/>
      </c>
      <c r="Y1255" s="34">
        <f>IF(OR($A1255="",$H1255&lt;&gt;"Ausgabe",K1255=""),0,IF(K1255="x",-$E1255/(COUNTIF($J1255:$Q1255,"x")+1),-$E1255*N(K1255)))</f>
        <v/>
      </c>
      <c r="Z1255" s="34">
        <f>IF(OR($A1255="",$H1255&lt;&gt;"Ausgabe",L1255=""),0,IF(L1255="x",-$E1255/(COUNTIF($J1255:$Q1255,"x")+1),-$E1255*N(L1255)))</f>
        <v/>
      </c>
      <c r="AA1255" s="34">
        <f>IF(OR($A1255="",$H1255&lt;&gt;"Ausgabe",M1255=""),0,IF(M1255="x",-$E1255/(COUNTIF($J1255:$Q1255,"x")+1),-$E1255*N(M1255)))</f>
        <v/>
      </c>
      <c r="AB1255" s="34">
        <f>IF(OR($A1255="",$H1255&lt;&gt;"Ausgabe",N1255=""),0,IF(N1255="x",-$E1255/(COUNTIF($J1255:$Q1255,"x")+1),-$E1255*N(N1255)))</f>
        <v/>
      </c>
      <c r="AC1255" s="34">
        <f>IF(OR($A1255="",$H1255&lt;&gt;"Ausgabe",O1255=""),0,IF(O1255="x",-$E1255/(COUNTIF($J1255:$Q1255,"x")+1),-$E1255*N(O1255)))</f>
        <v/>
      </c>
      <c r="AD1255" s="34">
        <f>IF(OR($A1255="",$H1255&lt;&gt;"Ausgabe",P1255=""),0,IF(P1255="x",-$E1255/(COUNTIF($J1255:$Q1255,"x")+1),-$E1255*N(P1255)))</f>
        <v/>
      </c>
      <c r="AE1255" s="34">
        <f>IF(OR($A1255="",$H1255&lt;&gt;"Ausgabe",Q1255=""),0,IF(Q1255="x",-$E1255/(COUNTIF($J1255:$Q1255,"x")+1),-$E1255*N(Q1255)))</f>
        <v/>
      </c>
    </row>
    <row r="1256">
      <c r="A1256" s="30" t="n"/>
      <c r="E1256" s="31" t="n"/>
      <c r="J1256" s="32" t="n"/>
      <c r="K1256" s="32" t="n"/>
      <c r="L1256" s="32" t="n"/>
      <c r="M1256" s="32" t="n"/>
      <c r="N1256" s="32" t="n"/>
      <c r="O1256" s="32" t="n"/>
      <c r="P1256" s="32" t="n"/>
      <c r="Q1256" s="32" t="n"/>
      <c r="U1256" s="31">
        <f>IF($A1256="","",SUM(X1256:AE1256))</f>
        <v/>
      </c>
      <c r="V1256" s="31">
        <f>IF($A1256="","",IF($H1256&lt;&gt;"Ausgabe",0,-$E1256-$U1256))</f>
        <v/>
      </c>
      <c r="W1256" s="33">
        <f>IF($A1256="","",DATE(YEAR($A1256),MONTH($A1256),1))</f>
        <v/>
      </c>
      <c r="X1256" s="34">
        <f>IF(OR($A1256="",$H1256&lt;&gt;"Ausgabe",J1256=""),0,IF(J1256="x",-$E1256/(COUNTIF($J1256:$Q1256,"x")+1),-$E1256*N(J1256)))</f>
        <v/>
      </c>
      <c r="Y1256" s="34">
        <f>IF(OR($A1256="",$H1256&lt;&gt;"Ausgabe",K1256=""),0,IF(K1256="x",-$E1256/(COUNTIF($J1256:$Q1256,"x")+1),-$E1256*N(K1256)))</f>
        <v/>
      </c>
      <c r="Z1256" s="34">
        <f>IF(OR($A1256="",$H1256&lt;&gt;"Ausgabe",L1256=""),0,IF(L1256="x",-$E1256/(COUNTIF($J1256:$Q1256,"x")+1),-$E1256*N(L1256)))</f>
        <v/>
      </c>
      <c r="AA1256" s="34">
        <f>IF(OR($A1256="",$H1256&lt;&gt;"Ausgabe",M1256=""),0,IF(M1256="x",-$E1256/(COUNTIF($J1256:$Q1256,"x")+1),-$E1256*N(M1256)))</f>
        <v/>
      </c>
      <c r="AB1256" s="34">
        <f>IF(OR($A1256="",$H1256&lt;&gt;"Ausgabe",N1256=""),0,IF(N1256="x",-$E1256/(COUNTIF($J1256:$Q1256,"x")+1),-$E1256*N(N1256)))</f>
        <v/>
      </c>
      <c r="AC1256" s="34">
        <f>IF(OR($A1256="",$H1256&lt;&gt;"Ausgabe",O1256=""),0,IF(O1256="x",-$E1256/(COUNTIF($J1256:$Q1256,"x")+1),-$E1256*N(O1256)))</f>
        <v/>
      </c>
      <c r="AD1256" s="34">
        <f>IF(OR($A1256="",$H1256&lt;&gt;"Ausgabe",P1256=""),0,IF(P1256="x",-$E1256/(COUNTIF($J1256:$Q1256,"x")+1),-$E1256*N(P1256)))</f>
        <v/>
      </c>
      <c r="AE1256" s="34">
        <f>IF(OR($A1256="",$H1256&lt;&gt;"Ausgabe",Q1256=""),0,IF(Q1256="x",-$E1256/(COUNTIF($J1256:$Q1256,"x")+1),-$E1256*N(Q1256)))</f>
        <v/>
      </c>
    </row>
    <row r="1257">
      <c r="A1257" s="30" t="n"/>
      <c r="E1257" s="31" t="n"/>
      <c r="J1257" s="32" t="n"/>
      <c r="K1257" s="32" t="n"/>
      <c r="L1257" s="32" t="n"/>
      <c r="M1257" s="32" t="n"/>
      <c r="N1257" s="32" t="n"/>
      <c r="O1257" s="32" t="n"/>
      <c r="P1257" s="32" t="n"/>
      <c r="Q1257" s="32" t="n"/>
      <c r="U1257" s="31">
        <f>IF($A1257="","",SUM(X1257:AE1257))</f>
        <v/>
      </c>
      <c r="V1257" s="31">
        <f>IF($A1257="","",IF($H1257&lt;&gt;"Ausgabe",0,-$E1257-$U1257))</f>
        <v/>
      </c>
      <c r="W1257" s="33">
        <f>IF($A1257="","",DATE(YEAR($A1257),MONTH($A1257),1))</f>
        <v/>
      </c>
      <c r="X1257" s="34">
        <f>IF(OR($A1257="",$H1257&lt;&gt;"Ausgabe",J1257=""),0,IF(J1257="x",-$E1257/(COUNTIF($J1257:$Q1257,"x")+1),-$E1257*N(J1257)))</f>
        <v/>
      </c>
      <c r="Y1257" s="34">
        <f>IF(OR($A1257="",$H1257&lt;&gt;"Ausgabe",K1257=""),0,IF(K1257="x",-$E1257/(COUNTIF($J1257:$Q1257,"x")+1),-$E1257*N(K1257)))</f>
        <v/>
      </c>
      <c r="Z1257" s="34">
        <f>IF(OR($A1257="",$H1257&lt;&gt;"Ausgabe",L1257=""),0,IF(L1257="x",-$E1257/(COUNTIF($J1257:$Q1257,"x")+1),-$E1257*N(L1257)))</f>
        <v/>
      </c>
      <c r="AA1257" s="34">
        <f>IF(OR($A1257="",$H1257&lt;&gt;"Ausgabe",M1257=""),0,IF(M1257="x",-$E1257/(COUNTIF($J1257:$Q1257,"x")+1),-$E1257*N(M1257)))</f>
        <v/>
      </c>
      <c r="AB1257" s="34">
        <f>IF(OR($A1257="",$H1257&lt;&gt;"Ausgabe",N1257=""),0,IF(N1257="x",-$E1257/(COUNTIF($J1257:$Q1257,"x")+1),-$E1257*N(N1257)))</f>
        <v/>
      </c>
      <c r="AC1257" s="34">
        <f>IF(OR($A1257="",$H1257&lt;&gt;"Ausgabe",O1257=""),0,IF(O1257="x",-$E1257/(COUNTIF($J1257:$Q1257,"x")+1),-$E1257*N(O1257)))</f>
        <v/>
      </c>
      <c r="AD1257" s="34">
        <f>IF(OR($A1257="",$H1257&lt;&gt;"Ausgabe",P1257=""),0,IF(P1257="x",-$E1257/(COUNTIF($J1257:$Q1257,"x")+1),-$E1257*N(P1257)))</f>
        <v/>
      </c>
      <c r="AE1257" s="34">
        <f>IF(OR($A1257="",$H1257&lt;&gt;"Ausgabe",Q1257=""),0,IF(Q1257="x",-$E1257/(COUNTIF($J1257:$Q1257,"x")+1),-$E1257*N(Q1257)))</f>
        <v/>
      </c>
    </row>
    <row r="1258">
      <c r="A1258" s="30" t="n"/>
      <c r="E1258" s="31" t="n"/>
      <c r="J1258" s="32" t="n"/>
      <c r="K1258" s="32" t="n"/>
      <c r="L1258" s="32" t="n"/>
      <c r="M1258" s="32" t="n"/>
      <c r="N1258" s="32" t="n"/>
      <c r="O1258" s="32" t="n"/>
      <c r="P1258" s="32" t="n"/>
      <c r="Q1258" s="32" t="n"/>
      <c r="U1258" s="31">
        <f>IF($A1258="","",SUM(X1258:AE1258))</f>
        <v/>
      </c>
      <c r="V1258" s="31">
        <f>IF($A1258="","",IF($H1258&lt;&gt;"Ausgabe",0,-$E1258-$U1258))</f>
        <v/>
      </c>
      <c r="W1258" s="33">
        <f>IF($A1258="","",DATE(YEAR($A1258),MONTH($A1258),1))</f>
        <v/>
      </c>
      <c r="X1258" s="34">
        <f>IF(OR($A1258="",$H1258&lt;&gt;"Ausgabe",J1258=""),0,IF(J1258="x",-$E1258/(COUNTIF($J1258:$Q1258,"x")+1),-$E1258*N(J1258)))</f>
        <v/>
      </c>
      <c r="Y1258" s="34">
        <f>IF(OR($A1258="",$H1258&lt;&gt;"Ausgabe",K1258=""),0,IF(K1258="x",-$E1258/(COUNTIF($J1258:$Q1258,"x")+1),-$E1258*N(K1258)))</f>
        <v/>
      </c>
      <c r="Z1258" s="34">
        <f>IF(OR($A1258="",$H1258&lt;&gt;"Ausgabe",L1258=""),0,IF(L1258="x",-$E1258/(COUNTIF($J1258:$Q1258,"x")+1),-$E1258*N(L1258)))</f>
        <v/>
      </c>
      <c r="AA1258" s="34">
        <f>IF(OR($A1258="",$H1258&lt;&gt;"Ausgabe",M1258=""),0,IF(M1258="x",-$E1258/(COUNTIF($J1258:$Q1258,"x")+1),-$E1258*N(M1258)))</f>
        <v/>
      </c>
      <c r="AB1258" s="34">
        <f>IF(OR($A1258="",$H1258&lt;&gt;"Ausgabe",N1258=""),0,IF(N1258="x",-$E1258/(COUNTIF($J1258:$Q1258,"x")+1),-$E1258*N(N1258)))</f>
        <v/>
      </c>
      <c r="AC1258" s="34">
        <f>IF(OR($A1258="",$H1258&lt;&gt;"Ausgabe",O1258=""),0,IF(O1258="x",-$E1258/(COUNTIF($J1258:$Q1258,"x")+1),-$E1258*N(O1258)))</f>
        <v/>
      </c>
      <c r="AD1258" s="34">
        <f>IF(OR($A1258="",$H1258&lt;&gt;"Ausgabe",P1258=""),0,IF(P1258="x",-$E1258/(COUNTIF($J1258:$Q1258,"x")+1),-$E1258*N(P1258)))</f>
        <v/>
      </c>
      <c r="AE1258" s="34">
        <f>IF(OR($A1258="",$H1258&lt;&gt;"Ausgabe",Q1258=""),0,IF(Q1258="x",-$E1258/(COUNTIF($J1258:$Q1258,"x")+1),-$E1258*N(Q1258)))</f>
        <v/>
      </c>
    </row>
    <row r="1259">
      <c r="A1259" s="30" t="n"/>
      <c r="E1259" s="31" t="n"/>
      <c r="J1259" s="32" t="n"/>
      <c r="K1259" s="32" t="n"/>
      <c r="L1259" s="32" t="n"/>
      <c r="M1259" s="32" t="n"/>
      <c r="N1259" s="32" t="n"/>
      <c r="O1259" s="32" t="n"/>
      <c r="P1259" s="32" t="n"/>
      <c r="Q1259" s="32" t="n"/>
      <c r="U1259" s="31">
        <f>IF($A1259="","",SUM(X1259:AE1259))</f>
        <v/>
      </c>
      <c r="V1259" s="31">
        <f>IF($A1259="","",IF($H1259&lt;&gt;"Ausgabe",0,-$E1259-$U1259))</f>
        <v/>
      </c>
      <c r="W1259" s="33">
        <f>IF($A1259="","",DATE(YEAR($A1259),MONTH($A1259),1))</f>
        <v/>
      </c>
      <c r="X1259" s="34">
        <f>IF(OR($A1259="",$H1259&lt;&gt;"Ausgabe",J1259=""),0,IF(J1259="x",-$E1259/(COUNTIF($J1259:$Q1259,"x")+1),-$E1259*N(J1259)))</f>
        <v/>
      </c>
      <c r="Y1259" s="34">
        <f>IF(OR($A1259="",$H1259&lt;&gt;"Ausgabe",K1259=""),0,IF(K1259="x",-$E1259/(COUNTIF($J1259:$Q1259,"x")+1),-$E1259*N(K1259)))</f>
        <v/>
      </c>
      <c r="Z1259" s="34">
        <f>IF(OR($A1259="",$H1259&lt;&gt;"Ausgabe",L1259=""),0,IF(L1259="x",-$E1259/(COUNTIF($J1259:$Q1259,"x")+1),-$E1259*N(L1259)))</f>
        <v/>
      </c>
      <c r="AA1259" s="34">
        <f>IF(OR($A1259="",$H1259&lt;&gt;"Ausgabe",M1259=""),0,IF(M1259="x",-$E1259/(COUNTIF($J1259:$Q1259,"x")+1),-$E1259*N(M1259)))</f>
        <v/>
      </c>
      <c r="AB1259" s="34">
        <f>IF(OR($A1259="",$H1259&lt;&gt;"Ausgabe",N1259=""),0,IF(N1259="x",-$E1259/(COUNTIF($J1259:$Q1259,"x")+1),-$E1259*N(N1259)))</f>
        <v/>
      </c>
      <c r="AC1259" s="34">
        <f>IF(OR($A1259="",$H1259&lt;&gt;"Ausgabe",O1259=""),0,IF(O1259="x",-$E1259/(COUNTIF($J1259:$Q1259,"x")+1),-$E1259*N(O1259)))</f>
        <v/>
      </c>
      <c r="AD1259" s="34">
        <f>IF(OR($A1259="",$H1259&lt;&gt;"Ausgabe",P1259=""),0,IF(P1259="x",-$E1259/(COUNTIF($J1259:$Q1259,"x")+1),-$E1259*N(P1259)))</f>
        <v/>
      </c>
      <c r="AE1259" s="34">
        <f>IF(OR($A1259="",$H1259&lt;&gt;"Ausgabe",Q1259=""),0,IF(Q1259="x",-$E1259/(COUNTIF($J1259:$Q1259,"x")+1),-$E1259*N(Q1259)))</f>
        <v/>
      </c>
    </row>
    <row r="1260">
      <c r="A1260" s="30" t="n"/>
      <c r="E1260" s="31" t="n"/>
      <c r="J1260" s="32" t="n"/>
      <c r="K1260" s="32" t="n"/>
      <c r="L1260" s="32" t="n"/>
      <c r="M1260" s="32" t="n"/>
      <c r="N1260" s="32" t="n"/>
      <c r="O1260" s="32" t="n"/>
      <c r="P1260" s="32" t="n"/>
      <c r="Q1260" s="32" t="n"/>
      <c r="U1260" s="31">
        <f>IF($A1260="","",SUM(X1260:AE1260))</f>
        <v/>
      </c>
      <c r="V1260" s="31">
        <f>IF($A1260="","",IF($H1260&lt;&gt;"Ausgabe",0,-$E1260-$U1260))</f>
        <v/>
      </c>
      <c r="W1260" s="33">
        <f>IF($A1260="","",DATE(YEAR($A1260),MONTH($A1260),1))</f>
        <v/>
      </c>
      <c r="X1260" s="34">
        <f>IF(OR($A1260="",$H1260&lt;&gt;"Ausgabe",J1260=""),0,IF(J1260="x",-$E1260/(COUNTIF($J1260:$Q1260,"x")+1),-$E1260*N(J1260)))</f>
        <v/>
      </c>
      <c r="Y1260" s="34">
        <f>IF(OR($A1260="",$H1260&lt;&gt;"Ausgabe",K1260=""),0,IF(K1260="x",-$E1260/(COUNTIF($J1260:$Q1260,"x")+1),-$E1260*N(K1260)))</f>
        <v/>
      </c>
      <c r="Z1260" s="34">
        <f>IF(OR($A1260="",$H1260&lt;&gt;"Ausgabe",L1260=""),0,IF(L1260="x",-$E1260/(COUNTIF($J1260:$Q1260,"x")+1),-$E1260*N(L1260)))</f>
        <v/>
      </c>
      <c r="AA1260" s="34">
        <f>IF(OR($A1260="",$H1260&lt;&gt;"Ausgabe",M1260=""),0,IF(M1260="x",-$E1260/(COUNTIF($J1260:$Q1260,"x")+1),-$E1260*N(M1260)))</f>
        <v/>
      </c>
      <c r="AB1260" s="34">
        <f>IF(OR($A1260="",$H1260&lt;&gt;"Ausgabe",N1260=""),0,IF(N1260="x",-$E1260/(COUNTIF($J1260:$Q1260,"x")+1),-$E1260*N(N1260)))</f>
        <v/>
      </c>
      <c r="AC1260" s="34">
        <f>IF(OR($A1260="",$H1260&lt;&gt;"Ausgabe",O1260=""),0,IF(O1260="x",-$E1260/(COUNTIF($J1260:$Q1260,"x")+1),-$E1260*N(O1260)))</f>
        <v/>
      </c>
      <c r="AD1260" s="34">
        <f>IF(OR($A1260="",$H1260&lt;&gt;"Ausgabe",P1260=""),0,IF(P1260="x",-$E1260/(COUNTIF($J1260:$Q1260,"x")+1),-$E1260*N(P1260)))</f>
        <v/>
      </c>
      <c r="AE1260" s="34">
        <f>IF(OR($A1260="",$H1260&lt;&gt;"Ausgabe",Q1260=""),0,IF(Q1260="x",-$E1260/(COUNTIF($J1260:$Q1260,"x")+1),-$E1260*N(Q1260)))</f>
        <v/>
      </c>
    </row>
    <row r="1261">
      <c r="A1261" s="30" t="n"/>
      <c r="E1261" s="31" t="n"/>
      <c r="J1261" s="32" t="n"/>
      <c r="K1261" s="32" t="n"/>
      <c r="L1261" s="32" t="n"/>
      <c r="M1261" s="32" t="n"/>
      <c r="N1261" s="32" t="n"/>
      <c r="O1261" s="32" t="n"/>
      <c r="P1261" s="32" t="n"/>
      <c r="Q1261" s="32" t="n"/>
      <c r="U1261" s="31">
        <f>IF($A1261="","",SUM(X1261:AE1261))</f>
        <v/>
      </c>
      <c r="V1261" s="31">
        <f>IF($A1261="","",IF($H1261&lt;&gt;"Ausgabe",0,-$E1261-$U1261))</f>
        <v/>
      </c>
      <c r="W1261" s="33">
        <f>IF($A1261="","",DATE(YEAR($A1261),MONTH($A1261),1))</f>
        <v/>
      </c>
      <c r="X1261" s="34">
        <f>IF(OR($A1261="",$H1261&lt;&gt;"Ausgabe",J1261=""),0,IF(J1261="x",-$E1261/(COUNTIF($J1261:$Q1261,"x")+1),-$E1261*N(J1261)))</f>
        <v/>
      </c>
      <c r="Y1261" s="34">
        <f>IF(OR($A1261="",$H1261&lt;&gt;"Ausgabe",K1261=""),0,IF(K1261="x",-$E1261/(COUNTIF($J1261:$Q1261,"x")+1),-$E1261*N(K1261)))</f>
        <v/>
      </c>
      <c r="Z1261" s="34">
        <f>IF(OR($A1261="",$H1261&lt;&gt;"Ausgabe",L1261=""),0,IF(L1261="x",-$E1261/(COUNTIF($J1261:$Q1261,"x")+1),-$E1261*N(L1261)))</f>
        <v/>
      </c>
      <c r="AA1261" s="34">
        <f>IF(OR($A1261="",$H1261&lt;&gt;"Ausgabe",M1261=""),0,IF(M1261="x",-$E1261/(COUNTIF($J1261:$Q1261,"x")+1),-$E1261*N(M1261)))</f>
        <v/>
      </c>
      <c r="AB1261" s="34">
        <f>IF(OR($A1261="",$H1261&lt;&gt;"Ausgabe",N1261=""),0,IF(N1261="x",-$E1261/(COUNTIF($J1261:$Q1261,"x")+1),-$E1261*N(N1261)))</f>
        <v/>
      </c>
      <c r="AC1261" s="34">
        <f>IF(OR($A1261="",$H1261&lt;&gt;"Ausgabe",O1261=""),0,IF(O1261="x",-$E1261/(COUNTIF($J1261:$Q1261,"x")+1),-$E1261*N(O1261)))</f>
        <v/>
      </c>
      <c r="AD1261" s="34">
        <f>IF(OR($A1261="",$H1261&lt;&gt;"Ausgabe",P1261=""),0,IF(P1261="x",-$E1261/(COUNTIF($J1261:$Q1261,"x")+1),-$E1261*N(P1261)))</f>
        <v/>
      </c>
      <c r="AE1261" s="34">
        <f>IF(OR($A1261="",$H1261&lt;&gt;"Ausgabe",Q1261=""),0,IF(Q1261="x",-$E1261/(COUNTIF($J1261:$Q1261,"x")+1),-$E1261*N(Q1261)))</f>
        <v/>
      </c>
    </row>
    <row r="1262">
      <c r="A1262" s="30" t="n"/>
      <c r="E1262" s="31" t="n"/>
      <c r="J1262" s="32" t="n"/>
      <c r="K1262" s="32" t="n"/>
      <c r="L1262" s="32" t="n"/>
      <c r="M1262" s="32" t="n"/>
      <c r="N1262" s="32" t="n"/>
      <c r="O1262" s="32" t="n"/>
      <c r="P1262" s="32" t="n"/>
      <c r="Q1262" s="32" t="n"/>
      <c r="U1262" s="31">
        <f>IF($A1262="","",SUM(X1262:AE1262))</f>
        <v/>
      </c>
      <c r="V1262" s="31">
        <f>IF($A1262="","",IF($H1262&lt;&gt;"Ausgabe",0,-$E1262-$U1262))</f>
        <v/>
      </c>
      <c r="W1262" s="33">
        <f>IF($A1262="","",DATE(YEAR($A1262),MONTH($A1262),1))</f>
        <v/>
      </c>
      <c r="X1262" s="34">
        <f>IF(OR($A1262="",$H1262&lt;&gt;"Ausgabe",J1262=""),0,IF(J1262="x",-$E1262/(COUNTIF($J1262:$Q1262,"x")+1),-$E1262*N(J1262)))</f>
        <v/>
      </c>
      <c r="Y1262" s="34">
        <f>IF(OR($A1262="",$H1262&lt;&gt;"Ausgabe",K1262=""),0,IF(K1262="x",-$E1262/(COUNTIF($J1262:$Q1262,"x")+1),-$E1262*N(K1262)))</f>
        <v/>
      </c>
      <c r="Z1262" s="34">
        <f>IF(OR($A1262="",$H1262&lt;&gt;"Ausgabe",L1262=""),0,IF(L1262="x",-$E1262/(COUNTIF($J1262:$Q1262,"x")+1),-$E1262*N(L1262)))</f>
        <v/>
      </c>
      <c r="AA1262" s="34">
        <f>IF(OR($A1262="",$H1262&lt;&gt;"Ausgabe",M1262=""),0,IF(M1262="x",-$E1262/(COUNTIF($J1262:$Q1262,"x")+1),-$E1262*N(M1262)))</f>
        <v/>
      </c>
      <c r="AB1262" s="34">
        <f>IF(OR($A1262="",$H1262&lt;&gt;"Ausgabe",N1262=""),0,IF(N1262="x",-$E1262/(COUNTIF($J1262:$Q1262,"x")+1),-$E1262*N(N1262)))</f>
        <v/>
      </c>
      <c r="AC1262" s="34">
        <f>IF(OR($A1262="",$H1262&lt;&gt;"Ausgabe",O1262=""),0,IF(O1262="x",-$E1262/(COUNTIF($J1262:$Q1262,"x")+1),-$E1262*N(O1262)))</f>
        <v/>
      </c>
      <c r="AD1262" s="34">
        <f>IF(OR($A1262="",$H1262&lt;&gt;"Ausgabe",P1262=""),0,IF(P1262="x",-$E1262/(COUNTIF($J1262:$Q1262,"x")+1),-$E1262*N(P1262)))</f>
        <v/>
      </c>
      <c r="AE1262" s="34">
        <f>IF(OR($A1262="",$H1262&lt;&gt;"Ausgabe",Q1262=""),0,IF(Q1262="x",-$E1262/(COUNTIF($J1262:$Q1262,"x")+1),-$E1262*N(Q1262)))</f>
        <v/>
      </c>
    </row>
    <row r="1263">
      <c r="A1263" s="30" t="n"/>
      <c r="E1263" s="31" t="n"/>
      <c r="J1263" s="32" t="n"/>
      <c r="K1263" s="32" t="n"/>
      <c r="L1263" s="32" t="n"/>
      <c r="M1263" s="32" t="n"/>
      <c r="N1263" s="32" t="n"/>
      <c r="O1263" s="32" t="n"/>
      <c r="P1263" s="32" t="n"/>
      <c r="Q1263" s="32" t="n"/>
      <c r="U1263" s="31">
        <f>IF($A1263="","",SUM(X1263:AE1263))</f>
        <v/>
      </c>
      <c r="V1263" s="31">
        <f>IF($A1263="","",IF($H1263&lt;&gt;"Ausgabe",0,-$E1263-$U1263))</f>
        <v/>
      </c>
      <c r="W1263" s="33">
        <f>IF($A1263="","",DATE(YEAR($A1263),MONTH($A1263),1))</f>
        <v/>
      </c>
      <c r="X1263" s="34">
        <f>IF(OR($A1263="",$H1263&lt;&gt;"Ausgabe",J1263=""),0,IF(J1263="x",-$E1263/(COUNTIF($J1263:$Q1263,"x")+1),-$E1263*N(J1263)))</f>
        <v/>
      </c>
      <c r="Y1263" s="34">
        <f>IF(OR($A1263="",$H1263&lt;&gt;"Ausgabe",K1263=""),0,IF(K1263="x",-$E1263/(COUNTIF($J1263:$Q1263,"x")+1),-$E1263*N(K1263)))</f>
        <v/>
      </c>
      <c r="Z1263" s="34">
        <f>IF(OR($A1263="",$H1263&lt;&gt;"Ausgabe",L1263=""),0,IF(L1263="x",-$E1263/(COUNTIF($J1263:$Q1263,"x")+1),-$E1263*N(L1263)))</f>
        <v/>
      </c>
      <c r="AA1263" s="34">
        <f>IF(OR($A1263="",$H1263&lt;&gt;"Ausgabe",M1263=""),0,IF(M1263="x",-$E1263/(COUNTIF($J1263:$Q1263,"x")+1),-$E1263*N(M1263)))</f>
        <v/>
      </c>
      <c r="AB1263" s="34">
        <f>IF(OR($A1263="",$H1263&lt;&gt;"Ausgabe",N1263=""),0,IF(N1263="x",-$E1263/(COUNTIF($J1263:$Q1263,"x")+1),-$E1263*N(N1263)))</f>
        <v/>
      </c>
      <c r="AC1263" s="34">
        <f>IF(OR($A1263="",$H1263&lt;&gt;"Ausgabe",O1263=""),0,IF(O1263="x",-$E1263/(COUNTIF($J1263:$Q1263,"x")+1),-$E1263*N(O1263)))</f>
        <v/>
      </c>
      <c r="AD1263" s="34">
        <f>IF(OR($A1263="",$H1263&lt;&gt;"Ausgabe",P1263=""),0,IF(P1263="x",-$E1263/(COUNTIF($J1263:$Q1263,"x")+1),-$E1263*N(P1263)))</f>
        <v/>
      </c>
      <c r="AE1263" s="34">
        <f>IF(OR($A1263="",$H1263&lt;&gt;"Ausgabe",Q1263=""),0,IF(Q1263="x",-$E1263/(COUNTIF($J1263:$Q1263,"x")+1),-$E1263*N(Q1263)))</f>
        <v/>
      </c>
    </row>
    <row r="1264">
      <c r="A1264" s="30" t="n"/>
      <c r="E1264" s="31" t="n"/>
      <c r="J1264" s="32" t="n"/>
      <c r="K1264" s="32" t="n"/>
      <c r="L1264" s="32" t="n"/>
      <c r="M1264" s="32" t="n"/>
      <c r="N1264" s="32" t="n"/>
      <c r="O1264" s="32" t="n"/>
      <c r="P1264" s="32" t="n"/>
      <c r="Q1264" s="32" t="n"/>
      <c r="U1264" s="31">
        <f>IF($A1264="","",SUM(X1264:AE1264))</f>
        <v/>
      </c>
      <c r="V1264" s="31">
        <f>IF($A1264="","",IF($H1264&lt;&gt;"Ausgabe",0,-$E1264-$U1264))</f>
        <v/>
      </c>
      <c r="W1264" s="33">
        <f>IF($A1264="","",DATE(YEAR($A1264),MONTH($A1264),1))</f>
        <v/>
      </c>
      <c r="X1264" s="34">
        <f>IF(OR($A1264="",$H1264&lt;&gt;"Ausgabe",J1264=""),0,IF(J1264="x",-$E1264/(COUNTIF($J1264:$Q1264,"x")+1),-$E1264*N(J1264)))</f>
        <v/>
      </c>
      <c r="Y1264" s="34">
        <f>IF(OR($A1264="",$H1264&lt;&gt;"Ausgabe",K1264=""),0,IF(K1264="x",-$E1264/(COUNTIF($J1264:$Q1264,"x")+1),-$E1264*N(K1264)))</f>
        <v/>
      </c>
      <c r="Z1264" s="34">
        <f>IF(OR($A1264="",$H1264&lt;&gt;"Ausgabe",L1264=""),0,IF(L1264="x",-$E1264/(COUNTIF($J1264:$Q1264,"x")+1),-$E1264*N(L1264)))</f>
        <v/>
      </c>
      <c r="AA1264" s="34">
        <f>IF(OR($A1264="",$H1264&lt;&gt;"Ausgabe",M1264=""),0,IF(M1264="x",-$E1264/(COUNTIF($J1264:$Q1264,"x")+1),-$E1264*N(M1264)))</f>
        <v/>
      </c>
      <c r="AB1264" s="34">
        <f>IF(OR($A1264="",$H1264&lt;&gt;"Ausgabe",N1264=""),0,IF(N1264="x",-$E1264/(COUNTIF($J1264:$Q1264,"x")+1),-$E1264*N(N1264)))</f>
        <v/>
      </c>
      <c r="AC1264" s="34">
        <f>IF(OR($A1264="",$H1264&lt;&gt;"Ausgabe",O1264=""),0,IF(O1264="x",-$E1264/(COUNTIF($J1264:$Q1264,"x")+1),-$E1264*N(O1264)))</f>
        <v/>
      </c>
      <c r="AD1264" s="34">
        <f>IF(OR($A1264="",$H1264&lt;&gt;"Ausgabe",P1264=""),0,IF(P1264="x",-$E1264/(COUNTIF($J1264:$Q1264,"x")+1),-$E1264*N(P1264)))</f>
        <v/>
      </c>
      <c r="AE1264" s="34">
        <f>IF(OR($A1264="",$H1264&lt;&gt;"Ausgabe",Q1264=""),0,IF(Q1264="x",-$E1264/(COUNTIF($J1264:$Q1264,"x")+1),-$E1264*N(Q1264)))</f>
        <v/>
      </c>
    </row>
    <row r="1265">
      <c r="A1265" s="30" t="n"/>
      <c r="E1265" s="31" t="n"/>
      <c r="J1265" s="32" t="n"/>
      <c r="K1265" s="32" t="n"/>
      <c r="L1265" s="32" t="n"/>
      <c r="M1265" s="32" t="n"/>
      <c r="N1265" s="32" t="n"/>
      <c r="O1265" s="32" t="n"/>
      <c r="P1265" s="32" t="n"/>
      <c r="Q1265" s="32" t="n"/>
      <c r="U1265" s="31">
        <f>IF($A1265="","",SUM(X1265:AE1265))</f>
        <v/>
      </c>
      <c r="V1265" s="31">
        <f>IF($A1265="","",IF($H1265&lt;&gt;"Ausgabe",0,-$E1265-$U1265))</f>
        <v/>
      </c>
      <c r="W1265" s="33">
        <f>IF($A1265="","",DATE(YEAR($A1265),MONTH($A1265),1))</f>
        <v/>
      </c>
      <c r="X1265" s="34">
        <f>IF(OR($A1265="",$H1265&lt;&gt;"Ausgabe",J1265=""),0,IF(J1265="x",-$E1265/(COUNTIF($J1265:$Q1265,"x")+1),-$E1265*N(J1265)))</f>
        <v/>
      </c>
      <c r="Y1265" s="34">
        <f>IF(OR($A1265="",$H1265&lt;&gt;"Ausgabe",K1265=""),0,IF(K1265="x",-$E1265/(COUNTIF($J1265:$Q1265,"x")+1),-$E1265*N(K1265)))</f>
        <v/>
      </c>
      <c r="Z1265" s="34">
        <f>IF(OR($A1265="",$H1265&lt;&gt;"Ausgabe",L1265=""),0,IF(L1265="x",-$E1265/(COUNTIF($J1265:$Q1265,"x")+1),-$E1265*N(L1265)))</f>
        <v/>
      </c>
      <c r="AA1265" s="34">
        <f>IF(OR($A1265="",$H1265&lt;&gt;"Ausgabe",M1265=""),0,IF(M1265="x",-$E1265/(COUNTIF($J1265:$Q1265,"x")+1),-$E1265*N(M1265)))</f>
        <v/>
      </c>
      <c r="AB1265" s="34">
        <f>IF(OR($A1265="",$H1265&lt;&gt;"Ausgabe",N1265=""),0,IF(N1265="x",-$E1265/(COUNTIF($J1265:$Q1265,"x")+1),-$E1265*N(N1265)))</f>
        <v/>
      </c>
      <c r="AC1265" s="34">
        <f>IF(OR($A1265="",$H1265&lt;&gt;"Ausgabe",O1265=""),0,IF(O1265="x",-$E1265/(COUNTIF($J1265:$Q1265,"x")+1),-$E1265*N(O1265)))</f>
        <v/>
      </c>
      <c r="AD1265" s="34">
        <f>IF(OR($A1265="",$H1265&lt;&gt;"Ausgabe",P1265=""),0,IF(P1265="x",-$E1265/(COUNTIF($J1265:$Q1265,"x")+1),-$E1265*N(P1265)))</f>
        <v/>
      </c>
      <c r="AE1265" s="34">
        <f>IF(OR($A1265="",$H1265&lt;&gt;"Ausgabe",Q1265=""),0,IF(Q1265="x",-$E1265/(COUNTIF($J1265:$Q1265,"x")+1),-$E1265*N(Q1265)))</f>
        <v/>
      </c>
    </row>
    <row r="1266">
      <c r="A1266" s="30" t="n"/>
      <c r="E1266" s="31" t="n"/>
      <c r="J1266" s="32" t="n"/>
      <c r="K1266" s="32" t="n"/>
      <c r="L1266" s="32" t="n"/>
      <c r="M1266" s="32" t="n"/>
      <c r="N1266" s="32" t="n"/>
      <c r="O1266" s="32" t="n"/>
      <c r="P1266" s="32" t="n"/>
      <c r="Q1266" s="32" t="n"/>
      <c r="U1266" s="31">
        <f>IF($A1266="","",SUM(X1266:AE1266))</f>
        <v/>
      </c>
      <c r="V1266" s="31">
        <f>IF($A1266="","",IF($H1266&lt;&gt;"Ausgabe",0,-$E1266-$U1266))</f>
        <v/>
      </c>
      <c r="W1266" s="33">
        <f>IF($A1266="","",DATE(YEAR($A1266),MONTH($A1266),1))</f>
        <v/>
      </c>
      <c r="X1266" s="34">
        <f>IF(OR($A1266="",$H1266&lt;&gt;"Ausgabe",J1266=""),0,IF(J1266="x",-$E1266/(COUNTIF($J1266:$Q1266,"x")+1),-$E1266*N(J1266)))</f>
        <v/>
      </c>
      <c r="Y1266" s="34">
        <f>IF(OR($A1266="",$H1266&lt;&gt;"Ausgabe",K1266=""),0,IF(K1266="x",-$E1266/(COUNTIF($J1266:$Q1266,"x")+1),-$E1266*N(K1266)))</f>
        <v/>
      </c>
      <c r="Z1266" s="34">
        <f>IF(OR($A1266="",$H1266&lt;&gt;"Ausgabe",L1266=""),0,IF(L1266="x",-$E1266/(COUNTIF($J1266:$Q1266,"x")+1),-$E1266*N(L1266)))</f>
        <v/>
      </c>
      <c r="AA1266" s="34">
        <f>IF(OR($A1266="",$H1266&lt;&gt;"Ausgabe",M1266=""),0,IF(M1266="x",-$E1266/(COUNTIF($J1266:$Q1266,"x")+1),-$E1266*N(M1266)))</f>
        <v/>
      </c>
      <c r="AB1266" s="34">
        <f>IF(OR($A1266="",$H1266&lt;&gt;"Ausgabe",N1266=""),0,IF(N1266="x",-$E1266/(COUNTIF($J1266:$Q1266,"x")+1),-$E1266*N(N1266)))</f>
        <v/>
      </c>
      <c r="AC1266" s="34">
        <f>IF(OR($A1266="",$H1266&lt;&gt;"Ausgabe",O1266=""),0,IF(O1266="x",-$E1266/(COUNTIF($J1266:$Q1266,"x")+1),-$E1266*N(O1266)))</f>
        <v/>
      </c>
      <c r="AD1266" s="34">
        <f>IF(OR($A1266="",$H1266&lt;&gt;"Ausgabe",P1266=""),0,IF(P1266="x",-$E1266/(COUNTIF($J1266:$Q1266,"x")+1),-$E1266*N(P1266)))</f>
        <v/>
      </c>
      <c r="AE1266" s="34">
        <f>IF(OR($A1266="",$H1266&lt;&gt;"Ausgabe",Q1266=""),0,IF(Q1266="x",-$E1266/(COUNTIF($J1266:$Q1266,"x")+1),-$E1266*N(Q1266)))</f>
        <v/>
      </c>
    </row>
    <row r="1267">
      <c r="A1267" s="30" t="n"/>
      <c r="E1267" s="31" t="n"/>
      <c r="J1267" s="32" t="n"/>
      <c r="K1267" s="32" t="n"/>
      <c r="L1267" s="32" t="n"/>
      <c r="M1267" s="32" t="n"/>
      <c r="N1267" s="32" t="n"/>
      <c r="O1267" s="32" t="n"/>
      <c r="P1267" s="32" t="n"/>
      <c r="Q1267" s="32" t="n"/>
      <c r="U1267" s="31">
        <f>IF($A1267="","",SUM(X1267:AE1267))</f>
        <v/>
      </c>
      <c r="V1267" s="31">
        <f>IF($A1267="","",IF($H1267&lt;&gt;"Ausgabe",0,-$E1267-$U1267))</f>
        <v/>
      </c>
      <c r="W1267" s="33">
        <f>IF($A1267="","",DATE(YEAR($A1267),MONTH($A1267),1))</f>
        <v/>
      </c>
      <c r="X1267" s="34">
        <f>IF(OR($A1267="",$H1267&lt;&gt;"Ausgabe",J1267=""),0,IF(J1267="x",-$E1267/(COUNTIF($J1267:$Q1267,"x")+1),-$E1267*N(J1267)))</f>
        <v/>
      </c>
      <c r="Y1267" s="34">
        <f>IF(OR($A1267="",$H1267&lt;&gt;"Ausgabe",K1267=""),0,IF(K1267="x",-$E1267/(COUNTIF($J1267:$Q1267,"x")+1),-$E1267*N(K1267)))</f>
        <v/>
      </c>
      <c r="Z1267" s="34">
        <f>IF(OR($A1267="",$H1267&lt;&gt;"Ausgabe",L1267=""),0,IF(L1267="x",-$E1267/(COUNTIF($J1267:$Q1267,"x")+1),-$E1267*N(L1267)))</f>
        <v/>
      </c>
      <c r="AA1267" s="34">
        <f>IF(OR($A1267="",$H1267&lt;&gt;"Ausgabe",M1267=""),0,IF(M1267="x",-$E1267/(COUNTIF($J1267:$Q1267,"x")+1),-$E1267*N(M1267)))</f>
        <v/>
      </c>
      <c r="AB1267" s="34">
        <f>IF(OR($A1267="",$H1267&lt;&gt;"Ausgabe",N1267=""),0,IF(N1267="x",-$E1267/(COUNTIF($J1267:$Q1267,"x")+1),-$E1267*N(N1267)))</f>
        <v/>
      </c>
      <c r="AC1267" s="34">
        <f>IF(OR($A1267="",$H1267&lt;&gt;"Ausgabe",O1267=""),0,IF(O1267="x",-$E1267/(COUNTIF($J1267:$Q1267,"x")+1),-$E1267*N(O1267)))</f>
        <v/>
      </c>
      <c r="AD1267" s="34">
        <f>IF(OR($A1267="",$H1267&lt;&gt;"Ausgabe",P1267=""),0,IF(P1267="x",-$E1267/(COUNTIF($J1267:$Q1267,"x")+1),-$E1267*N(P1267)))</f>
        <v/>
      </c>
      <c r="AE1267" s="34">
        <f>IF(OR($A1267="",$H1267&lt;&gt;"Ausgabe",Q1267=""),0,IF(Q1267="x",-$E1267/(COUNTIF($J1267:$Q1267,"x")+1),-$E1267*N(Q1267)))</f>
        <v/>
      </c>
    </row>
    <row r="1268">
      <c r="A1268" s="30" t="n"/>
      <c r="E1268" s="31" t="n"/>
      <c r="J1268" s="32" t="n"/>
      <c r="K1268" s="32" t="n"/>
      <c r="L1268" s="32" t="n"/>
      <c r="M1268" s="32" t="n"/>
      <c r="N1268" s="32" t="n"/>
      <c r="O1268" s="32" t="n"/>
      <c r="P1268" s="32" t="n"/>
      <c r="Q1268" s="32" t="n"/>
      <c r="U1268" s="31">
        <f>IF($A1268="","",SUM(X1268:AE1268))</f>
        <v/>
      </c>
      <c r="V1268" s="31">
        <f>IF($A1268="","",IF($H1268&lt;&gt;"Ausgabe",0,-$E1268-$U1268))</f>
        <v/>
      </c>
      <c r="W1268" s="33">
        <f>IF($A1268="","",DATE(YEAR($A1268),MONTH($A1268),1))</f>
        <v/>
      </c>
      <c r="X1268" s="34">
        <f>IF(OR($A1268="",$H1268&lt;&gt;"Ausgabe",J1268=""),0,IF(J1268="x",-$E1268/(COUNTIF($J1268:$Q1268,"x")+1),-$E1268*N(J1268)))</f>
        <v/>
      </c>
      <c r="Y1268" s="34">
        <f>IF(OR($A1268="",$H1268&lt;&gt;"Ausgabe",K1268=""),0,IF(K1268="x",-$E1268/(COUNTIF($J1268:$Q1268,"x")+1),-$E1268*N(K1268)))</f>
        <v/>
      </c>
      <c r="Z1268" s="34">
        <f>IF(OR($A1268="",$H1268&lt;&gt;"Ausgabe",L1268=""),0,IF(L1268="x",-$E1268/(COUNTIF($J1268:$Q1268,"x")+1),-$E1268*N(L1268)))</f>
        <v/>
      </c>
      <c r="AA1268" s="34">
        <f>IF(OR($A1268="",$H1268&lt;&gt;"Ausgabe",M1268=""),0,IF(M1268="x",-$E1268/(COUNTIF($J1268:$Q1268,"x")+1),-$E1268*N(M1268)))</f>
        <v/>
      </c>
      <c r="AB1268" s="34">
        <f>IF(OR($A1268="",$H1268&lt;&gt;"Ausgabe",N1268=""),0,IF(N1268="x",-$E1268/(COUNTIF($J1268:$Q1268,"x")+1),-$E1268*N(N1268)))</f>
        <v/>
      </c>
      <c r="AC1268" s="34">
        <f>IF(OR($A1268="",$H1268&lt;&gt;"Ausgabe",O1268=""),0,IF(O1268="x",-$E1268/(COUNTIF($J1268:$Q1268,"x")+1),-$E1268*N(O1268)))</f>
        <v/>
      </c>
      <c r="AD1268" s="34">
        <f>IF(OR($A1268="",$H1268&lt;&gt;"Ausgabe",P1268=""),0,IF(P1268="x",-$E1268/(COUNTIF($J1268:$Q1268,"x")+1),-$E1268*N(P1268)))</f>
        <v/>
      </c>
      <c r="AE1268" s="34">
        <f>IF(OR($A1268="",$H1268&lt;&gt;"Ausgabe",Q1268=""),0,IF(Q1268="x",-$E1268/(COUNTIF($J1268:$Q1268,"x")+1),-$E1268*N(Q1268)))</f>
        <v/>
      </c>
    </row>
    <row r="1269">
      <c r="A1269" s="30" t="n"/>
      <c r="E1269" s="31" t="n"/>
      <c r="J1269" s="32" t="n"/>
      <c r="K1269" s="32" t="n"/>
      <c r="L1269" s="32" t="n"/>
      <c r="M1269" s="32" t="n"/>
      <c r="N1269" s="32" t="n"/>
      <c r="O1269" s="32" t="n"/>
      <c r="P1269" s="32" t="n"/>
      <c r="Q1269" s="32" t="n"/>
      <c r="U1269" s="31">
        <f>IF($A1269="","",SUM(X1269:AE1269))</f>
        <v/>
      </c>
      <c r="V1269" s="31">
        <f>IF($A1269="","",IF($H1269&lt;&gt;"Ausgabe",0,-$E1269-$U1269))</f>
        <v/>
      </c>
      <c r="W1269" s="33">
        <f>IF($A1269="","",DATE(YEAR($A1269),MONTH($A1269),1))</f>
        <v/>
      </c>
      <c r="X1269" s="34">
        <f>IF(OR($A1269="",$H1269&lt;&gt;"Ausgabe",J1269=""),0,IF(J1269="x",-$E1269/(COUNTIF($J1269:$Q1269,"x")+1),-$E1269*N(J1269)))</f>
        <v/>
      </c>
      <c r="Y1269" s="34">
        <f>IF(OR($A1269="",$H1269&lt;&gt;"Ausgabe",K1269=""),0,IF(K1269="x",-$E1269/(COUNTIF($J1269:$Q1269,"x")+1),-$E1269*N(K1269)))</f>
        <v/>
      </c>
      <c r="Z1269" s="34">
        <f>IF(OR($A1269="",$H1269&lt;&gt;"Ausgabe",L1269=""),0,IF(L1269="x",-$E1269/(COUNTIF($J1269:$Q1269,"x")+1),-$E1269*N(L1269)))</f>
        <v/>
      </c>
      <c r="AA1269" s="34">
        <f>IF(OR($A1269="",$H1269&lt;&gt;"Ausgabe",M1269=""),0,IF(M1269="x",-$E1269/(COUNTIF($J1269:$Q1269,"x")+1),-$E1269*N(M1269)))</f>
        <v/>
      </c>
      <c r="AB1269" s="34">
        <f>IF(OR($A1269="",$H1269&lt;&gt;"Ausgabe",N1269=""),0,IF(N1269="x",-$E1269/(COUNTIF($J1269:$Q1269,"x")+1),-$E1269*N(N1269)))</f>
        <v/>
      </c>
      <c r="AC1269" s="34">
        <f>IF(OR($A1269="",$H1269&lt;&gt;"Ausgabe",O1269=""),0,IF(O1269="x",-$E1269/(COUNTIF($J1269:$Q1269,"x")+1),-$E1269*N(O1269)))</f>
        <v/>
      </c>
      <c r="AD1269" s="34">
        <f>IF(OR($A1269="",$H1269&lt;&gt;"Ausgabe",P1269=""),0,IF(P1269="x",-$E1269/(COUNTIF($J1269:$Q1269,"x")+1),-$E1269*N(P1269)))</f>
        <v/>
      </c>
      <c r="AE1269" s="34">
        <f>IF(OR($A1269="",$H1269&lt;&gt;"Ausgabe",Q1269=""),0,IF(Q1269="x",-$E1269/(COUNTIF($J1269:$Q1269,"x")+1),-$E1269*N(Q1269)))</f>
        <v/>
      </c>
    </row>
    <row r="1270">
      <c r="A1270" s="30" t="n"/>
      <c r="E1270" s="31" t="n"/>
      <c r="J1270" s="32" t="n"/>
      <c r="K1270" s="32" t="n"/>
      <c r="L1270" s="32" t="n"/>
      <c r="M1270" s="32" t="n"/>
      <c r="N1270" s="32" t="n"/>
      <c r="O1270" s="32" t="n"/>
      <c r="P1270" s="32" t="n"/>
      <c r="Q1270" s="32" t="n"/>
      <c r="U1270" s="31">
        <f>IF($A1270="","",SUM(X1270:AE1270))</f>
        <v/>
      </c>
      <c r="V1270" s="31">
        <f>IF($A1270="","",IF($H1270&lt;&gt;"Ausgabe",0,-$E1270-$U1270))</f>
        <v/>
      </c>
      <c r="W1270" s="33">
        <f>IF($A1270="","",DATE(YEAR($A1270),MONTH($A1270),1))</f>
        <v/>
      </c>
      <c r="X1270" s="34">
        <f>IF(OR($A1270="",$H1270&lt;&gt;"Ausgabe",J1270=""),0,IF(J1270="x",-$E1270/(COUNTIF($J1270:$Q1270,"x")+1),-$E1270*N(J1270)))</f>
        <v/>
      </c>
      <c r="Y1270" s="34">
        <f>IF(OR($A1270="",$H1270&lt;&gt;"Ausgabe",K1270=""),0,IF(K1270="x",-$E1270/(COUNTIF($J1270:$Q1270,"x")+1),-$E1270*N(K1270)))</f>
        <v/>
      </c>
      <c r="Z1270" s="34">
        <f>IF(OR($A1270="",$H1270&lt;&gt;"Ausgabe",L1270=""),0,IF(L1270="x",-$E1270/(COUNTIF($J1270:$Q1270,"x")+1),-$E1270*N(L1270)))</f>
        <v/>
      </c>
      <c r="AA1270" s="34">
        <f>IF(OR($A1270="",$H1270&lt;&gt;"Ausgabe",M1270=""),0,IF(M1270="x",-$E1270/(COUNTIF($J1270:$Q1270,"x")+1),-$E1270*N(M1270)))</f>
        <v/>
      </c>
      <c r="AB1270" s="34">
        <f>IF(OR($A1270="",$H1270&lt;&gt;"Ausgabe",N1270=""),0,IF(N1270="x",-$E1270/(COUNTIF($J1270:$Q1270,"x")+1),-$E1270*N(N1270)))</f>
        <v/>
      </c>
      <c r="AC1270" s="34">
        <f>IF(OR($A1270="",$H1270&lt;&gt;"Ausgabe",O1270=""),0,IF(O1270="x",-$E1270/(COUNTIF($J1270:$Q1270,"x")+1),-$E1270*N(O1270)))</f>
        <v/>
      </c>
      <c r="AD1270" s="34">
        <f>IF(OR($A1270="",$H1270&lt;&gt;"Ausgabe",P1270=""),0,IF(P1270="x",-$E1270/(COUNTIF($J1270:$Q1270,"x")+1),-$E1270*N(P1270)))</f>
        <v/>
      </c>
      <c r="AE1270" s="34">
        <f>IF(OR($A1270="",$H1270&lt;&gt;"Ausgabe",Q1270=""),0,IF(Q1270="x",-$E1270/(COUNTIF($J1270:$Q1270,"x")+1),-$E1270*N(Q1270)))</f>
        <v/>
      </c>
    </row>
    <row r="1271">
      <c r="A1271" s="30" t="n"/>
      <c r="E1271" s="31" t="n"/>
      <c r="J1271" s="32" t="n"/>
      <c r="K1271" s="32" t="n"/>
      <c r="L1271" s="32" t="n"/>
      <c r="M1271" s="32" t="n"/>
      <c r="N1271" s="32" t="n"/>
      <c r="O1271" s="32" t="n"/>
      <c r="P1271" s="32" t="n"/>
      <c r="Q1271" s="32" t="n"/>
      <c r="U1271" s="31">
        <f>IF($A1271="","",SUM(X1271:AE1271))</f>
        <v/>
      </c>
      <c r="V1271" s="31">
        <f>IF($A1271="","",IF($H1271&lt;&gt;"Ausgabe",0,-$E1271-$U1271))</f>
        <v/>
      </c>
      <c r="W1271" s="33">
        <f>IF($A1271="","",DATE(YEAR($A1271),MONTH($A1271),1))</f>
        <v/>
      </c>
      <c r="X1271" s="34">
        <f>IF(OR($A1271="",$H1271&lt;&gt;"Ausgabe",J1271=""),0,IF(J1271="x",-$E1271/(COUNTIF($J1271:$Q1271,"x")+1),-$E1271*N(J1271)))</f>
        <v/>
      </c>
      <c r="Y1271" s="34">
        <f>IF(OR($A1271="",$H1271&lt;&gt;"Ausgabe",K1271=""),0,IF(K1271="x",-$E1271/(COUNTIF($J1271:$Q1271,"x")+1),-$E1271*N(K1271)))</f>
        <v/>
      </c>
      <c r="Z1271" s="34">
        <f>IF(OR($A1271="",$H1271&lt;&gt;"Ausgabe",L1271=""),0,IF(L1271="x",-$E1271/(COUNTIF($J1271:$Q1271,"x")+1),-$E1271*N(L1271)))</f>
        <v/>
      </c>
      <c r="AA1271" s="34">
        <f>IF(OR($A1271="",$H1271&lt;&gt;"Ausgabe",M1271=""),0,IF(M1271="x",-$E1271/(COUNTIF($J1271:$Q1271,"x")+1),-$E1271*N(M1271)))</f>
        <v/>
      </c>
      <c r="AB1271" s="34">
        <f>IF(OR($A1271="",$H1271&lt;&gt;"Ausgabe",N1271=""),0,IF(N1271="x",-$E1271/(COUNTIF($J1271:$Q1271,"x")+1),-$E1271*N(N1271)))</f>
        <v/>
      </c>
      <c r="AC1271" s="34">
        <f>IF(OR($A1271="",$H1271&lt;&gt;"Ausgabe",O1271=""),0,IF(O1271="x",-$E1271/(COUNTIF($J1271:$Q1271,"x")+1),-$E1271*N(O1271)))</f>
        <v/>
      </c>
      <c r="AD1271" s="34">
        <f>IF(OR($A1271="",$H1271&lt;&gt;"Ausgabe",P1271=""),0,IF(P1271="x",-$E1271/(COUNTIF($J1271:$Q1271,"x")+1),-$E1271*N(P1271)))</f>
        <v/>
      </c>
      <c r="AE1271" s="34">
        <f>IF(OR($A1271="",$H1271&lt;&gt;"Ausgabe",Q1271=""),0,IF(Q1271="x",-$E1271/(COUNTIF($J1271:$Q1271,"x")+1),-$E1271*N(Q1271)))</f>
        <v/>
      </c>
    </row>
    <row r="1272">
      <c r="A1272" s="30" t="n"/>
      <c r="E1272" s="31" t="n"/>
      <c r="J1272" s="32" t="n"/>
      <c r="K1272" s="32" t="n"/>
      <c r="L1272" s="32" t="n"/>
      <c r="M1272" s="32" t="n"/>
      <c r="N1272" s="32" t="n"/>
      <c r="O1272" s="32" t="n"/>
      <c r="P1272" s="32" t="n"/>
      <c r="Q1272" s="32" t="n"/>
      <c r="U1272" s="31">
        <f>IF($A1272="","",SUM(X1272:AE1272))</f>
        <v/>
      </c>
      <c r="V1272" s="31">
        <f>IF($A1272="","",IF($H1272&lt;&gt;"Ausgabe",0,-$E1272-$U1272))</f>
        <v/>
      </c>
      <c r="W1272" s="33">
        <f>IF($A1272="","",DATE(YEAR($A1272),MONTH($A1272),1))</f>
        <v/>
      </c>
      <c r="X1272" s="34">
        <f>IF(OR($A1272="",$H1272&lt;&gt;"Ausgabe",J1272=""),0,IF(J1272="x",-$E1272/(COUNTIF($J1272:$Q1272,"x")+1),-$E1272*N(J1272)))</f>
        <v/>
      </c>
      <c r="Y1272" s="34">
        <f>IF(OR($A1272="",$H1272&lt;&gt;"Ausgabe",K1272=""),0,IF(K1272="x",-$E1272/(COUNTIF($J1272:$Q1272,"x")+1),-$E1272*N(K1272)))</f>
        <v/>
      </c>
      <c r="Z1272" s="34">
        <f>IF(OR($A1272="",$H1272&lt;&gt;"Ausgabe",L1272=""),0,IF(L1272="x",-$E1272/(COUNTIF($J1272:$Q1272,"x")+1),-$E1272*N(L1272)))</f>
        <v/>
      </c>
      <c r="AA1272" s="34">
        <f>IF(OR($A1272="",$H1272&lt;&gt;"Ausgabe",M1272=""),0,IF(M1272="x",-$E1272/(COUNTIF($J1272:$Q1272,"x")+1),-$E1272*N(M1272)))</f>
        <v/>
      </c>
      <c r="AB1272" s="34">
        <f>IF(OR($A1272="",$H1272&lt;&gt;"Ausgabe",N1272=""),0,IF(N1272="x",-$E1272/(COUNTIF($J1272:$Q1272,"x")+1),-$E1272*N(N1272)))</f>
        <v/>
      </c>
      <c r="AC1272" s="34">
        <f>IF(OR($A1272="",$H1272&lt;&gt;"Ausgabe",O1272=""),0,IF(O1272="x",-$E1272/(COUNTIF($J1272:$Q1272,"x")+1),-$E1272*N(O1272)))</f>
        <v/>
      </c>
      <c r="AD1272" s="34">
        <f>IF(OR($A1272="",$H1272&lt;&gt;"Ausgabe",P1272=""),0,IF(P1272="x",-$E1272/(COUNTIF($J1272:$Q1272,"x")+1),-$E1272*N(P1272)))</f>
        <v/>
      </c>
      <c r="AE1272" s="34">
        <f>IF(OR($A1272="",$H1272&lt;&gt;"Ausgabe",Q1272=""),0,IF(Q1272="x",-$E1272/(COUNTIF($J1272:$Q1272,"x")+1),-$E1272*N(Q1272)))</f>
        <v/>
      </c>
    </row>
    <row r="1273">
      <c r="A1273" s="30" t="n"/>
      <c r="E1273" s="31" t="n"/>
      <c r="J1273" s="32" t="n"/>
      <c r="K1273" s="32" t="n"/>
      <c r="L1273" s="32" t="n"/>
      <c r="M1273" s="32" t="n"/>
      <c r="N1273" s="32" t="n"/>
      <c r="O1273" s="32" t="n"/>
      <c r="P1273" s="32" t="n"/>
      <c r="Q1273" s="32" t="n"/>
      <c r="U1273" s="31">
        <f>IF($A1273="","",SUM(X1273:AE1273))</f>
        <v/>
      </c>
      <c r="V1273" s="31">
        <f>IF($A1273="","",IF($H1273&lt;&gt;"Ausgabe",0,-$E1273-$U1273))</f>
        <v/>
      </c>
      <c r="W1273" s="33">
        <f>IF($A1273="","",DATE(YEAR($A1273),MONTH($A1273),1))</f>
        <v/>
      </c>
      <c r="X1273" s="34">
        <f>IF(OR($A1273="",$H1273&lt;&gt;"Ausgabe",J1273=""),0,IF(J1273="x",-$E1273/(COUNTIF($J1273:$Q1273,"x")+1),-$E1273*N(J1273)))</f>
        <v/>
      </c>
      <c r="Y1273" s="34">
        <f>IF(OR($A1273="",$H1273&lt;&gt;"Ausgabe",K1273=""),0,IF(K1273="x",-$E1273/(COUNTIF($J1273:$Q1273,"x")+1),-$E1273*N(K1273)))</f>
        <v/>
      </c>
      <c r="Z1273" s="34">
        <f>IF(OR($A1273="",$H1273&lt;&gt;"Ausgabe",L1273=""),0,IF(L1273="x",-$E1273/(COUNTIF($J1273:$Q1273,"x")+1),-$E1273*N(L1273)))</f>
        <v/>
      </c>
      <c r="AA1273" s="34">
        <f>IF(OR($A1273="",$H1273&lt;&gt;"Ausgabe",M1273=""),0,IF(M1273="x",-$E1273/(COUNTIF($J1273:$Q1273,"x")+1),-$E1273*N(M1273)))</f>
        <v/>
      </c>
      <c r="AB1273" s="34">
        <f>IF(OR($A1273="",$H1273&lt;&gt;"Ausgabe",N1273=""),0,IF(N1273="x",-$E1273/(COUNTIF($J1273:$Q1273,"x")+1),-$E1273*N(N1273)))</f>
        <v/>
      </c>
      <c r="AC1273" s="34">
        <f>IF(OR($A1273="",$H1273&lt;&gt;"Ausgabe",O1273=""),0,IF(O1273="x",-$E1273/(COUNTIF($J1273:$Q1273,"x")+1),-$E1273*N(O1273)))</f>
        <v/>
      </c>
      <c r="AD1273" s="34">
        <f>IF(OR($A1273="",$H1273&lt;&gt;"Ausgabe",P1273=""),0,IF(P1273="x",-$E1273/(COUNTIF($J1273:$Q1273,"x")+1),-$E1273*N(P1273)))</f>
        <v/>
      </c>
      <c r="AE1273" s="34">
        <f>IF(OR($A1273="",$H1273&lt;&gt;"Ausgabe",Q1273=""),0,IF(Q1273="x",-$E1273/(COUNTIF($J1273:$Q1273,"x")+1),-$E1273*N(Q1273)))</f>
        <v/>
      </c>
    </row>
    <row r="1274">
      <c r="A1274" s="30" t="n"/>
      <c r="E1274" s="31" t="n"/>
      <c r="J1274" s="32" t="n"/>
      <c r="K1274" s="32" t="n"/>
      <c r="L1274" s="32" t="n"/>
      <c r="M1274" s="32" t="n"/>
      <c r="N1274" s="32" t="n"/>
      <c r="O1274" s="32" t="n"/>
      <c r="P1274" s="32" t="n"/>
      <c r="Q1274" s="32" t="n"/>
      <c r="U1274" s="31">
        <f>IF($A1274="","",SUM(X1274:AE1274))</f>
        <v/>
      </c>
      <c r="V1274" s="31">
        <f>IF($A1274="","",IF($H1274&lt;&gt;"Ausgabe",0,-$E1274-$U1274))</f>
        <v/>
      </c>
      <c r="W1274" s="33">
        <f>IF($A1274="","",DATE(YEAR($A1274),MONTH($A1274),1))</f>
        <v/>
      </c>
      <c r="X1274" s="34">
        <f>IF(OR($A1274="",$H1274&lt;&gt;"Ausgabe",J1274=""),0,IF(J1274="x",-$E1274/(COUNTIF($J1274:$Q1274,"x")+1),-$E1274*N(J1274)))</f>
        <v/>
      </c>
      <c r="Y1274" s="34">
        <f>IF(OR($A1274="",$H1274&lt;&gt;"Ausgabe",K1274=""),0,IF(K1274="x",-$E1274/(COUNTIF($J1274:$Q1274,"x")+1),-$E1274*N(K1274)))</f>
        <v/>
      </c>
      <c r="Z1274" s="34">
        <f>IF(OR($A1274="",$H1274&lt;&gt;"Ausgabe",L1274=""),0,IF(L1274="x",-$E1274/(COUNTIF($J1274:$Q1274,"x")+1),-$E1274*N(L1274)))</f>
        <v/>
      </c>
      <c r="AA1274" s="34">
        <f>IF(OR($A1274="",$H1274&lt;&gt;"Ausgabe",M1274=""),0,IF(M1274="x",-$E1274/(COUNTIF($J1274:$Q1274,"x")+1),-$E1274*N(M1274)))</f>
        <v/>
      </c>
      <c r="AB1274" s="34">
        <f>IF(OR($A1274="",$H1274&lt;&gt;"Ausgabe",N1274=""),0,IF(N1274="x",-$E1274/(COUNTIF($J1274:$Q1274,"x")+1),-$E1274*N(N1274)))</f>
        <v/>
      </c>
      <c r="AC1274" s="34">
        <f>IF(OR($A1274="",$H1274&lt;&gt;"Ausgabe",O1274=""),0,IF(O1274="x",-$E1274/(COUNTIF($J1274:$Q1274,"x")+1),-$E1274*N(O1274)))</f>
        <v/>
      </c>
      <c r="AD1274" s="34">
        <f>IF(OR($A1274="",$H1274&lt;&gt;"Ausgabe",P1274=""),0,IF(P1274="x",-$E1274/(COUNTIF($J1274:$Q1274,"x")+1),-$E1274*N(P1274)))</f>
        <v/>
      </c>
      <c r="AE1274" s="34">
        <f>IF(OR($A1274="",$H1274&lt;&gt;"Ausgabe",Q1274=""),0,IF(Q1274="x",-$E1274/(COUNTIF($J1274:$Q1274,"x")+1),-$E1274*N(Q1274)))</f>
        <v/>
      </c>
    </row>
    <row r="1275">
      <c r="A1275" s="30" t="n"/>
      <c r="E1275" s="31" t="n"/>
      <c r="J1275" s="32" t="n"/>
      <c r="K1275" s="32" t="n"/>
      <c r="L1275" s="32" t="n"/>
      <c r="M1275" s="32" t="n"/>
      <c r="N1275" s="32" t="n"/>
      <c r="O1275" s="32" t="n"/>
      <c r="P1275" s="32" t="n"/>
      <c r="Q1275" s="32" t="n"/>
      <c r="U1275" s="31">
        <f>IF($A1275="","",SUM(X1275:AE1275))</f>
        <v/>
      </c>
      <c r="V1275" s="31">
        <f>IF($A1275="","",IF($H1275&lt;&gt;"Ausgabe",0,-$E1275-$U1275))</f>
        <v/>
      </c>
      <c r="W1275" s="33">
        <f>IF($A1275="","",DATE(YEAR($A1275),MONTH($A1275),1))</f>
        <v/>
      </c>
      <c r="X1275" s="34">
        <f>IF(OR($A1275="",$H1275&lt;&gt;"Ausgabe",J1275=""),0,IF(J1275="x",-$E1275/(COUNTIF($J1275:$Q1275,"x")+1),-$E1275*N(J1275)))</f>
        <v/>
      </c>
      <c r="Y1275" s="34">
        <f>IF(OR($A1275="",$H1275&lt;&gt;"Ausgabe",K1275=""),0,IF(K1275="x",-$E1275/(COUNTIF($J1275:$Q1275,"x")+1),-$E1275*N(K1275)))</f>
        <v/>
      </c>
      <c r="Z1275" s="34">
        <f>IF(OR($A1275="",$H1275&lt;&gt;"Ausgabe",L1275=""),0,IF(L1275="x",-$E1275/(COUNTIF($J1275:$Q1275,"x")+1),-$E1275*N(L1275)))</f>
        <v/>
      </c>
      <c r="AA1275" s="34">
        <f>IF(OR($A1275="",$H1275&lt;&gt;"Ausgabe",M1275=""),0,IF(M1275="x",-$E1275/(COUNTIF($J1275:$Q1275,"x")+1),-$E1275*N(M1275)))</f>
        <v/>
      </c>
      <c r="AB1275" s="34">
        <f>IF(OR($A1275="",$H1275&lt;&gt;"Ausgabe",N1275=""),0,IF(N1275="x",-$E1275/(COUNTIF($J1275:$Q1275,"x")+1),-$E1275*N(N1275)))</f>
        <v/>
      </c>
      <c r="AC1275" s="34">
        <f>IF(OR($A1275="",$H1275&lt;&gt;"Ausgabe",O1275=""),0,IF(O1275="x",-$E1275/(COUNTIF($J1275:$Q1275,"x")+1),-$E1275*N(O1275)))</f>
        <v/>
      </c>
      <c r="AD1275" s="34">
        <f>IF(OR($A1275="",$H1275&lt;&gt;"Ausgabe",P1275=""),0,IF(P1275="x",-$E1275/(COUNTIF($J1275:$Q1275,"x")+1),-$E1275*N(P1275)))</f>
        <v/>
      </c>
      <c r="AE1275" s="34">
        <f>IF(OR($A1275="",$H1275&lt;&gt;"Ausgabe",Q1275=""),0,IF(Q1275="x",-$E1275/(COUNTIF($J1275:$Q1275,"x")+1),-$E1275*N(Q1275)))</f>
        <v/>
      </c>
    </row>
    <row r="1276">
      <c r="A1276" s="30" t="n"/>
      <c r="E1276" s="31" t="n"/>
      <c r="J1276" s="32" t="n"/>
      <c r="K1276" s="32" t="n"/>
      <c r="L1276" s="32" t="n"/>
      <c r="M1276" s="32" t="n"/>
      <c r="N1276" s="32" t="n"/>
      <c r="O1276" s="32" t="n"/>
      <c r="P1276" s="32" t="n"/>
      <c r="Q1276" s="32" t="n"/>
      <c r="U1276" s="31">
        <f>IF($A1276="","",SUM(X1276:AE1276))</f>
        <v/>
      </c>
      <c r="V1276" s="31">
        <f>IF($A1276="","",IF($H1276&lt;&gt;"Ausgabe",0,-$E1276-$U1276))</f>
        <v/>
      </c>
      <c r="W1276" s="33">
        <f>IF($A1276="","",DATE(YEAR($A1276),MONTH($A1276),1))</f>
        <v/>
      </c>
      <c r="X1276" s="34">
        <f>IF(OR($A1276="",$H1276&lt;&gt;"Ausgabe",J1276=""),0,IF(J1276="x",-$E1276/(COUNTIF($J1276:$Q1276,"x")+1),-$E1276*N(J1276)))</f>
        <v/>
      </c>
      <c r="Y1276" s="34">
        <f>IF(OR($A1276="",$H1276&lt;&gt;"Ausgabe",K1276=""),0,IF(K1276="x",-$E1276/(COUNTIF($J1276:$Q1276,"x")+1),-$E1276*N(K1276)))</f>
        <v/>
      </c>
      <c r="Z1276" s="34">
        <f>IF(OR($A1276="",$H1276&lt;&gt;"Ausgabe",L1276=""),0,IF(L1276="x",-$E1276/(COUNTIF($J1276:$Q1276,"x")+1),-$E1276*N(L1276)))</f>
        <v/>
      </c>
      <c r="AA1276" s="34">
        <f>IF(OR($A1276="",$H1276&lt;&gt;"Ausgabe",M1276=""),0,IF(M1276="x",-$E1276/(COUNTIF($J1276:$Q1276,"x")+1),-$E1276*N(M1276)))</f>
        <v/>
      </c>
      <c r="AB1276" s="34">
        <f>IF(OR($A1276="",$H1276&lt;&gt;"Ausgabe",N1276=""),0,IF(N1276="x",-$E1276/(COUNTIF($J1276:$Q1276,"x")+1),-$E1276*N(N1276)))</f>
        <v/>
      </c>
      <c r="AC1276" s="34">
        <f>IF(OR($A1276="",$H1276&lt;&gt;"Ausgabe",O1276=""),0,IF(O1276="x",-$E1276/(COUNTIF($J1276:$Q1276,"x")+1),-$E1276*N(O1276)))</f>
        <v/>
      </c>
      <c r="AD1276" s="34">
        <f>IF(OR($A1276="",$H1276&lt;&gt;"Ausgabe",P1276=""),0,IF(P1276="x",-$E1276/(COUNTIF($J1276:$Q1276,"x")+1),-$E1276*N(P1276)))</f>
        <v/>
      </c>
      <c r="AE1276" s="34">
        <f>IF(OR($A1276="",$H1276&lt;&gt;"Ausgabe",Q1276=""),0,IF(Q1276="x",-$E1276/(COUNTIF($J1276:$Q1276,"x")+1),-$E1276*N(Q1276)))</f>
        <v/>
      </c>
    </row>
    <row r="1277">
      <c r="A1277" s="30" t="n"/>
      <c r="E1277" s="31" t="n"/>
      <c r="J1277" s="32" t="n"/>
      <c r="K1277" s="32" t="n"/>
      <c r="L1277" s="32" t="n"/>
      <c r="M1277" s="32" t="n"/>
      <c r="N1277" s="32" t="n"/>
      <c r="O1277" s="32" t="n"/>
      <c r="P1277" s="32" t="n"/>
      <c r="Q1277" s="32" t="n"/>
      <c r="U1277" s="31">
        <f>IF($A1277="","",SUM(X1277:AE1277))</f>
        <v/>
      </c>
      <c r="V1277" s="31">
        <f>IF($A1277="","",IF($H1277&lt;&gt;"Ausgabe",0,-$E1277-$U1277))</f>
        <v/>
      </c>
      <c r="W1277" s="33">
        <f>IF($A1277="","",DATE(YEAR($A1277),MONTH($A1277),1))</f>
        <v/>
      </c>
      <c r="X1277" s="34">
        <f>IF(OR($A1277="",$H1277&lt;&gt;"Ausgabe",J1277=""),0,IF(J1277="x",-$E1277/(COUNTIF($J1277:$Q1277,"x")+1),-$E1277*N(J1277)))</f>
        <v/>
      </c>
      <c r="Y1277" s="34">
        <f>IF(OR($A1277="",$H1277&lt;&gt;"Ausgabe",K1277=""),0,IF(K1277="x",-$E1277/(COUNTIF($J1277:$Q1277,"x")+1),-$E1277*N(K1277)))</f>
        <v/>
      </c>
      <c r="Z1277" s="34">
        <f>IF(OR($A1277="",$H1277&lt;&gt;"Ausgabe",L1277=""),0,IF(L1277="x",-$E1277/(COUNTIF($J1277:$Q1277,"x")+1),-$E1277*N(L1277)))</f>
        <v/>
      </c>
      <c r="AA1277" s="34">
        <f>IF(OR($A1277="",$H1277&lt;&gt;"Ausgabe",M1277=""),0,IF(M1277="x",-$E1277/(COUNTIF($J1277:$Q1277,"x")+1),-$E1277*N(M1277)))</f>
        <v/>
      </c>
      <c r="AB1277" s="34">
        <f>IF(OR($A1277="",$H1277&lt;&gt;"Ausgabe",N1277=""),0,IF(N1277="x",-$E1277/(COUNTIF($J1277:$Q1277,"x")+1),-$E1277*N(N1277)))</f>
        <v/>
      </c>
      <c r="AC1277" s="34">
        <f>IF(OR($A1277="",$H1277&lt;&gt;"Ausgabe",O1277=""),0,IF(O1277="x",-$E1277/(COUNTIF($J1277:$Q1277,"x")+1),-$E1277*N(O1277)))</f>
        <v/>
      </c>
      <c r="AD1277" s="34">
        <f>IF(OR($A1277="",$H1277&lt;&gt;"Ausgabe",P1277=""),0,IF(P1277="x",-$E1277/(COUNTIF($J1277:$Q1277,"x")+1),-$E1277*N(P1277)))</f>
        <v/>
      </c>
      <c r="AE1277" s="34">
        <f>IF(OR($A1277="",$H1277&lt;&gt;"Ausgabe",Q1277=""),0,IF(Q1277="x",-$E1277/(COUNTIF($J1277:$Q1277,"x")+1),-$E1277*N(Q1277)))</f>
        <v/>
      </c>
    </row>
    <row r="1278">
      <c r="A1278" s="30" t="n"/>
      <c r="E1278" s="31" t="n"/>
      <c r="J1278" s="32" t="n"/>
      <c r="K1278" s="32" t="n"/>
      <c r="L1278" s="32" t="n"/>
      <c r="M1278" s="32" t="n"/>
      <c r="N1278" s="32" t="n"/>
      <c r="O1278" s="32" t="n"/>
      <c r="P1278" s="32" t="n"/>
      <c r="Q1278" s="32" t="n"/>
      <c r="U1278" s="31">
        <f>IF($A1278="","",SUM(X1278:AE1278))</f>
        <v/>
      </c>
      <c r="V1278" s="31">
        <f>IF($A1278="","",IF($H1278&lt;&gt;"Ausgabe",0,-$E1278-$U1278))</f>
        <v/>
      </c>
      <c r="W1278" s="33">
        <f>IF($A1278="","",DATE(YEAR($A1278),MONTH($A1278),1))</f>
        <v/>
      </c>
      <c r="X1278" s="34">
        <f>IF(OR($A1278="",$H1278&lt;&gt;"Ausgabe",J1278=""),0,IF(J1278="x",-$E1278/(COUNTIF($J1278:$Q1278,"x")+1),-$E1278*N(J1278)))</f>
        <v/>
      </c>
      <c r="Y1278" s="34">
        <f>IF(OR($A1278="",$H1278&lt;&gt;"Ausgabe",K1278=""),0,IF(K1278="x",-$E1278/(COUNTIF($J1278:$Q1278,"x")+1),-$E1278*N(K1278)))</f>
        <v/>
      </c>
      <c r="Z1278" s="34">
        <f>IF(OR($A1278="",$H1278&lt;&gt;"Ausgabe",L1278=""),0,IF(L1278="x",-$E1278/(COUNTIF($J1278:$Q1278,"x")+1),-$E1278*N(L1278)))</f>
        <v/>
      </c>
      <c r="AA1278" s="34">
        <f>IF(OR($A1278="",$H1278&lt;&gt;"Ausgabe",M1278=""),0,IF(M1278="x",-$E1278/(COUNTIF($J1278:$Q1278,"x")+1),-$E1278*N(M1278)))</f>
        <v/>
      </c>
      <c r="AB1278" s="34">
        <f>IF(OR($A1278="",$H1278&lt;&gt;"Ausgabe",N1278=""),0,IF(N1278="x",-$E1278/(COUNTIF($J1278:$Q1278,"x")+1),-$E1278*N(N1278)))</f>
        <v/>
      </c>
      <c r="AC1278" s="34">
        <f>IF(OR($A1278="",$H1278&lt;&gt;"Ausgabe",O1278=""),0,IF(O1278="x",-$E1278/(COUNTIF($J1278:$Q1278,"x")+1),-$E1278*N(O1278)))</f>
        <v/>
      </c>
      <c r="AD1278" s="34">
        <f>IF(OR($A1278="",$H1278&lt;&gt;"Ausgabe",P1278=""),0,IF(P1278="x",-$E1278/(COUNTIF($J1278:$Q1278,"x")+1),-$E1278*N(P1278)))</f>
        <v/>
      </c>
      <c r="AE1278" s="34">
        <f>IF(OR($A1278="",$H1278&lt;&gt;"Ausgabe",Q1278=""),0,IF(Q1278="x",-$E1278/(COUNTIF($J1278:$Q1278,"x")+1),-$E1278*N(Q1278)))</f>
        <v/>
      </c>
    </row>
    <row r="1279">
      <c r="A1279" s="30" t="n"/>
      <c r="E1279" s="31" t="n"/>
      <c r="J1279" s="32" t="n"/>
      <c r="K1279" s="32" t="n"/>
      <c r="L1279" s="32" t="n"/>
      <c r="M1279" s="32" t="n"/>
      <c r="N1279" s="32" t="n"/>
      <c r="O1279" s="32" t="n"/>
      <c r="P1279" s="32" t="n"/>
      <c r="Q1279" s="32" t="n"/>
      <c r="U1279" s="31">
        <f>IF($A1279="","",SUM(X1279:AE1279))</f>
        <v/>
      </c>
      <c r="V1279" s="31">
        <f>IF($A1279="","",IF($H1279&lt;&gt;"Ausgabe",0,-$E1279-$U1279))</f>
        <v/>
      </c>
      <c r="W1279" s="33">
        <f>IF($A1279="","",DATE(YEAR($A1279),MONTH($A1279),1))</f>
        <v/>
      </c>
      <c r="X1279" s="34">
        <f>IF(OR($A1279="",$H1279&lt;&gt;"Ausgabe",J1279=""),0,IF(J1279="x",-$E1279/(COUNTIF($J1279:$Q1279,"x")+1),-$E1279*N(J1279)))</f>
        <v/>
      </c>
      <c r="Y1279" s="34">
        <f>IF(OR($A1279="",$H1279&lt;&gt;"Ausgabe",K1279=""),0,IF(K1279="x",-$E1279/(COUNTIF($J1279:$Q1279,"x")+1),-$E1279*N(K1279)))</f>
        <v/>
      </c>
      <c r="Z1279" s="34">
        <f>IF(OR($A1279="",$H1279&lt;&gt;"Ausgabe",L1279=""),0,IF(L1279="x",-$E1279/(COUNTIF($J1279:$Q1279,"x")+1),-$E1279*N(L1279)))</f>
        <v/>
      </c>
      <c r="AA1279" s="34">
        <f>IF(OR($A1279="",$H1279&lt;&gt;"Ausgabe",M1279=""),0,IF(M1279="x",-$E1279/(COUNTIF($J1279:$Q1279,"x")+1),-$E1279*N(M1279)))</f>
        <v/>
      </c>
      <c r="AB1279" s="34">
        <f>IF(OR($A1279="",$H1279&lt;&gt;"Ausgabe",N1279=""),0,IF(N1279="x",-$E1279/(COUNTIF($J1279:$Q1279,"x")+1),-$E1279*N(N1279)))</f>
        <v/>
      </c>
      <c r="AC1279" s="34">
        <f>IF(OR($A1279="",$H1279&lt;&gt;"Ausgabe",O1279=""),0,IF(O1279="x",-$E1279/(COUNTIF($J1279:$Q1279,"x")+1),-$E1279*N(O1279)))</f>
        <v/>
      </c>
      <c r="AD1279" s="34">
        <f>IF(OR($A1279="",$H1279&lt;&gt;"Ausgabe",P1279=""),0,IF(P1279="x",-$E1279/(COUNTIF($J1279:$Q1279,"x")+1),-$E1279*N(P1279)))</f>
        <v/>
      </c>
      <c r="AE1279" s="34">
        <f>IF(OR($A1279="",$H1279&lt;&gt;"Ausgabe",Q1279=""),0,IF(Q1279="x",-$E1279/(COUNTIF($J1279:$Q1279,"x")+1),-$E1279*N(Q1279)))</f>
        <v/>
      </c>
    </row>
    <row r="1280">
      <c r="A1280" s="30" t="n"/>
      <c r="E1280" s="31" t="n"/>
      <c r="J1280" s="32" t="n"/>
      <c r="K1280" s="32" t="n"/>
      <c r="L1280" s="32" t="n"/>
      <c r="M1280" s="32" t="n"/>
      <c r="N1280" s="32" t="n"/>
      <c r="O1280" s="32" t="n"/>
      <c r="P1280" s="32" t="n"/>
      <c r="Q1280" s="32" t="n"/>
      <c r="U1280" s="31">
        <f>IF($A1280="","",SUM(X1280:AE1280))</f>
        <v/>
      </c>
      <c r="V1280" s="31">
        <f>IF($A1280="","",IF($H1280&lt;&gt;"Ausgabe",0,-$E1280-$U1280))</f>
        <v/>
      </c>
      <c r="W1280" s="33">
        <f>IF($A1280="","",DATE(YEAR($A1280),MONTH($A1280),1))</f>
        <v/>
      </c>
      <c r="X1280" s="34">
        <f>IF(OR($A1280="",$H1280&lt;&gt;"Ausgabe",J1280=""),0,IF(J1280="x",-$E1280/(COUNTIF($J1280:$Q1280,"x")+1),-$E1280*N(J1280)))</f>
        <v/>
      </c>
      <c r="Y1280" s="34">
        <f>IF(OR($A1280="",$H1280&lt;&gt;"Ausgabe",K1280=""),0,IF(K1280="x",-$E1280/(COUNTIF($J1280:$Q1280,"x")+1),-$E1280*N(K1280)))</f>
        <v/>
      </c>
      <c r="Z1280" s="34">
        <f>IF(OR($A1280="",$H1280&lt;&gt;"Ausgabe",L1280=""),0,IF(L1280="x",-$E1280/(COUNTIF($J1280:$Q1280,"x")+1),-$E1280*N(L1280)))</f>
        <v/>
      </c>
      <c r="AA1280" s="34">
        <f>IF(OR($A1280="",$H1280&lt;&gt;"Ausgabe",M1280=""),0,IF(M1280="x",-$E1280/(COUNTIF($J1280:$Q1280,"x")+1),-$E1280*N(M1280)))</f>
        <v/>
      </c>
      <c r="AB1280" s="34">
        <f>IF(OR($A1280="",$H1280&lt;&gt;"Ausgabe",N1280=""),0,IF(N1280="x",-$E1280/(COUNTIF($J1280:$Q1280,"x")+1),-$E1280*N(N1280)))</f>
        <v/>
      </c>
      <c r="AC1280" s="34">
        <f>IF(OR($A1280="",$H1280&lt;&gt;"Ausgabe",O1280=""),0,IF(O1280="x",-$E1280/(COUNTIF($J1280:$Q1280,"x")+1),-$E1280*N(O1280)))</f>
        <v/>
      </c>
      <c r="AD1280" s="34">
        <f>IF(OR($A1280="",$H1280&lt;&gt;"Ausgabe",P1280=""),0,IF(P1280="x",-$E1280/(COUNTIF($J1280:$Q1280,"x")+1),-$E1280*N(P1280)))</f>
        <v/>
      </c>
      <c r="AE1280" s="34">
        <f>IF(OR($A1280="",$H1280&lt;&gt;"Ausgabe",Q1280=""),0,IF(Q1280="x",-$E1280/(COUNTIF($J1280:$Q1280,"x")+1),-$E1280*N(Q1280)))</f>
        <v/>
      </c>
    </row>
    <row r="1281">
      <c r="A1281" s="30" t="n"/>
      <c r="E1281" s="31" t="n"/>
      <c r="J1281" s="32" t="n"/>
      <c r="K1281" s="32" t="n"/>
      <c r="L1281" s="32" t="n"/>
      <c r="M1281" s="32" t="n"/>
      <c r="N1281" s="32" t="n"/>
      <c r="O1281" s="32" t="n"/>
      <c r="P1281" s="32" t="n"/>
      <c r="Q1281" s="32" t="n"/>
      <c r="U1281" s="31">
        <f>IF($A1281="","",SUM(X1281:AE1281))</f>
        <v/>
      </c>
      <c r="V1281" s="31">
        <f>IF($A1281="","",IF($H1281&lt;&gt;"Ausgabe",0,-$E1281-$U1281))</f>
        <v/>
      </c>
      <c r="W1281" s="33">
        <f>IF($A1281="","",DATE(YEAR($A1281),MONTH($A1281),1))</f>
        <v/>
      </c>
      <c r="X1281" s="34">
        <f>IF(OR($A1281="",$H1281&lt;&gt;"Ausgabe",J1281=""),0,IF(J1281="x",-$E1281/(COUNTIF($J1281:$Q1281,"x")+1),-$E1281*N(J1281)))</f>
        <v/>
      </c>
      <c r="Y1281" s="34">
        <f>IF(OR($A1281="",$H1281&lt;&gt;"Ausgabe",K1281=""),0,IF(K1281="x",-$E1281/(COUNTIF($J1281:$Q1281,"x")+1),-$E1281*N(K1281)))</f>
        <v/>
      </c>
      <c r="Z1281" s="34">
        <f>IF(OR($A1281="",$H1281&lt;&gt;"Ausgabe",L1281=""),0,IF(L1281="x",-$E1281/(COUNTIF($J1281:$Q1281,"x")+1),-$E1281*N(L1281)))</f>
        <v/>
      </c>
      <c r="AA1281" s="34">
        <f>IF(OR($A1281="",$H1281&lt;&gt;"Ausgabe",M1281=""),0,IF(M1281="x",-$E1281/(COUNTIF($J1281:$Q1281,"x")+1),-$E1281*N(M1281)))</f>
        <v/>
      </c>
      <c r="AB1281" s="34">
        <f>IF(OR($A1281="",$H1281&lt;&gt;"Ausgabe",N1281=""),0,IF(N1281="x",-$E1281/(COUNTIF($J1281:$Q1281,"x")+1),-$E1281*N(N1281)))</f>
        <v/>
      </c>
      <c r="AC1281" s="34">
        <f>IF(OR($A1281="",$H1281&lt;&gt;"Ausgabe",O1281=""),0,IF(O1281="x",-$E1281/(COUNTIF($J1281:$Q1281,"x")+1),-$E1281*N(O1281)))</f>
        <v/>
      </c>
      <c r="AD1281" s="34">
        <f>IF(OR($A1281="",$H1281&lt;&gt;"Ausgabe",P1281=""),0,IF(P1281="x",-$E1281/(COUNTIF($J1281:$Q1281,"x")+1),-$E1281*N(P1281)))</f>
        <v/>
      </c>
      <c r="AE1281" s="34">
        <f>IF(OR($A1281="",$H1281&lt;&gt;"Ausgabe",Q1281=""),0,IF(Q1281="x",-$E1281/(COUNTIF($J1281:$Q1281,"x")+1),-$E1281*N(Q1281)))</f>
        <v/>
      </c>
    </row>
    <row r="1282">
      <c r="A1282" s="30" t="n"/>
      <c r="E1282" s="31" t="n"/>
      <c r="J1282" s="32" t="n"/>
      <c r="K1282" s="32" t="n"/>
      <c r="L1282" s="32" t="n"/>
      <c r="M1282" s="32" t="n"/>
      <c r="N1282" s="32" t="n"/>
      <c r="O1282" s="32" t="n"/>
      <c r="P1282" s="32" t="n"/>
      <c r="Q1282" s="32" t="n"/>
      <c r="U1282" s="31">
        <f>IF($A1282="","",SUM(X1282:AE1282))</f>
        <v/>
      </c>
      <c r="V1282" s="31">
        <f>IF($A1282="","",IF($H1282&lt;&gt;"Ausgabe",0,-$E1282-$U1282))</f>
        <v/>
      </c>
      <c r="W1282" s="33">
        <f>IF($A1282="","",DATE(YEAR($A1282),MONTH($A1282),1))</f>
        <v/>
      </c>
      <c r="X1282" s="34">
        <f>IF(OR($A1282="",$H1282&lt;&gt;"Ausgabe",J1282=""),0,IF(J1282="x",-$E1282/(COUNTIF($J1282:$Q1282,"x")+1),-$E1282*N(J1282)))</f>
        <v/>
      </c>
      <c r="Y1282" s="34">
        <f>IF(OR($A1282="",$H1282&lt;&gt;"Ausgabe",K1282=""),0,IF(K1282="x",-$E1282/(COUNTIF($J1282:$Q1282,"x")+1),-$E1282*N(K1282)))</f>
        <v/>
      </c>
      <c r="Z1282" s="34">
        <f>IF(OR($A1282="",$H1282&lt;&gt;"Ausgabe",L1282=""),0,IF(L1282="x",-$E1282/(COUNTIF($J1282:$Q1282,"x")+1),-$E1282*N(L1282)))</f>
        <v/>
      </c>
      <c r="AA1282" s="34">
        <f>IF(OR($A1282="",$H1282&lt;&gt;"Ausgabe",M1282=""),0,IF(M1282="x",-$E1282/(COUNTIF($J1282:$Q1282,"x")+1),-$E1282*N(M1282)))</f>
        <v/>
      </c>
      <c r="AB1282" s="34">
        <f>IF(OR($A1282="",$H1282&lt;&gt;"Ausgabe",N1282=""),0,IF(N1282="x",-$E1282/(COUNTIF($J1282:$Q1282,"x")+1),-$E1282*N(N1282)))</f>
        <v/>
      </c>
      <c r="AC1282" s="34">
        <f>IF(OR($A1282="",$H1282&lt;&gt;"Ausgabe",O1282=""),0,IF(O1282="x",-$E1282/(COUNTIF($J1282:$Q1282,"x")+1),-$E1282*N(O1282)))</f>
        <v/>
      </c>
      <c r="AD1282" s="34">
        <f>IF(OR($A1282="",$H1282&lt;&gt;"Ausgabe",P1282=""),0,IF(P1282="x",-$E1282/(COUNTIF($J1282:$Q1282,"x")+1),-$E1282*N(P1282)))</f>
        <v/>
      </c>
      <c r="AE1282" s="34">
        <f>IF(OR($A1282="",$H1282&lt;&gt;"Ausgabe",Q1282=""),0,IF(Q1282="x",-$E1282/(COUNTIF($J1282:$Q1282,"x")+1),-$E1282*N(Q1282)))</f>
        <v/>
      </c>
    </row>
    <row r="1283">
      <c r="A1283" s="30" t="n"/>
      <c r="E1283" s="31" t="n"/>
      <c r="J1283" s="32" t="n"/>
      <c r="K1283" s="32" t="n"/>
      <c r="L1283" s="32" t="n"/>
      <c r="M1283" s="32" t="n"/>
      <c r="N1283" s="32" t="n"/>
      <c r="O1283" s="32" t="n"/>
      <c r="P1283" s="32" t="n"/>
      <c r="Q1283" s="32" t="n"/>
      <c r="U1283" s="31">
        <f>IF($A1283="","",SUM(X1283:AE1283))</f>
        <v/>
      </c>
      <c r="V1283" s="31">
        <f>IF($A1283="","",IF($H1283&lt;&gt;"Ausgabe",0,-$E1283-$U1283))</f>
        <v/>
      </c>
      <c r="W1283" s="33">
        <f>IF($A1283="","",DATE(YEAR($A1283),MONTH($A1283),1))</f>
        <v/>
      </c>
      <c r="X1283" s="34">
        <f>IF(OR($A1283="",$H1283&lt;&gt;"Ausgabe",J1283=""),0,IF(J1283="x",-$E1283/(COUNTIF($J1283:$Q1283,"x")+1),-$E1283*N(J1283)))</f>
        <v/>
      </c>
      <c r="Y1283" s="34">
        <f>IF(OR($A1283="",$H1283&lt;&gt;"Ausgabe",K1283=""),0,IF(K1283="x",-$E1283/(COUNTIF($J1283:$Q1283,"x")+1),-$E1283*N(K1283)))</f>
        <v/>
      </c>
      <c r="Z1283" s="34">
        <f>IF(OR($A1283="",$H1283&lt;&gt;"Ausgabe",L1283=""),0,IF(L1283="x",-$E1283/(COUNTIF($J1283:$Q1283,"x")+1),-$E1283*N(L1283)))</f>
        <v/>
      </c>
      <c r="AA1283" s="34">
        <f>IF(OR($A1283="",$H1283&lt;&gt;"Ausgabe",M1283=""),0,IF(M1283="x",-$E1283/(COUNTIF($J1283:$Q1283,"x")+1),-$E1283*N(M1283)))</f>
        <v/>
      </c>
      <c r="AB1283" s="34">
        <f>IF(OR($A1283="",$H1283&lt;&gt;"Ausgabe",N1283=""),0,IF(N1283="x",-$E1283/(COUNTIF($J1283:$Q1283,"x")+1),-$E1283*N(N1283)))</f>
        <v/>
      </c>
      <c r="AC1283" s="34">
        <f>IF(OR($A1283="",$H1283&lt;&gt;"Ausgabe",O1283=""),0,IF(O1283="x",-$E1283/(COUNTIF($J1283:$Q1283,"x")+1),-$E1283*N(O1283)))</f>
        <v/>
      </c>
      <c r="AD1283" s="34">
        <f>IF(OR($A1283="",$H1283&lt;&gt;"Ausgabe",P1283=""),0,IF(P1283="x",-$E1283/(COUNTIF($J1283:$Q1283,"x")+1),-$E1283*N(P1283)))</f>
        <v/>
      </c>
      <c r="AE1283" s="34">
        <f>IF(OR($A1283="",$H1283&lt;&gt;"Ausgabe",Q1283=""),0,IF(Q1283="x",-$E1283/(COUNTIF($J1283:$Q1283,"x")+1),-$E1283*N(Q1283)))</f>
        <v/>
      </c>
    </row>
    <row r="1284">
      <c r="A1284" s="30" t="n"/>
      <c r="E1284" s="31" t="n"/>
      <c r="J1284" s="32" t="n"/>
      <c r="K1284" s="32" t="n"/>
      <c r="L1284" s="32" t="n"/>
      <c r="M1284" s="32" t="n"/>
      <c r="N1284" s="32" t="n"/>
      <c r="O1284" s="32" t="n"/>
      <c r="P1284" s="32" t="n"/>
      <c r="Q1284" s="32" t="n"/>
      <c r="U1284" s="31">
        <f>IF($A1284="","",SUM(X1284:AE1284))</f>
        <v/>
      </c>
      <c r="V1284" s="31">
        <f>IF($A1284="","",IF($H1284&lt;&gt;"Ausgabe",0,-$E1284-$U1284))</f>
        <v/>
      </c>
      <c r="W1284" s="33">
        <f>IF($A1284="","",DATE(YEAR($A1284),MONTH($A1284),1))</f>
        <v/>
      </c>
      <c r="X1284" s="34">
        <f>IF(OR($A1284="",$H1284&lt;&gt;"Ausgabe",J1284=""),0,IF(J1284="x",-$E1284/(COUNTIF($J1284:$Q1284,"x")+1),-$E1284*N(J1284)))</f>
        <v/>
      </c>
      <c r="Y1284" s="34">
        <f>IF(OR($A1284="",$H1284&lt;&gt;"Ausgabe",K1284=""),0,IF(K1284="x",-$E1284/(COUNTIF($J1284:$Q1284,"x")+1),-$E1284*N(K1284)))</f>
        <v/>
      </c>
      <c r="Z1284" s="34">
        <f>IF(OR($A1284="",$H1284&lt;&gt;"Ausgabe",L1284=""),0,IF(L1284="x",-$E1284/(COUNTIF($J1284:$Q1284,"x")+1),-$E1284*N(L1284)))</f>
        <v/>
      </c>
      <c r="AA1284" s="34">
        <f>IF(OR($A1284="",$H1284&lt;&gt;"Ausgabe",M1284=""),0,IF(M1284="x",-$E1284/(COUNTIF($J1284:$Q1284,"x")+1),-$E1284*N(M1284)))</f>
        <v/>
      </c>
      <c r="AB1284" s="34">
        <f>IF(OR($A1284="",$H1284&lt;&gt;"Ausgabe",N1284=""),0,IF(N1284="x",-$E1284/(COUNTIF($J1284:$Q1284,"x")+1),-$E1284*N(N1284)))</f>
        <v/>
      </c>
      <c r="AC1284" s="34">
        <f>IF(OR($A1284="",$H1284&lt;&gt;"Ausgabe",O1284=""),0,IF(O1284="x",-$E1284/(COUNTIF($J1284:$Q1284,"x")+1),-$E1284*N(O1284)))</f>
        <v/>
      </c>
      <c r="AD1284" s="34">
        <f>IF(OR($A1284="",$H1284&lt;&gt;"Ausgabe",P1284=""),0,IF(P1284="x",-$E1284/(COUNTIF($J1284:$Q1284,"x")+1),-$E1284*N(P1284)))</f>
        <v/>
      </c>
      <c r="AE1284" s="34">
        <f>IF(OR($A1284="",$H1284&lt;&gt;"Ausgabe",Q1284=""),0,IF(Q1284="x",-$E1284/(COUNTIF($J1284:$Q1284,"x")+1),-$E1284*N(Q1284)))</f>
        <v/>
      </c>
    </row>
    <row r="1285">
      <c r="A1285" s="30" t="n"/>
      <c r="E1285" s="31" t="n"/>
      <c r="J1285" s="32" t="n"/>
      <c r="K1285" s="32" t="n"/>
      <c r="L1285" s="32" t="n"/>
      <c r="M1285" s="32" t="n"/>
      <c r="N1285" s="32" t="n"/>
      <c r="O1285" s="32" t="n"/>
      <c r="P1285" s="32" t="n"/>
      <c r="Q1285" s="32" t="n"/>
      <c r="U1285" s="31">
        <f>IF($A1285="","",SUM(X1285:AE1285))</f>
        <v/>
      </c>
      <c r="V1285" s="31">
        <f>IF($A1285="","",IF($H1285&lt;&gt;"Ausgabe",0,-$E1285-$U1285))</f>
        <v/>
      </c>
      <c r="W1285" s="33">
        <f>IF($A1285="","",DATE(YEAR($A1285),MONTH($A1285),1))</f>
        <v/>
      </c>
      <c r="X1285" s="34">
        <f>IF(OR($A1285="",$H1285&lt;&gt;"Ausgabe",J1285=""),0,IF(J1285="x",-$E1285/(COUNTIF($J1285:$Q1285,"x")+1),-$E1285*N(J1285)))</f>
        <v/>
      </c>
      <c r="Y1285" s="34">
        <f>IF(OR($A1285="",$H1285&lt;&gt;"Ausgabe",K1285=""),0,IF(K1285="x",-$E1285/(COUNTIF($J1285:$Q1285,"x")+1),-$E1285*N(K1285)))</f>
        <v/>
      </c>
      <c r="Z1285" s="34">
        <f>IF(OR($A1285="",$H1285&lt;&gt;"Ausgabe",L1285=""),0,IF(L1285="x",-$E1285/(COUNTIF($J1285:$Q1285,"x")+1),-$E1285*N(L1285)))</f>
        <v/>
      </c>
      <c r="AA1285" s="34">
        <f>IF(OR($A1285="",$H1285&lt;&gt;"Ausgabe",M1285=""),0,IF(M1285="x",-$E1285/(COUNTIF($J1285:$Q1285,"x")+1),-$E1285*N(M1285)))</f>
        <v/>
      </c>
      <c r="AB1285" s="34">
        <f>IF(OR($A1285="",$H1285&lt;&gt;"Ausgabe",N1285=""),0,IF(N1285="x",-$E1285/(COUNTIF($J1285:$Q1285,"x")+1),-$E1285*N(N1285)))</f>
        <v/>
      </c>
      <c r="AC1285" s="34">
        <f>IF(OR($A1285="",$H1285&lt;&gt;"Ausgabe",O1285=""),0,IF(O1285="x",-$E1285/(COUNTIF($J1285:$Q1285,"x")+1),-$E1285*N(O1285)))</f>
        <v/>
      </c>
      <c r="AD1285" s="34">
        <f>IF(OR($A1285="",$H1285&lt;&gt;"Ausgabe",P1285=""),0,IF(P1285="x",-$E1285/(COUNTIF($J1285:$Q1285,"x")+1),-$E1285*N(P1285)))</f>
        <v/>
      </c>
      <c r="AE1285" s="34">
        <f>IF(OR($A1285="",$H1285&lt;&gt;"Ausgabe",Q1285=""),0,IF(Q1285="x",-$E1285/(COUNTIF($J1285:$Q1285,"x")+1),-$E1285*N(Q1285)))</f>
        <v/>
      </c>
    </row>
    <row r="1286">
      <c r="A1286" s="30" t="n"/>
      <c r="E1286" s="31" t="n"/>
      <c r="J1286" s="32" t="n"/>
      <c r="K1286" s="32" t="n"/>
      <c r="L1286" s="32" t="n"/>
      <c r="M1286" s="32" t="n"/>
      <c r="N1286" s="32" t="n"/>
      <c r="O1286" s="32" t="n"/>
      <c r="P1286" s="32" t="n"/>
      <c r="Q1286" s="32" t="n"/>
      <c r="U1286" s="31">
        <f>IF($A1286="","",SUM(X1286:AE1286))</f>
        <v/>
      </c>
      <c r="V1286" s="31">
        <f>IF($A1286="","",IF($H1286&lt;&gt;"Ausgabe",0,-$E1286-$U1286))</f>
        <v/>
      </c>
      <c r="W1286" s="33">
        <f>IF($A1286="","",DATE(YEAR($A1286),MONTH($A1286),1))</f>
        <v/>
      </c>
      <c r="X1286" s="34">
        <f>IF(OR($A1286="",$H1286&lt;&gt;"Ausgabe",J1286=""),0,IF(J1286="x",-$E1286/(COUNTIF($J1286:$Q1286,"x")+1),-$E1286*N(J1286)))</f>
        <v/>
      </c>
      <c r="Y1286" s="34">
        <f>IF(OR($A1286="",$H1286&lt;&gt;"Ausgabe",K1286=""),0,IF(K1286="x",-$E1286/(COUNTIF($J1286:$Q1286,"x")+1),-$E1286*N(K1286)))</f>
        <v/>
      </c>
      <c r="Z1286" s="34">
        <f>IF(OR($A1286="",$H1286&lt;&gt;"Ausgabe",L1286=""),0,IF(L1286="x",-$E1286/(COUNTIF($J1286:$Q1286,"x")+1),-$E1286*N(L1286)))</f>
        <v/>
      </c>
      <c r="AA1286" s="34">
        <f>IF(OR($A1286="",$H1286&lt;&gt;"Ausgabe",M1286=""),0,IF(M1286="x",-$E1286/(COUNTIF($J1286:$Q1286,"x")+1),-$E1286*N(M1286)))</f>
        <v/>
      </c>
      <c r="AB1286" s="34">
        <f>IF(OR($A1286="",$H1286&lt;&gt;"Ausgabe",N1286=""),0,IF(N1286="x",-$E1286/(COUNTIF($J1286:$Q1286,"x")+1),-$E1286*N(N1286)))</f>
        <v/>
      </c>
      <c r="AC1286" s="34">
        <f>IF(OR($A1286="",$H1286&lt;&gt;"Ausgabe",O1286=""),0,IF(O1286="x",-$E1286/(COUNTIF($J1286:$Q1286,"x")+1),-$E1286*N(O1286)))</f>
        <v/>
      </c>
      <c r="AD1286" s="34">
        <f>IF(OR($A1286="",$H1286&lt;&gt;"Ausgabe",P1286=""),0,IF(P1286="x",-$E1286/(COUNTIF($J1286:$Q1286,"x")+1),-$E1286*N(P1286)))</f>
        <v/>
      </c>
      <c r="AE1286" s="34">
        <f>IF(OR($A1286="",$H1286&lt;&gt;"Ausgabe",Q1286=""),0,IF(Q1286="x",-$E1286/(COUNTIF($J1286:$Q1286,"x")+1),-$E1286*N(Q1286)))</f>
        <v/>
      </c>
    </row>
    <row r="1287">
      <c r="A1287" s="30" t="n"/>
      <c r="E1287" s="31" t="n"/>
      <c r="J1287" s="32" t="n"/>
      <c r="K1287" s="32" t="n"/>
      <c r="L1287" s="32" t="n"/>
      <c r="M1287" s="32" t="n"/>
      <c r="N1287" s="32" t="n"/>
      <c r="O1287" s="32" t="n"/>
      <c r="P1287" s="32" t="n"/>
      <c r="Q1287" s="32" t="n"/>
      <c r="U1287" s="31">
        <f>IF($A1287="","",SUM(X1287:AE1287))</f>
        <v/>
      </c>
      <c r="V1287" s="31">
        <f>IF($A1287="","",IF($H1287&lt;&gt;"Ausgabe",0,-$E1287-$U1287))</f>
        <v/>
      </c>
      <c r="W1287" s="33">
        <f>IF($A1287="","",DATE(YEAR($A1287),MONTH($A1287),1))</f>
        <v/>
      </c>
      <c r="X1287" s="34">
        <f>IF(OR($A1287="",$H1287&lt;&gt;"Ausgabe",J1287=""),0,IF(J1287="x",-$E1287/(COUNTIF($J1287:$Q1287,"x")+1),-$E1287*N(J1287)))</f>
        <v/>
      </c>
      <c r="Y1287" s="34">
        <f>IF(OR($A1287="",$H1287&lt;&gt;"Ausgabe",K1287=""),0,IF(K1287="x",-$E1287/(COUNTIF($J1287:$Q1287,"x")+1),-$E1287*N(K1287)))</f>
        <v/>
      </c>
      <c r="Z1287" s="34">
        <f>IF(OR($A1287="",$H1287&lt;&gt;"Ausgabe",L1287=""),0,IF(L1287="x",-$E1287/(COUNTIF($J1287:$Q1287,"x")+1),-$E1287*N(L1287)))</f>
        <v/>
      </c>
      <c r="AA1287" s="34">
        <f>IF(OR($A1287="",$H1287&lt;&gt;"Ausgabe",M1287=""),0,IF(M1287="x",-$E1287/(COUNTIF($J1287:$Q1287,"x")+1),-$E1287*N(M1287)))</f>
        <v/>
      </c>
      <c r="AB1287" s="34">
        <f>IF(OR($A1287="",$H1287&lt;&gt;"Ausgabe",N1287=""),0,IF(N1287="x",-$E1287/(COUNTIF($J1287:$Q1287,"x")+1),-$E1287*N(N1287)))</f>
        <v/>
      </c>
      <c r="AC1287" s="34">
        <f>IF(OR($A1287="",$H1287&lt;&gt;"Ausgabe",O1287=""),0,IF(O1287="x",-$E1287/(COUNTIF($J1287:$Q1287,"x")+1),-$E1287*N(O1287)))</f>
        <v/>
      </c>
      <c r="AD1287" s="34">
        <f>IF(OR($A1287="",$H1287&lt;&gt;"Ausgabe",P1287=""),0,IF(P1287="x",-$E1287/(COUNTIF($J1287:$Q1287,"x")+1),-$E1287*N(P1287)))</f>
        <v/>
      </c>
      <c r="AE1287" s="34">
        <f>IF(OR($A1287="",$H1287&lt;&gt;"Ausgabe",Q1287=""),0,IF(Q1287="x",-$E1287/(COUNTIF($J1287:$Q1287,"x")+1),-$E1287*N(Q1287)))</f>
        <v/>
      </c>
    </row>
    <row r="1288">
      <c r="A1288" s="30" t="n"/>
      <c r="E1288" s="31" t="n"/>
      <c r="J1288" s="32" t="n"/>
      <c r="K1288" s="32" t="n"/>
      <c r="L1288" s="32" t="n"/>
      <c r="M1288" s="32" t="n"/>
      <c r="N1288" s="32" t="n"/>
      <c r="O1288" s="32" t="n"/>
      <c r="P1288" s="32" t="n"/>
      <c r="Q1288" s="32" t="n"/>
      <c r="U1288" s="31">
        <f>IF($A1288="","",SUM(X1288:AE1288))</f>
        <v/>
      </c>
      <c r="V1288" s="31">
        <f>IF($A1288="","",IF($H1288&lt;&gt;"Ausgabe",0,-$E1288-$U1288))</f>
        <v/>
      </c>
      <c r="W1288" s="33">
        <f>IF($A1288="","",DATE(YEAR($A1288),MONTH($A1288),1))</f>
        <v/>
      </c>
      <c r="X1288" s="34">
        <f>IF(OR($A1288="",$H1288&lt;&gt;"Ausgabe",J1288=""),0,IF(J1288="x",-$E1288/(COUNTIF($J1288:$Q1288,"x")+1),-$E1288*N(J1288)))</f>
        <v/>
      </c>
      <c r="Y1288" s="34">
        <f>IF(OR($A1288="",$H1288&lt;&gt;"Ausgabe",K1288=""),0,IF(K1288="x",-$E1288/(COUNTIF($J1288:$Q1288,"x")+1),-$E1288*N(K1288)))</f>
        <v/>
      </c>
      <c r="Z1288" s="34">
        <f>IF(OR($A1288="",$H1288&lt;&gt;"Ausgabe",L1288=""),0,IF(L1288="x",-$E1288/(COUNTIF($J1288:$Q1288,"x")+1),-$E1288*N(L1288)))</f>
        <v/>
      </c>
      <c r="AA1288" s="34">
        <f>IF(OR($A1288="",$H1288&lt;&gt;"Ausgabe",M1288=""),0,IF(M1288="x",-$E1288/(COUNTIF($J1288:$Q1288,"x")+1),-$E1288*N(M1288)))</f>
        <v/>
      </c>
      <c r="AB1288" s="34">
        <f>IF(OR($A1288="",$H1288&lt;&gt;"Ausgabe",N1288=""),0,IF(N1288="x",-$E1288/(COUNTIF($J1288:$Q1288,"x")+1),-$E1288*N(N1288)))</f>
        <v/>
      </c>
      <c r="AC1288" s="34">
        <f>IF(OR($A1288="",$H1288&lt;&gt;"Ausgabe",O1288=""),0,IF(O1288="x",-$E1288/(COUNTIF($J1288:$Q1288,"x")+1),-$E1288*N(O1288)))</f>
        <v/>
      </c>
      <c r="AD1288" s="34">
        <f>IF(OR($A1288="",$H1288&lt;&gt;"Ausgabe",P1288=""),0,IF(P1288="x",-$E1288/(COUNTIF($J1288:$Q1288,"x")+1),-$E1288*N(P1288)))</f>
        <v/>
      </c>
      <c r="AE1288" s="34">
        <f>IF(OR($A1288="",$H1288&lt;&gt;"Ausgabe",Q1288=""),0,IF(Q1288="x",-$E1288/(COUNTIF($J1288:$Q1288,"x")+1),-$E1288*N(Q1288)))</f>
        <v/>
      </c>
    </row>
    <row r="1289">
      <c r="A1289" s="30" t="n"/>
      <c r="E1289" s="31" t="n"/>
      <c r="J1289" s="32" t="n"/>
      <c r="K1289" s="32" t="n"/>
      <c r="L1289" s="32" t="n"/>
      <c r="M1289" s="32" t="n"/>
      <c r="N1289" s="32" t="n"/>
      <c r="O1289" s="32" t="n"/>
      <c r="P1289" s="32" t="n"/>
      <c r="Q1289" s="32" t="n"/>
      <c r="U1289" s="31">
        <f>IF($A1289="","",SUM(X1289:AE1289))</f>
        <v/>
      </c>
      <c r="V1289" s="31">
        <f>IF($A1289="","",IF($H1289&lt;&gt;"Ausgabe",0,-$E1289-$U1289))</f>
        <v/>
      </c>
      <c r="W1289" s="33">
        <f>IF($A1289="","",DATE(YEAR($A1289),MONTH($A1289),1))</f>
        <v/>
      </c>
      <c r="X1289" s="34">
        <f>IF(OR($A1289="",$H1289&lt;&gt;"Ausgabe",J1289=""),0,IF(J1289="x",-$E1289/(COUNTIF($J1289:$Q1289,"x")+1),-$E1289*N(J1289)))</f>
        <v/>
      </c>
      <c r="Y1289" s="34">
        <f>IF(OR($A1289="",$H1289&lt;&gt;"Ausgabe",K1289=""),0,IF(K1289="x",-$E1289/(COUNTIF($J1289:$Q1289,"x")+1),-$E1289*N(K1289)))</f>
        <v/>
      </c>
      <c r="Z1289" s="34">
        <f>IF(OR($A1289="",$H1289&lt;&gt;"Ausgabe",L1289=""),0,IF(L1289="x",-$E1289/(COUNTIF($J1289:$Q1289,"x")+1),-$E1289*N(L1289)))</f>
        <v/>
      </c>
      <c r="AA1289" s="34">
        <f>IF(OR($A1289="",$H1289&lt;&gt;"Ausgabe",M1289=""),0,IF(M1289="x",-$E1289/(COUNTIF($J1289:$Q1289,"x")+1),-$E1289*N(M1289)))</f>
        <v/>
      </c>
      <c r="AB1289" s="34">
        <f>IF(OR($A1289="",$H1289&lt;&gt;"Ausgabe",N1289=""),0,IF(N1289="x",-$E1289/(COUNTIF($J1289:$Q1289,"x")+1),-$E1289*N(N1289)))</f>
        <v/>
      </c>
      <c r="AC1289" s="34">
        <f>IF(OR($A1289="",$H1289&lt;&gt;"Ausgabe",O1289=""),0,IF(O1289="x",-$E1289/(COUNTIF($J1289:$Q1289,"x")+1),-$E1289*N(O1289)))</f>
        <v/>
      </c>
      <c r="AD1289" s="34">
        <f>IF(OR($A1289="",$H1289&lt;&gt;"Ausgabe",P1289=""),0,IF(P1289="x",-$E1289/(COUNTIF($J1289:$Q1289,"x")+1),-$E1289*N(P1289)))</f>
        <v/>
      </c>
      <c r="AE1289" s="34">
        <f>IF(OR($A1289="",$H1289&lt;&gt;"Ausgabe",Q1289=""),0,IF(Q1289="x",-$E1289/(COUNTIF($J1289:$Q1289,"x")+1),-$E1289*N(Q1289)))</f>
        <v/>
      </c>
    </row>
    <row r="1290">
      <c r="A1290" s="30" t="n"/>
      <c r="E1290" s="31" t="n"/>
      <c r="J1290" s="32" t="n"/>
      <c r="K1290" s="32" t="n"/>
      <c r="L1290" s="32" t="n"/>
      <c r="M1290" s="32" t="n"/>
      <c r="N1290" s="32" t="n"/>
      <c r="O1290" s="32" t="n"/>
      <c r="P1290" s="32" t="n"/>
      <c r="Q1290" s="32" t="n"/>
      <c r="U1290" s="31">
        <f>IF($A1290="","",SUM(X1290:AE1290))</f>
        <v/>
      </c>
      <c r="V1290" s="31">
        <f>IF($A1290="","",IF($H1290&lt;&gt;"Ausgabe",0,-$E1290-$U1290))</f>
        <v/>
      </c>
      <c r="W1290" s="33">
        <f>IF($A1290="","",DATE(YEAR($A1290),MONTH($A1290),1))</f>
        <v/>
      </c>
      <c r="X1290" s="34">
        <f>IF(OR($A1290="",$H1290&lt;&gt;"Ausgabe",J1290=""),0,IF(J1290="x",-$E1290/(COUNTIF($J1290:$Q1290,"x")+1),-$E1290*N(J1290)))</f>
        <v/>
      </c>
      <c r="Y1290" s="34">
        <f>IF(OR($A1290="",$H1290&lt;&gt;"Ausgabe",K1290=""),0,IF(K1290="x",-$E1290/(COUNTIF($J1290:$Q1290,"x")+1),-$E1290*N(K1290)))</f>
        <v/>
      </c>
      <c r="Z1290" s="34">
        <f>IF(OR($A1290="",$H1290&lt;&gt;"Ausgabe",L1290=""),0,IF(L1290="x",-$E1290/(COUNTIF($J1290:$Q1290,"x")+1),-$E1290*N(L1290)))</f>
        <v/>
      </c>
      <c r="AA1290" s="34">
        <f>IF(OR($A1290="",$H1290&lt;&gt;"Ausgabe",M1290=""),0,IF(M1290="x",-$E1290/(COUNTIF($J1290:$Q1290,"x")+1),-$E1290*N(M1290)))</f>
        <v/>
      </c>
      <c r="AB1290" s="34">
        <f>IF(OR($A1290="",$H1290&lt;&gt;"Ausgabe",N1290=""),0,IF(N1290="x",-$E1290/(COUNTIF($J1290:$Q1290,"x")+1),-$E1290*N(N1290)))</f>
        <v/>
      </c>
      <c r="AC1290" s="34">
        <f>IF(OR($A1290="",$H1290&lt;&gt;"Ausgabe",O1290=""),0,IF(O1290="x",-$E1290/(COUNTIF($J1290:$Q1290,"x")+1),-$E1290*N(O1290)))</f>
        <v/>
      </c>
      <c r="AD1290" s="34">
        <f>IF(OR($A1290="",$H1290&lt;&gt;"Ausgabe",P1290=""),0,IF(P1290="x",-$E1290/(COUNTIF($J1290:$Q1290,"x")+1),-$E1290*N(P1290)))</f>
        <v/>
      </c>
      <c r="AE1290" s="34">
        <f>IF(OR($A1290="",$H1290&lt;&gt;"Ausgabe",Q1290=""),0,IF(Q1290="x",-$E1290/(COUNTIF($J1290:$Q1290,"x")+1),-$E1290*N(Q1290)))</f>
        <v/>
      </c>
    </row>
    <row r="1291">
      <c r="A1291" s="30" t="n"/>
      <c r="E1291" s="31" t="n"/>
      <c r="J1291" s="32" t="n"/>
      <c r="K1291" s="32" t="n"/>
      <c r="L1291" s="32" t="n"/>
      <c r="M1291" s="32" t="n"/>
      <c r="N1291" s="32" t="n"/>
      <c r="O1291" s="32" t="n"/>
      <c r="P1291" s="32" t="n"/>
      <c r="Q1291" s="32" t="n"/>
      <c r="U1291" s="31">
        <f>IF($A1291="","",SUM(X1291:AE1291))</f>
        <v/>
      </c>
      <c r="V1291" s="31">
        <f>IF($A1291="","",IF($H1291&lt;&gt;"Ausgabe",0,-$E1291-$U1291))</f>
        <v/>
      </c>
      <c r="W1291" s="33">
        <f>IF($A1291="","",DATE(YEAR($A1291),MONTH($A1291),1))</f>
        <v/>
      </c>
      <c r="X1291" s="34">
        <f>IF(OR($A1291="",$H1291&lt;&gt;"Ausgabe",J1291=""),0,IF(J1291="x",-$E1291/(COUNTIF($J1291:$Q1291,"x")+1),-$E1291*N(J1291)))</f>
        <v/>
      </c>
      <c r="Y1291" s="34">
        <f>IF(OR($A1291="",$H1291&lt;&gt;"Ausgabe",K1291=""),0,IF(K1291="x",-$E1291/(COUNTIF($J1291:$Q1291,"x")+1),-$E1291*N(K1291)))</f>
        <v/>
      </c>
      <c r="Z1291" s="34">
        <f>IF(OR($A1291="",$H1291&lt;&gt;"Ausgabe",L1291=""),0,IF(L1291="x",-$E1291/(COUNTIF($J1291:$Q1291,"x")+1),-$E1291*N(L1291)))</f>
        <v/>
      </c>
      <c r="AA1291" s="34">
        <f>IF(OR($A1291="",$H1291&lt;&gt;"Ausgabe",M1291=""),0,IF(M1291="x",-$E1291/(COUNTIF($J1291:$Q1291,"x")+1),-$E1291*N(M1291)))</f>
        <v/>
      </c>
      <c r="AB1291" s="34">
        <f>IF(OR($A1291="",$H1291&lt;&gt;"Ausgabe",N1291=""),0,IF(N1291="x",-$E1291/(COUNTIF($J1291:$Q1291,"x")+1),-$E1291*N(N1291)))</f>
        <v/>
      </c>
      <c r="AC1291" s="34">
        <f>IF(OR($A1291="",$H1291&lt;&gt;"Ausgabe",O1291=""),0,IF(O1291="x",-$E1291/(COUNTIF($J1291:$Q1291,"x")+1),-$E1291*N(O1291)))</f>
        <v/>
      </c>
      <c r="AD1291" s="34">
        <f>IF(OR($A1291="",$H1291&lt;&gt;"Ausgabe",P1291=""),0,IF(P1291="x",-$E1291/(COUNTIF($J1291:$Q1291,"x")+1),-$E1291*N(P1291)))</f>
        <v/>
      </c>
      <c r="AE1291" s="34">
        <f>IF(OR($A1291="",$H1291&lt;&gt;"Ausgabe",Q1291=""),0,IF(Q1291="x",-$E1291/(COUNTIF($J1291:$Q1291,"x")+1),-$E1291*N(Q1291)))</f>
        <v/>
      </c>
    </row>
    <row r="1292">
      <c r="A1292" s="30" t="n"/>
      <c r="E1292" s="31" t="n"/>
      <c r="J1292" s="32" t="n"/>
      <c r="K1292" s="32" t="n"/>
      <c r="L1292" s="32" t="n"/>
      <c r="M1292" s="32" t="n"/>
      <c r="N1292" s="32" t="n"/>
      <c r="O1292" s="32" t="n"/>
      <c r="P1292" s="32" t="n"/>
      <c r="Q1292" s="32" t="n"/>
      <c r="U1292" s="31">
        <f>IF($A1292="","",SUM(X1292:AE1292))</f>
        <v/>
      </c>
      <c r="V1292" s="31">
        <f>IF($A1292="","",IF($H1292&lt;&gt;"Ausgabe",0,-$E1292-$U1292))</f>
        <v/>
      </c>
      <c r="W1292" s="33">
        <f>IF($A1292="","",DATE(YEAR($A1292),MONTH($A1292),1))</f>
        <v/>
      </c>
      <c r="X1292" s="34">
        <f>IF(OR($A1292="",$H1292&lt;&gt;"Ausgabe",J1292=""),0,IF(J1292="x",-$E1292/(COUNTIF($J1292:$Q1292,"x")+1),-$E1292*N(J1292)))</f>
        <v/>
      </c>
      <c r="Y1292" s="34">
        <f>IF(OR($A1292="",$H1292&lt;&gt;"Ausgabe",K1292=""),0,IF(K1292="x",-$E1292/(COUNTIF($J1292:$Q1292,"x")+1),-$E1292*N(K1292)))</f>
        <v/>
      </c>
      <c r="Z1292" s="34">
        <f>IF(OR($A1292="",$H1292&lt;&gt;"Ausgabe",L1292=""),0,IF(L1292="x",-$E1292/(COUNTIF($J1292:$Q1292,"x")+1),-$E1292*N(L1292)))</f>
        <v/>
      </c>
      <c r="AA1292" s="34">
        <f>IF(OR($A1292="",$H1292&lt;&gt;"Ausgabe",M1292=""),0,IF(M1292="x",-$E1292/(COUNTIF($J1292:$Q1292,"x")+1),-$E1292*N(M1292)))</f>
        <v/>
      </c>
      <c r="AB1292" s="34">
        <f>IF(OR($A1292="",$H1292&lt;&gt;"Ausgabe",N1292=""),0,IF(N1292="x",-$E1292/(COUNTIF($J1292:$Q1292,"x")+1),-$E1292*N(N1292)))</f>
        <v/>
      </c>
      <c r="AC1292" s="34">
        <f>IF(OR($A1292="",$H1292&lt;&gt;"Ausgabe",O1292=""),0,IF(O1292="x",-$E1292/(COUNTIF($J1292:$Q1292,"x")+1),-$E1292*N(O1292)))</f>
        <v/>
      </c>
      <c r="AD1292" s="34">
        <f>IF(OR($A1292="",$H1292&lt;&gt;"Ausgabe",P1292=""),0,IF(P1292="x",-$E1292/(COUNTIF($J1292:$Q1292,"x")+1),-$E1292*N(P1292)))</f>
        <v/>
      </c>
      <c r="AE1292" s="34">
        <f>IF(OR($A1292="",$H1292&lt;&gt;"Ausgabe",Q1292=""),0,IF(Q1292="x",-$E1292/(COUNTIF($J1292:$Q1292,"x")+1),-$E1292*N(Q1292)))</f>
        <v/>
      </c>
    </row>
    <row r="1293">
      <c r="A1293" s="30" t="n"/>
      <c r="E1293" s="31" t="n"/>
      <c r="J1293" s="32" t="n"/>
      <c r="K1293" s="32" t="n"/>
      <c r="L1293" s="32" t="n"/>
      <c r="M1293" s="32" t="n"/>
      <c r="N1293" s="32" t="n"/>
      <c r="O1293" s="32" t="n"/>
      <c r="P1293" s="32" t="n"/>
      <c r="Q1293" s="32" t="n"/>
      <c r="U1293" s="31">
        <f>IF($A1293="","",SUM(X1293:AE1293))</f>
        <v/>
      </c>
      <c r="V1293" s="31">
        <f>IF($A1293="","",IF($H1293&lt;&gt;"Ausgabe",0,-$E1293-$U1293))</f>
        <v/>
      </c>
      <c r="W1293" s="33">
        <f>IF($A1293="","",DATE(YEAR($A1293),MONTH($A1293),1))</f>
        <v/>
      </c>
      <c r="X1293" s="34">
        <f>IF(OR($A1293="",$H1293&lt;&gt;"Ausgabe",J1293=""),0,IF(J1293="x",-$E1293/(COUNTIF($J1293:$Q1293,"x")+1),-$E1293*N(J1293)))</f>
        <v/>
      </c>
      <c r="Y1293" s="34">
        <f>IF(OR($A1293="",$H1293&lt;&gt;"Ausgabe",K1293=""),0,IF(K1293="x",-$E1293/(COUNTIF($J1293:$Q1293,"x")+1),-$E1293*N(K1293)))</f>
        <v/>
      </c>
      <c r="Z1293" s="34">
        <f>IF(OR($A1293="",$H1293&lt;&gt;"Ausgabe",L1293=""),0,IF(L1293="x",-$E1293/(COUNTIF($J1293:$Q1293,"x")+1),-$E1293*N(L1293)))</f>
        <v/>
      </c>
      <c r="AA1293" s="34">
        <f>IF(OR($A1293="",$H1293&lt;&gt;"Ausgabe",M1293=""),0,IF(M1293="x",-$E1293/(COUNTIF($J1293:$Q1293,"x")+1),-$E1293*N(M1293)))</f>
        <v/>
      </c>
      <c r="AB1293" s="34">
        <f>IF(OR($A1293="",$H1293&lt;&gt;"Ausgabe",N1293=""),0,IF(N1293="x",-$E1293/(COUNTIF($J1293:$Q1293,"x")+1),-$E1293*N(N1293)))</f>
        <v/>
      </c>
      <c r="AC1293" s="34">
        <f>IF(OR($A1293="",$H1293&lt;&gt;"Ausgabe",O1293=""),0,IF(O1293="x",-$E1293/(COUNTIF($J1293:$Q1293,"x")+1),-$E1293*N(O1293)))</f>
        <v/>
      </c>
      <c r="AD1293" s="34">
        <f>IF(OR($A1293="",$H1293&lt;&gt;"Ausgabe",P1293=""),0,IF(P1293="x",-$E1293/(COUNTIF($J1293:$Q1293,"x")+1),-$E1293*N(P1293)))</f>
        <v/>
      </c>
      <c r="AE1293" s="34">
        <f>IF(OR($A1293="",$H1293&lt;&gt;"Ausgabe",Q1293=""),0,IF(Q1293="x",-$E1293/(COUNTIF($J1293:$Q1293,"x")+1),-$E1293*N(Q1293)))</f>
        <v/>
      </c>
    </row>
    <row r="1294">
      <c r="A1294" s="30" t="n"/>
      <c r="E1294" s="31" t="n"/>
      <c r="J1294" s="32" t="n"/>
      <c r="K1294" s="32" t="n"/>
      <c r="L1294" s="32" t="n"/>
      <c r="M1294" s="32" t="n"/>
      <c r="N1294" s="32" t="n"/>
      <c r="O1294" s="32" t="n"/>
      <c r="P1294" s="32" t="n"/>
      <c r="Q1294" s="32" t="n"/>
      <c r="U1294" s="31">
        <f>IF($A1294="","",SUM(X1294:AE1294))</f>
        <v/>
      </c>
      <c r="V1294" s="31">
        <f>IF($A1294="","",IF($H1294&lt;&gt;"Ausgabe",0,-$E1294-$U1294))</f>
        <v/>
      </c>
      <c r="W1294" s="33">
        <f>IF($A1294="","",DATE(YEAR($A1294),MONTH($A1294),1))</f>
        <v/>
      </c>
      <c r="X1294" s="34">
        <f>IF(OR($A1294="",$H1294&lt;&gt;"Ausgabe",J1294=""),0,IF(J1294="x",-$E1294/(COUNTIF($J1294:$Q1294,"x")+1),-$E1294*N(J1294)))</f>
        <v/>
      </c>
      <c r="Y1294" s="34">
        <f>IF(OR($A1294="",$H1294&lt;&gt;"Ausgabe",K1294=""),0,IF(K1294="x",-$E1294/(COUNTIF($J1294:$Q1294,"x")+1),-$E1294*N(K1294)))</f>
        <v/>
      </c>
      <c r="Z1294" s="34">
        <f>IF(OR($A1294="",$H1294&lt;&gt;"Ausgabe",L1294=""),0,IF(L1294="x",-$E1294/(COUNTIF($J1294:$Q1294,"x")+1),-$E1294*N(L1294)))</f>
        <v/>
      </c>
      <c r="AA1294" s="34">
        <f>IF(OR($A1294="",$H1294&lt;&gt;"Ausgabe",M1294=""),0,IF(M1294="x",-$E1294/(COUNTIF($J1294:$Q1294,"x")+1),-$E1294*N(M1294)))</f>
        <v/>
      </c>
      <c r="AB1294" s="34">
        <f>IF(OR($A1294="",$H1294&lt;&gt;"Ausgabe",N1294=""),0,IF(N1294="x",-$E1294/(COUNTIF($J1294:$Q1294,"x")+1),-$E1294*N(N1294)))</f>
        <v/>
      </c>
      <c r="AC1294" s="34">
        <f>IF(OR($A1294="",$H1294&lt;&gt;"Ausgabe",O1294=""),0,IF(O1294="x",-$E1294/(COUNTIF($J1294:$Q1294,"x")+1),-$E1294*N(O1294)))</f>
        <v/>
      </c>
      <c r="AD1294" s="34">
        <f>IF(OR($A1294="",$H1294&lt;&gt;"Ausgabe",P1294=""),0,IF(P1294="x",-$E1294/(COUNTIF($J1294:$Q1294,"x")+1),-$E1294*N(P1294)))</f>
        <v/>
      </c>
      <c r="AE1294" s="34">
        <f>IF(OR($A1294="",$H1294&lt;&gt;"Ausgabe",Q1294=""),0,IF(Q1294="x",-$E1294/(COUNTIF($J1294:$Q1294,"x")+1),-$E1294*N(Q1294)))</f>
        <v/>
      </c>
    </row>
    <row r="1295">
      <c r="A1295" s="30" t="n"/>
      <c r="E1295" s="31" t="n"/>
      <c r="J1295" s="32" t="n"/>
      <c r="K1295" s="32" t="n"/>
      <c r="L1295" s="32" t="n"/>
      <c r="M1295" s="32" t="n"/>
      <c r="N1295" s="32" t="n"/>
      <c r="O1295" s="32" t="n"/>
      <c r="P1295" s="32" t="n"/>
      <c r="Q1295" s="32" t="n"/>
      <c r="U1295" s="31">
        <f>IF($A1295="","",SUM(X1295:AE1295))</f>
        <v/>
      </c>
      <c r="V1295" s="31">
        <f>IF($A1295="","",IF($H1295&lt;&gt;"Ausgabe",0,-$E1295-$U1295))</f>
        <v/>
      </c>
      <c r="W1295" s="33">
        <f>IF($A1295="","",DATE(YEAR($A1295),MONTH($A1295),1))</f>
        <v/>
      </c>
      <c r="X1295" s="34">
        <f>IF(OR($A1295="",$H1295&lt;&gt;"Ausgabe",J1295=""),0,IF(J1295="x",-$E1295/(COUNTIF($J1295:$Q1295,"x")+1),-$E1295*N(J1295)))</f>
        <v/>
      </c>
      <c r="Y1295" s="34">
        <f>IF(OR($A1295="",$H1295&lt;&gt;"Ausgabe",K1295=""),0,IF(K1295="x",-$E1295/(COUNTIF($J1295:$Q1295,"x")+1),-$E1295*N(K1295)))</f>
        <v/>
      </c>
      <c r="Z1295" s="34">
        <f>IF(OR($A1295="",$H1295&lt;&gt;"Ausgabe",L1295=""),0,IF(L1295="x",-$E1295/(COUNTIF($J1295:$Q1295,"x")+1),-$E1295*N(L1295)))</f>
        <v/>
      </c>
      <c r="AA1295" s="34">
        <f>IF(OR($A1295="",$H1295&lt;&gt;"Ausgabe",M1295=""),0,IF(M1295="x",-$E1295/(COUNTIF($J1295:$Q1295,"x")+1),-$E1295*N(M1295)))</f>
        <v/>
      </c>
      <c r="AB1295" s="34">
        <f>IF(OR($A1295="",$H1295&lt;&gt;"Ausgabe",N1295=""),0,IF(N1295="x",-$E1295/(COUNTIF($J1295:$Q1295,"x")+1),-$E1295*N(N1295)))</f>
        <v/>
      </c>
      <c r="AC1295" s="34">
        <f>IF(OR($A1295="",$H1295&lt;&gt;"Ausgabe",O1295=""),0,IF(O1295="x",-$E1295/(COUNTIF($J1295:$Q1295,"x")+1),-$E1295*N(O1295)))</f>
        <v/>
      </c>
      <c r="AD1295" s="34">
        <f>IF(OR($A1295="",$H1295&lt;&gt;"Ausgabe",P1295=""),0,IF(P1295="x",-$E1295/(COUNTIF($J1295:$Q1295,"x")+1),-$E1295*N(P1295)))</f>
        <v/>
      </c>
      <c r="AE1295" s="34">
        <f>IF(OR($A1295="",$H1295&lt;&gt;"Ausgabe",Q1295=""),0,IF(Q1295="x",-$E1295/(COUNTIF($J1295:$Q1295,"x")+1),-$E1295*N(Q1295)))</f>
        <v/>
      </c>
    </row>
    <row r="1296">
      <c r="A1296" s="30" t="n"/>
      <c r="E1296" s="31" t="n"/>
      <c r="J1296" s="32" t="n"/>
      <c r="K1296" s="32" t="n"/>
      <c r="L1296" s="32" t="n"/>
      <c r="M1296" s="32" t="n"/>
      <c r="N1296" s="32" t="n"/>
      <c r="O1296" s="32" t="n"/>
      <c r="P1296" s="32" t="n"/>
      <c r="Q1296" s="32" t="n"/>
      <c r="U1296" s="31">
        <f>IF($A1296="","",SUM(X1296:AE1296))</f>
        <v/>
      </c>
      <c r="V1296" s="31">
        <f>IF($A1296="","",IF($H1296&lt;&gt;"Ausgabe",0,-$E1296-$U1296))</f>
        <v/>
      </c>
      <c r="W1296" s="33">
        <f>IF($A1296="","",DATE(YEAR($A1296),MONTH($A1296),1))</f>
        <v/>
      </c>
      <c r="X1296" s="34">
        <f>IF(OR($A1296="",$H1296&lt;&gt;"Ausgabe",J1296=""),0,IF(J1296="x",-$E1296/(COUNTIF($J1296:$Q1296,"x")+1),-$E1296*N(J1296)))</f>
        <v/>
      </c>
      <c r="Y1296" s="34">
        <f>IF(OR($A1296="",$H1296&lt;&gt;"Ausgabe",K1296=""),0,IF(K1296="x",-$E1296/(COUNTIF($J1296:$Q1296,"x")+1),-$E1296*N(K1296)))</f>
        <v/>
      </c>
      <c r="Z1296" s="34">
        <f>IF(OR($A1296="",$H1296&lt;&gt;"Ausgabe",L1296=""),0,IF(L1296="x",-$E1296/(COUNTIF($J1296:$Q1296,"x")+1),-$E1296*N(L1296)))</f>
        <v/>
      </c>
      <c r="AA1296" s="34">
        <f>IF(OR($A1296="",$H1296&lt;&gt;"Ausgabe",M1296=""),0,IF(M1296="x",-$E1296/(COUNTIF($J1296:$Q1296,"x")+1),-$E1296*N(M1296)))</f>
        <v/>
      </c>
      <c r="AB1296" s="34">
        <f>IF(OR($A1296="",$H1296&lt;&gt;"Ausgabe",N1296=""),0,IF(N1296="x",-$E1296/(COUNTIF($J1296:$Q1296,"x")+1),-$E1296*N(N1296)))</f>
        <v/>
      </c>
      <c r="AC1296" s="34">
        <f>IF(OR($A1296="",$H1296&lt;&gt;"Ausgabe",O1296=""),0,IF(O1296="x",-$E1296/(COUNTIF($J1296:$Q1296,"x")+1),-$E1296*N(O1296)))</f>
        <v/>
      </c>
      <c r="AD1296" s="34">
        <f>IF(OR($A1296="",$H1296&lt;&gt;"Ausgabe",P1296=""),0,IF(P1296="x",-$E1296/(COUNTIF($J1296:$Q1296,"x")+1),-$E1296*N(P1296)))</f>
        <v/>
      </c>
      <c r="AE1296" s="34">
        <f>IF(OR($A1296="",$H1296&lt;&gt;"Ausgabe",Q1296=""),0,IF(Q1296="x",-$E1296/(COUNTIF($J1296:$Q1296,"x")+1),-$E1296*N(Q1296)))</f>
        <v/>
      </c>
    </row>
    <row r="1297">
      <c r="A1297" s="30" t="n"/>
      <c r="E1297" s="31" t="n"/>
      <c r="J1297" s="32" t="n"/>
      <c r="K1297" s="32" t="n"/>
      <c r="L1297" s="32" t="n"/>
      <c r="M1297" s="32" t="n"/>
      <c r="N1297" s="32" t="n"/>
      <c r="O1297" s="32" t="n"/>
      <c r="P1297" s="32" t="n"/>
      <c r="Q1297" s="32" t="n"/>
      <c r="U1297" s="31">
        <f>IF($A1297="","",SUM(X1297:AE1297))</f>
        <v/>
      </c>
      <c r="V1297" s="31">
        <f>IF($A1297="","",IF($H1297&lt;&gt;"Ausgabe",0,-$E1297-$U1297))</f>
        <v/>
      </c>
      <c r="W1297" s="33">
        <f>IF($A1297="","",DATE(YEAR($A1297),MONTH($A1297),1))</f>
        <v/>
      </c>
      <c r="X1297" s="34">
        <f>IF(OR($A1297="",$H1297&lt;&gt;"Ausgabe",J1297=""),0,IF(J1297="x",-$E1297/(COUNTIF($J1297:$Q1297,"x")+1),-$E1297*N(J1297)))</f>
        <v/>
      </c>
      <c r="Y1297" s="34">
        <f>IF(OR($A1297="",$H1297&lt;&gt;"Ausgabe",K1297=""),0,IF(K1297="x",-$E1297/(COUNTIF($J1297:$Q1297,"x")+1),-$E1297*N(K1297)))</f>
        <v/>
      </c>
      <c r="Z1297" s="34">
        <f>IF(OR($A1297="",$H1297&lt;&gt;"Ausgabe",L1297=""),0,IF(L1297="x",-$E1297/(COUNTIF($J1297:$Q1297,"x")+1),-$E1297*N(L1297)))</f>
        <v/>
      </c>
      <c r="AA1297" s="34">
        <f>IF(OR($A1297="",$H1297&lt;&gt;"Ausgabe",M1297=""),0,IF(M1297="x",-$E1297/(COUNTIF($J1297:$Q1297,"x")+1),-$E1297*N(M1297)))</f>
        <v/>
      </c>
      <c r="AB1297" s="34">
        <f>IF(OR($A1297="",$H1297&lt;&gt;"Ausgabe",N1297=""),0,IF(N1297="x",-$E1297/(COUNTIF($J1297:$Q1297,"x")+1),-$E1297*N(N1297)))</f>
        <v/>
      </c>
      <c r="AC1297" s="34">
        <f>IF(OR($A1297="",$H1297&lt;&gt;"Ausgabe",O1297=""),0,IF(O1297="x",-$E1297/(COUNTIF($J1297:$Q1297,"x")+1),-$E1297*N(O1297)))</f>
        <v/>
      </c>
      <c r="AD1297" s="34">
        <f>IF(OR($A1297="",$H1297&lt;&gt;"Ausgabe",P1297=""),0,IF(P1297="x",-$E1297/(COUNTIF($J1297:$Q1297,"x")+1),-$E1297*N(P1297)))</f>
        <v/>
      </c>
      <c r="AE1297" s="34">
        <f>IF(OR($A1297="",$H1297&lt;&gt;"Ausgabe",Q1297=""),0,IF(Q1297="x",-$E1297/(COUNTIF($J1297:$Q1297,"x")+1),-$E1297*N(Q1297)))</f>
        <v/>
      </c>
    </row>
    <row r="1298">
      <c r="A1298" s="30" t="n"/>
      <c r="E1298" s="31" t="n"/>
      <c r="J1298" s="32" t="n"/>
      <c r="K1298" s="32" t="n"/>
      <c r="L1298" s="32" t="n"/>
      <c r="M1298" s="32" t="n"/>
      <c r="N1298" s="32" t="n"/>
      <c r="O1298" s="32" t="n"/>
      <c r="P1298" s="32" t="n"/>
      <c r="Q1298" s="32" t="n"/>
      <c r="U1298" s="31">
        <f>IF($A1298="","",SUM(X1298:AE1298))</f>
        <v/>
      </c>
      <c r="V1298" s="31">
        <f>IF($A1298="","",IF($H1298&lt;&gt;"Ausgabe",0,-$E1298-$U1298))</f>
        <v/>
      </c>
      <c r="W1298" s="33">
        <f>IF($A1298="","",DATE(YEAR($A1298),MONTH($A1298),1))</f>
        <v/>
      </c>
      <c r="X1298" s="34">
        <f>IF(OR($A1298="",$H1298&lt;&gt;"Ausgabe",J1298=""),0,IF(J1298="x",-$E1298/(COUNTIF($J1298:$Q1298,"x")+1),-$E1298*N(J1298)))</f>
        <v/>
      </c>
      <c r="Y1298" s="34">
        <f>IF(OR($A1298="",$H1298&lt;&gt;"Ausgabe",K1298=""),0,IF(K1298="x",-$E1298/(COUNTIF($J1298:$Q1298,"x")+1),-$E1298*N(K1298)))</f>
        <v/>
      </c>
      <c r="Z1298" s="34">
        <f>IF(OR($A1298="",$H1298&lt;&gt;"Ausgabe",L1298=""),0,IF(L1298="x",-$E1298/(COUNTIF($J1298:$Q1298,"x")+1),-$E1298*N(L1298)))</f>
        <v/>
      </c>
      <c r="AA1298" s="34">
        <f>IF(OR($A1298="",$H1298&lt;&gt;"Ausgabe",M1298=""),0,IF(M1298="x",-$E1298/(COUNTIF($J1298:$Q1298,"x")+1),-$E1298*N(M1298)))</f>
        <v/>
      </c>
      <c r="AB1298" s="34">
        <f>IF(OR($A1298="",$H1298&lt;&gt;"Ausgabe",N1298=""),0,IF(N1298="x",-$E1298/(COUNTIF($J1298:$Q1298,"x")+1),-$E1298*N(N1298)))</f>
        <v/>
      </c>
      <c r="AC1298" s="34">
        <f>IF(OR($A1298="",$H1298&lt;&gt;"Ausgabe",O1298=""),0,IF(O1298="x",-$E1298/(COUNTIF($J1298:$Q1298,"x")+1),-$E1298*N(O1298)))</f>
        <v/>
      </c>
      <c r="AD1298" s="34">
        <f>IF(OR($A1298="",$H1298&lt;&gt;"Ausgabe",P1298=""),0,IF(P1298="x",-$E1298/(COUNTIF($J1298:$Q1298,"x")+1),-$E1298*N(P1298)))</f>
        <v/>
      </c>
      <c r="AE1298" s="34">
        <f>IF(OR($A1298="",$H1298&lt;&gt;"Ausgabe",Q1298=""),0,IF(Q1298="x",-$E1298/(COUNTIF($J1298:$Q1298,"x")+1),-$E1298*N(Q1298)))</f>
        <v/>
      </c>
    </row>
    <row r="1299">
      <c r="A1299" s="30" t="n"/>
      <c r="E1299" s="31" t="n"/>
      <c r="J1299" s="32" t="n"/>
      <c r="K1299" s="32" t="n"/>
      <c r="L1299" s="32" t="n"/>
      <c r="M1299" s="32" t="n"/>
      <c r="N1299" s="32" t="n"/>
      <c r="O1299" s="32" t="n"/>
      <c r="P1299" s="32" t="n"/>
      <c r="Q1299" s="32" t="n"/>
      <c r="U1299" s="31">
        <f>IF($A1299="","",SUM(X1299:AE1299))</f>
        <v/>
      </c>
      <c r="V1299" s="31">
        <f>IF($A1299="","",IF($H1299&lt;&gt;"Ausgabe",0,-$E1299-$U1299))</f>
        <v/>
      </c>
      <c r="W1299" s="33">
        <f>IF($A1299="","",DATE(YEAR($A1299),MONTH($A1299),1))</f>
        <v/>
      </c>
      <c r="X1299" s="34">
        <f>IF(OR($A1299="",$H1299&lt;&gt;"Ausgabe",J1299=""),0,IF(J1299="x",-$E1299/(COUNTIF($J1299:$Q1299,"x")+1),-$E1299*N(J1299)))</f>
        <v/>
      </c>
      <c r="Y1299" s="34">
        <f>IF(OR($A1299="",$H1299&lt;&gt;"Ausgabe",K1299=""),0,IF(K1299="x",-$E1299/(COUNTIF($J1299:$Q1299,"x")+1),-$E1299*N(K1299)))</f>
        <v/>
      </c>
      <c r="Z1299" s="34">
        <f>IF(OR($A1299="",$H1299&lt;&gt;"Ausgabe",L1299=""),0,IF(L1299="x",-$E1299/(COUNTIF($J1299:$Q1299,"x")+1),-$E1299*N(L1299)))</f>
        <v/>
      </c>
      <c r="AA1299" s="34">
        <f>IF(OR($A1299="",$H1299&lt;&gt;"Ausgabe",M1299=""),0,IF(M1299="x",-$E1299/(COUNTIF($J1299:$Q1299,"x")+1),-$E1299*N(M1299)))</f>
        <v/>
      </c>
      <c r="AB1299" s="34">
        <f>IF(OR($A1299="",$H1299&lt;&gt;"Ausgabe",N1299=""),0,IF(N1299="x",-$E1299/(COUNTIF($J1299:$Q1299,"x")+1),-$E1299*N(N1299)))</f>
        <v/>
      </c>
      <c r="AC1299" s="34">
        <f>IF(OR($A1299="",$H1299&lt;&gt;"Ausgabe",O1299=""),0,IF(O1299="x",-$E1299/(COUNTIF($J1299:$Q1299,"x")+1),-$E1299*N(O1299)))</f>
        <v/>
      </c>
      <c r="AD1299" s="34">
        <f>IF(OR($A1299="",$H1299&lt;&gt;"Ausgabe",P1299=""),0,IF(P1299="x",-$E1299/(COUNTIF($J1299:$Q1299,"x")+1),-$E1299*N(P1299)))</f>
        <v/>
      </c>
      <c r="AE1299" s="34">
        <f>IF(OR($A1299="",$H1299&lt;&gt;"Ausgabe",Q1299=""),0,IF(Q1299="x",-$E1299/(COUNTIF($J1299:$Q1299,"x")+1),-$E1299*N(Q1299)))</f>
        <v/>
      </c>
    </row>
    <row r="1300">
      <c r="A1300" s="30" t="n"/>
      <c r="E1300" s="31" t="n"/>
      <c r="J1300" s="32" t="n"/>
      <c r="K1300" s="32" t="n"/>
      <c r="L1300" s="32" t="n"/>
      <c r="M1300" s="32" t="n"/>
      <c r="N1300" s="32" t="n"/>
      <c r="O1300" s="32" t="n"/>
      <c r="P1300" s="32" t="n"/>
      <c r="Q1300" s="32" t="n"/>
      <c r="U1300" s="31">
        <f>IF($A1300="","",SUM(X1300:AE1300))</f>
        <v/>
      </c>
      <c r="V1300" s="31">
        <f>IF($A1300="","",IF($H1300&lt;&gt;"Ausgabe",0,-$E1300-$U1300))</f>
        <v/>
      </c>
      <c r="W1300" s="33">
        <f>IF($A1300="","",DATE(YEAR($A1300),MONTH($A1300),1))</f>
        <v/>
      </c>
      <c r="X1300" s="34">
        <f>IF(OR($A1300="",$H1300&lt;&gt;"Ausgabe",J1300=""),0,IF(J1300="x",-$E1300/(COUNTIF($J1300:$Q1300,"x")+1),-$E1300*N(J1300)))</f>
        <v/>
      </c>
      <c r="Y1300" s="34">
        <f>IF(OR($A1300="",$H1300&lt;&gt;"Ausgabe",K1300=""),0,IF(K1300="x",-$E1300/(COUNTIF($J1300:$Q1300,"x")+1),-$E1300*N(K1300)))</f>
        <v/>
      </c>
      <c r="Z1300" s="34">
        <f>IF(OR($A1300="",$H1300&lt;&gt;"Ausgabe",L1300=""),0,IF(L1300="x",-$E1300/(COUNTIF($J1300:$Q1300,"x")+1),-$E1300*N(L1300)))</f>
        <v/>
      </c>
      <c r="AA1300" s="34">
        <f>IF(OR($A1300="",$H1300&lt;&gt;"Ausgabe",M1300=""),0,IF(M1300="x",-$E1300/(COUNTIF($J1300:$Q1300,"x")+1),-$E1300*N(M1300)))</f>
        <v/>
      </c>
      <c r="AB1300" s="34">
        <f>IF(OR($A1300="",$H1300&lt;&gt;"Ausgabe",N1300=""),0,IF(N1300="x",-$E1300/(COUNTIF($J1300:$Q1300,"x")+1),-$E1300*N(N1300)))</f>
        <v/>
      </c>
      <c r="AC1300" s="34">
        <f>IF(OR($A1300="",$H1300&lt;&gt;"Ausgabe",O1300=""),0,IF(O1300="x",-$E1300/(COUNTIF($J1300:$Q1300,"x")+1),-$E1300*N(O1300)))</f>
        <v/>
      </c>
      <c r="AD1300" s="34">
        <f>IF(OR($A1300="",$H1300&lt;&gt;"Ausgabe",P1300=""),0,IF(P1300="x",-$E1300/(COUNTIF($J1300:$Q1300,"x")+1),-$E1300*N(P1300)))</f>
        <v/>
      </c>
      <c r="AE1300" s="34">
        <f>IF(OR($A1300="",$H1300&lt;&gt;"Ausgabe",Q1300=""),0,IF(Q1300="x",-$E1300/(COUNTIF($J1300:$Q1300,"x")+1),-$E1300*N(Q1300)))</f>
        <v/>
      </c>
    </row>
    <row r="1301">
      <c r="A1301" s="30" t="n"/>
      <c r="E1301" s="31" t="n"/>
      <c r="J1301" s="32" t="n"/>
      <c r="K1301" s="32" t="n"/>
      <c r="L1301" s="32" t="n"/>
      <c r="M1301" s="32" t="n"/>
      <c r="N1301" s="32" t="n"/>
      <c r="O1301" s="32" t="n"/>
      <c r="P1301" s="32" t="n"/>
      <c r="Q1301" s="32" t="n"/>
      <c r="U1301" s="31">
        <f>IF($A1301="","",SUM(X1301:AE1301))</f>
        <v/>
      </c>
      <c r="V1301" s="31">
        <f>IF($A1301="","",IF($H1301&lt;&gt;"Ausgabe",0,-$E1301-$U1301))</f>
        <v/>
      </c>
      <c r="W1301" s="33">
        <f>IF($A1301="","",DATE(YEAR($A1301),MONTH($A1301),1))</f>
        <v/>
      </c>
      <c r="X1301" s="34">
        <f>IF(OR($A1301="",$H1301&lt;&gt;"Ausgabe",J1301=""),0,IF(J1301="x",-$E1301/(COUNTIF($J1301:$Q1301,"x")+1),-$E1301*N(J1301)))</f>
        <v/>
      </c>
      <c r="Y1301" s="34">
        <f>IF(OR($A1301="",$H1301&lt;&gt;"Ausgabe",K1301=""),0,IF(K1301="x",-$E1301/(COUNTIF($J1301:$Q1301,"x")+1),-$E1301*N(K1301)))</f>
        <v/>
      </c>
      <c r="Z1301" s="34">
        <f>IF(OR($A1301="",$H1301&lt;&gt;"Ausgabe",L1301=""),0,IF(L1301="x",-$E1301/(COUNTIF($J1301:$Q1301,"x")+1),-$E1301*N(L1301)))</f>
        <v/>
      </c>
      <c r="AA1301" s="34">
        <f>IF(OR($A1301="",$H1301&lt;&gt;"Ausgabe",M1301=""),0,IF(M1301="x",-$E1301/(COUNTIF($J1301:$Q1301,"x")+1),-$E1301*N(M1301)))</f>
        <v/>
      </c>
      <c r="AB1301" s="34">
        <f>IF(OR($A1301="",$H1301&lt;&gt;"Ausgabe",N1301=""),0,IF(N1301="x",-$E1301/(COUNTIF($J1301:$Q1301,"x")+1),-$E1301*N(N1301)))</f>
        <v/>
      </c>
      <c r="AC1301" s="34">
        <f>IF(OR($A1301="",$H1301&lt;&gt;"Ausgabe",O1301=""),0,IF(O1301="x",-$E1301/(COUNTIF($J1301:$Q1301,"x")+1),-$E1301*N(O1301)))</f>
        <v/>
      </c>
      <c r="AD1301" s="34">
        <f>IF(OR($A1301="",$H1301&lt;&gt;"Ausgabe",P1301=""),0,IF(P1301="x",-$E1301/(COUNTIF($J1301:$Q1301,"x")+1),-$E1301*N(P1301)))</f>
        <v/>
      </c>
      <c r="AE1301" s="34">
        <f>IF(OR($A1301="",$H1301&lt;&gt;"Ausgabe",Q1301=""),0,IF(Q1301="x",-$E1301/(COUNTIF($J1301:$Q1301,"x")+1),-$E1301*N(Q1301)))</f>
        <v/>
      </c>
    </row>
    <row r="1302">
      <c r="A1302" s="30" t="n"/>
      <c r="E1302" s="31" t="n"/>
      <c r="J1302" s="32" t="n"/>
      <c r="K1302" s="32" t="n"/>
      <c r="L1302" s="32" t="n"/>
      <c r="M1302" s="32" t="n"/>
      <c r="N1302" s="32" t="n"/>
      <c r="O1302" s="32" t="n"/>
      <c r="P1302" s="32" t="n"/>
      <c r="Q1302" s="32" t="n"/>
      <c r="U1302" s="31">
        <f>IF($A1302="","",SUM(X1302:AE1302))</f>
        <v/>
      </c>
      <c r="V1302" s="31">
        <f>IF($A1302="","",IF($H1302&lt;&gt;"Ausgabe",0,-$E1302-$U1302))</f>
        <v/>
      </c>
      <c r="W1302" s="33">
        <f>IF($A1302="","",DATE(YEAR($A1302),MONTH($A1302),1))</f>
        <v/>
      </c>
      <c r="X1302" s="34">
        <f>IF(OR($A1302="",$H1302&lt;&gt;"Ausgabe",J1302=""),0,IF(J1302="x",-$E1302/(COUNTIF($J1302:$Q1302,"x")+1),-$E1302*N(J1302)))</f>
        <v/>
      </c>
      <c r="Y1302" s="34">
        <f>IF(OR($A1302="",$H1302&lt;&gt;"Ausgabe",K1302=""),0,IF(K1302="x",-$E1302/(COUNTIF($J1302:$Q1302,"x")+1),-$E1302*N(K1302)))</f>
        <v/>
      </c>
      <c r="Z1302" s="34">
        <f>IF(OR($A1302="",$H1302&lt;&gt;"Ausgabe",L1302=""),0,IF(L1302="x",-$E1302/(COUNTIF($J1302:$Q1302,"x")+1),-$E1302*N(L1302)))</f>
        <v/>
      </c>
      <c r="AA1302" s="34">
        <f>IF(OR($A1302="",$H1302&lt;&gt;"Ausgabe",M1302=""),0,IF(M1302="x",-$E1302/(COUNTIF($J1302:$Q1302,"x")+1),-$E1302*N(M1302)))</f>
        <v/>
      </c>
      <c r="AB1302" s="34">
        <f>IF(OR($A1302="",$H1302&lt;&gt;"Ausgabe",N1302=""),0,IF(N1302="x",-$E1302/(COUNTIF($J1302:$Q1302,"x")+1),-$E1302*N(N1302)))</f>
        <v/>
      </c>
      <c r="AC1302" s="34">
        <f>IF(OR($A1302="",$H1302&lt;&gt;"Ausgabe",O1302=""),0,IF(O1302="x",-$E1302/(COUNTIF($J1302:$Q1302,"x")+1),-$E1302*N(O1302)))</f>
        <v/>
      </c>
      <c r="AD1302" s="34">
        <f>IF(OR($A1302="",$H1302&lt;&gt;"Ausgabe",P1302=""),0,IF(P1302="x",-$E1302/(COUNTIF($J1302:$Q1302,"x")+1),-$E1302*N(P1302)))</f>
        <v/>
      </c>
      <c r="AE1302" s="34">
        <f>IF(OR($A1302="",$H1302&lt;&gt;"Ausgabe",Q1302=""),0,IF(Q1302="x",-$E1302/(COUNTIF($J1302:$Q1302,"x")+1),-$E1302*N(Q1302)))</f>
        <v/>
      </c>
    </row>
    <row r="1303">
      <c r="A1303" s="30" t="n"/>
      <c r="E1303" s="31" t="n"/>
      <c r="J1303" s="32" t="n"/>
      <c r="K1303" s="32" t="n"/>
      <c r="L1303" s="32" t="n"/>
      <c r="M1303" s="32" t="n"/>
      <c r="N1303" s="32" t="n"/>
      <c r="O1303" s="32" t="n"/>
      <c r="P1303" s="32" t="n"/>
      <c r="Q1303" s="32" t="n"/>
      <c r="U1303" s="31">
        <f>IF($A1303="","",SUM(X1303:AE1303))</f>
        <v/>
      </c>
      <c r="V1303" s="31">
        <f>IF($A1303="","",IF($H1303&lt;&gt;"Ausgabe",0,-$E1303-$U1303))</f>
        <v/>
      </c>
      <c r="W1303" s="33">
        <f>IF($A1303="","",DATE(YEAR($A1303),MONTH($A1303),1))</f>
        <v/>
      </c>
      <c r="X1303" s="34">
        <f>IF(OR($A1303="",$H1303&lt;&gt;"Ausgabe",J1303=""),0,IF(J1303="x",-$E1303/(COUNTIF($J1303:$Q1303,"x")+1),-$E1303*N(J1303)))</f>
        <v/>
      </c>
      <c r="Y1303" s="34">
        <f>IF(OR($A1303="",$H1303&lt;&gt;"Ausgabe",K1303=""),0,IF(K1303="x",-$E1303/(COUNTIF($J1303:$Q1303,"x")+1),-$E1303*N(K1303)))</f>
        <v/>
      </c>
      <c r="Z1303" s="34">
        <f>IF(OR($A1303="",$H1303&lt;&gt;"Ausgabe",L1303=""),0,IF(L1303="x",-$E1303/(COUNTIF($J1303:$Q1303,"x")+1),-$E1303*N(L1303)))</f>
        <v/>
      </c>
      <c r="AA1303" s="34">
        <f>IF(OR($A1303="",$H1303&lt;&gt;"Ausgabe",M1303=""),0,IF(M1303="x",-$E1303/(COUNTIF($J1303:$Q1303,"x")+1),-$E1303*N(M1303)))</f>
        <v/>
      </c>
      <c r="AB1303" s="34">
        <f>IF(OR($A1303="",$H1303&lt;&gt;"Ausgabe",N1303=""),0,IF(N1303="x",-$E1303/(COUNTIF($J1303:$Q1303,"x")+1),-$E1303*N(N1303)))</f>
        <v/>
      </c>
      <c r="AC1303" s="34">
        <f>IF(OR($A1303="",$H1303&lt;&gt;"Ausgabe",O1303=""),0,IF(O1303="x",-$E1303/(COUNTIF($J1303:$Q1303,"x")+1),-$E1303*N(O1303)))</f>
        <v/>
      </c>
      <c r="AD1303" s="34">
        <f>IF(OR($A1303="",$H1303&lt;&gt;"Ausgabe",P1303=""),0,IF(P1303="x",-$E1303/(COUNTIF($J1303:$Q1303,"x")+1),-$E1303*N(P1303)))</f>
        <v/>
      </c>
      <c r="AE1303" s="34">
        <f>IF(OR($A1303="",$H1303&lt;&gt;"Ausgabe",Q1303=""),0,IF(Q1303="x",-$E1303/(COUNTIF($J1303:$Q1303,"x")+1),-$E1303*N(Q1303)))</f>
        <v/>
      </c>
    </row>
    <row r="1304">
      <c r="A1304" s="30" t="n"/>
      <c r="E1304" s="31" t="n"/>
      <c r="J1304" s="32" t="n"/>
      <c r="K1304" s="32" t="n"/>
      <c r="L1304" s="32" t="n"/>
      <c r="M1304" s="32" t="n"/>
      <c r="N1304" s="32" t="n"/>
      <c r="O1304" s="32" t="n"/>
      <c r="P1304" s="32" t="n"/>
      <c r="Q1304" s="32" t="n"/>
      <c r="U1304" s="31">
        <f>IF($A1304="","",SUM(X1304:AE1304))</f>
        <v/>
      </c>
      <c r="V1304" s="31">
        <f>IF($A1304="","",IF($H1304&lt;&gt;"Ausgabe",0,-$E1304-$U1304))</f>
        <v/>
      </c>
      <c r="W1304" s="33">
        <f>IF($A1304="","",DATE(YEAR($A1304),MONTH($A1304),1))</f>
        <v/>
      </c>
      <c r="X1304" s="34">
        <f>IF(OR($A1304="",$H1304&lt;&gt;"Ausgabe",J1304=""),0,IF(J1304="x",-$E1304/(COUNTIF($J1304:$Q1304,"x")+1),-$E1304*N(J1304)))</f>
        <v/>
      </c>
      <c r="Y1304" s="34">
        <f>IF(OR($A1304="",$H1304&lt;&gt;"Ausgabe",K1304=""),0,IF(K1304="x",-$E1304/(COUNTIF($J1304:$Q1304,"x")+1),-$E1304*N(K1304)))</f>
        <v/>
      </c>
      <c r="Z1304" s="34">
        <f>IF(OR($A1304="",$H1304&lt;&gt;"Ausgabe",L1304=""),0,IF(L1304="x",-$E1304/(COUNTIF($J1304:$Q1304,"x")+1),-$E1304*N(L1304)))</f>
        <v/>
      </c>
      <c r="AA1304" s="34">
        <f>IF(OR($A1304="",$H1304&lt;&gt;"Ausgabe",M1304=""),0,IF(M1304="x",-$E1304/(COUNTIF($J1304:$Q1304,"x")+1),-$E1304*N(M1304)))</f>
        <v/>
      </c>
      <c r="AB1304" s="34">
        <f>IF(OR($A1304="",$H1304&lt;&gt;"Ausgabe",N1304=""),0,IF(N1304="x",-$E1304/(COUNTIF($J1304:$Q1304,"x")+1),-$E1304*N(N1304)))</f>
        <v/>
      </c>
      <c r="AC1304" s="34">
        <f>IF(OR($A1304="",$H1304&lt;&gt;"Ausgabe",O1304=""),0,IF(O1304="x",-$E1304/(COUNTIF($J1304:$Q1304,"x")+1),-$E1304*N(O1304)))</f>
        <v/>
      </c>
      <c r="AD1304" s="34">
        <f>IF(OR($A1304="",$H1304&lt;&gt;"Ausgabe",P1304=""),0,IF(P1304="x",-$E1304/(COUNTIF($J1304:$Q1304,"x")+1),-$E1304*N(P1304)))</f>
        <v/>
      </c>
      <c r="AE1304" s="34">
        <f>IF(OR($A1304="",$H1304&lt;&gt;"Ausgabe",Q1304=""),0,IF(Q1304="x",-$E1304/(COUNTIF($J1304:$Q1304,"x")+1),-$E1304*N(Q1304)))</f>
        <v/>
      </c>
    </row>
    <row r="1305">
      <c r="A1305" s="30" t="n"/>
      <c r="E1305" s="31" t="n"/>
      <c r="J1305" s="32" t="n"/>
      <c r="K1305" s="32" t="n"/>
      <c r="L1305" s="32" t="n"/>
      <c r="M1305" s="32" t="n"/>
      <c r="N1305" s="32" t="n"/>
      <c r="O1305" s="32" t="n"/>
      <c r="P1305" s="32" t="n"/>
      <c r="Q1305" s="32" t="n"/>
      <c r="U1305" s="31">
        <f>IF($A1305="","",SUM(X1305:AE1305))</f>
        <v/>
      </c>
      <c r="V1305" s="31">
        <f>IF($A1305="","",IF($H1305&lt;&gt;"Ausgabe",0,-$E1305-$U1305))</f>
        <v/>
      </c>
      <c r="W1305" s="33">
        <f>IF($A1305="","",DATE(YEAR($A1305),MONTH($A1305),1))</f>
        <v/>
      </c>
      <c r="X1305" s="34">
        <f>IF(OR($A1305="",$H1305&lt;&gt;"Ausgabe",J1305=""),0,IF(J1305="x",-$E1305/(COUNTIF($J1305:$Q1305,"x")+1),-$E1305*N(J1305)))</f>
        <v/>
      </c>
      <c r="Y1305" s="34">
        <f>IF(OR($A1305="",$H1305&lt;&gt;"Ausgabe",K1305=""),0,IF(K1305="x",-$E1305/(COUNTIF($J1305:$Q1305,"x")+1),-$E1305*N(K1305)))</f>
        <v/>
      </c>
      <c r="Z1305" s="34">
        <f>IF(OR($A1305="",$H1305&lt;&gt;"Ausgabe",L1305=""),0,IF(L1305="x",-$E1305/(COUNTIF($J1305:$Q1305,"x")+1),-$E1305*N(L1305)))</f>
        <v/>
      </c>
      <c r="AA1305" s="34">
        <f>IF(OR($A1305="",$H1305&lt;&gt;"Ausgabe",M1305=""),0,IF(M1305="x",-$E1305/(COUNTIF($J1305:$Q1305,"x")+1),-$E1305*N(M1305)))</f>
        <v/>
      </c>
      <c r="AB1305" s="34">
        <f>IF(OR($A1305="",$H1305&lt;&gt;"Ausgabe",N1305=""),0,IF(N1305="x",-$E1305/(COUNTIF($J1305:$Q1305,"x")+1),-$E1305*N(N1305)))</f>
        <v/>
      </c>
      <c r="AC1305" s="34">
        <f>IF(OR($A1305="",$H1305&lt;&gt;"Ausgabe",O1305=""),0,IF(O1305="x",-$E1305/(COUNTIF($J1305:$Q1305,"x")+1),-$E1305*N(O1305)))</f>
        <v/>
      </c>
      <c r="AD1305" s="34">
        <f>IF(OR($A1305="",$H1305&lt;&gt;"Ausgabe",P1305=""),0,IF(P1305="x",-$E1305/(COUNTIF($J1305:$Q1305,"x")+1),-$E1305*N(P1305)))</f>
        <v/>
      </c>
      <c r="AE1305" s="34">
        <f>IF(OR($A1305="",$H1305&lt;&gt;"Ausgabe",Q1305=""),0,IF(Q1305="x",-$E1305/(COUNTIF($J1305:$Q1305,"x")+1),-$E1305*N(Q1305)))</f>
        <v/>
      </c>
    </row>
    <row r="1306">
      <c r="A1306" s="30" t="n"/>
      <c r="E1306" s="31" t="n"/>
      <c r="J1306" s="32" t="n"/>
      <c r="K1306" s="32" t="n"/>
      <c r="L1306" s="32" t="n"/>
      <c r="M1306" s="32" t="n"/>
      <c r="N1306" s="32" t="n"/>
      <c r="O1306" s="32" t="n"/>
      <c r="P1306" s="32" t="n"/>
      <c r="Q1306" s="32" t="n"/>
      <c r="U1306" s="31">
        <f>IF($A1306="","",SUM(X1306:AE1306))</f>
        <v/>
      </c>
      <c r="V1306" s="31">
        <f>IF($A1306="","",IF($H1306&lt;&gt;"Ausgabe",0,-$E1306-$U1306))</f>
        <v/>
      </c>
      <c r="W1306" s="33">
        <f>IF($A1306="","",DATE(YEAR($A1306),MONTH($A1306),1))</f>
        <v/>
      </c>
      <c r="X1306" s="34">
        <f>IF(OR($A1306="",$H1306&lt;&gt;"Ausgabe",J1306=""),0,IF(J1306="x",-$E1306/(COUNTIF($J1306:$Q1306,"x")+1),-$E1306*N(J1306)))</f>
        <v/>
      </c>
      <c r="Y1306" s="34">
        <f>IF(OR($A1306="",$H1306&lt;&gt;"Ausgabe",K1306=""),0,IF(K1306="x",-$E1306/(COUNTIF($J1306:$Q1306,"x")+1),-$E1306*N(K1306)))</f>
        <v/>
      </c>
      <c r="Z1306" s="34">
        <f>IF(OR($A1306="",$H1306&lt;&gt;"Ausgabe",L1306=""),0,IF(L1306="x",-$E1306/(COUNTIF($J1306:$Q1306,"x")+1),-$E1306*N(L1306)))</f>
        <v/>
      </c>
      <c r="AA1306" s="34">
        <f>IF(OR($A1306="",$H1306&lt;&gt;"Ausgabe",M1306=""),0,IF(M1306="x",-$E1306/(COUNTIF($J1306:$Q1306,"x")+1),-$E1306*N(M1306)))</f>
        <v/>
      </c>
      <c r="AB1306" s="34">
        <f>IF(OR($A1306="",$H1306&lt;&gt;"Ausgabe",N1306=""),0,IF(N1306="x",-$E1306/(COUNTIF($J1306:$Q1306,"x")+1),-$E1306*N(N1306)))</f>
        <v/>
      </c>
      <c r="AC1306" s="34">
        <f>IF(OR($A1306="",$H1306&lt;&gt;"Ausgabe",O1306=""),0,IF(O1306="x",-$E1306/(COUNTIF($J1306:$Q1306,"x")+1),-$E1306*N(O1306)))</f>
        <v/>
      </c>
      <c r="AD1306" s="34">
        <f>IF(OR($A1306="",$H1306&lt;&gt;"Ausgabe",P1306=""),0,IF(P1306="x",-$E1306/(COUNTIF($J1306:$Q1306,"x")+1),-$E1306*N(P1306)))</f>
        <v/>
      </c>
      <c r="AE1306" s="34">
        <f>IF(OR($A1306="",$H1306&lt;&gt;"Ausgabe",Q1306=""),0,IF(Q1306="x",-$E1306/(COUNTIF($J1306:$Q1306,"x")+1),-$E1306*N(Q1306)))</f>
        <v/>
      </c>
    </row>
    <row r="1307">
      <c r="A1307" s="30" t="n"/>
      <c r="E1307" s="31" t="n"/>
      <c r="J1307" s="32" t="n"/>
      <c r="K1307" s="32" t="n"/>
      <c r="L1307" s="32" t="n"/>
      <c r="M1307" s="32" t="n"/>
      <c r="N1307" s="32" t="n"/>
      <c r="O1307" s="32" t="n"/>
      <c r="P1307" s="32" t="n"/>
      <c r="Q1307" s="32" t="n"/>
      <c r="U1307" s="31">
        <f>IF($A1307="","",SUM(X1307:AE1307))</f>
        <v/>
      </c>
      <c r="V1307" s="31">
        <f>IF($A1307="","",IF($H1307&lt;&gt;"Ausgabe",0,-$E1307-$U1307))</f>
        <v/>
      </c>
      <c r="W1307" s="33">
        <f>IF($A1307="","",DATE(YEAR($A1307),MONTH($A1307),1))</f>
        <v/>
      </c>
      <c r="X1307" s="34">
        <f>IF(OR($A1307="",$H1307&lt;&gt;"Ausgabe",J1307=""),0,IF(J1307="x",-$E1307/(COUNTIF($J1307:$Q1307,"x")+1),-$E1307*N(J1307)))</f>
        <v/>
      </c>
      <c r="Y1307" s="34">
        <f>IF(OR($A1307="",$H1307&lt;&gt;"Ausgabe",K1307=""),0,IF(K1307="x",-$E1307/(COUNTIF($J1307:$Q1307,"x")+1),-$E1307*N(K1307)))</f>
        <v/>
      </c>
      <c r="Z1307" s="34">
        <f>IF(OR($A1307="",$H1307&lt;&gt;"Ausgabe",L1307=""),0,IF(L1307="x",-$E1307/(COUNTIF($J1307:$Q1307,"x")+1),-$E1307*N(L1307)))</f>
        <v/>
      </c>
      <c r="AA1307" s="34">
        <f>IF(OR($A1307="",$H1307&lt;&gt;"Ausgabe",M1307=""),0,IF(M1307="x",-$E1307/(COUNTIF($J1307:$Q1307,"x")+1),-$E1307*N(M1307)))</f>
        <v/>
      </c>
      <c r="AB1307" s="34">
        <f>IF(OR($A1307="",$H1307&lt;&gt;"Ausgabe",N1307=""),0,IF(N1307="x",-$E1307/(COUNTIF($J1307:$Q1307,"x")+1),-$E1307*N(N1307)))</f>
        <v/>
      </c>
      <c r="AC1307" s="34">
        <f>IF(OR($A1307="",$H1307&lt;&gt;"Ausgabe",O1307=""),0,IF(O1307="x",-$E1307/(COUNTIF($J1307:$Q1307,"x")+1),-$E1307*N(O1307)))</f>
        <v/>
      </c>
      <c r="AD1307" s="34">
        <f>IF(OR($A1307="",$H1307&lt;&gt;"Ausgabe",P1307=""),0,IF(P1307="x",-$E1307/(COUNTIF($J1307:$Q1307,"x")+1),-$E1307*N(P1307)))</f>
        <v/>
      </c>
      <c r="AE1307" s="34">
        <f>IF(OR($A1307="",$H1307&lt;&gt;"Ausgabe",Q1307=""),0,IF(Q1307="x",-$E1307/(COUNTIF($J1307:$Q1307,"x")+1),-$E1307*N(Q1307)))</f>
        <v/>
      </c>
    </row>
    <row r="1308">
      <c r="A1308" s="30" t="n"/>
      <c r="E1308" s="31" t="n"/>
      <c r="J1308" s="32" t="n"/>
      <c r="K1308" s="32" t="n"/>
      <c r="L1308" s="32" t="n"/>
      <c r="M1308" s="32" t="n"/>
      <c r="N1308" s="32" t="n"/>
      <c r="O1308" s="32" t="n"/>
      <c r="P1308" s="32" t="n"/>
      <c r="Q1308" s="32" t="n"/>
      <c r="U1308" s="31">
        <f>IF($A1308="","",SUM(X1308:AE1308))</f>
        <v/>
      </c>
      <c r="V1308" s="31">
        <f>IF($A1308="","",IF($H1308&lt;&gt;"Ausgabe",0,-$E1308-$U1308))</f>
        <v/>
      </c>
      <c r="W1308" s="33">
        <f>IF($A1308="","",DATE(YEAR($A1308),MONTH($A1308),1))</f>
        <v/>
      </c>
      <c r="X1308" s="34">
        <f>IF(OR($A1308="",$H1308&lt;&gt;"Ausgabe",J1308=""),0,IF(J1308="x",-$E1308/(COUNTIF($J1308:$Q1308,"x")+1),-$E1308*N(J1308)))</f>
        <v/>
      </c>
      <c r="Y1308" s="34">
        <f>IF(OR($A1308="",$H1308&lt;&gt;"Ausgabe",K1308=""),0,IF(K1308="x",-$E1308/(COUNTIF($J1308:$Q1308,"x")+1),-$E1308*N(K1308)))</f>
        <v/>
      </c>
      <c r="Z1308" s="34">
        <f>IF(OR($A1308="",$H1308&lt;&gt;"Ausgabe",L1308=""),0,IF(L1308="x",-$E1308/(COUNTIF($J1308:$Q1308,"x")+1),-$E1308*N(L1308)))</f>
        <v/>
      </c>
      <c r="AA1308" s="34">
        <f>IF(OR($A1308="",$H1308&lt;&gt;"Ausgabe",M1308=""),0,IF(M1308="x",-$E1308/(COUNTIF($J1308:$Q1308,"x")+1),-$E1308*N(M1308)))</f>
        <v/>
      </c>
      <c r="AB1308" s="34">
        <f>IF(OR($A1308="",$H1308&lt;&gt;"Ausgabe",N1308=""),0,IF(N1308="x",-$E1308/(COUNTIF($J1308:$Q1308,"x")+1),-$E1308*N(N1308)))</f>
        <v/>
      </c>
      <c r="AC1308" s="34">
        <f>IF(OR($A1308="",$H1308&lt;&gt;"Ausgabe",O1308=""),0,IF(O1308="x",-$E1308/(COUNTIF($J1308:$Q1308,"x")+1),-$E1308*N(O1308)))</f>
        <v/>
      </c>
      <c r="AD1308" s="34">
        <f>IF(OR($A1308="",$H1308&lt;&gt;"Ausgabe",P1308=""),0,IF(P1308="x",-$E1308/(COUNTIF($J1308:$Q1308,"x")+1),-$E1308*N(P1308)))</f>
        <v/>
      </c>
      <c r="AE1308" s="34">
        <f>IF(OR($A1308="",$H1308&lt;&gt;"Ausgabe",Q1308=""),0,IF(Q1308="x",-$E1308/(COUNTIF($J1308:$Q1308,"x")+1),-$E1308*N(Q1308)))</f>
        <v/>
      </c>
    </row>
    <row r="1309">
      <c r="A1309" s="30" t="n"/>
      <c r="E1309" s="31" t="n"/>
      <c r="J1309" s="32" t="n"/>
      <c r="K1309" s="32" t="n"/>
      <c r="L1309" s="32" t="n"/>
      <c r="M1309" s="32" t="n"/>
      <c r="N1309" s="32" t="n"/>
      <c r="O1309" s="32" t="n"/>
      <c r="P1309" s="32" t="n"/>
      <c r="Q1309" s="32" t="n"/>
      <c r="U1309" s="31">
        <f>IF($A1309="","",SUM(X1309:AE1309))</f>
        <v/>
      </c>
      <c r="V1309" s="31">
        <f>IF($A1309="","",IF($H1309&lt;&gt;"Ausgabe",0,-$E1309-$U1309))</f>
        <v/>
      </c>
      <c r="W1309" s="33">
        <f>IF($A1309="","",DATE(YEAR($A1309),MONTH($A1309),1))</f>
        <v/>
      </c>
      <c r="X1309" s="34">
        <f>IF(OR($A1309="",$H1309&lt;&gt;"Ausgabe",J1309=""),0,IF(J1309="x",-$E1309/(COUNTIF($J1309:$Q1309,"x")+1),-$E1309*N(J1309)))</f>
        <v/>
      </c>
      <c r="Y1309" s="34">
        <f>IF(OR($A1309="",$H1309&lt;&gt;"Ausgabe",K1309=""),0,IF(K1309="x",-$E1309/(COUNTIF($J1309:$Q1309,"x")+1),-$E1309*N(K1309)))</f>
        <v/>
      </c>
      <c r="Z1309" s="34">
        <f>IF(OR($A1309="",$H1309&lt;&gt;"Ausgabe",L1309=""),0,IF(L1309="x",-$E1309/(COUNTIF($J1309:$Q1309,"x")+1),-$E1309*N(L1309)))</f>
        <v/>
      </c>
      <c r="AA1309" s="34">
        <f>IF(OR($A1309="",$H1309&lt;&gt;"Ausgabe",M1309=""),0,IF(M1309="x",-$E1309/(COUNTIF($J1309:$Q1309,"x")+1),-$E1309*N(M1309)))</f>
        <v/>
      </c>
      <c r="AB1309" s="34">
        <f>IF(OR($A1309="",$H1309&lt;&gt;"Ausgabe",N1309=""),0,IF(N1309="x",-$E1309/(COUNTIF($J1309:$Q1309,"x")+1),-$E1309*N(N1309)))</f>
        <v/>
      </c>
      <c r="AC1309" s="34">
        <f>IF(OR($A1309="",$H1309&lt;&gt;"Ausgabe",O1309=""),0,IF(O1309="x",-$E1309/(COUNTIF($J1309:$Q1309,"x")+1),-$E1309*N(O1309)))</f>
        <v/>
      </c>
      <c r="AD1309" s="34">
        <f>IF(OR($A1309="",$H1309&lt;&gt;"Ausgabe",P1309=""),0,IF(P1309="x",-$E1309/(COUNTIF($J1309:$Q1309,"x")+1),-$E1309*N(P1309)))</f>
        <v/>
      </c>
      <c r="AE1309" s="34">
        <f>IF(OR($A1309="",$H1309&lt;&gt;"Ausgabe",Q1309=""),0,IF(Q1309="x",-$E1309/(COUNTIF($J1309:$Q1309,"x")+1),-$E1309*N(Q1309)))</f>
        <v/>
      </c>
    </row>
    <row r="1310">
      <c r="A1310" s="30" t="n"/>
      <c r="E1310" s="31" t="n"/>
      <c r="J1310" s="32" t="n"/>
      <c r="K1310" s="32" t="n"/>
      <c r="L1310" s="32" t="n"/>
      <c r="M1310" s="32" t="n"/>
      <c r="N1310" s="32" t="n"/>
      <c r="O1310" s="32" t="n"/>
      <c r="P1310" s="32" t="n"/>
      <c r="Q1310" s="32" t="n"/>
      <c r="U1310" s="31">
        <f>IF($A1310="","",SUM(X1310:AE1310))</f>
        <v/>
      </c>
      <c r="V1310" s="31">
        <f>IF($A1310="","",IF($H1310&lt;&gt;"Ausgabe",0,-$E1310-$U1310))</f>
        <v/>
      </c>
      <c r="W1310" s="33">
        <f>IF($A1310="","",DATE(YEAR($A1310),MONTH($A1310),1))</f>
        <v/>
      </c>
      <c r="X1310" s="34">
        <f>IF(OR($A1310="",$H1310&lt;&gt;"Ausgabe",J1310=""),0,IF(J1310="x",-$E1310/(COUNTIF($J1310:$Q1310,"x")+1),-$E1310*N(J1310)))</f>
        <v/>
      </c>
      <c r="Y1310" s="34">
        <f>IF(OR($A1310="",$H1310&lt;&gt;"Ausgabe",K1310=""),0,IF(K1310="x",-$E1310/(COUNTIF($J1310:$Q1310,"x")+1),-$E1310*N(K1310)))</f>
        <v/>
      </c>
      <c r="Z1310" s="34">
        <f>IF(OR($A1310="",$H1310&lt;&gt;"Ausgabe",L1310=""),0,IF(L1310="x",-$E1310/(COUNTIF($J1310:$Q1310,"x")+1),-$E1310*N(L1310)))</f>
        <v/>
      </c>
      <c r="AA1310" s="34">
        <f>IF(OR($A1310="",$H1310&lt;&gt;"Ausgabe",M1310=""),0,IF(M1310="x",-$E1310/(COUNTIF($J1310:$Q1310,"x")+1),-$E1310*N(M1310)))</f>
        <v/>
      </c>
      <c r="AB1310" s="34">
        <f>IF(OR($A1310="",$H1310&lt;&gt;"Ausgabe",N1310=""),0,IF(N1310="x",-$E1310/(COUNTIF($J1310:$Q1310,"x")+1),-$E1310*N(N1310)))</f>
        <v/>
      </c>
      <c r="AC1310" s="34">
        <f>IF(OR($A1310="",$H1310&lt;&gt;"Ausgabe",O1310=""),0,IF(O1310="x",-$E1310/(COUNTIF($J1310:$Q1310,"x")+1),-$E1310*N(O1310)))</f>
        <v/>
      </c>
      <c r="AD1310" s="34">
        <f>IF(OR($A1310="",$H1310&lt;&gt;"Ausgabe",P1310=""),0,IF(P1310="x",-$E1310/(COUNTIF($J1310:$Q1310,"x")+1),-$E1310*N(P1310)))</f>
        <v/>
      </c>
      <c r="AE1310" s="34">
        <f>IF(OR($A1310="",$H1310&lt;&gt;"Ausgabe",Q1310=""),0,IF(Q1310="x",-$E1310/(COUNTIF($J1310:$Q1310,"x")+1),-$E1310*N(Q1310)))</f>
        <v/>
      </c>
    </row>
    <row r="1311">
      <c r="A1311" s="30" t="n"/>
      <c r="E1311" s="31" t="n"/>
      <c r="J1311" s="32" t="n"/>
      <c r="K1311" s="32" t="n"/>
      <c r="L1311" s="32" t="n"/>
      <c r="M1311" s="32" t="n"/>
      <c r="N1311" s="32" t="n"/>
      <c r="O1311" s="32" t="n"/>
      <c r="P1311" s="32" t="n"/>
      <c r="Q1311" s="32" t="n"/>
      <c r="U1311" s="31">
        <f>IF($A1311="","",SUM(X1311:AE1311))</f>
        <v/>
      </c>
      <c r="V1311" s="31">
        <f>IF($A1311="","",IF($H1311&lt;&gt;"Ausgabe",0,-$E1311-$U1311))</f>
        <v/>
      </c>
      <c r="W1311" s="33">
        <f>IF($A1311="","",DATE(YEAR($A1311),MONTH($A1311),1))</f>
        <v/>
      </c>
      <c r="X1311" s="34">
        <f>IF(OR($A1311="",$H1311&lt;&gt;"Ausgabe",J1311=""),0,IF(J1311="x",-$E1311/(COUNTIF($J1311:$Q1311,"x")+1),-$E1311*N(J1311)))</f>
        <v/>
      </c>
      <c r="Y1311" s="34">
        <f>IF(OR($A1311="",$H1311&lt;&gt;"Ausgabe",K1311=""),0,IF(K1311="x",-$E1311/(COUNTIF($J1311:$Q1311,"x")+1),-$E1311*N(K1311)))</f>
        <v/>
      </c>
      <c r="Z1311" s="34">
        <f>IF(OR($A1311="",$H1311&lt;&gt;"Ausgabe",L1311=""),0,IF(L1311="x",-$E1311/(COUNTIF($J1311:$Q1311,"x")+1),-$E1311*N(L1311)))</f>
        <v/>
      </c>
      <c r="AA1311" s="34">
        <f>IF(OR($A1311="",$H1311&lt;&gt;"Ausgabe",M1311=""),0,IF(M1311="x",-$E1311/(COUNTIF($J1311:$Q1311,"x")+1),-$E1311*N(M1311)))</f>
        <v/>
      </c>
      <c r="AB1311" s="34">
        <f>IF(OR($A1311="",$H1311&lt;&gt;"Ausgabe",N1311=""),0,IF(N1311="x",-$E1311/(COUNTIF($J1311:$Q1311,"x")+1),-$E1311*N(N1311)))</f>
        <v/>
      </c>
      <c r="AC1311" s="34">
        <f>IF(OR($A1311="",$H1311&lt;&gt;"Ausgabe",O1311=""),0,IF(O1311="x",-$E1311/(COUNTIF($J1311:$Q1311,"x")+1),-$E1311*N(O1311)))</f>
        <v/>
      </c>
      <c r="AD1311" s="34">
        <f>IF(OR($A1311="",$H1311&lt;&gt;"Ausgabe",P1311=""),0,IF(P1311="x",-$E1311/(COUNTIF($J1311:$Q1311,"x")+1),-$E1311*N(P1311)))</f>
        <v/>
      </c>
      <c r="AE1311" s="34">
        <f>IF(OR($A1311="",$H1311&lt;&gt;"Ausgabe",Q1311=""),0,IF(Q1311="x",-$E1311/(COUNTIF($J1311:$Q1311,"x")+1),-$E1311*N(Q1311)))</f>
        <v/>
      </c>
    </row>
    <row r="1312">
      <c r="A1312" s="30" t="n"/>
      <c r="E1312" s="31" t="n"/>
      <c r="J1312" s="32" t="n"/>
      <c r="K1312" s="32" t="n"/>
      <c r="L1312" s="32" t="n"/>
      <c r="M1312" s="32" t="n"/>
      <c r="N1312" s="32" t="n"/>
      <c r="O1312" s="32" t="n"/>
      <c r="P1312" s="32" t="n"/>
      <c r="Q1312" s="32" t="n"/>
      <c r="U1312" s="31">
        <f>IF($A1312="","",SUM(X1312:AE1312))</f>
        <v/>
      </c>
      <c r="V1312" s="31">
        <f>IF($A1312="","",IF($H1312&lt;&gt;"Ausgabe",0,-$E1312-$U1312))</f>
        <v/>
      </c>
      <c r="W1312" s="33">
        <f>IF($A1312="","",DATE(YEAR($A1312),MONTH($A1312),1))</f>
        <v/>
      </c>
      <c r="X1312" s="34">
        <f>IF(OR($A1312="",$H1312&lt;&gt;"Ausgabe",J1312=""),0,IF(J1312="x",-$E1312/(COUNTIF($J1312:$Q1312,"x")+1),-$E1312*N(J1312)))</f>
        <v/>
      </c>
      <c r="Y1312" s="34">
        <f>IF(OR($A1312="",$H1312&lt;&gt;"Ausgabe",K1312=""),0,IF(K1312="x",-$E1312/(COUNTIF($J1312:$Q1312,"x")+1),-$E1312*N(K1312)))</f>
        <v/>
      </c>
      <c r="Z1312" s="34">
        <f>IF(OR($A1312="",$H1312&lt;&gt;"Ausgabe",L1312=""),0,IF(L1312="x",-$E1312/(COUNTIF($J1312:$Q1312,"x")+1),-$E1312*N(L1312)))</f>
        <v/>
      </c>
      <c r="AA1312" s="34">
        <f>IF(OR($A1312="",$H1312&lt;&gt;"Ausgabe",M1312=""),0,IF(M1312="x",-$E1312/(COUNTIF($J1312:$Q1312,"x")+1),-$E1312*N(M1312)))</f>
        <v/>
      </c>
      <c r="AB1312" s="34">
        <f>IF(OR($A1312="",$H1312&lt;&gt;"Ausgabe",N1312=""),0,IF(N1312="x",-$E1312/(COUNTIF($J1312:$Q1312,"x")+1),-$E1312*N(N1312)))</f>
        <v/>
      </c>
      <c r="AC1312" s="34">
        <f>IF(OR($A1312="",$H1312&lt;&gt;"Ausgabe",O1312=""),0,IF(O1312="x",-$E1312/(COUNTIF($J1312:$Q1312,"x")+1),-$E1312*N(O1312)))</f>
        <v/>
      </c>
      <c r="AD1312" s="34">
        <f>IF(OR($A1312="",$H1312&lt;&gt;"Ausgabe",P1312=""),0,IF(P1312="x",-$E1312/(COUNTIF($J1312:$Q1312,"x")+1),-$E1312*N(P1312)))</f>
        <v/>
      </c>
      <c r="AE1312" s="34">
        <f>IF(OR($A1312="",$H1312&lt;&gt;"Ausgabe",Q1312=""),0,IF(Q1312="x",-$E1312/(COUNTIF($J1312:$Q1312,"x")+1),-$E1312*N(Q1312)))</f>
        <v/>
      </c>
    </row>
    <row r="1313">
      <c r="A1313" s="30" t="n"/>
      <c r="E1313" s="31" t="n"/>
      <c r="J1313" s="32" t="n"/>
      <c r="K1313" s="32" t="n"/>
      <c r="L1313" s="32" t="n"/>
      <c r="M1313" s="32" t="n"/>
      <c r="N1313" s="32" t="n"/>
      <c r="O1313" s="32" t="n"/>
      <c r="P1313" s="32" t="n"/>
      <c r="Q1313" s="32" t="n"/>
      <c r="U1313" s="31">
        <f>IF($A1313="","",SUM(X1313:AE1313))</f>
        <v/>
      </c>
      <c r="V1313" s="31">
        <f>IF($A1313="","",IF($H1313&lt;&gt;"Ausgabe",0,-$E1313-$U1313))</f>
        <v/>
      </c>
      <c r="W1313" s="33">
        <f>IF($A1313="","",DATE(YEAR($A1313),MONTH($A1313),1))</f>
        <v/>
      </c>
      <c r="X1313" s="34">
        <f>IF(OR($A1313="",$H1313&lt;&gt;"Ausgabe",J1313=""),0,IF(J1313="x",-$E1313/(COUNTIF($J1313:$Q1313,"x")+1),-$E1313*N(J1313)))</f>
        <v/>
      </c>
      <c r="Y1313" s="34">
        <f>IF(OR($A1313="",$H1313&lt;&gt;"Ausgabe",K1313=""),0,IF(K1313="x",-$E1313/(COUNTIF($J1313:$Q1313,"x")+1),-$E1313*N(K1313)))</f>
        <v/>
      </c>
      <c r="Z1313" s="34">
        <f>IF(OR($A1313="",$H1313&lt;&gt;"Ausgabe",L1313=""),0,IF(L1313="x",-$E1313/(COUNTIF($J1313:$Q1313,"x")+1),-$E1313*N(L1313)))</f>
        <v/>
      </c>
      <c r="AA1313" s="34">
        <f>IF(OR($A1313="",$H1313&lt;&gt;"Ausgabe",M1313=""),0,IF(M1313="x",-$E1313/(COUNTIF($J1313:$Q1313,"x")+1),-$E1313*N(M1313)))</f>
        <v/>
      </c>
      <c r="AB1313" s="34">
        <f>IF(OR($A1313="",$H1313&lt;&gt;"Ausgabe",N1313=""),0,IF(N1313="x",-$E1313/(COUNTIF($J1313:$Q1313,"x")+1),-$E1313*N(N1313)))</f>
        <v/>
      </c>
      <c r="AC1313" s="34">
        <f>IF(OR($A1313="",$H1313&lt;&gt;"Ausgabe",O1313=""),0,IF(O1313="x",-$E1313/(COUNTIF($J1313:$Q1313,"x")+1),-$E1313*N(O1313)))</f>
        <v/>
      </c>
      <c r="AD1313" s="34">
        <f>IF(OR($A1313="",$H1313&lt;&gt;"Ausgabe",P1313=""),0,IF(P1313="x",-$E1313/(COUNTIF($J1313:$Q1313,"x")+1),-$E1313*N(P1313)))</f>
        <v/>
      </c>
      <c r="AE1313" s="34">
        <f>IF(OR($A1313="",$H1313&lt;&gt;"Ausgabe",Q1313=""),0,IF(Q1313="x",-$E1313/(COUNTIF($J1313:$Q1313,"x")+1),-$E1313*N(Q1313)))</f>
        <v/>
      </c>
    </row>
    <row r="1314">
      <c r="A1314" s="30" t="n"/>
      <c r="E1314" s="31" t="n"/>
      <c r="J1314" s="32" t="n"/>
      <c r="K1314" s="32" t="n"/>
      <c r="L1314" s="32" t="n"/>
      <c r="M1314" s="32" t="n"/>
      <c r="N1314" s="32" t="n"/>
      <c r="O1314" s="32" t="n"/>
      <c r="P1314" s="32" t="n"/>
      <c r="Q1314" s="32" t="n"/>
      <c r="U1314" s="31">
        <f>IF($A1314="","",SUM(X1314:AE1314))</f>
        <v/>
      </c>
      <c r="V1314" s="31">
        <f>IF($A1314="","",IF($H1314&lt;&gt;"Ausgabe",0,-$E1314-$U1314))</f>
        <v/>
      </c>
      <c r="W1314" s="33">
        <f>IF($A1314="","",DATE(YEAR($A1314),MONTH($A1314),1))</f>
        <v/>
      </c>
      <c r="X1314" s="34">
        <f>IF(OR($A1314="",$H1314&lt;&gt;"Ausgabe",J1314=""),0,IF(J1314="x",-$E1314/(COUNTIF($J1314:$Q1314,"x")+1),-$E1314*N(J1314)))</f>
        <v/>
      </c>
      <c r="Y1314" s="34">
        <f>IF(OR($A1314="",$H1314&lt;&gt;"Ausgabe",K1314=""),0,IF(K1314="x",-$E1314/(COUNTIF($J1314:$Q1314,"x")+1),-$E1314*N(K1314)))</f>
        <v/>
      </c>
      <c r="Z1314" s="34">
        <f>IF(OR($A1314="",$H1314&lt;&gt;"Ausgabe",L1314=""),0,IF(L1314="x",-$E1314/(COUNTIF($J1314:$Q1314,"x")+1),-$E1314*N(L1314)))</f>
        <v/>
      </c>
      <c r="AA1314" s="34">
        <f>IF(OR($A1314="",$H1314&lt;&gt;"Ausgabe",M1314=""),0,IF(M1314="x",-$E1314/(COUNTIF($J1314:$Q1314,"x")+1),-$E1314*N(M1314)))</f>
        <v/>
      </c>
      <c r="AB1314" s="34">
        <f>IF(OR($A1314="",$H1314&lt;&gt;"Ausgabe",N1314=""),0,IF(N1314="x",-$E1314/(COUNTIF($J1314:$Q1314,"x")+1),-$E1314*N(N1314)))</f>
        <v/>
      </c>
      <c r="AC1314" s="34">
        <f>IF(OR($A1314="",$H1314&lt;&gt;"Ausgabe",O1314=""),0,IF(O1314="x",-$E1314/(COUNTIF($J1314:$Q1314,"x")+1),-$E1314*N(O1314)))</f>
        <v/>
      </c>
      <c r="AD1314" s="34">
        <f>IF(OR($A1314="",$H1314&lt;&gt;"Ausgabe",P1314=""),0,IF(P1314="x",-$E1314/(COUNTIF($J1314:$Q1314,"x")+1),-$E1314*N(P1314)))</f>
        <v/>
      </c>
      <c r="AE1314" s="34">
        <f>IF(OR($A1314="",$H1314&lt;&gt;"Ausgabe",Q1314=""),0,IF(Q1314="x",-$E1314/(COUNTIF($J1314:$Q1314,"x")+1),-$E1314*N(Q1314)))</f>
        <v/>
      </c>
    </row>
    <row r="1315">
      <c r="A1315" s="30" t="n"/>
      <c r="E1315" s="31" t="n"/>
      <c r="J1315" s="32" t="n"/>
      <c r="K1315" s="32" t="n"/>
      <c r="L1315" s="32" t="n"/>
      <c r="M1315" s="32" t="n"/>
      <c r="N1315" s="32" t="n"/>
      <c r="O1315" s="32" t="n"/>
      <c r="P1315" s="32" t="n"/>
      <c r="Q1315" s="32" t="n"/>
      <c r="U1315" s="31">
        <f>IF($A1315="","",SUM(X1315:AE1315))</f>
        <v/>
      </c>
      <c r="V1315" s="31">
        <f>IF($A1315="","",IF($H1315&lt;&gt;"Ausgabe",0,-$E1315-$U1315))</f>
        <v/>
      </c>
      <c r="W1315" s="33">
        <f>IF($A1315="","",DATE(YEAR($A1315),MONTH($A1315),1))</f>
        <v/>
      </c>
      <c r="X1315" s="34">
        <f>IF(OR($A1315="",$H1315&lt;&gt;"Ausgabe",J1315=""),0,IF(J1315="x",-$E1315/(COUNTIF($J1315:$Q1315,"x")+1),-$E1315*N(J1315)))</f>
        <v/>
      </c>
      <c r="Y1315" s="34">
        <f>IF(OR($A1315="",$H1315&lt;&gt;"Ausgabe",K1315=""),0,IF(K1315="x",-$E1315/(COUNTIF($J1315:$Q1315,"x")+1),-$E1315*N(K1315)))</f>
        <v/>
      </c>
      <c r="Z1315" s="34">
        <f>IF(OR($A1315="",$H1315&lt;&gt;"Ausgabe",L1315=""),0,IF(L1315="x",-$E1315/(COUNTIF($J1315:$Q1315,"x")+1),-$E1315*N(L1315)))</f>
        <v/>
      </c>
      <c r="AA1315" s="34">
        <f>IF(OR($A1315="",$H1315&lt;&gt;"Ausgabe",M1315=""),0,IF(M1315="x",-$E1315/(COUNTIF($J1315:$Q1315,"x")+1),-$E1315*N(M1315)))</f>
        <v/>
      </c>
      <c r="AB1315" s="34">
        <f>IF(OR($A1315="",$H1315&lt;&gt;"Ausgabe",N1315=""),0,IF(N1315="x",-$E1315/(COUNTIF($J1315:$Q1315,"x")+1),-$E1315*N(N1315)))</f>
        <v/>
      </c>
      <c r="AC1315" s="34">
        <f>IF(OR($A1315="",$H1315&lt;&gt;"Ausgabe",O1315=""),0,IF(O1315="x",-$E1315/(COUNTIF($J1315:$Q1315,"x")+1),-$E1315*N(O1315)))</f>
        <v/>
      </c>
      <c r="AD1315" s="34">
        <f>IF(OR($A1315="",$H1315&lt;&gt;"Ausgabe",P1315=""),0,IF(P1315="x",-$E1315/(COUNTIF($J1315:$Q1315,"x")+1),-$E1315*N(P1315)))</f>
        <v/>
      </c>
      <c r="AE1315" s="34">
        <f>IF(OR($A1315="",$H1315&lt;&gt;"Ausgabe",Q1315=""),0,IF(Q1315="x",-$E1315/(COUNTIF($J1315:$Q1315,"x")+1),-$E1315*N(Q1315)))</f>
        <v/>
      </c>
    </row>
    <row r="1316">
      <c r="A1316" s="30" t="n"/>
      <c r="E1316" s="31" t="n"/>
      <c r="J1316" s="32" t="n"/>
      <c r="K1316" s="32" t="n"/>
      <c r="L1316" s="32" t="n"/>
      <c r="M1316" s="32" t="n"/>
      <c r="N1316" s="32" t="n"/>
      <c r="O1316" s="32" t="n"/>
      <c r="P1316" s="32" t="n"/>
      <c r="Q1316" s="32" t="n"/>
      <c r="U1316" s="31">
        <f>IF($A1316="","",SUM(X1316:AE1316))</f>
        <v/>
      </c>
      <c r="V1316" s="31">
        <f>IF($A1316="","",IF($H1316&lt;&gt;"Ausgabe",0,-$E1316-$U1316))</f>
        <v/>
      </c>
      <c r="W1316" s="33">
        <f>IF($A1316="","",DATE(YEAR($A1316),MONTH($A1316),1))</f>
        <v/>
      </c>
      <c r="X1316" s="34">
        <f>IF(OR($A1316="",$H1316&lt;&gt;"Ausgabe",J1316=""),0,IF(J1316="x",-$E1316/(COUNTIF($J1316:$Q1316,"x")+1),-$E1316*N(J1316)))</f>
        <v/>
      </c>
      <c r="Y1316" s="34">
        <f>IF(OR($A1316="",$H1316&lt;&gt;"Ausgabe",K1316=""),0,IF(K1316="x",-$E1316/(COUNTIF($J1316:$Q1316,"x")+1),-$E1316*N(K1316)))</f>
        <v/>
      </c>
      <c r="Z1316" s="34">
        <f>IF(OR($A1316="",$H1316&lt;&gt;"Ausgabe",L1316=""),0,IF(L1316="x",-$E1316/(COUNTIF($J1316:$Q1316,"x")+1),-$E1316*N(L1316)))</f>
        <v/>
      </c>
      <c r="AA1316" s="34">
        <f>IF(OR($A1316="",$H1316&lt;&gt;"Ausgabe",M1316=""),0,IF(M1316="x",-$E1316/(COUNTIF($J1316:$Q1316,"x")+1),-$E1316*N(M1316)))</f>
        <v/>
      </c>
      <c r="AB1316" s="34">
        <f>IF(OR($A1316="",$H1316&lt;&gt;"Ausgabe",N1316=""),0,IF(N1316="x",-$E1316/(COUNTIF($J1316:$Q1316,"x")+1),-$E1316*N(N1316)))</f>
        <v/>
      </c>
      <c r="AC1316" s="34">
        <f>IF(OR($A1316="",$H1316&lt;&gt;"Ausgabe",O1316=""),0,IF(O1316="x",-$E1316/(COUNTIF($J1316:$Q1316,"x")+1),-$E1316*N(O1316)))</f>
        <v/>
      </c>
      <c r="AD1316" s="34">
        <f>IF(OR($A1316="",$H1316&lt;&gt;"Ausgabe",P1316=""),0,IF(P1316="x",-$E1316/(COUNTIF($J1316:$Q1316,"x")+1),-$E1316*N(P1316)))</f>
        <v/>
      </c>
      <c r="AE1316" s="34">
        <f>IF(OR($A1316="",$H1316&lt;&gt;"Ausgabe",Q1316=""),0,IF(Q1316="x",-$E1316/(COUNTIF($J1316:$Q1316,"x")+1),-$E1316*N(Q1316)))</f>
        <v/>
      </c>
    </row>
    <row r="1317">
      <c r="A1317" s="30" t="n"/>
      <c r="E1317" s="31" t="n"/>
      <c r="J1317" s="32" t="n"/>
      <c r="K1317" s="32" t="n"/>
      <c r="L1317" s="32" t="n"/>
      <c r="M1317" s="32" t="n"/>
      <c r="N1317" s="32" t="n"/>
      <c r="O1317" s="32" t="n"/>
      <c r="P1317" s="32" t="n"/>
      <c r="Q1317" s="32" t="n"/>
      <c r="U1317" s="31">
        <f>IF($A1317="","",SUM(X1317:AE1317))</f>
        <v/>
      </c>
      <c r="V1317" s="31">
        <f>IF($A1317="","",IF($H1317&lt;&gt;"Ausgabe",0,-$E1317-$U1317))</f>
        <v/>
      </c>
      <c r="W1317" s="33">
        <f>IF($A1317="","",DATE(YEAR($A1317),MONTH($A1317),1))</f>
        <v/>
      </c>
      <c r="X1317" s="34">
        <f>IF(OR($A1317="",$H1317&lt;&gt;"Ausgabe",J1317=""),0,IF(J1317="x",-$E1317/(COUNTIF($J1317:$Q1317,"x")+1),-$E1317*N(J1317)))</f>
        <v/>
      </c>
      <c r="Y1317" s="34">
        <f>IF(OR($A1317="",$H1317&lt;&gt;"Ausgabe",K1317=""),0,IF(K1317="x",-$E1317/(COUNTIF($J1317:$Q1317,"x")+1),-$E1317*N(K1317)))</f>
        <v/>
      </c>
      <c r="Z1317" s="34">
        <f>IF(OR($A1317="",$H1317&lt;&gt;"Ausgabe",L1317=""),0,IF(L1317="x",-$E1317/(COUNTIF($J1317:$Q1317,"x")+1),-$E1317*N(L1317)))</f>
        <v/>
      </c>
      <c r="AA1317" s="34">
        <f>IF(OR($A1317="",$H1317&lt;&gt;"Ausgabe",M1317=""),0,IF(M1317="x",-$E1317/(COUNTIF($J1317:$Q1317,"x")+1),-$E1317*N(M1317)))</f>
        <v/>
      </c>
      <c r="AB1317" s="34">
        <f>IF(OR($A1317="",$H1317&lt;&gt;"Ausgabe",N1317=""),0,IF(N1317="x",-$E1317/(COUNTIF($J1317:$Q1317,"x")+1),-$E1317*N(N1317)))</f>
        <v/>
      </c>
      <c r="AC1317" s="34">
        <f>IF(OR($A1317="",$H1317&lt;&gt;"Ausgabe",O1317=""),0,IF(O1317="x",-$E1317/(COUNTIF($J1317:$Q1317,"x")+1),-$E1317*N(O1317)))</f>
        <v/>
      </c>
      <c r="AD1317" s="34">
        <f>IF(OR($A1317="",$H1317&lt;&gt;"Ausgabe",P1317=""),0,IF(P1317="x",-$E1317/(COUNTIF($J1317:$Q1317,"x")+1),-$E1317*N(P1317)))</f>
        <v/>
      </c>
      <c r="AE1317" s="34">
        <f>IF(OR($A1317="",$H1317&lt;&gt;"Ausgabe",Q1317=""),0,IF(Q1317="x",-$E1317/(COUNTIF($J1317:$Q1317,"x")+1),-$E1317*N(Q1317)))</f>
        <v/>
      </c>
    </row>
    <row r="1318">
      <c r="A1318" s="30" t="n"/>
      <c r="E1318" s="31" t="n"/>
      <c r="J1318" s="32" t="n"/>
      <c r="K1318" s="32" t="n"/>
      <c r="L1318" s="32" t="n"/>
      <c r="M1318" s="32" t="n"/>
      <c r="N1318" s="32" t="n"/>
      <c r="O1318" s="32" t="n"/>
      <c r="P1318" s="32" t="n"/>
      <c r="Q1318" s="32" t="n"/>
      <c r="U1318" s="31">
        <f>IF($A1318="","",SUM(X1318:AE1318))</f>
        <v/>
      </c>
      <c r="V1318" s="31">
        <f>IF($A1318="","",IF($H1318&lt;&gt;"Ausgabe",0,-$E1318-$U1318))</f>
        <v/>
      </c>
      <c r="W1318" s="33">
        <f>IF($A1318="","",DATE(YEAR($A1318),MONTH($A1318),1))</f>
        <v/>
      </c>
      <c r="X1318" s="34">
        <f>IF(OR($A1318="",$H1318&lt;&gt;"Ausgabe",J1318=""),0,IF(J1318="x",-$E1318/(COUNTIF($J1318:$Q1318,"x")+1),-$E1318*N(J1318)))</f>
        <v/>
      </c>
      <c r="Y1318" s="34">
        <f>IF(OR($A1318="",$H1318&lt;&gt;"Ausgabe",K1318=""),0,IF(K1318="x",-$E1318/(COUNTIF($J1318:$Q1318,"x")+1),-$E1318*N(K1318)))</f>
        <v/>
      </c>
      <c r="Z1318" s="34">
        <f>IF(OR($A1318="",$H1318&lt;&gt;"Ausgabe",L1318=""),0,IF(L1318="x",-$E1318/(COUNTIF($J1318:$Q1318,"x")+1),-$E1318*N(L1318)))</f>
        <v/>
      </c>
      <c r="AA1318" s="34">
        <f>IF(OR($A1318="",$H1318&lt;&gt;"Ausgabe",M1318=""),0,IF(M1318="x",-$E1318/(COUNTIF($J1318:$Q1318,"x")+1),-$E1318*N(M1318)))</f>
        <v/>
      </c>
      <c r="AB1318" s="34">
        <f>IF(OR($A1318="",$H1318&lt;&gt;"Ausgabe",N1318=""),0,IF(N1318="x",-$E1318/(COUNTIF($J1318:$Q1318,"x")+1),-$E1318*N(N1318)))</f>
        <v/>
      </c>
      <c r="AC1318" s="34">
        <f>IF(OR($A1318="",$H1318&lt;&gt;"Ausgabe",O1318=""),0,IF(O1318="x",-$E1318/(COUNTIF($J1318:$Q1318,"x")+1),-$E1318*N(O1318)))</f>
        <v/>
      </c>
      <c r="AD1318" s="34">
        <f>IF(OR($A1318="",$H1318&lt;&gt;"Ausgabe",P1318=""),0,IF(P1318="x",-$E1318/(COUNTIF($J1318:$Q1318,"x")+1),-$E1318*N(P1318)))</f>
        <v/>
      </c>
      <c r="AE1318" s="34">
        <f>IF(OR($A1318="",$H1318&lt;&gt;"Ausgabe",Q1318=""),0,IF(Q1318="x",-$E1318/(COUNTIF($J1318:$Q1318,"x")+1),-$E1318*N(Q1318)))</f>
        <v/>
      </c>
    </row>
    <row r="1319">
      <c r="A1319" s="30" t="n"/>
      <c r="E1319" s="31" t="n"/>
      <c r="J1319" s="32" t="n"/>
      <c r="K1319" s="32" t="n"/>
      <c r="L1319" s="32" t="n"/>
      <c r="M1319" s="32" t="n"/>
      <c r="N1319" s="32" t="n"/>
      <c r="O1319" s="32" t="n"/>
      <c r="P1319" s="32" t="n"/>
      <c r="Q1319" s="32" t="n"/>
      <c r="U1319" s="31">
        <f>IF($A1319="","",SUM(X1319:AE1319))</f>
        <v/>
      </c>
      <c r="V1319" s="31">
        <f>IF($A1319="","",IF($H1319&lt;&gt;"Ausgabe",0,-$E1319-$U1319))</f>
        <v/>
      </c>
      <c r="W1319" s="33">
        <f>IF($A1319="","",DATE(YEAR($A1319),MONTH($A1319),1))</f>
        <v/>
      </c>
      <c r="X1319" s="34">
        <f>IF(OR($A1319="",$H1319&lt;&gt;"Ausgabe",J1319=""),0,IF(J1319="x",-$E1319/(COUNTIF($J1319:$Q1319,"x")+1),-$E1319*N(J1319)))</f>
        <v/>
      </c>
      <c r="Y1319" s="34">
        <f>IF(OR($A1319="",$H1319&lt;&gt;"Ausgabe",K1319=""),0,IF(K1319="x",-$E1319/(COUNTIF($J1319:$Q1319,"x")+1),-$E1319*N(K1319)))</f>
        <v/>
      </c>
      <c r="Z1319" s="34">
        <f>IF(OR($A1319="",$H1319&lt;&gt;"Ausgabe",L1319=""),0,IF(L1319="x",-$E1319/(COUNTIF($J1319:$Q1319,"x")+1),-$E1319*N(L1319)))</f>
        <v/>
      </c>
      <c r="AA1319" s="34">
        <f>IF(OR($A1319="",$H1319&lt;&gt;"Ausgabe",M1319=""),0,IF(M1319="x",-$E1319/(COUNTIF($J1319:$Q1319,"x")+1),-$E1319*N(M1319)))</f>
        <v/>
      </c>
      <c r="AB1319" s="34">
        <f>IF(OR($A1319="",$H1319&lt;&gt;"Ausgabe",N1319=""),0,IF(N1319="x",-$E1319/(COUNTIF($J1319:$Q1319,"x")+1),-$E1319*N(N1319)))</f>
        <v/>
      </c>
      <c r="AC1319" s="34">
        <f>IF(OR($A1319="",$H1319&lt;&gt;"Ausgabe",O1319=""),0,IF(O1319="x",-$E1319/(COUNTIF($J1319:$Q1319,"x")+1),-$E1319*N(O1319)))</f>
        <v/>
      </c>
      <c r="AD1319" s="34">
        <f>IF(OR($A1319="",$H1319&lt;&gt;"Ausgabe",P1319=""),0,IF(P1319="x",-$E1319/(COUNTIF($J1319:$Q1319,"x")+1),-$E1319*N(P1319)))</f>
        <v/>
      </c>
      <c r="AE1319" s="34">
        <f>IF(OR($A1319="",$H1319&lt;&gt;"Ausgabe",Q1319=""),0,IF(Q1319="x",-$E1319/(COUNTIF($J1319:$Q1319,"x")+1),-$E1319*N(Q1319)))</f>
        <v/>
      </c>
    </row>
    <row r="1320">
      <c r="A1320" s="30" t="n"/>
      <c r="E1320" s="31" t="n"/>
      <c r="J1320" s="32" t="n"/>
      <c r="K1320" s="32" t="n"/>
      <c r="L1320" s="32" t="n"/>
      <c r="M1320" s="32" t="n"/>
      <c r="N1320" s="32" t="n"/>
      <c r="O1320" s="32" t="n"/>
      <c r="P1320" s="32" t="n"/>
      <c r="Q1320" s="32" t="n"/>
      <c r="U1320" s="31">
        <f>IF($A1320="","",SUM(X1320:AE1320))</f>
        <v/>
      </c>
      <c r="V1320" s="31">
        <f>IF($A1320="","",IF($H1320&lt;&gt;"Ausgabe",0,-$E1320-$U1320))</f>
        <v/>
      </c>
      <c r="W1320" s="33">
        <f>IF($A1320="","",DATE(YEAR($A1320),MONTH($A1320),1))</f>
        <v/>
      </c>
      <c r="X1320" s="34">
        <f>IF(OR($A1320="",$H1320&lt;&gt;"Ausgabe",J1320=""),0,IF(J1320="x",-$E1320/(COUNTIF($J1320:$Q1320,"x")+1),-$E1320*N(J1320)))</f>
        <v/>
      </c>
      <c r="Y1320" s="34">
        <f>IF(OR($A1320="",$H1320&lt;&gt;"Ausgabe",K1320=""),0,IF(K1320="x",-$E1320/(COUNTIF($J1320:$Q1320,"x")+1),-$E1320*N(K1320)))</f>
        <v/>
      </c>
      <c r="Z1320" s="34">
        <f>IF(OR($A1320="",$H1320&lt;&gt;"Ausgabe",L1320=""),0,IF(L1320="x",-$E1320/(COUNTIF($J1320:$Q1320,"x")+1),-$E1320*N(L1320)))</f>
        <v/>
      </c>
      <c r="AA1320" s="34">
        <f>IF(OR($A1320="",$H1320&lt;&gt;"Ausgabe",M1320=""),0,IF(M1320="x",-$E1320/(COUNTIF($J1320:$Q1320,"x")+1),-$E1320*N(M1320)))</f>
        <v/>
      </c>
      <c r="AB1320" s="34">
        <f>IF(OR($A1320="",$H1320&lt;&gt;"Ausgabe",N1320=""),0,IF(N1320="x",-$E1320/(COUNTIF($J1320:$Q1320,"x")+1),-$E1320*N(N1320)))</f>
        <v/>
      </c>
      <c r="AC1320" s="34">
        <f>IF(OR($A1320="",$H1320&lt;&gt;"Ausgabe",O1320=""),0,IF(O1320="x",-$E1320/(COUNTIF($J1320:$Q1320,"x")+1),-$E1320*N(O1320)))</f>
        <v/>
      </c>
      <c r="AD1320" s="34">
        <f>IF(OR($A1320="",$H1320&lt;&gt;"Ausgabe",P1320=""),0,IF(P1320="x",-$E1320/(COUNTIF($J1320:$Q1320,"x")+1),-$E1320*N(P1320)))</f>
        <v/>
      </c>
      <c r="AE1320" s="34">
        <f>IF(OR($A1320="",$H1320&lt;&gt;"Ausgabe",Q1320=""),0,IF(Q1320="x",-$E1320/(COUNTIF($J1320:$Q1320,"x")+1),-$E1320*N(Q1320)))</f>
        <v/>
      </c>
    </row>
    <row r="1321">
      <c r="A1321" s="30" t="n"/>
      <c r="E1321" s="31" t="n"/>
      <c r="J1321" s="32" t="n"/>
      <c r="K1321" s="32" t="n"/>
      <c r="L1321" s="32" t="n"/>
      <c r="M1321" s="32" t="n"/>
      <c r="N1321" s="32" t="n"/>
      <c r="O1321" s="32" t="n"/>
      <c r="P1321" s="32" t="n"/>
      <c r="Q1321" s="32" t="n"/>
      <c r="U1321" s="31">
        <f>IF($A1321="","",SUM(X1321:AE1321))</f>
        <v/>
      </c>
      <c r="V1321" s="31">
        <f>IF($A1321="","",IF($H1321&lt;&gt;"Ausgabe",0,-$E1321-$U1321))</f>
        <v/>
      </c>
      <c r="W1321" s="33">
        <f>IF($A1321="","",DATE(YEAR($A1321),MONTH($A1321),1))</f>
        <v/>
      </c>
      <c r="X1321" s="34">
        <f>IF(OR($A1321="",$H1321&lt;&gt;"Ausgabe",J1321=""),0,IF(J1321="x",-$E1321/(COUNTIF($J1321:$Q1321,"x")+1),-$E1321*N(J1321)))</f>
        <v/>
      </c>
      <c r="Y1321" s="34">
        <f>IF(OR($A1321="",$H1321&lt;&gt;"Ausgabe",K1321=""),0,IF(K1321="x",-$E1321/(COUNTIF($J1321:$Q1321,"x")+1),-$E1321*N(K1321)))</f>
        <v/>
      </c>
      <c r="Z1321" s="34">
        <f>IF(OR($A1321="",$H1321&lt;&gt;"Ausgabe",L1321=""),0,IF(L1321="x",-$E1321/(COUNTIF($J1321:$Q1321,"x")+1),-$E1321*N(L1321)))</f>
        <v/>
      </c>
      <c r="AA1321" s="34">
        <f>IF(OR($A1321="",$H1321&lt;&gt;"Ausgabe",M1321=""),0,IF(M1321="x",-$E1321/(COUNTIF($J1321:$Q1321,"x")+1),-$E1321*N(M1321)))</f>
        <v/>
      </c>
      <c r="AB1321" s="34">
        <f>IF(OR($A1321="",$H1321&lt;&gt;"Ausgabe",N1321=""),0,IF(N1321="x",-$E1321/(COUNTIF($J1321:$Q1321,"x")+1),-$E1321*N(N1321)))</f>
        <v/>
      </c>
      <c r="AC1321" s="34">
        <f>IF(OR($A1321="",$H1321&lt;&gt;"Ausgabe",O1321=""),0,IF(O1321="x",-$E1321/(COUNTIF($J1321:$Q1321,"x")+1),-$E1321*N(O1321)))</f>
        <v/>
      </c>
      <c r="AD1321" s="34">
        <f>IF(OR($A1321="",$H1321&lt;&gt;"Ausgabe",P1321=""),0,IF(P1321="x",-$E1321/(COUNTIF($J1321:$Q1321,"x")+1),-$E1321*N(P1321)))</f>
        <v/>
      </c>
      <c r="AE1321" s="34">
        <f>IF(OR($A1321="",$H1321&lt;&gt;"Ausgabe",Q1321=""),0,IF(Q1321="x",-$E1321/(COUNTIF($J1321:$Q1321,"x")+1),-$E1321*N(Q1321)))</f>
        <v/>
      </c>
    </row>
    <row r="1322">
      <c r="A1322" s="30" t="n"/>
      <c r="E1322" s="31" t="n"/>
      <c r="J1322" s="32" t="n"/>
      <c r="K1322" s="32" t="n"/>
      <c r="L1322" s="32" t="n"/>
      <c r="M1322" s="32" t="n"/>
      <c r="N1322" s="32" t="n"/>
      <c r="O1322" s="32" t="n"/>
      <c r="P1322" s="32" t="n"/>
      <c r="Q1322" s="32" t="n"/>
      <c r="U1322" s="31">
        <f>IF($A1322="","",SUM(X1322:AE1322))</f>
        <v/>
      </c>
      <c r="V1322" s="31">
        <f>IF($A1322="","",IF($H1322&lt;&gt;"Ausgabe",0,-$E1322-$U1322))</f>
        <v/>
      </c>
      <c r="W1322" s="33">
        <f>IF($A1322="","",DATE(YEAR($A1322),MONTH($A1322),1))</f>
        <v/>
      </c>
      <c r="X1322" s="34">
        <f>IF(OR($A1322="",$H1322&lt;&gt;"Ausgabe",J1322=""),0,IF(J1322="x",-$E1322/(COUNTIF($J1322:$Q1322,"x")+1),-$E1322*N(J1322)))</f>
        <v/>
      </c>
      <c r="Y1322" s="34">
        <f>IF(OR($A1322="",$H1322&lt;&gt;"Ausgabe",K1322=""),0,IF(K1322="x",-$E1322/(COUNTIF($J1322:$Q1322,"x")+1),-$E1322*N(K1322)))</f>
        <v/>
      </c>
      <c r="Z1322" s="34">
        <f>IF(OR($A1322="",$H1322&lt;&gt;"Ausgabe",L1322=""),0,IF(L1322="x",-$E1322/(COUNTIF($J1322:$Q1322,"x")+1),-$E1322*N(L1322)))</f>
        <v/>
      </c>
      <c r="AA1322" s="34">
        <f>IF(OR($A1322="",$H1322&lt;&gt;"Ausgabe",M1322=""),0,IF(M1322="x",-$E1322/(COUNTIF($J1322:$Q1322,"x")+1),-$E1322*N(M1322)))</f>
        <v/>
      </c>
      <c r="AB1322" s="34">
        <f>IF(OR($A1322="",$H1322&lt;&gt;"Ausgabe",N1322=""),0,IF(N1322="x",-$E1322/(COUNTIF($J1322:$Q1322,"x")+1),-$E1322*N(N1322)))</f>
        <v/>
      </c>
      <c r="AC1322" s="34">
        <f>IF(OR($A1322="",$H1322&lt;&gt;"Ausgabe",O1322=""),0,IF(O1322="x",-$E1322/(COUNTIF($J1322:$Q1322,"x")+1),-$E1322*N(O1322)))</f>
        <v/>
      </c>
      <c r="AD1322" s="34">
        <f>IF(OR($A1322="",$H1322&lt;&gt;"Ausgabe",P1322=""),0,IF(P1322="x",-$E1322/(COUNTIF($J1322:$Q1322,"x")+1),-$E1322*N(P1322)))</f>
        <v/>
      </c>
      <c r="AE1322" s="34">
        <f>IF(OR($A1322="",$H1322&lt;&gt;"Ausgabe",Q1322=""),0,IF(Q1322="x",-$E1322/(COUNTIF($J1322:$Q1322,"x")+1),-$E1322*N(Q1322)))</f>
        <v/>
      </c>
    </row>
    <row r="1323">
      <c r="A1323" s="30" t="n"/>
      <c r="E1323" s="31" t="n"/>
      <c r="J1323" s="32" t="n"/>
      <c r="K1323" s="32" t="n"/>
      <c r="L1323" s="32" t="n"/>
      <c r="M1323" s="32" t="n"/>
      <c r="N1323" s="32" t="n"/>
      <c r="O1323" s="32" t="n"/>
      <c r="P1323" s="32" t="n"/>
      <c r="Q1323" s="32" t="n"/>
      <c r="U1323" s="31">
        <f>IF($A1323="","",SUM(X1323:AE1323))</f>
        <v/>
      </c>
      <c r="V1323" s="31">
        <f>IF($A1323="","",IF($H1323&lt;&gt;"Ausgabe",0,-$E1323-$U1323))</f>
        <v/>
      </c>
      <c r="W1323" s="33">
        <f>IF($A1323="","",DATE(YEAR($A1323),MONTH($A1323),1))</f>
        <v/>
      </c>
      <c r="X1323" s="34">
        <f>IF(OR($A1323="",$H1323&lt;&gt;"Ausgabe",J1323=""),0,IF(J1323="x",-$E1323/(COUNTIF($J1323:$Q1323,"x")+1),-$E1323*N(J1323)))</f>
        <v/>
      </c>
      <c r="Y1323" s="34">
        <f>IF(OR($A1323="",$H1323&lt;&gt;"Ausgabe",K1323=""),0,IF(K1323="x",-$E1323/(COUNTIF($J1323:$Q1323,"x")+1),-$E1323*N(K1323)))</f>
        <v/>
      </c>
      <c r="Z1323" s="34">
        <f>IF(OR($A1323="",$H1323&lt;&gt;"Ausgabe",L1323=""),0,IF(L1323="x",-$E1323/(COUNTIF($J1323:$Q1323,"x")+1),-$E1323*N(L1323)))</f>
        <v/>
      </c>
      <c r="AA1323" s="34">
        <f>IF(OR($A1323="",$H1323&lt;&gt;"Ausgabe",M1323=""),0,IF(M1323="x",-$E1323/(COUNTIF($J1323:$Q1323,"x")+1),-$E1323*N(M1323)))</f>
        <v/>
      </c>
      <c r="AB1323" s="34">
        <f>IF(OR($A1323="",$H1323&lt;&gt;"Ausgabe",N1323=""),0,IF(N1323="x",-$E1323/(COUNTIF($J1323:$Q1323,"x")+1),-$E1323*N(N1323)))</f>
        <v/>
      </c>
      <c r="AC1323" s="34">
        <f>IF(OR($A1323="",$H1323&lt;&gt;"Ausgabe",O1323=""),0,IF(O1323="x",-$E1323/(COUNTIF($J1323:$Q1323,"x")+1),-$E1323*N(O1323)))</f>
        <v/>
      </c>
      <c r="AD1323" s="34">
        <f>IF(OR($A1323="",$H1323&lt;&gt;"Ausgabe",P1323=""),0,IF(P1323="x",-$E1323/(COUNTIF($J1323:$Q1323,"x")+1),-$E1323*N(P1323)))</f>
        <v/>
      </c>
      <c r="AE1323" s="34">
        <f>IF(OR($A1323="",$H1323&lt;&gt;"Ausgabe",Q1323=""),0,IF(Q1323="x",-$E1323/(COUNTIF($J1323:$Q1323,"x")+1),-$E1323*N(Q1323)))</f>
        <v/>
      </c>
    </row>
    <row r="1324">
      <c r="A1324" s="30" t="n"/>
      <c r="E1324" s="31" t="n"/>
      <c r="J1324" s="32" t="n"/>
      <c r="K1324" s="32" t="n"/>
      <c r="L1324" s="32" t="n"/>
      <c r="M1324" s="32" t="n"/>
      <c r="N1324" s="32" t="n"/>
      <c r="O1324" s="32" t="n"/>
      <c r="P1324" s="32" t="n"/>
      <c r="Q1324" s="32" t="n"/>
      <c r="U1324" s="31">
        <f>IF($A1324="","",SUM(X1324:AE1324))</f>
        <v/>
      </c>
      <c r="V1324" s="31">
        <f>IF($A1324="","",IF($H1324&lt;&gt;"Ausgabe",0,-$E1324-$U1324))</f>
        <v/>
      </c>
      <c r="W1324" s="33">
        <f>IF($A1324="","",DATE(YEAR($A1324),MONTH($A1324),1))</f>
        <v/>
      </c>
      <c r="X1324" s="34">
        <f>IF(OR($A1324="",$H1324&lt;&gt;"Ausgabe",J1324=""),0,IF(J1324="x",-$E1324/(COUNTIF($J1324:$Q1324,"x")+1),-$E1324*N(J1324)))</f>
        <v/>
      </c>
      <c r="Y1324" s="34">
        <f>IF(OR($A1324="",$H1324&lt;&gt;"Ausgabe",K1324=""),0,IF(K1324="x",-$E1324/(COUNTIF($J1324:$Q1324,"x")+1),-$E1324*N(K1324)))</f>
        <v/>
      </c>
      <c r="Z1324" s="34">
        <f>IF(OR($A1324="",$H1324&lt;&gt;"Ausgabe",L1324=""),0,IF(L1324="x",-$E1324/(COUNTIF($J1324:$Q1324,"x")+1),-$E1324*N(L1324)))</f>
        <v/>
      </c>
      <c r="AA1324" s="34">
        <f>IF(OR($A1324="",$H1324&lt;&gt;"Ausgabe",M1324=""),0,IF(M1324="x",-$E1324/(COUNTIF($J1324:$Q1324,"x")+1),-$E1324*N(M1324)))</f>
        <v/>
      </c>
      <c r="AB1324" s="34">
        <f>IF(OR($A1324="",$H1324&lt;&gt;"Ausgabe",N1324=""),0,IF(N1324="x",-$E1324/(COUNTIF($J1324:$Q1324,"x")+1),-$E1324*N(N1324)))</f>
        <v/>
      </c>
      <c r="AC1324" s="34">
        <f>IF(OR($A1324="",$H1324&lt;&gt;"Ausgabe",O1324=""),0,IF(O1324="x",-$E1324/(COUNTIF($J1324:$Q1324,"x")+1),-$E1324*N(O1324)))</f>
        <v/>
      </c>
      <c r="AD1324" s="34">
        <f>IF(OR($A1324="",$H1324&lt;&gt;"Ausgabe",P1324=""),0,IF(P1324="x",-$E1324/(COUNTIF($J1324:$Q1324,"x")+1),-$E1324*N(P1324)))</f>
        <v/>
      </c>
      <c r="AE1324" s="34">
        <f>IF(OR($A1324="",$H1324&lt;&gt;"Ausgabe",Q1324=""),0,IF(Q1324="x",-$E1324/(COUNTIF($J1324:$Q1324,"x")+1),-$E1324*N(Q1324)))</f>
        <v/>
      </c>
    </row>
    <row r="1325">
      <c r="A1325" s="30" t="n"/>
      <c r="E1325" s="31" t="n"/>
      <c r="J1325" s="32" t="n"/>
      <c r="K1325" s="32" t="n"/>
      <c r="L1325" s="32" t="n"/>
      <c r="M1325" s="32" t="n"/>
      <c r="N1325" s="32" t="n"/>
      <c r="O1325" s="32" t="n"/>
      <c r="P1325" s="32" t="n"/>
      <c r="Q1325" s="32" t="n"/>
      <c r="U1325" s="31">
        <f>IF($A1325="","",SUM(X1325:AE1325))</f>
        <v/>
      </c>
      <c r="V1325" s="31">
        <f>IF($A1325="","",IF($H1325&lt;&gt;"Ausgabe",0,-$E1325-$U1325))</f>
        <v/>
      </c>
      <c r="W1325" s="33">
        <f>IF($A1325="","",DATE(YEAR($A1325),MONTH($A1325),1))</f>
        <v/>
      </c>
      <c r="X1325" s="34">
        <f>IF(OR($A1325="",$H1325&lt;&gt;"Ausgabe",J1325=""),0,IF(J1325="x",-$E1325/(COUNTIF($J1325:$Q1325,"x")+1),-$E1325*N(J1325)))</f>
        <v/>
      </c>
      <c r="Y1325" s="34">
        <f>IF(OR($A1325="",$H1325&lt;&gt;"Ausgabe",K1325=""),0,IF(K1325="x",-$E1325/(COUNTIF($J1325:$Q1325,"x")+1),-$E1325*N(K1325)))</f>
        <v/>
      </c>
      <c r="Z1325" s="34">
        <f>IF(OR($A1325="",$H1325&lt;&gt;"Ausgabe",L1325=""),0,IF(L1325="x",-$E1325/(COUNTIF($J1325:$Q1325,"x")+1),-$E1325*N(L1325)))</f>
        <v/>
      </c>
      <c r="AA1325" s="34">
        <f>IF(OR($A1325="",$H1325&lt;&gt;"Ausgabe",M1325=""),0,IF(M1325="x",-$E1325/(COUNTIF($J1325:$Q1325,"x")+1),-$E1325*N(M1325)))</f>
        <v/>
      </c>
      <c r="AB1325" s="34">
        <f>IF(OR($A1325="",$H1325&lt;&gt;"Ausgabe",N1325=""),0,IF(N1325="x",-$E1325/(COUNTIF($J1325:$Q1325,"x")+1),-$E1325*N(N1325)))</f>
        <v/>
      </c>
      <c r="AC1325" s="34">
        <f>IF(OR($A1325="",$H1325&lt;&gt;"Ausgabe",O1325=""),0,IF(O1325="x",-$E1325/(COUNTIF($J1325:$Q1325,"x")+1),-$E1325*N(O1325)))</f>
        <v/>
      </c>
      <c r="AD1325" s="34">
        <f>IF(OR($A1325="",$H1325&lt;&gt;"Ausgabe",P1325=""),0,IF(P1325="x",-$E1325/(COUNTIF($J1325:$Q1325,"x")+1),-$E1325*N(P1325)))</f>
        <v/>
      </c>
      <c r="AE1325" s="34">
        <f>IF(OR($A1325="",$H1325&lt;&gt;"Ausgabe",Q1325=""),0,IF(Q1325="x",-$E1325/(COUNTIF($J1325:$Q1325,"x")+1),-$E1325*N(Q1325)))</f>
        <v/>
      </c>
    </row>
    <row r="1326">
      <c r="A1326" s="30" t="n"/>
      <c r="E1326" s="31" t="n"/>
      <c r="J1326" s="32" t="n"/>
      <c r="K1326" s="32" t="n"/>
      <c r="L1326" s="32" t="n"/>
      <c r="M1326" s="32" t="n"/>
      <c r="N1326" s="32" t="n"/>
      <c r="O1326" s="32" t="n"/>
      <c r="P1326" s="32" t="n"/>
      <c r="Q1326" s="32" t="n"/>
      <c r="U1326" s="31">
        <f>IF($A1326="","",SUM(X1326:AE1326))</f>
        <v/>
      </c>
      <c r="V1326" s="31">
        <f>IF($A1326="","",IF($H1326&lt;&gt;"Ausgabe",0,-$E1326-$U1326))</f>
        <v/>
      </c>
      <c r="W1326" s="33">
        <f>IF($A1326="","",DATE(YEAR($A1326),MONTH($A1326),1))</f>
        <v/>
      </c>
      <c r="X1326" s="34">
        <f>IF(OR($A1326="",$H1326&lt;&gt;"Ausgabe",J1326=""),0,IF(J1326="x",-$E1326/(COUNTIF($J1326:$Q1326,"x")+1),-$E1326*N(J1326)))</f>
        <v/>
      </c>
      <c r="Y1326" s="34">
        <f>IF(OR($A1326="",$H1326&lt;&gt;"Ausgabe",K1326=""),0,IF(K1326="x",-$E1326/(COUNTIF($J1326:$Q1326,"x")+1),-$E1326*N(K1326)))</f>
        <v/>
      </c>
      <c r="Z1326" s="34">
        <f>IF(OR($A1326="",$H1326&lt;&gt;"Ausgabe",L1326=""),0,IF(L1326="x",-$E1326/(COUNTIF($J1326:$Q1326,"x")+1),-$E1326*N(L1326)))</f>
        <v/>
      </c>
      <c r="AA1326" s="34">
        <f>IF(OR($A1326="",$H1326&lt;&gt;"Ausgabe",M1326=""),0,IF(M1326="x",-$E1326/(COUNTIF($J1326:$Q1326,"x")+1),-$E1326*N(M1326)))</f>
        <v/>
      </c>
      <c r="AB1326" s="34">
        <f>IF(OR($A1326="",$H1326&lt;&gt;"Ausgabe",N1326=""),0,IF(N1326="x",-$E1326/(COUNTIF($J1326:$Q1326,"x")+1),-$E1326*N(N1326)))</f>
        <v/>
      </c>
      <c r="AC1326" s="34">
        <f>IF(OR($A1326="",$H1326&lt;&gt;"Ausgabe",O1326=""),0,IF(O1326="x",-$E1326/(COUNTIF($J1326:$Q1326,"x")+1),-$E1326*N(O1326)))</f>
        <v/>
      </c>
      <c r="AD1326" s="34">
        <f>IF(OR($A1326="",$H1326&lt;&gt;"Ausgabe",P1326=""),0,IF(P1326="x",-$E1326/(COUNTIF($J1326:$Q1326,"x")+1),-$E1326*N(P1326)))</f>
        <v/>
      </c>
      <c r="AE1326" s="34">
        <f>IF(OR($A1326="",$H1326&lt;&gt;"Ausgabe",Q1326=""),0,IF(Q1326="x",-$E1326/(COUNTIF($J1326:$Q1326,"x")+1),-$E1326*N(Q1326)))</f>
        <v/>
      </c>
    </row>
    <row r="1327">
      <c r="A1327" s="30" t="n"/>
      <c r="E1327" s="31" t="n"/>
      <c r="J1327" s="32" t="n"/>
      <c r="K1327" s="32" t="n"/>
      <c r="L1327" s="32" t="n"/>
      <c r="M1327" s="32" t="n"/>
      <c r="N1327" s="32" t="n"/>
      <c r="O1327" s="32" t="n"/>
      <c r="P1327" s="32" t="n"/>
      <c r="Q1327" s="32" t="n"/>
      <c r="U1327" s="31">
        <f>IF($A1327="","",SUM(X1327:AE1327))</f>
        <v/>
      </c>
      <c r="V1327" s="31">
        <f>IF($A1327="","",IF($H1327&lt;&gt;"Ausgabe",0,-$E1327-$U1327))</f>
        <v/>
      </c>
      <c r="W1327" s="33">
        <f>IF($A1327="","",DATE(YEAR($A1327),MONTH($A1327),1))</f>
        <v/>
      </c>
      <c r="X1327" s="34">
        <f>IF(OR($A1327="",$H1327&lt;&gt;"Ausgabe",J1327=""),0,IF(J1327="x",-$E1327/(COUNTIF($J1327:$Q1327,"x")+1),-$E1327*N(J1327)))</f>
        <v/>
      </c>
      <c r="Y1327" s="34">
        <f>IF(OR($A1327="",$H1327&lt;&gt;"Ausgabe",K1327=""),0,IF(K1327="x",-$E1327/(COUNTIF($J1327:$Q1327,"x")+1),-$E1327*N(K1327)))</f>
        <v/>
      </c>
      <c r="Z1327" s="34">
        <f>IF(OR($A1327="",$H1327&lt;&gt;"Ausgabe",L1327=""),0,IF(L1327="x",-$E1327/(COUNTIF($J1327:$Q1327,"x")+1),-$E1327*N(L1327)))</f>
        <v/>
      </c>
      <c r="AA1327" s="34">
        <f>IF(OR($A1327="",$H1327&lt;&gt;"Ausgabe",M1327=""),0,IF(M1327="x",-$E1327/(COUNTIF($J1327:$Q1327,"x")+1),-$E1327*N(M1327)))</f>
        <v/>
      </c>
      <c r="AB1327" s="34">
        <f>IF(OR($A1327="",$H1327&lt;&gt;"Ausgabe",N1327=""),0,IF(N1327="x",-$E1327/(COUNTIF($J1327:$Q1327,"x")+1),-$E1327*N(N1327)))</f>
        <v/>
      </c>
      <c r="AC1327" s="34">
        <f>IF(OR($A1327="",$H1327&lt;&gt;"Ausgabe",O1327=""),0,IF(O1327="x",-$E1327/(COUNTIF($J1327:$Q1327,"x")+1),-$E1327*N(O1327)))</f>
        <v/>
      </c>
      <c r="AD1327" s="34">
        <f>IF(OR($A1327="",$H1327&lt;&gt;"Ausgabe",P1327=""),0,IF(P1327="x",-$E1327/(COUNTIF($J1327:$Q1327,"x")+1),-$E1327*N(P1327)))</f>
        <v/>
      </c>
      <c r="AE1327" s="34">
        <f>IF(OR($A1327="",$H1327&lt;&gt;"Ausgabe",Q1327=""),0,IF(Q1327="x",-$E1327/(COUNTIF($J1327:$Q1327,"x")+1),-$E1327*N(Q1327)))</f>
        <v/>
      </c>
    </row>
    <row r="1328">
      <c r="A1328" s="30" t="n"/>
      <c r="E1328" s="31" t="n"/>
      <c r="J1328" s="32" t="n"/>
      <c r="K1328" s="32" t="n"/>
      <c r="L1328" s="32" t="n"/>
      <c r="M1328" s="32" t="n"/>
      <c r="N1328" s="32" t="n"/>
      <c r="O1328" s="32" t="n"/>
      <c r="P1328" s="32" t="n"/>
      <c r="Q1328" s="32" t="n"/>
      <c r="U1328" s="31">
        <f>IF($A1328="","",SUM(X1328:AE1328))</f>
        <v/>
      </c>
      <c r="V1328" s="31">
        <f>IF($A1328="","",IF($H1328&lt;&gt;"Ausgabe",0,-$E1328-$U1328))</f>
        <v/>
      </c>
      <c r="W1328" s="33">
        <f>IF($A1328="","",DATE(YEAR($A1328),MONTH($A1328),1))</f>
        <v/>
      </c>
      <c r="X1328" s="34">
        <f>IF(OR($A1328="",$H1328&lt;&gt;"Ausgabe",J1328=""),0,IF(J1328="x",-$E1328/(COUNTIF($J1328:$Q1328,"x")+1),-$E1328*N(J1328)))</f>
        <v/>
      </c>
      <c r="Y1328" s="34">
        <f>IF(OR($A1328="",$H1328&lt;&gt;"Ausgabe",K1328=""),0,IF(K1328="x",-$E1328/(COUNTIF($J1328:$Q1328,"x")+1),-$E1328*N(K1328)))</f>
        <v/>
      </c>
      <c r="Z1328" s="34">
        <f>IF(OR($A1328="",$H1328&lt;&gt;"Ausgabe",L1328=""),0,IF(L1328="x",-$E1328/(COUNTIF($J1328:$Q1328,"x")+1),-$E1328*N(L1328)))</f>
        <v/>
      </c>
      <c r="AA1328" s="34">
        <f>IF(OR($A1328="",$H1328&lt;&gt;"Ausgabe",M1328=""),0,IF(M1328="x",-$E1328/(COUNTIF($J1328:$Q1328,"x")+1),-$E1328*N(M1328)))</f>
        <v/>
      </c>
      <c r="AB1328" s="34">
        <f>IF(OR($A1328="",$H1328&lt;&gt;"Ausgabe",N1328=""),0,IF(N1328="x",-$E1328/(COUNTIF($J1328:$Q1328,"x")+1),-$E1328*N(N1328)))</f>
        <v/>
      </c>
      <c r="AC1328" s="34">
        <f>IF(OR($A1328="",$H1328&lt;&gt;"Ausgabe",O1328=""),0,IF(O1328="x",-$E1328/(COUNTIF($J1328:$Q1328,"x")+1),-$E1328*N(O1328)))</f>
        <v/>
      </c>
      <c r="AD1328" s="34">
        <f>IF(OR($A1328="",$H1328&lt;&gt;"Ausgabe",P1328=""),0,IF(P1328="x",-$E1328/(COUNTIF($J1328:$Q1328,"x")+1),-$E1328*N(P1328)))</f>
        <v/>
      </c>
      <c r="AE1328" s="34">
        <f>IF(OR($A1328="",$H1328&lt;&gt;"Ausgabe",Q1328=""),0,IF(Q1328="x",-$E1328/(COUNTIF($J1328:$Q1328,"x")+1),-$E1328*N(Q1328)))</f>
        <v/>
      </c>
    </row>
    <row r="1329">
      <c r="A1329" s="30" t="n"/>
      <c r="E1329" s="31" t="n"/>
      <c r="J1329" s="32" t="n"/>
      <c r="K1329" s="32" t="n"/>
      <c r="L1329" s="32" t="n"/>
      <c r="M1329" s="32" t="n"/>
      <c r="N1329" s="32" t="n"/>
      <c r="O1329" s="32" t="n"/>
      <c r="P1329" s="32" t="n"/>
      <c r="Q1329" s="32" t="n"/>
      <c r="U1329" s="31">
        <f>IF($A1329="","",SUM(X1329:AE1329))</f>
        <v/>
      </c>
      <c r="V1329" s="31">
        <f>IF($A1329="","",IF($H1329&lt;&gt;"Ausgabe",0,-$E1329-$U1329))</f>
        <v/>
      </c>
      <c r="W1329" s="33">
        <f>IF($A1329="","",DATE(YEAR($A1329),MONTH($A1329),1))</f>
        <v/>
      </c>
      <c r="X1329" s="34">
        <f>IF(OR($A1329="",$H1329&lt;&gt;"Ausgabe",J1329=""),0,IF(J1329="x",-$E1329/(COUNTIF($J1329:$Q1329,"x")+1),-$E1329*N(J1329)))</f>
        <v/>
      </c>
      <c r="Y1329" s="34">
        <f>IF(OR($A1329="",$H1329&lt;&gt;"Ausgabe",K1329=""),0,IF(K1329="x",-$E1329/(COUNTIF($J1329:$Q1329,"x")+1),-$E1329*N(K1329)))</f>
        <v/>
      </c>
      <c r="Z1329" s="34">
        <f>IF(OR($A1329="",$H1329&lt;&gt;"Ausgabe",L1329=""),0,IF(L1329="x",-$E1329/(COUNTIF($J1329:$Q1329,"x")+1),-$E1329*N(L1329)))</f>
        <v/>
      </c>
      <c r="AA1329" s="34">
        <f>IF(OR($A1329="",$H1329&lt;&gt;"Ausgabe",M1329=""),0,IF(M1329="x",-$E1329/(COUNTIF($J1329:$Q1329,"x")+1),-$E1329*N(M1329)))</f>
        <v/>
      </c>
      <c r="AB1329" s="34">
        <f>IF(OR($A1329="",$H1329&lt;&gt;"Ausgabe",N1329=""),0,IF(N1329="x",-$E1329/(COUNTIF($J1329:$Q1329,"x")+1),-$E1329*N(N1329)))</f>
        <v/>
      </c>
      <c r="AC1329" s="34">
        <f>IF(OR($A1329="",$H1329&lt;&gt;"Ausgabe",O1329=""),0,IF(O1329="x",-$E1329/(COUNTIF($J1329:$Q1329,"x")+1),-$E1329*N(O1329)))</f>
        <v/>
      </c>
      <c r="AD1329" s="34">
        <f>IF(OR($A1329="",$H1329&lt;&gt;"Ausgabe",P1329=""),0,IF(P1329="x",-$E1329/(COUNTIF($J1329:$Q1329,"x")+1),-$E1329*N(P1329)))</f>
        <v/>
      </c>
      <c r="AE1329" s="34">
        <f>IF(OR($A1329="",$H1329&lt;&gt;"Ausgabe",Q1329=""),0,IF(Q1329="x",-$E1329/(COUNTIF($J1329:$Q1329,"x")+1),-$E1329*N(Q1329)))</f>
        <v/>
      </c>
    </row>
    <row r="1330">
      <c r="A1330" s="30" t="n"/>
      <c r="E1330" s="31" t="n"/>
      <c r="J1330" s="32" t="n"/>
      <c r="K1330" s="32" t="n"/>
      <c r="L1330" s="32" t="n"/>
      <c r="M1330" s="32" t="n"/>
      <c r="N1330" s="32" t="n"/>
      <c r="O1330" s="32" t="n"/>
      <c r="P1330" s="32" t="n"/>
      <c r="Q1330" s="32" t="n"/>
      <c r="U1330" s="31">
        <f>IF($A1330="","",SUM(X1330:AE1330))</f>
        <v/>
      </c>
      <c r="V1330" s="31">
        <f>IF($A1330="","",IF($H1330&lt;&gt;"Ausgabe",0,-$E1330-$U1330))</f>
        <v/>
      </c>
      <c r="W1330" s="33">
        <f>IF($A1330="","",DATE(YEAR($A1330),MONTH($A1330),1))</f>
        <v/>
      </c>
      <c r="X1330" s="34">
        <f>IF(OR($A1330="",$H1330&lt;&gt;"Ausgabe",J1330=""),0,IF(J1330="x",-$E1330/(COUNTIF($J1330:$Q1330,"x")+1),-$E1330*N(J1330)))</f>
        <v/>
      </c>
      <c r="Y1330" s="34">
        <f>IF(OR($A1330="",$H1330&lt;&gt;"Ausgabe",K1330=""),0,IF(K1330="x",-$E1330/(COUNTIF($J1330:$Q1330,"x")+1),-$E1330*N(K1330)))</f>
        <v/>
      </c>
      <c r="Z1330" s="34">
        <f>IF(OR($A1330="",$H1330&lt;&gt;"Ausgabe",L1330=""),0,IF(L1330="x",-$E1330/(COUNTIF($J1330:$Q1330,"x")+1),-$E1330*N(L1330)))</f>
        <v/>
      </c>
      <c r="AA1330" s="34">
        <f>IF(OR($A1330="",$H1330&lt;&gt;"Ausgabe",M1330=""),0,IF(M1330="x",-$E1330/(COUNTIF($J1330:$Q1330,"x")+1),-$E1330*N(M1330)))</f>
        <v/>
      </c>
      <c r="AB1330" s="34">
        <f>IF(OR($A1330="",$H1330&lt;&gt;"Ausgabe",N1330=""),0,IF(N1330="x",-$E1330/(COUNTIF($J1330:$Q1330,"x")+1),-$E1330*N(N1330)))</f>
        <v/>
      </c>
      <c r="AC1330" s="34">
        <f>IF(OR($A1330="",$H1330&lt;&gt;"Ausgabe",O1330=""),0,IF(O1330="x",-$E1330/(COUNTIF($J1330:$Q1330,"x")+1),-$E1330*N(O1330)))</f>
        <v/>
      </c>
      <c r="AD1330" s="34">
        <f>IF(OR($A1330="",$H1330&lt;&gt;"Ausgabe",P1330=""),0,IF(P1330="x",-$E1330/(COUNTIF($J1330:$Q1330,"x")+1),-$E1330*N(P1330)))</f>
        <v/>
      </c>
      <c r="AE1330" s="34">
        <f>IF(OR($A1330="",$H1330&lt;&gt;"Ausgabe",Q1330=""),0,IF(Q1330="x",-$E1330/(COUNTIF($J1330:$Q1330,"x")+1),-$E1330*N(Q1330)))</f>
        <v/>
      </c>
    </row>
    <row r="1331">
      <c r="A1331" s="30" t="n"/>
      <c r="E1331" s="31" t="n"/>
      <c r="J1331" s="32" t="n"/>
      <c r="K1331" s="32" t="n"/>
      <c r="L1331" s="32" t="n"/>
      <c r="M1331" s="32" t="n"/>
      <c r="N1331" s="32" t="n"/>
      <c r="O1331" s="32" t="n"/>
      <c r="P1331" s="32" t="n"/>
      <c r="Q1331" s="32" t="n"/>
      <c r="U1331" s="31">
        <f>IF($A1331="","",SUM(X1331:AE1331))</f>
        <v/>
      </c>
      <c r="V1331" s="31">
        <f>IF($A1331="","",IF($H1331&lt;&gt;"Ausgabe",0,-$E1331-$U1331))</f>
        <v/>
      </c>
      <c r="W1331" s="33">
        <f>IF($A1331="","",DATE(YEAR($A1331),MONTH($A1331),1))</f>
        <v/>
      </c>
      <c r="X1331" s="34">
        <f>IF(OR($A1331="",$H1331&lt;&gt;"Ausgabe",J1331=""),0,IF(J1331="x",-$E1331/(COUNTIF($J1331:$Q1331,"x")+1),-$E1331*N(J1331)))</f>
        <v/>
      </c>
      <c r="Y1331" s="34">
        <f>IF(OR($A1331="",$H1331&lt;&gt;"Ausgabe",K1331=""),0,IF(K1331="x",-$E1331/(COUNTIF($J1331:$Q1331,"x")+1),-$E1331*N(K1331)))</f>
        <v/>
      </c>
      <c r="Z1331" s="34">
        <f>IF(OR($A1331="",$H1331&lt;&gt;"Ausgabe",L1331=""),0,IF(L1331="x",-$E1331/(COUNTIF($J1331:$Q1331,"x")+1),-$E1331*N(L1331)))</f>
        <v/>
      </c>
      <c r="AA1331" s="34">
        <f>IF(OR($A1331="",$H1331&lt;&gt;"Ausgabe",M1331=""),0,IF(M1331="x",-$E1331/(COUNTIF($J1331:$Q1331,"x")+1),-$E1331*N(M1331)))</f>
        <v/>
      </c>
      <c r="AB1331" s="34">
        <f>IF(OR($A1331="",$H1331&lt;&gt;"Ausgabe",N1331=""),0,IF(N1331="x",-$E1331/(COUNTIF($J1331:$Q1331,"x")+1),-$E1331*N(N1331)))</f>
        <v/>
      </c>
      <c r="AC1331" s="34">
        <f>IF(OR($A1331="",$H1331&lt;&gt;"Ausgabe",O1331=""),0,IF(O1331="x",-$E1331/(COUNTIF($J1331:$Q1331,"x")+1),-$E1331*N(O1331)))</f>
        <v/>
      </c>
      <c r="AD1331" s="34">
        <f>IF(OR($A1331="",$H1331&lt;&gt;"Ausgabe",P1331=""),0,IF(P1331="x",-$E1331/(COUNTIF($J1331:$Q1331,"x")+1),-$E1331*N(P1331)))</f>
        <v/>
      </c>
      <c r="AE1331" s="34">
        <f>IF(OR($A1331="",$H1331&lt;&gt;"Ausgabe",Q1331=""),0,IF(Q1331="x",-$E1331/(COUNTIF($J1331:$Q1331,"x")+1),-$E1331*N(Q1331)))</f>
        <v/>
      </c>
    </row>
    <row r="1332">
      <c r="A1332" s="30" t="n"/>
      <c r="E1332" s="31" t="n"/>
      <c r="J1332" s="32" t="n"/>
      <c r="K1332" s="32" t="n"/>
      <c r="L1332" s="32" t="n"/>
      <c r="M1332" s="32" t="n"/>
      <c r="N1332" s="32" t="n"/>
      <c r="O1332" s="32" t="n"/>
      <c r="P1332" s="32" t="n"/>
      <c r="Q1332" s="32" t="n"/>
      <c r="U1332" s="31">
        <f>IF($A1332="","",SUM(X1332:AE1332))</f>
        <v/>
      </c>
      <c r="V1332" s="31">
        <f>IF($A1332="","",IF($H1332&lt;&gt;"Ausgabe",0,-$E1332-$U1332))</f>
        <v/>
      </c>
      <c r="W1332" s="33">
        <f>IF($A1332="","",DATE(YEAR($A1332),MONTH($A1332),1))</f>
        <v/>
      </c>
      <c r="X1332" s="34">
        <f>IF(OR($A1332="",$H1332&lt;&gt;"Ausgabe",J1332=""),0,IF(J1332="x",-$E1332/(COUNTIF($J1332:$Q1332,"x")+1),-$E1332*N(J1332)))</f>
        <v/>
      </c>
      <c r="Y1332" s="34">
        <f>IF(OR($A1332="",$H1332&lt;&gt;"Ausgabe",K1332=""),0,IF(K1332="x",-$E1332/(COUNTIF($J1332:$Q1332,"x")+1),-$E1332*N(K1332)))</f>
        <v/>
      </c>
      <c r="Z1332" s="34">
        <f>IF(OR($A1332="",$H1332&lt;&gt;"Ausgabe",L1332=""),0,IF(L1332="x",-$E1332/(COUNTIF($J1332:$Q1332,"x")+1),-$E1332*N(L1332)))</f>
        <v/>
      </c>
      <c r="AA1332" s="34">
        <f>IF(OR($A1332="",$H1332&lt;&gt;"Ausgabe",M1332=""),0,IF(M1332="x",-$E1332/(COUNTIF($J1332:$Q1332,"x")+1),-$E1332*N(M1332)))</f>
        <v/>
      </c>
      <c r="AB1332" s="34">
        <f>IF(OR($A1332="",$H1332&lt;&gt;"Ausgabe",N1332=""),0,IF(N1332="x",-$E1332/(COUNTIF($J1332:$Q1332,"x")+1),-$E1332*N(N1332)))</f>
        <v/>
      </c>
      <c r="AC1332" s="34">
        <f>IF(OR($A1332="",$H1332&lt;&gt;"Ausgabe",O1332=""),0,IF(O1332="x",-$E1332/(COUNTIF($J1332:$Q1332,"x")+1),-$E1332*N(O1332)))</f>
        <v/>
      </c>
      <c r="AD1332" s="34">
        <f>IF(OR($A1332="",$H1332&lt;&gt;"Ausgabe",P1332=""),0,IF(P1332="x",-$E1332/(COUNTIF($J1332:$Q1332,"x")+1),-$E1332*N(P1332)))</f>
        <v/>
      </c>
      <c r="AE1332" s="34">
        <f>IF(OR($A1332="",$H1332&lt;&gt;"Ausgabe",Q1332=""),0,IF(Q1332="x",-$E1332/(COUNTIF($J1332:$Q1332,"x")+1),-$E1332*N(Q1332)))</f>
        <v/>
      </c>
    </row>
    <row r="1333">
      <c r="A1333" s="30" t="n"/>
      <c r="E1333" s="31" t="n"/>
      <c r="J1333" s="32" t="n"/>
      <c r="K1333" s="32" t="n"/>
      <c r="L1333" s="32" t="n"/>
      <c r="M1333" s="32" t="n"/>
      <c r="N1333" s="32" t="n"/>
      <c r="O1333" s="32" t="n"/>
      <c r="P1333" s="32" t="n"/>
      <c r="Q1333" s="32" t="n"/>
      <c r="U1333" s="31">
        <f>IF($A1333="","",SUM(X1333:AE1333))</f>
        <v/>
      </c>
      <c r="V1333" s="31">
        <f>IF($A1333="","",IF($H1333&lt;&gt;"Ausgabe",0,-$E1333-$U1333))</f>
        <v/>
      </c>
      <c r="W1333" s="33">
        <f>IF($A1333="","",DATE(YEAR($A1333),MONTH($A1333),1))</f>
        <v/>
      </c>
      <c r="X1333" s="34">
        <f>IF(OR($A1333="",$H1333&lt;&gt;"Ausgabe",J1333=""),0,IF(J1333="x",-$E1333/(COUNTIF($J1333:$Q1333,"x")+1),-$E1333*N(J1333)))</f>
        <v/>
      </c>
      <c r="Y1333" s="34">
        <f>IF(OR($A1333="",$H1333&lt;&gt;"Ausgabe",K1333=""),0,IF(K1333="x",-$E1333/(COUNTIF($J1333:$Q1333,"x")+1),-$E1333*N(K1333)))</f>
        <v/>
      </c>
      <c r="Z1333" s="34">
        <f>IF(OR($A1333="",$H1333&lt;&gt;"Ausgabe",L1333=""),0,IF(L1333="x",-$E1333/(COUNTIF($J1333:$Q1333,"x")+1),-$E1333*N(L1333)))</f>
        <v/>
      </c>
      <c r="AA1333" s="34">
        <f>IF(OR($A1333="",$H1333&lt;&gt;"Ausgabe",M1333=""),0,IF(M1333="x",-$E1333/(COUNTIF($J1333:$Q1333,"x")+1),-$E1333*N(M1333)))</f>
        <v/>
      </c>
      <c r="AB1333" s="34">
        <f>IF(OR($A1333="",$H1333&lt;&gt;"Ausgabe",N1333=""),0,IF(N1333="x",-$E1333/(COUNTIF($J1333:$Q1333,"x")+1),-$E1333*N(N1333)))</f>
        <v/>
      </c>
      <c r="AC1333" s="34">
        <f>IF(OR($A1333="",$H1333&lt;&gt;"Ausgabe",O1333=""),0,IF(O1333="x",-$E1333/(COUNTIF($J1333:$Q1333,"x")+1),-$E1333*N(O1333)))</f>
        <v/>
      </c>
      <c r="AD1333" s="34">
        <f>IF(OR($A1333="",$H1333&lt;&gt;"Ausgabe",P1333=""),0,IF(P1333="x",-$E1333/(COUNTIF($J1333:$Q1333,"x")+1),-$E1333*N(P1333)))</f>
        <v/>
      </c>
      <c r="AE1333" s="34">
        <f>IF(OR($A1333="",$H1333&lt;&gt;"Ausgabe",Q1333=""),0,IF(Q1333="x",-$E1333/(COUNTIF($J1333:$Q1333,"x")+1),-$E1333*N(Q1333)))</f>
        <v/>
      </c>
    </row>
    <row r="1334">
      <c r="A1334" s="30" t="n"/>
      <c r="E1334" s="31" t="n"/>
      <c r="J1334" s="32" t="n"/>
      <c r="K1334" s="32" t="n"/>
      <c r="L1334" s="32" t="n"/>
      <c r="M1334" s="32" t="n"/>
      <c r="N1334" s="32" t="n"/>
      <c r="O1334" s="32" t="n"/>
      <c r="P1334" s="32" t="n"/>
      <c r="Q1334" s="32" t="n"/>
      <c r="U1334" s="31">
        <f>IF($A1334="","",SUM(X1334:AE1334))</f>
        <v/>
      </c>
      <c r="V1334" s="31">
        <f>IF($A1334="","",IF($H1334&lt;&gt;"Ausgabe",0,-$E1334-$U1334))</f>
        <v/>
      </c>
      <c r="W1334" s="33">
        <f>IF($A1334="","",DATE(YEAR($A1334),MONTH($A1334),1))</f>
        <v/>
      </c>
      <c r="X1334" s="34">
        <f>IF(OR($A1334="",$H1334&lt;&gt;"Ausgabe",J1334=""),0,IF(J1334="x",-$E1334/(COUNTIF($J1334:$Q1334,"x")+1),-$E1334*N(J1334)))</f>
        <v/>
      </c>
      <c r="Y1334" s="34">
        <f>IF(OR($A1334="",$H1334&lt;&gt;"Ausgabe",K1334=""),0,IF(K1334="x",-$E1334/(COUNTIF($J1334:$Q1334,"x")+1),-$E1334*N(K1334)))</f>
        <v/>
      </c>
      <c r="Z1334" s="34">
        <f>IF(OR($A1334="",$H1334&lt;&gt;"Ausgabe",L1334=""),0,IF(L1334="x",-$E1334/(COUNTIF($J1334:$Q1334,"x")+1),-$E1334*N(L1334)))</f>
        <v/>
      </c>
      <c r="AA1334" s="34">
        <f>IF(OR($A1334="",$H1334&lt;&gt;"Ausgabe",M1334=""),0,IF(M1334="x",-$E1334/(COUNTIF($J1334:$Q1334,"x")+1),-$E1334*N(M1334)))</f>
        <v/>
      </c>
      <c r="AB1334" s="34">
        <f>IF(OR($A1334="",$H1334&lt;&gt;"Ausgabe",N1334=""),0,IF(N1334="x",-$E1334/(COUNTIF($J1334:$Q1334,"x")+1),-$E1334*N(N1334)))</f>
        <v/>
      </c>
      <c r="AC1334" s="34">
        <f>IF(OR($A1334="",$H1334&lt;&gt;"Ausgabe",O1334=""),0,IF(O1334="x",-$E1334/(COUNTIF($J1334:$Q1334,"x")+1),-$E1334*N(O1334)))</f>
        <v/>
      </c>
      <c r="AD1334" s="34">
        <f>IF(OR($A1334="",$H1334&lt;&gt;"Ausgabe",P1334=""),0,IF(P1334="x",-$E1334/(COUNTIF($J1334:$Q1334,"x")+1),-$E1334*N(P1334)))</f>
        <v/>
      </c>
      <c r="AE1334" s="34">
        <f>IF(OR($A1334="",$H1334&lt;&gt;"Ausgabe",Q1334=""),0,IF(Q1334="x",-$E1334/(COUNTIF($J1334:$Q1334,"x")+1),-$E1334*N(Q1334)))</f>
        <v/>
      </c>
    </row>
    <row r="1335">
      <c r="A1335" s="30" t="n"/>
      <c r="E1335" s="31" t="n"/>
      <c r="J1335" s="32" t="n"/>
      <c r="K1335" s="32" t="n"/>
      <c r="L1335" s="32" t="n"/>
      <c r="M1335" s="32" t="n"/>
      <c r="N1335" s="32" t="n"/>
      <c r="O1335" s="32" t="n"/>
      <c r="P1335" s="32" t="n"/>
      <c r="Q1335" s="32" t="n"/>
      <c r="U1335" s="31">
        <f>IF($A1335="","",SUM(X1335:AE1335))</f>
        <v/>
      </c>
      <c r="V1335" s="31">
        <f>IF($A1335="","",IF($H1335&lt;&gt;"Ausgabe",0,-$E1335-$U1335))</f>
        <v/>
      </c>
      <c r="W1335" s="33">
        <f>IF($A1335="","",DATE(YEAR($A1335),MONTH($A1335),1))</f>
        <v/>
      </c>
      <c r="X1335" s="34">
        <f>IF(OR($A1335="",$H1335&lt;&gt;"Ausgabe",J1335=""),0,IF(J1335="x",-$E1335/(COUNTIF($J1335:$Q1335,"x")+1),-$E1335*N(J1335)))</f>
        <v/>
      </c>
      <c r="Y1335" s="34">
        <f>IF(OR($A1335="",$H1335&lt;&gt;"Ausgabe",K1335=""),0,IF(K1335="x",-$E1335/(COUNTIF($J1335:$Q1335,"x")+1),-$E1335*N(K1335)))</f>
        <v/>
      </c>
      <c r="Z1335" s="34">
        <f>IF(OR($A1335="",$H1335&lt;&gt;"Ausgabe",L1335=""),0,IF(L1335="x",-$E1335/(COUNTIF($J1335:$Q1335,"x")+1),-$E1335*N(L1335)))</f>
        <v/>
      </c>
      <c r="AA1335" s="34">
        <f>IF(OR($A1335="",$H1335&lt;&gt;"Ausgabe",M1335=""),0,IF(M1335="x",-$E1335/(COUNTIF($J1335:$Q1335,"x")+1),-$E1335*N(M1335)))</f>
        <v/>
      </c>
      <c r="AB1335" s="34">
        <f>IF(OR($A1335="",$H1335&lt;&gt;"Ausgabe",N1335=""),0,IF(N1335="x",-$E1335/(COUNTIF($J1335:$Q1335,"x")+1),-$E1335*N(N1335)))</f>
        <v/>
      </c>
      <c r="AC1335" s="34">
        <f>IF(OR($A1335="",$H1335&lt;&gt;"Ausgabe",O1335=""),0,IF(O1335="x",-$E1335/(COUNTIF($J1335:$Q1335,"x")+1),-$E1335*N(O1335)))</f>
        <v/>
      </c>
      <c r="AD1335" s="34">
        <f>IF(OR($A1335="",$H1335&lt;&gt;"Ausgabe",P1335=""),0,IF(P1335="x",-$E1335/(COUNTIF($J1335:$Q1335,"x")+1),-$E1335*N(P1335)))</f>
        <v/>
      </c>
      <c r="AE1335" s="34">
        <f>IF(OR($A1335="",$H1335&lt;&gt;"Ausgabe",Q1335=""),0,IF(Q1335="x",-$E1335/(COUNTIF($J1335:$Q1335,"x")+1),-$E1335*N(Q1335)))</f>
        <v/>
      </c>
    </row>
    <row r="1336">
      <c r="A1336" s="30" t="n"/>
      <c r="E1336" s="31" t="n"/>
      <c r="J1336" s="32" t="n"/>
      <c r="K1336" s="32" t="n"/>
      <c r="L1336" s="32" t="n"/>
      <c r="M1336" s="32" t="n"/>
      <c r="N1336" s="32" t="n"/>
      <c r="O1336" s="32" t="n"/>
      <c r="P1336" s="32" t="n"/>
      <c r="Q1336" s="32" t="n"/>
      <c r="U1336" s="31">
        <f>IF($A1336="","",SUM(X1336:AE1336))</f>
        <v/>
      </c>
      <c r="V1336" s="31">
        <f>IF($A1336="","",IF($H1336&lt;&gt;"Ausgabe",0,-$E1336-$U1336))</f>
        <v/>
      </c>
      <c r="W1336" s="33">
        <f>IF($A1336="","",DATE(YEAR($A1336),MONTH($A1336),1))</f>
        <v/>
      </c>
      <c r="X1336" s="34">
        <f>IF(OR($A1336="",$H1336&lt;&gt;"Ausgabe",J1336=""),0,IF(J1336="x",-$E1336/(COUNTIF($J1336:$Q1336,"x")+1),-$E1336*N(J1336)))</f>
        <v/>
      </c>
      <c r="Y1336" s="34">
        <f>IF(OR($A1336="",$H1336&lt;&gt;"Ausgabe",K1336=""),0,IF(K1336="x",-$E1336/(COUNTIF($J1336:$Q1336,"x")+1),-$E1336*N(K1336)))</f>
        <v/>
      </c>
      <c r="Z1336" s="34">
        <f>IF(OR($A1336="",$H1336&lt;&gt;"Ausgabe",L1336=""),0,IF(L1336="x",-$E1336/(COUNTIF($J1336:$Q1336,"x")+1),-$E1336*N(L1336)))</f>
        <v/>
      </c>
      <c r="AA1336" s="34">
        <f>IF(OR($A1336="",$H1336&lt;&gt;"Ausgabe",M1336=""),0,IF(M1336="x",-$E1336/(COUNTIF($J1336:$Q1336,"x")+1),-$E1336*N(M1336)))</f>
        <v/>
      </c>
      <c r="AB1336" s="34">
        <f>IF(OR($A1336="",$H1336&lt;&gt;"Ausgabe",N1336=""),0,IF(N1336="x",-$E1336/(COUNTIF($J1336:$Q1336,"x")+1),-$E1336*N(N1336)))</f>
        <v/>
      </c>
      <c r="AC1336" s="34">
        <f>IF(OR($A1336="",$H1336&lt;&gt;"Ausgabe",O1336=""),0,IF(O1336="x",-$E1336/(COUNTIF($J1336:$Q1336,"x")+1),-$E1336*N(O1336)))</f>
        <v/>
      </c>
      <c r="AD1336" s="34">
        <f>IF(OR($A1336="",$H1336&lt;&gt;"Ausgabe",P1336=""),0,IF(P1336="x",-$E1336/(COUNTIF($J1336:$Q1336,"x")+1),-$E1336*N(P1336)))</f>
        <v/>
      </c>
      <c r="AE1336" s="34">
        <f>IF(OR($A1336="",$H1336&lt;&gt;"Ausgabe",Q1336=""),0,IF(Q1336="x",-$E1336/(COUNTIF($J1336:$Q1336,"x")+1),-$E1336*N(Q1336)))</f>
        <v/>
      </c>
    </row>
    <row r="1337">
      <c r="A1337" s="30" t="n"/>
      <c r="E1337" s="31" t="n"/>
      <c r="J1337" s="32" t="n"/>
      <c r="K1337" s="32" t="n"/>
      <c r="L1337" s="32" t="n"/>
      <c r="M1337" s="32" t="n"/>
      <c r="N1337" s="32" t="n"/>
      <c r="O1337" s="32" t="n"/>
      <c r="P1337" s="32" t="n"/>
      <c r="Q1337" s="32" t="n"/>
      <c r="U1337" s="31">
        <f>IF($A1337="","",SUM(X1337:AE1337))</f>
        <v/>
      </c>
      <c r="V1337" s="31">
        <f>IF($A1337="","",IF($H1337&lt;&gt;"Ausgabe",0,-$E1337-$U1337))</f>
        <v/>
      </c>
      <c r="W1337" s="33">
        <f>IF($A1337="","",DATE(YEAR($A1337),MONTH($A1337),1))</f>
        <v/>
      </c>
      <c r="X1337" s="34">
        <f>IF(OR($A1337="",$H1337&lt;&gt;"Ausgabe",J1337=""),0,IF(J1337="x",-$E1337/(COUNTIF($J1337:$Q1337,"x")+1),-$E1337*N(J1337)))</f>
        <v/>
      </c>
      <c r="Y1337" s="34">
        <f>IF(OR($A1337="",$H1337&lt;&gt;"Ausgabe",K1337=""),0,IF(K1337="x",-$E1337/(COUNTIF($J1337:$Q1337,"x")+1),-$E1337*N(K1337)))</f>
        <v/>
      </c>
      <c r="Z1337" s="34">
        <f>IF(OR($A1337="",$H1337&lt;&gt;"Ausgabe",L1337=""),0,IF(L1337="x",-$E1337/(COUNTIF($J1337:$Q1337,"x")+1),-$E1337*N(L1337)))</f>
        <v/>
      </c>
      <c r="AA1337" s="34">
        <f>IF(OR($A1337="",$H1337&lt;&gt;"Ausgabe",M1337=""),0,IF(M1337="x",-$E1337/(COUNTIF($J1337:$Q1337,"x")+1),-$E1337*N(M1337)))</f>
        <v/>
      </c>
      <c r="AB1337" s="34">
        <f>IF(OR($A1337="",$H1337&lt;&gt;"Ausgabe",N1337=""),0,IF(N1337="x",-$E1337/(COUNTIF($J1337:$Q1337,"x")+1),-$E1337*N(N1337)))</f>
        <v/>
      </c>
      <c r="AC1337" s="34">
        <f>IF(OR($A1337="",$H1337&lt;&gt;"Ausgabe",O1337=""),0,IF(O1337="x",-$E1337/(COUNTIF($J1337:$Q1337,"x")+1),-$E1337*N(O1337)))</f>
        <v/>
      </c>
      <c r="AD1337" s="34">
        <f>IF(OR($A1337="",$H1337&lt;&gt;"Ausgabe",P1337=""),0,IF(P1337="x",-$E1337/(COUNTIF($J1337:$Q1337,"x")+1),-$E1337*N(P1337)))</f>
        <v/>
      </c>
      <c r="AE1337" s="34">
        <f>IF(OR($A1337="",$H1337&lt;&gt;"Ausgabe",Q1337=""),0,IF(Q1337="x",-$E1337/(COUNTIF($J1337:$Q1337,"x")+1),-$E1337*N(Q1337)))</f>
        <v/>
      </c>
    </row>
    <row r="1338">
      <c r="A1338" s="30" t="n"/>
      <c r="E1338" s="31" t="n"/>
      <c r="J1338" s="32" t="n"/>
      <c r="K1338" s="32" t="n"/>
      <c r="L1338" s="32" t="n"/>
      <c r="M1338" s="32" t="n"/>
      <c r="N1338" s="32" t="n"/>
      <c r="O1338" s="32" t="n"/>
      <c r="P1338" s="32" t="n"/>
      <c r="Q1338" s="32" t="n"/>
      <c r="U1338" s="31">
        <f>IF($A1338="","",SUM(X1338:AE1338))</f>
        <v/>
      </c>
      <c r="V1338" s="31">
        <f>IF($A1338="","",IF($H1338&lt;&gt;"Ausgabe",0,-$E1338-$U1338))</f>
        <v/>
      </c>
      <c r="W1338" s="33">
        <f>IF($A1338="","",DATE(YEAR($A1338),MONTH($A1338),1))</f>
        <v/>
      </c>
      <c r="X1338" s="34">
        <f>IF(OR($A1338="",$H1338&lt;&gt;"Ausgabe",J1338=""),0,IF(J1338="x",-$E1338/(COUNTIF($J1338:$Q1338,"x")+1),-$E1338*N(J1338)))</f>
        <v/>
      </c>
      <c r="Y1338" s="34">
        <f>IF(OR($A1338="",$H1338&lt;&gt;"Ausgabe",K1338=""),0,IF(K1338="x",-$E1338/(COUNTIF($J1338:$Q1338,"x")+1),-$E1338*N(K1338)))</f>
        <v/>
      </c>
      <c r="Z1338" s="34">
        <f>IF(OR($A1338="",$H1338&lt;&gt;"Ausgabe",L1338=""),0,IF(L1338="x",-$E1338/(COUNTIF($J1338:$Q1338,"x")+1),-$E1338*N(L1338)))</f>
        <v/>
      </c>
      <c r="AA1338" s="34">
        <f>IF(OR($A1338="",$H1338&lt;&gt;"Ausgabe",M1338=""),0,IF(M1338="x",-$E1338/(COUNTIF($J1338:$Q1338,"x")+1),-$E1338*N(M1338)))</f>
        <v/>
      </c>
      <c r="AB1338" s="34">
        <f>IF(OR($A1338="",$H1338&lt;&gt;"Ausgabe",N1338=""),0,IF(N1338="x",-$E1338/(COUNTIF($J1338:$Q1338,"x")+1),-$E1338*N(N1338)))</f>
        <v/>
      </c>
      <c r="AC1338" s="34">
        <f>IF(OR($A1338="",$H1338&lt;&gt;"Ausgabe",O1338=""),0,IF(O1338="x",-$E1338/(COUNTIF($J1338:$Q1338,"x")+1),-$E1338*N(O1338)))</f>
        <v/>
      </c>
      <c r="AD1338" s="34">
        <f>IF(OR($A1338="",$H1338&lt;&gt;"Ausgabe",P1338=""),0,IF(P1338="x",-$E1338/(COUNTIF($J1338:$Q1338,"x")+1),-$E1338*N(P1338)))</f>
        <v/>
      </c>
      <c r="AE1338" s="34">
        <f>IF(OR($A1338="",$H1338&lt;&gt;"Ausgabe",Q1338=""),0,IF(Q1338="x",-$E1338/(COUNTIF($J1338:$Q1338,"x")+1),-$E1338*N(Q1338)))</f>
        <v/>
      </c>
    </row>
    <row r="1339">
      <c r="A1339" s="30" t="n"/>
      <c r="E1339" s="31" t="n"/>
      <c r="J1339" s="32" t="n"/>
      <c r="K1339" s="32" t="n"/>
      <c r="L1339" s="32" t="n"/>
      <c r="M1339" s="32" t="n"/>
      <c r="N1339" s="32" t="n"/>
      <c r="O1339" s="32" t="n"/>
      <c r="P1339" s="32" t="n"/>
      <c r="Q1339" s="32" t="n"/>
      <c r="U1339" s="31">
        <f>IF($A1339="","",SUM(X1339:AE1339))</f>
        <v/>
      </c>
      <c r="V1339" s="31">
        <f>IF($A1339="","",IF($H1339&lt;&gt;"Ausgabe",0,-$E1339-$U1339))</f>
        <v/>
      </c>
      <c r="W1339" s="33">
        <f>IF($A1339="","",DATE(YEAR($A1339),MONTH($A1339),1))</f>
        <v/>
      </c>
      <c r="X1339" s="34">
        <f>IF(OR($A1339="",$H1339&lt;&gt;"Ausgabe",J1339=""),0,IF(J1339="x",-$E1339/(COUNTIF($J1339:$Q1339,"x")+1),-$E1339*N(J1339)))</f>
        <v/>
      </c>
      <c r="Y1339" s="34">
        <f>IF(OR($A1339="",$H1339&lt;&gt;"Ausgabe",K1339=""),0,IF(K1339="x",-$E1339/(COUNTIF($J1339:$Q1339,"x")+1),-$E1339*N(K1339)))</f>
        <v/>
      </c>
      <c r="Z1339" s="34">
        <f>IF(OR($A1339="",$H1339&lt;&gt;"Ausgabe",L1339=""),0,IF(L1339="x",-$E1339/(COUNTIF($J1339:$Q1339,"x")+1),-$E1339*N(L1339)))</f>
        <v/>
      </c>
      <c r="AA1339" s="34">
        <f>IF(OR($A1339="",$H1339&lt;&gt;"Ausgabe",M1339=""),0,IF(M1339="x",-$E1339/(COUNTIF($J1339:$Q1339,"x")+1),-$E1339*N(M1339)))</f>
        <v/>
      </c>
      <c r="AB1339" s="34">
        <f>IF(OR($A1339="",$H1339&lt;&gt;"Ausgabe",N1339=""),0,IF(N1339="x",-$E1339/(COUNTIF($J1339:$Q1339,"x")+1),-$E1339*N(N1339)))</f>
        <v/>
      </c>
      <c r="AC1339" s="34">
        <f>IF(OR($A1339="",$H1339&lt;&gt;"Ausgabe",O1339=""),0,IF(O1339="x",-$E1339/(COUNTIF($J1339:$Q1339,"x")+1),-$E1339*N(O1339)))</f>
        <v/>
      </c>
      <c r="AD1339" s="34">
        <f>IF(OR($A1339="",$H1339&lt;&gt;"Ausgabe",P1339=""),0,IF(P1339="x",-$E1339/(COUNTIF($J1339:$Q1339,"x")+1),-$E1339*N(P1339)))</f>
        <v/>
      </c>
      <c r="AE1339" s="34">
        <f>IF(OR($A1339="",$H1339&lt;&gt;"Ausgabe",Q1339=""),0,IF(Q1339="x",-$E1339/(COUNTIF($J1339:$Q1339,"x")+1),-$E1339*N(Q1339)))</f>
        <v/>
      </c>
    </row>
    <row r="1340">
      <c r="A1340" s="30" t="n"/>
      <c r="E1340" s="31" t="n"/>
      <c r="J1340" s="32" t="n"/>
      <c r="K1340" s="32" t="n"/>
      <c r="L1340" s="32" t="n"/>
      <c r="M1340" s="32" t="n"/>
      <c r="N1340" s="32" t="n"/>
      <c r="O1340" s="32" t="n"/>
      <c r="P1340" s="32" t="n"/>
      <c r="Q1340" s="32" t="n"/>
      <c r="U1340" s="31">
        <f>IF($A1340="","",SUM(X1340:AE1340))</f>
        <v/>
      </c>
      <c r="V1340" s="31">
        <f>IF($A1340="","",IF($H1340&lt;&gt;"Ausgabe",0,-$E1340-$U1340))</f>
        <v/>
      </c>
      <c r="W1340" s="33">
        <f>IF($A1340="","",DATE(YEAR($A1340),MONTH($A1340),1))</f>
        <v/>
      </c>
      <c r="X1340" s="34">
        <f>IF(OR($A1340="",$H1340&lt;&gt;"Ausgabe",J1340=""),0,IF(J1340="x",-$E1340/(COUNTIF($J1340:$Q1340,"x")+1),-$E1340*N(J1340)))</f>
        <v/>
      </c>
      <c r="Y1340" s="34">
        <f>IF(OR($A1340="",$H1340&lt;&gt;"Ausgabe",K1340=""),0,IF(K1340="x",-$E1340/(COUNTIF($J1340:$Q1340,"x")+1),-$E1340*N(K1340)))</f>
        <v/>
      </c>
      <c r="Z1340" s="34">
        <f>IF(OR($A1340="",$H1340&lt;&gt;"Ausgabe",L1340=""),0,IF(L1340="x",-$E1340/(COUNTIF($J1340:$Q1340,"x")+1),-$E1340*N(L1340)))</f>
        <v/>
      </c>
      <c r="AA1340" s="34">
        <f>IF(OR($A1340="",$H1340&lt;&gt;"Ausgabe",M1340=""),0,IF(M1340="x",-$E1340/(COUNTIF($J1340:$Q1340,"x")+1),-$E1340*N(M1340)))</f>
        <v/>
      </c>
      <c r="AB1340" s="34">
        <f>IF(OR($A1340="",$H1340&lt;&gt;"Ausgabe",N1340=""),0,IF(N1340="x",-$E1340/(COUNTIF($J1340:$Q1340,"x")+1),-$E1340*N(N1340)))</f>
        <v/>
      </c>
      <c r="AC1340" s="34">
        <f>IF(OR($A1340="",$H1340&lt;&gt;"Ausgabe",O1340=""),0,IF(O1340="x",-$E1340/(COUNTIF($J1340:$Q1340,"x")+1),-$E1340*N(O1340)))</f>
        <v/>
      </c>
      <c r="AD1340" s="34">
        <f>IF(OR($A1340="",$H1340&lt;&gt;"Ausgabe",P1340=""),0,IF(P1340="x",-$E1340/(COUNTIF($J1340:$Q1340,"x")+1),-$E1340*N(P1340)))</f>
        <v/>
      </c>
      <c r="AE1340" s="34">
        <f>IF(OR($A1340="",$H1340&lt;&gt;"Ausgabe",Q1340=""),0,IF(Q1340="x",-$E1340/(COUNTIF($J1340:$Q1340,"x")+1),-$E1340*N(Q1340)))</f>
        <v/>
      </c>
    </row>
    <row r="1341">
      <c r="A1341" s="30" t="n"/>
      <c r="E1341" s="31" t="n"/>
      <c r="J1341" s="32" t="n"/>
      <c r="K1341" s="32" t="n"/>
      <c r="L1341" s="32" t="n"/>
      <c r="M1341" s="32" t="n"/>
      <c r="N1341" s="32" t="n"/>
      <c r="O1341" s="32" t="n"/>
      <c r="P1341" s="32" t="n"/>
      <c r="Q1341" s="32" t="n"/>
      <c r="U1341" s="31">
        <f>IF($A1341="","",SUM(X1341:AE1341))</f>
        <v/>
      </c>
      <c r="V1341" s="31">
        <f>IF($A1341="","",IF($H1341&lt;&gt;"Ausgabe",0,-$E1341-$U1341))</f>
        <v/>
      </c>
      <c r="W1341" s="33">
        <f>IF($A1341="","",DATE(YEAR($A1341),MONTH($A1341),1))</f>
        <v/>
      </c>
      <c r="X1341" s="34">
        <f>IF(OR($A1341="",$H1341&lt;&gt;"Ausgabe",J1341=""),0,IF(J1341="x",-$E1341/(COUNTIF($J1341:$Q1341,"x")+1),-$E1341*N(J1341)))</f>
        <v/>
      </c>
      <c r="Y1341" s="34">
        <f>IF(OR($A1341="",$H1341&lt;&gt;"Ausgabe",K1341=""),0,IF(K1341="x",-$E1341/(COUNTIF($J1341:$Q1341,"x")+1),-$E1341*N(K1341)))</f>
        <v/>
      </c>
      <c r="Z1341" s="34">
        <f>IF(OR($A1341="",$H1341&lt;&gt;"Ausgabe",L1341=""),0,IF(L1341="x",-$E1341/(COUNTIF($J1341:$Q1341,"x")+1),-$E1341*N(L1341)))</f>
        <v/>
      </c>
      <c r="AA1341" s="34">
        <f>IF(OR($A1341="",$H1341&lt;&gt;"Ausgabe",M1341=""),0,IF(M1341="x",-$E1341/(COUNTIF($J1341:$Q1341,"x")+1),-$E1341*N(M1341)))</f>
        <v/>
      </c>
      <c r="AB1341" s="34">
        <f>IF(OR($A1341="",$H1341&lt;&gt;"Ausgabe",N1341=""),0,IF(N1341="x",-$E1341/(COUNTIF($J1341:$Q1341,"x")+1),-$E1341*N(N1341)))</f>
        <v/>
      </c>
      <c r="AC1341" s="34">
        <f>IF(OR($A1341="",$H1341&lt;&gt;"Ausgabe",O1341=""),0,IF(O1341="x",-$E1341/(COUNTIF($J1341:$Q1341,"x")+1),-$E1341*N(O1341)))</f>
        <v/>
      </c>
      <c r="AD1341" s="34">
        <f>IF(OR($A1341="",$H1341&lt;&gt;"Ausgabe",P1341=""),0,IF(P1341="x",-$E1341/(COUNTIF($J1341:$Q1341,"x")+1),-$E1341*N(P1341)))</f>
        <v/>
      </c>
      <c r="AE1341" s="34">
        <f>IF(OR($A1341="",$H1341&lt;&gt;"Ausgabe",Q1341=""),0,IF(Q1341="x",-$E1341/(COUNTIF($J1341:$Q1341,"x")+1),-$E1341*N(Q1341)))</f>
        <v/>
      </c>
    </row>
    <row r="1342">
      <c r="A1342" s="30" t="n"/>
      <c r="E1342" s="31" t="n"/>
      <c r="J1342" s="32" t="n"/>
      <c r="K1342" s="32" t="n"/>
      <c r="L1342" s="32" t="n"/>
      <c r="M1342" s="32" t="n"/>
      <c r="N1342" s="32" t="n"/>
      <c r="O1342" s="32" t="n"/>
      <c r="P1342" s="32" t="n"/>
      <c r="Q1342" s="32" t="n"/>
      <c r="U1342" s="31">
        <f>IF($A1342="","",SUM(X1342:AE1342))</f>
        <v/>
      </c>
      <c r="V1342" s="31">
        <f>IF($A1342="","",IF($H1342&lt;&gt;"Ausgabe",0,-$E1342-$U1342))</f>
        <v/>
      </c>
      <c r="W1342" s="33">
        <f>IF($A1342="","",DATE(YEAR($A1342),MONTH($A1342),1))</f>
        <v/>
      </c>
      <c r="X1342" s="34">
        <f>IF(OR($A1342="",$H1342&lt;&gt;"Ausgabe",J1342=""),0,IF(J1342="x",-$E1342/(COUNTIF($J1342:$Q1342,"x")+1),-$E1342*N(J1342)))</f>
        <v/>
      </c>
      <c r="Y1342" s="34">
        <f>IF(OR($A1342="",$H1342&lt;&gt;"Ausgabe",K1342=""),0,IF(K1342="x",-$E1342/(COUNTIF($J1342:$Q1342,"x")+1),-$E1342*N(K1342)))</f>
        <v/>
      </c>
      <c r="Z1342" s="34">
        <f>IF(OR($A1342="",$H1342&lt;&gt;"Ausgabe",L1342=""),0,IF(L1342="x",-$E1342/(COUNTIF($J1342:$Q1342,"x")+1),-$E1342*N(L1342)))</f>
        <v/>
      </c>
      <c r="AA1342" s="34">
        <f>IF(OR($A1342="",$H1342&lt;&gt;"Ausgabe",M1342=""),0,IF(M1342="x",-$E1342/(COUNTIF($J1342:$Q1342,"x")+1),-$E1342*N(M1342)))</f>
        <v/>
      </c>
      <c r="AB1342" s="34">
        <f>IF(OR($A1342="",$H1342&lt;&gt;"Ausgabe",N1342=""),0,IF(N1342="x",-$E1342/(COUNTIF($J1342:$Q1342,"x")+1),-$E1342*N(N1342)))</f>
        <v/>
      </c>
      <c r="AC1342" s="34">
        <f>IF(OR($A1342="",$H1342&lt;&gt;"Ausgabe",O1342=""),0,IF(O1342="x",-$E1342/(COUNTIF($J1342:$Q1342,"x")+1),-$E1342*N(O1342)))</f>
        <v/>
      </c>
      <c r="AD1342" s="34">
        <f>IF(OR($A1342="",$H1342&lt;&gt;"Ausgabe",P1342=""),0,IF(P1342="x",-$E1342/(COUNTIF($J1342:$Q1342,"x")+1),-$E1342*N(P1342)))</f>
        <v/>
      </c>
      <c r="AE1342" s="34">
        <f>IF(OR($A1342="",$H1342&lt;&gt;"Ausgabe",Q1342=""),0,IF(Q1342="x",-$E1342/(COUNTIF($J1342:$Q1342,"x")+1),-$E1342*N(Q1342)))</f>
        <v/>
      </c>
    </row>
    <row r="1343">
      <c r="A1343" s="30" t="n"/>
      <c r="E1343" s="31" t="n"/>
      <c r="J1343" s="32" t="n"/>
      <c r="K1343" s="32" t="n"/>
      <c r="L1343" s="32" t="n"/>
      <c r="M1343" s="32" t="n"/>
      <c r="N1343" s="32" t="n"/>
      <c r="O1343" s="32" t="n"/>
      <c r="P1343" s="32" t="n"/>
      <c r="Q1343" s="32" t="n"/>
      <c r="U1343" s="31">
        <f>IF($A1343="","",SUM(X1343:AE1343))</f>
        <v/>
      </c>
      <c r="V1343" s="31">
        <f>IF($A1343="","",IF($H1343&lt;&gt;"Ausgabe",0,-$E1343-$U1343))</f>
        <v/>
      </c>
      <c r="W1343" s="33">
        <f>IF($A1343="","",DATE(YEAR($A1343),MONTH($A1343),1))</f>
        <v/>
      </c>
      <c r="X1343" s="34">
        <f>IF(OR($A1343="",$H1343&lt;&gt;"Ausgabe",J1343=""),0,IF(J1343="x",-$E1343/(COUNTIF($J1343:$Q1343,"x")+1),-$E1343*N(J1343)))</f>
        <v/>
      </c>
      <c r="Y1343" s="34">
        <f>IF(OR($A1343="",$H1343&lt;&gt;"Ausgabe",K1343=""),0,IF(K1343="x",-$E1343/(COUNTIF($J1343:$Q1343,"x")+1),-$E1343*N(K1343)))</f>
        <v/>
      </c>
      <c r="Z1343" s="34">
        <f>IF(OR($A1343="",$H1343&lt;&gt;"Ausgabe",L1343=""),0,IF(L1343="x",-$E1343/(COUNTIF($J1343:$Q1343,"x")+1),-$E1343*N(L1343)))</f>
        <v/>
      </c>
      <c r="AA1343" s="34">
        <f>IF(OR($A1343="",$H1343&lt;&gt;"Ausgabe",M1343=""),0,IF(M1343="x",-$E1343/(COUNTIF($J1343:$Q1343,"x")+1),-$E1343*N(M1343)))</f>
        <v/>
      </c>
      <c r="AB1343" s="34">
        <f>IF(OR($A1343="",$H1343&lt;&gt;"Ausgabe",N1343=""),0,IF(N1343="x",-$E1343/(COUNTIF($J1343:$Q1343,"x")+1),-$E1343*N(N1343)))</f>
        <v/>
      </c>
      <c r="AC1343" s="34">
        <f>IF(OR($A1343="",$H1343&lt;&gt;"Ausgabe",O1343=""),0,IF(O1343="x",-$E1343/(COUNTIF($J1343:$Q1343,"x")+1),-$E1343*N(O1343)))</f>
        <v/>
      </c>
      <c r="AD1343" s="34">
        <f>IF(OR($A1343="",$H1343&lt;&gt;"Ausgabe",P1343=""),0,IF(P1343="x",-$E1343/(COUNTIF($J1343:$Q1343,"x")+1),-$E1343*N(P1343)))</f>
        <v/>
      </c>
      <c r="AE1343" s="34">
        <f>IF(OR($A1343="",$H1343&lt;&gt;"Ausgabe",Q1343=""),0,IF(Q1343="x",-$E1343/(COUNTIF($J1343:$Q1343,"x")+1),-$E1343*N(Q1343)))</f>
        <v/>
      </c>
    </row>
    <row r="1344">
      <c r="A1344" s="30" t="n"/>
      <c r="E1344" s="31" t="n"/>
      <c r="J1344" s="32" t="n"/>
      <c r="K1344" s="32" t="n"/>
      <c r="L1344" s="32" t="n"/>
      <c r="M1344" s="32" t="n"/>
      <c r="N1344" s="32" t="n"/>
      <c r="O1344" s="32" t="n"/>
      <c r="P1344" s="32" t="n"/>
      <c r="Q1344" s="32" t="n"/>
      <c r="U1344" s="31">
        <f>IF($A1344="","",SUM(X1344:AE1344))</f>
        <v/>
      </c>
      <c r="V1344" s="31">
        <f>IF($A1344="","",IF($H1344&lt;&gt;"Ausgabe",0,-$E1344-$U1344))</f>
        <v/>
      </c>
      <c r="W1344" s="33">
        <f>IF($A1344="","",DATE(YEAR($A1344),MONTH($A1344),1))</f>
        <v/>
      </c>
      <c r="X1344" s="34">
        <f>IF(OR($A1344="",$H1344&lt;&gt;"Ausgabe",J1344=""),0,IF(J1344="x",-$E1344/(COUNTIF($J1344:$Q1344,"x")+1),-$E1344*N(J1344)))</f>
        <v/>
      </c>
      <c r="Y1344" s="34">
        <f>IF(OR($A1344="",$H1344&lt;&gt;"Ausgabe",K1344=""),0,IF(K1344="x",-$E1344/(COUNTIF($J1344:$Q1344,"x")+1),-$E1344*N(K1344)))</f>
        <v/>
      </c>
      <c r="Z1344" s="34">
        <f>IF(OR($A1344="",$H1344&lt;&gt;"Ausgabe",L1344=""),0,IF(L1344="x",-$E1344/(COUNTIF($J1344:$Q1344,"x")+1),-$E1344*N(L1344)))</f>
        <v/>
      </c>
      <c r="AA1344" s="34">
        <f>IF(OR($A1344="",$H1344&lt;&gt;"Ausgabe",M1344=""),0,IF(M1344="x",-$E1344/(COUNTIF($J1344:$Q1344,"x")+1),-$E1344*N(M1344)))</f>
        <v/>
      </c>
      <c r="AB1344" s="34">
        <f>IF(OR($A1344="",$H1344&lt;&gt;"Ausgabe",N1344=""),0,IF(N1344="x",-$E1344/(COUNTIF($J1344:$Q1344,"x")+1),-$E1344*N(N1344)))</f>
        <v/>
      </c>
      <c r="AC1344" s="34">
        <f>IF(OR($A1344="",$H1344&lt;&gt;"Ausgabe",O1344=""),0,IF(O1344="x",-$E1344/(COUNTIF($J1344:$Q1344,"x")+1),-$E1344*N(O1344)))</f>
        <v/>
      </c>
      <c r="AD1344" s="34">
        <f>IF(OR($A1344="",$H1344&lt;&gt;"Ausgabe",P1344=""),0,IF(P1344="x",-$E1344/(COUNTIF($J1344:$Q1344,"x")+1),-$E1344*N(P1344)))</f>
        <v/>
      </c>
      <c r="AE1344" s="34">
        <f>IF(OR($A1344="",$H1344&lt;&gt;"Ausgabe",Q1344=""),0,IF(Q1344="x",-$E1344/(COUNTIF($J1344:$Q1344,"x")+1),-$E1344*N(Q1344)))</f>
        <v/>
      </c>
    </row>
    <row r="1345">
      <c r="A1345" s="30" t="n"/>
      <c r="E1345" s="31" t="n"/>
      <c r="J1345" s="32" t="n"/>
      <c r="K1345" s="32" t="n"/>
      <c r="L1345" s="32" t="n"/>
      <c r="M1345" s="32" t="n"/>
      <c r="N1345" s="32" t="n"/>
      <c r="O1345" s="32" t="n"/>
      <c r="P1345" s="32" t="n"/>
      <c r="Q1345" s="32" t="n"/>
      <c r="U1345" s="31">
        <f>IF($A1345="","",SUM(X1345:AE1345))</f>
        <v/>
      </c>
      <c r="V1345" s="31">
        <f>IF($A1345="","",IF($H1345&lt;&gt;"Ausgabe",0,-$E1345-$U1345))</f>
        <v/>
      </c>
      <c r="W1345" s="33">
        <f>IF($A1345="","",DATE(YEAR($A1345),MONTH($A1345),1))</f>
        <v/>
      </c>
      <c r="X1345" s="34">
        <f>IF(OR($A1345="",$H1345&lt;&gt;"Ausgabe",J1345=""),0,IF(J1345="x",-$E1345/(COUNTIF($J1345:$Q1345,"x")+1),-$E1345*N(J1345)))</f>
        <v/>
      </c>
      <c r="Y1345" s="34">
        <f>IF(OR($A1345="",$H1345&lt;&gt;"Ausgabe",K1345=""),0,IF(K1345="x",-$E1345/(COUNTIF($J1345:$Q1345,"x")+1),-$E1345*N(K1345)))</f>
        <v/>
      </c>
      <c r="Z1345" s="34">
        <f>IF(OR($A1345="",$H1345&lt;&gt;"Ausgabe",L1345=""),0,IF(L1345="x",-$E1345/(COUNTIF($J1345:$Q1345,"x")+1),-$E1345*N(L1345)))</f>
        <v/>
      </c>
      <c r="AA1345" s="34">
        <f>IF(OR($A1345="",$H1345&lt;&gt;"Ausgabe",M1345=""),0,IF(M1345="x",-$E1345/(COUNTIF($J1345:$Q1345,"x")+1),-$E1345*N(M1345)))</f>
        <v/>
      </c>
      <c r="AB1345" s="34">
        <f>IF(OR($A1345="",$H1345&lt;&gt;"Ausgabe",N1345=""),0,IF(N1345="x",-$E1345/(COUNTIF($J1345:$Q1345,"x")+1),-$E1345*N(N1345)))</f>
        <v/>
      </c>
      <c r="AC1345" s="34">
        <f>IF(OR($A1345="",$H1345&lt;&gt;"Ausgabe",O1345=""),0,IF(O1345="x",-$E1345/(COUNTIF($J1345:$Q1345,"x")+1),-$E1345*N(O1345)))</f>
        <v/>
      </c>
      <c r="AD1345" s="34">
        <f>IF(OR($A1345="",$H1345&lt;&gt;"Ausgabe",P1345=""),0,IF(P1345="x",-$E1345/(COUNTIF($J1345:$Q1345,"x")+1),-$E1345*N(P1345)))</f>
        <v/>
      </c>
      <c r="AE1345" s="34">
        <f>IF(OR($A1345="",$H1345&lt;&gt;"Ausgabe",Q1345=""),0,IF(Q1345="x",-$E1345/(COUNTIF($J1345:$Q1345,"x")+1),-$E1345*N(Q1345)))</f>
        <v/>
      </c>
    </row>
    <row r="1346">
      <c r="A1346" s="30" t="n"/>
      <c r="E1346" s="31" t="n"/>
      <c r="J1346" s="32" t="n"/>
      <c r="K1346" s="32" t="n"/>
      <c r="L1346" s="32" t="n"/>
      <c r="M1346" s="32" t="n"/>
      <c r="N1346" s="32" t="n"/>
      <c r="O1346" s="32" t="n"/>
      <c r="P1346" s="32" t="n"/>
      <c r="Q1346" s="32" t="n"/>
      <c r="U1346" s="31">
        <f>IF($A1346="","",SUM(X1346:AE1346))</f>
        <v/>
      </c>
      <c r="V1346" s="31">
        <f>IF($A1346="","",IF($H1346&lt;&gt;"Ausgabe",0,-$E1346-$U1346))</f>
        <v/>
      </c>
      <c r="W1346" s="33">
        <f>IF($A1346="","",DATE(YEAR($A1346),MONTH($A1346),1))</f>
        <v/>
      </c>
      <c r="X1346" s="34">
        <f>IF(OR($A1346="",$H1346&lt;&gt;"Ausgabe",J1346=""),0,IF(J1346="x",-$E1346/(COUNTIF($J1346:$Q1346,"x")+1),-$E1346*N(J1346)))</f>
        <v/>
      </c>
      <c r="Y1346" s="34">
        <f>IF(OR($A1346="",$H1346&lt;&gt;"Ausgabe",K1346=""),0,IF(K1346="x",-$E1346/(COUNTIF($J1346:$Q1346,"x")+1),-$E1346*N(K1346)))</f>
        <v/>
      </c>
      <c r="Z1346" s="34">
        <f>IF(OR($A1346="",$H1346&lt;&gt;"Ausgabe",L1346=""),0,IF(L1346="x",-$E1346/(COUNTIF($J1346:$Q1346,"x")+1),-$E1346*N(L1346)))</f>
        <v/>
      </c>
      <c r="AA1346" s="34">
        <f>IF(OR($A1346="",$H1346&lt;&gt;"Ausgabe",M1346=""),0,IF(M1346="x",-$E1346/(COUNTIF($J1346:$Q1346,"x")+1),-$E1346*N(M1346)))</f>
        <v/>
      </c>
      <c r="AB1346" s="34">
        <f>IF(OR($A1346="",$H1346&lt;&gt;"Ausgabe",N1346=""),0,IF(N1346="x",-$E1346/(COUNTIF($J1346:$Q1346,"x")+1),-$E1346*N(N1346)))</f>
        <v/>
      </c>
      <c r="AC1346" s="34">
        <f>IF(OR($A1346="",$H1346&lt;&gt;"Ausgabe",O1346=""),0,IF(O1346="x",-$E1346/(COUNTIF($J1346:$Q1346,"x")+1),-$E1346*N(O1346)))</f>
        <v/>
      </c>
      <c r="AD1346" s="34">
        <f>IF(OR($A1346="",$H1346&lt;&gt;"Ausgabe",P1346=""),0,IF(P1346="x",-$E1346/(COUNTIF($J1346:$Q1346,"x")+1),-$E1346*N(P1346)))</f>
        <v/>
      </c>
      <c r="AE1346" s="34">
        <f>IF(OR($A1346="",$H1346&lt;&gt;"Ausgabe",Q1346=""),0,IF(Q1346="x",-$E1346/(COUNTIF($J1346:$Q1346,"x")+1),-$E1346*N(Q1346)))</f>
        <v/>
      </c>
    </row>
    <row r="1347">
      <c r="A1347" s="30" t="n"/>
      <c r="E1347" s="31" t="n"/>
      <c r="J1347" s="32" t="n"/>
      <c r="K1347" s="32" t="n"/>
      <c r="L1347" s="32" t="n"/>
      <c r="M1347" s="32" t="n"/>
      <c r="N1347" s="32" t="n"/>
      <c r="O1347" s="32" t="n"/>
      <c r="P1347" s="32" t="n"/>
      <c r="Q1347" s="32" t="n"/>
      <c r="U1347" s="31">
        <f>IF($A1347="","",SUM(X1347:AE1347))</f>
        <v/>
      </c>
      <c r="V1347" s="31">
        <f>IF($A1347="","",IF($H1347&lt;&gt;"Ausgabe",0,-$E1347-$U1347))</f>
        <v/>
      </c>
      <c r="W1347" s="33">
        <f>IF($A1347="","",DATE(YEAR($A1347),MONTH($A1347),1))</f>
        <v/>
      </c>
      <c r="X1347" s="34">
        <f>IF(OR($A1347="",$H1347&lt;&gt;"Ausgabe",J1347=""),0,IF(J1347="x",-$E1347/(COUNTIF($J1347:$Q1347,"x")+1),-$E1347*N(J1347)))</f>
        <v/>
      </c>
      <c r="Y1347" s="34">
        <f>IF(OR($A1347="",$H1347&lt;&gt;"Ausgabe",K1347=""),0,IF(K1347="x",-$E1347/(COUNTIF($J1347:$Q1347,"x")+1),-$E1347*N(K1347)))</f>
        <v/>
      </c>
      <c r="Z1347" s="34">
        <f>IF(OR($A1347="",$H1347&lt;&gt;"Ausgabe",L1347=""),0,IF(L1347="x",-$E1347/(COUNTIF($J1347:$Q1347,"x")+1),-$E1347*N(L1347)))</f>
        <v/>
      </c>
      <c r="AA1347" s="34">
        <f>IF(OR($A1347="",$H1347&lt;&gt;"Ausgabe",M1347=""),0,IF(M1347="x",-$E1347/(COUNTIF($J1347:$Q1347,"x")+1),-$E1347*N(M1347)))</f>
        <v/>
      </c>
      <c r="AB1347" s="34">
        <f>IF(OR($A1347="",$H1347&lt;&gt;"Ausgabe",N1347=""),0,IF(N1347="x",-$E1347/(COUNTIF($J1347:$Q1347,"x")+1),-$E1347*N(N1347)))</f>
        <v/>
      </c>
      <c r="AC1347" s="34">
        <f>IF(OR($A1347="",$H1347&lt;&gt;"Ausgabe",O1347=""),0,IF(O1347="x",-$E1347/(COUNTIF($J1347:$Q1347,"x")+1),-$E1347*N(O1347)))</f>
        <v/>
      </c>
      <c r="AD1347" s="34">
        <f>IF(OR($A1347="",$H1347&lt;&gt;"Ausgabe",P1347=""),0,IF(P1347="x",-$E1347/(COUNTIF($J1347:$Q1347,"x")+1),-$E1347*N(P1347)))</f>
        <v/>
      </c>
      <c r="AE1347" s="34">
        <f>IF(OR($A1347="",$H1347&lt;&gt;"Ausgabe",Q1347=""),0,IF(Q1347="x",-$E1347/(COUNTIF($J1347:$Q1347,"x")+1),-$E1347*N(Q1347)))</f>
        <v/>
      </c>
    </row>
    <row r="1348">
      <c r="A1348" s="30" t="n"/>
      <c r="E1348" s="31" t="n"/>
      <c r="J1348" s="32" t="n"/>
      <c r="K1348" s="32" t="n"/>
      <c r="L1348" s="32" t="n"/>
      <c r="M1348" s="32" t="n"/>
      <c r="N1348" s="32" t="n"/>
      <c r="O1348" s="32" t="n"/>
      <c r="P1348" s="32" t="n"/>
      <c r="Q1348" s="32" t="n"/>
      <c r="U1348" s="31">
        <f>IF($A1348="","",SUM(X1348:AE1348))</f>
        <v/>
      </c>
      <c r="V1348" s="31">
        <f>IF($A1348="","",IF($H1348&lt;&gt;"Ausgabe",0,-$E1348-$U1348))</f>
        <v/>
      </c>
      <c r="W1348" s="33">
        <f>IF($A1348="","",DATE(YEAR($A1348),MONTH($A1348),1))</f>
        <v/>
      </c>
      <c r="X1348" s="34">
        <f>IF(OR($A1348="",$H1348&lt;&gt;"Ausgabe",J1348=""),0,IF(J1348="x",-$E1348/(COUNTIF($J1348:$Q1348,"x")+1),-$E1348*N(J1348)))</f>
        <v/>
      </c>
      <c r="Y1348" s="34">
        <f>IF(OR($A1348="",$H1348&lt;&gt;"Ausgabe",K1348=""),0,IF(K1348="x",-$E1348/(COUNTIF($J1348:$Q1348,"x")+1),-$E1348*N(K1348)))</f>
        <v/>
      </c>
      <c r="Z1348" s="34">
        <f>IF(OR($A1348="",$H1348&lt;&gt;"Ausgabe",L1348=""),0,IF(L1348="x",-$E1348/(COUNTIF($J1348:$Q1348,"x")+1),-$E1348*N(L1348)))</f>
        <v/>
      </c>
      <c r="AA1348" s="34">
        <f>IF(OR($A1348="",$H1348&lt;&gt;"Ausgabe",M1348=""),0,IF(M1348="x",-$E1348/(COUNTIF($J1348:$Q1348,"x")+1),-$E1348*N(M1348)))</f>
        <v/>
      </c>
      <c r="AB1348" s="34">
        <f>IF(OR($A1348="",$H1348&lt;&gt;"Ausgabe",N1348=""),0,IF(N1348="x",-$E1348/(COUNTIF($J1348:$Q1348,"x")+1),-$E1348*N(N1348)))</f>
        <v/>
      </c>
      <c r="AC1348" s="34">
        <f>IF(OR($A1348="",$H1348&lt;&gt;"Ausgabe",O1348=""),0,IF(O1348="x",-$E1348/(COUNTIF($J1348:$Q1348,"x")+1),-$E1348*N(O1348)))</f>
        <v/>
      </c>
      <c r="AD1348" s="34">
        <f>IF(OR($A1348="",$H1348&lt;&gt;"Ausgabe",P1348=""),0,IF(P1348="x",-$E1348/(COUNTIF($J1348:$Q1348,"x")+1),-$E1348*N(P1348)))</f>
        <v/>
      </c>
      <c r="AE1348" s="34">
        <f>IF(OR($A1348="",$H1348&lt;&gt;"Ausgabe",Q1348=""),0,IF(Q1348="x",-$E1348/(COUNTIF($J1348:$Q1348,"x")+1),-$E1348*N(Q1348)))</f>
        <v/>
      </c>
    </row>
    <row r="1349">
      <c r="A1349" s="30" t="n"/>
      <c r="E1349" s="31" t="n"/>
      <c r="J1349" s="32" t="n"/>
      <c r="K1349" s="32" t="n"/>
      <c r="L1349" s="32" t="n"/>
      <c r="M1349" s="32" t="n"/>
      <c r="N1349" s="32" t="n"/>
      <c r="O1349" s="32" t="n"/>
      <c r="P1349" s="32" t="n"/>
      <c r="Q1349" s="32" t="n"/>
      <c r="U1349" s="31">
        <f>IF($A1349="","",SUM(X1349:AE1349))</f>
        <v/>
      </c>
      <c r="V1349" s="31">
        <f>IF($A1349="","",IF($H1349&lt;&gt;"Ausgabe",0,-$E1349-$U1349))</f>
        <v/>
      </c>
      <c r="W1349" s="33">
        <f>IF($A1349="","",DATE(YEAR($A1349),MONTH($A1349),1))</f>
        <v/>
      </c>
      <c r="X1349" s="34">
        <f>IF(OR($A1349="",$H1349&lt;&gt;"Ausgabe",J1349=""),0,IF(J1349="x",-$E1349/(COUNTIF($J1349:$Q1349,"x")+1),-$E1349*N(J1349)))</f>
        <v/>
      </c>
      <c r="Y1349" s="34">
        <f>IF(OR($A1349="",$H1349&lt;&gt;"Ausgabe",K1349=""),0,IF(K1349="x",-$E1349/(COUNTIF($J1349:$Q1349,"x")+1),-$E1349*N(K1349)))</f>
        <v/>
      </c>
      <c r="Z1349" s="34">
        <f>IF(OR($A1349="",$H1349&lt;&gt;"Ausgabe",L1349=""),0,IF(L1349="x",-$E1349/(COUNTIF($J1349:$Q1349,"x")+1),-$E1349*N(L1349)))</f>
        <v/>
      </c>
      <c r="AA1349" s="34">
        <f>IF(OR($A1349="",$H1349&lt;&gt;"Ausgabe",M1349=""),0,IF(M1349="x",-$E1349/(COUNTIF($J1349:$Q1349,"x")+1),-$E1349*N(M1349)))</f>
        <v/>
      </c>
      <c r="AB1349" s="34">
        <f>IF(OR($A1349="",$H1349&lt;&gt;"Ausgabe",N1349=""),0,IF(N1349="x",-$E1349/(COUNTIF($J1349:$Q1349,"x")+1),-$E1349*N(N1349)))</f>
        <v/>
      </c>
      <c r="AC1349" s="34">
        <f>IF(OR($A1349="",$H1349&lt;&gt;"Ausgabe",O1349=""),0,IF(O1349="x",-$E1349/(COUNTIF($J1349:$Q1349,"x")+1),-$E1349*N(O1349)))</f>
        <v/>
      </c>
      <c r="AD1349" s="34">
        <f>IF(OR($A1349="",$H1349&lt;&gt;"Ausgabe",P1349=""),0,IF(P1349="x",-$E1349/(COUNTIF($J1349:$Q1349,"x")+1),-$E1349*N(P1349)))</f>
        <v/>
      </c>
      <c r="AE1349" s="34">
        <f>IF(OR($A1349="",$H1349&lt;&gt;"Ausgabe",Q1349=""),0,IF(Q1349="x",-$E1349/(COUNTIF($J1349:$Q1349,"x")+1),-$E1349*N(Q1349)))</f>
        <v/>
      </c>
    </row>
    <row r="1350">
      <c r="A1350" s="30" t="n"/>
      <c r="E1350" s="31" t="n"/>
      <c r="J1350" s="32" t="n"/>
      <c r="K1350" s="32" t="n"/>
      <c r="L1350" s="32" t="n"/>
      <c r="M1350" s="32" t="n"/>
      <c r="N1350" s="32" t="n"/>
      <c r="O1350" s="32" t="n"/>
      <c r="P1350" s="32" t="n"/>
      <c r="Q1350" s="32" t="n"/>
      <c r="U1350" s="31">
        <f>IF($A1350="","",SUM(X1350:AE1350))</f>
        <v/>
      </c>
      <c r="V1350" s="31">
        <f>IF($A1350="","",IF($H1350&lt;&gt;"Ausgabe",0,-$E1350-$U1350))</f>
        <v/>
      </c>
      <c r="W1350" s="33">
        <f>IF($A1350="","",DATE(YEAR($A1350),MONTH($A1350),1))</f>
        <v/>
      </c>
      <c r="X1350" s="34">
        <f>IF(OR($A1350="",$H1350&lt;&gt;"Ausgabe",J1350=""),0,IF(J1350="x",-$E1350/(COUNTIF($J1350:$Q1350,"x")+1),-$E1350*N(J1350)))</f>
        <v/>
      </c>
      <c r="Y1350" s="34">
        <f>IF(OR($A1350="",$H1350&lt;&gt;"Ausgabe",K1350=""),0,IF(K1350="x",-$E1350/(COUNTIF($J1350:$Q1350,"x")+1),-$E1350*N(K1350)))</f>
        <v/>
      </c>
      <c r="Z1350" s="34">
        <f>IF(OR($A1350="",$H1350&lt;&gt;"Ausgabe",L1350=""),0,IF(L1350="x",-$E1350/(COUNTIF($J1350:$Q1350,"x")+1),-$E1350*N(L1350)))</f>
        <v/>
      </c>
      <c r="AA1350" s="34">
        <f>IF(OR($A1350="",$H1350&lt;&gt;"Ausgabe",M1350=""),0,IF(M1350="x",-$E1350/(COUNTIF($J1350:$Q1350,"x")+1),-$E1350*N(M1350)))</f>
        <v/>
      </c>
      <c r="AB1350" s="34">
        <f>IF(OR($A1350="",$H1350&lt;&gt;"Ausgabe",N1350=""),0,IF(N1350="x",-$E1350/(COUNTIF($J1350:$Q1350,"x")+1),-$E1350*N(N1350)))</f>
        <v/>
      </c>
      <c r="AC1350" s="34">
        <f>IF(OR($A1350="",$H1350&lt;&gt;"Ausgabe",O1350=""),0,IF(O1350="x",-$E1350/(COUNTIF($J1350:$Q1350,"x")+1),-$E1350*N(O1350)))</f>
        <v/>
      </c>
      <c r="AD1350" s="34">
        <f>IF(OR($A1350="",$H1350&lt;&gt;"Ausgabe",P1350=""),0,IF(P1350="x",-$E1350/(COUNTIF($J1350:$Q1350,"x")+1),-$E1350*N(P1350)))</f>
        <v/>
      </c>
      <c r="AE1350" s="34">
        <f>IF(OR($A1350="",$H1350&lt;&gt;"Ausgabe",Q1350=""),0,IF(Q1350="x",-$E1350/(COUNTIF($J1350:$Q1350,"x")+1),-$E1350*N(Q1350)))</f>
        <v/>
      </c>
    </row>
    <row r="1351">
      <c r="A1351" s="30" t="n"/>
      <c r="E1351" s="31" t="n"/>
      <c r="J1351" s="32" t="n"/>
      <c r="K1351" s="32" t="n"/>
      <c r="L1351" s="32" t="n"/>
      <c r="M1351" s="32" t="n"/>
      <c r="N1351" s="32" t="n"/>
      <c r="O1351" s="32" t="n"/>
      <c r="P1351" s="32" t="n"/>
      <c r="Q1351" s="32" t="n"/>
      <c r="U1351" s="31">
        <f>IF($A1351="","",SUM(X1351:AE1351))</f>
        <v/>
      </c>
      <c r="V1351" s="31">
        <f>IF($A1351="","",IF($H1351&lt;&gt;"Ausgabe",0,-$E1351-$U1351))</f>
        <v/>
      </c>
      <c r="W1351" s="33">
        <f>IF($A1351="","",DATE(YEAR($A1351),MONTH($A1351),1))</f>
        <v/>
      </c>
      <c r="X1351" s="34">
        <f>IF(OR($A1351="",$H1351&lt;&gt;"Ausgabe",J1351=""),0,IF(J1351="x",-$E1351/(COUNTIF($J1351:$Q1351,"x")+1),-$E1351*N(J1351)))</f>
        <v/>
      </c>
      <c r="Y1351" s="34">
        <f>IF(OR($A1351="",$H1351&lt;&gt;"Ausgabe",K1351=""),0,IF(K1351="x",-$E1351/(COUNTIF($J1351:$Q1351,"x")+1),-$E1351*N(K1351)))</f>
        <v/>
      </c>
      <c r="Z1351" s="34">
        <f>IF(OR($A1351="",$H1351&lt;&gt;"Ausgabe",L1351=""),0,IF(L1351="x",-$E1351/(COUNTIF($J1351:$Q1351,"x")+1),-$E1351*N(L1351)))</f>
        <v/>
      </c>
      <c r="AA1351" s="34">
        <f>IF(OR($A1351="",$H1351&lt;&gt;"Ausgabe",M1351=""),0,IF(M1351="x",-$E1351/(COUNTIF($J1351:$Q1351,"x")+1),-$E1351*N(M1351)))</f>
        <v/>
      </c>
      <c r="AB1351" s="34">
        <f>IF(OR($A1351="",$H1351&lt;&gt;"Ausgabe",N1351=""),0,IF(N1351="x",-$E1351/(COUNTIF($J1351:$Q1351,"x")+1),-$E1351*N(N1351)))</f>
        <v/>
      </c>
      <c r="AC1351" s="34">
        <f>IF(OR($A1351="",$H1351&lt;&gt;"Ausgabe",O1351=""),0,IF(O1351="x",-$E1351/(COUNTIF($J1351:$Q1351,"x")+1),-$E1351*N(O1351)))</f>
        <v/>
      </c>
      <c r="AD1351" s="34">
        <f>IF(OR($A1351="",$H1351&lt;&gt;"Ausgabe",P1351=""),0,IF(P1351="x",-$E1351/(COUNTIF($J1351:$Q1351,"x")+1),-$E1351*N(P1351)))</f>
        <v/>
      </c>
      <c r="AE1351" s="34">
        <f>IF(OR($A1351="",$H1351&lt;&gt;"Ausgabe",Q1351=""),0,IF(Q1351="x",-$E1351/(COUNTIF($J1351:$Q1351,"x")+1),-$E1351*N(Q1351)))</f>
        <v/>
      </c>
    </row>
    <row r="1352">
      <c r="A1352" s="30" t="n"/>
      <c r="E1352" s="31" t="n"/>
      <c r="J1352" s="32" t="n"/>
      <c r="K1352" s="32" t="n"/>
      <c r="L1352" s="32" t="n"/>
      <c r="M1352" s="32" t="n"/>
      <c r="N1352" s="32" t="n"/>
      <c r="O1352" s="32" t="n"/>
      <c r="P1352" s="32" t="n"/>
      <c r="Q1352" s="32" t="n"/>
      <c r="U1352" s="31">
        <f>IF($A1352="","",SUM(X1352:AE1352))</f>
        <v/>
      </c>
      <c r="V1352" s="31">
        <f>IF($A1352="","",IF($H1352&lt;&gt;"Ausgabe",0,-$E1352-$U1352))</f>
        <v/>
      </c>
      <c r="W1352" s="33">
        <f>IF($A1352="","",DATE(YEAR($A1352),MONTH($A1352),1))</f>
        <v/>
      </c>
      <c r="X1352" s="34">
        <f>IF(OR($A1352="",$H1352&lt;&gt;"Ausgabe",J1352=""),0,IF(J1352="x",-$E1352/(COUNTIF($J1352:$Q1352,"x")+1),-$E1352*N(J1352)))</f>
        <v/>
      </c>
      <c r="Y1352" s="34">
        <f>IF(OR($A1352="",$H1352&lt;&gt;"Ausgabe",K1352=""),0,IF(K1352="x",-$E1352/(COUNTIF($J1352:$Q1352,"x")+1),-$E1352*N(K1352)))</f>
        <v/>
      </c>
      <c r="Z1352" s="34">
        <f>IF(OR($A1352="",$H1352&lt;&gt;"Ausgabe",L1352=""),0,IF(L1352="x",-$E1352/(COUNTIF($J1352:$Q1352,"x")+1),-$E1352*N(L1352)))</f>
        <v/>
      </c>
      <c r="AA1352" s="34">
        <f>IF(OR($A1352="",$H1352&lt;&gt;"Ausgabe",M1352=""),0,IF(M1352="x",-$E1352/(COUNTIF($J1352:$Q1352,"x")+1),-$E1352*N(M1352)))</f>
        <v/>
      </c>
      <c r="AB1352" s="34">
        <f>IF(OR($A1352="",$H1352&lt;&gt;"Ausgabe",N1352=""),0,IF(N1352="x",-$E1352/(COUNTIF($J1352:$Q1352,"x")+1),-$E1352*N(N1352)))</f>
        <v/>
      </c>
      <c r="AC1352" s="34">
        <f>IF(OR($A1352="",$H1352&lt;&gt;"Ausgabe",O1352=""),0,IF(O1352="x",-$E1352/(COUNTIF($J1352:$Q1352,"x")+1),-$E1352*N(O1352)))</f>
        <v/>
      </c>
      <c r="AD1352" s="34">
        <f>IF(OR($A1352="",$H1352&lt;&gt;"Ausgabe",P1352=""),0,IF(P1352="x",-$E1352/(COUNTIF($J1352:$Q1352,"x")+1),-$E1352*N(P1352)))</f>
        <v/>
      </c>
      <c r="AE1352" s="34">
        <f>IF(OR($A1352="",$H1352&lt;&gt;"Ausgabe",Q1352=""),0,IF(Q1352="x",-$E1352/(COUNTIF($J1352:$Q1352,"x")+1),-$E1352*N(Q1352)))</f>
        <v/>
      </c>
    </row>
    <row r="1353">
      <c r="A1353" s="30" t="n"/>
      <c r="E1353" s="31" t="n"/>
      <c r="J1353" s="32" t="n"/>
      <c r="K1353" s="32" t="n"/>
      <c r="L1353" s="32" t="n"/>
      <c r="M1353" s="32" t="n"/>
      <c r="N1353" s="32" t="n"/>
      <c r="O1353" s="32" t="n"/>
      <c r="P1353" s="32" t="n"/>
      <c r="Q1353" s="32" t="n"/>
      <c r="U1353" s="31">
        <f>IF($A1353="","",SUM(X1353:AE1353))</f>
        <v/>
      </c>
      <c r="V1353" s="31">
        <f>IF($A1353="","",IF($H1353&lt;&gt;"Ausgabe",0,-$E1353-$U1353))</f>
        <v/>
      </c>
      <c r="W1353" s="33">
        <f>IF($A1353="","",DATE(YEAR($A1353),MONTH($A1353),1))</f>
        <v/>
      </c>
      <c r="X1353" s="34">
        <f>IF(OR($A1353="",$H1353&lt;&gt;"Ausgabe",J1353=""),0,IF(J1353="x",-$E1353/(COUNTIF($J1353:$Q1353,"x")+1),-$E1353*N(J1353)))</f>
        <v/>
      </c>
      <c r="Y1353" s="34">
        <f>IF(OR($A1353="",$H1353&lt;&gt;"Ausgabe",K1353=""),0,IF(K1353="x",-$E1353/(COUNTIF($J1353:$Q1353,"x")+1),-$E1353*N(K1353)))</f>
        <v/>
      </c>
      <c r="Z1353" s="34">
        <f>IF(OR($A1353="",$H1353&lt;&gt;"Ausgabe",L1353=""),0,IF(L1353="x",-$E1353/(COUNTIF($J1353:$Q1353,"x")+1),-$E1353*N(L1353)))</f>
        <v/>
      </c>
      <c r="AA1353" s="34">
        <f>IF(OR($A1353="",$H1353&lt;&gt;"Ausgabe",M1353=""),0,IF(M1353="x",-$E1353/(COUNTIF($J1353:$Q1353,"x")+1),-$E1353*N(M1353)))</f>
        <v/>
      </c>
      <c r="AB1353" s="34">
        <f>IF(OR($A1353="",$H1353&lt;&gt;"Ausgabe",N1353=""),0,IF(N1353="x",-$E1353/(COUNTIF($J1353:$Q1353,"x")+1),-$E1353*N(N1353)))</f>
        <v/>
      </c>
      <c r="AC1353" s="34">
        <f>IF(OR($A1353="",$H1353&lt;&gt;"Ausgabe",O1353=""),0,IF(O1353="x",-$E1353/(COUNTIF($J1353:$Q1353,"x")+1),-$E1353*N(O1353)))</f>
        <v/>
      </c>
      <c r="AD1353" s="34">
        <f>IF(OR($A1353="",$H1353&lt;&gt;"Ausgabe",P1353=""),0,IF(P1353="x",-$E1353/(COUNTIF($J1353:$Q1353,"x")+1),-$E1353*N(P1353)))</f>
        <v/>
      </c>
      <c r="AE1353" s="34">
        <f>IF(OR($A1353="",$H1353&lt;&gt;"Ausgabe",Q1353=""),0,IF(Q1353="x",-$E1353/(COUNTIF($J1353:$Q1353,"x")+1),-$E1353*N(Q1353)))</f>
        <v/>
      </c>
    </row>
    <row r="1354">
      <c r="A1354" s="30" t="n"/>
      <c r="E1354" s="31" t="n"/>
      <c r="J1354" s="32" t="n"/>
      <c r="K1354" s="32" t="n"/>
      <c r="L1354" s="32" t="n"/>
      <c r="M1354" s="32" t="n"/>
      <c r="N1354" s="32" t="n"/>
      <c r="O1354" s="32" t="n"/>
      <c r="P1354" s="32" t="n"/>
      <c r="Q1354" s="32" t="n"/>
      <c r="U1354" s="31">
        <f>IF($A1354="","",SUM(X1354:AE1354))</f>
        <v/>
      </c>
      <c r="V1354" s="31">
        <f>IF($A1354="","",IF($H1354&lt;&gt;"Ausgabe",0,-$E1354-$U1354))</f>
        <v/>
      </c>
      <c r="W1354" s="33">
        <f>IF($A1354="","",DATE(YEAR($A1354),MONTH($A1354),1))</f>
        <v/>
      </c>
      <c r="X1354" s="34">
        <f>IF(OR($A1354="",$H1354&lt;&gt;"Ausgabe",J1354=""),0,IF(J1354="x",-$E1354/(COUNTIF($J1354:$Q1354,"x")+1),-$E1354*N(J1354)))</f>
        <v/>
      </c>
      <c r="Y1354" s="34">
        <f>IF(OR($A1354="",$H1354&lt;&gt;"Ausgabe",K1354=""),0,IF(K1354="x",-$E1354/(COUNTIF($J1354:$Q1354,"x")+1),-$E1354*N(K1354)))</f>
        <v/>
      </c>
      <c r="Z1354" s="34">
        <f>IF(OR($A1354="",$H1354&lt;&gt;"Ausgabe",L1354=""),0,IF(L1354="x",-$E1354/(COUNTIF($J1354:$Q1354,"x")+1),-$E1354*N(L1354)))</f>
        <v/>
      </c>
      <c r="AA1354" s="34">
        <f>IF(OR($A1354="",$H1354&lt;&gt;"Ausgabe",M1354=""),0,IF(M1354="x",-$E1354/(COUNTIF($J1354:$Q1354,"x")+1),-$E1354*N(M1354)))</f>
        <v/>
      </c>
      <c r="AB1354" s="34">
        <f>IF(OR($A1354="",$H1354&lt;&gt;"Ausgabe",N1354=""),0,IF(N1354="x",-$E1354/(COUNTIF($J1354:$Q1354,"x")+1),-$E1354*N(N1354)))</f>
        <v/>
      </c>
      <c r="AC1354" s="34">
        <f>IF(OR($A1354="",$H1354&lt;&gt;"Ausgabe",O1354=""),0,IF(O1354="x",-$E1354/(COUNTIF($J1354:$Q1354,"x")+1),-$E1354*N(O1354)))</f>
        <v/>
      </c>
      <c r="AD1354" s="34">
        <f>IF(OR($A1354="",$H1354&lt;&gt;"Ausgabe",P1354=""),0,IF(P1354="x",-$E1354/(COUNTIF($J1354:$Q1354,"x")+1),-$E1354*N(P1354)))</f>
        <v/>
      </c>
      <c r="AE1354" s="34">
        <f>IF(OR($A1354="",$H1354&lt;&gt;"Ausgabe",Q1354=""),0,IF(Q1354="x",-$E1354/(COUNTIF($J1354:$Q1354,"x")+1),-$E1354*N(Q1354)))</f>
        <v/>
      </c>
    </row>
    <row r="1355">
      <c r="A1355" s="30" t="n"/>
      <c r="E1355" s="31" t="n"/>
      <c r="J1355" s="32" t="n"/>
      <c r="K1355" s="32" t="n"/>
      <c r="L1355" s="32" t="n"/>
      <c r="M1355" s="32" t="n"/>
      <c r="N1355" s="32" t="n"/>
      <c r="O1355" s="32" t="n"/>
      <c r="P1355" s="32" t="n"/>
      <c r="Q1355" s="32" t="n"/>
      <c r="U1355" s="31">
        <f>IF($A1355="","",SUM(X1355:AE1355))</f>
        <v/>
      </c>
      <c r="V1355" s="31">
        <f>IF($A1355="","",IF($H1355&lt;&gt;"Ausgabe",0,-$E1355-$U1355))</f>
        <v/>
      </c>
      <c r="W1355" s="33">
        <f>IF($A1355="","",DATE(YEAR($A1355),MONTH($A1355),1))</f>
        <v/>
      </c>
      <c r="X1355" s="34">
        <f>IF(OR($A1355="",$H1355&lt;&gt;"Ausgabe",J1355=""),0,IF(J1355="x",-$E1355/(COUNTIF($J1355:$Q1355,"x")+1),-$E1355*N(J1355)))</f>
        <v/>
      </c>
      <c r="Y1355" s="34">
        <f>IF(OR($A1355="",$H1355&lt;&gt;"Ausgabe",K1355=""),0,IF(K1355="x",-$E1355/(COUNTIF($J1355:$Q1355,"x")+1),-$E1355*N(K1355)))</f>
        <v/>
      </c>
      <c r="Z1355" s="34">
        <f>IF(OR($A1355="",$H1355&lt;&gt;"Ausgabe",L1355=""),0,IF(L1355="x",-$E1355/(COUNTIF($J1355:$Q1355,"x")+1),-$E1355*N(L1355)))</f>
        <v/>
      </c>
      <c r="AA1355" s="34">
        <f>IF(OR($A1355="",$H1355&lt;&gt;"Ausgabe",M1355=""),0,IF(M1355="x",-$E1355/(COUNTIF($J1355:$Q1355,"x")+1),-$E1355*N(M1355)))</f>
        <v/>
      </c>
      <c r="AB1355" s="34">
        <f>IF(OR($A1355="",$H1355&lt;&gt;"Ausgabe",N1355=""),0,IF(N1355="x",-$E1355/(COUNTIF($J1355:$Q1355,"x")+1),-$E1355*N(N1355)))</f>
        <v/>
      </c>
      <c r="AC1355" s="34">
        <f>IF(OR($A1355="",$H1355&lt;&gt;"Ausgabe",O1355=""),0,IF(O1355="x",-$E1355/(COUNTIF($J1355:$Q1355,"x")+1),-$E1355*N(O1355)))</f>
        <v/>
      </c>
      <c r="AD1355" s="34">
        <f>IF(OR($A1355="",$H1355&lt;&gt;"Ausgabe",P1355=""),0,IF(P1355="x",-$E1355/(COUNTIF($J1355:$Q1355,"x")+1),-$E1355*N(P1355)))</f>
        <v/>
      </c>
      <c r="AE1355" s="34">
        <f>IF(OR($A1355="",$H1355&lt;&gt;"Ausgabe",Q1355=""),0,IF(Q1355="x",-$E1355/(COUNTIF($J1355:$Q1355,"x")+1),-$E1355*N(Q1355)))</f>
        <v/>
      </c>
    </row>
    <row r="1356">
      <c r="A1356" s="30" t="n"/>
      <c r="E1356" s="31" t="n"/>
      <c r="J1356" s="32" t="n"/>
      <c r="K1356" s="32" t="n"/>
      <c r="L1356" s="32" t="n"/>
      <c r="M1356" s="32" t="n"/>
      <c r="N1356" s="32" t="n"/>
      <c r="O1356" s="32" t="n"/>
      <c r="P1356" s="32" t="n"/>
      <c r="Q1356" s="32" t="n"/>
      <c r="U1356" s="31">
        <f>IF($A1356="","",SUM(X1356:AE1356))</f>
        <v/>
      </c>
      <c r="V1356" s="31">
        <f>IF($A1356="","",IF($H1356&lt;&gt;"Ausgabe",0,-$E1356-$U1356))</f>
        <v/>
      </c>
      <c r="W1356" s="33">
        <f>IF($A1356="","",DATE(YEAR($A1356),MONTH($A1356),1))</f>
        <v/>
      </c>
      <c r="X1356" s="34">
        <f>IF(OR($A1356="",$H1356&lt;&gt;"Ausgabe",J1356=""),0,IF(J1356="x",-$E1356/(COUNTIF($J1356:$Q1356,"x")+1),-$E1356*N(J1356)))</f>
        <v/>
      </c>
      <c r="Y1356" s="34">
        <f>IF(OR($A1356="",$H1356&lt;&gt;"Ausgabe",K1356=""),0,IF(K1356="x",-$E1356/(COUNTIF($J1356:$Q1356,"x")+1),-$E1356*N(K1356)))</f>
        <v/>
      </c>
      <c r="Z1356" s="34">
        <f>IF(OR($A1356="",$H1356&lt;&gt;"Ausgabe",L1356=""),0,IF(L1356="x",-$E1356/(COUNTIF($J1356:$Q1356,"x")+1),-$E1356*N(L1356)))</f>
        <v/>
      </c>
      <c r="AA1356" s="34">
        <f>IF(OR($A1356="",$H1356&lt;&gt;"Ausgabe",M1356=""),0,IF(M1356="x",-$E1356/(COUNTIF($J1356:$Q1356,"x")+1),-$E1356*N(M1356)))</f>
        <v/>
      </c>
      <c r="AB1356" s="34">
        <f>IF(OR($A1356="",$H1356&lt;&gt;"Ausgabe",N1356=""),0,IF(N1356="x",-$E1356/(COUNTIF($J1356:$Q1356,"x")+1),-$E1356*N(N1356)))</f>
        <v/>
      </c>
      <c r="AC1356" s="34">
        <f>IF(OR($A1356="",$H1356&lt;&gt;"Ausgabe",O1356=""),0,IF(O1356="x",-$E1356/(COUNTIF($J1356:$Q1356,"x")+1),-$E1356*N(O1356)))</f>
        <v/>
      </c>
      <c r="AD1356" s="34">
        <f>IF(OR($A1356="",$H1356&lt;&gt;"Ausgabe",P1356=""),0,IF(P1356="x",-$E1356/(COUNTIF($J1356:$Q1356,"x")+1),-$E1356*N(P1356)))</f>
        <v/>
      </c>
      <c r="AE1356" s="34">
        <f>IF(OR($A1356="",$H1356&lt;&gt;"Ausgabe",Q1356=""),0,IF(Q1356="x",-$E1356/(COUNTIF($J1356:$Q1356,"x")+1),-$E1356*N(Q1356)))</f>
        <v/>
      </c>
    </row>
    <row r="1357">
      <c r="A1357" s="30" t="n"/>
      <c r="E1357" s="31" t="n"/>
      <c r="J1357" s="32" t="n"/>
      <c r="K1357" s="32" t="n"/>
      <c r="L1357" s="32" t="n"/>
      <c r="M1357" s="32" t="n"/>
      <c r="N1357" s="32" t="n"/>
      <c r="O1357" s="32" t="n"/>
      <c r="P1357" s="32" t="n"/>
      <c r="Q1357" s="32" t="n"/>
      <c r="U1357" s="31">
        <f>IF($A1357="","",SUM(X1357:AE1357))</f>
        <v/>
      </c>
      <c r="V1357" s="31">
        <f>IF($A1357="","",IF($H1357&lt;&gt;"Ausgabe",0,-$E1357-$U1357))</f>
        <v/>
      </c>
      <c r="W1357" s="33">
        <f>IF($A1357="","",DATE(YEAR($A1357),MONTH($A1357),1))</f>
        <v/>
      </c>
      <c r="X1357" s="34">
        <f>IF(OR($A1357="",$H1357&lt;&gt;"Ausgabe",J1357=""),0,IF(J1357="x",-$E1357/(COUNTIF($J1357:$Q1357,"x")+1),-$E1357*N(J1357)))</f>
        <v/>
      </c>
      <c r="Y1357" s="34">
        <f>IF(OR($A1357="",$H1357&lt;&gt;"Ausgabe",K1357=""),0,IF(K1357="x",-$E1357/(COUNTIF($J1357:$Q1357,"x")+1),-$E1357*N(K1357)))</f>
        <v/>
      </c>
      <c r="Z1357" s="34">
        <f>IF(OR($A1357="",$H1357&lt;&gt;"Ausgabe",L1357=""),0,IF(L1357="x",-$E1357/(COUNTIF($J1357:$Q1357,"x")+1),-$E1357*N(L1357)))</f>
        <v/>
      </c>
      <c r="AA1357" s="34">
        <f>IF(OR($A1357="",$H1357&lt;&gt;"Ausgabe",M1357=""),0,IF(M1357="x",-$E1357/(COUNTIF($J1357:$Q1357,"x")+1),-$E1357*N(M1357)))</f>
        <v/>
      </c>
      <c r="AB1357" s="34">
        <f>IF(OR($A1357="",$H1357&lt;&gt;"Ausgabe",N1357=""),0,IF(N1357="x",-$E1357/(COUNTIF($J1357:$Q1357,"x")+1),-$E1357*N(N1357)))</f>
        <v/>
      </c>
      <c r="AC1357" s="34">
        <f>IF(OR($A1357="",$H1357&lt;&gt;"Ausgabe",O1357=""),0,IF(O1357="x",-$E1357/(COUNTIF($J1357:$Q1357,"x")+1),-$E1357*N(O1357)))</f>
        <v/>
      </c>
      <c r="AD1357" s="34">
        <f>IF(OR($A1357="",$H1357&lt;&gt;"Ausgabe",P1357=""),0,IF(P1357="x",-$E1357/(COUNTIF($J1357:$Q1357,"x")+1),-$E1357*N(P1357)))</f>
        <v/>
      </c>
      <c r="AE1357" s="34">
        <f>IF(OR($A1357="",$H1357&lt;&gt;"Ausgabe",Q1357=""),0,IF(Q1357="x",-$E1357/(COUNTIF($J1357:$Q1357,"x")+1),-$E1357*N(Q1357)))</f>
        <v/>
      </c>
    </row>
    <row r="1358">
      <c r="A1358" s="30" t="n"/>
      <c r="E1358" s="31" t="n"/>
      <c r="J1358" s="32" t="n"/>
      <c r="K1358" s="32" t="n"/>
      <c r="L1358" s="32" t="n"/>
      <c r="M1358" s="32" t="n"/>
      <c r="N1358" s="32" t="n"/>
      <c r="O1358" s="32" t="n"/>
      <c r="P1358" s="32" t="n"/>
      <c r="Q1358" s="32" t="n"/>
      <c r="U1358" s="31">
        <f>IF($A1358="","",SUM(X1358:AE1358))</f>
        <v/>
      </c>
      <c r="V1358" s="31">
        <f>IF($A1358="","",IF($H1358&lt;&gt;"Ausgabe",0,-$E1358-$U1358))</f>
        <v/>
      </c>
      <c r="W1358" s="33">
        <f>IF($A1358="","",DATE(YEAR($A1358),MONTH($A1358),1))</f>
        <v/>
      </c>
      <c r="X1358" s="34">
        <f>IF(OR($A1358="",$H1358&lt;&gt;"Ausgabe",J1358=""),0,IF(J1358="x",-$E1358/(COUNTIF($J1358:$Q1358,"x")+1),-$E1358*N(J1358)))</f>
        <v/>
      </c>
      <c r="Y1358" s="34">
        <f>IF(OR($A1358="",$H1358&lt;&gt;"Ausgabe",K1358=""),0,IF(K1358="x",-$E1358/(COUNTIF($J1358:$Q1358,"x")+1),-$E1358*N(K1358)))</f>
        <v/>
      </c>
      <c r="Z1358" s="34">
        <f>IF(OR($A1358="",$H1358&lt;&gt;"Ausgabe",L1358=""),0,IF(L1358="x",-$E1358/(COUNTIF($J1358:$Q1358,"x")+1),-$E1358*N(L1358)))</f>
        <v/>
      </c>
      <c r="AA1358" s="34">
        <f>IF(OR($A1358="",$H1358&lt;&gt;"Ausgabe",M1358=""),0,IF(M1358="x",-$E1358/(COUNTIF($J1358:$Q1358,"x")+1),-$E1358*N(M1358)))</f>
        <v/>
      </c>
      <c r="AB1358" s="34">
        <f>IF(OR($A1358="",$H1358&lt;&gt;"Ausgabe",N1358=""),0,IF(N1358="x",-$E1358/(COUNTIF($J1358:$Q1358,"x")+1),-$E1358*N(N1358)))</f>
        <v/>
      </c>
      <c r="AC1358" s="34">
        <f>IF(OR($A1358="",$H1358&lt;&gt;"Ausgabe",O1358=""),0,IF(O1358="x",-$E1358/(COUNTIF($J1358:$Q1358,"x")+1),-$E1358*N(O1358)))</f>
        <v/>
      </c>
      <c r="AD1358" s="34">
        <f>IF(OR($A1358="",$H1358&lt;&gt;"Ausgabe",P1358=""),0,IF(P1358="x",-$E1358/(COUNTIF($J1358:$Q1358,"x")+1),-$E1358*N(P1358)))</f>
        <v/>
      </c>
      <c r="AE1358" s="34">
        <f>IF(OR($A1358="",$H1358&lt;&gt;"Ausgabe",Q1358=""),0,IF(Q1358="x",-$E1358/(COUNTIF($J1358:$Q1358,"x")+1),-$E1358*N(Q1358)))</f>
        <v/>
      </c>
    </row>
    <row r="1359">
      <c r="A1359" s="30" t="n"/>
      <c r="E1359" s="31" t="n"/>
      <c r="J1359" s="32" t="n"/>
      <c r="K1359" s="32" t="n"/>
      <c r="L1359" s="32" t="n"/>
      <c r="M1359" s="32" t="n"/>
      <c r="N1359" s="32" t="n"/>
      <c r="O1359" s="32" t="n"/>
      <c r="P1359" s="32" t="n"/>
      <c r="Q1359" s="32" t="n"/>
      <c r="U1359" s="31">
        <f>IF($A1359="","",SUM(X1359:AE1359))</f>
        <v/>
      </c>
      <c r="V1359" s="31">
        <f>IF($A1359="","",IF($H1359&lt;&gt;"Ausgabe",0,-$E1359-$U1359))</f>
        <v/>
      </c>
      <c r="W1359" s="33">
        <f>IF($A1359="","",DATE(YEAR($A1359),MONTH($A1359),1))</f>
        <v/>
      </c>
      <c r="X1359" s="34">
        <f>IF(OR($A1359="",$H1359&lt;&gt;"Ausgabe",J1359=""),0,IF(J1359="x",-$E1359/(COUNTIF($J1359:$Q1359,"x")+1),-$E1359*N(J1359)))</f>
        <v/>
      </c>
      <c r="Y1359" s="34">
        <f>IF(OR($A1359="",$H1359&lt;&gt;"Ausgabe",K1359=""),0,IF(K1359="x",-$E1359/(COUNTIF($J1359:$Q1359,"x")+1),-$E1359*N(K1359)))</f>
        <v/>
      </c>
      <c r="Z1359" s="34">
        <f>IF(OR($A1359="",$H1359&lt;&gt;"Ausgabe",L1359=""),0,IF(L1359="x",-$E1359/(COUNTIF($J1359:$Q1359,"x")+1),-$E1359*N(L1359)))</f>
        <v/>
      </c>
      <c r="AA1359" s="34">
        <f>IF(OR($A1359="",$H1359&lt;&gt;"Ausgabe",M1359=""),0,IF(M1359="x",-$E1359/(COUNTIF($J1359:$Q1359,"x")+1),-$E1359*N(M1359)))</f>
        <v/>
      </c>
      <c r="AB1359" s="34">
        <f>IF(OR($A1359="",$H1359&lt;&gt;"Ausgabe",N1359=""),0,IF(N1359="x",-$E1359/(COUNTIF($J1359:$Q1359,"x")+1),-$E1359*N(N1359)))</f>
        <v/>
      </c>
      <c r="AC1359" s="34">
        <f>IF(OR($A1359="",$H1359&lt;&gt;"Ausgabe",O1359=""),0,IF(O1359="x",-$E1359/(COUNTIF($J1359:$Q1359,"x")+1),-$E1359*N(O1359)))</f>
        <v/>
      </c>
      <c r="AD1359" s="34">
        <f>IF(OR($A1359="",$H1359&lt;&gt;"Ausgabe",P1359=""),0,IF(P1359="x",-$E1359/(COUNTIF($J1359:$Q1359,"x")+1),-$E1359*N(P1359)))</f>
        <v/>
      </c>
      <c r="AE1359" s="34">
        <f>IF(OR($A1359="",$H1359&lt;&gt;"Ausgabe",Q1359=""),0,IF(Q1359="x",-$E1359/(COUNTIF($J1359:$Q1359,"x")+1),-$E1359*N(Q1359)))</f>
        <v/>
      </c>
    </row>
    <row r="1360">
      <c r="A1360" s="30" t="n"/>
      <c r="E1360" s="31" t="n"/>
      <c r="J1360" s="32" t="n"/>
      <c r="K1360" s="32" t="n"/>
      <c r="L1360" s="32" t="n"/>
      <c r="M1360" s="32" t="n"/>
      <c r="N1360" s="32" t="n"/>
      <c r="O1360" s="32" t="n"/>
      <c r="P1360" s="32" t="n"/>
      <c r="Q1360" s="32" t="n"/>
      <c r="U1360" s="31">
        <f>IF($A1360="","",SUM(X1360:AE1360))</f>
        <v/>
      </c>
      <c r="V1360" s="31">
        <f>IF($A1360="","",IF($H1360&lt;&gt;"Ausgabe",0,-$E1360-$U1360))</f>
        <v/>
      </c>
      <c r="W1360" s="33">
        <f>IF($A1360="","",DATE(YEAR($A1360),MONTH($A1360),1))</f>
        <v/>
      </c>
      <c r="X1360" s="34">
        <f>IF(OR($A1360="",$H1360&lt;&gt;"Ausgabe",J1360=""),0,IF(J1360="x",-$E1360/(COUNTIF($J1360:$Q1360,"x")+1),-$E1360*N(J1360)))</f>
        <v/>
      </c>
      <c r="Y1360" s="34">
        <f>IF(OR($A1360="",$H1360&lt;&gt;"Ausgabe",K1360=""),0,IF(K1360="x",-$E1360/(COUNTIF($J1360:$Q1360,"x")+1),-$E1360*N(K1360)))</f>
        <v/>
      </c>
      <c r="Z1360" s="34">
        <f>IF(OR($A1360="",$H1360&lt;&gt;"Ausgabe",L1360=""),0,IF(L1360="x",-$E1360/(COUNTIF($J1360:$Q1360,"x")+1),-$E1360*N(L1360)))</f>
        <v/>
      </c>
      <c r="AA1360" s="34">
        <f>IF(OR($A1360="",$H1360&lt;&gt;"Ausgabe",M1360=""),0,IF(M1360="x",-$E1360/(COUNTIF($J1360:$Q1360,"x")+1),-$E1360*N(M1360)))</f>
        <v/>
      </c>
      <c r="AB1360" s="34">
        <f>IF(OR($A1360="",$H1360&lt;&gt;"Ausgabe",N1360=""),0,IF(N1360="x",-$E1360/(COUNTIF($J1360:$Q1360,"x")+1),-$E1360*N(N1360)))</f>
        <v/>
      </c>
      <c r="AC1360" s="34">
        <f>IF(OR($A1360="",$H1360&lt;&gt;"Ausgabe",O1360=""),0,IF(O1360="x",-$E1360/(COUNTIF($J1360:$Q1360,"x")+1),-$E1360*N(O1360)))</f>
        <v/>
      </c>
      <c r="AD1360" s="34">
        <f>IF(OR($A1360="",$H1360&lt;&gt;"Ausgabe",P1360=""),0,IF(P1360="x",-$E1360/(COUNTIF($J1360:$Q1360,"x")+1),-$E1360*N(P1360)))</f>
        <v/>
      </c>
      <c r="AE1360" s="34">
        <f>IF(OR($A1360="",$H1360&lt;&gt;"Ausgabe",Q1360=""),0,IF(Q1360="x",-$E1360/(COUNTIF($J1360:$Q1360,"x")+1),-$E1360*N(Q1360)))</f>
        <v/>
      </c>
    </row>
    <row r="1361">
      <c r="A1361" s="30" t="n"/>
      <c r="E1361" s="31" t="n"/>
      <c r="J1361" s="32" t="n"/>
      <c r="K1361" s="32" t="n"/>
      <c r="L1361" s="32" t="n"/>
      <c r="M1361" s="32" t="n"/>
      <c r="N1361" s="32" t="n"/>
      <c r="O1361" s="32" t="n"/>
      <c r="P1361" s="32" t="n"/>
      <c r="Q1361" s="32" t="n"/>
      <c r="U1361" s="31">
        <f>IF($A1361="","",SUM(X1361:AE1361))</f>
        <v/>
      </c>
      <c r="V1361" s="31">
        <f>IF($A1361="","",IF($H1361&lt;&gt;"Ausgabe",0,-$E1361-$U1361))</f>
        <v/>
      </c>
      <c r="W1361" s="33">
        <f>IF($A1361="","",DATE(YEAR($A1361),MONTH($A1361),1))</f>
        <v/>
      </c>
      <c r="X1361" s="34">
        <f>IF(OR($A1361="",$H1361&lt;&gt;"Ausgabe",J1361=""),0,IF(J1361="x",-$E1361/(COUNTIF($J1361:$Q1361,"x")+1),-$E1361*N(J1361)))</f>
        <v/>
      </c>
      <c r="Y1361" s="34">
        <f>IF(OR($A1361="",$H1361&lt;&gt;"Ausgabe",K1361=""),0,IF(K1361="x",-$E1361/(COUNTIF($J1361:$Q1361,"x")+1),-$E1361*N(K1361)))</f>
        <v/>
      </c>
      <c r="Z1361" s="34">
        <f>IF(OR($A1361="",$H1361&lt;&gt;"Ausgabe",L1361=""),0,IF(L1361="x",-$E1361/(COUNTIF($J1361:$Q1361,"x")+1),-$E1361*N(L1361)))</f>
        <v/>
      </c>
      <c r="AA1361" s="34">
        <f>IF(OR($A1361="",$H1361&lt;&gt;"Ausgabe",M1361=""),0,IF(M1361="x",-$E1361/(COUNTIF($J1361:$Q1361,"x")+1),-$E1361*N(M1361)))</f>
        <v/>
      </c>
      <c r="AB1361" s="34">
        <f>IF(OR($A1361="",$H1361&lt;&gt;"Ausgabe",N1361=""),0,IF(N1361="x",-$E1361/(COUNTIF($J1361:$Q1361,"x")+1),-$E1361*N(N1361)))</f>
        <v/>
      </c>
      <c r="AC1361" s="34">
        <f>IF(OR($A1361="",$H1361&lt;&gt;"Ausgabe",O1361=""),0,IF(O1361="x",-$E1361/(COUNTIF($J1361:$Q1361,"x")+1),-$E1361*N(O1361)))</f>
        <v/>
      </c>
      <c r="AD1361" s="34">
        <f>IF(OR($A1361="",$H1361&lt;&gt;"Ausgabe",P1361=""),0,IF(P1361="x",-$E1361/(COUNTIF($J1361:$Q1361,"x")+1),-$E1361*N(P1361)))</f>
        <v/>
      </c>
      <c r="AE1361" s="34">
        <f>IF(OR($A1361="",$H1361&lt;&gt;"Ausgabe",Q1361=""),0,IF(Q1361="x",-$E1361/(COUNTIF($J1361:$Q1361,"x")+1),-$E1361*N(Q1361)))</f>
        <v/>
      </c>
    </row>
    <row r="1362">
      <c r="A1362" s="30" t="n"/>
      <c r="E1362" s="31" t="n"/>
      <c r="J1362" s="32" t="n"/>
      <c r="K1362" s="32" t="n"/>
      <c r="L1362" s="32" t="n"/>
      <c r="M1362" s="32" t="n"/>
      <c r="N1362" s="32" t="n"/>
      <c r="O1362" s="32" t="n"/>
      <c r="P1362" s="32" t="n"/>
      <c r="Q1362" s="32" t="n"/>
      <c r="U1362" s="31">
        <f>IF($A1362="","",SUM(X1362:AE1362))</f>
        <v/>
      </c>
      <c r="V1362" s="31">
        <f>IF($A1362="","",IF($H1362&lt;&gt;"Ausgabe",0,-$E1362-$U1362))</f>
        <v/>
      </c>
      <c r="W1362" s="33">
        <f>IF($A1362="","",DATE(YEAR($A1362),MONTH($A1362),1))</f>
        <v/>
      </c>
      <c r="X1362" s="34">
        <f>IF(OR($A1362="",$H1362&lt;&gt;"Ausgabe",J1362=""),0,IF(J1362="x",-$E1362/(COUNTIF($J1362:$Q1362,"x")+1),-$E1362*N(J1362)))</f>
        <v/>
      </c>
      <c r="Y1362" s="34">
        <f>IF(OR($A1362="",$H1362&lt;&gt;"Ausgabe",K1362=""),0,IF(K1362="x",-$E1362/(COUNTIF($J1362:$Q1362,"x")+1),-$E1362*N(K1362)))</f>
        <v/>
      </c>
      <c r="Z1362" s="34">
        <f>IF(OR($A1362="",$H1362&lt;&gt;"Ausgabe",L1362=""),0,IF(L1362="x",-$E1362/(COUNTIF($J1362:$Q1362,"x")+1),-$E1362*N(L1362)))</f>
        <v/>
      </c>
      <c r="AA1362" s="34">
        <f>IF(OR($A1362="",$H1362&lt;&gt;"Ausgabe",M1362=""),0,IF(M1362="x",-$E1362/(COUNTIF($J1362:$Q1362,"x")+1),-$E1362*N(M1362)))</f>
        <v/>
      </c>
      <c r="AB1362" s="34">
        <f>IF(OR($A1362="",$H1362&lt;&gt;"Ausgabe",N1362=""),0,IF(N1362="x",-$E1362/(COUNTIF($J1362:$Q1362,"x")+1),-$E1362*N(N1362)))</f>
        <v/>
      </c>
      <c r="AC1362" s="34">
        <f>IF(OR($A1362="",$H1362&lt;&gt;"Ausgabe",O1362=""),0,IF(O1362="x",-$E1362/(COUNTIF($J1362:$Q1362,"x")+1),-$E1362*N(O1362)))</f>
        <v/>
      </c>
      <c r="AD1362" s="34">
        <f>IF(OR($A1362="",$H1362&lt;&gt;"Ausgabe",P1362=""),0,IF(P1362="x",-$E1362/(COUNTIF($J1362:$Q1362,"x")+1),-$E1362*N(P1362)))</f>
        <v/>
      </c>
      <c r="AE1362" s="34">
        <f>IF(OR($A1362="",$H1362&lt;&gt;"Ausgabe",Q1362=""),0,IF(Q1362="x",-$E1362/(COUNTIF($J1362:$Q1362,"x")+1),-$E1362*N(Q1362)))</f>
        <v/>
      </c>
    </row>
    <row r="1363">
      <c r="A1363" s="30" t="n"/>
      <c r="E1363" s="31" t="n"/>
      <c r="J1363" s="32" t="n"/>
      <c r="K1363" s="32" t="n"/>
      <c r="L1363" s="32" t="n"/>
      <c r="M1363" s="32" t="n"/>
      <c r="N1363" s="32" t="n"/>
      <c r="O1363" s="32" t="n"/>
      <c r="P1363" s="32" t="n"/>
      <c r="Q1363" s="32" t="n"/>
      <c r="U1363" s="31">
        <f>IF($A1363="","",SUM(X1363:AE1363))</f>
        <v/>
      </c>
      <c r="V1363" s="31">
        <f>IF($A1363="","",IF($H1363&lt;&gt;"Ausgabe",0,-$E1363-$U1363))</f>
        <v/>
      </c>
      <c r="W1363" s="33">
        <f>IF($A1363="","",DATE(YEAR($A1363),MONTH($A1363),1))</f>
        <v/>
      </c>
      <c r="X1363" s="34">
        <f>IF(OR($A1363="",$H1363&lt;&gt;"Ausgabe",J1363=""),0,IF(J1363="x",-$E1363/(COUNTIF($J1363:$Q1363,"x")+1),-$E1363*N(J1363)))</f>
        <v/>
      </c>
      <c r="Y1363" s="34">
        <f>IF(OR($A1363="",$H1363&lt;&gt;"Ausgabe",K1363=""),0,IF(K1363="x",-$E1363/(COUNTIF($J1363:$Q1363,"x")+1),-$E1363*N(K1363)))</f>
        <v/>
      </c>
      <c r="Z1363" s="34">
        <f>IF(OR($A1363="",$H1363&lt;&gt;"Ausgabe",L1363=""),0,IF(L1363="x",-$E1363/(COUNTIF($J1363:$Q1363,"x")+1),-$E1363*N(L1363)))</f>
        <v/>
      </c>
      <c r="AA1363" s="34">
        <f>IF(OR($A1363="",$H1363&lt;&gt;"Ausgabe",M1363=""),0,IF(M1363="x",-$E1363/(COUNTIF($J1363:$Q1363,"x")+1),-$E1363*N(M1363)))</f>
        <v/>
      </c>
      <c r="AB1363" s="34">
        <f>IF(OR($A1363="",$H1363&lt;&gt;"Ausgabe",N1363=""),0,IF(N1363="x",-$E1363/(COUNTIF($J1363:$Q1363,"x")+1),-$E1363*N(N1363)))</f>
        <v/>
      </c>
      <c r="AC1363" s="34">
        <f>IF(OR($A1363="",$H1363&lt;&gt;"Ausgabe",O1363=""),0,IF(O1363="x",-$E1363/(COUNTIF($J1363:$Q1363,"x")+1),-$E1363*N(O1363)))</f>
        <v/>
      </c>
      <c r="AD1363" s="34">
        <f>IF(OR($A1363="",$H1363&lt;&gt;"Ausgabe",P1363=""),0,IF(P1363="x",-$E1363/(COUNTIF($J1363:$Q1363,"x")+1),-$E1363*N(P1363)))</f>
        <v/>
      </c>
      <c r="AE1363" s="34">
        <f>IF(OR($A1363="",$H1363&lt;&gt;"Ausgabe",Q1363=""),0,IF(Q1363="x",-$E1363/(COUNTIF($J1363:$Q1363,"x")+1),-$E1363*N(Q1363)))</f>
        <v/>
      </c>
    </row>
    <row r="1364">
      <c r="A1364" s="30" t="n"/>
      <c r="E1364" s="31" t="n"/>
      <c r="J1364" s="32" t="n"/>
      <c r="K1364" s="32" t="n"/>
      <c r="L1364" s="32" t="n"/>
      <c r="M1364" s="32" t="n"/>
      <c r="N1364" s="32" t="n"/>
      <c r="O1364" s="32" t="n"/>
      <c r="P1364" s="32" t="n"/>
      <c r="Q1364" s="32" t="n"/>
      <c r="U1364" s="31">
        <f>IF($A1364="","",SUM(X1364:AE1364))</f>
        <v/>
      </c>
      <c r="V1364" s="31">
        <f>IF($A1364="","",IF($H1364&lt;&gt;"Ausgabe",0,-$E1364-$U1364))</f>
        <v/>
      </c>
      <c r="W1364" s="33">
        <f>IF($A1364="","",DATE(YEAR($A1364),MONTH($A1364),1))</f>
        <v/>
      </c>
      <c r="X1364" s="34">
        <f>IF(OR($A1364="",$H1364&lt;&gt;"Ausgabe",J1364=""),0,IF(J1364="x",-$E1364/(COUNTIF($J1364:$Q1364,"x")+1),-$E1364*N(J1364)))</f>
        <v/>
      </c>
      <c r="Y1364" s="34">
        <f>IF(OR($A1364="",$H1364&lt;&gt;"Ausgabe",K1364=""),0,IF(K1364="x",-$E1364/(COUNTIF($J1364:$Q1364,"x")+1),-$E1364*N(K1364)))</f>
        <v/>
      </c>
      <c r="Z1364" s="34">
        <f>IF(OR($A1364="",$H1364&lt;&gt;"Ausgabe",L1364=""),0,IF(L1364="x",-$E1364/(COUNTIF($J1364:$Q1364,"x")+1),-$E1364*N(L1364)))</f>
        <v/>
      </c>
      <c r="AA1364" s="34">
        <f>IF(OR($A1364="",$H1364&lt;&gt;"Ausgabe",M1364=""),0,IF(M1364="x",-$E1364/(COUNTIF($J1364:$Q1364,"x")+1),-$E1364*N(M1364)))</f>
        <v/>
      </c>
      <c r="AB1364" s="34">
        <f>IF(OR($A1364="",$H1364&lt;&gt;"Ausgabe",N1364=""),0,IF(N1364="x",-$E1364/(COUNTIF($J1364:$Q1364,"x")+1),-$E1364*N(N1364)))</f>
        <v/>
      </c>
      <c r="AC1364" s="34">
        <f>IF(OR($A1364="",$H1364&lt;&gt;"Ausgabe",O1364=""),0,IF(O1364="x",-$E1364/(COUNTIF($J1364:$Q1364,"x")+1),-$E1364*N(O1364)))</f>
        <v/>
      </c>
      <c r="AD1364" s="34">
        <f>IF(OR($A1364="",$H1364&lt;&gt;"Ausgabe",P1364=""),0,IF(P1364="x",-$E1364/(COUNTIF($J1364:$Q1364,"x")+1),-$E1364*N(P1364)))</f>
        <v/>
      </c>
      <c r="AE1364" s="34">
        <f>IF(OR($A1364="",$H1364&lt;&gt;"Ausgabe",Q1364=""),0,IF(Q1364="x",-$E1364/(COUNTIF($J1364:$Q1364,"x")+1),-$E1364*N(Q1364)))</f>
        <v/>
      </c>
    </row>
    <row r="1365">
      <c r="A1365" s="30" t="n"/>
      <c r="E1365" s="31" t="n"/>
      <c r="J1365" s="32" t="n"/>
      <c r="K1365" s="32" t="n"/>
      <c r="L1365" s="32" t="n"/>
      <c r="M1365" s="32" t="n"/>
      <c r="N1365" s="32" t="n"/>
      <c r="O1365" s="32" t="n"/>
      <c r="P1365" s="32" t="n"/>
      <c r="Q1365" s="32" t="n"/>
      <c r="U1365" s="31">
        <f>IF($A1365="","",SUM(X1365:AE1365))</f>
        <v/>
      </c>
      <c r="V1365" s="31">
        <f>IF($A1365="","",IF($H1365&lt;&gt;"Ausgabe",0,-$E1365-$U1365))</f>
        <v/>
      </c>
      <c r="W1365" s="33">
        <f>IF($A1365="","",DATE(YEAR($A1365),MONTH($A1365),1))</f>
        <v/>
      </c>
      <c r="X1365" s="34">
        <f>IF(OR($A1365="",$H1365&lt;&gt;"Ausgabe",J1365=""),0,IF(J1365="x",-$E1365/(COUNTIF($J1365:$Q1365,"x")+1),-$E1365*N(J1365)))</f>
        <v/>
      </c>
      <c r="Y1365" s="34">
        <f>IF(OR($A1365="",$H1365&lt;&gt;"Ausgabe",K1365=""),0,IF(K1365="x",-$E1365/(COUNTIF($J1365:$Q1365,"x")+1),-$E1365*N(K1365)))</f>
        <v/>
      </c>
      <c r="Z1365" s="34">
        <f>IF(OR($A1365="",$H1365&lt;&gt;"Ausgabe",L1365=""),0,IF(L1365="x",-$E1365/(COUNTIF($J1365:$Q1365,"x")+1),-$E1365*N(L1365)))</f>
        <v/>
      </c>
      <c r="AA1365" s="34">
        <f>IF(OR($A1365="",$H1365&lt;&gt;"Ausgabe",M1365=""),0,IF(M1365="x",-$E1365/(COUNTIF($J1365:$Q1365,"x")+1),-$E1365*N(M1365)))</f>
        <v/>
      </c>
      <c r="AB1365" s="34">
        <f>IF(OR($A1365="",$H1365&lt;&gt;"Ausgabe",N1365=""),0,IF(N1365="x",-$E1365/(COUNTIF($J1365:$Q1365,"x")+1),-$E1365*N(N1365)))</f>
        <v/>
      </c>
      <c r="AC1365" s="34">
        <f>IF(OR($A1365="",$H1365&lt;&gt;"Ausgabe",O1365=""),0,IF(O1365="x",-$E1365/(COUNTIF($J1365:$Q1365,"x")+1),-$E1365*N(O1365)))</f>
        <v/>
      </c>
      <c r="AD1365" s="34">
        <f>IF(OR($A1365="",$H1365&lt;&gt;"Ausgabe",P1365=""),0,IF(P1365="x",-$E1365/(COUNTIF($J1365:$Q1365,"x")+1),-$E1365*N(P1365)))</f>
        <v/>
      </c>
      <c r="AE1365" s="34">
        <f>IF(OR($A1365="",$H1365&lt;&gt;"Ausgabe",Q1365=""),0,IF(Q1365="x",-$E1365/(COUNTIF($J1365:$Q1365,"x")+1),-$E1365*N(Q1365)))</f>
        <v/>
      </c>
    </row>
    <row r="1366">
      <c r="A1366" s="30" t="n"/>
      <c r="E1366" s="31" t="n"/>
      <c r="J1366" s="32" t="n"/>
      <c r="K1366" s="32" t="n"/>
      <c r="L1366" s="32" t="n"/>
      <c r="M1366" s="32" t="n"/>
      <c r="N1366" s="32" t="n"/>
      <c r="O1366" s="32" t="n"/>
      <c r="P1366" s="32" t="n"/>
      <c r="Q1366" s="32" t="n"/>
      <c r="U1366" s="31">
        <f>IF($A1366="","",SUM(X1366:AE1366))</f>
        <v/>
      </c>
      <c r="V1366" s="31">
        <f>IF($A1366="","",IF($H1366&lt;&gt;"Ausgabe",0,-$E1366-$U1366))</f>
        <v/>
      </c>
      <c r="W1366" s="33">
        <f>IF($A1366="","",DATE(YEAR($A1366),MONTH($A1366),1))</f>
        <v/>
      </c>
      <c r="X1366" s="34">
        <f>IF(OR($A1366="",$H1366&lt;&gt;"Ausgabe",J1366=""),0,IF(J1366="x",-$E1366/(COUNTIF($J1366:$Q1366,"x")+1),-$E1366*N(J1366)))</f>
        <v/>
      </c>
      <c r="Y1366" s="34">
        <f>IF(OR($A1366="",$H1366&lt;&gt;"Ausgabe",K1366=""),0,IF(K1366="x",-$E1366/(COUNTIF($J1366:$Q1366,"x")+1),-$E1366*N(K1366)))</f>
        <v/>
      </c>
      <c r="Z1366" s="34">
        <f>IF(OR($A1366="",$H1366&lt;&gt;"Ausgabe",L1366=""),0,IF(L1366="x",-$E1366/(COUNTIF($J1366:$Q1366,"x")+1),-$E1366*N(L1366)))</f>
        <v/>
      </c>
      <c r="AA1366" s="34">
        <f>IF(OR($A1366="",$H1366&lt;&gt;"Ausgabe",M1366=""),0,IF(M1366="x",-$E1366/(COUNTIF($J1366:$Q1366,"x")+1),-$E1366*N(M1366)))</f>
        <v/>
      </c>
      <c r="AB1366" s="34">
        <f>IF(OR($A1366="",$H1366&lt;&gt;"Ausgabe",N1366=""),0,IF(N1366="x",-$E1366/(COUNTIF($J1366:$Q1366,"x")+1),-$E1366*N(N1366)))</f>
        <v/>
      </c>
      <c r="AC1366" s="34">
        <f>IF(OR($A1366="",$H1366&lt;&gt;"Ausgabe",O1366=""),0,IF(O1366="x",-$E1366/(COUNTIF($J1366:$Q1366,"x")+1),-$E1366*N(O1366)))</f>
        <v/>
      </c>
      <c r="AD1366" s="34">
        <f>IF(OR($A1366="",$H1366&lt;&gt;"Ausgabe",P1366=""),0,IF(P1366="x",-$E1366/(COUNTIF($J1366:$Q1366,"x")+1),-$E1366*N(P1366)))</f>
        <v/>
      </c>
      <c r="AE1366" s="34">
        <f>IF(OR($A1366="",$H1366&lt;&gt;"Ausgabe",Q1366=""),0,IF(Q1366="x",-$E1366/(COUNTIF($J1366:$Q1366,"x")+1),-$E1366*N(Q1366)))</f>
        <v/>
      </c>
    </row>
    <row r="1367">
      <c r="A1367" s="30" t="n"/>
      <c r="E1367" s="31" t="n"/>
      <c r="J1367" s="32" t="n"/>
      <c r="K1367" s="32" t="n"/>
      <c r="L1367" s="32" t="n"/>
      <c r="M1367" s="32" t="n"/>
      <c r="N1367" s="32" t="n"/>
      <c r="O1367" s="32" t="n"/>
      <c r="P1367" s="32" t="n"/>
      <c r="Q1367" s="32" t="n"/>
      <c r="U1367" s="31">
        <f>IF($A1367="","",SUM(X1367:AE1367))</f>
        <v/>
      </c>
      <c r="V1367" s="31">
        <f>IF($A1367="","",IF($H1367&lt;&gt;"Ausgabe",0,-$E1367-$U1367))</f>
        <v/>
      </c>
      <c r="W1367" s="33">
        <f>IF($A1367="","",DATE(YEAR($A1367),MONTH($A1367),1))</f>
        <v/>
      </c>
      <c r="X1367" s="34">
        <f>IF(OR($A1367="",$H1367&lt;&gt;"Ausgabe",J1367=""),0,IF(J1367="x",-$E1367/(COUNTIF($J1367:$Q1367,"x")+1),-$E1367*N(J1367)))</f>
        <v/>
      </c>
      <c r="Y1367" s="34">
        <f>IF(OR($A1367="",$H1367&lt;&gt;"Ausgabe",K1367=""),0,IF(K1367="x",-$E1367/(COUNTIF($J1367:$Q1367,"x")+1),-$E1367*N(K1367)))</f>
        <v/>
      </c>
      <c r="Z1367" s="34">
        <f>IF(OR($A1367="",$H1367&lt;&gt;"Ausgabe",L1367=""),0,IF(L1367="x",-$E1367/(COUNTIF($J1367:$Q1367,"x")+1),-$E1367*N(L1367)))</f>
        <v/>
      </c>
      <c r="AA1367" s="34">
        <f>IF(OR($A1367="",$H1367&lt;&gt;"Ausgabe",M1367=""),0,IF(M1367="x",-$E1367/(COUNTIF($J1367:$Q1367,"x")+1),-$E1367*N(M1367)))</f>
        <v/>
      </c>
      <c r="AB1367" s="34">
        <f>IF(OR($A1367="",$H1367&lt;&gt;"Ausgabe",N1367=""),0,IF(N1367="x",-$E1367/(COUNTIF($J1367:$Q1367,"x")+1),-$E1367*N(N1367)))</f>
        <v/>
      </c>
      <c r="AC1367" s="34">
        <f>IF(OR($A1367="",$H1367&lt;&gt;"Ausgabe",O1367=""),0,IF(O1367="x",-$E1367/(COUNTIF($J1367:$Q1367,"x")+1),-$E1367*N(O1367)))</f>
        <v/>
      </c>
      <c r="AD1367" s="34">
        <f>IF(OR($A1367="",$H1367&lt;&gt;"Ausgabe",P1367=""),0,IF(P1367="x",-$E1367/(COUNTIF($J1367:$Q1367,"x")+1),-$E1367*N(P1367)))</f>
        <v/>
      </c>
      <c r="AE1367" s="34">
        <f>IF(OR($A1367="",$H1367&lt;&gt;"Ausgabe",Q1367=""),0,IF(Q1367="x",-$E1367/(COUNTIF($J1367:$Q1367,"x")+1),-$E1367*N(Q1367)))</f>
        <v/>
      </c>
    </row>
    <row r="1368">
      <c r="A1368" s="30" t="n"/>
      <c r="E1368" s="31" t="n"/>
      <c r="J1368" s="32" t="n"/>
      <c r="K1368" s="32" t="n"/>
      <c r="L1368" s="32" t="n"/>
      <c r="M1368" s="32" t="n"/>
      <c r="N1368" s="32" t="n"/>
      <c r="O1368" s="32" t="n"/>
      <c r="P1368" s="32" t="n"/>
      <c r="Q1368" s="32" t="n"/>
      <c r="U1368" s="31">
        <f>IF($A1368="","",SUM(X1368:AE1368))</f>
        <v/>
      </c>
      <c r="V1368" s="31">
        <f>IF($A1368="","",IF($H1368&lt;&gt;"Ausgabe",0,-$E1368-$U1368))</f>
        <v/>
      </c>
      <c r="W1368" s="33">
        <f>IF($A1368="","",DATE(YEAR($A1368),MONTH($A1368),1))</f>
        <v/>
      </c>
      <c r="X1368" s="34">
        <f>IF(OR($A1368="",$H1368&lt;&gt;"Ausgabe",J1368=""),0,IF(J1368="x",-$E1368/(COUNTIF($J1368:$Q1368,"x")+1),-$E1368*N(J1368)))</f>
        <v/>
      </c>
      <c r="Y1368" s="34">
        <f>IF(OR($A1368="",$H1368&lt;&gt;"Ausgabe",K1368=""),0,IF(K1368="x",-$E1368/(COUNTIF($J1368:$Q1368,"x")+1),-$E1368*N(K1368)))</f>
        <v/>
      </c>
      <c r="Z1368" s="34">
        <f>IF(OR($A1368="",$H1368&lt;&gt;"Ausgabe",L1368=""),0,IF(L1368="x",-$E1368/(COUNTIF($J1368:$Q1368,"x")+1),-$E1368*N(L1368)))</f>
        <v/>
      </c>
      <c r="AA1368" s="34">
        <f>IF(OR($A1368="",$H1368&lt;&gt;"Ausgabe",M1368=""),0,IF(M1368="x",-$E1368/(COUNTIF($J1368:$Q1368,"x")+1),-$E1368*N(M1368)))</f>
        <v/>
      </c>
      <c r="AB1368" s="34">
        <f>IF(OR($A1368="",$H1368&lt;&gt;"Ausgabe",N1368=""),0,IF(N1368="x",-$E1368/(COUNTIF($J1368:$Q1368,"x")+1),-$E1368*N(N1368)))</f>
        <v/>
      </c>
      <c r="AC1368" s="34">
        <f>IF(OR($A1368="",$H1368&lt;&gt;"Ausgabe",O1368=""),0,IF(O1368="x",-$E1368/(COUNTIF($J1368:$Q1368,"x")+1),-$E1368*N(O1368)))</f>
        <v/>
      </c>
      <c r="AD1368" s="34">
        <f>IF(OR($A1368="",$H1368&lt;&gt;"Ausgabe",P1368=""),0,IF(P1368="x",-$E1368/(COUNTIF($J1368:$Q1368,"x")+1),-$E1368*N(P1368)))</f>
        <v/>
      </c>
      <c r="AE1368" s="34">
        <f>IF(OR($A1368="",$H1368&lt;&gt;"Ausgabe",Q1368=""),0,IF(Q1368="x",-$E1368/(COUNTIF($J1368:$Q1368,"x")+1),-$E1368*N(Q1368)))</f>
        <v/>
      </c>
    </row>
    <row r="1369">
      <c r="A1369" s="30" t="n"/>
      <c r="E1369" s="31" t="n"/>
      <c r="J1369" s="32" t="n"/>
      <c r="K1369" s="32" t="n"/>
      <c r="L1369" s="32" t="n"/>
      <c r="M1369" s="32" t="n"/>
      <c r="N1369" s="32" t="n"/>
      <c r="O1369" s="32" t="n"/>
      <c r="P1369" s="32" t="n"/>
      <c r="Q1369" s="32" t="n"/>
      <c r="U1369" s="31">
        <f>IF($A1369="","",SUM(X1369:AE1369))</f>
        <v/>
      </c>
      <c r="V1369" s="31">
        <f>IF($A1369="","",IF($H1369&lt;&gt;"Ausgabe",0,-$E1369-$U1369))</f>
        <v/>
      </c>
      <c r="W1369" s="33">
        <f>IF($A1369="","",DATE(YEAR($A1369),MONTH($A1369),1))</f>
        <v/>
      </c>
      <c r="X1369" s="34">
        <f>IF(OR($A1369="",$H1369&lt;&gt;"Ausgabe",J1369=""),0,IF(J1369="x",-$E1369/(COUNTIF($J1369:$Q1369,"x")+1),-$E1369*N(J1369)))</f>
        <v/>
      </c>
      <c r="Y1369" s="34">
        <f>IF(OR($A1369="",$H1369&lt;&gt;"Ausgabe",K1369=""),0,IF(K1369="x",-$E1369/(COUNTIF($J1369:$Q1369,"x")+1),-$E1369*N(K1369)))</f>
        <v/>
      </c>
      <c r="Z1369" s="34">
        <f>IF(OR($A1369="",$H1369&lt;&gt;"Ausgabe",L1369=""),0,IF(L1369="x",-$E1369/(COUNTIF($J1369:$Q1369,"x")+1),-$E1369*N(L1369)))</f>
        <v/>
      </c>
      <c r="AA1369" s="34">
        <f>IF(OR($A1369="",$H1369&lt;&gt;"Ausgabe",M1369=""),0,IF(M1369="x",-$E1369/(COUNTIF($J1369:$Q1369,"x")+1),-$E1369*N(M1369)))</f>
        <v/>
      </c>
      <c r="AB1369" s="34">
        <f>IF(OR($A1369="",$H1369&lt;&gt;"Ausgabe",N1369=""),0,IF(N1369="x",-$E1369/(COUNTIF($J1369:$Q1369,"x")+1),-$E1369*N(N1369)))</f>
        <v/>
      </c>
      <c r="AC1369" s="34">
        <f>IF(OR($A1369="",$H1369&lt;&gt;"Ausgabe",O1369=""),0,IF(O1369="x",-$E1369/(COUNTIF($J1369:$Q1369,"x")+1),-$E1369*N(O1369)))</f>
        <v/>
      </c>
      <c r="AD1369" s="34">
        <f>IF(OR($A1369="",$H1369&lt;&gt;"Ausgabe",P1369=""),0,IF(P1369="x",-$E1369/(COUNTIF($J1369:$Q1369,"x")+1),-$E1369*N(P1369)))</f>
        <v/>
      </c>
      <c r="AE1369" s="34">
        <f>IF(OR($A1369="",$H1369&lt;&gt;"Ausgabe",Q1369=""),0,IF(Q1369="x",-$E1369/(COUNTIF($J1369:$Q1369,"x")+1),-$E1369*N(Q1369)))</f>
        <v/>
      </c>
    </row>
    <row r="1370">
      <c r="A1370" s="30" t="n"/>
      <c r="E1370" s="31" t="n"/>
      <c r="J1370" s="32" t="n"/>
      <c r="K1370" s="32" t="n"/>
      <c r="L1370" s="32" t="n"/>
      <c r="M1370" s="32" t="n"/>
      <c r="N1370" s="32" t="n"/>
      <c r="O1370" s="32" t="n"/>
      <c r="P1370" s="32" t="n"/>
      <c r="Q1370" s="32" t="n"/>
      <c r="U1370" s="31">
        <f>IF($A1370="","",SUM(X1370:AE1370))</f>
        <v/>
      </c>
      <c r="V1370" s="31">
        <f>IF($A1370="","",IF($H1370&lt;&gt;"Ausgabe",0,-$E1370-$U1370))</f>
        <v/>
      </c>
      <c r="W1370" s="33">
        <f>IF($A1370="","",DATE(YEAR($A1370),MONTH($A1370),1))</f>
        <v/>
      </c>
      <c r="X1370" s="34">
        <f>IF(OR($A1370="",$H1370&lt;&gt;"Ausgabe",J1370=""),0,IF(J1370="x",-$E1370/(COUNTIF($J1370:$Q1370,"x")+1),-$E1370*N(J1370)))</f>
        <v/>
      </c>
      <c r="Y1370" s="34">
        <f>IF(OR($A1370="",$H1370&lt;&gt;"Ausgabe",K1370=""),0,IF(K1370="x",-$E1370/(COUNTIF($J1370:$Q1370,"x")+1),-$E1370*N(K1370)))</f>
        <v/>
      </c>
      <c r="Z1370" s="34">
        <f>IF(OR($A1370="",$H1370&lt;&gt;"Ausgabe",L1370=""),0,IF(L1370="x",-$E1370/(COUNTIF($J1370:$Q1370,"x")+1),-$E1370*N(L1370)))</f>
        <v/>
      </c>
      <c r="AA1370" s="34">
        <f>IF(OR($A1370="",$H1370&lt;&gt;"Ausgabe",M1370=""),0,IF(M1370="x",-$E1370/(COUNTIF($J1370:$Q1370,"x")+1),-$E1370*N(M1370)))</f>
        <v/>
      </c>
      <c r="AB1370" s="34">
        <f>IF(OR($A1370="",$H1370&lt;&gt;"Ausgabe",N1370=""),0,IF(N1370="x",-$E1370/(COUNTIF($J1370:$Q1370,"x")+1),-$E1370*N(N1370)))</f>
        <v/>
      </c>
      <c r="AC1370" s="34">
        <f>IF(OR($A1370="",$H1370&lt;&gt;"Ausgabe",O1370=""),0,IF(O1370="x",-$E1370/(COUNTIF($J1370:$Q1370,"x")+1),-$E1370*N(O1370)))</f>
        <v/>
      </c>
      <c r="AD1370" s="34">
        <f>IF(OR($A1370="",$H1370&lt;&gt;"Ausgabe",P1370=""),0,IF(P1370="x",-$E1370/(COUNTIF($J1370:$Q1370,"x")+1),-$E1370*N(P1370)))</f>
        <v/>
      </c>
      <c r="AE1370" s="34">
        <f>IF(OR($A1370="",$H1370&lt;&gt;"Ausgabe",Q1370=""),0,IF(Q1370="x",-$E1370/(COUNTIF($J1370:$Q1370,"x")+1),-$E1370*N(Q1370)))</f>
        <v/>
      </c>
    </row>
    <row r="1371">
      <c r="A1371" s="30" t="n"/>
      <c r="E1371" s="31" t="n"/>
      <c r="J1371" s="32" t="n"/>
      <c r="K1371" s="32" t="n"/>
      <c r="L1371" s="32" t="n"/>
      <c r="M1371" s="32" t="n"/>
      <c r="N1371" s="32" t="n"/>
      <c r="O1371" s="32" t="n"/>
      <c r="P1371" s="32" t="n"/>
      <c r="Q1371" s="32" t="n"/>
      <c r="U1371" s="31">
        <f>IF($A1371="","",SUM(X1371:AE1371))</f>
        <v/>
      </c>
      <c r="V1371" s="31">
        <f>IF($A1371="","",IF($H1371&lt;&gt;"Ausgabe",0,-$E1371-$U1371))</f>
        <v/>
      </c>
      <c r="W1371" s="33">
        <f>IF($A1371="","",DATE(YEAR($A1371),MONTH($A1371),1))</f>
        <v/>
      </c>
      <c r="X1371" s="34">
        <f>IF(OR($A1371="",$H1371&lt;&gt;"Ausgabe",J1371=""),0,IF(J1371="x",-$E1371/(COUNTIF($J1371:$Q1371,"x")+1),-$E1371*N(J1371)))</f>
        <v/>
      </c>
      <c r="Y1371" s="34">
        <f>IF(OR($A1371="",$H1371&lt;&gt;"Ausgabe",K1371=""),0,IF(K1371="x",-$E1371/(COUNTIF($J1371:$Q1371,"x")+1),-$E1371*N(K1371)))</f>
        <v/>
      </c>
      <c r="Z1371" s="34">
        <f>IF(OR($A1371="",$H1371&lt;&gt;"Ausgabe",L1371=""),0,IF(L1371="x",-$E1371/(COUNTIF($J1371:$Q1371,"x")+1),-$E1371*N(L1371)))</f>
        <v/>
      </c>
      <c r="AA1371" s="34">
        <f>IF(OR($A1371="",$H1371&lt;&gt;"Ausgabe",M1371=""),0,IF(M1371="x",-$E1371/(COUNTIF($J1371:$Q1371,"x")+1),-$E1371*N(M1371)))</f>
        <v/>
      </c>
      <c r="AB1371" s="34">
        <f>IF(OR($A1371="",$H1371&lt;&gt;"Ausgabe",N1371=""),0,IF(N1371="x",-$E1371/(COUNTIF($J1371:$Q1371,"x")+1),-$E1371*N(N1371)))</f>
        <v/>
      </c>
      <c r="AC1371" s="34">
        <f>IF(OR($A1371="",$H1371&lt;&gt;"Ausgabe",O1371=""),0,IF(O1371="x",-$E1371/(COUNTIF($J1371:$Q1371,"x")+1),-$E1371*N(O1371)))</f>
        <v/>
      </c>
      <c r="AD1371" s="34">
        <f>IF(OR($A1371="",$H1371&lt;&gt;"Ausgabe",P1371=""),0,IF(P1371="x",-$E1371/(COUNTIF($J1371:$Q1371,"x")+1),-$E1371*N(P1371)))</f>
        <v/>
      </c>
      <c r="AE1371" s="34">
        <f>IF(OR($A1371="",$H1371&lt;&gt;"Ausgabe",Q1371=""),0,IF(Q1371="x",-$E1371/(COUNTIF($J1371:$Q1371,"x")+1),-$E1371*N(Q1371)))</f>
        <v/>
      </c>
    </row>
    <row r="1372">
      <c r="A1372" s="30" t="n"/>
      <c r="E1372" s="31" t="n"/>
      <c r="J1372" s="32" t="n"/>
      <c r="K1372" s="32" t="n"/>
      <c r="L1372" s="32" t="n"/>
      <c r="M1372" s="32" t="n"/>
      <c r="N1372" s="32" t="n"/>
      <c r="O1372" s="32" t="n"/>
      <c r="P1372" s="32" t="n"/>
      <c r="Q1372" s="32" t="n"/>
      <c r="U1372" s="31">
        <f>IF($A1372="","",SUM(X1372:AE1372))</f>
        <v/>
      </c>
      <c r="V1372" s="31">
        <f>IF($A1372="","",IF($H1372&lt;&gt;"Ausgabe",0,-$E1372-$U1372))</f>
        <v/>
      </c>
      <c r="W1372" s="33">
        <f>IF($A1372="","",DATE(YEAR($A1372),MONTH($A1372),1))</f>
        <v/>
      </c>
      <c r="X1372" s="34">
        <f>IF(OR($A1372="",$H1372&lt;&gt;"Ausgabe",J1372=""),0,IF(J1372="x",-$E1372/(COUNTIF($J1372:$Q1372,"x")+1),-$E1372*N(J1372)))</f>
        <v/>
      </c>
      <c r="Y1372" s="34">
        <f>IF(OR($A1372="",$H1372&lt;&gt;"Ausgabe",K1372=""),0,IF(K1372="x",-$E1372/(COUNTIF($J1372:$Q1372,"x")+1),-$E1372*N(K1372)))</f>
        <v/>
      </c>
      <c r="Z1372" s="34">
        <f>IF(OR($A1372="",$H1372&lt;&gt;"Ausgabe",L1372=""),0,IF(L1372="x",-$E1372/(COUNTIF($J1372:$Q1372,"x")+1),-$E1372*N(L1372)))</f>
        <v/>
      </c>
      <c r="AA1372" s="34">
        <f>IF(OR($A1372="",$H1372&lt;&gt;"Ausgabe",M1372=""),0,IF(M1372="x",-$E1372/(COUNTIF($J1372:$Q1372,"x")+1),-$E1372*N(M1372)))</f>
        <v/>
      </c>
      <c r="AB1372" s="34">
        <f>IF(OR($A1372="",$H1372&lt;&gt;"Ausgabe",N1372=""),0,IF(N1372="x",-$E1372/(COUNTIF($J1372:$Q1372,"x")+1),-$E1372*N(N1372)))</f>
        <v/>
      </c>
      <c r="AC1372" s="34">
        <f>IF(OR($A1372="",$H1372&lt;&gt;"Ausgabe",O1372=""),0,IF(O1372="x",-$E1372/(COUNTIF($J1372:$Q1372,"x")+1),-$E1372*N(O1372)))</f>
        <v/>
      </c>
      <c r="AD1372" s="34">
        <f>IF(OR($A1372="",$H1372&lt;&gt;"Ausgabe",P1372=""),0,IF(P1372="x",-$E1372/(COUNTIF($J1372:$Q1372,"x")+1),-$E1372*N(P1372)))</f>
        <v/>
      </c>
      <c r="AE1372" s="34">
        <f>IF(OR($A1372="",$H1372&lt;&gt;"Ausgabe",Q1372=""),0,IF(Q1372="x",-$E1372/(COUNTIF($J1372:$Q1372,"x")+1),-$E1372*N(Q1372)))</f>
        <v/>
      </c>
    </row>
    <row r="1373">
      <c r="A1373" s="30" t="n"/>
      <c r="E1373" s="31" t="n"/>
      <c r="J1373" s="32" t="n"/>
      <c r="K1373" s="32" t="n"/>
      <c r="L1373" s="32" t="n"/>
      <c r="M1373" s="32" t="n"/>
      <c r="N1373" s="32" t="n"/>
      <c r="O1373" s="32" t="n"/>
      <c r="P1373" s="32" t="n"/>
      <c r="Q1373" s="32" t="n"/>
      <c r="U1373" s="31">
        <f>IF($A1373="","",SUM(X1373:AE1373))</f>
        <v/>
      </c>
      <c r="V1373" s="31">
        <f>IF($A1373="","",IF($H1373&lt;&gt;"Ausgabe",0,-$E1373-$U1373))</f>
        <v/>
      </c>
      <c r="W1373" s="33">
        <f>IF($A1373="","",DATE(YEAR($A1373),MONTH($A1373),1))</f>
        <v/>
      </c>
      <c r="X1373" s="34">
        <f>IF(OR($A1373="",$H1373&lt;&gt;"Ausgabe",J1373=""),0,IF(J1373="x",-$E1373/(COUNTIF($J1373:$Q1373,"x")+1),-$E1373*N(J1373)))</f>
        <v/>
      </c>
      <c r="Y1373" s="34">
        <f>IF(OR($A1373="",$H1373&lt;&gt;"Ausgabe",K1373=""),0,IF(K1373="x",-$E1373/(COUNTIF($J1373:$Q1373,"x")+1),-$E1373*N(K1373)))</f>
        <v/>
      </c>
      <c r="Z1373" s="34">
        <f>IF(OR($A1373="",$H1373&lt;&gt;"Ausgabe",L1373=""),0,IF(L1373="x",-$E1373/(COUNTIF($J1373:$Q1373,"x")+1),-$E1373*N(L1373)))</f>
        <v/>
      </c>
      <c r="AA1373" s="34">
        <f>IF(OR($A1373="",$H1373&lt;&gt;"Ausgabe",M1373=""),0,IF(M1373="x",-$E1373/(COUNTIF($J1373:$Q1373,"x")+1),-$E1373*N(M1373)))</f>
        <v/>
      </c>
      <c r="AB1373" s="34">
        <f>IF(OR($A1373="",$H1373&lt;&gt;"Ausgabe",N1373=""),0,IF(N1373="x",-$E1373/(COUNTIF($J1373:$Q1373,"x")+1),-$E1373*N(N1373)))</f>
        <v/>
      </c>
      <c r="AC1373" s="34">
        <f>IF(OR($A1373="",$H1373&lt;&gt;"Ausgabe",O1373=""),0,IF(O1373="x",-$E1373/(COUNTIF($J1373:$Q1373,"x")+1),-$E1373*N(O1373)))</f>
        <v/>
      </c>
      <c r="AD1373" s="34">
        <f>IF(OR($A1373="",$H1373&lt;&gt;"Ausgabe",P1373=""),0,IF(P1373="x",-$E1373/(COUNTIF($J1373:$Q1373,"x")+1),-$E1373*N(P1373)))</f>
        <v/>
      </c>
      <c r="AE1373" s="34">
        <f>IF(OR($A1373="",$H1373&lt;&gt;"Ausgabe",Q1373=""),0,IF(Q1373="x",-$E1373/(COUNTIF($J1373:$Q1373,"x")+1),-$E1373*N(Q1373)))</f>
        <v/>
      </c>
    </row>
    <row r="1374">
      <c r="A1374" s="30" t="n"/>
      <c r="E1374" s="31" t="n"/>
      <c r="J1374" s="32" t="n"/>
      <c r="K1374" s="32" t="n"/>
      <c r="L1374" s="32" t="n"/>
      <c r="M1374" s="32" t="n"/>
      <c r="N1374" s="32" t="n"/>
      <c r="O1374" s="32" t="n"/>
      <c r="P1374" s="32" t="n"/>
      <c r="Q1374" s="32" t="n"/>
      <c r="U1374" s="31">
        <f>IF($A1374="","",SUM(X1374:AE1374))</f>
        <v/>
      </c>
      <c r="V1374" s="31">
        <f>IF($A1374="","",IF($H1374&lt;&gt;"Ausgabe",0,-$E1374-$U1374))</f>
        <v/>
      </c>
      <c r="W1374" s="33">
        <f>IF($A1374="","",DATE(YEAR($A1374),MONTH($A1374),1))</f>
        <v/>
      </c>
      <c r="X1374" s="34">
        <f>IF(OR($A1374="",$H1374&lt;&gt;"Ausgabe",J1374=""),0,IF(J1374="x",-$E1374/(COUNTIF($J1374:$Q1374,"x")+1),-$E1374*N(J1374)))</f>
        <v/>
      </c>
      <c r="Y1374" s="34">
        <f>IF(OR($A1374="",$H1374&lt;&gt;"Ausgabe",K1374=""),0,IF(K1374="x",-$E1374/(COUNTIF($J1374:$Q1374,"x")+1),-$E1374*N(K1374)))</f>
        <v/>
      </c>
      <c r="Z1374" s="34">
        <f>IF(OR($A1374="",$H1374&lt;&gt;"Ausgabe",L1374=""),0,IF(L1374="x",-$E1374/(COUNTIF($J1374:$Q1374,"x")+1),-$E1374*N(L1374)))</f>
        <v/>
      </c>
      <c r="AA1374" s="34">
        <f>IF(OR($A1374="",$H1374&lt;&gt;"Ausgabe",M1374=""),0,IF(M1374="x",-$E1374/(COUNTIF($J1374:$Q1374,"x")+1),-$E1374*N(M1374)))</f>
        <v/>
      </c>
      <c r="AB1374" s="34">
        <f>IF(OR($A1374="",$H1374&lt;&gt;"Ausgabe",N1374=""),0,IF(N1374="x",-$E1374/(COUNTIF($J1374:$Q1374,"x")+1),-$E1374*N(N1374)))</f>
        <v/>
      </c>
      <c r="AC1374" s="34">
        <f>IF(OR($A1374="",$H1374&lt;&gt;"Ausgabe",O1374=""),0,IF(O1374="x",-$E1374/(COUNTIF($J1374:$Q1374,"x")+1),-$E1374*N(O1374)))</f>
        <v/>
      </c>
      <c r="AD1374" s="34">
        <f>IF(OR($A1374="",$H1374&lt;&gt;"Ausgabe",P1374=""),0,IF(P1374="x",-$E1374/(COUNTIF($J1374:$Q1374,"x")+1),-$E1374*N(P1374)))</f>
        <v/>
      </c>
      <c r="AE1374" s="34">
        <f>IF(OR($A1374="",$H1374&lt;&gt;"Ausgabe",Q1374=""),0,IF(Q1374="x",-$E1374/(COUNTIF($J1374:$Q1374,"x")+1),-$E1374*N(Q1374)))</f>
        <v/>
      </c>
    </row>
    <row r="1375">
      <c r="A1375" s="30" t="n"/>
      <c r="E1375" s="31" t="n"/>
      <c r="J1375" s="32" t="n"/>
      <c r="K1375" s="32" t="n"/>
      <c r="L1375" s="32" t="n"/>
      <c r="M1375" s="32" t="n"/>
      <c r="N1375" s="32" t="n"/>
      <c r="O1375" s="32" t="n"/>
      <c r="P1375" s="32" t="n"/>
      <c r="Q1375" s="32" t="n"/>
      <c r="U1375" s="31">
        <f>IF($A1375="","",SUM(X1375:AE1375))</f>
        <v/>
      </c>
      <c r="V1375" s="31">
        <f>IF($A1375="","",IF($H1375&lt;&gt;"Ausgabe",0,-$E1375-$U1375))</f>
        <v/>
      </c>
      <c r="W1375" s="33">
        <f>IF($A1375="","",DATE(YEAR($A1375),MONTH($A1375),1))</f>
        <v/>
      </c>
      <c r="X1375" s="34">
        <f>IF(OR($A1375="",$H1375&lt;&gt;"Ausgabe",J1375=""),0,IF(J1375="x",-$E1375/(COUNTIF($J1375:$Q1375,"x")+1),-$E1375*N(J1375)))</f>
        <v/>
      </c>
      <c r="Y1375" s="34">
        <f>IF(OR($A1375="",$H1375&lt;&gt;"Ausgabe",K1375=""),0,IF(K1375="x",-$E1375/(COUNTIF($J1375:$Q1375,"x")+1),-$E1375*N(K1375)))</f>
        <v/>
      </c>
      <c r="Z1375" s="34">
        <f>IF(OR($A1375="",$H1375&lt;&gt;"Ausgabe",L1375=""),0,IF(L1375="x",-$E1375/(COUNTIF($J1375:$Q1375,"x")+1),-$E1375*N(L1375)))</f>
        <v/>
      </c>
      <c r="AA1375" s="34">
        <f>IF(OR($A1375="",$H1375&lt;&gt;"Ausgabe",M1375=""),0,IF(M1375="x",-$E1375/(COUNTIF($J1375:$Q1375,"x")+1),-$E1375*N(M1375)))</f>
        <v/>
      </c>
      <c r="AB1375" s="34">
        <f>IF(OR($A1375="",$H1375&lt;&gt;"Ausgabe",N1375=""),0,IF(N1375="x",-$E1375/(COUNTIF($J1375:$Q1375,"x")+1),-$E1375*N(N1375)))</f>
        <v/>
      </c>
      <c r="AC1375" s="34">
        <f>IF(OR($A1375="",$H1375&lt;&gt;"Ausgabe",O1375=""),0,IF(O1375="x",-$E1375/(COUNTIF($J1375:$Q1375,"x")+1),-$E1375*N(O1375)))</f>
        <v/>
      </c>
      <c r="AD1375" s="34">
        <f>IF(OR($A1375="",$H1375&lt;&gt;"Ausgabe",P1375=""),0,IF(P1375="x",-$E1375/(COUNTIF($J1375:$Q1375,"x")+1),-$E1375*N(P1375)))</f>
        <v/>
      </c>
      <c r="AE1375" s="34">
        <f>IF(OR($A1375="",$H1375&lt;&gt;"Ausgabe",Q1375=""),0,IF(Q1375="x",-$E1375/(COUNTIF($J1375:$Q1375,"x")+1),-$E1375*N(Q1375)))</f>
        <v/>
      </c>
    </row>
    <row r="1376">
      <c r="A1376" s="30" t="n"/>
      <c r="E1376" s="31" t="n"/>
      <c r="J1376" s="32" t="n"/>
      <c r="K1376" s="32" t="n"/>
      <c r="L1376" s="32" t="n"/>
      <c r="M1376" s="32" t="n"/>
      <c r="N1376" s="32" t="n"/>
      <c r="O1376" s="32" t="n"/>
      <c r="P1376" s="32" t="n"/>
      <c r="Q1376" s="32" t="n"/>
      <c r="U1376" s="31">
        <f>IF($A1376="","",SUM(X1376:AE1376))</f>
        <v/>
      </c>
      <c r="V1376" s="31">
        <f>IF($A1376="","",IF($H1376&lt;&gt;"Ausgabe",0,-$E1376-$U1376))</f>
        <v/>
      </c>
      <c r="W1376" s="33">
        <f>IF($A1376="","",DATE(YEAR($A1376),MONTH($A1376),1))</f>
        <v/>
      </c>
      <c r="X1376" s="34">
        <f>IF(OR($A1376="",$H1376&lt;&gt;"Ausgabe",J1376=""),0,IF(J1376="x",-$E1376/(COUNTIF($J1376:$Q1376,"x")+1),-$E1376*N(J1376)))</f>
        <v/>
      </c>
      <c r="Y1376" s="34">
        <f>IF(OR($A1376="",$H1376&lt;&gt;"Ausgabe",K1376=""),0,IF(K1376="x",-$E1376/(COUNTIF($J1376:$Q1376,"x")+1),-$E1376*N(K1376)))</f>
        <v/>
      </c>
      <c r="Z1376" s="34">
        <f>IF(OR($A1376="",$H1376&lt;&gt;"Ausgabe",L1376=""),0,IF(L1376="x",-$E1376/(COUNTIF($J1376:$Q1376,"x")+1),-$E1376*N(L1376)))</f>
        <v/>
      </c>
      <c r="AA1376" s="34">
        <f>IF(OR($A1376="",$H1376&lt;&gt;"Ausgabe",M1376=""),0,IF(M1376="x",-$E1376/(COUNTIF($J1376:$Q1376,"x")+1),-$E1376*N(M1376)))</f>
        <v/>
      </c>
      <c r="AB1376" s="34">
        <f>IF(OR($A1376="",$H1376&lt;&gt;"Ausgabe",N1376=""),0,IF(N1376="x",-$E1376/(COUNTIF($J1376:$Q1376,"x")+1),-$E1376*N(N1376)))</f>
        <v/>
      </c>
      <c r="AC1376" s="34">
        <f>IF(OR($A1376="",$H1376&lt;&gt;"Ausgabe",O1376=""),0,IF(O1376="x",-$E1376/(COUNTIF($J1376:$Q1376,"x")+1),-$E1376*N(O1376)))</f>
        <v/>
      </c>
      <c r="AD1376" s="34">
        <f>IF(OR($A1376="",$H1376&lt;&gt;"Ausgabe",P1376=""),0,IF(P1376="x",-$E1376/(COUNTIF($J1376:$Q1376,"x")+1),-$E1376*N(P1376)))</f>
        <v/>
      </c>
      <c r="AE1376" s="34">
        <f>IF(OR($A1376="",$H1376&lt;&gt;"Ausgabe",Q1376=""),0,IF(Q1376="x",-$E1376/(COUNTIF($J1376:$Q1376,"x")+1),-$E1376*N(Q1376)))</f>
        <v/>
      </c>
    </row>
    <row r="1377">
      <c r="A1377" s="30" t="n"/>
      <c r="E1377" s="31" t="n"/>
      <c r="J1377" s="32" t="n"/>
      <c r="K1377" s="32" t="n"/>
      <c r="L1377" s="32" t="n"/>
      <c r="M1377" s="32" t="n"/>
      <c r="N1377" s="32" t="n"/>
      <c r="O1377" s="32" t="n"/>
      <c r="P1377" s="32" t="n"/>
      <c r="Q1377" s="32" t="n"/>
      <c r="U1377" s="31">
        <f>IF($A1377="","",SUM(X1377:AE1377))</f>
        <v/>
      </c>
      <c r="V1377" s="31">
        <f>IF($A1377="","",IF($H1377&lt;&gt;"Ausgabe",0,-$E1377-$U1377))</f>
        <v/>
      </c>
      <c r="W1377" s="33">
        <f>IF($A1377="","",DATE(YEAR($A1377),MONTH($A1377),1))</f>
        <v/>
      </c>
      <c r="X1377" s="34">
        <f>IF(OR($A1377="",$H1377&lt;&gt;"Ausgabe",J1377=""),0,IF(J1377="x",-$E1377/(COUNTIF($J1377:$Q1377,"x")+1),-$E1377*N(J1377)))</f>
        <v/>
      </c>
      <c r="Y1377" s="34">
        <f>IF(OR($A1377="",$H1377&lt;&gt;"Ausgabe",K1377=""),0,IF(K1377="x",-$E1377/(COUNTIF($J1377:$Q1377,"x")+1),-$E1377*N(K1377)))</f>
        <v/>
      </c>
      <c r="Z1377" s="34">
        <f>IF(OR($A1377="",$H1377&lt;&gt;"Ausgabe",L1377=""),0,IF(L1377="x",-$E1377/(COUNTIF($J1377:$Q1377,"x")+1),-$E1377*N(L1377)))</f>
        <v/>
      </c>
      <c r="AA1377" s="34">
        <f>IF(OR($A1377="",$H1377&lt;&gt;"Ausgabe",M1377=""),0,IF(M1377="x",-$E1377/(COUNTIF($J1377:$Q1377,"x")+1),-$E1377*N(M1377)))</f>
        <v/>
      </c>
      <c r="AB1377" s="34">
        <f>IF(OR($A1377="",$H1377&lt;&gt;"Ausgabe",N1377=""),0,IF(N1377="x",-$E1377/(COUNTIF($J1377:$Q1377,"x")+1),-$E1377*N(N1377)))</f>
        <v/>
      </c>
      <c r="AC1377" s="34">
        <f>IF(OR($A1377="",$H1377&lt;&gt;"Ausgabe",O1377=""),0,IF(O1377="x",-$E1377/(COUNTIF($J1377:$Q1377,"x")+1),-$E1377*N(O1377)))</f>
        <v/>
      </c>
      <c r="AD1377" s="34">
        <f>IF(OR($A1377="",$H1377&lt;&gt;"Ausgabe",P1377=""),0,IF(P1377="x",-$E1377/(COUNTIF($J1377:$Q1377,"x")+1),-$E1377*N(P1377)))</f>
        <v/>
      </c>
      <c r="AE1377" s="34">
        <f>IF(OR($A1377="",$H1377&lt;&gt;"Ausgabe",Q1377=""),0,IF(Q1377="x",-$E1377/(COUNTIF($J1377:$Q1377,"x")+1),-$E1377*N(Q1377)))</f>
        <v/>
      </c>
    </row>
    <row r="1378">
      <c r="A1378" s="30" t="n"/>
      <c r="E1378" s="31" t="n"/>
      <c r="J1378" s="32" t="n"/>
      <c r="K1378" s="32" t="n"/>
      <c r="L1378" s="32" t="n"/>
      <c r="M1378" s="32" t="n"/>
      <c r="N1378" s="32" t="n"/>
      <c r="O1378" s="32" t="n"/>
      <c r="P1378" s="32" t="n"/>
      <c r="Q1378" s="32" t="n"/>
      <c r="U1378" s="31">
        <f>IF($A1378="","",SUM(X1378:AE1378))</f>
        <v/>
      </c>
      <c r="V1378" s="31">
        <f>IF($A1378="","",IF($H1378&lt;&gt;"Ausgabe",0,-$E1378-$U1378))</f>
        <v/>
      </c>
      <c r="W1378" s="33">
        <f>IF($A1378="","",DATE(YEAR($A1378),MONTH($A1378),1))</f>
        <v/>
      </c>
      <c r="X1378" s="34">
        <f>IF(OR($A1378="",$H1378&lt;&gt;"Ausgabe",J1378=""),0,IF(J1378="x",-$E1378/(COUNTIF($J1378:$Q1378,"x")+1),-$E1378*N(J1378)))</f>
        <v/>
      </c>
      <c r="Y1378" s="34">
        <f>IF(OR($A1378="",$H1378&lt;&gt;"Ausgabe",K1378=""),0,IF(K1378="x",-$E1378/(COUNTIF($J1378:$Q1378,"x")+1),-$E1378*N(K1378)))</f>
        <v/>
      </c>
      <c r="Z1378" s="34">
        <f>IF(OR($A1378="",$H1378&lt;&gt;"Ausgabe",L1378=""),0,IF(L1378="x",-$E1378/(COUNTIF($J1378:$Q1378,"x")+1),-$E1378*N(L1378)))</f>
        <v/>
      </c>
      <c r="AA1378" s="34">
        <f>IF(OR($A1378="",$H1378&lt;&gt;"Ausgabe",M1378=""),0,IF(M1378="x",-$E1378/(COUNTIF($J1378:$Q1378,"x")+1),-$E1378*N(M1378)))</f>
        <v/>
      </c>
      <c r="AB1378" s="34">
        <f>IF(OR($A1378="",$H1378&lt;&gt;"Ausgabe",N1378=""),0,IF(N1378="x",-$E1378/(COUNTIF($J1378:$Q1378,"x")+1),-$E1378*N(N1378)))</f>
        <v/>
      </c>
      <c r="AC1378" s="34">
        <f>IF(OR($A1378="",$H1378&lt;&gt;"Ausgabe",O1378=""),0,IF(O1378="x",-$E1378/(COUNTIF($J1378:$Q1378,"x")+1),-$E1378*N(O1378)))</f>
        <v/>
      </c>
      <c r="AD1378" s="34">
        <f>IF(OR($A1378="",$H1378&lt;&gt;"Ausgabe",P1378=""),0,IF(P1378="x",-$E1378/(COUNTIF($J1378:$Q1378,"x")+1),-$E1378*N(P1378)))</f>
        <v/>
      </c>
      <c r="AE1378" s="34">
        <f>IF(OR($A1378="",$H1378&lt;&gt;"Ausgabe",Q1378=""),0,IF(Q1378="x",-$E1378/(COUNTIF($J1378:$Q1378,"x")+1),-$E1378*N(Q1378)))</f>
        <v/>
      </c>
    </row>
    <row r="1379">
      <c r="A1379" s="30" t="n"/>
      <c r="E1379" s="31" t="n"/>
      <c r="J1379" s="32" t="n"/>
      <c r="K1379" s="32" t="n"/>
      <c r="L1379" s="32" t="n"/>
      <c r="M1379" s="32" t="n"/>
      <c r="N1379" s="32" t="n"/>
      <c r="O1379" s="32" t="n"/>
      <c r="P1379" s="32" t="n"/>
      <c r="Q1379" s="32" t="n"/>
      <c r="U1379" s="31">
        <f>IF($A1379="","",SUM(X1379:AE1379))</f>
        <v/>
      </c>
      <c r="V1379" s="31">
        <f>IF($A1379="","",IF($H1379&lt;&gt;"Ausgabe",0,-$E1379-$U1379))</f>
        <v/>
      </c>
      <c r="W1379" s="33">
        <f>IF($A1379="","",DATE(YEAR($A1379),MONTH($A1379),1))</f>
        <v/>
      </c>
      <c r="X1379" s="34">
        <f>IF(OR($A1379="",$H1379&lt;&gt;"Ausgabe",J1379=""),0,IF(J1379="x",-$E1379/(COUNTIF($J1379:$Q1379,"x")+1),-$E1379*N(J1379)))</f>
        <v/>
      </c>
      <c r="Y1379" s="34">
        <f>IF(OR($A1379="",$H1379&lt;&gt;"Ausgabe",K1379=""),0,IF(K1379="x",-$E1379/(COUNTIF($J1379:$Q1379,"x")+1),-$E1379*N(K1379)))</f>
        <v/>
      </c>
      <c r="Z1379" s="34">
        <f>IF(OR($A1379="",$H1379&lt;&gt;"Ausgabe",L1379=""),0,IF(L1379="x",-$E1379/(COUNTIF($J1379:$Q1379,"x")+1),-$E1379*N(L1379)))</f>
        <v/>
      </c>
      <c r="AA1379" s="34">
        <f>IF(OR($A1379="",$H1379&lt;&gt;"Ausgabe",M1379=""),0,IF(M1379="x",-$E1379/(COUNTIF($J1379:$Q1379,"x")+1),-$E1379*N(M1379)))</f>
        <v/>
      </c>
      <c r="AB1379" s="34">
        <f>IF(OR($A1379="",$H1379&lt;&gt;"Ausgabe",N1379=""),0,IF(N1379="x",-$E1379/(COUNTIF($J1379:$Q1379,"x")+1),-$E1379*N(N1379)))</f>
        <v/>
      </c>
      <c r="AC1379" s="34">
        <f>IF(OR($A1379="",$H1379&lt;&gt;"Ausgabe",O1379=""),0,IF(O1379="x",-$E1379/(COUNTIF($J1379:$Q1379,"x")+1),-$E1379*N(O1379)))</f>
        <v/>
      </c>
      <c r="AD1379" s="34">
        <f>IF(OR($A1379="",$H1379&lt;&gt;"Ausgabe",P1379=""),0,IF(P1379="x",-$E1379/(COUNTIF($J1379:$Q1379,"x")+1),-$E1379*N(P1379)))</f>
        <v/>
      </c>
      <c r="AE1379" s="34">
        <f>IF(OR($A1379="",$H1379&lt;&gt;"Ausgabe",Q1379=""),0,IF(Q1379="x",-$E1379/(COUNTIF($J1379:$Q1379,"x")+1),-$E1379*N(Q1379)))</f>
        <v/>
      </c>
    </row>
    <row r="1380">
      <c r="A1380" s="30" t="n"/>
      <c r="E1380" s="31" t="n"/>
      <c r="J1380" s="32" t="n"/>
      <c r="K1380" s="32" t="n"/>
      <c r="L1380" s="32" t="n"/>
      <c r="M1380" s="32" t="n"/>
      <c r="N1380" s="32" t="n"/>
      <c r="O1380" s="32" t="n"/>
      <c r="P1380" s="32" t="n"/>
      <c r="Q1380" s="32" t="n"/>
      <c r="U1380" s="31">
        <f>IF($A1380="","",SUM(X1380:AE1380))</f>
        <v/>
      </c>
      <c r="V1380" s="31">
        <f>IF($A1380="","",IF($H1380&lt;&gt;"Ausgabe",0,-$E1380-$U1380))</f>
        <v/>
      </c>
      <c r="W1380" s="33">
        <f>IF($A1380="","",DATE(YEAR($A1380),MONTH($A1380),1))</f>
        <v/>
      </c>
      <c r="X1380" s="34">
        <f>IF(OR($A1380="",$H1380&lt;&gt;"Ausgabe",J1380=""),0,IF(J1380="x",-$E1380/(COUNTIF($J1380:$Q1380,"x")+1),-$E1380*N(J1380)))</f>
        <v/>
      </c>
      <c r="Y1380" s="34">
        <f>IF(OR($A1380="",$H1380&lt;&gt;"Ausgabe",K1380=""),0,IF(K1380="x",-$E1380/(COUNTIF($J1380:$Q1380,"x")+1),-$E1380*N(K1380)))</f>
        <v/>
      </c>
      <c r="Z1380" s="34">
        <f>IF(OR($A1380="",$H1380&lt;&gt;"Ausgabe",L1380=""),0,IF(L1380="x",-$E1380/(COUNTIF($J1380:$Q1380,"x")+1),-$E1380*N(L1380)))</f>
        <v/>
      </c>
      <c r="AA1380" s="34">
        <f>IF(OR($A1380="",$H1380&lt;&gt;"Ausgabe",M1380=""),0,IF(M1380="x",-$E1380/(COUNTIF($J1380:$Q1380,"x")+1),-$E1380*N(M1380)))</f>
        <v/>
      </c>
      <c r="AB1380" s="34">
        <f>IF(OR($A1380="",$H1380&lt;&gt;"Ausgabe",N1380=""),0,IF(N1380="x",-$E1380/(COUNTIF($J1380:$Q1380,"x")+1),-$E1380*N(N1380)))</f>
        <v/>
      </c>
      <c r="AC1380" s="34">
        <f>IF(OR($A1380="",$H1380&lt;&gt;"Ausgabe",O1380=""),0,IF(O1380="x",-$E1380/(COUNTIF($J1380:$Q1380,"x")+1),-$E1380*N(O1380)))</f>
        <v/>
      </c>
      <c r="AD1380" s="34">
        <f>IF(OR($A1380="",$H1380&lt;&gt;"Ausgabe",P1380=""),0,IF(P1380="x",-$E1380/(COUNTIF($J1380:$Q1380,"x")+1),-$E1380*N(P1380)))</f>
        <v/>
      </c>
      <c r="AE1380" s="34">
        <f>IF(OR($A1380="",$H1380&lt;&gt;"Ausgabe",Q1380=""),0,IF(Q1380="x",-$E1380/(COUNTIF($J1380:$Q1380,"x")+1),-$E1380*N(Q1380)))</f>
        <v/>
      </c>
    </row>
    <row r="1381">
      <c r="A1381" s="30" t="n"/>
      <c r="E1381" s="31" t="n"/>
      <c r="J1381" s="32" t="n"/>
      <c r="K1381" s="32" t="n"/>
      <c r="L1381" s="32" t="n"/>
      <c r="M1381" s="32" t="n"/>
      <c r="N1381" s="32" t="n"/>
      <c r="O1381" s="32" t="n"/>
      <c r="P1381" s="32" t="n"/>
      <c r="Q1381" s="32" t="n"/>
      <c r="U1381" s="31">
        <f>IF($A1381="","",SUM(X1381:AE1381))</f>
        <v/>
      </c>
      <c r="V1381" s="31">
        <f>IF($A1381="","",IF($H1381&lt;&gt;"Ausgabe",0,-$E1381-$U1381))</f>
        <v/>
      </c>
      <c r="W1381" s="33">
        <f>IF($A1381="","",DATE(YEAR($A1381),MONTH($A1381),1))</f>
        <v/>
      </c>
      <c r="X1381" s="34">
        <f>IF(OR($A1381="",$H1381&lt;&gt;"Ausgabe",J1381=""),0,IF(J1381="x",-$E1381/(COUNTIF($J1381:$Q1381,"x")+1),-$E1381*N(J1381)))</f>
        <v/>
      </c>
      <c r="Y1381" s="34">
        <f>IF(OR($A1381="",$H1381&lt;&gt;"Ausgabe",K1381=""),0,IF(K1381="x",-$E1381/(COUNTIF($J1381:$Q1381,"x")+1),-$E1381*N(K1381)))</f>
        <v/>
      </c>
      <c r="Z1381" s="34">
        <f>IF(OR($A1381="",$H1381&lt;&gt;"Ausgabe",L1381=""),0,IF(L1381="x",-$E1381/(COUNTIF($J1381:$Q1381,"x")+1),-$E1381*N(L1381)))</f>
        <v/>
      </c>
      <c r="AA1381" s="34">
        <f>IF(OR($A1381="",$H1381&lt;&gt;"Ausgabe",M1381=""),0,IF(M1381="x",-$E1381/(COUNTIF($J1381:$Q1381,"x")+1),-$E1381*N(M1381)))</f>
        <v/>
      </c>
      <c r="AB1381" s="34">
        <f>IF(OR($A1381="",$H1381&lt;&gt;"Ausgabe",N1381=""),0,IF(N1381="x",-$E1381/(COUNTIF($J1381:$Q1381,"x")+1),-$E1381*N(N1381)))</f>
        <v/>
      </c>
      <c r="AC1381" s="34">
        <f>IF(OR($A1381="",$H1381&lt;&gt;"Ausgabe",O1381=""),0,IF(O1381="x",-$E1381/(COUNTIF($J1381:$Q1381,"x")+1),-$E1381*N(O1381)))</f>
        <v/>
      </c>
      <c r="AD1381" s="34">
        <f>IF(OR($A1381="",$H1381&lt;&gt;"Ausgabe",P1381=""),0,IF(P1381="x",-$E1381/(COUNTIF($J1381:$Q1381,"x")+1),-$E1381*N(P1381)))</f>
        <v/>
      </c>
      <c r="AE1381" s="34">
        <f>IF(OR($A1381="",$H1381&lt;&gt;"Ausgabe",Q1381=""),0,IF(Q1381="x",-$E1381/(COUNTIF($J1381:$Q1381,"x")+1),-$E1381*N(Q1381)))</f>
        <v/>
      </c>
    </row>
    <row r="1382">
      <c r="A1382" s="30" t="n"/>
      <c r="E1382" s="31" t="n"/>
      <c r="J1382" s="32" t="n"/>
      <c r="K1382" s="32" t="n"/>
      <c r="L1382" s="32" t="n"/>
      <c r="M1382" s="32" t="n"/>
      <c r="N1382" s="32" t="n"/>
      <c r="O1382" s="32" t="n"/>
      <c r="P1382" s="32" t="n"/>
      <c r="Q1382" s="32" t="n"/>
      <c r="U1382" s="31">
        <f>IF($A1382="","",SUM(X1382:AE1382))</f>
        <v/>
      </c>
      <c r="V1382" s="31">
        <f>IF($A1382="","",IF($H1382&lt;&gt;"Ausgabe",0,-$E1382-$U1382))</f>
        <v/>
      </c>
      <c r="W1382" s="33">
        <f>IF($A1382="","",DATE(YEAR($A1382),MONTH($A1382),1))</f>
        <v/>
      </c>
      <c r="X1382" s="34">
        <f>IF(OR($A1382="",$H1382&lt;&gt;"Ausgabe",J1382=""),0,IF(J1382="x",-$E1382/(COUNTIF($J1382:$Q1382,"x")+1),-$E1382*N(J1382)))</f>
        <v/>
      </c>
      <c r="Y1382" s="34">
        <f>IF(OR($A1382="",$H1382&lt;&gt;"Ausgabe",K1382=""),0,IF(K1382="x",-$E1382/(COUNTIF($J1382:$Q1382,"x")+1),-$E1382*N(K1382)))</f>
        <v/>
      </c>
      <c r="Z1382" s="34">
        <f>IF(OR($A1382="",$H1382&lt;&gt;"Ausgabe",L1382=""),0,IF(L1382="x",-$E1382/(COUNTIF($J1382:$Q1382,"x")+1),-$E1382*N(L1382)))</f>
        <v/>
      </c>
      <c r="AA1382" s="34">
        <f>IF(OR($A1382="",$H1382&lt;&gt;"Ausgabe",M1382=""),0,IF(M1382="x",-$E1382/(COUNTIF($J1382:$Q1382,"x")+1),-$E1382*N(M1382)))</f>
        <v/>
      </c>
      <c r="AB1382" s="34">
        <f>IF(OR($A1382="",$H1382&lt;&gt;"Ausgabe",N1382=""),0,IF(N1382="x",-$E1382/(COUNTIF($J1382:$Q1382,"x")+1),-$E1382*N(N1382)))</f>
        <v/>
      </c>
      <c r="AC1382" s="34">
        <f>IF(OR($A1382="",$H1382&lt;&gt;"Ausgabe",O1382=""),0,IF(O1382="x",-$E1382/(COUNTIF($J1382:$Q1382,"x")+1),-$E1382*N(O1382)))</f>
        <v/>
      </c>
      <c r="AD1382" s="34">
        <f>IF(OR($A1382="",$H1382&lt;&gt;"Ausgabe",P1382=""),0,IF(P1382="x",-$E1382/(COUNTIF($J1382:$Q1382,"x")+1),-$E1382*N(P1382)))</f>
        <v/>
      </c>
      <c r="AE1382" s="34">
        <f>IF(OR($A1382="",$H1382&lt;&gt;"Ausgabe",Q1382=""),0,IF(Q1382="x",-$E1382/(COUNTIF($J1382:$Q1382,"x")+1),-$E1382*N(Q1382)))</f>
        <v/>
      </c>
    </row>
    <row r="1383">
      <c r="A1383" s="30" t="n"/>
      <c r="E1383" s="31" t="n"/>
      <c r="J1383" s="32" t="n"/>
      <c r="K1383" s="32" t="n"/>
      <c r="L1383" s="32" t="n"/>
      <c r="M1383" s="32" t="n"/>
      <c r="N1383" s="32" t="n"/>
      <c r="O1383" s="32" t="n"/>
      <c r="P1383" s="32" t="n"/>
      <c r="Q1383" s="32" t="n"/>
      <c r="U1383" s="31">
        <f>IF($A1383="","",SUM(X1383:AE1383))</f>
        <v/>
      </c>
      <c r="V1383" s="31">
        <f>IF($A1383="","",IF($H1383&lt;&gt;"Ausgabe",0,-$E1383-$U1383))</f>
        <v/>
      </c>
      <c r="W1383" s="33">
        <f>IF($A1383="","",DATE(YEAR($A1383),MONTH($A1383),1))</f>
        <v/>
      </c>
      <c r="X1383" s="34">
        <f>IF(OR($A1383="",$H1383&lt;&gt;"Ausgabe",J1383=""),0,IF(J1383="x",-$E1383/(COUNTIF($J1383:$Q1383,"x")+1),-$E1383*N(J1383)))</f>
        <v/>
      </c>
      <c r="Y1383" s="34">
        <f>IF(OR($A1383="",$H1383&lt;&gt;"Ausgabe",K1383=""),0,IF(K1383="x",-$E1383/(COUNTIF($J1383:$Q1383,"x")+1),-$E1383*N(K1383)))</f>
        <v/>
      </c>
      <c r="Z1383" s="34">
        <f>IF(OR($A1383="",$H1383&lt;&gt;"Ausgabe",L1383=""),0,IF(L1383="x",-$E1383/(COUNTIF($J1383:$Q1383,"x")+1),-$E1383*N(L1383)))</f>
        <v/>
      </c>
      <c r="AA1383" s="34">
        <f>IF(OR($A1383="",$H1383&lt;&gt;"Ausgabe",M1383=""),0,IF(M1383="x",-$E1383/(COUNTIF($J1383:$Q1383,"x")+1),-$E1383*N(M1383)))</f>
        <v/>
      </c>
      <c r="AB1383" s="34">
        <f>IF(OR($A1383="",$H1383&lt;&gt;"Ausgabe",N1383=""),0,IF(N1383="x",-$E1383/(COUNTIF($J1383:$Q1383,"x")+1),-$E1383*N(N1383)))</f>
        <v/>
      </c>
      <c r="AC1383" s="34">
        <f>IF(OR($A1383="",$H1383&lt;&gt;"Ausgabe",O1383=""),0,IF(O1383="x",-$E1383/(COUNTIF($J1383:$Q1383,"x")+1),-$E1383*N(O1383)))</f>
        <v/>
      </c>
      <c r="AD1383" s="34">
        <f>IF(OR($A1383="",$H1383&lt;&gt;"Ausgabe",P1383=""),0,IF(P1383="x",-$E1383/(COUNTIF($J1383:$Q1383,"x")+1),-$E1383*N(P1383)))</f>
        <v/>
      </c>
      <c r="AE1383" s="34">
        <f>IF(OR($A1383="",$H1383&lt;&gt;"Ausgabe",Q1383=""),0,IF(Q1383="x",-$E1383/(COUNTIF($J1383:$Q1383,"x")+1),-$E1383*N(Q1383)))</f>
        <v/>
      </c>
    </row>
    <row r="1384">
      <c r="A1384" s="30" t="n"/>
      <c r="E1384" s="31" t="n"/>
      <c r="J1384" s="32" t="n"/>
      <c r="K1384" s="32" t="n"/>
      <c r="L1384" s="32" t="n"/>
      <c r="M1384" s="32" t="n"/>
      <c r="N1384" s="32" t="n"/>
      <c r="O1384" s="32" t="n"/>
      <c r="P1384" s="32" t="n"/>
      <c r="Q1384" s="32" t="n"/>
      <c r="U1384" s="31">
        <f>IF($A1384="","",SUM(X1384:AE1384))</f>
        <v/>
      </c>
      <c r="V1384" s="31">
        <f>IF($A1384="","",IF($H1384&lt;&gt;"Ausgabe",0,-$E1384-$U1384))</f>
        <v/>
      </c>
      <c r="W1384" s="33">
        <f>IF($A1384="","",DATE(YEAR($A1384),MONTH($A1384),1))</f>
        <v/>
      </c>
      <c r="X1384" s="34">
        <f>IF(OR($A1384="",$H1384&lt;&gt;"Ausgabe",J1384=""),0,IF(J1384="x",-$E1384/(COUNTIF($J1384:$Q1384,"x")+1),-$E1384*N(J1384)))</f>
        <v/>
      </c>
      <c r="Y1384" s="34">
        <f>IF(OR($A1384="",$H1384&lt;&gt;"Ausgabe",K1384=""),0,IF(K1384="x",-$E1384/(COUNTIF($J1384:$Q1384,"x")+1),-$E1384*N(K1384)))</f>
        <v/>
      </c>
      <c r="Z1384" s="34">
        <f>IF(OR($A1384="",$H1384&lt;&gt;"Ausgabe",L1384=""),0,IF(L1384="x",-$E1384/(COUNTIF($J1384:$Q1384,"x")+1),-$E1384*N(L1384)))</f>
        <v/>
      </c>
      <c r="AA1384" s="34">
        <f>IF(OR($A1384="",$H1384&lt;&gt;"Ausgabe",M1384=""),0,IF(M1384="x",-$E1384/(COUNTIF($J1384:$Q1384,"x")+1),-$E1384*N(M1384)))</f>
        <v/>
      </c>
      <c r="AB1384" s="34">
        <f>IF(OR($A1384="",$H1384&lt;&gt;"Ausgabe",N1384=""),0,IF(N1384="x",-$E1384/(COUNTIF($J1384:$Q1384,"x")+1),-$E1384*N(N1384)))</f>
        <v/>
      </c>
      <c r="AC1384" s="34">
        <f>IF(OR($A1384="",$H1384&lt;&gt;"Ausgabe",O1384=""),0,IF(O1384="x",-$E1384/(COUNTIF($J1384:$Q1384,"x")+1),-$E1384*N(O1384)))</f>
        <v/>
      </c>
      <c r="AD1384" s="34">
        <f>IF(OR($A1384="",$H1384&lt;&gt;"Ausgabe",P1384=""),0,IF(P1384="x",-$E1384/(COUNTIF($J1384:$Q1384,"x")+1),-$E1384*N(P1384)))</f>
        <v/>
      </c>
      <c r="AE1384" s="34">
        <f>IF(OR($A1384="",$H1384&lt;&gt;"Ausgabe",Q1384=""),0,IF(Q1384="x",-$E1384/(COUNTIF($J1384:$Q1384,"x")+1),-$E1384*N(Q1384)))</f>
        <v/>
      </c>
    </row>
    <row r="1385">
      <c r="A1385" s="30" t="n"/>
      <c r="E1385" s="31" t="n"/>
      <c r="J1385" s="32" t="n"/>
      <c r="K1385" s="32" t="n"/>
      <c r="L1385" s="32" t="n"/>
      <c r="M1385" s="32" t="n"/>
      <c r="N1385" s="32" t="n"/>
      <c r="O1385" s="32" t="n"/>
      <c r="P1385" s="32" t="n"/>
      <c r="Q1385" s="32" t="n"/>
      <c r="U1385" s="31">
        <f>IF($A1385="","",SUM(X1385:AE1385))</f>
        <v/>
      </c>
      <c r="V1385" s="31">
        <f>IF($A1385="","",IF($H1385&lt;&gt;"Ausgabe",0,-$E1385-$U1385))</f>
        <v/>
      </c>
      <c r="W1385" s="33">
        <f>IF($A1385="","",DATE(YEAR($A1385),MONTH($A1385),1))</f>
        <v/>
      </c>
      <c r="X1385" s="34">
        <f>IF(OR($A1385="",$H1385&lt;&gt;"Ausgabe",J1385=""),0,IF(J1385="x",-$E1385/(COUNTIF($J1385:$Q1385,"x")+1),-$E1385*N(J1385)))</f>
        <v/>
      </c>
      <c r="Y1385" s="34">
        <f>IF(OR($A1385="",$H1385&lt;&gt;"Ausgabe",K1385=""),0,IF(K1385="x",-$E1385/(COUNTIF($J1385:$Q1385,"x")+1),-$E1385*N(K1385)))</f>
        <v/>
      </c>
      <c r="Z1385" s="34">
        <f>IF(OR($A1385="",$H1385&lt;&gt;"Ausgabe",L1385=""),0,IF(L1385="x",-$E1385/(COUNTIF($J1385:$Q1385,"x")+1),-$E1385*N(L1385)))</f>
        <v/>
      </c>
      <c r="AA1385" s="34">
        <f>IF(OR($A1385="",$H1385&lt;&gt;"Ausgabe",M1385=""),0,IF(M1385="x",-$E1385/(COUNTIF($J1385:$Q1385,"x")+1),-$E1385*N(M1385)))</f>
        <v/>
      </c>
      <c r="AB1385" s="34">
        <f>IF(OR($A1385="",$H1385&lt;&gt;"Ausgabe",N1385=""),0,IF(N1385="x",-$E1385/(COUNTIF($J1385:$Q1385,"x")+1),-$E1385*N(N1385)))</f>
        <v/>
      </c>
      <c r="AC1385" s="34">
        <f>IF(OR($A1385="",$H1385&lt;&gt;"Ausgabe",O1385=""),0,IF(O1385="x",-$E1385/(COUNTIF($J1385:$Q1385,"x")+1),-$E1385*N(O1385)))</f>
        <v/>
      </c>
      <c r="AD1385" s="34">
        <f>IF(OR($A1385="",$H1385&lt;&gt;"Ausgabe",P1385=""),0,IF(P1385="x",-$E1385/(COUNTIF($J1385:$Q1385,"x")+1),-$E1385*N(P1385)))</f>
        <v/>
      </c>
      <c r="AE1385" s="34">
        <f>IF(OR($A1385="",$H1385&lt;&gt;"Ausgabe",Q1385=""),0,IF(Q1385="x",-$E1385/(COUNTIF($J1385:$Q1385,"x")+1),-$E1385*N(Q1385)))</f>
        <v/>
      </c>
    </row>
    <row r="1386">
      <c r="A1386" s="30" t="n"/>
      <c r="E1386" s="31" t="n"/>
      <c r="J1386" s="32" t="n"/>
      <c r="K1386" s="32" t="n"/>
      <c r="L1386" s="32" t="n"/>
      <c r="M1386" s="32" t="n"/>
      <c r="N1386" s="32" t="n"/>
      <c r="O1386" s="32" t="n"/>
      <c r="P1386" s="32" t="n"/>
      <c r="Q1386" s="32" t="n"/>
      <c r="U1386" s="31">
        <f>IF($A1386="","",SUM(X1386:AE1386))</f>
        <v/>
      </c>
      <c r="V1386" s="31">
        <f>IF($A1386="","",IF($H1386&lt;&gt;"Ausgabe",0,-$E1386-$U1386))</f>
        <v/>
      </c>
      <c r="W1386" s="33">
        <f>IF($A1386="","",DATE(YEAR($A1386),MONTH($A1386),1))</f>
        <v/>
      </c>
      <c r="X1386" s="34">
        <f>IF(OR($A1386="",$H1386&lt;&gt;"Ausgabe",J1386=""),0,IF(J1386="x",-$E1386/(COUNTIF($J1386:$Q1386,"x")+1),-$E1386*N(J1386)))</f>
        <v/>
      </c>
      <c r="Y1386" s="34">
        <f>IF(OR($A1386="",$H1386&lt;&gt;"Ausgabe",K1386=""),0,IF(K1386="x",-$E1386/(COUNTIF($J1386:$Q1386,"x")+1),-$E1386*N(K1386)))</f>
        <v/>
      </c>
      <c r="Z1386" s="34">
        <f>IF(OR($A1386="",$H1386&lt;&gt;"Ausgabe",L1386=""),0,IF(L1386="x",-$E1386/(COUNTIF($J1386:$Q1386,"x")+1),-$E1386*N(L1386)))</f>
        <v/>
      </c>
      <c r="AA1386" s="34">
        <f>IF(OR($A1386="",$H1386&lt;&gt;"Ausgabe",M1386=""),0,IF(M1386="x",-$E1386/(COUNTIF($J1386:$Q1386,"x")+1),-$E1386*N(M1386)))</f>
        <v/>
      </c>
      <c r="AB1386" s="34">
        <f>IF(OR($A1386="",$H1386&lt;&gt;"Ausgabe",N1386=""),0,IF(N1386="x",-$E1386/(COUNTIF($J1386:$Q1386,"x")+1),-$E1386*N(N1386)))</f>
        <v/>
      </c>
      <c r="AC1386" s="34">
        <f>IF(OR($A1386="",$H1386&lt;&gt;"Ausgabe",O1386=""),0,IF(O1386="x",-$E1386/(COUNTIF($J1386:$Q1386,"x")+1),-$E1386*N(O1386)))</f>
        <v/>
      </c>
      <c r="AD1386" s="34">
        <f>IF(OR($A1386="",$H1386&lt;&gt;"Ausgabe",P1386=""),0,IF(P1386="x",-$E1386/(COUNTIF($J1386:$Q1386,"x")+1),-$E1386*N(P1386)))</f>
        <v/>
      </c>
      <c r="AE1386" s="34">
        <f>IF(OR($A1386="",$H1386&lt;&gt;"Ausgabe",Q1386=""),0,IF(Q1386="x",-$E1386/(COUNTIF($J1386:$Q1386,"x")+1),-$E1386*N(Q1386)))</f>
        <v/>
      </c>
    </row>
    <row r="1387">
      <c r="A1387" s="30" t="n"/>
      <c r="E1387" s="31" t="n"/>
      <c r="J1387" s="32" t="n"/>
      <c r="K1387" s="32" t="n"/>
      <c r="L1387" s="32" t="n"/>
      <c r="M1387" s="32" t="n"/>
      <c r="N1387" s="32" t="n"/>
      <c r="O1387" s="32" t="n"/>
      <c r="P1387" s="32" t="n"/>
      <c r="Q1387" s="32" t="n"/>
      <c r="U1387" s="31">
        <f>IF($A1387="","",SUM(X1387:AE1387))</f>
        <v/>
      </c>
      <c r="V1387" s="31">
        <f>IF($A1387="","",IF($H1387&lt;&gt;"Ausgabe",0,-$E1387-$U1387))</f>
        <v/>
      </c>
      <c r="W1387" s="33">
        <f>IF($A1387="","",DATE(YEAR($A1387),MONTH($A1387),1))</f>
        <v/>
      </c>
      <c r="X1387" s="34">
        <f>IF(OR($A1387="",$H1387&lt;&gt;"Ausgabe",J1387=""),0,IF(J1387="x",-$E1387/(COUNTIF($J1387:$Q1387,"x")+1),-$E1387*N(J1387)))</f>
        <v/>
      </c>
      <c r="Y1387" s="34">
        <f>IF(OR($A1387="",$H1387&lt;&gt;"Ausgabe",K1387=""),0,IF(K1387="x",-$E1387/(COUNTIF($J1387:$Q1387,"x")+1),-$E1387*N(K1387)))</f>
        <v/>
      </c>
      <c r="Z1387" s="34">
        <f>IF(OR($A1387="",$H1387&lt;&gt;"Ausgabe",L1387=""),0,IF(L1387="x",-$E1387/(COUNTIF($J1387:$Q1387,"x")+1),-$E1387*N(L1387)))</f>
        <v/>
      </c>
      <c r="AA1387" s="34">
        <f>IF(OR($A1387="",$H1387&lt;&gt;"Ausgabe",M1387=""),0,IF(M1387="x",-$E1387/(COUNTIF($J1387:$Q1387,"x")+1),-$E1387*N(M1387)))</f>
        <v/>
      </c>
      <c r="AB1387" s="34">
        <f>IF(OR($A1387="",$H1387&lt;&gt;"Ausgabe",N1387=""),0,IF(N1387="x",-$E1387/(COUNTIF($J1387:$Q1387,"x")+1),-$E1387*N(N1387)))</f>
        <v/>
      </c>
      <c r="AC1387" s="34">
        <f>IF(OR($A1387="",$H1387&lt;&gt;"Ausgabe",O1387=""),0,IF(O1387="x",-$E1387/(COUNTIF($J1387:$Q1387,"x")+1),-$E1387*N(O1387)))</f>
        <v/>
      </c>
      <c r="AD1387" s="34">
        <f>IF(OR($A1387="",$H1387&lt;&gt;"Ausgabe",P1387=""),0,IF(P1387="x",-$E1387/(COUNTIF($J1387:$Q1387,"x")+1),-$E1387*N(P1387)))</f>
        <v/>
      </c>
      <c r="AE1387" s="34">
        <f>IF(OR($A1387="",$H1387&lt;&gt;"Ausgabe",Q1387=""),0,IF(Q1387="x",-$E1387/(COUNTIF($J1387:$Q1387,"x")+1),-$E1387*N(Q1387)))</f>
        <v/>
      </c>
    </row>
    <row r="1388">
      <c r="A1388" s="30" t="n"/>
      <c r="E1388" s="31" t="n"/>
      <c r="J1388" s="32" t="n"/>
      <c r="K1388" s="32" t="n"/>
      <c r="L1388" s="32" t="n"/>
      <c r="M1388" s="32" t="n"/>
      <c r="N1388" s="32" t="n"/>
      <c r="O1388" s="32" t="n"/>
      <c r="P1388" s="32" t="n"/>
      <c r="Q1388" s="32" t="n"/>
      <c r="U1388" s="31">
        <f>IF($A1388="","",SUM(X1388:AE1388))</f>
        <v/>
      </c>
      <c r="V1388" s="31">
        <f>IF($A1388="","",IF($H1388&lt;&gt;"Ausgabe",0,-$E1388-$U1388))</f>
        <v/>
      </c>
      <c r="W1388" s="33">
        <f>IF($A1388="","",DATE(YEAR($A1388),MONTH($A1388),1))</f>
        <v/>
      </c>
      <c r="X1388" s="34">
        <f>IF(OR($A1388="",$H1388&lt;&gt;"Ausgabe",J1388=""),0,IF(J1388="x",-$E1388/(COUNTIF($J1388:$Q1388,"x")+1),-$E1388*N(J1388)))</f>
        <v/>
      </c>
      <c r="Y1388" s="34">
        <f>IF(OR($A1388="",$H1388&lt;&gt;"Ausgabe",K1388=""),0,IF(K1388="x",-$E1388/(COUNTIF($J1388:$Q1388,"x")+1),-$E1388*N(K1388)))</f>
        <v/>
      </c>
      <c r="Z1388" s="34">
        <f>IF(OR($A1388="",$H1388&lt;&gt;"Ausgabe",L1388=""),0,IF(L1388="x",-$E1388/(COUNTIF($J1388:$Q1388,"x")+1),-$E1388*N(L1388)))</f>
        <v/>
      </c>
      <c r="AA1388" s="34">
        <f>IF(OR($A1388="",$H1388&lt;&gt;"Ausgabe",M1388=""),0,IF(M1388="x",-$E1388/(COUNTIF($J1388:$Q1388,"x")+1),-$E1388*N(M1388)))</f>
        <v/>
      </c>
      <c r="AB1388" s="34">
        <f>IF(OR($A1388="",$H1388&lt;&gt;"Ausgabe",N1388=""),0,IF(N1388="x",-$E1388/(COUNTIF($J1388:$Q1388,"x")+1),-$E1388*N(N1388)))</f>
        <v/>
      </c>
      <c r="AC1388" s="34">
        <f>IF(OR($A1388="",$H1388&lt;&gt;"Ausgabe",O1388=""),0,IF(O1388="x",-$E1388/(COUNTIF($J1388:$Q1388,"x")+1),-$E1388*N(O1388)))</f>
        <v/>
      </c>
      <c r="AD1388" s="34">
        <f>IF(OR($A1388="",$H1388&lt;&gt;"Ausgabe",P1388=""),0,IF(P1388="x",-$E1388/(COUNTIF($J1388:$Q1388,"x")+1),-$E1388*N(P1388)))</f>
        <v/>
      </c>
      <c r="AE1388" s="34">
        <f>IF(OR($A1388="",$H1388&lt;&gt;"Ausgabe",Q1388=""),0,IF(Q1388="x",-$E1388/(COUNTIF($J1388:$Q1388,"x")+1),-$E1388*N(Q1388)))</f>
        <v/>
      </c>
    </row>
    <row r="1389">
      <c r="A1389" s="30" t="n"/>
      <c r="E1389" s="31" t="n"/>
      <c r="J1389" s="32" t="n"/>
      <c r="K1389" s="32" t="n"/>
      <c r="L1389" s="32" t="n"/>
      <c r="M1389" s="32" t="n"/>
      <c r="N1389" s="32" t="n"/>
      <c r="O1389" s="32" t="n"/>
      <c r="P1389" s="32" t="n"/>
      <c r="Q1389" s="32" t="n"/>
      <c r="U1389" s="31">
        <f>IF($A1389="","",SUM(X1389:AE1389))</f>
        <v/>
      </c>
      <c r="V1389" s="31">
        <f>IF($A1389="","",IF($H1389&lt;&gt;"Ausgabe",0,-$E1389-$U1389))</f>
        <v/>
      </c>
      <c r="W1389" s="33">
        <f>IF($A1389="","",DATE(YEAR($A1389),MONTH($A1389),1))</f>
        <v/>
      </c>
      <c r="X1389" s="34">
        <f>IF(OR($A1389="",$H1389&lt;&gt;"Ausgabe",J1389=""),0,IF(J1389="x",-$E1389/(COUNTIF($J1389:$Q1389,"x")+1),-$E1389*N(J1389)))</f>
        <v/>
      </c>
      <c r="Y1389" s="34">
        <f>IF(OR($A1389="",$H1389&lt;&gt;"Ausgabe",K1389=""),0,IF(K1389="x",-$E1389/(COUNTIF($J1389:$Q1389,"x")+1),-$E1389*N(K1389)))</f>
        <v/>
      </c>
      <c r="Z1389" s="34">
        <f>IF(OR($A1389="",$H1389&lt;&gt;"Ausgabe",L1389=""),0,IF(L1389="x",-$E1389/(COUNTIF($J1389:$Q1389,"x")+1),-$E1389*N(L1389)))</f>
        <v/>
      </c>
      <c r="AA1389" s="34">
        <f>IF(OR($A1389="",$H1389&lt;&gt;"Ausgabe",M1389=""),0,IF(M1389="x",-$E1389/(COUNTIF($J1389:$Q1389,"x")+1),-$E1389*N(M1389)))</f>
        <v/>
      </c>
      <c r="AB1389" s="34">
        <f>IF(OR($A1389="",$H1389&lt;&gt;"Ausgabe",N1389=""),0,IF(N1389="x",-$E1389/(COUNTIF($J1389:$Q1389,"x")+1),-$E1389*N(N1389)))</f>
        <v/>
      </c>
      <c r="AC1389" s="34">
        <f>IF(OR($A1389="",$H1389&lt;&gt;"Ausgabe",O1389=""),0,IF(O1389="x",-$E1389/(COUNTIF($J1389:$Q1389,"x")+1),-$E1389*N(O1389)))</f>
        <v/>
      </c>
      <c r="AD1389" s="34">
        <f>IF(OR($A1389="",$H1389&lt;&gt;"Ausgabe",P1389=""),0,IF(P1389="x",-$E1389/(COUNTIF($J1389:$Q1389,"x")+1),-$E1389*N(P1389)))</f>
        <v/>
      </c>
      <c r="AE1389" s="34">
        <f>IF(OR($A1389="",$H1389&lt;&gt;"Ausgabe",Q1389=""),0,IF(Q1389="x",-$E1389/(COUNTIF($J1389:$Q1389,"x")+1),-$E1389*N(Q1389)))</f>
        <v/>
      </c>
    </row>
    <row r="1390">
      <c r="A1390" s="30" t="n"/>
      <c r="E1390" s="31" t="n"/>
      <c r="J1390" s="32" t="n"/>
      <c r="K1390" s="32" t="n"/>
      <c r="L1390" s="32" t="n"/>
      <c r="M1390" s="32" t="n"/>
      <c r="N1390" s="32" t="n"/>
      <c r="O1390" s="32" t="n"/>
      <c r="P1390" s="32" t="n"/>
      <c r="Q1390" s="32" t="n"/>
      <c r="U1390" s="31">
        <f>IF($A1390="","",SUM(X1390:AE1390))</f>
        <v/>
      </c>
      <c r="V1390" s="31">
        <f>IF($A1390="","",IF($H1390&lt;&gt;"Ausgabe",0,-$E1390-$U1390))</f>
        <v/>
      </c>
      <c r="W1390" s="33">
        <f>IF($A1390="","",DATE(YEAR($A1390),MONTH($A1390),1))</f>
        <v/>
      </c>
      <c r="X1390" s="34">
        <f>IF(OR($A1390="",$H1390&lt;&gt;"Ausgabe",J1390=""),0,IF(J1390="x",-$E1390/(COUNTIF($J1390:$Q1390,"x")+1),-$E1390*N(J1390)))</f>
        <v/>
      </c>
      <c r="Y1390" s="34">
        <f>IF(OR($A1390="",$H1390&lt;&gt;"Ausgabe",K1390=""),0,IF(K1390="x",-$E1390/(COUNTIF($J1390:$Q1390,"x")+1),-$E1390*N(K1390)))</f>
        <v/>
      </c>
      <c r="Z1390" s="34">
        <f>IF(OR($A1390="",$H1390&lt;&gt;"Ausgabe",L1390=""),0,IF(L1390="x",-$E1390/(COUNTIF($J1390:$Q1390,"x")+1),-$E1390*N(L1390)))</f>
        <v/>
      </c>
      <c r="AA1390" s="34">
        <f>IF(OR($A1390="",$H1390&lt;&gt;"Ausgabe",M1390=""),0,IF(M1390="x",-$E1390/(COUNTIF($J1390:$Q1390,"x")+1),-$E1390*N(M1390)))</f>
        <v/>
      </c>
      <c r="AB1390" s="34">
        <f>IF(OR($A1390="",$H1390&lt;&gt;"Ausgabe",N1390=""),0,IF(N1390="x",-$E1390/(COUNTIF($J1390:$Q1390,"x")+1),-$E1390*N(N1390)))</f>
        <v/>
      </c>
      <c r="AC1390" s="34">
        <f>IF(OR($A1390="",$H1390&lt;&gt;"Ausgabe",O1390=""),0,IF(O1390="x",-$E1390/(COUNTIF($J1390:$Q1390,"x")+1),-$E1390*N(O1390)))</f>
        <v/>
      </c>
      <c r="AD1390" s="34">
        <f>IF(OR($A1390="",$H1390&lt;&gt;"Ausgabe",P1390=""),0,IF(P1390="x",-$E1390/(COUNTIF($J1390:$Q1390,"x")+1),-$E1390*N(P1390)))</f>
        <v/>
      </c>
      <c r="AE1390" s="34">
        <f>IF(OR($A1390="",$H1390&lt;&gt;"Ausgabe",Q1390=""),0,IF(Q1390="x",-$E1390/(COUNTIF($J1390:$Q1390,"x")+1),-$E1390*N(Q1390)))</f>
        <v/>
      </c>
    </row>
    <row r="1391">
      <c r="A1391" s="30" t="n"/>
      <c r="E1391" s="31" t="n"/>
      <c r="J1391" s="32" t="n"/>
      <c r="K1391" s="32" t="n"/>
      <c r="L1391" s="32" t="n"/>
      <c r="M1391" s="32" t="n"/>
      <c r="N1391" s="32" t="n"/>
      <c r="O1391" s="32" t="n"/>
      <c r="P1391" s="32" t="n"/>
      <c r="Q1391" s="32" t="n"/>
      <c r="U1391" s="31">
        <f>IF($A1391="","",SUM(X1391:AE1391))</f>
        <v/>
      </c>
      <c r="V1391" s="31">
        <f>IF($A1391="","",IF($H1391&lt;&gt;"Ausgabe",0,-$E1391-$U1391))</f>
        <v/>
      </c>
      <c r="W1391" s="33">
        <f>IF($A1391="","",DATE(YEAR($A1391),MONTH($A1391),1))</f>
        <v/>
      </c>
      <c r="X1391" s="34">
        <f>IF(OR($A1391="",$H1391&lt;&gt;"Ausgabe",J1391=""),0,IF(J1391="x",-$E1391/(COUNTIF($J1391:$Q1391,"x")+1),-$E1391*N(J1391)))</f>
        <v/>
      </c>
      <c r="Y1391" s="34">
        <f>IF(OR($A1391="",$H1391&lt;&gt;"Ausgabe",K1391=""),0,IF(K1391="x",-$E1391/(COUNTIF($J1391:$Q1391,"x")+1),-$E1391*N(K1391)))</f>
        <v/>
      </c>
      <c r="Z1391" s="34">
        <f>IF(OR($A1391="",$H1391&lt;&gt;"Ausgabe",L1391=""),0,IF(L1391="x",-$E1391/(COUNTIF($J1391:$Q1391,"x")+1),-$E1391*N(L1391)))</f>
        <v/>
      </c>
      <c r="AA1391" s="34">
        <f>IF(OR($A1391="",$H1391&lt;&gt;"Ausgabe",M1391=""),0,IF(M1391="x",-$E1391/(COUNTIF($J1391:$Q1391,"x")+1),-$E1391*N(M1391)))</f>
        <v/>
      </c>
      <c r="AB1391" s="34">
        <f>IF(OR($A1391="",$H1391&lt;&gt;"Ausgabe",N1391=""),0,IF(N1391="x",-$E1391/(COUNTIF($J1391:$Q1391,"x")+1),-$E1391*N(N1391)))</f>
        <v/>
      </c>
      <c r="AC1391" s="34">
        <f>IF(OR($A1391="",$H1391&lt;&gt;"Ausgabe",O1391=""),0,IF(O1391="x",-$E1391/(COUNTIF($J1391:$Q1391,"x")+1),-$E1391*N(O1391)))</f>
        <v/>
      </c>
      <c r="AD1391" s="34">
        <f>IF(OR($A1391="",$H1391&lt;&gt;"Ausgabe",P1391=""),0,IF(P1391="x",-$E1391/(COUNTIF($J1391:$Q1391,"x")+1),-$E1391*N(P1391)))</f>
        <v/>
      </c>
      <c r="AE1391" s="34">
        <f>IF(OR($A1391="",$H1391&lt;&gt;"Ausgabe",Q1391=""),0,IF(Q1391="x",-$E1391/(COUNTIF($J1391:$Q1391,"x")+1),-$E1391*N(Q1391)))</f>
        <v/>
      </c>
    </row>
    <row r="1392">
      <c r="A1392" s="30" t="n"/>
      <c r="E1392" s="31" t="n"/>
      <c r="J1392" s="32" t="n"/>
      <c r="K1392" s="32" t="n"/>
      <c r="L1392" s="32" t="n"/>
      <c r="M1392" s="32" t="n"/>
      <c r="N1392" s="32" t="n"/>
      <c r="O1392" s="32" t="n"/>
      <c r="P1392" s="32" t="n"/>
      <c r="Q1392" s="32" t="n"/>
      <c r="U1392" s="31">
        <f>IF($A1392="","",SUM(X1392:AE1392))</f>
        <v/>
      </c>
      <c r="V1392" s="31">
        <f>IF($A1392="","",IF($H1392&lt;&gt;"Ausgabe",0,-$E1392-$U1392))</f>
        <v/>
      </c>
      <c r="W1392" s="33">
        <f>IF($A1392="","",DATE(YEAR($A1392),MONTH($A1392),1))</f>
        <v/>
      </c>
      <c r="X1392" s="34">
        <f>IF(OR($A1392="",$H1392&lt;&gt;"Ausgabe",J1392=""),0,IF(J1392="x",-$E1392/(COUNTIF($J1392:$Q1392,"x")+1),-$E1392*N(J1392)))</f>
        <v/>
      </c>
      <c r="Y1392" s="34">
        <f>IF(OR($A1392="",$H1392&lt;&gt;"Ausgabe",K1392=""),0,IF(K1392="x",-$E1392/(COUNTIF($J1392:$Q1392,"x")+1),-$E1392*N(K1392)))</f>
        <v/>
      </c>
      <c r="Z1392" s="34">
        <f>IF(OR($A1392="",$H1392&lt;&gt;"Ausgabe",L1392=""),0,IF(L1392="x",-$E1392/(COUNTIF($J1392:$Q1392,"x")+1),-$E1392*N(L1392)))</f>
        <v/>
      </c>
      <c r="AA1392" s="34">
        <f>IF(OR($A1392="",$H1392&lt;&gt;"Ausgabe",M1392=""),0,IF(M1392="x",-$E1392/(COUNTIF($J1392:$Q1392,"x")+1),-$E1392*N(M1392)))</f>
        <v/>
      </c>
      <c r="AB1392" s="34">
        <f>IF(OR($A1392="",$H1392&lt;&gt;"Ausgabe",N1392=""),0,IF(N1392="x",-$E1392/(COUNTIF($J1392:$Q1392,"x")+1),-$E1392*N(N1392)))</f>
        <v/>
      </c>
      <c r="AC1392" s="34">
        <f>IF(OR($A1392="",$H1392&lt;&gt;"Ausgabe",O1392=""),0,IF(O1392="x",-$E1392/(COUNTIF($J1392:$Q1392,"x")+1),-$E1392*N(O1392)))</f>
        <v/>
      </c>
      <c r="AD1392" s="34">
        <f>IF(OR($A1392="",$H1392&lt;&gt;"Ausgabe",P1392=""),0,IF(P1392="x",-$E1392/(COUNTIF($J1392:$Q1392,"x")+1),-$E1392*N(P1392)))</f>
        <v/>
      </c>
      <c r="AE1392" s="34">
        <f>IF(OR($A1392="",$H1392&lt;&gt;"Ausgabe",Q1392=""),0,IF(Q1392="x",-$E1392/(COUNTIF($J1392:$Q1392,"x")+1),-$E1392*N(Q1392)))</f>
        <v/>
      </c>
    </row>
    <row r="1393">
      <c r="A1393" s="30" t="n"/>
      <c r="E1393" s="31" t="n"/>
      <c r="J1393" s="32" t="n"/>
      <c r="K1393" s="32" t="n"/>
      <c r="L1393" s="32" t="n"/>
      <c r="M1393" s="32" t="n"/>
      <c r="N1393" s="32" t="n"/>
      <c r="O1393" s="32" t="n"/>
      <c r="P1393" s="32" t="n"/>
      <c r="Q1393" s="32" t="n"/>
      <c r="U1393" s="31">
        <f>IF($A1393="","",SUM(X1393:AE1393))</f>
        <v/>
      </c>
      <c r="V1393" s="31">
        <f>IF($A1393="","",IF($H1393&lt;&gt;"Ausgabe",0,-$E1393-$U1393))</f>
        <v/>
      </c>
      <c r="W1393" s="33">
        <f>IF($A1393="","",DATE(YEAR($A1393),MONTH($A1393),1))</f>
        <v/>
      </c>
      <c r="X1393" s="34">
        <f>IF(OR($A1393="",$H1393&lt;&gt;"Ausgabe",J1393=""),0,IF(J1393="x",-$E1393/(COUNTIF($J1393:$Q1393,"x")+1),-$E1393*N(J1393)))</f>
        <v/>
      </c>
      <c r="Y1393" s="34">
        <f>IF(OR($A1393="",$H1393&lt;&gt;"Ausgabe",K1393=""),0,IF(K1393="x",-$E1393/(COUNTIF($J1393:$Q1393,"x")+1),-$E1393*N(K1393)))</f>
        <v/>
      </c>
      <c r="Z1393" s="34">
        <f>IF(OR($A1393="",$H1393&lt;&gt;"Ausgabe",L1393=""),0,IF(L1393="x",-$E1393/(COUNTIF($J1393:$Q1393,"x")+1),-$E1393*N(L1393)))</f>
        <v/>
      </c>
      <c r="AA1393" s="34">
        <f>IF(OR($A1393="",$H1393&lt;&gt;"Ausgabe",M1393=""),0,IF(M1393="x",-$E1393/(COUNTIF($J1393:$Q1393,"x")+1),-$E1393*N(M1393)))</f>
        <v/>
      </c>
      <c r="AB1393" s="34">
        <f>IF(OR($A1393="",$H1393&lt;&gt;"Ausgabe",N1393=""),0,IF(N1393="x",-$E1393/(COUNTIF($J1393:$Q1393,"x")+1),-$E1393*N(N1393)))</f>
        <v/>
      </c>
      <c r="AC1393" s="34">
        <f>IF(OR($A1393="",$H1393&lt;&gt;"Ausgabe",O1393=""),0,IF(O1393="x",-$E1393/(COUNTIF($J1393:$Q1393,"x")+1),-$E1393*N(O1393)))</f>
        <v/>
      </c>
      <c r="AD1393" s="34">
        <f>IF(OR($A1393="",$H1393&lt;&gt;"Ausgabe",P1393=""),0,IF(P1393="x",-$E1393/(COUNTIF($J1393:$Q1393,"x")+1),-$E1393*N(P1393)))</f>
        <v/>
      </c>
      <c r="AE1393" s="34">
        <f>IF(OR($A1393="",$H1393&lt;&gt;"Ausgabe",Q1393=""),0,IF(Q1393="x",-$E1393/(COUNTIF($J1393:$Q1393,"x")+1),-$E1393*N(Q1393)))</f>
        <v/>
      </c>
    </row>
    <row r="1394">
      <c r="A1394" s="30" t="n"/>
      <c r="E1394" s="31" t="n"/>
      <c r="J1394" s="32" t="n"/>
      <c r="K1394" s="32" t="n"/>
      <c r="L1394" s="32" t="n"/>
      <c r="M1394" s="32" t="n"/>
      <c r="N1394" s="32" t="n"/>
      <c r="O1394" s="32" t="n"/>
      <c r="P1394" s="32" t="n"/>
      <c r="Q1394" s="32" t="n"/>
      <c r="U1394" s="31">
        <f>IF($A1394="","",SUM(X1394:AE1394))</f>
        <v/>
      </c>
      <c r="V1394" s="31">
        <f>IF($A1394="","",IF($H1394&lt;&gt;"Ausgabe",0,-$E1394-$U1394))</f>
        <v/>
      </c>
      <c r="W1394" s="33">
        <f>IF($A1394="","",DATE(YEAR($A1394),MONTH($A1394),1))</f>
        <v/>
      </c>
      <c r="X1394" s="34">
        <f>IF(OR($A1394="",$H1394&lt;&gt;"Ausgabe",J1394=""),0,IF(J1394="x",-$E1394/(COUNTIF($J1394:$Q1394,"x")+1),-$E1394*N(J1394)))</f>
        <v/>
      </c>
      <c r="Y1394" s="34">
        <f>IF(OR($A1394="",$H1394&lt;&gt;"Ausgabe",K1394=""),0,IF(K1394="x",-$E1394/(COUNTIF($J1394:$Q1394,"x")+1),-$E1394*N(K1394)))</f>
        <v/>
      </c>
      <c r="Z1394" s="34">
        <f>IF(OR($A1394="",$H1394&lt;&gt;"Ausgabe",L1394=""),0,IF(L1394="x",-$E1394/(COUNTIF($J1394:$Q1394,"x")+1),-$E1394*N(L1394)))</f>
        <v/>
      </c>
      <c r="AA1394" s="34">
        <f>IF(OR($A1394="",$H1394&lt;&gt;"Ausgabe",M1394=""),0,IF(M1394="x",-$E1394/(COUNTIF($J1394:$Q1394,"x")+1),-$E1394*N(M1394)))</f>
        <v/>
      </c>
      <c r="AB1394" s="34">
        <f>IF(OR($A1394="",$H1394&lt;&gt;"Ausgabe",N1394=""),0,IF(N1394="x",-$E1394/(COUNTIF($J1394:$Q1394,"x")+1),-$E1394*N(N1394)))</f>
        <v/>
      </c>
      <c r="AC1394" s="34">
        <f>IF(OR($A1394="",$H1394&lt;&gt;"Ausgabe",O1394=""),0,IF(O1394="x",-$E1394/(COUNTIF($J1394:$Q1394,"x")+1),-$E1394*N(O1394)))</f>
        <v/>
      </c>
      <c r="AD1394" s="34">
        <f>IF(OR($A1394="",$H1394&lt;&gt;"Ausgabe",P1394=""),0,IF(P1394="x",-$E1394/(COUNTIF($J1394:$Q1394,"x")+1),-$E1394*N(P1394)))</f>
        <v/>
      </c>
      <c r="AE1394" s="34">
        <f>IF(OR($A1394="",$H1394&lt;&gt;"Ausgabe",Q1394=""),0,IF(Q1394="x",-$E1394/(COUNTIF($J1394:$Q1394,"x")+1),-$E1394*N(Q1394)))</f>
        <v/>
      </c>
    </row>
    <row r="1395">
      <c r="A1395" s="30" t="n"/>
      <c r="E1395" s="31" t="n"/>
      <c r="J1395" s="32" t="n"/>
      <c r="K1395" s="32" t="n"/>
      <c r="L1395" s="32" t="n"/>
      <c r="M1395" s="32" t="n"/>
      <c r="N1395" s="32" t="n"/>
      <c r="O1395" s="32" t="n"/>
      <c r="P1395" s="32" t="n"/>
      <c r="Q1395" s="32" t="n"/>
      <c r="U1395" s="31">
        <f>IF($A1395="","",SUM(X1395:AE1395))</f>
        <v/>
      </c>
      <c r="V1395" s="31">
        <f>IF($A1395="","",IF($H1395&lt;&gt;"Ausgabe",0,-$E1395-$U1395))</f>
        <v/>
      </c>
      <c r="W1395" s="33">
        <f>IF($A1395="","",DATE(YEAR($A1395),MONTH($A1395),1))</f>
        <v/>
      </c>
      <c r="X1395" s="34">
        <f>IF(OR($A1395="",$H1395&lt;&gt;"Ausgabe",J1395=""),0,IF(J1395="x",-$E1395/(COUNTIF($J1395:$Q1395,"x")+1),-$E1395*N(J1395)))</f>
        <v/>
      </c>
      <c r="Y1395" s="34">
        <f>IF(OR($A1395="",$H1395&lt;&gt;"Ausgabe",K1395=""),0,IF(K1395="x",-$E1395/(COUNTIF($J1395:$Q1395,"x")+1),-$E1395*N(K1395)))</f>
        <v/>
      </c>
      <c r="Z1395" s="34">
        <f>IF(OR($A1395="",$H1395&lt;&gt;"Ausgabe",L1395=""),0,IF(L1395="x",-$E1395/(COUNTIF($J1395:$Q1395,"x")+1),-$E1395*N(L1395)))</f>
        <v/>
      </c>
      <c r="AA1395" s="34">
        <f>IF(OR($A1395="",$H1395&lt;&gt;"Ausgabe",M1395=""),0,IF(M1395="x",-$E1395/(COUNTIF($J1395:$Q1395,"x")+1),-$E1395*N(M1395)))</f>
        <v/>
      </c>
      <c r="AB1395" s="34">
        <f>IF(OR($A1395="",$H1395&lt;&gt;"Ausgabe",N1395=""),0,IF(N1395="x",-$E1395/(COUNTIF($J1395:$Q1395,"x")+1),-$E1395*N(N1395)))</f>
        <v/>
      </c>
      <c r="AC1395" s="34">
        <f>IF(OR($A1395="",$H1395&lt;&gt;"Ausgabe",O1395=""),0,IF(O1395="x",-$E1395/(COUNTIF($J1395:$Q1395,"x")+1),-$E1395*N(O1395)))</f>
        <v/>
      </c>
      <c r="AD1395" s="34">
        <f>IF(OR($A1395="",$H1395&lt;&gt;"Ausgabe",P1395=""),0,IF(P1395="x",-$E1395/(COUNTIF($J1395:$Q1395,"x")+1),-$E1395*N(P1395)))</f>
        <v/>
      </c>
      <c r="AE1395" s="34">
        <f>IF(OR($A1395="",$H1395&lt;&gt;"Ausgabe",Q1395=""),0,IF(Q1395="x",-$E1395/(COUNTIF($J1395:$Q1395,"x")+1),-$E1395*N(Q1395)))</f>
        <v/>
      </c>
    </row>
    <row r="1396">
      <c r="A1396" s="30" t="n"/>
      <c r="E1396" s="31" t="n"/>
      <c r="J1396" s="32" t="n"/>
      <c r="K1396" s="32" t="n"/>
      <c r="L1396" s="32" t="n"/>
      <c r="M1396" s="32" t="n"/>
      <c r="N1396" s="32" t="n"/>
      <c r="O1396" s="32" t="n"/>
      <c r="P1396" s="32" t="n"/>
      <c r="Q1396" s="32" t="n"/>
      <c r="U1396" s="31">
        <f>IF($A1396="","",SUM(X1396:AE1396))</f>
        <v/>
      </c>
      <c r="V1396" s="31">
        <f>IF($A1396="","",IF($H1396&lt;&gt;"Ausgabe",0,-$E1396-$U1396))</f>
        <v/>
      </c>
      <c r="W1396" s="33">
        <f>IF($A1396="","",DATE(YEAR($A1396),MONTH($A1396),1))</f>
        <v/>
      </c>
      <c r="X1396" s="34">
        <f>IF(OR($A1396="",$H1396&lt;&gt;"Ausgabe",J1396=""),0,IF(J1396="x",-$E1396/(COUNTIF($J1396:$Q1396,"x")+1),-$E1396*N(J1396)))</f>
        <v/>
      </c>
      <c r="Y1396" s="34">
        <f>IF(OR($A1396="",$H1396&lt;&gt;"Ausgabe",K1396=""),0,IF(K1396="x",-$E1396/(COUNTIF($J1396:$Q1396,"x")+1),-$E1396*N(K1396)))</f>
        <v/>
      </c>
      <c r="Z1396" s="34">
        <f>IF(OR($A1396="",$H1396&lt;&gt;"Ausgabe",L1396=""),0,IF(L1396="x",-$E1396/(COUNTIF($J1396:$Q1396,"x")+1),-$E1396*N(L1396)))</f>
        <v/>
      </c>
      <c r="AA1396" s="34">
        <f>IF(OR($A1396="",$H1396&lt;&gt;"Ausgabe",M1396=""),0,IF(M1396="x",-$E1396/(COUNTIF($J1396:$Q1396,"x")+1),-$E1396*N(M1396)))</f>
        <v/>
      </c>
      <c r="AB1396" s="34">
        <f>IF(OR($A1396="",$H1396&lt;&gt;"Ausgabe",N1396=""),0,IF(N1396="x",-$E1396/(COUNTIF($J1396:$Q1396,"x")+1),-$E1396*N(N1396)))</f>
        <v/>
      </c>
      <c r="AC1396" s="34">
        <f>IF(OR($A1396="",$H1396&lt;&gt;"Ausgabe",O1396=""),0,IF(O1396="x",-$E1396/(COUNTIF($J1396:$Q1396,"x")+1),-$E1396*N(O1396)))</f>
        <v/>
      </c>
      <c r="AD1396" s="34">
        <f>IF(OR($A1396="",$H1396&lt;&gt;"Ausgabe",P1396=""),0,IF(P1396="x",-$E1396/(COUNTIF($J1396:$Q1396,"x")+1),-$E1396*N(P1396)))</f>
        <v/>
      </c>
      <c r="AE1396" s="34">
        <f>IF(OR($A1396="",$H1396&lt;&gt;"Ausgabe",Q1396=""),0,IF(Q1396="x",-$E1396/(COUNTIF($J1396:$Q1396,"x")+1),-$E1396*N(Q1396)))</f>
        <v/>
      </c>
    </row>
    <row r="1397">
      <c r="A1397" s="30" t="n"/>
      <c r="E1397" s="31" t="n"/>
      <c r="J1397" s="32" t="n"/>
      <c r="K1397" s="32" t="n"/>
      <c r="L1397" s="32" t="n"/>
      <c r="M1397" s="32" t="n"/>
      <c r="N1397" s="32" t="n"/>
      <c r="O1397" s="32" t="n"/>
      <c r="P1397" s="32" t="n"/>
      <c r="Q1397" s="32" t="n"/>
      <c r="U1397" s="31">
        <f>IF($A1397="","",SUM(X1397:AE1397))</f>
        <v/>
      </c>
      <c r="V1397" s="31">
        <f>IF($A1397="","",IF($H1397&lt;&gt;"Ausgabe",0,-$E1397-$U1397))</f>
        <v/>
      </c>
      <c r="W1397" s="33">
        <f>IF($A1397="","",DATE(YEAR($A1397),MONTH($A1397),1))</f>
        <v/>
      </c>
      <c r="X1397" s="34">
        <f>IF(OR($A1397="",$H1397&lt;&gt;"Ausgabe",J1397=""),0,IF(J1397="x",-$E1397/(COUNTIF($J1397:$Q1397,"x")+1),-$E1397*N(J1397)))</f>
        <v/>
      </c>
      <c r="Y1397" s="34">
        <f>IF(OR($A1397="",$H1397&lt;&gt;"Ausgabe",K1397=""),0,IF(K1397="x",-$E1397/(COUNTIF($J1397:$Q1397,"x")+1),-$E1397*N(K1397)))</f>
        <v/>
      </c>
      <c r="Z1397" s="34">
        <f>IF(OR($A1397="",$H1397&lt;&gt;"Ausgabe",L1397=""),0,IF(L1397="x",-$E1397/(COUNTIF($J1397:$Q1397,"x")+1),-$E1397*N(L1397)))</f>
        <v/>
      </c>
      <c r="AA1397" s="34">
        <f>IF(OR($A1397="",$H1397&lt;&gt;"Ausgabe",M1397=""),0,IF(M1397="x",-$E1397/(COUNTIF($J1397:$Q1397,"x")+1),-$E1397*N(M1397)))</f>
        <v/>
      </c>
      <c r="AB1397" s="34">
        <f>IF(OR($A1397="",$H1397&lt;&gt;"Ausgabe",N1397=""),0,IF(N1397="x",-$E1397/(COUNTIF($J1397:$Q1397,"x")+1),-$E1397*N(N1397)))</f>
        <v/>
      </c>
      <c r="AC1397" s="34">
        <f>IF(OR($A1397="",$H1397&lt;&gt;"Ausgabe",O1397=""),0,IF(O1397="x",-$E1397/(COUNTIF($J1397:$Q1397,"x")+1),-$E1397*N(O1397)))</f>
        <v/>
      </c>
      <c r="AD1397" s="34">
        <f>IF(OR($A1397="",$H1397&lt;&gt;"Ausgabe",P1397=""),0,IF(P1397="x",-$E1397/(COUNTIF($J1397:$Q1397,"x")+1),-$E1397*N(P1397)))</f>
        <v/>
      </c>
      <c r="AE1397" s="34">
        <f>IF(OR($A1397="",$H1397&lt;&gt;"Ausgabe",Q1397=""),0,IF(Q1397="x",-$E1397/(COUNTIF($J1397:$Q1397,"x")+1),-$E1397*N(Q1397)))</f>
        <v/>
      </c>
    </row>
    <row r="1398">
      <c r="A1398" s="30" t="n"/>
      <c r="E1398" s="31" t="n"/>
      <c r="J1398" s="32" t="n"/>
      <c r="K1398" s="32" t="n"/>
      <c r="L1398" s="32" t="n"/>
      <c r="M1398" s="32" t="n"/>
      <c r="N1398" s="32" t="n"/>
      <c r="O1398" s="32" t="n"/>
      <c r="P1398" s="32" t="n"/>
      <c r="Q1398" s="32" t="n"/>
      <c r="U1398" s="31">
        <f>IF($A1398="","",SUM(X1398:AE1398))</f>
        <v/>
      </c>
      <c r="V1398" s="31">
        <f>IF($A1398="","",IF($H1398&lt;&gt;"Ausgabe",0,-$E1398-$U1398))</f>
        <v/>
      </c>
      <c r="W1398" s="33">
        <f>IF($A1398="","",DATE(YEAR($A1398),MONTH($A1398),1))</f>
        <v/>
      </c>
      <c r="X1398" s="34">
        <f>IF(OR($A1398="",$H1398&lt;&gt;"Ausgabe",J1398=""),0,IF(J1398="x",-$E1398/(COUNTIF($J1398:$Q1398,"x")+1),-$E1398*N(J1398)))</f>
        <v/>
      </c>
      <c r="Y1398" s="34">
        <f>IF(OR($A1398="",$H1398&lt;&gt;"Ausgabe",K1398=""),0,IF(K1398="x",-$E1398/(COUNTIF($J1398:$Q1398,"x")+1),-$E1398*N(K1398)))</f>
        <v/>
      </c>
      <c r="Z1398" s="34">
        <f>IF(OR($A1398="",$H1398&lt;&gt;"Ausgabe",L1398=""),0,IF(L1398="x",-$E1398/(COUNTIF($J1398:$Q1398,"x")+1),-$E1398*N(L1398)))</f>
        <v/>
      </c>
      <c r="AA1398" s="34">
        <f>IF(OR($A1398="",$H1398&lt;&gt;"Ausgabe",M1398=""),0,IF(M1398="x",-$E1398/(COUNTIF($J1398:$Q1398,"x")+1),-$E1398*N(M1398)))</f>
        <v/>
      </c>
      <c r="AB1398" s="34">
        <f>IF(OR($A1398="",$H1398&lt;&gt;"Ausgabe",N1398=""),0,IF(N1398="x",-$E1398/(COUNTIF($J1398:$Q1398,"x")+1),-$E1398*N(N1398)))</f>
        <v/>
      </c>
      <c r="AC1398" s="34">
        <f>IF(OR($A1398="",$H1398&lt;&gt;"Ausgabe",O1398=""),0,IF(O1398="x",-$E1398/(COUNTIF($J1398:$Q1398,"x")+1),-$E1398*N(O1398)))</f>
        <v/>
      </c>
      <c r="AD1398" s="34">
        <f>IF(OR($A1398="",$H1398&lt;&gt;"Ausgabe",P1398=""),0,IF(P1398="x",-$E1398/(COUNTIF($J1398:$Q1398,"x")+1),-$E1398*N(P1398)))</f>
        <v/>
      </c>
      <c r="AE1398" s="34">
        <f>IF(OR($A1398="",$H1398&lt;&gt;"Ausgabe",Q1398=""),0,IF(Q1398="x",-$E1398/(COUNTIF($J1398:$Q1398,"x")+1),-$E1398*N(Q1398)))</f>
        <v/>
      </c>
    </row>
    <row r="1399">
      <c r="A1399" s="30" t="n"/>
      <c r="E1399" s="31" t="n"/>
      <c r="J1399" s="32" t="n"/>
      <c r="K1399" s="32" t="n"/>
      <c r="L1399" s="32" t="n"/>
      <c r="M1399" s="32" t="n"/>
      <c r="N1399" s="32" t="n"/>
      <c r="O1399" s="32" t="n"/>
      <c r="P1399" s="32" t="n"/>
      <c r="Q1399" s="32" t="n"/>
      <c r="U1399" s="31">
        <f>IF($A1399="","",SUM(X1399:AE1399))</f>
        <v/>
      </c>
      <c r="V1399" s="31">
        <f>IF($A1399="","",IF($H1399&lt;&gt;"Ausgabe",0,-$E1399-$U1399))</f>
        <v/>
      </c>
      <c r="W1399" s="33">
        <f>IF($A1399="","",DATE(YEAR($A1399),MONTH($A1399),1))</f>
        <v/>
      </c>
      <c r="X1399" s="34">
        <f>IF(OR($A1399="",$H1399&lt;&gt;"Ausgabe",J1399=""),0,IF(J1399="x",-$E1399/(COUNTIF($J1399:$Q1399,"x")+1),-$E1399*N(J1399)))</f>
        <v/>
      </c>
      <c r="Y1399" s="34">
        <f>IF(OR($A1399="",$H1399&lt;&gt;"Ausgabe",K1399=""),0,IF(K1399="x",-$E1399/(COUNTIF($J1399:$Q1399,"x")+1),-$E1399*N(K1399)))</f>
        <v/>
      </c>
      <c r="Z1399" s="34">
        <f>IF(OR($A1399="",$H1399&lt;&gt;"Ausgabe",L1399=""),0,IF(L1399="x",-$E1399/(COUNTIF($J1399:$Q1399,"x")+1),-$E1399*N(L1399)))</f>
        <v/>
      </c>
      <c r="AA1399" s="34">
        <f>IF(OR($A1399="",$H1399&lt;&gt;"Ausgabe",M1399=""),0,IF(M1399="x",-$E1399/(COUNTIF($J1399:$Q1399,"x")+1),-$E1399*N(M1399)))</f>
        <v/>
      </c>
      <c r="AB1399" s="34">
        <f>IF(OR($A1399="",$H1399&lt;&gt;"Ausgabe",N1399=""),0,IF(N1399="x",-$E1399/(COUNTIF($J1399:$Q1399,"x")+1),-$E1399*N(N1399)))</f>
        <v/>
      </c>
      <c r="AC1399" s="34">
        <f>IF(OR($A1399="",$H1399&lt;&gt;"Ausgabe",O1399=""),0,IF(O1399="x",-$E1399/(COUNTIF($J1399:$Q1399,"x")+1),-$E1399*N(O1399)))</f>
        <v/>
      </c>
      <c r="AD1399" s="34">
        <f>IF(OR($A1399="",$H1399&lt;&gt;"Ausgabe",P1399=""),0,IF(P1399="x",-$E1399/(COUNTIF($J1399:$Q1399,"x")+1),-$E1399*N(P1399)))</f>
        <v/>
      </c>
      <c r="AE1399" s="34">
        <f>IF(OR($A1399="",$H1399&lt;&gt;"Ausgabe",Q1399=""),0,IF(Q1399="x",-$E1399/(COUNTIF($J1399:$Q1399,"x")+1),-$E1399*N(Q1399)))</f>
        <v/>
      </c>
    </row>
    <row r="1400">
      <c r="A1400" s="30" t="n"/>
      <c r="E1400" s="31" t="n"/>
      <c r="J1400" s="32" t="n"/>
      <c r="K1400" s="32" t="n"/>
      <c r="L1400" s="32" t="n"/>
      <c r="M1400" s="32" t="n"/>
      <c r="N1400" s="32" t="n"/>
      <c r="O1400" s="32" t="n"/>
      <c r="P1400" s="32" t="n"/>
      <c r="Q1400" s="32" t="n"/>
      <c r="U1400" s="31">
        <f>IF($A1400="","",SUM(X1400:AE1400))</f>
        <v/>
      </c>
      <c r="V1400" s="31">
        <f>IF($A1400="","",IF($H1400&lt;&gt;"Ausgabe",0,-$E1400-$U1400))</f>
        <v/>
      </c>
      <c r="W1400" s="33">
        <f>IF($A1400="","",DATE(YEAR($A1400),MONTH($A1400),1))</f>
        <v/>
      </c>
      <c r="X1400" s="34">
        <f>IF(OR($A1400="",$H1400&lt;&gt;"Ausgabe",J1400=""),0,IF(J1400="x",-$E1400/(COUNTIF($J1400:$Q1400,"x")+1),-$E1400*N(J1400)))</f>
        <v/>
      </c>
      <c r="Y1400" s="34">
        <f>IF(OR($A1400="",$H1400&lt;&gt;"Ausgabe",K1400=""),0,IF(K1400="x",-$E1400/(COUNTIF($J1400:$Q1400,"x")+1),-$E1400*N(K1400)))</f>
        <v/>
      </c>
      <c r="Z1400" s="34">
        <f>IF(OR($A1400="",$H1400&lt;&gt;"Ausgabe",L1400=""),0,IF(L1400="x",-$E1400/(COUNTIF($J1400:$Q1400,"x")+1),-$E1400*N(L1400)))</f>
        <v/>
      </c>
      <c r="AA1400" s="34">
        <f>IF(OR($A1400="",$H1400&lt;&gt;"Ausgabe",M1400=""),0,IF(M1400="x",-$E1400/(COUNTIF($J1400:$Q1400,"x")+1),-$E1400*N(M1400)))</f>
        <v/>
      </c>
      <c r="AB1400" s="34">
        <f>IF(OR($A1400="",$H1400&lt;&gt;"Ausgabe",N1400=""),0,IF(N1400="x",-$E1400/(COUNTIF($J1400:$Q1400,"x")+1),-$E1400*N(N1400)))</f>
        <v/>
      </c>
      <c r="AC1400" s="34">
        <f>IF(OR($A1400="",$H1400&lt;&gt;"Ausgabe",O1400=""),0,IF(O1400="x",-$E1400/(COUNTIF($J1400:$Q1400,"x")+1),-$E1400*N(O1400)))</f>
        <v/>
      </c>
      <c r="AD1400" s="34">
        <f>IF(OR($A1400="",$H1400&lt;&gt;"Ausgabe",P1400=""),0,IF(P1400="x",-$E1400/(COUNTIF($J1400:$Q1400,"x")+1),-$E1400*N(P1400)))</f>
        <v/>
      </c>
      <c r="AE1400" s="34">
        <f>IF(OR($A1400="",$H1400&lt;&gt;"Ausgabe",Q1400=""),0,IF(Q1400="x",-$E1400/(COUNTIF($J1400:$Q1400,"x")+1),-$E1400*N(Q1400)))</f>
        <v/>
      </c>
    </row>
    <row r="1401">
      <c r="A1401" s="30" t="n"/>
      <c r="E1401" s="31" t="n"/>
      <c r="J1401" s="32" t="n"/>
      <c r="K1401" s="32" t="n"/>
      <c r="L1401" s="32" t="n"/>
      <c r="M1401" s="32" t="n"/>
      <c r="N1401" s="32" t="n"/>
      <c r="O1401" s="32" t="n"/>
      <c r="P1401" s="32" t="n"/>
      <c r="Q1401" s="32" t="n"/>
      <c r="U1401" s="31">
        <f>IF($A1401="","",SUM(X1401:AE1401))</f>
        <v/>
      </c>
      <c r="V1401" s="31">
        <f>IF($A1401="","",IF($H1401&lt;&gt;"Ausgabe",0,-$E1401-$U1401))</f>
        <v/>
      </c>
      <c r="W1401" s="33">
        <f>IF($A1401="","",DATE(YEAR($A1401),MONTH($A1401),1))</f>
        <v/>
      </c>
      <c r="X1401" s="34">
        <f>IF(OR($A1401="",$H1401&lt;&gt;"Ausgabe",J1401=""),0,IF(J1401="x",-$E1401/(COUNTIF($J1401:$Q1401,"x")+1),-$E1401*N(J1401)))</f>
        <v/>
      </c>
      <c r="Y1401" s="34">
        <f>IF(OR($A1401="",$H1401&lt;&gt;"Ausgabe",K1401=""),0,IF(K1401="x",-$E1401/(COUNTIF($J1401:$Q1401,"x")+1),-$E1401*N(K1401)))</f>
        <v/>
      </c>
      <c r="Z1401" s="34">
        <f>IF(OR($A1401="",$H1401&lt;&gt;"Ausgabe",L1401=""),0,IF(L1401="x",-$E1401/(COUNTIF($J1401:$Q1401,"x")+1),-$E1401*N(L1401)))</f>
        <v/>
      </c>
      <c r="AA1401" s="34">
        <f>IF(OR($A1401="",$H1401&lt;&gt;"Ausgabe",M1401=""),0,IF(M1401="x",-$E1401/(COUNTIF($J1401:$Q1401,"x")+1),-$E1401*N(M1401)))</f>
        <v/>
      </c>
      <c r="AB1401" s="34">
        <f>IF(OR($A1401="",$H1401&lt;&gt;"Ausgabe",N1401=""),0,IF(N1401="x",-$E1401/(COUNTIF($J1401:$Q1401,"x")+1),-$E1401*N(N1401)))</f>
        <v/>
      </c>
      <c r="AC1401" s="34">
        <f>IF(OR($A1401="",$H1401&lt;&gt;"Ausgabe",O1401=""),0,IF(O1401="x",-$E1401/(COUNTIF($J1401:$Q1401,"x")+1),-$E1401*N(O1401)))</f>
        <v/>
      </c>
      <c r="AD1401" s="34">
        <f>IF(OR($A1401="",$H1401&lt;&gt;"Ausgabe",P1401=""),0,IF(P1401="x",-$E1401/(COUNTIF($J1401:$Q1401,"x")+1),-$E1401*N(P1401)))</f>
        <v/>
      </c>
      <c r="AE1401" s="34">
        <f>IF(OR($A1401="",$H1401&lt;&gt;"Ausgabe",Q1401=""),0,IF(Q1401="x",-$E1401/(COUNTIF($J1401:$Q1401,"x")+1),-$E1401*N(Q1401)))</f>
        <v/>
      </c>
    </row>
    <row r="1402">
      <c r="A1402" s="30" t="n"/>
      <c r="E1402" s="31" t="n"/>
      <c r="J1402" s="32" t="n"/>
      <c r="K1402" s="32" t="n"/>
      <c r="L1402" s="32" t="n"/>
      <c r="M1402" s="32" t="n"/>
      <c r="N1402" s="32" t="n"/>
      <c r="O1402" s="32" t="n"/>
      <c r="P1402" s="32" t="n"/>
      <c r="Q1402" s="32" t="n"/>
      <c r="U1402" s="31">
        <f>IF($A1402="","",SUM(X1402:AE1402))</f>
        <v/>
      </c>
      <c r="V1402" s="31">
        <f>IF($A1402="","",IF($H1402&lt;&gt;"Ausgabe",0,-$E1402-$U1402))</f>
        <v/>
      </c>
      <c r="W1402" s="33">
        <f>IF($A1402="","",DATE(YEAR($A1402),MONTH($A1402),1))</f>
        <v/>
      </c>
      <c r="X1402" s="34">
        <f>IF(OR($A1402="",$H1402&lt;&gt;"Ausgabe",J1402=""),0,IF(J1402="x",-$E1402/(COUNTIF($J1402:$Q1402,"x")+1),-$E1402*N(J1402)))</f>
        <v/>
      </c>
      <c r="Y1402" s="34">
        <f>IF(OR($A1402="",$H1402&lt;&gt;"Ausgabe",K1402=""),0,IF(K1402="x",-$E1402/(COUNTIF($J1402:$Q1402,"x")+1),-$E1402*N(K1402)))</f>
        <v/>
      </c>
      <c r="Z1402" s="34">
        <f>IF(OR($A1402="",$H1402&lt;&gt;"Ausgabe",L1402=""),0,IF(L1402="x",-$E1402/(COUNTIF($J1402:$Q1402,"x")+1),-$E1402*N(L1402)))</f>
        <v/>
      </c>
      <c r="AA1402" s="34">
        <f>IF(OR($A1402="",$H1402&lt;&gt;"Ausgabe",M1402=""),0,IF(M1402="x",-$E1402/(COUNTIF($J1402:$Q1402,"x")+1),-$E1402*N(M1402)))</f>
        <v/>
      </c>
      <c r="AB1402" s="34">
        <f>IF(OR($A1402="",$H1402&lt;&gt;"Ausgabe",N1402=""),0,IF(N1402="x",-$E1402/(COUNTIF($J1402:$Q1402,"x")+1),-$E1402*N(N1402)))</f>
        <v/>
      </c>
      <c r="AC1402" s="34">
        <f>IF(OR($A1402="",$H1402&lt;&gt;"Ausgabe",O1402=""),0,IF(O1402="x",-$E1402/(COUNTIF($J1402:$Q1402,"x")+1),-$E1402*N(O1402)))</f>
        <v/>
      </c>
      <c r="AD1402" s="34">
        <f>IF(OR($A1402="",$H1402&lt;&gt;"Ausgabe",P1402=""),0,IF(P1402="x",-$E1402/(COUNTIF($J1402:$Q1402,"x")+1),-$E1402*N(P1402)))</f>
        <v/>
      </c>
      <c r="AE1402" s="34">
        <f>IF(OR($A1402="",$H1402&lt;&gt;"Ausgabe",Q1402=""),0,IF(Q1402="x",-$E1402/(COUNTIF($J1402:$Q1402,"x")+1),-$E1402*N(Q1402)))</f>
        <v/>
      </c>
    </row>
    <row r="1403">
      <c r="A1403" s="30" t="n"/>
      <c r="E1403" s="31" t="n"/>
      <c r="J1403" s="32" t="n"/>
      <c r="K1403" s="32" t="n"/>
      <c r="L1403" s="32" t="n"/>
      <c r="M1403" s="32" t="n"/>
      <c r="N1403" s="32" t="n"/>
      <c r="O1403" s="32" t="n"/>
      <c r="P1403" s="32" t="n"/>
      <c r="Q1403" s="32" t="n"/>
      <c r="U1403" s="31">
        <f>IF($A1403="","",SUM(X1403:AE1403))</f>
        <v/>
      </c>
      <c r="V1403" s="31">
        <f>IF($A1403="","",IF($H1403&lt;&gt;"Ausgabe",0,-$E1403-$U1403))</f>
        <v/>
      </c>
      <c r="W1403" s="33">
        <f>IF($A1403="","",DATE(YEAR($A1403),MONTH($A1403),1))</f>
        <v/>
      </c>
      <c r="X1403" s="34">
        <f>IF(OR($A1403="",$H1403&lt;&gt;"Ausgabe",J1403=""),0,IF(J1403="x",-$E1403/(COUNTIF($J1403:$Q1403,"x")+1),-$E1403*N(J1403)))</f>
        <v/>
      </c>
      <c r="Y1403" s="34">
        <f>IF(OR($A1403="",$H1403&lt;&gt;"Ausgabe",K1403=""),0,IF(K1403="x",-$E1403/(COUNTIF($J1403:$Q1403,"x")+1),-$E1403*N(K1403)))</f>
        <v/>
      </c>
      <c r="Z1403" s="34">
        <f>IF(OR($A1403="",$H1403&lt;&gt;"Ausgabe",L1403=""),0,IF(L1403="x",-$E1403/(COUNTIF($J1403:$Q1403,"x")+1),-$E1403*N(L1403)))</f>
        <v/>
      </c>
      <c r="AA1403" s="34">
        <f>IF(OR($A1403="",$H1403&lt;&gt;"Ausgabe",M1403=""),0,IF(M1403="x",-$E1403/(COUNTIF($J1403:$Q1403,"x")+1),-$E1403*N(M1403)))</f>
        <v/>
      </c>
      <c r="AB1403" s="34">
        <f>IF(OR($A1403="",$H1403&lt;&gt;"Ausgabe",N1403=""),0,IF(N1403="x",-$E1403/(COUNTIF($J1403:$Q1403,"x")+1),-$E1403*N(N1403)))</f>
        <v/>
      </c>
      <c r="AC1403" s="34">
        <f>IF(OR($A1403="",$H1403&lt;&gt;"Ausgabe",O1403=""),0,IF(O1403="x",-$E1403/(COUNTIF($J1403:$Q1403,"x")+1),-$E1403*N(O1403)))</f>
        <v/>
      </c>
      <c r="AD1403" s="34">
        <f>IF(OR($A1403="",$H1403&lt;&gt;"Ausgabe",P1403=""),0,IF(P1403="x",-$E1403/(COUNTIF($J1403:$Q1403,"x")+1),-$E1403*N(P1403)))</f>
        <v/>
      </c>
      <c r="AE1403" s="34">
        <f>IF(OR($A1403="",$H1403&lt;&gt;"Ausgabe",Q1403=""),0,IF(Q1403="x",-$E1403/(COUNTIF($J1403:$Q1403,"x")+1),-$E1403*N(Q1403)))</f>
        <v/>
      </c>
    </row>
    <row r="1404">
      <c r="A1404" s="30" t="n"/>
      <c r="E1404" s="31" t="n"/>
      <c r="J1404" s="32" t="n"/>
      <c r="K1404" s="32" t="n"/>
      <c r="L1404" s="32" t="n"/>
      <c r="M1404" s="32" t="n"/>
      <c r="N1404" s="32" t="n"/>
      <c r="O1404" s="32" t="n"/>
      <c r="P1404" s="32" t="n"/>
      <c r="Q1404" s="32" t="n"/>
      <c r="U1404" s="31">
        <f>IF($A1404="","",SUM(X1404:AE1404))</f>
        <v/>
      </c>
      <c r="V1404" s="31">
        <f>IF($A1404="","",IF($H1404&lt;&gt;"Ausgabe",0,-$E1404-$U1404))</f>
        <v/>
      </c>
      <c r="W1404" s="33">
        <f>IF($A1404="","",DATE(YEAR($A1404),MONTH($A1404),1))</f>
        <v/>
      </c>
      <c r="X1404" s="34">
        <f>IF(OR($A1404="",$H1404&lt;&gt;"Ausgabe",J1404=""),0,IF(J1404="x",-$E1404/(COUNTIF($J1404:$Q1404,"x")+1),-$E1404*N(J1404)))</f>
        <v/>
      </c>
      <c r="Y1404" s="34">
        <f>IF(OR($A1404="",$H1404&lt;&gt;"Ausgabe",K1404=""),0,IF(K1404="x",-$E1404/(COUNTIF($J1404:$Q1404,"x")+1),-$E1404*N(K1404)))</f>
        <v/>
      </c>
      <c r="Z1404" s="34">
        <f>IF(OR($A1404="",$H1404&lt;&gt;"Ausgabe",L1404=""),0,IF(L1404="x",-$E1404/(COUNTIF($J1404:$Q1404,"x")+1),-$E1404*N(L1404)))</f>
        <v/>
      </c>
      <c r="AA1404" s="34">
        <f>IF(OR($A1404="",$H1404&lt;&gt;"Ausgabe",M1404=""),0,IF(M1404="x",-$E1404/(COUNTIF($J1404:$Q1404,"x")+1),-$E1404*N(M1404)))</f>
        <v/>
      </c>
      <c r="AB1404" s="34">
        <f>IF(OR($A1404="",$H1404&lt;&gt;"Ausgabe",N1404=""),0,IF(N1404="x",-$E1404/(COUNTIF($J1404:$Q1404,"x")+1),-$E1404*N(N1404)))</f>
        <v/>
      </c>
      <c r="AC1404" s="34">
        <f>IF(OR($A1404="",$H1404&lt;&gt;"Ausgabe",O1404=""),0,IF(O1404="x",-$E1404/(COUNTIF($J1404:$Q1404,"x")+1),-$E1404*N(O1404)))</f>
        <v/>
      </c>
      <c r="AD1404" s="34">
        <f>IF(OR($A1404="",$H1404&lt;&gt;"Ausgabe",P1404=""),0,IF(P1404="x",-$E1404/(COUNTIF($J1404:$Q1404,"x")+1),-$E1404*N(P1404)))</f>
        <v/>
      </c>
      <c r="AE1404" s="34">
        <f>IF(OR($A1404="",$H1404&lt;&gt;"Ausgabe",Q1404=""),0,IF(Q1404="x",-$E1404/(COUNTIF($J1404:$Q1404,"x")+1),-$E1404*N(Q1404)))</f>
        <v/>
      </c>
    </row>
    <row r="1405">
      <c r="A1405" s="30" t="n"/>
      <c r="E1405" s="31" t="n"/>
      <c r="J1405" s="32" t="n"/>
      <c r="K1405" s="32" t="n"/>
      <c r="L1405" s="32" t="n"/>
      <c r="M1405" s="32" t="n"/>
      <c r="N1405" s="32" t="n"/>
      <c r="O1405" s="32" t="n"/>
      <c r="P1405" s="32" t="n"/>
      <c r="Q1405" s="32" t="n"/>
      <c r="U1405" s="31">
        <f>IF($A1405="","",SUM(X1405:AE1405))</f>
        <v/>
      </c>
      <c r="V1405" s="31">
        <f>IF($A1405="","",IF($H1405&lt;&gt;"Ausgabe",0,-$E1405-$U1405))</f>
        <v/>
      </c>
      <c r="W1405" s="33">
        <f>IF($A1405="","",DATE(YEAR($A1405),MONTH($A1405),1))</f>
        <v/>
      </c>
      <c r="X1405" s="34">
        <f>IF(OR($A1405="",$H1405&lt;&gt;"Ausgabe",J1405=""),0,IF(J1405="x",-$E1405/(COUNTIF($J1405:$Q1405,"x")+1),-$E1405*N(J1405)))</f>
        <v/>
      </c>
      <c r="Y1405" s="34">
        <f>IF(OR($A1405="",$H1405&lt;&gt;"Ausgabe",K1405=""),0,IF(K1405="x",-$E1405/(COUNTIF($J1405:$Q1405,"x")+1),-$E1405*N(K1405)))</f>
        <v/>
      </c>
      <c r="Z1405" s="34">
        <f>IF(OR($A1405="",$H1405&lt;&gt;"Ausgabe",L1405=""),0,IF(L1405="x",-$E1405/(COUNTIF($J1405:$Q1405,"x")+1),-$E1405*N(L1405)))</f>
        <v/>
      </c>
      <c r="AA1405" s="34">
        <f>IF(OR($A1405="",$H1405&lt;&gt;"Ausgabe",M1405=""),0,IF(M1405="x",-$E1405/(COUNTIF($J1405:$Q1405,"x")+1),-$E1405*N(M1405)))</f>
        <v/>
      </c>
      <c r="AB1405" s="34">
        <f>IF(OR($A1405="",$H1405&lt;&gt;"Ausgabe",N1405=""),0,IF(N1405="x",-$E1405/(COUNTIF($J1405:$Q1405,"x")+1),-$E1405*N(N1405)))</f>
        <v/>
      </c>
      <c r="AC1405" s="34">
        <f>IF(OR($A1405="",$H1405&lt;&gt;"Ausgabe",O1405=""),0,IF(O1405="x",-$E1405/(COUNTIF($J1405:$Q1405,"x")+1),-$E1405*N(O1405)))</f>
        <v/>
      </c>
      <c r="AD1405" s="34">
        <f>IF(OR($A1405="",$H1405&lt;&gt;"Ausgabe",P1405=""),0,IF(P1405="x",-$E1405/(COUNTIF($J1405:$Q1405,"x")+1),-$E1405*N(P1405)))</f>
        <v/>
      </c>
      <c r="AE1405" s="34">
        <f>IF(OR($A1405="",$H1405&lt;&gt;"Ausgabe",Q1405=""),0,IF(Q1405="x",-$E1405/(COUNTIF($J1405:$Q1405,"x")+1),-$E1405*N(Q1405)))</f>
        <v/>
      </c>
    </row>
    <row r="1406">
      <c r="A1406" s="30" t="n"/>
      <c r="E1406" s="31" t="n"/>
      <c r="J1406" s="32" t="n"/>
      <c r="K1406" s="32" t="n"/>
      <c r="L1406" s="32" t="n"/>
      <c r="M1406" s="32" t="n"/>
      <c r="N1406" s="32" t="n"/>
      <c r="O1406" s="32" t="n"/>
      <c r="P1406" s="32" t="n"/>
      <c r="Q1406" s="32" t="n"/>
      <c r="U1406" s="31">
        <f>IF($A1406="","",SUM(X1406:AE1406))</f>
        <v/>
      </c>
      <c r="V1406" s="31">
        <f>IF($A1406="","",IF($H1406&lt;&gt;"Ausgabe",0,-$E1406-$U1406))</f>
        <v/>
      </c>
      <c r="W1406" s="33">
        <f>IF($A1406="","",DATE(YEAR($A1406),MONTH($A1406),1))</f>
        <v/>
      </c>
      <c r="X1406" s="34">
        <f>IF(OR($A1406="",$H1406&lt;&gt;"Ausgabe",J1406=""),0,IF(J1406="x",-$E1406/(COUNTIF($J1406:$Q1406,"x")+1),-$E1406*N(J1406)))</f>
        <v/>
      </c>
      <c r="Y1406" s="34">
        <f>IF(OR($A1406="",$H1406&lt;&gt;"Ausgabe",K1406=""),0,IF(K1406="x",-$E1406/(COUNTIF($J1406:$Q1406,"x")+1),-$E1406*N(K1406)))</f>
        <v/>
      </c>
      <c r="Z1406" s="34">
        <f>IF(OR($A1406="",$H1406&lt;&gt;"Ausgabe",L1406=""),0,IF(L1406="x",-$E1406/(COUNTIF($J1406:$Q1406,"x")+1),-$E1406*N(L1406)))</f>
        <v/>
      </c>
      <c r="AA1406" s="34">
        <f>IF(OR($A1406="",$H1406&lt;&gt;"Ausgabe",M1406=""),0,IF(M1406="x",-$E1406/(COUNTIF($J1406:$Q1406,"x")+1),-$E1406*N(M1406)))</f>
        <v/>
      </c>
      <c r="AB1406" s="34">
        <f>IF(OR($A1406="",$H1406&lt;&gt;"Ausgabe",N1406=""),0,IF(N1406="x",-$E1406/(COUNTIF($J1406:$Q1406,"x")+1),-$E1406*N(N1406)))</f>
        <v/>
      </c>
      <c r="AC1406" s="34">
        <f>IF(OR($A1406="",$H1406&lt;&gt;"Ausgabe",O1406=""),0,IF(O1406="x",-$E1406/(COUNTIF($J1406:$Q1406,"x")+1),-$E1406*N(O1406)))</f>
        <v/>
      </c>
      <c r="AD1406" s="34">
        <f>IF(OR($A1406="",$H1406&lt;&gt;"Ausgabe",P1406=""),0,IF(P1406="x",-$E1406/(COUNTIF($J1406:$Q1406,"x")+1),-$E1406*N(P1406)))</f>
        <v/>
      </c>
      <c r="AE1406" s="34">
        <f>IF(OR($A1406="",$H1406&lt;&gt;"Ausgabe",Q1406=""),0,IF(Q1406="x",-$E1406/(COUNTIF($J1406:$Q1406,"x")+1),-$E1406*N(Q1406)))</f>
        <v/>
      </c>
    </row>
    <row r="1407">
      <c r="A1407" s="30" t="n"/>
      <c r="E1407" s="31" t="n"/>
      <c r="J1407" s="32" t="n"/>
      <c r="K1407" s="32" t="n"/>
      <c r="L1407" s="32" t="n"/>
      <c r="M1407" s="32" t="n"/>
      <c r="N1407" s="32" t="n"/>
      <c r="O1407" s="32" t="n"/>
      <c r="P1407" s="32" t="n"/>
      <c r="Q1407" s="32" t="n"/>
      <c r="U1407" s="31">
        <f>IF($A1407="","",SUM(X1407:AE1407))</f>
        <v/>
      </c>
      <c r="V1407" s="31">
        <f>IF($A1407="","",IF($H1407&lt;&gt;"Ausgabe",0,-$E1407-$U1407))</f>
        <v/>
      </c>
      <c r="W1407" s="33">
        <f>IF($A1407="","",DATE(YEAR($A1407),MONTH($A1407),1))</f>
        <v/>
      </c>
      <c r="X1407" s="34">
        <f>IF(OR($A1407="",$H1407&lt;&gt;"Ausgabe",J1407=""),0,IF(J1407="x",-$E1407/(COUNTIF($J1407:$Q1407,"x")+1),-$E1407*N(J1407)))</f>
        <v/>
      </c>
      <c r="Y1407" s="34">
        <f>IF(OR($A1407="",$H1407&lt;&gt;"Ausgabe",K1407=""),0,IF(K1407="x",-$E1407/(COUNTIF($J1407:$Q1407,"x")+1),-$E1407*N(K1407)))</f>
        <v/>
      </c>
      <c r="Z1407" s="34">
        <f>IF(OR($A1407="",$H1407&lt;&gt;"Ausgabe",L1407=""),0,IF(L1407="x",-$E1407/(COUNTIF($J1407:$Q1407,"x")+1),-$E1407*N(L1407)))</f>
        <v/>
      </c>
      <c r="AA1407" s="34">
        <f>IF(OR($A1407="",$H1407&lt;&gt;"Ausgabe",M1407=""),0,IF(M1407="x",-$E1407/(COUNTIF($J1407:$Q1407,"x")+1),-$E1407*N(M1407)))</f>
        <v/>
      </c>
      <c r="AB1407" s="34">
        <f>IF(OR($A1407="",$H1407&lt;&gt;"Ausgabe",N1407=""),0,IF(N1407="x",-$E1407/(COUNTIF($J1407:$Q1407,"x")+1),-$E1407*N(N1407)))</f>
        <v/>
      </c>
      <c r="AC1407" s="34">
        <f>IF(OR($A1407="",$H1407&lt;&gt;"Ausgabe",O1407=""),0,IF(O1407="x",-$E1407/(COUNTIF($J1407:$Q1407,"x")+1),-$E1407*N(O1407)))</f>
        <v/>
      </c>
      <c r="AD1407" s="34">
        <f>IF(OR($A1407="",$H1407&lt;&gt;"Ausgabe",P1407=""),0,IF(P1407="x",-$E1407/(COUNTIF($J1407:$Q1407,"x")+1),-$E1407*N(P1407)))</f>
        <v/>
      </c>
      <c r="AE1407" s="34">
        <f>IF(OR($A1407="",$H1407&lt;&gt;"Ausgabe",Q1407=""),0,IF(Q1407="x",-$E1407/(COUNTIF($J1407:$Q1407,"x")+1),-$E1407*N(Q1407)))</f>
        <v/>
      </c>
    </row>
    <row r="1408">
      <c r="A1408" s="30" t="n"/>
      <c r="E1408" s="31" t="n"/>
      <c r="J1408" s="32" t="n"/>
      <c r="K1408" s="32" t="n"/>
      <c r="L1408" s="32" t="n"/>
      <c r="M1408" s="32" t="n"/>
      <c r="N1408" s="32" t="n"/>
      <c r="O1408" s="32" t="n"/>
      <c r="P1408" s="32" t="n"/>
      <c r="Q1408" s="32" t="n"/>
      <c r="U1408" s="31">
        <f>IF($A1408="","",SUM(X1408:AE1408))</f>
        <v/>
      </c>
      <c r="V1408" s="31">
        <f>IF($A1408="","",IF($H1408&lt;&gt;"Ausgabe",0,-$E1408-$U1408))</f>
        <v/>
      </c>
      <c r="W1408" s="33">
        <f>IF($A1408="","",DATE(YEAR($A1408),MONTH($A1408),1))</f>
        <v/>
      </c>
      <c r="X1408" s="34">
        <f>IF(OR($A1408="",$H1408&lt;&gt;"Ausgabe",J1408=""),0,IF(J1408="x",-$E1408/(COUNTIF($J1408:$Q1408,"x")+1),-$E1408*N(J1408)))</f>
        <v/>
      </c>
      <c r="Y1408" s="34">
        <f>IF(OR($A1408="",$H1408&lt;&gt;"Ausgabe",K1408=""),0,IF(K1408="x",-$E1408/(COUNTIF($J1408:$Q1408,"x")+1),-$E1408*N(K1408)))</f>
        <v/>
      </c>
      <c r="Z1408" s="34">
        <f>IF(OR($A1408="",$H1408&lt;&gt;"Ausgabe",L1408=""),0,IF(L1408="x",-$E1408/(COUNTIF($J1408:$Q1408,"x")+1),-$E1408*N(L1408)))</f>
        <v/>
      </c>
      <c r="AA1408" s="34">
        <f>IF(OR($A1408="",$H1408&lt;&gt;"Ausgabe",M1408=""),0,IF(M1408="x",-$E1408/(COUNTIF($J1408:$Q1408,"x")+1),-$E1408*N(M1408)))</f>
        <v/>
      </c>
      <c r="AB1408" s="34">
        <f>IF(OR($A1408="",$H1408&lt;&gt;"Ausgabe",N1408=""),0,IF(N1408="x",-$E1408/(COUNTIF($J1408:$Q1408,"x")+1),-$E1408*N(N1408)))</f>
        <v/>
      </c>
      <c r="AC1408" s="34">
        <f>IF(OR($A1408="",$H1408&lt;&gt;"Ausgabe",O1408=""),0,IF(O1408="x",-$E1408/(COUNTIF($J1408:$Q1408,"x")+1),-$E1408*N(O1408)))</f>
        <v/>
      </c>
      <c r="AD1408" s="34">
        <f>IF(OR($A1408="",$H1408&lt;&gt;"Ausgabe",P1408=""),0,IF(P1408="x",-$E1408/(COUNTIF($J1408:$Q1408,"x")+1),-$E1408*N(P1408)))</f>
        <v/>
      </c>
      <c r="AE1408" s="34">
        <f>IF(OR($A1408="",$H1408&lt;&gt;"Ausgabe",Q1408=""),0,IF(Q1408="x",-$E1408/(COUNTIF($J1408:$Q1408,"x")+1),-$E1408*N(Q1408)))</f>
        <v/>
      </c>
    </row>
    <row r="1409">
      <c r="A1409" s="30" t="n"/>
      <c r="E1409" s="31" t="n"/>
      <c r="J1409" s="32" t="n"/>
      <c r="K1409" s="32" t="n"/>
      <c r="L1409" s="32" t="n"/>
      <c r="M1409" s="32" t="n"/>
      <c r="N1409" s="32" t="n"/>
      <c r="O1409" s="32" t="n"/>
      <c r="P1409" s="32" t="n"/>
      <c r="Q1409" s="32" t="n"/>
      <c r="U1409" s="31">
        <f>IF($A1409="","",SUM(X1409:AE1409))</f>
        <v/>
      </c>
      <c r="V1409" s="31">
        <f>IF($A1409="","",IF($H1409&lt;&gt;"Ausgabe",0,-$E1409-$U1409))</f>
        <v/>
      </c>
      <c r="W1409" s="33">
        <f>IF($A1409="","",DATE(YEAR($A1409),MONTH($A1409),1))</f>
        <v/>
      </c>
      <c r="X1409" s="34">
        <f>IF(OR($A1409="",$H1409&lt;&gt;"Ausgabe",J1409=""),0,IF(J1409="x",-$E1409/(COUNTIF($J1409:$Q1409,"x")+1),-$E1409*N(J1409)))</f>
        <v/>
      </c>
      <c r="Y1409" s="34">
        <f>IF(OR($A1409="",$H1409&lt;&gt;"Ausgabe",K1409=""),0,IF(K1409="x",-$E1409/(COUNTIF($J1409:$Q1409,"x")+1),-$E1409*N(K1409)))</f>
        <v/>
      </c>
      <c r="Z1409" s="34">
        <f>IF(OR($A1409="",$H1409&lt;&gt;"Ausgabe",L1409=""),0,IF(L1409="x",-$E1409/(COUNTIF($J1409:$Q1409,"x")+1),-$E1409*N(L1409)))</f>
        <v/>
      </c>
      <c r="AA1409" s="34">
        <f>IF(OR($A1409="",$H1409&lt;&gt;"Ausgabe",M1409=""),0,IF(M1409="x",-$E1409/(COUNTIF($J1409:$Q1409,"x")+1),-$E1409*N(M1409)))</f>
        <v/>
      </c>
      <c r="AB1409" s="34">
        <f>IF(OR($A1409="",$H1409&lt;&gt;"Ausgabe",N1409=""),0,IF(N1409="x",-$E1409/(COUNTIF($J1409:$Q1409,"x")+1),-$E1409*N(N1409)))</f>
        <v/>
      </c>
      <c r="AC1409" s="34">
        <f>IF(OR($A1409="",$H1409&lt;&gt;"Ausgabe",O1409=""),0,IF(O1409="x",-$E1409/(COUNTIF($J1409:$Q1409,"x")+1),-$E1409*N(O1409)))</f>
        <v/>
      </c>
      <c r="AD1409" s="34">
        <f>IF(OR($A1409="",$H1409&lt;&gt;"Ausgabe",P1409=""),0,IF(P1409="x",-$E1409/(COUNTIF($J1409:$Q1409,"x")+1),-$E1409*N(P1409)))</f>
        <v/>
      </c>
      <c r="AE1409" s="34">
        <f>IF(OR($A1409="",$H1409&lt;&gt;"Ausgabe",Q1409=""),0,IF(Q1409="x",-$E1409/(COUNTIF($J1409:$Q1409,"x")+1),-$E1409*N(Q1409)))</f>
        <v/>
      </c>
    </row>
    <row r="1410">
      <c r="A1410" s="30" t="n"/>
      <c r="E1410" s="31" t="n"/>
      <c r="J1410" s="32" t="n"/>
      <c r="K1410" s="32" t="n"/>
      <c r="L1410" s="32" t="n"/>
      <c r="M1410" s="32" t="n"/>
      <c r="N1410" s="32" t="n"/>
      <c r="O1410" s="32" t="n"/>
      <c r="P1410" s="32" t="n"/>
      <c r="Q1410" s="32" t="n"/>
      <c r="U1410" s="31">
        <f>IF($A1410="","",SUM(X1410:AE1410))</f>
        <v/>
      </c>
      <c r="V1410" s="31">
        <f>IF($A1410="","",IF($H1410&lt;&gt;"Ausgabe",0,-$E1410-$U1410))</f>
        <v/>
      </c>
      <c r="W1410" s="33">
        <f>IF($A1410="","",DATE(YEAR($A1410),MONTH($A1410),1))</f>
        <v/>
      </c>
      <c r="X1410" s="34">
        <f>IF(OR($A1410="",$H1410&lt;&gt;"Ausgabe",J1410=""),0,IF(J1410="x",-$E1410/(COUNTIF($J1410:$Q1410,"x")+1),-$E1410*N(J1410)))</f>
        <v/>
      </c>
      <c r="Y1410" s="34">
        <f>IF(OR($A1410="",$H1410&lt;&gt;"Ausgabe",K1410=""),0,IF(K1410="x",-$E1410/(COUNTIF($J1410:$Q1410,"x")+1),-$E1410*N(K1410)))</f>
        <v/>
      </c>
      <c r="Z1410" s="34">
        <f>IF(OR($A1410="",$H1410&lt;&gt;"Ausgabe",L1410=""),0,IF(L1410="x",-$E1410/(COUNTIF($J1410:$Q1410,"x")+1),-$E1410*N(L1410)))</f>
        <v/>
      </c>
      <c r="AA1410" s="34">
        <f>IF(OR($A1410="",$H1410&lt;&gt;"Ausgabe",M1410=""),0,IF(M1410="x",-$E1410/(COUNTIF($J1410:$Q1410,"x")+1),-$E1410*N(M1410)))</f>
        <v/>
      </c>
      <c r="AB1410" s="34">
        <f>IF(OR($A1410="",$H1410&lt;&gt;"Ausgabe",N1410=""),0,IF(N1410="x",-$E1410/(COUNTIF($J1410:$Q1410,"x")+1),-$E1410*N(N1410)))</f>
        <v/>
      </c>
      <c r="AC1410" s="34">
        <f>IF(OR($A1410="",$H1410&lt;&gt;"Ausgabe",O1410=""),0,IF(O1410="x",-$E1410/(COUNTIF($J1410:$Q1410,"x")+1),-$E1410*N(O1410)))</f>
        <v/>
      </c>
      <c r="AD1410" s="34">
        <f>IF(OR($A1410="",$H1410&lt;&gt;"Ausgabe",P1410=""),0,IF(P1410="x",-$E1410/(COUNTIF($J1410:$Q1410,"x")+1),-$E1410*N(P1410)))</f>
        <v/>
      </c>
      <c r="AE1410" s="34">
        <f>IF(OR($A1410="",$H1410&lt;&gt;"Ausgabe",Q1410=""),0,IF(Q1410="x",-$E1410/(COUNTIF($J1410:$Q1410,"x")+1),-$E1410*N(Q1410)))</f>
        <v/>
      </c>
    </row>
    <row r="1411">
      <c r="A1411" s="30" t="n"/>
      <c r="E1411" s="31" t="n"/>
      <c r="J1411" s="32" t="n"/>
      <c r="K1411" s="32" t="n"/>
      <c r="L1411" s="32" t="n"/>
      <c r="M1411" s="32" t="n"/>
      <c r="N1411" s="32" t="n"/>
      <c r="O1411" s="32" t="n"/>
      <c r="P1411" s="32" t="n"/>
      <c r="Q1411" s="32" t="n"/>
      <c r="U1411" s="31">
        <f>IF($A1411="","",SUM(X1411:AE1411))</f>
        <v/>
      </c>
      <c r="V1411" s="31">
        <f>IF($A1411="","",IF($H1411&lt;&gt;"Ausgabe",0,-$E1411-$U1411))</f>
        <v/>
      </c>
      <c r="W1411" s="33">
        <f>IF($A1411="","",DATE(YEAR($A1411),MONTH($A1411),1))</f>
        <v/>
      </c>
      <c r="X1411" s="34">
        <f>IF(OR($A1411="",$H1411&lt;&gt;"Ausgabe",J1411=""),0,IF(J1411="x",-$E1411/(COUNTIF($J1411:$Q1411,"x")+1),-$E1411*N(J1411)))</f>
        <v/>
      </c>
      <c r="Y1411" s="34">
        <f>IF(OR($A1411="",$H1411&lt;&gt;"Ausgabe",K1411=""),0,IF(K1411="x",-$E1411/(COUNTIF($J1411:$Q1411,"x")+1),-$E1411*N(K1411)))</f>
        <v/>
      </c>
      <c r="Z1411" s="34">
        <f>IF(OR($A1411="",$H1411&lt;&gt;"Ausgabe",L1411=""),0,IF(L1411="x",-$E1411/(COUNTIF($J1411:$Q1411,"x")+1),-$E1411*N(L1411)))</f>
        <v/>
      </c>
      <c r="AA1411" s="34">
        <f>IF(OR($A1411="",$H1411&lt;&gt;"Ausgabe",M1411=""),0,IF(M1411="x",-$E1411/(COUNTIF($J1411:$Q1411,"x")+1),-$E1411*N(M1411)))</f>
        <v/>
      </c>
      <c r="AB1411" s="34">
        <f>IF(OR($A1411="",$H1411&lt;&gt;"Ausgabe",N1411=""),0,IF(N1411="x",-$E1411/(COUNTIF($J1411:$Q1411,"x")+1),-$E1411*N(N1411)))</f>
        <v/>
      </c>
      <c r="AC1411" s="34">
        <f>IF(OR($A1411="",$H1411&lt;&gt;"Ausgabe",O1411=""),0,IF(O1411="x",-$E1411/(COUNTIF($J1411:$Q1411,"x")+1),-$E1411*N(O1411)))</f>
        <v/>
      </c>
      <c r="AD1411" s="34">
        <f>IF(OR($A1411="",$H1411&lt;&gt;"Ausgabe",P1411=""),0,IF(P1411="x",-$E1411/(COUNTIF($J1411:$Q1411,"x")+1),-$E1411*N(P1411)))</f>
        <v/>
      </c>
      <c r="AE1411" s="34">
        <f>IF(OR($A1411="",$H1411&lt;&gt;"Ausgabe",Q1411=""),0,IF(Q1411="x",-$E1411/(COUNTIF($J1411:$Q1411,"x")+1),-$E1411*N(Q1411)))</f>
        <v/>
      </c>
    </row>
    <row r="1412">
      <c r="A1412" s="30" t="n"/>
      <c r="E1412" s="31" t="n"/>
      <c r="J1412" s="32" t="n"/>
      <c r="K1412" s="32" t="n"/>
      <c r="L1412" s="32" t="n"/>
      <c r="M1412" s="32" t="n"/>
      <c r="N1412" s="32" t="n"/>
      <c r="O1412" s="32" t="n"/>
      <c r="P1412" s="32" t="n"/>
      <c r="Q1412" s="32" t="n"/>
      <c r="U1412" s="31">
        <f>IF($A1412="","",SUM(X1412:AE1412))</f>
        <v/>
      </c>
      <c r="V1412" s="31">
        <f>IF($A1412="","",IF($H1412&lt;&gt;"Ausgabe",0,-$E1412-$U1412))</f>
        <v/>
      </c>
      <c r="W1412" s="33">
        <f>IF($A1412="","",DATE(YEAR($A1412),MONTH($A1412),1))</f>
        <v/>
      </c>
      <c r="X1412" s="34">
        <f>IF(OR($A1412="",$H1412&lt;&gt;"Ausgabe",J1412=""),0,IF(J1412="x",-$E1412/(COUNTIF($J1412:$Q1412,"x")+1),-$E1412*N(J1412)))</f>
        <v/>
      </c>
      <c r="Y1412" s="34">
        <f>IF(OR($A1412="",$H1412&lt;&gt;"Ausgabe",K1412=""),0,IF(K1412="x",-$E1412/(COUNTIF($J1412:$Q1412,"x")+1),-$E1412*N(K1412)))</f>
        <v/>
      </c>
      <c r="Z1412" s="34">
        <f>IF(OR($A1412="",$H1412&lt;&gt;"Ausgabe",L1412=""),0,IF(L1412="x",-$E1412/(COUNTIF($J1412:$Q1412,"x")+1),-$E1412*N(L1412)))</f>
        <v/>
      </c>
      <c r="AA1412" s="34">
        <f>IF(OR($A1412="",$H1412&lt;&gt;"Ausgabe",M1412=""),0,IF(M1412="x",-$E1412/(COUNTIF($J1412:$Q1412,"x")+1),-$E1412*N(M1412)))</f>
        <v/>
      </c>
      <c r="AB1412" s="34">
        <f>IF(OR($A1412="",$H1412&lt;&gt;"Ausgabe",N1412=""),0,IF(N1412="x",-$E1412/(COUNTIF($J1412:$Q1412,"x")+1),-$E1412*N(N1412)))</f>
        <v/>
      </c>
      <c r="AC1412" s="34">
        <f>IF(OR($A1412="",$H1412&lt;&gt;"Ausgabe",O1412=""),0,IF(O1412="x",-$E1412/(COUNTIF($J1412:$Q1412,"x")+1),-$E1412*N(O1412)))</f>
        <v/>
      </c>
      <c r="AD1412" s="34">
        <f>IF(OR($A1412="",$H1412&lt;&gt;"Ausgabe",P1412=""),0,IF(P1412="x",-$E1412/(COUNTIF($J1412:$Q1412,"x")+1),-$E1412*N(P1412)))</f>
        <v/>
      </c>
      <c r="AE1412" s="34">
        <f>IF(OR($A1412="",$H1412&lt;&gt;"Ausgabe",Q1412=""),0,IF(Q1412="x",-$E1412/(COUNTIF($J1412:$Q1412,"x")+1),-$E1412*N(Q1412)))</f>
        <v/>
      </c>
    </row>
    <row r="1413">
      <c r="A1413" s="30" t="n"/>
      <c r="E1413" s="31" t="n"/>
      <c r="J1413" s="32" t="n"/>
      <c r="K1413" s="32" t="n"/>
      <c r="L1413" s="32" t="n"/>
      <c r="M1413" s="32" t="n"/>
      <c r="N1413" s="32" t="n"/>
      <c r="O1413" s="32" t="n"/>
      <c r="P1413" s="32" t="n"/>
      <c r="Q1413" s="32" t="n"/>
      <c r="U1413" s="31">
        <f>IF($A1413="","",SUM(X1413:AE1413))</f>
        <v/>
      </c>
      <c r="V1413" s="31">
        <f>IF($A1413="","",IF($H1413&lt;&gt;"Ausgabe",0,-$E1413-$U1413))</f>
        <v/>
      </c>
      <c r="W1413" s="33">
        <f>IF($A1413="","",DATE(YEAR($A1413),MONTH($A1413),1))</f>
        <v/>
      </c>
      <c r="X1413" s="34">
        <f>IF(OR($A1413="",$H1413&lt;&gt;"Ausgabe",J1413=""),0,IF(J1413="x",-$E1413/(COUNTIF($J1413:$Q1413,"x")+1),-$E1413*N(J1413)))</f>
        <v/>
      </c>
      <c r="Y1413" s="34">
        <f>IF(OR($A1413="",$H1413&lt;&gt;"Ausgabe",K1413=""),0,IF(K1413="x",-$E1413/(COUNTIF($J1413:$Q1413,"x")+1),-$E1413*N(K1413)))</f>
        <v/>
      </c>
      <c r="Z1413" s="34">
        <f>IF(OR($A1413="",$H1413&lt;&gt;"Ausgabe",L1413=""),0,IF(L1413="x",-$E1413/(COUNTIF($J1413:$Q1413,"x")+1),-$E1413*N(L1413)))</f>
        <v/>
      </c>
      <c r="AA1413" s="34">
        <f>IF(OR($A1413="",$H1413&lt;&gt;"Ausgabe",M1413=""),0,IF(M1413="x",-$E1413/(COUNTIF($J1413:$Q1413,"x")+1),-$E1413*N(M1413)))</f>
        <v/>
      </c>
      <c r="AB1413" s="34">
        <f>IF(OR($A1413="",$H1413&lt;&gt;"Ausgabe",N1413=""),0,IF(N1413="x",-$E1413/(COUNTIF($J1413:$Q1413,"x")+1),-$E1413*N(N1413)))</f>
        <v/>
      </c>
      <c r="AC1413" s="34">
        <f>IF(OR($A1413="",$H1413&lt;&gt;"Ausgabe",O1413=""),0,IF(O1413="x",-$E1413/(COUNTIF($J1413:$Q1413,"x")+1),-$E1413*N(O1413)))</f>
        <v/>
      </c>
      <c r="AD1413" s="34">
        <f>IF(OR($A1413="",$H1413&lt;&gt;"Ausgabe",P1413=""),0,IF(P1413="x",-$E1413/(COUNTIF($J1413:$Q1413,"x")+1),-$E1413*N(P1413)))</f>
        <v/>
      </c>
      <c r="AE1413" s="34">
        <f>IF(OR($A1413="",$H1413&lt;&gt;"Ausgabe",Q1413=""),0,IF(Q1413="x",-$E1413/(COUNTIF($J1413:$Q1413,"x")+1),-$E1413*N(Q1413)))</f>
        <v/>
      </c>
    </row>
    <row r="1414">
      <c r="A1414" s="30" t="n"/>
      <c r="E1414" s="31" t="n"/>
      <c r="J1414" s="32" t="n"/>
      <c r="K1414" s="32" t="n"/>
      <c r="L1414" s="32" t="n"/>
      <c r="M1414" s="32" t="n"/>
      <c r="N1414" s="32" t="n"/>
      <c r="O1414" s="32" t="n"/>
      <c r="P1414" s="32" t="n"/>
      <c r="Q1414" s="32" t="n"/>
      <c r="U1414" s="31">
        <f>IF($A1414="","",SUM(X1414:AE1414))</f>
        <v/>
      </c>
      <c r="V1414" s="31">
        <f>IF($A1414="","",IF($H1414&lt;&gt;"Ausgabe",0,-$E1414-$U1414))</f>
        <v/>
      </c>
      <c r="W1414" s="33">
        <f>IF($A1414="","",DATE(YEAR($A1414),MONTH($A1414),1))</f>
        <v/>
      </c>
      <c r="X1414" s="34">
        <f>IF(OR($A1414="",$H1414&lt;&gt;"Ausgabe",J1414=""),0,IF(J1414="x",-$E1414/(COUNTIF($J1414:$Q1414,"x")+1),-$E1414*N(J1414)))</f>
        <v/>
      </c>
      <c r="Y1414" s="34">
        <f>IF(OR($A1414="",$H1414&lt;&gt;"Ausgabe",K1414=""),0,IF(K1414="x",-$E1414/(COUNTIF($J1414:$Q1414,"x")+1),-$E1414*N(K1414)))</f>
        <v/>
      </c>
      <c r="Z1414" s="34">
        <f>IF(OR($A1414="",$H1414&lt;&gt;"Ausgabe",L1414=""),0,IF(L1414="x",-$E1414/(COUNTIF($J1414:$Q1414,"x")+1),-$E1414*N(L1414)))</f>
        <v/>
      </c>
      <c r="AA1414" s="34">
        <f>IF(OR($A1414="",$H1414&lt;&gt;"Ausgabe",M1414=""),0,IF(M1414="x",-$E1414/(COUNTIF($J1414:$Q1414,"x")+1),-$E1414*N(M1414)))</f>
        <v/>
      </c>
      <c r="AB1414" s="34">
        <f>IF(OR($A1414="",$H1414&lt;&gt;"Ausgabe",N1414=""),0,IF(N1414="x",-$E1414/(COUNTIF($J1414:$Q1414,"x")+1),-$E1414*N(N1414)))</f>
        <v/>
      </c>
      <c r="AC1414" s="34">
        <f>IF(OR($A1414="",$H1414&lt;&gt;"Ausgabe",O1414=""),0,IF(O1414="x",-$E1414/(COUNTIF($J1414:$Q1414,"x")+1),-$E1414*N(O1414)))</f>
        <v/>
      </c>
      <c r="AD1414" s="34">
        <f>IF(OR($A1414="",$H1414&lt;&gt;"Ausgabe",P1414=""),0,IF(P1414="x",-$E1414/(COUNTIF($J1414:$Q1414,"x")+1),-$E1414*N(P1414)))</f>
        <v/>
      </c>
      <c r="AE1414" s="34">
        <f>IF(OR($A1414="",$H1414&lt;&gt;"Ausgabe",Q1414=""),0,IF(Q1414="x",-$E1414/(COUNTIF($J1414:$Q1414,"x")+1),-$E1414*N(Q1414)))</f>
        <v/>
      </c>
    </row>
    <row r="1415">
      <c r="A1415" s="30" t="n"/>
      <c r="E1415" s="31" t="n"/>
      <c r="J1415" s="32" t="n"/>
      <c r="K1415" s="32" t="n"/>
      <c r="L1415" s="32" t="n"/>
      <c r="M1415" s="32" t="n"/>
      <c r="N1415" s="32" t="n"/>
      <c r="O1415" s="32" t="n"/>
      <c r="P1415" s="32" t="n"/>
      <c r="Q1415" s="32" t="n"/>
      <c r="U1415" s="31">
        <f>IF($A1415="","",SUM(X1415:AE1415))</f>
        <v/>
      </c>
      <c r="V1415" s="31">
        <f>IF($A1415="","",IF($H1415&lt;&gt;"Ausgabe",0,-$E1415-$U1415))</f>
        <v/>
      </c>
      <c r="W1415" s="33">
        <f>IF($A1415="","",DATE(YEAR($A1415),MONTH($A1415),1))</f>
        <v/>
      </c>
      <c r="X1415" s="34">
        <f>IF(OR($A1415="",$H1415&lt;&gt;"Ausgabe",J1415=""),0,IF(J1415="x",-$E1415/(COUNTIF($J1415:$Q1415,"x")+1),-$E1415*N(J1415)))</f>
        <v/>
      </c>
      <c r="Y1415" s="34">
        <f>IF(OR($A1415="",$H1415&lt;&gt;"Ausgabe",K1415=""),0,IF(K1415="x",-$E1415/(COUNTIF($J1415:$Q1415,"x")+1),-$E1415*N(K1415)))</f>
        <v/>
      </c>
      <c r="Z1415" s="34">
        <f>IF(OR($A1415="",$H1415&lt;&gt;"Ausgabe",L1415=""),0,IF(L1415="x",-$E1415/(COUNTIF($J1415:$Q1415,"x")+1),-$E1415*N(L1415)))</f>
        <v/>
      </c>
      <c r="AA1415" s="34">
        <f>IF(OR($A1415="",$H1415&lt;&gt;"Ausgabe",M1415=""),0,IF(M1415="x",-$E1415/(COUNTIF($J1415:$Q1415,"x")+1),-$E1415*N(M1415)))</f>
        <v/>
      </c>
      <c r="AB1415" s="34">
        <f>IF(OR($A1415="",$H1415&lt;&gt;"Ausgabe",N1415=""),0,IF(N1415="x",-$E1415/(COUNTIF($J1415:$Q1415,"x")+1),-$E1415*N(N1415)))</f>
        <v/>
      </c>
      <c r="AC1415" s="34">
        <f>IF(OR($A1415="",$H1415&lt;&gt;"Ausgabe",O1415=""),0,IF(O1415="x",-$E1415/(COUNTIF($J1415:$Q1415,"x")+1),-$E1415*N(O1415)))</f>
        <v/>
      </c>
      <c r="AD1415" s="34">
        <f>IF(OR($A1415="",$H1415&lt;&gt;"Ausgabe",P1415=""),0,IF(P1415="x",-$E1415/(COUNTIF($J1415:$Q1415,"x")+1),-$E1415*N(P1415)))</f>
        <v/>
      </c>
      <c r="AE1415" s="34">
        <f>IF(OR($A1415="",$H1415&lt;&gt;"Ausgabe",Q1415=""),0,IF(Q1415="x",-$E1415/(COUNTIF($J1415:$Q1415,"x")+1),-$E1415*N(Q1415)))</f>
        <v/>
      </c>
    </row>
    <row r="1416">
      <c r="A1416" s="30" t="n"/>
      <c r="E1416" s="31" t="n"/>
      <c r="J1416" s="32" t="n"/>
      <c r="K1416" s="32" t="n"/>
      <c r="L1416" s="32" t="n"/>
      <c r="M1416" s="32" t="n"/>
      <c r="N1416" s="32" t="n"/>
      <c r="O1416" s="32" t="n"/>
      <c r="P1416" s="32" t="n"/>
      <c r="Q1416" s="32" t="n"/>
      <c r="U1416" s="31">
        <f>IF($A1416="","",SUM(X1416:AE1416))</f>
        <v/>
      </c>
      <c r="V1416" s="31">
        <f>IF($A1416="","",IF($H1416&lt;&gt;"Ausgabe",0,-$E1416-$U1416))</f>
        <v/>
      </c>
      <c r="W1416" s="33">
        <f>IF($A1416="","",DATE(YEAR($A1416),MONTH($A1416),1))</f>
        <v/>
      </c>
      <c r="X1416" s="34">
        <f>IF(OR($A1416="",$H1416&lt;&gt;"Ausgabe",J1416=""),0,IF(J1416="x",-$E1416/(COUNTIF($J1416:$Q1416,"x")+1),-$E1416*N(J1416)))</f>
        <v/>
      </c>
      <c r="Y1416" s="34">
        <f>IF(OR($A1416="",$H1416&lt;&gt;"Ausgabe",K1416=""),0,IF(K1416="x",-$E1416/(COUNTIF($J1416:$Q1416,"x")+1),-$E1416*N(K1416)))</f>
        <v/>
      </c>
      <c r="Z1416" s="34">
        <f>IF(OR($A1416="",$H1416&lt;&gt;"Ausgabe",L1416=""),0,IF(L1416="x",-$E1416/(COUNTIF($J1416:$Q1416,"x")+1),-$E1416*N(L1416)))</f>
        <v/>
      </c>
      <c r="AA1416" s="34">
        <f>IF(OR($A1416="",$H1416&lt;&gt;"Ausgabe",M1416=""),0,IF(M1416="x",-$E1416/(COUNTIF($J1416:$Q1416,"x")+1),-$E1416*N(M1416)))</f>
        <v/>
      </c>
      <c r="AB1416" s="34">
        <f>IF(OR($A1416="",$H1416&lt;&gt;"Ausgabe",N1416=""),0,IF(N1416="x",-$E1416/(COUNTIF($J1416:$Q1416,"x")+1),-$E1416*N(N1416)))</f>
        <v/>
      </c>
      <c r="AC1416" s="34">
        <f>IF(OR($A1416="",$H1416&lt;&gt;"Ausgabe",O1416=""),0,IF(O1416="x",-$E1416/(COUNTIF($J1416:$Q1416,"x")+1),-$E1416*N(O1416)))</f>
        <v/>
      </c>
      <c r="AD1416" s="34">
        <f>IF(OR($A1416="",$H1416&lt;&gt;"Ausgabe",P1416=""),0,IF(P1416="x",-$E1416/(COUNTIF($J1416:$Q1416,"x")+1),-$E1416*N(P1416)))</f>
        <v/>
      </c>
      <c r="AE1416" s="34">
        <f>IF(OR($A1416="",$H1416&lt;&gt;"Ausgabe",Q1416=""),0,IF(Q1416="x",-$E1416/(COUNTIF($J1416:$Q1416,"x")+1),-$E1416*N(Q1416)))</f>
        <v/>
      </c>
    </row>
    <row r="1417">
      <c r="A1417" s="30" t="n"/>
      <c r="E1417" s="31" t="n"/>
      <c r="J1417" s="32" t="n"/>
      <c r="K1417" s="32" t="n"/>
      <c r="L1417" s="32" t="n"/>
      <c r="M1417" s="32" t="n"/>
      <c r="N1417" s="32" t="n"/>
      <c r="O1417" s="32" t="n"/>
      <c r="P1417" s="32" t="n"/>
      <c r="Q1417" s="32" t="n"/>
      <c r="U1417" s="31">
        <f>IF($A1417="","",SUM(X1417:AE1417))</f>
        <v/>
      </c>
      <c r="V1417" s="31">
        <f>IF($A1417="","",IF($H1417&lt;&gt;"Ausgabe",0,-$E1417-$U1417))</f>
        <v/>
      </c>
      <c r="W1417" s="33">
        <f>IF($A1417="","",DATE(YEAR($A1417),MONTH($A1417),1))</f>
        <v/>
      </c>
      <c r="X1417" s="34">
        <f>IF(OR($A1417="",$H1417&lt;&gt;"Ausgabe",J1417=""),0,IF(J1417="x",-$E1417/(COUNTIF($J1417:$Q1417,"x")+1),-$E1417*N(J1417)))</f>
        <v/>
      </c>
      <c r="Y1417" s="34">
        <f>IF(OR($A1417="",$H1417&lt;&gt;"Ausgabe",K1417=""),0,IF(K1417="x",-$E1417/(COUNTIF($J1417:$Q1417,"x")+1),-$E1417*N(K1417)))</f>
        <v/>
      </c>
      <c r="Z1417" s="34">
        <f>IF(OR($A1417="",$H1417&lt;&gt;"Ausgabe",L1417=""),0,IF(L1417="x",-$E1417/(COUNTIF($J1417:$Q1417,"x")+1),-$E1417*N(L1417)))</f>
        <v/>
      </c>
      <c r="AA1417" s="34">
        <f>IF(OR($A1417="",$H1417&lt;&gt;"Ausgabe",M1417=""),0,IF(M1417="x",-$E1417/(COUNTIF($J1417:$Q1417,"x")+1),-$E1417*N(M1417)))</f>
        <v/>
      </c>
      <c r="AB1417" s="34">
        <f>IF(OR($A1417="",$H1417&lt;&gt;"Ausgabe",N1417=""),0,IF(N1417="x",-$E1417/(COUNTIF($J1417:$Q1417,"x")+1),-$E1417*N(N1417)))</f>
        <v/>
      </c>
      <c r="AC1417" s="34">
        <f>IF(OR($A1417="",$H1417&lt;&gt;"Ausgabe",O1417=""),0,IF(O1417="x",-$E1417/(COUNTIF($J1417:$Q1417,"x")+1),-$E1417*N(O1417)))</f>
        <v/>
      </c>
      <c r="AD1417" s="34">
        <f>IF(OR($A1417="",$H1417&lt;&gt;"Ausgabe",P1417=""),0,IF(P1417="x",-$E1417/(COUNTIF($J1417:$Q1417,"x")+1),-$E1417*N(P1417)))</f>
        <v/>
      </c>
      <c r="AE1417" s="34">
        <f>IF(OR($A1417="",$H1417&lt;&gt;"Ausgabe",Q1417=""),0,IF(Q1417="x",-$E1417/(COUNTIF($J1417:$Q1417,"x")+1),-$E1417*N(Q1417)))</f>
        <v/>
      </c>
    </row>
    <row r="1418">
      <c r="A1418" s="30" t="n"/>
      <c r="E1418" s="31" t="n"/>
      <c r="J1418" s="32" t="n"/>
      <c r="K1418" s="32" t="n"/>
      <c r="L1418" s="32" t="n"/>
      <c r="M1418" s="32" t="n"/>
      <c r="N1418" s="32" t="n"/>
      <c r="O1418" s="32" t="n"/>
      <c r="P1418" s="32" t="n"/>
      <c r="Q1418" s="32" t="n"/>
      <c r="U1418" s="31">
        <f>IF($A1418="","",SUM(X1418:AE1418))</f>
        <v/>
      </c>
      <c r="V1418" s="31">
        <f>IF($A1418="","",IF($H1418&lt;&gt;"Ausgabe",0,-$E1418-$U1418))</f>
        <v/>
      </c>
      <c r="W1418" s="33">
        <f>IF($A1418="","",DATE(YEAR($A1418),MONTH($A1418),1))</f>
        <v/>
      </c>
      <c r="X1418" s="34">
        <f>IF(OR($A1418="",$H1418&lt;&gt;"Ausgabe",J1418=""),0,IF(J1418="x",-$E1418/(COUNTIF($J1418:$Q1418,"x")+1),-$E1418*N(J1418)))</f>
        <v/>
      </c>
      <c r="Y1418" s="34">
        <f>IF(OR($A1418="",$H1418&lt;&gt;"Ausgabe",K1418=""),0,IF(K1418="x",-$E1418/(COUNTIF($J1418:$Q1418,"x")+1),-$E1418*N(K1418)))</f>
        <v/>
      </c>
      <c r="Z1418" s="34">
        <f>IF(OR($A1418="",$H1418&lt;&gt;"Ausgabe",L1418=""),0,IF(L1418="x",-$E1418/(COUNTIF($J1418:$Q1418,"x")+1),-$E1418*N(L1418)))</f>
        <v/>
      </c>
      <c r="AA1418" s="34">
        <f>IF(OR($A1418="",$H1418&lt;&gt;"Ausgabe",M1418=""),0,IF(M1418="x",-$E1418/(COUNTIF($J1418:$Q1418,"x")+1),-$E1418*N(M1418)))</f>
        <v/>
      </c>
      <c r="AB1418" s="34">
        <f>IF(OR($A1418="",$H1418&lt;&gt;"Ausgabe",N1418=""),0,IF(N1418="x",-$E1418/(COUNTIF($J1418:$Q1418,"x")+1),-$E1418*N(N1418)))</f>
        <v/>
      </c>
      <c r="AC1418" s="34">
        <f>IF(OR($A1418="",$H1418&lt;&gt;"Ausgabe",O1418=""),0,IF(O1418="x",-$E1418/(COUNTIF($J1418:$Q1418,"x")+1),-$E1418*N(O1418)))</f>
        <v/>
      </c>
      <c r="AD1418" s="34">
        <f>IF(OR($A1418="",$H1418&lt;&gt;"Ausgabe",P1418=""),0,IF(P1418="x",-$E1418/(COUNTIF($J1418:$Q1418,"x")+1),-$E1418*N(P1418)))</f>
        <v/>
      </c>
      <c r="AE1418" s="34">
        <f>IF(OR($A1418="",$H1418&lt;&gt;"Ausgabe",Q1418=""),0,IF(Q1418="x",-$E1418/(COUNTIF($J1418:$Q1418,"x")+1),-$E1418*N(Q1418)))</f>
        <v/>
      </c>
    </row>
    <row r="1419">
      <c r="A1419" s="30" t="n"/>
      <c r="E1419" s="31" t="n"/>
      <c r="J1419" s="32" t="n"/>
      <c r="K1419" s="32" t="n"/>
      <c r="L1419" s="32" t="n"/>
      <c r="M1419" s="32" t="n"/>
      <c r="N1419" s="32" t="n"/>
      <c r="O1419" s="32" t="n"/>
      <c r="P1419" s="32" t="n"/>
      <c r="Q1419" s="32" t="n"/>
      <c r="U1419" s="31">
        <f>IF($A1419="","",SUM(X1419:AE1419))</f>
        <v/>
      </c>
      <c r="V1419" s="31">
        <f>IF($A1419="","",IF($H1419&lt;&gt;"Ausgabe",0,-$E1419-$U1419))</f>
        <v/>
      </c>
      <c r="W1419" s="33">
        <f>IF($A1419="","",DATE(YEAR($A1419),MONTH($A1419),1))</f>
        <v/>
      </c>
      <c r="X1419" s="34">
        <f>IF(OR($A1419="",$H1419&lt;&gt;"Ausgabe",J1419=""),0,IF(J1419="x",-$E1419/(COUNTIF($J1419:$Q1419,"x")+1),-$E1419*N(J1419)))</f>
        <v/>
      </c>
      <c r="Y1419" s="34">
        <f>IF(OR($A1419="",$H1419&lt;&gt;"Ausgabe",K1419=""),0,IF(K1419="x",-$E1419/(COUNTIF($J1419:$Q1419,"x")+1),-$E1419*N(K1419)))</f>
        <v/>
      </c>
      <c r="Z1419" s="34">
        <f>IF(OR($A1419="",$H1419&lt;&gt;"Ausgabe",L1419=""),0,IF(L1419="x",-$E1419/(COUNTIF($J1419:$Q1419,"x")+1),-$E1419*N(L1419)))</f>
        <v/>
      </c>
      <c r="AA1419" s="34">
        <f>IF(OR($A1419="",$H1419&lt;&gt;"Ausgabe",M1419=""),0,IF(M1419="x",-$E1419/(COUNTIF($J1419:$Q1419,"x")+1),-$E1419*N(M1419)))</f>
        <v/>
      </c>
      <c r="AB1419" s="34">
        <f>IF(OR($A1419="",$H1419&lt;&gt;"Ausgabe",N1419=""),0,IF(N1419="x",-$E1419/(COUNTIF($J1419:$Q1419,"x")+1),-$E1419*N(N1419)))</f>
        <v/>
      </c>
      <c r="AC1419" s="34">
        <f>IF(OR($A1419="",$H1419&lt;&gt;"Ausgabe",O1419=""),0,IF(O1419="x",-$E1419/(COUNTIF($J1419:$Q1419,"x")+1),-$E1419*N(O1419)))</f>
        <v/>
      </c>
      <c r="AD1419" s="34">
        <f>IF(OR($A1419="",$H1419&lt;&gt;"Ausgabe",P1419=""),0,IF(P1419="x",-$E1419/(COUNTIF($J1419:$Q1419,"x")+1),-$E1419*N(P1419)))</f>
        <v/>
      </c>
      <c r="AE1419" s="34">
        <f>IF(OR($A1419="",$H1419&lt;&gt;"Ausgabe",Q1419=""),0,IF(Q1419="x",-$E1419/(COUNTIF($J1419:$Q1419,"x")+1),-$E1419*N(Q1419)))</f>
        <v/>
      </c>
    </row>
    <row r="1420">
      <c r="A1420" s="30" t="n"/>
      <c r="E1420" s="31" t="n"/>
      <c r="J1420" s="32" t="n"/>
      <c r="K1420" s="32" t="n"/>
      <c r="L1420" s="32" t="n"/>
      <c r="M1420" s="32" t="n"/>
      <c r="N1420" s="32" t="n"/>
      <c r="O1420" s="32" t="n"/>
      <c r="P1420" s="32" t="n"/>
      <c r="Q1420" s="32" t="n"/>
      <c r="U1420" s="31">
        <f>IF($A1420="","",SUM(X1420:AE1420))</f>
        <v/>
      </c>
      <c r="V1420" s="31">
        <f>IF($A1420="","",IF($H1420&lt;&gt;"Ausgabe",0,-$E1420-$U1420))</f>
        <v/>
      </c>
      <c r="W1420" s="33">
        <f>IF($A1420="","",DATE(YEAR($A1420),MONTH($A1420),1))</f>
        <v/>
      </c>
      <c r="X1420" s="34">
        <f>IF(OR($A1420="",$H1420&lt;&gt;"Ausgabe",J1420=""),0,IF(J1420="x",-$E1420/(COUNTIF($J1420:$Q1420,"x")+1),-$E1420*N(J1420)))</f>
        <v/>
      </c>
      <c r="Y1420" s="34">
        <f>IF(OR($A1420="",$H1420&lt;&gt;"Ausgabe",K1420=""),0,IF(K1420="x",-$E1420/(COUNTIF($J1420:$Q1420,"x")+1),-$E1420*N(K1420)))</f>
        <v/>
      </c>
      <c r="Z1420" s="34">
        <f>IF(OR($A1420="",$H1420&lt;&gt;"Ausgabe",L1420=""),0,IF(L1420="x",-$E1420/(COUNTIF($J1420:$Q1420,"x")+1),-$E1420*N(L1420)))</f>
        <v/>
      </c>
      <c r="AA1420" s="34">
        <f>IF(OR($A1420="",$H1420&lt;&gt;"Ausgabe",M1420=""),0,IF(M1420="x",-$E1420/(COUNTIF($J1420:$Q1420,"x")+1),-$E1420*N(M1420)))</f>
        <v/>
      </c>
      <c r="AB1420" s="34">
        <f>IF(OR($A1420="",$H1420&lt;&gt;"Ausgabe",N1420=""),0,IF(N1420="x",-$E1420/(COUNTIF($J1420:$Q1420,"x")+1),-$E1420*N(N1420)))</f>
        <v/>
      </c>
      <c r="AC1420" s="34">
        <f>IF(OR($A1420="",$H1420&lt;&gt;"Ausgabe",O1420=""),0,IF(O1420="x",-$E1420/(COUNTIF($J1420:$Q1420,"x")+1),-$E1420*N(O1420)))</f>
        <v/>
      </c>
      <c r="AD1420" s="34">
        <f>IF(OR($A1420="",$H1420&lt;&gt;"Ausgabe",P1420=""),0,IF(P1420="x",-$E1420/(COUNTIF($J1420:$Q1420,"x")+1),-$E1420*N(P1420)))</f>
        <v/>
      </c>
      <c r="AE1420" s="34">
        <f>IF(OR($A1420="",$H1420&lt;&gt;"Ausgabe",Q1420=""),0,IF(Q1420="x",-$E1420/(COUNTIF($J1420:$Q1420,"x")+1),-$E1420*N(Q1420)))</f>
        <v/>
      </c>
    </row>
    <row r="1421">
      <c r="A1421" s="30" t="n"/>
      <c r="E1421" s="31" t="n"/>
      <c r="J1421" s="32" t="n"/>
      <c r="K1421" s="32" t="n"/>
      <c r="L1421" s="32" t="n"/>
      <c r="M1421" s="32" t="n"/>
      <c r="N1421" s="32" t="n"/>
      <c r="O1421" s="32" t="n"/>
      <c r="P1421" s="32" t="n"/>
      <c r="Q1421" s="32" t="n"/>
      <c r="U1421" s="31">
        <f>IF($A1421="","",SUM(X1421:AE1421))</f>
        <v/>
      </c>
      <c r="V1421" s="31">
        <f>IF($A1421="","",IF($H1421&lt;&gt;"Ausgabe",0,-$E1421-$U1421))</f>
        <v/>
      </c>
      <c r="W1421" s="33">
        <f>IF($A1421="","",DATE(YEAR($A1421),MONTH($A1421),1))</f>
        <v/>
      </c>
      <c r="X1421" s="34">
        <f>IF(OR($A1421="",$H1421&lt;&gt;"Ausgabe",J1421=""),0,IF(J1421="x",-$E1421/(COUNTIF($J1421:$Q1421,"x")+1),-$E1421*N(J1421)))</f>
        <v/>
      </c>
      <c r="Y1421" s="34">
        <f>IF(OR($A1421="",$H1421&lt;&gt;"Ausgabe",K1421=""),0,IF(K1421="x",-$E1421/(COUNTIF($J1421:$Q1421,"x")+1),-$E1421*N(K1421)))</f>
        <v/>
      </c>
      <c r="Z1421" s="34">
        <f>IF(OR($A1421="",$H1421&lt;&gt;"Ausgabe",L1421=""),0,IF(L1421="x",-$E1421/(COUNTIF($J1421:$Q1421,"x")+1),-$E1421*N(L1421)))</f>
        <v/>
      </c>
      <c r="AA1421" s="34">
        <f>IF(OR($A1421="",$H1421&lt;&gt;"Ausgabe",M1421=""),0,IF(M1421="x",-$E1421/(COUNTIF($J1421:$Q1421,"x")+1),-$E1421*N(M1421)))</f>
        <v/>
      </c>
      <c r="AB1421" s="34">
        <f>IF(OR($A1421="",$H1421&lt;&gt;"Ausgabe",N1421=""),0,IF(N1421="x",-$E1421/(COUNTIF($J1421:$Q1421,"x")+1),-$E1421*N(N1421)))</f>
        <v/>
      </c>
      <c r="AC1421" s="34">
        <f>IF(OR($A1421="",$H1421&lt;&gt;"Ausgabe",O1421=""),0,IF(O1421="x",-$E1421/(COUNTIF($J1421:$Q1421,"x")+1),-$E1421*N(O1421)))</f>
        <v/>
      </c>
      <c r="AD1421" s="34">
        <f>IF(OR($A1421="",$H1421&lt;&gt;"Ausgabe",P1421=""),0,IF(P1421="x",-$E1421/(COUNTIF($J1421:$Q1421,"x")+1),-$E1421*N(P1421)))</f>
        <v/>
      </c>
      <c r="AE1421" s="34">
        <f>IF(OR($A1421="",$H1421&lt;&gt;"Ausgabe",Q1421=""),0,IF(Q1421="x",-$E1421/(COUNTIF($J1421:$Q1421,"x")+1),-$E1421*N(Q1421)))</f>
        <v/>
      </c>
    </row>
    <row r="1422">
      <c r="A1422" s="30" t="n"/>
      <c r="E1422" s="31" t="n"/>
      <c r="J1422" s="32" t="n"/>
      <c r="K1422" s="32" t="n"/>
      <c r="L1422" s="32" t="n"/>
      <c r="M1422" s="32" t="n"/>
      <c r="N1422" s="32" t="n"/>
      <c r="O1422" s="32" t="n"/>
      <c r="P1422" s="32" t="n"/>
      <c r="Q1422" s="32" t="n"/>
      <c r="U1422" s="31">
        <f>IF($A1422="","",SUM(X1422:AE1422))</f>
        <v/>
      </c>
      <c r="V1422" s="31">
        <f>IF($A1422="","",IF($H1422&lt;&gt;"Ausgabe",0,-$E1422-$U1422))</f>
        <v/>
      </c>
      <c r="W1422" s="33">
        <f>IF($A1422="","",DATE(YEAR($A1422),MONTH($A1422),1))</f>
        <v/>
      </c>
      <c r="X1422" s="34">
        <f>IF(OR($A1422="",$H1422&lt;&gt;"Ausgabe",J1422=""),0,IF(J1422="x",-$E1422/(COUNTIF($J1422:$Q1422,"x")+1),-$E1422*N(J1422)))</f>
        <v/>
      </c>
      <c r="Y1422" s="34">
        <f>IF(OR($A1422="",$H1422&lt;&gt;"Ausgabe",K1422=""),0,IF(K1422="x",-$E1422/(COUNTIF($J1422:$Q1422,"x")+1),-$E1422*N(K1422)))</f>
        <v/>
      </c>
      <c r="Z1422" s="34">
        <f>IF(OR($A1422="",$H1422&lt;&gt;"Ausgabe",L1422=""),0,IF(L1422="x",-$E1422/(COUNTIF($J1422:$Q1422,"x")+1),-$E1422*N(L1422)))</f>
        <v/>
      </c>
      <c r="AA1422" s="34">
        <f>IF(OR($A1422="",$H1422&lt;&gt;"Ausgabe",M1422=""),0,IF(M1422="x",-$E1422/(COUNTIF($J1422:$Q1422,"x")+1),-$E1422*N(M1422)))</f>
        <v/>
      </c>
      <c r="AB1422" s="34">
        <f>IF(OR($A1422="",$H1422&lt;&gt;"Ausgabe",N1422=""),0,IF(N1422="x",-$E1422/(COUNTIF($J1422:$Q1422,"x")+1),-$E1422*N(N1422)))</f>
        <v/>
      </c>
      <c r="AC1422" s="34">
        <f>IF(OR($A1422="",$H1422&lt;&gt;"Ausgabe",O1422=""),0,IF(O1422="x",-$E1422/(COUNTIF($J1422:$Q1422,"x")+1),-$E1422*N(O1422)))</f>
        <v/>
      </c>
      <c r="AD1422" s="34">
        <f>IF(OR($A1422="",$H1422&lt;&gt;"Ausgabe",P1422=""),0,IF(P1422="x",-$E1422/(COUNTIF($J1422:$Q1422,"x")+1),-$E1422*N(P1422)))</f>
        <v/>
      </c>
      <c r="AE1422" s="34">
        <f>IF(OR($A1422="",$H1422&lt;&gt;"Ausgabe",Q1422=""),0,IF(Q1422="x",-$E1422/(COUNTIF($J1422:$Q1422,"x")+1),-$E1422*N(Q1422)))</f>
        <v/>
      </c>
    </row>
    <row r="1423">
      <c r="A1423" s="30" t="n"/>
      <c r="E1423" s="31" t="n"/>
      <c r="J1423" s="32" t="n"/>
      <c r="K1423" s="32" t="n"/>
      <c r="L1423" s="32" t="n"/>
      <c r="M1423" s="32" t="n"/>
      <c r="N1423" s="32" t="n"/>
      <c r="O1423" s="32" t="n"/>
      <c r="P1423" s="32" t="n"/>
      <c r="Q1423" s="32" t="n"/>
      <c r="U1423" s="31">
        <f>IF($A1423="","",SUM(X1423:AE1423))</f>
        <v/>
      </c>
      <c r="V1423" s="31">
        <f>IF($A1423="","",IF($H1423&lt;&gt;"Ausgabe",0,-$E1423-$U1423))</f>
        <v/>
      </c>
      <c r="W1423" s="33">
        <f>IF($A1423="","",DATE(YEAR($A1423),MONTH($A1423),1))</f>
        <v/>
      </c>
      <c r="X1423" s="34">
        <f>IF(OR($A1423="",$H1423&lt;&gt;"Ausgabe",J1423=""),0,IF(J1423="x",-$E1423/(COUNTIF($J1423:$Q1423,"x")+1),-$E1423*N(J1423)))</f>
        <v/>
      </c>
      <c r="Y1423" s="34">
        <f>IF(OR($A1423="",$H1423&lt;&gt;"Ausgabe",K1423=""),0,IF(K1423="x",-$E1423/(COUNTIF($J1423:$Q1423,"x")+1),-$E1423*N(K1423)))</f>
        <v/>
      </c>
      <c r="Z1423" s="34">
        <f>IF(OR($A1423="",$H1423&lt;&gt;"Ausgabe",L1423=""),0,IF(L1423="x",-$E1423/(COUNTIF($J1423:$Q1423,"x")+1),-$E1423*N(L1423)))</f>
        <v/>
      </c>
      <c r="AA1423" s="34">
        <f>IF(OR($A1423="",$H1423&lt;&gt;"Ausgabe",M1423=""),0,IF(M1423="x",-$E1423/(COUNTIF($J1423:$Q1423,"x")+1),-$E1423*N(M1423)))</f>
        <v/>
      </c>
      <c r="AB1423" s="34">
        <f>IF(OR($A1423="",$H1423&lt;&gt;"Ausgabe",N1423=""),0,IF(N1423="x",-$E1423/(COUNTIF($J1423:$Q1423,"x")+1),-$E1423*N(N1423)))</f>
        <v/>
      </c>
      <c r="AC1423" s="34">
        <f>IF(OR($A1423="",$H1423&lt;&gt;"Ausgabe",O1423=""),0,IF(O1423="x",-$E1423/(COUNTIF($J1423:$Q1423,"x")+1),-$E1423*N(O1423)))</f>
        <v/>
      </c>
      <c r="AD1423" s="34">
        <f>IF(OR($A1423="",$H1423&lt;&gt;"Ausgabe",P1423=""),0,IF(P1423="x",-$E1423/(COUNTIF($J1423:$Q1423,"x")+1),-$E1423*N(P1423)))</f>
        <v/>
      </c>
      <c r="AE1423" s="34">
        <f>IF(OR($A1423="",$H1423&lt;&gt;"Ausgabe",Q1423=""),0,IF(Q1423="x",-$E1423/(COUNTIF($J1423:$Q1423,"x")+1),-$E1423*N(Q1423)))</f>
        <v/>
      </c>
    </row>
    <row r="1424">
      <c r="A1424" s="30" t="n"/>
      <c r="E1424" s="31" t="n"/>
      <c r="J1424" s="32" t="n"/>
      <c r="K1424" s="32" t="n"/>
      <c r="L1424" s="32" t="n"/>
      <c r="M1424" s="32" t="n"/>
      <c r="N1424" s="32" t="n"/>
      <c r="O1424" s="32" t="n"/>
      <c r="P1424" s="32" t="n"/>
      <c r="Q1424" s="32" t="n"/>
      <c r="U1424" s="31">
        <f>IF($A1424="","",SUM(X1424:AE1424))</f>
        <v/>
      </c>
      <c r="V1424" s="31">
        <f>IF($A1424="","",IF($H1424&lt;&gt;"Ausgabe",0,-$E1424-$U1424))</f>
        <v/>
      </c>
      <c r="W1424" s="33">
        <f>IF($A1424="","",DATE(YEAR($A1424),MONTH($A1424),1))</f>
        <v/>
      </c>
      <c r="X1424" s="34">
        <f>IF(OR($A1424="",$H1424&lt;&gt;"Ausgabe",J1424=""),0,IF(J1424="x",-$E1424/(COUNTIF($J1424:$Q1424,"x")+1),-$E1424*N(J1424)))</f>
        <v/>
      </c>
      <c r="Y1424" s="34">
        <f>IF(OR($A1424="",$H1424&lt;&gt;"Ausgabe",K1424=""),0,IF(K1424="x",-$E1424/(COUNTIF($J1424:$Q1424,"x")+1),-$E1424*N(K1424)))</f>
        <v/>
      </c>
      <c r="Z1424" s="34">
        <f>IF(OR($A1424="",$H1424&lt;&gt;"Ausgabe",L1424=""),0,IF(L1424="x",-$E1424/(COUNTIF($J1424:$Q1424,"x")+1),-$E1424*N(L1424)))</f>
        <v/>
      </c>
      <c r="AA1424" s="34">
        <f>IF(OR($A1424="",$H1424&lt;&gt;"Ausgabe",M1424=""),0,IF(M1424="x",-$E1424/(COUNTIF($J1424:$Q1424,"x")+1),-$E1424*N(M1424)))</f>
        <v/>
      </c>
      <c r="AB1424" s="34">
        <f>IF(OR($A1424="",$H1424&lt;&gt;"Ausgabe",N1424=""),0,IF(N1424="x",-$E1424/(COUNTIF($J1424:$Q1424,"x")+1),-$E1424*N(N1424)))</f>
        <v/>
      </c>
      <c r="AC1424" s="34">
        <f>IF(OR($A1424="",$H1424&lt;&gt;"Ausgabe",O1424=""),0,IF(O1424="x",-$E1424/(COUNTIF($J1424:$Q1424,"x")+1),-$E1424*N(O1424)))</f>
        <v/>
      </c>
      <c r="AD1424" s="34">
        <f>IF(OR($A1424="",$H1424&lt;&gt;"Ausgabe",P1424=""),0,IF(P1424="x",-$E1424/(COUNTIF($J1424:$Q1424,"x")+1),-$E1424*N(P1424)))</f>
        <v/>
      </c>
      <c r="AE1424" s="34">
        <f>IF(OR($A1424="",$H1424&lt;&gt;"Ausgabe",Q1424=""),0,IF(Q1424="x",-$E1424/(COUNTIF($J1424:$Q1424,"x")+1),-$E1424*N(Q1424)))</f>
        <v/>
      </c>
    </row>
    <row r="1425">
      <c r="A1425" s="30" t="n"/>
      <c r="E1425" s="31" t="n"/>
      <c r="J1425" s="32" t="n"/>
      <c r="K1425" s="32" t="n"/>
      <c r="L1425" s="32" t="n"/>
      <c r="M1425" s="32" t="n"/>
      <c r="N1425" s="32" t="n"/>
      <c r="O1425" s="32" t="n"/>
      <c r="P1425" s="32" t="n"/>
      <c r="Q1425" s="32" t="n"/>
      <c r="U1425" s="31">
        <f>IF($A1425="","",SUM(X1425:AE1425))</f>
        <v/>
      </c>
      <c r="V1425" s="31">
        <f>IF($A1425="","",IF($H1425&lt;&gt;"Ausgabe",0,-$E1425-$U1425))</f>
        <v/>
      </c>
      <c r="W1425" s="33">
        <f>IF($A1425="","",DATE(YEAR($A1425),MONTH($A1425),1))</f>
        <v/>
      </c>
      <c r="X1425" s="34">
        <f>IF(OR($A1425="",$H1425&lt;&gt;"Ausgabe",J1425=""),0,IF(J1425="x",-$E1425/(COUNTIF($J1425:$Q1425,"x")+1),-$E1425*N(J1425)))</f>
        <v/>
      </c>
      <c r="Y1425" s="34">
        <f>IF(OR($A1425="",$H1425&lt;&gt;"Ausgabe",K1425=""),0,IF(K1425="x",-$E1425/(COUNTIF($J1425:$Q1425,"x")+1),-$E1425*N(K1425)))</f>
        <v/>
      </c>
      <c r="Z1425" s="34">
        <f>IF(OR($A1425="",$H1425&lt;&gt;"Ausgabe",L1425=""),0,IF(L1425="x",-$E1425/(COUNTIF($J1425:$Q1425,"x")+1),-$E1425*N(L1425)))</f>
        <v/>
      </c>
      <c r="AA1425" s="34">
        <f>IF(OR($A1425="",$H1425&lt;&gt;"Ausgabe",M1425=""),0,IF(M1425="x",-$E1425/(COUNTIF($J1425:$Q1425,"x")+1),-$E1425*N(M1425)))</f>
        <v/>
      </c>
      <c r="AB1425" s="34">
        <f>IF(OR($A1425="",$H1425&lt;&gt;"Ausgabe",N1425=""),0,IF(N1425="x",-$E1425/(COUNTIF($J1425:$Q1425,"x")+1),-$E1425*N(N1425)))</f>
        <v/>
      </c>
      <c r="AC1425" s="34">
        <f>IF(OR($A1425="",$H1425&lt;&gt;"Ausgabe",O1425=""),0,IF(O1425="x",-$E1425/(COUNTIF($J1425:$Q1425,"x")+1),-$E1425*N(O1425)))</f>
        <v/>
      </c>
      <c r="AD1425" s="34">
        <f>IF(OR($A1425="",$H1425&lt;&gt;"Ausgabe",P1425=""),0,IF(P1425="x",-$E1425/(COUNTIF($J1425:$Q1425,"x")+1),-$E1425*N(P1425)))</f>
        <v/>
      </c>
      <c r="AE1425" s="34">
        <f>IF(OR($A1425="",$H1425&lt;&gt;"Ausgabe",Q1425=""),0,IF(Q1425="x",-$E1425/(COUNTIF($J1425:$Q1425,"x")+1),-$E1425*N(Q1425)))</f>
        <v/>
      </c>
    </row>
    <row r="1426">
      <c r="A1426" s="30" t="n"/>
      <c r="E1426" s="31" t="n"/>
      <c r="J1426" s="32" t="n"/>
      <c r="K1426" s="32" t="n"/>
      <c r="L1426" s="32" t="n"/>
      <c r="M1426" s="32" t="n"/>
      <c r="N1426" s="32" t="n"/>
      <c r="O1426" s="32" t="n"/>
      <c r="P1426" s="32" t="n"/>
      <c r="Q1426" s="32" t="n"/>
      <c r="U1426" s="31">
        <f>IF($A1426="","",SUM(X1426:AE1426))</f>
        <v/>
      </c>
      <c r="V1426" s="31">
        <f>IF($A1426="","",IF($H1426&lt;&gt;"Ausgabe",0,-$E1426-$U1426))</f>
        <v/>
      </c>
      <c r="W1426" s="33">
        <f>IF($A1426="","",DATE(YEAR($A1426),MONTH($A1426),1))</f>
        <v/>
      </c>
      <c r="X1426" s="34">
        <f>IF(OR($A1426="",$H1426&lt;&gt;"Ausgabe",J1426=""),0,IF(J1426="x",-$E1426/(COUNTIF($J1426:$Q1426,"x")+1),-$E1426*N(J1426)))</f>
        <v/>
      </c>
      <c r="Y1426" s="34">
        <f>IF(OR($A1426="",$H1426&lt;&gt;"Ausgabe",K1426=""),0,IF(K1426="x",-$E1426/(COUNTIF($J1426:$Q1426,"x")+1),-$E1426*N(K1426)))</f>
        <v/>
      </c>
      <c r="Z1426" s="34">
        <f>IF(OR($A1426="",$H1426&lt;&gt;"Ausgabe",L1426=""),0,IF(L1426="x",-$E1426/(COUNTIF($J1426:$Q1426,"x")+1),-$E1426*N(L1426)))</f>
        <v/>
      </c>
      <c r="AA1426" s="34">
        <f>IF(OR($A1426="",$H1426&lt;&gt;"Ausgabe",M1426=""),0,IF(M1426="x",-$E1426/(COUNTIF($J1426:$Q1426,"x")+1),-$E1426*N(M1426)))</f>
        <v/>
      </c>
      <c r="AB1426" s="34">
        <f>IF(OR($A1426="",$H1426&lt;&gt;"Ausgabe",N1426=""),0,IF(N1426="x",-$E1426/(COUNTIF($J1426:$Q1426,"x")+1),-$E1426*N(N1426)))</f>
        <v/>
      </c>
      <c r="AC1426" s="34">
        <f>IF(OR($A1426="",$H1426&lt;&gt;"Ausgabe",O1426=""),0,IF(O1426="x",-$E1426/(COUNTIF($J1426:$Q1426,"x")+1),-$E1426*N(O1426)))</f>
        <v/>
      </c>
      <c r="AD1426" s="34">
        <f>IF(OR($A1426="",$H1426&lt;&gt;"Ausgabe",P1426=""),0,IF(P1426="x",-$E1426/(COUNTIF($J1426:$Q1426,"x")+1),-$E1426*N(P1426)))</f>
        <v/>
      </c>
      <c r="AE1426" s="34">
        <f>IF(OR($A1426="",$H1426&lt;&gt;"Ausgabe",Q1426=""),0,IF(Q1426="x",-$E1426/(COUNTIF($J1426:$Q1426,"x")+1),-$E1426*N(Q1426)))</f>
        <v/>
      </c>
    </row>
    <row r="1427">
      <c r="A1427" s="30" t="n"/>
      <c r="E1427" s="31" t="n"/>
      <c r="J1427" s="32" t="n"/>
      <c r="K1427" s="32" t="n"/>
      <c r="L1427" s="32" t="n"/>
      <c r="M1427" s="32" t="n"/>
      <c r="N1427" s="32" t="n"/>
      <c r="O1427" s="32" t="n"/>
      <c r="P1427" s="32" t="n"/>
      <c r="Q1427" s="32" t="n"/>
      <c r="U1427" s="31">
        <f>IF($A1427="","",SUM(X1427:AE1427))</f>
        <v/>
      </c>
      <c r="V1427" s="31">
        <f>IF($A1427="","",IF($H1427&lt;&gt;"Ausgabe",0,-$E1427-$U1427))</f>
        <v/>
      </c>
      <c r="W1427" s="33">
        <f>IF($A1427="","",DATE(YEAR($A1427),MONTH($A1427),1))</f>
        <v/>
      </c>
      <c r="X1427" s="34">
        <f>IF(OR($A1427="",$H1427&lt;&gt;"Ausgabe",J1427=""),0,IF(J1427="x",-$E1427/(COUNTIF($J1427:$Q1427,"x")+1),-$E1427*N(J1427)))</f>
        <v/>
      </c>
      <c r="Y1427" s="34">
        <f>IF(OR($A1427="",$H1427&lt;&gt;"Ausgabe",K1427=""),0,IF(K1427="x",-$E1427/(COUNTIF($J1427:$Q1427,"x")+1),-$E1427*N(K1427)))</f>
        <v/>
      </c>
      <c r="Z1427" s="34">
        <f>IF(OR($A1427="",$H1427&lt;&gt;"Ausgabe",L1427=""),0,IF(L1427="x",-$E1427/(COUNTIF($J1427:$Q1427,"x")+1),-$E1427*N(L1427)))</f>
        <v/>
      </c>
      <c r="AA1427" s="34">
        <f>IF(OR($A1427="",$H1427&lt;&gt;"Ausgabe",M1427=""),0,IF(M1427="x",-$E1427/(COUNTIF($J1427:$Q1427,"x")+1),-$E1427*N(M1427)))</f>
        <v/>
      </c>
      <c r="AB1427" s="34">
        <f>IF(OR($A1427="",$H1427&lt;&gt;"Ausgabe",N1427=""),0,IF(N1427="x",-$E1427/(COUNTIF($J1427:$Q1427,"x")+1),-$E1427*N(N1427)))</f>
        <v/>
      </c>
      <c r="AC1427" s="34">
        <f>IF(OR($A1427="",$H1427&lt;&gt;"Ausgabe",O1427=""),0,IF(O1427="x",-$E1427/(COUNTIF($J1427:$Q1427,"x")+1),-$E1427*N(O1427)))</f>
        <v/>
      </c>
      <c r="AD1427" s="34">
        <f>IF(OR($A1427="",$H1427&lt;&gt;"Ausgabe",P1427=""),0,IF(P1427="x",-$E1427/(COUNTIF($J1427:$Q1427,"x")+1),-$E1427*N(P1427)))</f>
        <v/>
      </c>
      <c r="AE1427" s="34">
        <f>IF(OR($A1427="",$H1427&lt;&gt;"Ausgabe",Q1427=""),0,IF(Q1427="x",-$E1427/(COUNTIF($J1427:$Q1427,"x")+1),-$E1427*N(Q1427)))</f>
        <v/>
      </c>
    </row>
    <row r="1428">
      <c r="A1428" s="30" t="n"/>
      <c r="E1428" s="31" t="n"/>
      <c r="J1428" s="32" t="n"/>
      <c r="K1428" s="32" t="n"/>
      <c r="L1428" s="32" t="n"/>
      <c r="M1428" s="32" t="n"/>
      <c r="N1428" s="32" t="n"/>
      <c r="O1428" s="32" t="n"/>
      <c r="P1428" s="32" t="n"/>
      <c r="Q1428" s="32" t="n"/>
      <c r="U1428" s="31">
        <f>IF($A1428="","",SUM(X1428:AE1428))</f>
        <v/>
      </c>
      <c r="V1428" s="31">
        <f>IF($A1428="","",IF($H1428&lt;&gt;"Ausgabe",0,-$E1428-$U1428))</f>
        <v/>
      </c>
      <c r="W1428" s="33">
        <f>IF($A1428="","",DATE(YEAR($A1428),MONTH($A1428),1))</f>
        <v/>
      </c>
      <c r="X1428" s="34">
        <f>IF(OR($A1428="",$H1428&lt;&gt;"Ausgabe",J1428=""),0,IF(J1428="x",-$E1428/(COUNTIF($J1428:$Q1428,"x")+1),-$E1428*N(J1428)))</f>
        <v/>
      </c>
      <c r="Y1428" s="34">
        <f>IF(OR($A1428="",$H1428&lt;&gt;"Ausgabe",K1428=""),0,IF(K1428="x",-$E1428/(COUNTIF($J1428:$Q1428,"x")+1),-$E1428*N(K1428)))</f>
        <v/>
      </c>
      <c r="Z1428" s="34">
        <f>IF(OR($A1428="",$H1428&lt;&gt;"Ausgabe",L1428=""),0,IF(L1428="x",-$E1428/(COUNTIF($J1428:$Q1428,"x")+1),-$E1428*N(L1428)))</f>
        <v/>
      </c>
      <c r="AA1428" s="34">
        <f>IF(OR($A1428="",$H1428&lt;&gt;"Ausgabe",M1428=""),0,IF(M1428="x",-$E1428/(COUNTIF($J1428:$Q1428,"x")+1),-$E1428*N(M1428)))</f>
        <v/>
      </c>
      <c r="AB1428" s="34">
        <f>IF(OR($A1428="",$H1428&lt;&gt;"Ausgabe",N1428=""),0,IF(N1428="x",-$E1428/(COUNTIF($J1428:$Q1428,"x")+1),-$E1428*N(N1428)))</f>
        <v/>
      </c>
      <c r="AC1428" s="34">
        <f>IF(OR($A1428="",$H1428&lt;&gt;"Ausgabe",O1428=""),0,IF(O1428="x",-$E1428/(COUNTIF($J1428:$Q1428,"x")+1),-$E1428*N(O1428)))</f>
        <v/>
      </c>
      <c r="AD1428" s="34">
        <f>IF(OR($A1428="",$H1428&lt;&gt;"Ausgabe",P1428=""),0,IF(P1428="x",-$E1428/(COUNTIF($J1428:$Q1428,"x")+1),-$E1428*N(P1428)))</f>
        <v/>
      </c>
      <c r="AE1428" s="34">
        <f>IF(OR($A1428="",$H1428&lt;&gt;"Ausgabe",Q1428=""),0,IF(Q1428="x",-$E1428/(COUNTIF($J1428:$Q1428,"x")+1),-$E1428*N(Q1428)))</f>
        <v/>
      </c>
    </row>
    <row r="1429">
      <c r="A1429" s="30" t="n"/>
      <c r="E1429" s="31" t="n"/>
      <c r="J1429" s="32" t="n"/>
      <c r="K1429" s="32" t="n"/>
      <c r="L1429" s="32" t="n"/>
      <c r="M1429" s="32" t="n"/>
      <c r="N1429" s="32" t="n"/>
      <c r="O1429" s="32" t="n"/>
      <c r="P1429" s="32" t="n"/>
      <c r="Q1429" s="32" t="n"/>
      <c r="U1429" s="31">
        <f>IF($A1429="","",SUM(X1429:AE1429))</f>
        <v/>
      </c>
      <c r="V1429" s="31">
        <f>IF($A1429="","",IF($H1429&lt;&gt;"Ausgabe",0,-$E1429-$U1429))</f>
        <v/>
      </c>
      <c r="W1429" s="33">
        <f>IF($A1429="","",DATE(YEAR($A1429),MONTH($A1429),1))</f>
        <v/>
      </c>
      <c r="X1429" s="34">
        <f>IF(OR($A1429="",$H1429&lt;&gt;"Ausgabe",J1429=""),0,IF(J1429="x",-$E1429/(COUNTIF($J1429:$Q1429,"x")+1),-$E1429*N(J1429)))</f>
        <v/>
      </c>
      <c r="Y1429" s="34">
        <f>IF(OR($A1429="",$H1429&lt;&gt;"Ausgabe",K1429=""),0,IF(K1429="x",-$E1429/(COUNTIF($J1429:$Q1429,"x")+1),-$E1429*N(K1429)))</f>
        <v/>
      </c>
      <c r="Z1429" s="34">
        <f>IF(OR($A1429="",$H1429&lt;&gt;"Ausgabe",L1429=""),0,IF(L1429="x",-$E1429/(COUNTIF($J1429:$Q1429,"x")+1),-$E1429*N(L1429)))</f>
        <v/>
      </c>
      <c r="AA1429" s="34">
        <f>IF(OR($A1429="",$H1429&lt;&gt;"Ausgabe",M1429=""),0,IF(M1429="x",-$E1429/(COUNTIF($J1429:$Q1429,"x")+1),-$E1429*N(M1429)))</f>
        <v/>
      </c>
      <c r="AB1429" s="34">
        <f>IF(OR($A1429="",$H1429&lt;&gt;"Ausgabe",N1429=""),0,IF(N1429="x",-$E1429/(COUNTIF($J1429:$Q1429,"x")+1),-$E1429*N(N1429)))</f>
        <v/>
      </c>
      <c r="AC1429" s="34">
        <f>IF(OR($A1429="",$H1429&lt;&gt;"Ausgabe",O1429=""),0,IF(O1429="x",-$E1429/(COUNTIF($J1429:$Q1429,"x")+1),-$E1429*N(O1429)))</f>
        <v/>
      </c>
      <c r="AD1429" s="34">
        <f>IF(OR($A1429="",$H1429&lt;&gt;"Ausgabe",P1429=""),0,IF(P1429="x",-$E1429/(COUNTIF($J1429:$Q1429,"x")+1),-$E1429*N(P1429)))</f>
        <v/>
      </c>
      <c r="AE1429" s="34">
        <f>IF(OR($A1429="",$H1429&lt;&gt;"Ausgabe",Q1429=""),0,IF(Q1429="x",-$E1429/(COUNTIF($J1429:$Q1429,"x")+1),-$E1429*N(Q1429)))</f>
        <v/>
      </c>
    </row>
    <row r="1430">
      <c r="A1430" s="30" t="n"/>
      <c r="E1430" s="31" t="n"/>
      <c r="J1430" s="32" t="n"/>
      <c r="K1430" s="32" t="n"/>
      <c r="L1430" s="32" t="n"/>
      <c r="M1430" s="32" t="n"/>
      <c r="N1430" s="32" t="n"/>
      <c r="O1430" s="32" t="n"/>
      <c r="P1430" s="32" t="n"/>
      <c r="Q1430" s="32" t="n"/>
      <c r="U1430" s="31">
        <f>IF($A1430="","",SUM(X1430:AE1430))</f>
        <v/>
      </c>
      <c r="V1430" s="31">
        <f>IF($A1430="","",IF($H1430&lt;&gt;"Ausgabe",0,-$E1430-$U1430))</f>
        <v/>
      </c>
      <c r="W1430" s="33">
        <f>IF($A1430="","",DATE(YEAR($A1430),MONTH($A1430),1))</f>
        <v/>
      </c>
      <c r="X1430" s="34">
        <f>IF(OR($A1430="",$H1430&lt;&gt;"Ausgabe",J1430=""),0,IF(J1430="x",-$E1430/(COUNTIF($J1430:$Q1430,"x")+1),-$E1430*N(J1430)))</f>
        <v/>
      </c>
      <c r="Y1430" s="34">
        <f>IF(OR($A1430="",$H1430&lt;&gt;"Ausgabe",K1430=""),0,IF(K1430="x",-$E1430/(COUNTIF($J1430:$Q1430,"x")+1),-$E1430*N(K1430)))</f>
        <v/>
      </c>
      <c r="Z1430" s="34">
        <f>IF(OR($A1430="",$H1430&lt;&gt;"Ausgabe",L1430=""),0,IF(L1430="x",-$E1430/(COUNTIF($J1430:$Q1430,"x")+1),-$E1430*N(L1430)))</f>
        <v/>
      </c>
      <c r="AA1430" s="34">
        <f>IF(OR($A1430="",$H1430&lt;&gt;"Ausgabe",M1430=""),0,IF(M1430="x",-$E1430/(COUNTIF($J1430:$Q1430,"x")+1),-$E1430*N(M1430)))</f>
        <v/>
      </c>
      <c r="AB1430" s="34">
        <f>IF(OR($A1430="",$H1430&lt;&gt;"Ausgabe",N1430=""),0,IF(N1430="x",-$E1430/(COUNTIF($J1430:$Q1430,"x")+1),-$E1430*N(N1430)))</f>
        <v/>
      </c>
      <c r="AC1430" s="34">
        <f>IF(OR($A1430="",$H1430&lt;&gt;"Ausgabe",O1430=""),0,IF(O1430="x",-$E1430/(COUNTIF($J1430:$Q1430,"x")+1),-$E1430*N(O1430)))</f>
        <v/>
      </c>
      <c r="AD1430" s="34">
        <f>IF(OR($A1430="",$H1430&lt;&gt;"Ausgabe",P1430=""),0,IF(P1430="x",-$E1430/(COUNTIF($J1430:$Q1430,"x")+1),-$E1430*N(P1430)))</f>
        <v/>
      </c>
      <c r="AE1430" s="34">
        <f>IF(OR($A1430="",$H1430&lt;&gt;"Ausgabe",Q1430=""),0,IF(Q1430="x",-$E1430/(COUNTIF($J1430:$Q1430,"x")+1),-$E1430*N(Q1430)))</f>
        <v/>
      </c>
    </row>
    <row r="1431">
      <c r="A1431" s="30" t="n"/>
      <c r="E1431" s="31" t="n"/>
      <c r="J1431" s="32" t="n"/>
      <c r="K1431" s="32" t="n"/>
      <c r="L1431" s="32" t="n"/>
      <c r="M1431" s="32" t="n"/>
      <c r="N1431" s="32" t="n"/>
      <c r="O1431" s="32" t="n"/>
      <c r="P1431" s="32" t="n"/>
      <c r="Q1431" s="32" t="n"/>
      <c r="U1431" s="31">
        <f>IF($A1431="","",SUM(X1431:AE1431))</f>
        <v/>
      </c>
      <c r="V1431" s="31">
        <f>IF($A1431="","",IF($H1431&lt;&gt;"Ausgabe",0,-$E1431-$U1431))</f>
        <v/>
      </c>
      <c r="W1431" s="33">
        <f>IF($A1431="","",DATE(YEAR($A1431),MONTH($A1431),1))</f>
        <v/>
      </c>
      <c r="X1431" s="34">
        <f>IF(OR($A1431="",$H1431&lt;&gt;"Ausgabe",J1431=""),0,IF(J1431="x",-$E1431/(COUNTIF($J1431:$Q1431,"x")+1),-$E1431*N(J1431)))</f>
        <v/>
      </c>
      <c r="Y1431" s="34">
        <f>IF(OR($A1431="",$H1431&lt;&gt;"Ausgabe",K1431=""),0,IF(K1431="x",-$E1431/(COUNTIF($J1431:$Q1431,"x")+1),-$E1431*N(K1431)))</f>
        <v/>
      </c>
      <c r="Z1431" s="34">
        <f>IF(OR($A1431="",$H1431&lt;&gt;"Ausgabe",L1431=""),0,IF(L1431="x",-$E1431/(COUNTIF($J1431:$Q1431,"x")+1),-$E1431*N(L1431)))</f>
        <v/>
      </c>
      <c r="AA1431" s="34">
        <f>IF(OR($A1431="",$H1431&lt;&gt;"Ausgabe",M1431=""),0,IF(M1431="x",-$E1431/(COUNTIF($J1431:$Q1431,"x")+1),-$E1431*N(M1431)))</f>
        <v/>
      </c>
      <c r="AB1431" s="34">
        <f>IF(OR($A1431="",$H1431&lt;&gt;"Ausgabe",N1431=""),0,IF(N1431="x",-$E1431/(COUNTIF($J1431:$Q1431,"x")+1),-$E1431*N(N1431)))</f>
        <v/>
      </c>
      <c r="AC1431" s="34">
        <f>IF(OR($A1431="",$H1431&lt;&gt;"Ausgabe",O1431=""),0,IF(O1431="x",-$E1431/(COUNTIF($J1431:$Q1431,"x")+1),-$E1431*N(O1431)))</f>
        <v/>
      </c>
      <c r="AD1431" s="34">
        <f>IF(OR($A1431="",$H1431&lt;&gt;"Ausgabe",P1431=""),0,IF(P1431="x",-$E1431/(COUNTIF($J1431:$Q1431,"x")+1),-$E1431*N(P1431)))</f>
        <v/>
      </c>
      <c r="AE1431" s="34">
        <f>IF(OR($A1431="",$H1431&lt;&gt;"Ausgabe",Q1431=""),0,IF(Q1431="x",-$E1431/(COUNTIF($J1431:$Q1431,"x")+1),-$E1431*N(Q1431)))</f>
        <v/>
      </c>
    </row>
    <row r="1432">
      <c r="A1432" s="30" t="n"/>
      <c r="E1432" s="31" t="n"/>
      <c r="J1432" s="32" t="n"/>
      <c r="K1432" s="32" t="n"/>
      <c r="L1432" s="32" t="n"/>
      <c r="M1432" s="32" t="n"/>
      <c r="N1432" s="32" t="n"/>
      <c r="O1432" s="32" t="n"/>
      <c r="P1432" s="32" t="n"/>
      <c r="Q1432" s="32" t="n"/>
      <c r="U1432" s="31">
        <f>IF($A1432="","",SUM(X1432:AE1432))</f>
        <v/>
      </c>
      <c r="V1432" s="31">
        <f>IF($A1432="","",IF($H1432&lt;&gt;"Ausgabe",0,-$E1432-$U1432))</f>
        <v/>
      </c>
      <c r="W1432" s="33">
        <f>IF($A1432="","",DATE(YEAR($A1432),MONTH($A1432),1))</f>
        <v/>
      </c>
      <c r="X1432" s="34">
        <f>IF(OR($A1432="",$H1432&lt;&gt;"Ausgabe",J1432=""),0,IF(J1432="x",-$E1432/(COUNTIF($J1432:$Q1432,"x")+1),-$E1432*N(J1432)))</f>
        <v/>
      </c>
      <c r="Y1432" s="34">
        <f>IF(OR($A1432="",$H1432&lt;&gt;"Ausgabe",K1432=""),0,IF(K1432="x",-$E1432/(COUNTIF($J1432:$Q1432,"x")+1),-$E1432*N(K1432)))</f>
        <v/>
      </c>
      <c r="Z1432" s="34">
        <f>IF(OR($A1432="",$H1432&lt;&gt;"Ausgabe",L1432=""),0,IF(L1432="x",-$E1432/(COUNTIF($J1432:$Q1432,"x")+1),-$E1432*N(L1432)))</f>
        <v/>
      </c>
      <c r="AA1432" s="34">
        <f>IF(OR($A1432="",$H1432&lt;&gt;"Ausgabe",M1432=""),0,IF(M1432="x",-$E1432/(COUNTIF($J1432:$Q1432,"x")+1),-$E1432*N(M1432)))</f>
        <v/>
      </c>
      <c r="AB1432" s="34">
        <f>IF(OR($A1432="",$H1432&lt;&gt;"Ausgabe",N1432=""),0,IF(N1432="x",-$E1432/(COUNTIF($J1432:$Q1432,"x")+1),-$E1432*N(N1432)))</f>
        <v/>
      </c>
      <c r="AC1432" s="34">
        <f>IF(OR($A1432="",$H1432&lt;&gt;"Ausgabe",O1432=""),0,IF(O1432="x",-$E1432/(COUNTIF($J1432:$Q1432,"x")+1),-$E1432*N(O1432)))</f>
        <v/>
      </c>
      <c r="AD1432" s="34">
        <f>IF(OR($A1432="",$H1432&lt;&gt;"Ausgabe",P1432=""),0,IF(P1432="x",-$E1432/(COUNTIF($J1432:$Q1432,"x")+1),-$E1432*N(P1432)))</f>
        <v/>
      </c>
      <c r="AE1432" s="34">
        <f>IF(OR($A1432="",$H1432&lt;&gt;"Ausgabe",Q1432=""),0,IF(Q1432="x",-$E1432/(COUNTIF($J1432:$Q1432,"x")+1),-$E1432*N(Q1432)))</f>
        <v/>
      </c>
    </row>
    <row r="1433">
      <c r="A1433" s="30" t="n"/>
      <c r="E1433" s="31" t="n"/>
      <c r="J1433" s="32" t="n"/>
      <c r="K1433" s="32" t="n"/>
      <c r="L1433" s="32" t="n"/>
      <c r="M1433" s="32" t="n"/>
      <c r="N1433" s="32" t="n"/>
      <c r="O1433" s="32" t="n"/>
      <c r="P1433" s="32" t="n"/>
      <c r="Q1433" s="32" t="n"/>
      <c r="U1433" s="31">
        <f>IF($A1433="","",SUM(X1433:AE1433))</f>
        <v/>
      </c>
      <c r="V1433" s="31">
        <f>IF($A1433="","",IF($H1433&lt;&gt;"Ausgabe",0,-$E1433-$U1433))</f>
        <v/>
      </c>
      <c r="W1433" s="33">
        <f>IF($A1433="","",DATE(YEAR($A1433),MONTH($A1433),1))</f>
        <v/>
      </c>
      <c r="X1433" s="34">
        <f>IF(OR($A1433="",$H1433&lt;&gt;"Ausgabe",J1433=""),0,IF(J1433="x",-$E1433/(COUNTIF($J1433:$Q1433,"x")+1),-$E1433*N(J1433)))</f>
        <v/>
      </c>
      <c r="Y1433" s="34">
        <f>IF(OR($A1433="",$H1433&lt;&gt;"Ausgabe",K1433=""),0,IF(K1433="x",-$E1433/(COUNTIF($J1433:$Q1433,"x")+1),-$E1433*N(K1433)))</f>
        <v/>
      </c>
      <c r="Z1433" s="34">
        <f>IF(OR($A1433="",$H1433&lt;&gt;"Ausgabe",L1433=""),0,IF(L1433="x",-$E1433/(COUNTIF($J1433:$Q1433,"x")+1),-$E1433*N(L1433)))</f>
        <v/>
      </c>
      <c r="AA1433" s="34">
        <f>IF(OR($A1433="",$H1433&lt;&gt;"Ausgabe",M1433=""),0,IF(M1433="x",-$E1433/(COUNTIF($J1433:$Q1433,"x")+1),-$E1433*N(M1433)))</f>
        <v/>
      </c>
      <c r="AB1433" s="34">
        <f>IF(OR($A1433="",$H1433&lt;&gt;"Ausgabe",N1433=""),0,IF(N1433="x",-$E1433/(COUNTIF($J1433:$Q1433,"x")+1),-$E1433*N(N1433)))</f>
        <v/>
      </c>
      <c r="AC1433" s="34">
        <f>IF(OR($A1433="",$H1433&lt;&gt;"Ausgabe",O1433=""),0,IF(O1433="x",-$E1433/(COUNTIF($J1433:$Q1433,"x")+1),-$E1433*N(O1433)))</f>
        <v/>
      </c>
      <c r="AD1433" s="34">
        <f>IF(OR($A1433="",$H1433&lt;&gt;"Ausgabe",P1433=""),0,IF(P1433="x",-$E1433/(COUNTIF($J1433:$Q1433,"x")+1),-$E1433*N(P1433)))</f>
        <v/>
      </c>
      <c r="AE1433" s="34">
        <f>IF(OR($A1433="",$H1433&lt;&gt;"Ausgabe",Q1433=""),0,IF(Q1433="x",-$E1433/(COUNTIF($J1433:$Q1433,"x")+1),-$E1433*N(Q1433)))</f>
        <v/>
      </c>
    </row>
    <row r="1434">
      <c r="A1434" s="30" t="n"/>
      <c r="E1434" s="31" t="n"/>
      <c r="J1434" s="32" t="n"/>
      <c r="K1434" s="32" t="n"/>
      <c r="L1434" s="32" t="n"/>
      <c r="M1434" s="32" t="n"/>
      <c r="N1434" s="32" t="n"/>
      <c r="O1434" s="32" t="n"/>
      <c r="P1434" s="32" t="n"/>
      <c r="Q1434" s="32" t="n"/>
      <c r="U1434" s="31">
        <f>IF($A1434="","",SUM(X1434:AE1434))</f>
        <v/>
      </c>
      <c r="V1434" s="31">
        <f>IF($A1434="","",IF($H1434&lt;&gt;"Ausgabe",0,-$E1434-$U1434))</f>
        <v/>
      </c>
      <c r="W1434" s="33">
        <f>IF($A1434="","",DATE(YEAR($A1434),MONTH($A1434),1))</f>
        <v/>
      </c>
      <c r="X1434" s="34">
        <f>IF(OR($A1434="",$H1434&lt;&gt;"Ausgabe",J1434=""),0,IF(J1434="x",-$E1434/(COUNTIF($J1434:$Q1434,"x")+1),-$E1434*N(J1434)))</f>
        <v/>
      </c>
      <c r="Y1434" s="34">
        <f>IF(OR($A1434="",$H1434&lt;&gt;"Ausgabe",K1434=""),0,IF(K1434="x",-$E1434/(COUNTIF($J1434:$Q1434,"x")+1),-$E1434*N(K1434)))</f>
        <v/>
      </c>
      <c r="Z1434" s="34">
        <f>IF(OR($A1434="",$H1434&lt;&gt;"Ausgabe",L1434=""),0,IF(L1434="x",-$E1434/(COUNTIF($J1434:$Q1434,"x")+1),-$E1434*N(L1434)))</f>
        <v/>
      </c>
      <c r="AA1434" s="34">
        <f>IF(OR($A1434="",$H1434&lt;&gt;"Ausgabe",M1434=""),0,IF(M1434="x",-$E1434/(COUNTIF($J1434:$Q1434,"x")+1),-$E1434*N(M1434)))</f>
        <v/>
      </c>
      <c r="AB1434" s="34">
        <f>IF(OR($A1434="",$H1434&lt;&gt;"Ausgabe",N1434=""),0,IF(N1434="x",-$E1434/(COUNTIF($J1434:$Q1434,"x")+1),-$E1434*N(N1434)))</f>
        <v/>
      </c>
      <c r="AC1434" s="34">
        <f>IF(OR($A1434="",$H1434&lt;&gt;"Ausgabe",O1434=""),0,IF(O1434="x",-$E1434/(COUNTIF($J1434:$Q1434,"x")+1),-$E1434*N(O1434)))</f>
        <v/>
      </c>
      <c r="AD1434" s="34">
        <f>IF(OR($A1434="",$H1434&lt;&gt;"Ausgabe",P1434=""),0,IF(P1434="x",-$E1434/(COUNTIF($J1434:$Q1434,"x")+1),-$E1434*N(P1434)))</f>
        <v/>
      </c>
      <c r="AE1434" s="34">
        <f>IF(OR($A1434="",$H1434&lt;&gt;"Ausgabe",Q1434=""),0,IF(Q1434="x",-$E1434/(COUNTIF($J1434:$Q1434,"x")+1),-$E1434*N(Q1434)))</f>
        <v/>
      </c>
    </row>
    <row r="1435">
      <c r="A1435" s="30" t="n"/>
      <c r="E1435" s="31" t="n"/>
      <c r="J1435" s="32" t="n"/>
      <c r="K1435" s="32" t="n"/>
      <c r="L1435" s="32" t="n"/>
      <c r="M1435" s="32" t="n"/>
      <c r="N1435" s="32" t="n"/>
      <c r="O1435" s="32" t="n"/>
      <c r="P1435" s="32" t="n"/>
      <c r="Q1435" s="32" t="n"/>
      <c r="U1435" s="31">
        <f>IF($A1435="","",SUM(X1435:AE1435))</f>
        <v/>
      </c>
      <c r="V1435" s="31">
        <f>IF($A1435="","",IF($H1435&lt;&gt;"Ausgabe",0,-$E1435-$U1435))</f>
        <v/>
      </c>
      <c r="W1435" s="33">
        <f>IF($A1435="","",DATE(YEAR($A1435),MONTH($A1435),1))</f>
        <v/>
      </c>
      <c r="X1435" s="34">
        <f>IF(OR($A1435="",$H1435&lt;&gt;"Ausgabe",J1435=""),0,IF(J1435="x",-$E1435/(COUNTIF($J1435:$Q1435,"x")+1),-$E1435*N(J1435)))</f>
        <v/>
      </c>
      <c r="Y1435" s="34">
        <f>IF(OR($A1435="",$H1435&lt;&gt;"Ausgabe",K1435=""),0,IF(K1435="x",-$E1435/(COUNTIF($J1435:$Q1435,"x")+1),-$E1435*N(K1435)))</f>
        <v/>
      </c>
      <c r="Z1435" s="34">
        <f>IF(OR($A1435="",$H1435&lt;&gt;"Ausgabe",L1435=""),0,IF(L1435="x",-$E1435/(COUNTIF($J1435:$Q1435,"x")+1),-$E1435*N(L1435)))</f>
        <v/>
      </c>
      <c r="AA1435" s="34">
        <f>IF(OR($A1435="",$H1435&lt;&gt;"Ausgabe",M1435=""),0,IF(M1435="x",-$E1435/(COUNTIF($J1435:$Q1435,"x")+1),-$E1435*N(M1435)))</f>
        <v/>
      </c>
      <c r="AB1435" s="34">
        <f>IF(OR($A1435="",$H1435&lt;&gt;"Ausgabe",N1435=""),0,IF(N1435="x",-$E1435/(COUNTIF($J1435:$Q1435,"x")+1),-$E1435*N(N1435)))</f>
        <v/>
      </c>
      <c r="AC1435" s="34">
        <f>IF(OR($A1435="",$H1435&lt;&gt;"Ausgabe",O1435=""),0,IF(O1435="x",-$E1435/(COUNTIF($J1435:$Q1435,"x")+1),-$E1435*N(O1435)))</f>
        <v/>
      </c>
      <c r="AD1435" s="34">
        <f>IF(OR($A1435="",$H1435&lt;&gt;"Ausgabe",P1435=""),0,IF(P1435="x",-$E1435/(COUNTIF($J1435:$Q1435,"x")+1),-$E1435*N(P1435)))</f>
        <v/>
      </c>
      <c r="AE1435" s="34">
        <f>IF(OR($A1435="",$H1435&lt;&gt;"Ausgabe",Q1435=""),0,IF(Q1435="x",-$E1435/(COUNTIF($J1435:$Q1435,"x")+1),-$E1435*N(Q1435)))</f>
        <v/>
      </c>
    </row>
    <row r="1436">
      <c r="A1436" s="30" t="n"/>
      <c r="E1436" s="31" t="n"/>
      <c r="J1436" s="32" t="n"/>
      <c r="K1436" s="32" t="n"/>
      <c r="L1436" s="32" t="n"/>
      <c r="M1436" s="32" t="n"/>
      <c r="N1436" s="32" t="n"/>
      <c r="O1436" s="32" t="n"/>
      <c r="P1436" s="32" t="n"/>
      <c r="Q1436" s="32" t="n"/>
      <c r="U1436" s="31">
        <f>IF($A1436="","",SUM(X1436:AE1436))</f>
        <v/>
      </c>
      <c r="V1436" s="31">
        <f>IF($A1436="","",IF($H1436&lt;&gt;"Ausgabe",0,-$E1436-$U1436))</f>
        <v/>
      </c>
      <c r="W1436" s="33">
        <f>IF($A1436="","",DATE(YEAR($A1436),MONTH($A1436),1))</f>
        <v/>
      </c>
      <c r="X1436" s="34">
        <f>IF(OR($A1436="",$H1436&lt;&gt;"Ausgabe",J1436=""),0,IF(J1436="x",-$E1436/(COUNTIF($J1436:$Q1436,"x")+1),-$E1436*N(J1436)))</f>
        <v/>
      </c>
      <c r="Y1436" s="34">
        <f>IF(OR($A1436="",$H1436&lt;&gt;"Ausgabe",K1436=""),0,IF(K1436="x",-$E1436/(COUNTIF($J1436:$Q1436,"x")+1),-$E1436*N(K1436)))</f>
        <v/>
      </c>
      <c r="Z1436" s="34">
        <f>IF(OR($A1436="",$H1436&lt;&gt;"Ausgabe",L1436=""),0,IF(L1436="x",-$E1436/(COUNTIF($J1436:$Q1436,"x")+1),-$E1436*N(L1436)))</f>
        <v/>
      </c>
      <c r="AA1436" s="34">
        <f>IF(OR($A1436="",$H1436&lt;&gt;"Ausgabe",M1436=""),0,IF(M1436="x",-$E1436/(COUNTIF($J1436:$Q1436,"x")+1),-$E1436*N(M1436)))</f>
        <v/>
      </c>
      <c r="AB1436" s="34">
        <f>IF(OR($A1436="",$H1436&lt;&gt;"Ausgabe",N1436=""),0,IF(N1436="x",-$E1436/(COUNTIF($J1436:$Q1436,"x")+1),-$E1436*N(N1436)))</f>
        <v/>
      </c>
      <c r="AC1436" s="34">
        <f>IF(OR($A1436="",$H1436&lt;&gt;"Ausgabe",O1436=""),0,IF(O1436="x",-$E1436/(COUNTIF($J1436:$Q1436,"x")+1),-$E1436*N(O1436)))</f>
        <v/>
      </c>
      <c r="AD1436" s="34">
        <f>IF(OR($A1436="",$H1436&lt;&gt;"Ausgabe",P1436=""),0,IF(P1436="x",-$E1436/(COUNTIF($J1436:$Q1436,"x")+1),-$E1436*N(P1436)))</f>
        <v/>
      </c>
      <c r="AE1436" s="34">
        <f>IF(OR($A1436="",$H1436&lt;&gt;"Ausgabe",Q1436=""),0,IF(Q1436="x",-$E1436/(COUNTIF($J1436:$Q1436,"x")+1),-$E1436*N(Q1436)))</f>
        <v/>
      </c>
    </row>
    <row r="1437">
      <c r="A1437" s="30" t="n"/>
      <c r="E1437" s="31" t="n"/>
      <c r="J1437" s="32" t="n"/>
      <c r="K1437" s="32" t="n"/>
      <c r="L1437" s="32" t="n"/>
      <c r="M1437" s="32" t="n"/>
      <c r="N1437" s="32" t="n"/>
      <c r="O1437" s="32" t="n"/>
      <c r="P1437" s="32" t="n"/>
      <c r="Q1437" s="32" t="n"/>
      <c r="U1437" s="31">
        <f>IF($A1437="","",SUM(X1437:AE1437))</f>
        <v/>
      </c>
      <c r="V1437" s="31">
        <f>IF($A1437="","",IF($H1437&lt;&gt;"Ausgabe",0,-$E1437-$U1437))</f>
        <v/>
      </c>
      <c r="W1437" s="33">
        <f>IF($A1437="","",DATE(YEAR($A1437),MONTH($A1437),1))</f>
        <v/>
      </c>
      <c r="X1437" s="34">
        <f>IF(OR($A1437="",$H1437&lt;&gt;"Ausgabe",J1437=""),0,IF(J1437="x",-$E1437/(COUNTIF($J1437:$Q1437,"x")+1),-$E1437*N(J1437)))</f>
        <v/>
      </c>
      <c r="Y1437" s="34">
        <f>IF(OR($A1437="",$H1437&lt;&gt;"Ausgabe",K1437=""),0,IF(K1437="x",-$E1437/(COUNTIF($J1437:$Q1437,"x")+1),-$E1437*N(K1437)))</f>
        <v/>
      </c>
      <c r="Z1437" s="34">
        <f>IF(OR($A1437="",$H1437&lt;&gt;"Ausgabe",L1437=""),0,IF(L1437="x",-$E1437/(COUNTIF($J1437:$Q1437,"x")+1),-$E1437*N(L1437)))</f>
        <v/>
      </c>
      <c r="AA1437" s="34">
        <f>IF(OR($A1437="",$H1437&lt;&gt;"Ausgabe",M1437=""),0,IF(M1437="x",-$E1437/(COUNTIF($J1437:$Q1437,"x")+1),-$E1437*N(M1437)))</f>
        <v/>
      </c>
      <c r="AB1437" s="34">
        <f>IF(OR($A1437="",$H1437&lt;&gt;"Ausgabe",N1437=""),0,IF(N1437="x",-$E1437/(COUNTIF($J1437:$Q1437,"x")+1),-$E1437*N(N1437)))</f>
        <v/>
      </c>
      <c r="AC1437" s="34">
        <f>IF(OR($A1437="",$H1437&lt;&gt;"Ausgabe",O1437=""),0,IF(O1437="x",-$E1437/(COUNTIF($J1437:$Q1437,"x")+1),-$E1437*N(O1437)))</f>
        <v/>
      </c>
      <c r="AD1437" s="34">
        <f>IF(OR($A1437="",$H1437&lt;&gt;"Ausgabe",P1437=""),0,IF(P1437="x",-$E1437/(COUNTIF($J1437:$Q1437,"x")+1),-$E1437*N(P1437)))</f>
        <v/>
      </c>
      <c r="AE1437" s="34">
        <f>IF(OR($A1437="",$H1437&lt;&gt;"Ausgabe",Q1437=""),0,IF(Q1437="x",-$E1437/(COUNTIF($J1437:$Q1437,"x")+1),-$E1437*N(Q1437)))</f>
        <v/>
      </c>
    </row>
    <row r="1438">
      <c r="A1438" s="30" t="n"/>
      <c r="E1438" s="31" t="n"/>
      <c r="J1438" s="32" t="n"/>
      <c r="K1438" s="32" t="n"/>
      <c r="L1438" s="32" t="n"/>
      <c r="M1438" s="32" t="n"/>
      <c r="N1438" s="32" t="n"/>
      <c r="O1438" s="32" t="n"/>
      <c r="P1438" s="32" t="n"/>
      <c r="Q1438" s="32" t="n"/>
      <c r="U1438" s="31">
        <f>IF($A1438="","",SUM(X1438:AE1438))</f>
        <v/>
      </c>
      <c r="V1438" s="31">
        <f>IF($A1438="","",IF($H1438&lt;&gt;"Ausgabe",0,-$E1438-$U1438))</f>
        <v/>
      </c>
      <c r="W1438" s="33">
        <f>IF($A1438="","",DATE(YEAR($A1438),MONTH($A1438),1))</f>
        <v/>
      </c>
      <c r="X1438" s="34">
        <f>IF(OR($A1438="",$H1438&lt;&gt;"Ausgabe",J1438=""),0,IF(J1438="x",-$E1438/(COUNTIF($J1438:$Q1438,"x")+1),-$E1438*N(J1438)))</f>
        <v/>
      </c>
      <c r="Y1438" s="34">
        <f>IF(OR($A1438="",$H1438&lt;&gt;"Ausgabe",K1438=""),0,IF(K1438="x",-$E1438/(COUNTIF($J1438:$Q1438,"x")+1),-$E1438*N(K1438)))</f>
        <v/>
      </c>
      <c r="Z1438" s="34">
        <f>IF(OR($A1438="",$H1438&lt;&gt;"Ausgabe",L1438=""),0,IF(L1438="x",-$E1438/(COUNTIF($J1438:$Q1438,"x")+1),-$E1438*N(L1438)))</f>
        <v/>
      </c>
      <c r="AA1438" s="34">
        <f>IF(OR($A1438="",$H1438&lt;&gt;"Ausgabe",M1438=""),0,IF(M1438="x",-$E1438/(COUNTIF($J1438:$Q1438,"x")+1),-$E1438*N(M1438)))</f>
        <v/>
      </c>
      <c r="AB1438" s="34">
        <f>IF(OR($A1438="",$H1438&lt;&gt;"Ausgabe",N1438=""),0,IF(N1438="x",-$E1438/(COUNTIF($J1438:$Q1438,"x")+1),-$E1438*N(N1438)))</f>
        <v/>
      </c>
      <c r="AC1438" s="34">
        <f>IF(OR($A1438="",$H1438&lt;&gt;"Ausgabe",O1438=""),0,IF(O1438="x",-$E1438/(COUNTIF($J1438:$Q1438,"x")+1),-$E1438*N(O1438)))</f>
        <v/>
      </c>
      <c r="AD1438" s="34">
        <f>IF(OR($A1438="",$H1438&lt;&gt;"Ausgabe",P1438=""),0,IF(P1438="x",-$E1438/(COUNTIF($J1438:$Q1438,"x")+1),-$E1438*N(P1438)))</f>
        <v/>
      </c>
      <c r="AE1438" s="34">
        <f>IF(OR($A1438="",$H1438&lt;&gt;"Ausgabe",Q1438=""),0,IF(Q1438="x",-$E1438/(COUNTIF($J1438:$Q1438,"x")+1),-$E1438*N(Q1438)))</f>
        <v/>
      </c>
    </row>
    <row r="1439">
      <c r="A1439" s="30" t="n"/>
      <c r="E1439" s="31" t="n"/>
      <c r="J1439" s="32" t="n"/>
      <c r="K1439" s="32" t="n"/>
      <c r="L1439" s="32" t="n"/>
      <c r="M1439" s="32" t="n"/>
      <c r="N1439" s="32" t="n"/>
      <c r="O1439" s="32" t="n"/>
      <c r="P1439" s="32" t="n"/>
      <c r="Q1439" s="32" t="n"/>
      <c r="U1439" s="31">
        <f>IF($A1439="","",SUM(X1439:AE1439))</f>
        <v/>
      </c>
      <c r="V1439" s="31">
        <f>IF($A1439="","",IF($H1439&lt;&gt;"Ausgabe",0,-$E1439-$U1439))</f>
        <v/>
      </c>
      <c r="W1439" s="33">
        <f>IF($A1439="","",DATE(YEAR($A1439),MONTH($A1439),1))</f>
        <v/>
      </c>
      <c r="X1439" s="34">
        <f>IF(OR($A1439="",$H1439&lt;&gt;"Ausgabe",J1439=""),0,IF(J1439="x",-$E1439/(COUNTIF($J1439:$Q1439,"x")+1),-$E1439*N(J1439)))</f>
        <v/>
      </c>
      <c r="Y1439" s="34">
        <f>IF(OR($A1439="",$H1439&lt;&gt;"Ausgabe",K1439=""),0,IF(K1439="x",-$E1439/(COUNTIF($J1439:$Q1439,"x")+1),-$E1439*N(K1439)))</f>
        <v/>
      </c>
      <c r="Z1439" s="34">
        <f>IF(OR($A1439="",$H1439&lt;&gt;"Ausgabe",L1439=""),0,IF(L1439="x",-$E1439/(COUNTIF($J1439:$Q1439,"x")+1),-$E1439*N(L1439)))</f>
        <v/>
      </c>
      <c r="AA1439" s="34">
        <f>IF(OR($A1439="",$H1439&lt;&gt;"Ausgabe",M1439=""),0,IF(M1439="x",-$E1439/(COUNTIF($J1439:$Q1439,"x")+1),-$E1439*N(M1439)))</f>
        <v/>
      </c>
      <c r="AB1439" s="34">
        <f>IF(OR($A1439="",$H1439&lt;&gt;"Ausgabe",N1439=""),0,IF(N1439="x",-$E1439/(COUNTIF($J1439:$Q1439,"x")+1),-$E1439*N(N1439)))</f>
        <v/>
      </c>
      <c r="AC1439" s="34">
        <f>IF(OR($A1439="",$H1439&lt;&gt;"Ausgabe",O1439=""),0,IF(O1439="x",-$E1439/(COUNTIF($J1439:$Q1439,"x")+1),-$E1439*N(O1439)))</f>
        <v/>
      </c>
      <c r="AD1439" s="34">
        <f>IF(OR($A1439="",$H1439&lt;&gt;"Ausgabe",P1439=""),0,IF(P1439="x",-$E1439/(COUNTIF($J1439:$Q1439,"x")+1),-$E1439*N(P1439)))</f>
        <v/>
      </c>
      <c r="AE1439" s="34">
        <f>IF(OR($A1439="",$H1439&lt;&gt;"Ausgabe",Q1439=""),0,IF(Q1439="x",-$E1439/(COUNTIF($J1439:$Q1439,"x")+1),-$E1439*N(Q1439)))</f>
        <v/>
      </c>
    </row>
    <row r="1440">
      <c r="A1440" s="30" t="n"/>
      <c r="E1440" s="31" t="n"/>
      <c r="J1440" s="32" t="n"/>
      <c r="K1440" s="32" t="n"/>
      <c r="L1440" s="32" t="n"/>
      <c r="M1440" s="32" t="n"/>
      <c r="N1440" s="32" t="n"/>
      <c r="O1440" s="32" t="n"/>
      <c r="P1440" s="32" t="n"/>
      <c r="Q1440" s="32" t="n"/>
      <c r="U1440" s="31">
        <f>IF($A1440="","",SUM(X1440:AE1440))</f>
        <v/>
      </c>
      <c r="V1440" s="31">
        <f>IF($A1440="","",IF($H1440&lt;&gt;"Ausgabe",0,-$E1440-$U1440))</f>
        <v/>
      </c>
      <c r="W1440" s="33">
        <f>IF($A1440="","",DATE(YEAR($A1440),MONTH($A1440),1))</f>
        <v/>
      </c>
      <c r="X1440" s="34">
        <f>IF(OR($A1440="",$H1440&lt;&gt;"Ausgabe",J1440=""),0,IF(J1440="x",-$E1440/(COUNTIF($J1440:$Q1440,"x")+1),-$E1440*N(J1440)))</f>
        <v/>
      </c>
      <c r="Y1440" s="34">
        <f>IF(OR($A1440="",$H1440&lt;&gt;"Ausgabe",K1440=""),0,IF(K1440="x",-$E1440/(COUNTIF($J1440:$Q1440,"x")+1),-$E1440*N(K1440)))</f>
        <v/>
      </c>
      <c r="Z1440" s="34">
        <f>IF(OR($A1440="",$H1440&lt;&gt;"Ausgabe",L1440=""),0,IF(L1440="x",-$E1440/(COUNTIF($J1440:$Q1440,"x")+1),-$E1440*N(L1440)))</f>
        <v/>
      </c>
      <c r="AA1440" s="34">
        <f>IF(OR($A1440="",$H1440&lt;&gt;"Ausgabe",M1440=""),0,IF(M1440="x",-$E1440/(COUNTIF($J1440:$Q1440,"x")+1),-$E1440*N(M1440)))</f>
        <v/>
      </c>
      <c r="AB1440" s="34">
        <f>IF(OR($A1440="",$H1440&lt;&gt;"Ausgabe",N1440=""),0,IF(N1440="x",-$E1440/(COUNTIF($J1440:$Q1440,"x")+1),-$E1440*N(N1440)))</f>
        <v/>
      </c>
      <c r="AC1440" s="34">
        <f>IF(OR($A1440="",$H1440&lt;&gt;"Ausgabe",O1440=""),0,IF(O1440="x",-$E1440/(COUNTIF($J1440:$Q1440,"x")+1),-$E1440*N(O1440)))</f>
        <v/>
      </c>
      <c r="AD1440" s="34">
        <f>IF(OR($A1440="",$H1440&lt;&gt;"Ausgabe",P1440=""),0,IF(P1440="x",-$E1440/(COUNTIF($J1440:$Q1440,"x")+1),-$E1440*N(P1440)))</f>
        <v/>
      </c>
      <c r="AE1440" s="34">
        <f>IF(OR($A1440="",$H1440&lt;&gt;"Ausgabe",Q1440=""),0,IF(Q1440="x",-$E1440/(COUNTIF($J1440:$Q1440,"x")+1),-$E1440*N(Q1440)))</f>
        <v/>
      </c>
    </row>
    <row r="1441">
      <c r="A1441" s="30" t="n"/>
      <c r="E1441" s="31" t="n"/>
      <c r="J1441" s="32" t="n"/>
      <c r="K1441" s="32" t="n"/>
      <c r="L1441" s="32" t="n"/>
      <c r="M1441" s="32" t="n"/>
      <c r="N1441" s="32" t="n"/>
      <c r="O1441" s="32" t="n"/>
      <c r="P1441" s="32" t="n"/>
      <c r="Q1441" s="32" t="n"/>
      <c r="U1441" s="31">
        <f>IF($A1441="","",SUM(X1441:AE1441))</f>
        <v/>
      </c>
      <c r="V1441" s="31">
        <f>IF($A1441="","",IF($H1441&lt;&gt;"Ausgabe",0,-$E1441-$U1441))</f>
        <v/>
      </c>
      <c r="W1441" s="33">
        <f>IF($A1441="","",DATE(YEAR($A1441),MONTH($A1441),1))</f>
        <v/>
      </c>
      <c r="X1441" s="34">
        <f>IF(OR($A1441="",$H1441&lt;&gt;"Ausgabe",J1441=""),0,IF(J1441="x",-$E1441/(COUNTIF($J1441:$Q1441,"x")+1),-$E1441*N(J1441)))</f>
        <v/>
      </c>
      <c r="Y1441" s="34">
        <f>IF(OR($A1441="",$H1441&lt;&gt;"Ausgabe",K1441=""),0,IF(K1441="x",-$E1441/(COUNTIF($J1441:$Q1441,"x")+1),-$E1441*N(K1441)))</f>
        <v/>
      </c>
      <c r="Z1441" s="34">
        <f>IF(OR($A1441="",$H1441&lt;&gt;"Ausgabe",L1441=""),0,IF(L1441="x",-$E1441/(COUNTIF($J1441:$Q1441,"x")+1),-$E1441*N(L1441)))</f>
        <v/>
      </c>
      <c r="AA1441" s="34">
        <f>IF(OR($A1441="",$H1441&lt;&gt;"Ausgabe",M1441=""),0,IF(M1441="x",-$E1441/(COUNTIF($J1441:$Q1441,"x")+1),-$E1441*N(M1441)))</f>
        <v/>
      </c>
      <c r="AB1441" s="34">
        <f>IF(OR($A1441="",$H1441&lt;&gt;"Ausgabe",N1441=""),0,IF(N1441="x",-$E1441/(COUNTIF($J1441:$Q1441,"x")+1),-$E1441*N(N1441)))</f>
        <v/>
      </c>
      <c r="AC1441" s="34">
        <f>IF(OR($A1441="",$H1441&lt;&gt;"Ausgabe",O1441=""),0,IF(O1441="x",-$E1441/(COUNTIF($J1441:$Q1441,"x")+1),-$E1441*N(O1441)))</f>
        <v/>
      </c>
      <c r="AD1441" s="34">
        <f>IF(OR($A1441="",$H1441&lt;&gt;"Ausgabe",P1441=""),0,IF(P1441="x",-$E1441/(COUNTIF($J1441:$Q1441,"x")+1),-$E1441*N(P1441)))</f>
        <v/>
      </c>
      <c r="AE1441" s="34">
        <f>IF(OR($A1441="",$H1441&lt;&gt;"Ausgabe",Q1441=""),0,IF(Q1441="x",-$E1441/(COUNTIF($J1441:$Q1441,"x")+1),-$E1441*N(Q1441)))</f>
        <v/>
      </c>
    </row>
    <row r="1442">
      <c r="A1442" s="30" t="n"/>
      <c r="E1442" s="31" t="n"/>
      <c r="J1442" s="32" t="n"/>
      <c r="K1442" s="32" t="n"/>
      <c r="L1442" s="32" t="n"/>
      <c r="M1442" s="32" t="n"/>
      <c r="N1442" s="32" t="n"/>
      <c r="O1442" s="32" t="n"/>
      <c r="P1442" s="32" t="n"/>
      <c r="Q1442" s="32" t="n"/>
      <c r="U1442" s="31">
        <f>IF($A1442="","",SUM(X1442:AE1442))</f>
        <v/>
      </c>
      <c r="V1442" s="31">
        <f>IF($A1442="","",IF($H1442&lt;&gt;"Ausgabe",0,-$E1442-$U1442))</f>
        <v/>
      </c>
      <c r="W1442" s="33">
        <f>IF($A1442="","",DATE(YEAR($A1442),MONTH($A1442),1))</f>
        <v/>
      </c>
      <c r="X1442" s="34">
        <f>IF(OR($A1442="",$H1442&lt;&gt;"Ausgabe",J1442=""),0,IF(J1442="x",-$E1442/(COUNTIF($J1442:$Q1442,"x")+1),-$E1442*N(J1442)))</f>
        <v/>
      </c>
      <c r="Y1442" s="34">
        <f>IF(OR($A1442="",$H1442&lt;&gt;"Ausgabe",K1442=""),0,IF(K1442="x",-$E1442/(COUNTIF($J1442:$Q1442,"x")+1),-$E1442*N(K1442)))</f>
        <v/>
      </c>
      <c r="Z1442" s="34">
        <f>IF(OR($A1442="",$H1442&lt;&gt;"Ausgabe",L1442=""),0,IF(L1442="x",-$E1442/(COUNTIF($J1442:$Q1442,"x")+1),-$E1442*N(L1442)))</f>
        <v/>
      </c>
      <c r="AA1442" s="34">
        <f>IF(OR($A1442="",$H1442&lt;&gt;"Ausgabe",M1442=""),0,IF(M1442="x",-$E1442/(COUNTIF($J1442:$Q1442,"x")+1),-$E1442*N(M1442)))</f>
        <v/>
      </c>
      <c r="AB1442" s="34">
        <f>IF(OR($A1442="",$H1442&lt;&gt;"Ausgabe",N1442=""),0,IF(N1442="x",-$E1442/(COUNTIF($J1442:$Q1442,"x")+1),-$E1442*N(N1442)))</f>
        <v/>
      </c>
      <c r="AC1442" s="34">
        <f>IF(OR($A1442="",$H1442&lt;&gt;"Ausgabe",O1442=""),0,IF(O1442="x",-$E1442/(COUNTIF($J1442:$Q1442,"x")+1),-$E1442*N(O1442)))</f>
        <v/>
      </c>
      <c r="AD1442" s="34">
        <f>IF(OR($A1442="",$H1442&lt;&gt;"Ausgabe",P1442=""),0,IF(P1442="x",-$E1442/(COUNTIF($J1442:$Q1442,"x")+1),-$E1442*N(P1442)))</f>
        <v/>
      </c>
      <c r="AE1442" s="34">
        <f>IF(OR($A1442="",$H1442&lt;&gt;"Ausgabe",Q1442=""),0,IF(Q1442="x",-$E1442/(COUNTIF($J1442:$Q1442,"x")+1),-$E1442*N(Q1442)))</f>
        <v/>
      </c>
    </row>
    <row r="1443">
      <c r="A1443" s="30" t="n"/>
      <c r="E1443" s="31" t="n"/>
      <c r="J1443" s="32" t="n"/>
      <c r="K1443" s="32" t="n"/>
      <c r="L1443" s="32" t="n"/>
      <c r="M1443" s="32" t="n"/>
      <c r="N1443" s="32" t="n"/>
      <c r="O1443" s="32" t="n"/>
      <c r="P1443" s="32" t="n"/>
      <c r="Q1443" s="32" t="n"/>
      <c r="U1443" s="31">
        <f>IF($A1443="","",SUM(X1443:AE1443))</f>
        <v/>
      </c>
      <c r="V1443" s="31">
        <f>IF($A1443="","",IF($H1443&lt;&gt;"Ausgabe",0,-$E1443-$U1443))</f>
        <v/>
      </c>
      <c r="W1443" s="33">
        <f>IF($A1443="","",DATE(YEAR($A1443),MONTH($A1443),1))</f>
        <v/>
      </c>
      <c r="X1443" s="34">
        <f>IF(OR($A1443="",$H1443&lt;&gt;"Ausgabe",J1443=""),0,IF(J1443="x",-$E1443/(COUNTIF($J1443:$Q1443,"x")+1),-$E1443*N(J1443)))</f>
        <v/>
      </c>
      <c r="Y1443" s="34">
        <f>IF(OR($A1443="",$H1443&lt;&gt;"Ausgabe",K1443=""),0,IF(K1443="x",-$E1443/(COUNTIF($J1443:$Q1443,"x")+1),-$E1443*N(K1443)))</f>
        <v/>
      </c>
      <c r="Z1443" s="34">
        <f>IF(OR($A1443="",$H1443&lt;&gt;"Ausgabe",L1443=""),0,IF(L1443="x",-$E1443/(COUNTIF($J1443:$Q1443,"x")+1),-$E1443*N(L1443)))</f>
        <v/>
      </c>
      <c r="AA1443" s="34">
        <f>IF(OR($A1443="",$H1443&lt;&gt;"Ausgabe",M1443=""),0,IF(M1443="x",-$E1443/(COUNTIF($J1443:$Q1443,"x")+1),-$E1443*N(M1443)))</f>
        <v/>
      </c>
      <c r="AB1443" s="34">
        <f>IF(OR($A1443="",$H1443&lt;&gt;"Ausgabe",N1443=""),0,IF(N1443="x",-$E1443/(COUNTIF($J1443:$Q1443,"x")+1),-$E1443*N(N1443)))</f>
        <v/>
      </c>
      <c r="AC1443" s="34">
        <f>IF(OR($A1443="",$H1443&lt;&gt;"Ausgabe",O1443=""),0,IF(O1443="x",-$E1443/(COUNTIF($J1443:$Q1443,"x")+1),-$E1443*N(O1443)))</f>
        <v/>
      </c>
      <c r="AD1443" s="34">
        <f>IF(OR($A1443="",$H1443&lt;&gt;"Ausgabe",P1443=""),0,IF(P1443="x",-$E1443/(COUNTIF($J1443:$Q1443,"x")+1),-$E1443*N(P1443)))</f>
        <v/>
      </c>
      <c r="AE1443" s="34">
        <f>IF(OR($A1443="",$H1443&lt;&gt;"Ausgabe",Q1443=""),0,IF(Q1443="x",-$E1443/(COUNTIF($J1443:$Q1443,"x")+1),-$E1443*N(Q1443)))</f>
        <v/>
      </c>
    </row>
    <row r="1444">
      <c r="A1444" s="30" t="n"/>
      <c r="E1444" s="31" t="n"/>
      <c r="J1444" s="32" t="n"/>
      <c r="K1444" s="32" t="n"/>
      <c r="L1444" s="32" t="n"/>
      <c r="M1444" s="32" t="n"/>
      <c r="N1444" s="32" t="n"/>
      <c r="O1444" s="32" t="n"/>
      <c r="P1444" s="32" t="n"/>
      <c r="Q1444" s="32" t="n"/>
      <c r="U1444" s="31">
        <f>IF($A1444="","",SUM(X1444:AE1444))</f>
        <v/>
      </c>
      <c r="V1444" s="31">
        <f>IF($A1444="","",IF($H1444&lt;&gt;"Ausgabe",0,-$E1444-$U1444))</f>
        <v/>
      </c>
      <c r="W1444" s="33">
        <f>IF($A1444="","",DATE(YEAR($A1444),MONTH($A1444),1))</f>
        <v/>
      </c>
      <c r="X1444" s="34">
        <f>IF(OR($A1444="",$H1444&lt;&gt;"Ausgabe",J1444=""),0,IF(J1444="x",-$E1444/(COUNTIF($J1444:$Q1444,"x")+1),-$E1444*N(J1444)))</f>
        <v/>
      </c>
      <c r="Y1444" s="34">
        <f>IF(OR($A1444="",$H1444&lt;&gt;"Ausgabe",K1444=""),0,IF(K1444="x",-$E1444/(COUNTIF($J1444:$Q1444,"x")+1),-$E1444*N(K1444)))</f>
        <v/>
      </c>
      <c r="Z1444" s="34">
        <f>IF(OR($A1444="",$H1444&lt;&gt;"Ausgabe",L1444=""),0,IF(L1444="x",-$E1444/(COUNTIF($J1444:$Q1444,"x")+1),-$E1444*N(L1444)))</f>
        <v/>
      </c>
      <c r="AA1444" s="34">
        <f>IF(OR($A1444="",$H1444&lt;&gt;"Ausgabe",M1444=""),0,IF(M1444="x",-$E1444/(COUNTIF($J1444:$Q1444,"x")+1),-$E1444*N(M1444)))</f>
        <v/>
      </c>
      <c r="AB1444" s="34">
        <f>IF(OR($A1444="",$H1444&lt;&gt;"Ausgabe",N1444=""),0,IF(N1444="x",-$E1444/(COUNTIF($J1444:$Q1444,"x")+1),-$E1444*N(N1444)))</f>
        <v/>
      </c>
      <c r="AC1444" s="34">
        <f>IF(OR($A1444="",$H1444&lt;&gt;"Ausgabe",O1444=""),0,IF(O1444="x",-$E1444/(COUNTIF($J1444:$Q1444,"x")+1),-$E1444*N(O1444)))</f>
        <v/>
      </c>
      <c r="AD1444" s="34">
        <f>IF(OR($A1444="",$H1444&lt;&gt;"Ausgabe",P1444=""),0,IF(P1444="x",-$E1444/(COUNTIF($J1444:$Q1444,"x")+1),-$E1444*N(P1444)))</f>
        <v/>
      </c>
      <c r="AE1444" s="34">
        <f>IF(OR($A1444="",$H1444&lt;&gt;"Ausgabe",Q1444=""),0,IF(Q1444="x",-$E1444/(COUNTIF($J1444:$Q1444,"x")+1),-$E1444*N(Q1444)))</f>
        <v/>
      </c>
    </row>
    <row r="1445">
      <c r="A1445" s="30" t="n"/>
      <c r="E1445" s="31" t="n"/>
      <c r="J1445" s="32" t="n"/>
      <c r="K1445" s="32" t="n"/>
      <c r="L1445" s="32" t="n"/>
      <c r="M1445" s="32" t="n"/>
      <c r="N1445" s="32" t="n"/>
      <c r="O1445" s="32" t="n"/>
      <c r="P1445" s="32" t="n"/>
      <c r="Q1445" s="32" t="n"/>
      <c r="U1445" s="31">
        <f>IF($A1445="","",SUM(X1445:AE1445))</f>
        <v/>
      </c>
      <c r="V1445" s="31">
        <f>IF($A1445="","",IF($H1445&lt;&gt;"Ausgabe",0,-$E1445-$U1445))</f>
        <v/>
      </c>
      <c r="W1445" s="33">
        <f>IF($A1445="","",DATE(YEAR($A1445),MONTH($A1445),1))</f>
        <v/>
      </c>
      <c r="X1445" s="34">
        <f>IF(OR($A1445="",$H1445&lt;&gt;"Ausgabe",J1445=""),0,IF(J1445="x",-$E1445/(COUNTIF($J1445:$Q1445,"x")+1),-$E1445*N(J1445)))</f>
        <v/>
      </c>
      <c r="Y1445" s="34">
        <f>IF(OR($A1445="",$H1445&lt;&gt;"Ausgabe",K1445=""),0,IF(K1445="x",-$E1445/(COUNTIF($J1445:$Q1445,"x")+1),-$E1445*N(K1445)))</f>
        <v/>
      </c>
      <c r="Z1445" s="34">
        <f>IF(OR($A1445="",$H1445&lt;&gt;"Ausgabe",L1445=""),0,IF(L1445="x",-$E1445/(COUNTIF($J1445:$Q1445,"x")+1),-$E1445*N(L1445)))</f>
        <v/>
      </c>
      <c r="AA1445" s="34">
        <f>IF(OR($A1445="",$H1445&lt;&gt;"Ausgabe",M1445=""),0,IF(M1445="x",-$E1445/(COUNTIF($J1445:$Q1445,"x")+1),-$E1445*N(M1445)))</f>
        <v/>
      </c>
      <c r="AB1445" s="34">
        <f>IF(OR($A1445="",$H1445&lt;&gt;"Ausgabe",N1445=""),0,IF(N1445="x",-$E1445/(COUNTIF($J1445:$Q1445,"x")+1),-$E1445*N(N1445)))</f>
        <v/>
      </c>
      <c r="AC1445" s="34">
        <f>IF(OR($A1445="",$H1445&lt;&gt;"Ausgabe",O1445=""),0,IF(O1445="x",-$E1445/(COUNTIF($J1445:$Q1445,"x")+1),-$E1445*N(O1445)))</f>
        <v/>
      </c>
      <c r="AD1445" s="34">
        <f>IF(OR($A1445="",$H1445&lt;&gt;"Ausgabe",P1445=""),0,IF(P1445="x",-$E1445/(COUNTIF($J1445:$Q1445,"x")+1),-$E1445*N(P1445)))</f>
        <v/>
      </c>
      <c r="AE1445" s="34">
        <f>IF(OR($A1445="",$H1445&lt;&gt;"Ausgabe",Q1445=""),0,IF(Q1445="x",-$E1445/(COUNTIF($J1445:$Q1445,"x")+1),-$E1445*N(Q1445)))</f>
        <v/>
      </c>
    </row>
    <row r="1446">
      <c r="A1446" s="30" t="n"/>
      <c r="E1446" s="31" t="n"/>
      <c r="J1446" s="32" t="n"/>
      <c r="K1446" s="32" t="n"/>
      <c r="L1446" s="32" t="n"/>
      <c r="M1446" s="32" t="n"/>
      <c r="N1446" s="32" t="n"/>
      <c r="O1446" s="32" t="n"/>
      <c r="P1446" s="32" t="n"/>
      <c r="Q1446" s="32" t="n"/>
      <c r="U1446" s="31">
        <f>IF($A1446="","",SUM(X1446:AE1446))</f>
        <v/>
      </c>
      <c r="V1446" s="31">
        <f>IF($A1446="","",IF($H1446&lt;&gt;"Ausgabe",0,-$E1446-$U1446))</f>
        <v/>
      </c>
      <c r="W1446" s="33">
        <f>IF($A1446="","",DATE(YEAR($A1446),MONTH($A1446),1))</f>
        <v/>
      </c>
      <c r="X1446" s="34">
        <f>IF(OR($A1446="",$H1446&lt;&gt;"Ausgabe",J1446=""),0,IF(J1446="x",-$E1446/(COUNTIF($J1446:$Q1446,"x")+1),-$E1446*N(J1446)))</f>
        <v/>
      </c>
      <c r="Y1446" s="34">
        <f>IF(OR($A1446="",$H1446&lt;&gt;"Ausgabe",K1446=""),0,IF(K1446="x",-$E1446/(COUNTIF($J1446:$Q1446,"x")+1),-$E1446*N(K1446)))</f>
        <v/>
      </c>
      <c r="Z1446" s="34">
        <f>IF(OR($A1446="",$H1446&lt;&gt;"Ausgabe",L1446=""),0,IF(L1446="x",-$E1446/(COUNTIF($J1446:$Q1446,"x")+1),-$E1446*N(L1446)))</f>
        <v/>
      </c>
      <c r="AA1446" s="34">
        <f>IF(OR($A1446="",$H1446&lt;&gt;"Ausgabe",M1446=""),0,IF(M1446="x",-$E1446/(COUNTIF($J1446:$Q1446,"x")+1),-$E1446*N(M1446)))</f>
        <v/>
      </c>
      <c r="AB1446" s="34">
        <f>IF(OR($A1446="",$H1446&lt;&gt;"Ausgabe",N1446=""),0,IF(N1446="x",-$E1446/(COUNTIF($J1446:$Q1446,"x")+1),-$E1446*N(N1446)))</f>
        <v/>
      </c>
      <c r="AC1446" s="34">
        <f>IF(OR($A1446="",$H1446&lt;&gt;"Ausgabe",O1446=""),0,IF(O1446="x",-$E1446/(COUNTIF($J1446:$Q1446,"x")+1),-$E1446*N(O1446)))</f>
        <v/>
      </c>
      <c r="AD1446" s="34">
        <f>IF(OR($A1446="",$H1446&lt;&gt;"Ausgabe",P1446=""),0,IF(P1446="x",-$E1446/(COUNTIF($J1446:$Q1446,"x")+1),-$E1446*N(P1446)))</f>
        <v/>
      </c>
      <c r="AE1446" s="34">
        <f>IF(OR($A1446="",$H1446&lt;&gt;"Ausgabe",Q1446=""),0,IF(Q1446="x",-$E1446/(COUNTIF($J1446:$Q1446,"x")+1),-$E1446*N(Q1446)))</f>
        <v/>
      </c>
    </row>
    <row r="1447">
      <c r="A1447" s="30" t="n"/>
      <c r="E1447" s="31" t="n"/>
      <c r="J1447" s="32" t="n"/>
      <c r="K1447" s="32" t="n"/>
      <c r="L1447" s="32" t="n"/>
      <c r="M1447" s="32" t="n"/>
      <c r="N1447" s="32" t="n"/>
      <c r="O1447" s="32" t="n"/>
      <c r="P1447" s="32" t="n"/>
      <c r="Q1447" s="32" t="n"/>
      <c r="U1447" s="31">
        <f>IF($A1447="","",SUM(X1447:AE1447))</f>
        <v/>
      </c>
      <c r="V1447" s="31">
        <f>IF($A1447="","",IF($H1447&lt;&gt;"Ausgabe",0,-$E1447-$U1447))</f>
        <v/>
      </c>
      <c r="W1447" s="33">
        <f>IF($A1447="","",DATE(YEAR($A1447),MONTH($A1447),1))</f>
        <v/>
      </c>
      <c r="X1447" s="34">
        <f>IF(OR($A1447="",$H1447&lt;&gt;"Ausgabe",J1447=""),0,IF(J1447="x",-$E1447/(COUNTIF($J1447:$Q1447,"x")+1),-$E1447*N(J1447)))</f>
        <v/>
      </c>
      <c r="Y1447" s="34">
        <f>IF(OR($A1447="",$H1447&lt;&gt;"Ausgabe",K1447=""),0,IF(K1447="x",-$E1447/(COUNTIF($J1447:$Q1447,"x")+1),-$E1447*N(K1447)))</f>
        <v/>
      </c>
      <c r="Z1447" s="34">
        <f>IF(OR($A1447="",$H1447&lt;&gt;"Ausgabe",L1447=""),0,IF(L1447="x",-$E1447/(COUNTIF($J1447:$Q1447,"x")+1),-$E1447*N(L1447)))</f>
        <v/>
      </c>
      <c r="AA1447" s="34">
        <f>IF(OR($A1447="",$H1447&lt;&gt;"Ausgabe",M1447=""),0,IF(M1447="x",-$E1447/(COUNTIF($J1447:$Q1447,"x")+1),-$E1447*N(M1447)))</f>
        <v/>
      </c>
      <c r="AB1447" s="34">
        <f>IF(OR($A1447="",$H1447&lt;&gt;"Ausgabe",N1447=""),0,IF(N1447="x",-$E1447/(COUNTIF($J1447:$Q1447,"x")+1),-$E1447*N(N1447)))</f>
        <v/>
      </c>
      <c r="AC1447" s="34">
        <f>IF(OR($A1447="",$H1447&lt;&gt;"Ausgabe",O1447=""),0,IF(O1447="x",-$E1447/(COUNTIF($J1447:$Q1447,"x")+1),-$E1447*N(O1447)))</f>
        <v/>
      </c>
      <c r="AD1447" s="34">
        <f>IF(OR($A1447="",$H1447&lt;&gt;"Ausgabe",P1447=""),0,IF(P1447="x",-$E1447/(COUNTIF($J1447:$Q1447,"x")+1),-$E1447*N(P1447)))</f>
        <v/>
      </c>
      <c r="AE1447" s="34">
        <f>IF(OR($A1447="",$H1447&lt;&gt;"Ausgabe",Q1447=""),0,IF(Q1447="x",-$E1447/(COUNTIF($J1447:$Q1447,"x")+1),-$E1447*N(Q1447)))</f>
        <v/>
      </c>
    </row>
    <row r="1448">
      <c r="A1448" s="30" t="n"/>
      <c r="E1448" s="31" t="n"/>
      <c r="J1448" s="32" t="n"/>
      <c r="K1448" s="32" t="n"/>
      <c r="L1448" s="32" t="n"/>
      <c r="M1448" s="32" t="n"/>
      <c r="N1448" s="32" t="n"/>
      <c r="O1448" s="32" t="n"/>
      <c r="P1448" s="32" t="n"/>
      <c r="Q1448" s="32" t="n"/>
      <c r="U1448" s="31">
        <f>IF($A1448="","",SUM(X1448:AE1448))</f>
        <v/>
      </c>
      <c r="V1448" s="31">
        <f>IF($A1448="","",IF($H1448&lt;&gt;"Ausgabe",0,-$E1448-$U1448))</f>
        <v/>
      </c>
      <c r="W1448" s="33">
        <f>IF($A1448="","",DATE(YEAR($A1448),MONTH($A1448),1))</f>
        <v/>
      </c>
      <c r="X1448" s="34">
        <f>IF(OR($A1448="",$H1448&lt;&gt;"Ausgabe",J1448=""),0,IF(J1448="x",-$E1448/(COUNTIF($J1448:$Q1448,"x")+1),-$E1448*N(J1448)))</f>
        <v/>
      </c>
      <c r="Y1448" s="34">
        <f>IF(OR($A1448="",$H1448&lt;&gt;"Ausgabe",K1448=""),0,IF(K1448="x",-$E1448/(COUNTIF($J1448:$Q1448,"x")+1),-$E1448*N(K1448)))</f>
        <v/>
      </c>
      <c r="Z1448" s="34">
        <f>IF(OR($A1448="",$H1448&lt;&gt;"Ausgabe",L1448=""),0,IF(L1448="x",-$E1448/(COUNTIF($J1448:$Q1448,"x")+1),-$E1448*N(L1448)))</f>
        <v/>
      </c>
      <c r="AA1448" s="34">
        <f>IF(OR($A1448="",$H1448&lt;&gt;"Ausgabe",M1448=""),0,IF(M1448="x",-$E1448/(COUNTIF($J1448:$Q1448,"x")+1),-$E1448*N(M1448)))</f>
        <v/>
      </c>
      <c r="AB1448" s="34">
        <f>IF(OR($A1448="",$H1448&lt;&gt;"Ausgabe",N1448=""),0,IF(N1448="x",-$E1448/(COUNTIF($J1448:$Q1448,"x")+1),-$E1448*N(N1448)))</f>
        <v/>
      </c>
      <c r="AC1448" s="34">
        <f>IF(OR($A1448="",$H1448&lt;&gt;"Ausgabe",O1448=""),0,IF(O1448="x",-$E1448/(COUNTIF($J1448:$Q1448,"x")+1),-$E1448*N(O1448)))</f>
        <v/>
      </c>
      <c r="AD1448" s="34">
        <f>IF(OR($A1448="",$H1448&lt;&gt;"Ausgabe",P1448=""),0,IF(P1448="x",-$E1448/(COUNTIF($J1448:$Q1448,"x")+1),-$E1448*N(P1448)))</f>
        <v/>
      </c>
      <c r="AE1448" s="34">
        <f>IF(OR($A1448="",$H1448&lt;&gt;"Ausgabe",Q1448=""),0,IF(Q1448="x",-$E1448/(COUNTIF($J1448:$Q1448,"x")+1),-$E1448*N(Q1448)))</f>
        <v/>
      </c>
    </row>
    <row r="1449">
      <c r="A1449" s="30" t="n"/>
      <c r="E1449" s="31" t="n"/>
      <c r="J1449" s="32" t="n"/>
      <c r="K1449" s="32" t="n"/>
      <c r="L1449" s="32" t="n"/>
      <c r="M1449" s="32" t="n"/>
      <c r="N1449" s="32" t="n"/>
      <c r="O1449" s="32" t="n"/>
      <c r="P1449" s="32" t="n"/>
      <c r="Q1449" s="32" t="n"/>
      <c r="U1449" s="31">
        <f>IF($A1449="","",SUM(X1449:AE1449))</f>
        <v/>
      </c>
      <c r="V1449" s="31">
        <f>IF($A1449="","",IF($H1449&lt;&gt;"Ausgabe",0,-$E1449-$U1449))</f>
        <v/>
      </c>
      <c r="W1449" s="33">
        <f>IF($A1449="","",DATE(YEAR($A1449),MONTH($A1449),1))</f>
        <v/>
      </c>
      <c r="X1449" s="34">
        <f>IF(OR($A1449="",$H1449&lt;&gt;"Ausgabe",J1449=""),0,IF(J1449="x",-$E1449/(COUNTIF($J1449:$Q1449,"x")+1),-$E1449*N(J1449)))</f>
        <v/>
      </c>
      <c r="Y1449" s="34">
        <f>IF(OR($A1449="",$H1449&lt;&gt;"Ausgabe",K1449=""),0,IF(K1449="x",-$E1449/(COUNTIF($J1449:$Q1449,"x")+1),-$E1449*N(K1449)))</f>
        <v/>
      </c>
      <c r="Z1449" s="34">
        <f>IF(OR($A1449="",$H1449&lt;&gt;"Ausgabe",L1449=""),0,IF(L1449="x",-$E1449/(COUNTIF($J1449:$Q1449,"x")+1),-$E1449*N(L1449)))</f>
        <v/>
      </c>
      <c r="AA1449" s="34">
        <f>IF(OR($A1449="",$H1449&lt;&gt;"Ausgabe",M1449=""),0,IF(M1449="x",-$E1449/(COUNTIF($J1449:$Q1449,"x")+1),-$E1449*N(M1449)))</f>
        <v/>
      </c>
      <c r="AB1449" s="34">
        <f>IF(OR($A1449="",$H1449&lt;&gt;"Ausgabe",N1449=""),0,IF(N1449="x",-$E1449/(COUNTIF($J1449:$Q1449,"x")+1),-$E1449*N(N1449)))</f>
        <v/>
      </c>
      <c r="AC1449" s="34">
        <f>IF(OR($A1449="",$H1449&lt;&gt;"Ausgabe",O1449=""),0,IF(O1449="x",-$E1449/(COUNTIF($J1449:$Q1449,"x")+1),-$E1449*N(O1449)))</f>
        <v/>
      </c>
      <c r="AD1449" s="34">
        <f>IF(OR($A1449="",$H1449&lt;&gt;"Ausgabe",P1449=""),0,IF(P1449="x",-$E1449/(COUNTIF($J1449:$Q1449,"x")+1),-$E1449*N(P1449)))</f>
        <v/>
      </c>
      <c r="AE1449" s="34">
        <f>IF(OR($A1449="",$H1449&lt;&gt;"Ausgabe",Q1449=""),0,IF(Q1449="x",-$E1449/(COUNTIF($J1449:$Q1449,"x")+1),-$E1449*N(Q1449)))</f>
        <v/>
      </c>
    </row>
    <row r="1450">
      <c r="A1450" s="30" t="n"/>
      <c r="E1450" s="31" t="n"/>
      <c r="J1450" s="32" t="n"/>
      <c r="K1450" s="32" t="n"/>
      <c r="L1450" s="32" t="n"/>
      <c r="M1450" s="32" t="n"/>
      <c r="N1450" s="32" t="n"/>
      <c r="O1450" s="32" t="n"/>
      <c r="P1450" s="32" t="n"/>
      <c r="Q1450" s="32" t="n"/>
      <c r="U1450" s="31">
        <f>IF($A1450="","",SUM(X1450:AE1450))</f>
        <v/>
      </c>
      <c r="V1450" s="31">
        <f>IF($A1450="","",IF($H1450&lt;&gt;"Ausgabe",0,-$E1450-$U1450))</f>
        <v/>
      </c>
      <c r="W1450" s="33">
        <f>IF($A1450="","",DATE(YEAR($A1450),MONTH($A1450),1))</f>
        <v/>
      </c>
      <c r="X1450" s="34">
        <f>IF(OR($A1450="",$H1450&lt;&gt;"Ausgabe",J1450=""),0,IF(J1450="x",-$E1450/(COUNTIF($J1450:$Q1450,"x")+1),-$E1450*N(J1450)))</f>
        <v/>
      </c>
      <c r="Y1450" s="34">
        <f>IF(OR($A1450="",$H1450&lt;&gt;"Ausgabe",K1450=""),0,IF(K1450="x",-$E1450/(COUNTIF($J1450:$Q1450,"x")+1),-$E1450*N(K1450)))</f>
        <v/>
      </c>
      <c r="Z1450" s="34">
        <f>IF(OR($A1450="",$H1450&lt;&gt;"Ausgabe",L1450=""),0,IF(L1450="x",-$E1450/(COUNTIF($J1450:$Q1450,"x")+1),-$E1450*N(L1450)))</f>
        <v/>
      </c>
      <c r="AA1450" s="34">
        <f>IF(OR($A1450="",$H1450&lt;&gt;"Ausgabe",M1450=""),0,IF(M1450="x",-$E1450/(COUNTIF($J1450:$Q1450,"x")+1),-$E1450*N(M1450)))</f>
        <v/>
      </c>
      <c r="AB1450" s="34">
        <f>IF(OR($A1450="",$H1450&lt;&gt;"Ausgabe",N1450=""),0,IF(N1450="x",-$E1450/(COUNTIF($J1450:$Q1450,"x")+1),-$E1450*N(N1450)))</f>
        <v/>
      </c>
      <c r="AC1450" s="34">
        <f>IF(OR($A1450="",$H1450&lt;&gt;"Ausgabe",O1450=""),0,IF(O1450="x",-$E1450/(COUNTIF($J1450:$Q1450,"x")+1),-$E1450*N(O1450)))</f>
        <v/>
      </c>
      <c r="AD1450" s="34">
        <f>IF(OR($A1450="",$H1450&lt;&gt;"Ausgabe",P1450=""),0,IF(P1450="x",-$E1450/(COUNTIF($J1450:$Q1450,"x")+1),-$E1450*N(P1450)))</f>
        <v/>
      </c>
      <c r="AE1450" s="34">
        <f>IF(OR($A1450="",$H1450&lt;&gt;"Ausgabe",Q1450=""),0,IF(Q1450="x",-$E1450/(COUNTIF($J1450:$Q1450,"x")+1),-$E1450*N(Q1450)))</f>
        <v/>
      </c>
    </row>
    <row r="1451">
      <c r="A1451" s="30" t="n"/>
      <c r="E1451" s="31" t="n"/>
      <c r="J1451" s="32" t="n"/>
      <c r="K1451" s="32" t="n"/>
      <c r="L1451" s="32" t="n"/>
      <c r="M1451" s="32" t="n"/>
      <c r="N1451" s="32" t="n"/>
      <c r="O1451" s="32" t="n"/>
      <c r="P1451" s="32" t="n"/>
      <c r="Q1451" s="32" t="n"/>
      <c r="U1451" s="31">
        <f>IF($A1451="","",SUM(X1451:AE1451))</f>
        <v/>
      </c>
      <c r="V1451" s="31">
        <f>IF($A1451="","",IF($H1451&lt;&gt;"Ausgabe",0,-$E1451-$U1451))</f>
        <v/>
      </c>
      <c r="W1451" s="33">
        <f>IF($A1451="","",DATE(YEAR($A1451),MONTH($A1451),1))</f>
        <v/>
      </c>
      <c r="X1451" s="34">
        <f>IF(OR($A1451="",$H1451&lt;&gt;"Ausgabe",J1451=""),0,IF(J1451="x",-$E1451/(COUNTIF($J1451:$Q1451,"x")+1),-$E1451*N(J1451)))</f>
        <v/>
      </c>
      <c r="Y1451" s="34">
        <f>IF(OR($A1451="",$H1451&lt;&gt;"Ausgabe",K1451=""),0,IF(K1451="x",-$E1451/(COUNTIF($J1451:$Q1451,"x")+1),-$E1451*N(K1451)))</f>
        <v/>
      </c>
      <c r="Z1451" s="34">
        <f>IF(OR($A1451="",$H1451&lt;&gt;"Ausgabe",L1451=""),0,IF(L1451="x",-$E1451/(COUNTIF($J1451:$Q1451,"x")+1),-$E1451*N(L1451)))</f>
        <v/>
      </c>
      <c r="AA1451" s="34">
        <f>IF(OR($A1451="",$H1451&lt;&gt;"Ausgabe",M1451=""),0,IF(M1451="x",-$E1451/(COUNTIF($J1451:$Q1451,"x")+1),-$E1451*N(M1451)))</f>
        <v/>
      </c>
      <c r="AB1451" s="34">
        <f>IF(OR($A1451="",$H1451&lt;&gt;"Ausgabe",N1451=""),0,IF(N1451="x",-$E1451/(COUNTIF($J1451:$Q1451,"x")+1),-$E1451*N(N1451)))</f>
        <v/>
      </c>
      <c r="AC1451" s="34">
        <f>IF(OR($A1451="",$H1451&lt;&gt;"Ausgabe",O1451=""),0,IF(O1451="x",-$E1451/(COUNTIF($J1451:$Q1451,"x")+1),-$E1451*N(O1451)))</f>
        <v/>
      </c>
      <c r="AD1451" s="34">
        <f>IF(OR($A1451="",$H1451&lt;&gt;"Ausgabe",P1451=""),0,IF(P1451="x",-$E1451/(COUNTIF($J1451:$Q1451,"x")+1),-$E1451*N(P1451)))</f>
        <v/>
      </c>
      <c r="AE1451" s="34">
        <f>IF(OR($A1451="",$H1451&lt;&gt;"Ausgabe",Q1451=""),0,IF(Q1451="x",-$E1451/(COUNTIF($J1451:$Q1451,"x")+1),-$E1451*N(Q1451)))</f>
        <v/>
      </c>
    </row>
    <row r="1452">
      <c r="A1452" s="30" t="n"/>
      <c r="E1452" s="31" t="n"/>
      <c r="J1452" s="32" t="n"/>
      <c r="K1452" s="32" t="n"/>
      <c r="L1452" s="32" t="n"/>
      <c r="M1452" s="32" t="n"/>
      <c r="N1452" s="32" t="n"/>
      <c r="O1452" s="32" t="n"/>
      <c r="P1452" s="32" t="n"/>
      <c r="Q1452" s="32" t="n"/>
      <c r="U1452" s="31">
        <f>IF($A1452="","",SUM(X1452:AE1452))</f>
        <v/>
      </c>
      <c r="V1452" s="31">
        <f>IF($A1452="","",IF($H1452&lt;&gt;"Ausgabe",0,-$E1452-$U1452))</f>
        <v/>
      </c>
      <c r="W1452" s="33">
        <f>IF($A1452="","",DATE(YEAR($A1452),MONTH($A1452),1))</f>
        <v/>
      </c>
      <c r="X1452" s="34">
        <f>IF(OR($A1452="",$H1452&lt;&gt;"Ausgabe",J1452=""),0,IF(J1452="x",-$E1452/(COUNTIF($J1452:$Q1452,"x")+1),-$E1452*N(J1452)))</f>
        <v/>
      </c>
      <c r="Y1452" s="34">
        <f>IF(OR($A1452="",$H1452&lt;&gt;"Ausgabe",K1452=""),0,IF(K1452="x",-$E1452/(COUNTIF($J1452:$Q1452,"x")+1),-$E1452*N(K1452)))</f>
        <v/>
      </c>
      <c r="Z1452" s="34">
        <f>IF(OR($A1452="",$H1452&lt;&gt;"Ausgabe",L1452=""),0,IF(L1452="x",-$E1452/(COUNTIF($J1452:$Q1452,"x")+1),-$E1452*N(L1452)))</f>
        <v/>
      </c>
      <c r="AA1452" s="34">
        <f>IF(OR($A1452="",$H1452&lt;&gt;"Ausgabe",M1452=""),0,IF(M1452="x",-$E1452/(COUNTIF($J1452:$Q1452,"x")+1),-$E1452*N(M1452)))</f>
        <v/>
      </c>
      <c r="AB1452" s="34">
        <f>IF(OR($A1452="",$H1452&lt;&gt;"Ausgabe",N1452=""),0,IF(N1452="x",-$E1452/(COUNTIF($J1452:$Q1452,"x")+1),-$E1452*N(N1452)))</f>
        <v/>
      </c>
      <c r="AC1452" s="34">
        <f>IF(OR($A1452="",$H1452&lt;&gt;"Ausgabe",O1452=""),0,IF(O1452="x",-$E1452/(COUNTIF($J1452:$Q1452,"x")+1),-$E1452*N(O1452)))</f>
        <v/>
      </c>
      <c r="AD1452" s="34">
        <f>IF(OR($A1452="",$H1452&lt;&gt;"Ausgabe",P1452=""),0,IF(P1452="x",-$E1452/(COUNTIF($J1452:$Q1452,"x")+1),-$E1452*N(P1452)))</f>
        <v/>
      </c>
      <c r="AE1452" s="34">
        <f>IF(OR($A1452="",$H1452&lt;&gt;"Ausgabe",Q1452=""),0,IF(Q1452="x",-$E1452/(COUNTIF($J1452:$Q1452,"x")+1),-$E1452*N(Q1452)))</f>
        <v/>
      </c>
    </row>
    <row r="1453">
      <c r="A1453" s="30" t="n"/>
      <c r="E1453" s="31" t="n"/>
      <c r="J1453" s="32" t="n"/>
      <c r="K1453" s="32" t="n"/>
      <c r="L1453" s="32" t="n"/>
      <c r="M1453" s="32" t="n"/>
      <c r="N1453" s="32" t="n"/>
      <c r="O1453" s="32" t="n"/>
      <c r="P1453" s="32" t="n"/>
      <c r="Q1453" s="32" t="n"/>
      <c r="U1453" s="31">
        <f>IF($A1453="","",SUM(X1453:AE1453))</f>
        <v/>
      </c>
      <c r="V1453" s="31">
        <f>IF($A1453="","",IF($H1453&lt;&gt;"Ausgabe",0,-$E1453-$U1453))</f>
        <v/>
      </c>
      <c r="W1453" s="33">
        <f>IF($A1453="","",DATE(YEAR($A1453),MONTH($A1453),1))</f>
        <v/>
      </c>
      <c r="X1453" s="34">
        <f>IF(OR($A1453="",$H1453&lt;&gt;"Ausgabe",J1453=""),0,IF(J1453="x",-$E1453/(COUNTIF($J1453:$Q1453,"x")+1),-$E1453*N(J1453)))</f>
        <v/>
      </c>
      <c r="Y1453" s="34">
        <f>IF(OR($A1453="",$H1453&lt;&gt;"Ausgabe",K1453=""),0,IF(K1453="x",-$E1453/(COUNTIF($J1453:$Q1453,"x")+1),-$E1453*N(K1453)))</f>
        <v/>
      </c>
      <c r="Z1453" s="34">
        <f>IF(OR($A1453="",$H1453&lt;&gt;"Ausgabe",L1453=""),0,IF(L1453="x",-$E1453/(COUNTIF($J1453:$Q1453,"x")+1),-$E1453*N(L1453)))</f>
        <v/>
      </c>
      <c r="AA1453" s="34">
        <f>IF(OR($A1453="",$H1453&lt;&gt;"Ausgabe",M1453=""),0,IF(M1453="x",-$E1453/(COUNTIF($J1453:$Q1453,"x")+1),-$E1453*N(M1453)))</f>
        <v/>
      </c>
      <c r="AB1453" s="34">
        <f>IF(OR($A1453="",$H1453&lt;&gt;"Ausgabe",N1453=""),0,IF(N1453="x",-$E1453/(COUNTIF($J1453:$Q1453,"x")+1),-$E1453*N(N1453)))</f>
        <v/>
      </c>
      <c r="AC1453" s="34">
        <f>IF(OR($A1453="",$H1453&lt;&gt;"Ausgabe",O1453=""),0,IF(O1453="x",-$E1453/(COUNTIF($J1453:$Q1453,"x")+1),-$E1453*N(O1453)))</f>
        <v/>
      </c>
      <c r="AD1453" s="34">
        <f>IF(OR($A1453="",$H1453&lt;&gt;"Ausgabe",P1453=""),0,IF(P1453="x",-$E1453/(COUNTIF($J1453:$Q1453,"x")+1),-$E1453*N(P1453)))</f>
        <v/>
      </c>
      <c r="AE1453" s="34">
        <f>IF(OR($A1453="",$H1453&lt;&gt;"Ausgabe",Q1453=""),0,IF(Q1453="x",-$E1453/(COUNTIF($J1453:$Q1453,"x")+1),-$E1453*N(Q1453)))</f>
        <v/>
      </c>
    </row>
    <row r="1454">
      <c r="A1454" s="30" t="n"/>
      <c r="E1454" s="31" t="n"/>
      <c r="J1454" s="32" t="n"/>
      <c r="K1454" s="32" t="n"/>
      <c r="L1454" s="32" t="n"/>
      <c r="M1454" s="32" t="n"/>
      <c r="N1454" s="32" t="n"/>
      <c r="O1454" s="32" t="n"/>
      <c r="P1454" s="32" t="n"/>
      <c r="Q1454" s="32" t="n"/>
      <c r="U1454" s="31">
        <f>IF($A1454="","",SUM(X1454:AE1454))</f>
        <v/>
      </c>
      <c r="V1454" s="31">
        <f>IF($A1454="","",IF($H1454&lt;&gt;"Ausgabe",0,-$E1454-$U1454))</f>
        <v/>
      </c>
      <c r="W1454" s="33">
        <f>IF($A1454="","",DATE(YEAR($A1454),MONTH($A1454),1))</f>
        <v/>
      </c>
      <c r="X1454" s="34">
        <f>IF(OR($A1454="",$H1454&lt;&gt;"Ausgabe",J1454=""),0,IF(J1454="x",-$E1454/(COUNTIF($J1454:$Q1454,"x")+1),-$E1454*N(J1454)))</f>
        <v/>
      </c>
      <c r="Y1454" s="34">
        <f>IF(OR($A1454="",$H1454&lt;&gt;"Ausgabe",K1454=""),0,IF(K1454="x",-$E1454/(COUNTIF($J1454:$Q1454,"x")+1),-$E1454*N(K1454)))</f>
        <v/>
      </c>
      <c r="Z1454" s="34">
        <f>IF(OR($A1454="",$H1454&lt;&gt;"Ausgabe",L1454=""),0,IF(L1454="x",-$E1454/(COUNTIF($J1454:$Q1454,"x")+1),-$E1454*N(L1454)))</f>
        <v/>
      </c>
      <c r="AA1454" s="34">
        <f>IF(OR($A1454="",$H1454&lt;&gt;"Ausgabe",M1454=""),0,IF(M1454="x",-$E1454/(COUNTIF($J1454:$Q1454,"x")+1),-$E1454*N(M1454)))</f>
        <v/>
      </c>
      <c r="AB1454" s="34">
        <f>IF(OR($A1454="",$H1454&lt;&gt;"Ausgabe",N1454=""),0,IF(N1454="x",-$E1454/(COUNTIF($J1454:$Q1454,"x")+1),-$E1454*N(N1454)))</f>
        <v/>
      </c>
      <c r="AC1454" s="34">
        <f>IF(OR($A1454="",$H1454&lt;&gt;"Ausgabe",O1454=""),0,IF(O1454="x",-$E1454/(COUNTIF($J1454:$Q1454,"x")+1),-$E1454*N(O1454)))</f>
        <v/>
      </c>
      <c r="AD1454" s="34">
        <f>IF(OR($A1454="",$H1454&lt;&gt;"Ausgabe",P1454=""),0,IF(P1454="x",-$E1454/(COUNTIF($J1454:$Q1454,"x")+1),-$E1454*N(P1454)))</f>
        <v/>
      </c>
      <c r="AE1454" s="34">
        <f>IF(OR($A1454="",$H1454&lt;&gt;"Ausgabe",Q1454=""),0,IF(Q1454="x",-$E1454/(COUNTIF($J1454:$Q1454,"x")+1),-$E1454*N(Q1454)))</f>
        <v/>
      </c>
    </row>
    <row r="1455">
      <c r="A1455" s="30" t="n"/>
      <c r="E1455" s="31" t="n"/>
      <c r="J1455" s="32" t="n"/>
      <c r="K1455" s="32" t="n"/>
      <c r="L1455" s="32" t="n"/>
      <c r="M1455" s="32" t="n"/>
      <c r="N1455" s="32" t="n"/>
      <c r="O1455" s="32" t="n"/>
      <c r="P1455" s="32" t="n"/>
      <c r="Q1455" s="32" t="n"/>
      <c r="U1455" s="31">
        <f>IF($A1455="","",SUM(X1455:AE1455))</f>
        <v/>
      </c>
      <c r="V1455" s="31">
        <f>IF($A1455="","",IF($H1455&lt;&gt;"Ausgabe",0,-$E1455-$U1455))</f>
        <v/>
      </c>
      <c r="W1455" s="33">
        <f>IF($A1455="","",DATE(YEAR($A1455),MONTH($A1455),1))</f>
        <v/>
      </c>
      <c r="X1455" s="34">
        <f>IF(OR($A1455="",$H1455&lt;&gt;"Ausgabe",J1455=""),0,IF(J1455="x",-$E1455/(COUNTIF($J1455:$Q1455,"x")+1),-$E1455*N(J1455)))</f>
        <v/>
      </c>
      <c r="Y1455" s="34">
        <f>IF(OR($A1455="",$H1455&lt;&gt;"Ausgabe",K1455=""),0,IF(K1455="x",-$E1455/(COUNTIF($J1455:$Q1455,"x")+1),-$E1455*N(K1455)))</f>
        <v/>
      </c>
      <c r="Z1455" s="34">
        <f>IF(OR($A1455="",$H1455&lt;&gt;"Ausgabe",L1455=""),0,IF(L1455="x",-$E1455/(COUNTIF($J1455:$Q1455,"x")+1),-$E1455*N(L1455)))</f>
        <v/>
      </c>
      <c r="AA1455" s="34">
        <f>IF(OR($A1455="",$H1455&lt;&gt;"Ausgabe",M1455=""),0,IF(M1455="x",-$E1455/(COUNTIF($J1455:$Q1455,"x")+1),-$E1455*N(M1455)))</f>
        <v/>
      </c>
      <c r="AB1455" s="34">
        <f>IF(OR($A1455="",$H1455&lt;&gt;"Ausgabe",N1455=""),0,IF(N1455="x",-$E1455/(COUNTIF($J1455:$Q1455,"x")+1),-$E1455*N(N1455)))</f>
        <v/>
      </c>
      <c r="AC1455" s="34">
        <f>IF(OR($A1455="",$H1455&lt;&gt;"Ausgabe",O1455=""),0,IF(O1455="x",-$E1455/(COUNTIF($J1455:$Q1455,"x")+1),-$E1455*N(O1455)))</f>
        <v/>
      </c>
      <c r="AD1455" s="34">
        <f>IF(OR($A1455="",$H1455&lt;&gt;"Ausgabe",P1455=""),0,IF(P1455="x",-$E1455/(COUNTIF($J1455:$Q1455,"x")+1),-$E1455*N(P1455)))</f>
        <v/>
      </c>
      <c r="AE1455" s="34">
        <f>IF(OR($A1455="",$H1455&lt;&gt;"Ausgabe",Q1455=""),0,IF(Q1455="x",-$E1455/(COUNTIF($J1455:$Q1455,"x")+1),-$E1455*N(Q1455)))</f>
        <v/>
      </c>
    </row>
    <row r="1456">
      <c r="A1456" s="30" t="n"/>
      <c r="E1456" s="31" t="n"/>
      <c r="J1456" s="32" t="n"/>
      <c r="K1456" s="32" t="n"/>
      <c r="L1456" s="32" t="n"/>
      <c r="M1456" s="32" t="n"/>
      <c r="N1456" s="32" t="n"/>
      <c r="O1456" s="32" t="n"/>
      <c r="P1456" s="32" t="n"/>
      <c r="Q1456" s="32" t="n"/>
      <c r="U1456" s="31">
        <f>IF($A1456="","",SUM(X1456:AE1456))</f>
        <v/>
      </c>
      <c r="V1456" s="31">
        <f>IF($A1456="","",IF($H1456&lt;&gt;"Ausgabe",0,-$E1456-$U1456))</f>
        <v/>
      </c>
      <c r="W1456" s="33">
        <f>IF($A1456="","",DATE(YEAR($A1456),MONTH($A1456),1))</f>
        <v/>
      </c>
      <c r="X1456" s="34">
        <f>IF(OR($A1456="",$H1456&lt;&gt;"Ausgabe",J1456=""),0,IF(J1456="x",-$E1456/(COUNTIF($J1456:$Q1456,"x")+1),-$E1456*N(J1456)))</f>
        <v/>
      </c>
      <c r="Y1456" s="34">
        <f>IF(OR($A1456="",$H1456&lt;&gt;"Ausgabe",K1456=""),0,IF(K1456="x",-$E1456/(COUNTIF($J1456:$Q1456,"x")+1),-$E1456*N(K1456)))</f>
        <v/>
      </c>
      <c r="Z1456" s="34">
        <f>IF(OR($A1456="",$H1456&lt;&gt;"Ausgabe",L1456=""),0,IF(L1456="x",-$E1456/(COUNTIF($J1456:$Q1456,"x")+1),-$E1456*N(L1456)))</f>
        <v/>
      </c>
      <c r="AA1456" s="34">
        <f>IF(OR($A1456="",$H1456&lt;&gt;"Ausgabe",M1456=""),0,IF(M1456="x",-$E1456/(COUNTIF($J1456:$Q1456,"x")+1),-$E1456*N(M1456)))</f>
        <v/>
      </c>
      <c r="AB1456" s="34">
        <f>IF(OR($A1456="",$H1456&lt;&gt;"Ausgabe",N1456=""),0,IF(N1456="x",-$E1456/(COUNTIF($J1456:$Q1456,"x")+1),-$E1456*N(N1456)))</f>
        <v/>
      </c>
      <c r="AC1456" s="34">
        <f>IF(OR($A1456="",$H1456&lt;&gt;"Ausgabe",O1456=""),0,IF(O1456="x",-$E1456/(COUNTIF($J1456:$Q1456,"x")+1),-$E1456*N(O1456)))</f>
        <v/>
      </c>
      <c r="AD1456" s="34">
        <f>IF(OR($A1456="",$H1456&lt;&gt;"Ausgabe",P1456=""),0,IF(P1456="x",-$E1456/(COUNTIF($J1456:$Q1456,"x")+1),-$E1456*N(P1456)))</f>
        <v/>
      </c>
      <c r="AE1456" s="34">
        <f>IF(OR($A1456="",$H1456&lt;&gt;"Ausgabe",Q1456=""),0,IF(Q1456="x",-$E1456/(COUNTIF($J1456:$Q1456,"x")+1),-$E1456*N(Q1456)))</f>
        <v/>
      </c>
    </row>
    <row r="1457">
      <c r="A1457" s="30" t="n"/>
      <c r="E1457" s="31" t="n"/>
      <c r="J1457" s="32" t="n"/>
      <c r="K1457" s="32" t="n"/>
      <c r="L1457" s="32" t="n"/>
      <c r="M1457" s="32" t="n"/>
      <c r="N1457" s="32" t="n"/>
      <c r="O1457" s="32" t="n"/>
      <c r="P1457" s="32" t="n"/>
      <c r="Q1457" s="32" t="n"/>
      <c r="U1457" s="31">
        <f>IF($A1457="","",SUM(X1457:AE1457))</f>
        <v/>
      </c>
      <c r="V1457" s="31">
        <f>IF($A1457="","",IF($H1457&lt;&gt;"Ausgabe",0,-$E1457-$U1457))</f>
        <v/>
      </c>
      <c r="W1457" s="33">
        <f>IF($A1457="","",DATE(YEAR($A1457),MONTH($A1457),1))</f>
        <v/>
      </c>
      <c r="X1457" s="34">
        <f>IF(OR($A1457="",$H1457&lt;&gt;"Ausgabe",J1457=""),0,IF(J1457="x",-$E1457/(COUNTIF($J1457:$Q1457,"x")+1),-$E1457*N(J1457)))</f>
        <v/>
      </c>
      <c r="Y1457" s="34">
        <f>IF(OR($A1457="",$H1457&lt;&gt;"Ausgabe",K1457=""),0,IF(K1457="x",-$E1457/(COUNTIF($J1457:$Q1457,"x")+1),-$E1457*N(K1457)))</f>
        <v/>
      </c>
      <c r="Z1457" s="34">
        <f>IF(OR($A1457="",$H1457&lt;&gt;"Ausgabe",L1457=""),0,IF(L1457="x",-$E1457/(COUNTIF($J1457:$Q1457,"x")+1),-$E1457*N(L1457)))</f>
        <v/>
      </c>
      <c r="AA1457" s="34">
        <f>IF(OR($A1457="",$H1457&lt;&gt;"Ausgabe",M1457=""),0,IF(M1457="x",-$E1457/(COUNTIF($J1457:$Q1457,"x")+1),-$E1457*N(M1457)))</f>
        <v/>
      </c>
      <c r="AB1457" s="34">
        <f>IF(OR($A1457="",$H1457&lt;&gt;"Ausgabe",N1457=""),0,IF(N1457="x",-$E1457/(COUNTIF($J1457:$Q1457,"x")+1),-$E1457*N(N1457)))</f>
        <v/>
      </c>
      <c r="AC1457" s="34">
        <f>IF(OR($A1457="",$H1457&lt;&gt;"Ausgabe",O1457=""),0,IF(O1457="x",-$E1457/(COUNTIF($J1457:$Q1457,"x")+1),-$E1457*N(O1457)))</f>
        <v/>
      </c>
      <c r="AD1457" s="34">
        <f>IF(OR($A1457="",$H1457&lt;&gt;"Ausgabe",P1457=""),0,IF(P1457="x",-$E1457/(COUNTIF($J1457:$Q1457,"x")+1),-$E1457*N(P1457)))</f>
        <v/>
      </c>
      <c r="AE1457" s="34">
        <f>IF(OR($A1457="",$H1457&lt;&gt;"Ausgabe",Q1457=""),0,IF(Q1457="x",-$E1457/(COUNTIF($J1457:$Q1457,"x")+1),-$E1457*N(Q1457)))</f>
        <v/>
      </c>
    </row>
    <row r="1458">
      <c r="A1458" s="30" t="n"/>
      <c r="E1458" s="31" t="n"/>
      <c r="J1458" s="32" t="n"/>
      <c r="K1458" s="32" t="n"/>
      <c r="L1458" s="32" t="n"/>
      <c r="M1458" s="32" t="n"/>
      <c r="N1458" s="32" t="n"/>
      <c r="O1458" s="32" t="n"/>
      <c r="P1458" s="32" t="n"/>
      <c r="Q1458" s="32" t="n"/>
      <c r="U1458" s="31">
        <f>IF($A1458="","",SUM(X1458:AE1458))</f>
        <v/>
      </c>
      <c r="V1458" s="31">
        <f>IF($A1458="","",IF($H1458&lt;&gt;"Ausgabe",0,-$E1458-$U1458))</f>
        <v/>
      </c>
      <c r="W1458" s="33">
        <f>IF($A1458="","",DATE(YEAR($A1458),MONTH($A1458),1))</f>
        <v/>
      </c>
      <c r="X1458" s="34">
        <f>IF(OR($A1458="",$H1458&lt;&gt;"Ausgabe",J1458=""),0,IF(J1458="x",-$E1458/(COUNTIF($J1458:$Q1458,"x")+1),-$E1458*N(J1458)))</f>
        <v/>
      </c>
      <c r="Y1458" s="34">
        <f>IF(OR($A1458="",$H1458&lt;&gt;"Ausgabe",K1458=""),0,IF(K1458="x",-$E1458/(COUNTIF($J1458:$Q1458,"x")+1),-$E1458*N(K1458)))</f>
        <v/>
      </c>
      <c r="Z1458" s="34">
        <f>IF(OR($A1458="",$H1458&lt;&gt;"Ausgabe",L1458=""),0,IF(L1458="x",-$E1458/(COUNTIF($J1458:$Q1458,"x")+1),-$E1458*N(L1458)))</f>
        <v/>
      </c>
      <c r="AA1458" s="34">
        <f>IF(OR($A1458="",$H1458&lt;&gt;"Ausgabe",M1458=""),0,IF(M1458="x",-$E1458/(COUNTIF($J1458:$Q1458,"x")+1),-$E1458*N(M1458)))</f>
        <v/>
      </c>
      <c r="AB1458" s="34">
        <f>IF(OR($A1458="",$H1458&lt;&gt;"Ausgabe",N1458=""),0,IF(N1458="x",-$E1458/(COUNTIF($J1458:$Q1458,"x")+1),-$E1458*N(N1458)))</f>
        <v/>
      </c>
      <c r="AC1458" s="34">
        <f>IF(OR($A1458="",$H1458&lt;&gt;"Ausgabe",O1458=""),0,IF(O1458="x",-$E1458/(COUNTIF($J1458:$Q1458,"x")+1),-$E1458*N(O1458)))</f>
        <v/>
      </c>
      <c r="AD1458" s="34">
        <f>IF(OR($A1458="",$H1458&lt;&gt;"Ausgabe",P1458=""),0,IF(P1458="x",-$E1458/(COUNTIF($J1458:$Q1458,"x")+1),-$E1458*N(P1458)))</f>
        <v/>
      </c>
      <c r="AE1458" s="34">
        <f>IF(OR($A1458="",$H1458&lt;&gt;"Ausgabe",Q1458=""),0,IF(Q1458="x",-$E1458/(COUNTIF($J1458:$Q1458,"x")+1),-$E1458*N(Q1458)))</f>
        <v/>
      </c>
    </row>
    <row r="1459">
      <c r="A1459" s="30" t="n"/>
      <c r="E1459" s="31" t="n"/>
      <c r="J1459" s="32" t="n"/>
      <c r="K1459" s="32" t="n"/>
      <c r="L1459" s="32" t="n"/>
      <c r="M1459" s="32" t="n"/>
      <c r="N1459" s="32" t="n"/>
      <c r="O1459" s="32" t="n"/>
      <c r="P1459" s="32" t="n"/>
      <c r="Q1459" s="32" t="n"/>
      <c r="U1459" s="31">
        <f>IF($A1459="","",SUM(X1459:AE1459))</f>
        <v/>
      </c>
      <c r="V1459" s="31">
        <f>IF($A1459="","",IF($H1459&lt;&gt;"Ausgabe",0,-$E1459-$U1459))</f>
        <v/>
      </c>
      <c r="W1459" s="33">
        <f>IF($A1459="","",DATE(YEAR($A1459),MONTH($A1459),1))</f>
        <v/>
      </c>
      <c r="X1459" s="34">
        <f>IF(OR($A1459="",$H1459&lt;&gt;"Ausgabe",J1459=""),0,IF(J1459="x",-$E1459/(COUNTIF($J1459:$Q1459,"x")+1),-$E1459*N(J1459)))</f>
        <v/>
      </c>
      <c r="Y1459" s="34">
        <f>IF(OR($A1459="",$H1459&lt;&gt;"Ausgabe",K1459=""),0,IF(K1459="x",-$E1459/(COUNTIF($J1459:$Q1459,"x")+1),-$E1459*N(K1459)))</f>
        <v/>
      </c>
      <c r="Z1459" s="34">
        <f>IF(OR($A1459="",$H1459&lt;&gt;"Ausgabe",L1459=""),0,IF(L1459="x",-$E1459/(COUNTIF($J1459:$Q1459,"x")+1),-$E1459*N(L1459)))</f>
        <v/>
      </c>
      <c r="AA1459" s="34">
        <f>IF(OR($A1459="",$H1459&lt;&gt;"Ausgabe",M1459=""),0,IF(M1459="x",-$E1459/(COUNTIF($J1459:$Q1459,"x")+1),-$E1459*N(M1459)))</f>
        <v/>
      </c>
      <c r="AB1459" s="34">
        <f>IF(OR($A1459="",$H1459&lt;&gt;"Ausgabe",N1459=""),0,IF(N1459="x",-$E1459/(COUNTIF($J1459:$Q1459,"x")+1),-$E1459*N(N1459)))</f>
        <v/>
      </c>
      <c r="AC1459" s="34">
        <f>IF(OR($A1459="",$H1459&lt;&gt;"Ausgabe",O1459=""),0,IF(O1459="x",-$E1459/(COUNTIF($J1459:$Q1459,"x")+1),-$E1459*N(O1459)))</f>
        <v/>
      </c>
      <c r="AD1459" s="34">
        <f>IF(OR($A1459="",$H1459&lt;&gt;"Ausgabe",P1459=""),0,IF(P1459="x",-$E1459/(COUNTIF($J1459:$Q1459,"x")+1),-$E1459*N(P1459)))</f>
        <v/>
      </c>
      <c r="AE1459" s="34">
        <f>IF(OR($A1459="",$H1459&lt;&gt;"Ausgabe",Q1459=""),0,IF(Q1459="x",-$E1459/(COUNTIF($J1459:$Q1459,"x")+1),-$E1459*N(Q1459)))</f>
        <v/>
      </c>
    </row>
    <row r="1460">
      <c r="A1460" s="30" t="n"/>
      <c r="E1460" s="31" t="n"/>
      <c r="J1460" s="32" t="n"/>
      <c r="K1460" s="32" t="n"/>
      <c r="L1460" s="32" t="n"/>
      <c r="M1460" s="32" t="n"/>
      <c r="N1460" s="32" t="n"/>
      <c r="O1460" s="32" t="n"/>
      <c r="P1460" s="32" t="n"/>
      <c r="Q1460" s="32" t="n"/>
      <c r="U1460" s="31">
        <f>IF($A1460="","",SUM(X1460:AE1460))</f>
        <v/>
      </c>
      <c r="V1460" s="31">
        <f>IF($A1460="","",IF($H1460&lt;&gt;"Ausgabe",0,-$E1460-$U1460))</f>
        <v/>
      </c>
      <c r="W1460" s="33">
        <f>IF($A1460="","",DATE(YEAR($A1460),MONTH($A1460),1))</f>
        <v/>
      </c>
      <c r="X1460" s="34">
        <f>IF(OR($A1460="",$H1460&lt;&gt;"Ausgabe",J1460=""),0,IF(J1460="x",-$E1460/(COUNTIF($J1460:$Q1460,"x")+1),-$E1460*N(J1460)))</f>
        <v/>
      </c>
      <c r="Y1460" s="34">
        <f>IF(OR($A1460="",$H1460&lt;&gt;"Ausgabe",K1460=""),0,IF(K1460="x",-$E1460/(COUNTIF($J1460:$Q1460,"x")+1),-$E1460*N(K1460)))</f>
        <v/>
      </c>
      <c r="Z1460" s="34">
        <f>IF(OR($A1460="",$H1460&lt;&gt;"Ausgabe",L1460=""),0,IF(L1460="x",-$E1460/(COUNTIF($J1460:$Q1460,"x")+1),-$E1460*N(L1460)))</f>
        <v/>
      </c>
      <c r="AA1460" s="34">
        <f>IF(OR($A1460="",$H1460&lt;&gt;"Ausgabe",M1460=""),0,IF(M1460="x",-$E1460/(COUNTIF($J1460:$Q1460,"x")+1),-$E1460*N(M1460)))</f>
        <v/>
      </c>
      <c r="AB1460" s="34">
        <f>IF(OR($A1460="",$H1460&lt;&gt;"Ausgabe",N1460=""),0,IF(N1460="x",-$E1460/(COUNTIF($J1460:$Q1460,"x")+1),-$E1460*N(N1460)))</f>
        <v/>
      </c>
      <c r="AC1460" s="34">
        <f>IF(OR($A1460="",$H1460&lt;&gt;"Ausgabe",O1460=""),0,IF(O1460="x",-$E1460/(COUNTIF($J1460:$Q1460,"x")+1),-$E1460*N(O1460)))</f>
        <v/>
      </c>
      <c r="AD1460" s="34">
        <f>IF(OR($A1460="",$H1460&lt;&gt;"Ausgabe",P1460=""),0,IF(P1460="x",-$E1460/(COUNTIF($J1460:$Q1460,"x")+1),-$E1460*N(P1460)))</f>
        <v/>
      </c>
      <c r="AE1460" s="34">
        <f>IF(OR($A1460="",$H1460&lt;&gt;"Ausgabe",Q1460=""),0,IF(Q1460="x",-$E1460/(COUNTIF($J1460:$Q1460,"x")+1),-$E1460*N(Q1460)))</f>
        <v/>
      </c>
    </row>
    <row r="1461">
      <c r="A1461" s="30" t="n"/>
      <c r="E1461" s="31" t="n"/>
      <c r="J1461" s="32" t="n"/>
      <c r="K1461" s="32" t="n"/>
      <c r="L1461" s="32" t="n"/>
      <c r="M1461" s="32" t="n"/>
      <c r="N1461" s="32" t="n"/>
      <c r="O1461" s="32" t="n"/>
      <c r="P1461" s="32" t="n"/>
      <c r="Q1461" s="32" t="n"/>
      <c r="U1461" s="31">
        <f>IF($A1461="","",SUM(X1461:AE1461))</f>
        <v/>
      </c>
      <c r="V1461" s="31">
        <f>IF($A1461="","",IF($H1461&lt;&gt;"Ausgabe",0,-$E1461-$U1461))</f>
        <v/>
      </c>
      <c r="W1461" s="33">
        <f>IF($A1461="","",DATE(YEAR($A1461),MONTH($A1461),1))</f>
        <v/>
      </c>
      <c r="X1461" s="34">
        <f>IF(OR($A1461="",$H1461&lt;&gt;"Ausgabe",J1461=""),0,IF(J1461="x",-$E1461/(COUNTIF($J1461:$Q1461,"x")+1),-$E1461*N(J1461)))</f>
        <v/>
      </c>
      <c r="Y1461" s="34">
        <f>IF(OR($A1461="",$H1461&lt;&gt;"Ausgabe",K1461=""),0,IF(K1461="x",-$E1461/(COUNTIF($J1461:$Q1461,"x")+1),-$E1461*N(K1461)))</f>
        <v/>
      </c>
      <c r="Z1461" s="34">
        <f>IF(OR($A1461="",$H1461&lt;&gt;"Ausgabe",L1461=""),0,IF(L1461="x",-$E1461/(COUNTIF($J1461:$Q1461,"x")+1),-$E1461*N(L1461)))</f>
        <v/>
      </c>
      <c r="AA1461" s="34">
        <f>IF(OR($A1461="",$H1461&lt;&gt;"Ausgabe",M1461=""),0,IF(M1461="x",-$E1461/(COUNTIF($J1461:$Q1461,"x")+1),-$E1461*N(M1461)))</f>
        <v/>
      </c>
      <c r="AB1461" s="34">
        <f>IF(OR($A1461="",$H1461&lt;&gt;"Ausgabe",N1461=""),0,IF(N1461="x",-$E1461/(COUNTIF($J1461:$Q1461,"x")+1),-$E1461*N(N1461)))</f>
        <v/>
      </c>
      <c r="AC1461" s="34">
        <f>IF(OR($A1461="",$H1461&lt;&gt;"Ausgabe",O1461=""),0,IF(O1461="x",-$E1461/(COUNTIF($J1461:$Q1461,"x")+1),-$E1461*N(O1461)))</f>
        <v/>
      </c>
      <c r="AD1461" s="34">
        <f>IF(OR($A1461="",$H1461&lt;&gt;"Ausgabe",P1461=""),0,IF(P1461="x",-$E1461/(COUNTIF($J1461:$Q1461,"x")+1),-$E1461*N(P1461)))</f>
        <v/>
      </c>
      <c r="AE1461" s="34">
        <f>IF(OR($A1461="",$H1461&lt;&gt;"Ausgabe",Q1461=""),0,IF(Q1461="x",-$E1461/(COUNTIF($J1461:$Q1461,"x")+1),-$E1461*N(Q1461)))</f>
        <v/>
      </c>
    </row>
    <row r="1462">
      <c r="A1462" s="30" t="n"/>
      <c r="E1462" s="31" t="n"/>
      <c r="J1462" s="32" t="n"/>
      <c r="K1462" s="32" t="n"/>
      <c r="L1462" s="32" t="n"/>
      <c r="M1462" s="32" t="n"/>
      <c r="N1462" s="32" t="n"/>
      <c r="O1462" s="32" t="n"/>
      <c r="P1462" s="32" t="n"/>
      <c r="Q1462" s="32" t="n"/>
      <c r="U1462" s="31">
        <f>IF($A1462="","",SUM(X1462:AE1462))</f>
        <v/>
      </c>
      <c r="V1462" s="31">
        <f>IF($A1462="","",IF($H1462&lt;&gt;"Ausgabe",0,-$E1462-$U1462))</f>
        <v/>
      </c>
      <c r="W1462" s="33">
        <f>IF($A1462="","",DATE(YEAR($A1462),MONTH($A1462),1))</f>
        <v/>
      </c>
      <c r="X1462" s="34">
        <f>IF(OR($A1462="",$H1462&lt;&gt;"Ausgabe",J1462=""),0,IF(J1462="x",-$E1462/(COUNTIF($J1462:$Q1462,"x")+1),-$E1462*N(J1462)))</f>
        <v/>
      </c>
      <c r="Y1462" s="34">
        <f>IF(OR($A1462="",$H1462&lt;&gt;"Ausgabe",K1462=""),0,IF(K1462="x",-$E1462/(COUNTIF($J1462:$Q1462,"x")+1),-$E1462*N(K1462)))</f>
        <v/>
      </c>
      <c r="Z1462" s="34">
        <f>IF(OR($A1462="",$H1462&lt;&gt;"Ausgabe",L1462=""),0,IF(L1462="x",-$E1462/(COUNTIF($J1462:$Q1462,"x")+1),-$E1462*N(L1462)))</f>
        <v/>
      </c>
      <c r="AA1462" s="34">
        <f>IF(OR($A1462="",$H1462&lt;&gt;"Ausgabe",M1462=""),0,IF(M1462="x",-$E1462/(COUNTIF($J1462:$Q1462,"x")+1),-$E1462*N(M1462)))</f>
        <v/>
      </c>
      <c r="AB1462" s="34">
        <f>IF(OR($A1462="",$H1462&lt;&gt;"Ausgabe",N1462=""),0,IF(N1462="x",-$E1462/(COUNTIF($J1462:$Q1462,"x")+1),-$E1462*N(N1462)))</f>
        <v/>
      </c>
      <c r="AC1462" s="34">
        <f>IF(OR($A1462="",$H1462&lt;&gt;"Ausgabe",O1462=""),0,IF(O1462="x",-$E1462/(COUNTIF($J1462:$Q1462,"x")+1),-$E1462*N(O1462)))</f>
        <v/>
      </c>
      <c r="AD1462" s="34">
        <f>IF(OR($A1462="",$H1462&lt;&gt;"Ausgabe",P1462=""),0,IF(P1462="x",-$E1462/(COUNTIF($J1462:$Q1462,"x")+1),-$E1462*N(P1462)))</f>
        <v/>
      </c>
      <c r="AE1462" s="34">
        <f>IF(OR($A1462="",$H1462&lt;&gt;"Ausgabe",Q1462=""),0,IF(Q1462="x",-$E1462/(COUNTIF($J1462:$Q1462,"x")+1),-$E1462*N(Q1462)))</f>
        <v/>
      </c>
    </row>
    <row r="1463">
      <c r="A1463" s="30" t="n"/>
      <c r="E1463" s="31" t="n"/>
      <c r="J1463" s="32" t="n"/>
      <c r="K1463" s="32" t="n"/>
      <c r="L1463" s="32" t="n"/>
      <c r="M1463" s="32" t="n"/>
      <c r="N1463" s="32" t="n"/>
      <c r="O1463" s="32" t="n"/>
      <c r="P1463" s="32" t="n"/>
      <c r="Q1463" s="32" t="n"/>
      <c r="U1463" s="31">
        <f>IF($A1463="","",SUM(X1463:AE1463))</f>
        <v/>
      </c>
      <c r="V1463" s="31">
        <f>IF($A1463="","",IF($H1463&lt;&gt;"Ausgabe",0,-$E1463-$U1463))</f>
        <v/>
      </c>
      <c r="W1463" s="33">
        <f>IF($A1463="","",DATE(YEAR($A1463),MONTH($A1463),1))</f>
        <v/>
      </c>
      <c r="X1463" s="34">
        <f>IF(OR($A1463="",$H1463&lt;&gt;"Ausgabe",J1463=""),0,IF(J1463="x",-$E1463/(COUNTIF($J1463:$Q1463,"x")+1),-$E1463*N(J1463)))</f>
        <v/>
      </c>
      <c r="Y1463" s="34">
        <f>IF(OR($A1463="",$H1463&lt;&gt;"Ausgabe",K1463=""),0,IF(K1463="x",-$E1463/(COUNTIF($J1463:$Q1463,"x")+1),-$E1463*N(K1463)))</f>
        <v/>
      </c>
      <c r="Z1463" s="34">
        <f>IF(OR($A1463="",$H1463&lt;&gt;"Ausgabe",L1463=""),0,IF(L1463="x",-$E1463/(COUNTIF($J1463:$Q1463,"x")+1),-$E1463*N(L1463)))</f>
        <v/>
      </c>
      <c r="AA1463" s="34">
        <f>IF(OR($A1463="",$H1463&lt;&gt;"Ausgabe",M1463=""),0,IF(M1463="x",-$E1463/(COUNTIF($J1463:$Q1463,"x")+1),-$E1463*N(M1463)))</f>
        <v/>
      </c>
      <c r="AB1463" s="34">
        <f>IF(OR($A1463="",$H1463&lt;&gt;"Ausgabe",N1463=""),0,IF(N1463="x",-$E1463/(COUNTIF($J1463:$Q1463,"x")+1),-$E1463*N(N1463)))</f>
        <v/>
      </c>
      <c r="AC1463" s="34">
        <f>IF(OR($A1463="",$H1463&lt;&gt;"Ausgabe",O1463=""),0,IF(O1463="x",-$E1463/(COUNTIF($J1463:$Q1463,"x")+1),-$E1463*N(O1463)))</f>
        <v/>
      </c>
      <c r="AD1463" s="34">
        <f>IF(OR($A1463="",$H1463&lt;&gt;"Ausgabe",P1463=""),0,IF(P1463="x",-$E1463/(COUNTIF($J1463:$Q1463,"x")+1),-$E1463*N(P1463)))</f>
        <v/>
      </c>
      <c r="AE1463" s="34">
        <f>IF(OR($A1463="",$H1463&lt;&gt;"Ausgabe",Q1463=""),0,IF(Q1463="x",-$E1463/(COUNTIF($J1463:$Q1463,"x")+1),-$E1463*N(Q1463)))</f>
        <v/>
      </c>
    </row>
    <row r="1464">
      <c r="A1464" s="30" t="n"/>
      <c r="E1464" s="31" t="n"/>
      <c r="J1464" s="32" t="n"/>
      <c r="K1464" s="32" t="n"/>
      <c r="L1464" s="32" t="n"/>
      <c r="M1464" s="32" t="n"/>
      <c r="N1464" s="32" t="n"/>
      <c r="O1464" s="32" t="n"/>
      <c r="P1464" s="32" t="n"/>
      <c r="Q1464" s="32" t="n"/>
      <c r="U1464" s="31">
        <f>IF($A1464="","",SUM(X1464:AE1464))</f>
        <v/>
      </c>
      <c r="V1464" s="31">
        <f>IF($A1464="","",IF($H1464&lt;&gt;"Ausgabe",0,-$E1464-$U1464))</f>
        <v/>
      </c>
      <c r="W1464" s="33">
        <f>IF($A1464="","",DATE(YEAR($A1464),MONTH($A1464),1))</f>
        <v/>
      </c>
      <c r="X1464" s="34">
        <f>IF(OR($A1464="",$H1464&lt;&gt;"Ausgabe",J1464=""),0,IF(J1464="x",-$E1464/(COUNTIF($J1464:$Q1464,"x")+1),-$E1464*N(J1464)))</f>
        <v/>
      </c>
      <c r="Y1464" s="34">
        <f>IF(OR($A1464="",$H1464&lt;&gt;"Ausgabe",K1464=""),0,IF(K1464="x",-$E1464/(COUNTIF($J1464:$Q1464,"x")+1),-$E1464*N(K1464)))</f>
        <v/>
      </c>
      <c r="Z1464" s="34">
        <f>IF(OR($A1464="",$H1464&lt;&gt;"Ausgabe",L1464=""),0,IF(L1464="x",-$E1464/(COUNTIF($J1464:$Q1464,"x")+1),-$E1464*N(L1464)))</f>
        <v/>
      </c>
      <c r="AA1464" s="34">
        <f>IF(OR($A1464="",$H1464&lt;&gt;"Ausgabe",M1464=""),0,IF(M1464="x",-$E1464/(COUNTIF($J1464:$Q1464,"x")+1),-$E1464*N(M1464)))</f>
        <v/>
      </c>
      <c r="AB1464" s="34">
        <f>IF(OR($A1464="",$H1464&lt;&gt;"Ausgabe",N1464=""),0,IF(N1464="x",-$E1464/(COUNTIF($J1464:$Q1464,"x")+1),-$E1464*N(N1464)))</f>
        <v/>
      </c>
      <c r="AC1464" s="34">
        <f>IF(OR($A1464="",$H1464&lt;&gt;"Ausgabe",O1464=""),0,IF(O1464="x",-$E1464/(COUNTIF($J1464:$Q1464,"x")+1),-$E1464*N(O1464)))</f>
        <v/>
      </c>
      <c r="AD1464" s="34">
        <f>IF(OR($A1464="",$H1464&lt;&gt;"Ausgabe",P1464=""),0,IF(P1464="x",-$E1464/(COUNTIF($J1464:$Q1464,"x")+1),-$E1464*N(P1464)))</f>
        <v/>
      </c>
      <c r="AE1464" s="34">
        <f>IF(OR($A1464="",$H1464&lt;&gt;"Ausgabe",Q1464=""),0,IF(Q1464="x",-$E1464/(COUNTIF($J1464:$Q1464,"x")+1),-$E1464*N(Q1464)))</f>
        <v/>
      </c>
    </row>
    <row r="1465">
      <c r="A1465" s="30" t="n"/>
      <c r="E1465" s="31" t="n"/>
      <c r="J1465" s="32" t="n"/>
      <c r="K1465" s="32" t="n"/>
      <c r="L1465" s="32" t="n"/>
      <c r="M1465" s="32" t="n"/>
      <c r="N1465" s="32" t="n"/>
      <c r="O1465" s="32" t="n"/>
      <c r="P1465" s="32" t="n"/>
      <c r="Q1465" s="32" t="n"/>
      <c r="U1465" s="31">
        <f>IF($A1465="","",SUM(X1465:AE1465))</f>
        <v/>
      </c>
      <c r="V1465" s="31">
        <f>IF($A1465="","",IF($H1465&lt;&gt;"Ausgabe",0,-$E1465-$U1465))</f>
        <v/>
      </c>
      <c r="W1465" s="33">
        <f>IF($A1465="","",DATE(YEAR($A1465),MONTH($A1465),1))</f>
        <v/>
      </c>
      <c r="X1465" s="34">
        <f>IF(OR($A1465="",$H1465&lt;&gt;"Ausgabe",J1465=""),0,IF(J1465="x",-$E1465/(COUNTIF($J1465:$Q1465,"x")+1),-$E1465*N(J1465)))</f>
        <v/>
      </c>
      <c r="Y1465" s="34">
        <f>IF(OR($A1465="",$H1465&lt;&gt;"Ausgabe",K1465=""),0,IF(K1465="x",-$E1465/(COUNTIF($J1465:$Q1465,"x")+1),-$E1465*N(K1465)))</f>
        <v/>
      </c>
      <c r="Z1465" s="34">
        <f>IF(OR($A1465="",$H1465&lt;&gt;"Ausgabe",L1465=""),0,IF(L1465="x",-$E1465/(COUNTIF($J1465:$Q1465,"x")+1),-$E1465*N(L1465)))</f>
        <v/>
      </c>
      <c r="AA1465" s="34">
        <f>IF(OR($A1465="",$H1465&lt;&gt;"Ausgabe",M1465=""),0,IF(M1465="x",-$E1465/(COUNTIF($J1465:$Q1465,"x")+1),-$E1465*N(M1465)))</f>
        <v/>
      </c>
      <c r="AB1465" s="34">
        <f>IF(OR($A1465="",$H1465&lt;&gt;"Ausgabe",N1465=""),0,IF(N1465="x",-$E1465/(COUNTIF($J1465:$Q1465,"x")+1),-$E1465*N(N1465)))</f>
        <v/>
      </c>
      <c r="AC1465" s="34">
        <f>IF(OR($A1465="",$H1465&lt;&gt;"Ausgabe",O1465=""),0,IF(O1465="x",-$E1465/(COUNTIF($J1465:$Q1465,"x")+1),-$E1465*N(O1465)))</f>
        <v/>
      </c>
      <c r="AD1465" s="34">
        <f>IF(OR($A1465="",$H1465&lt;&gt;"Ausgabe",P1465=""),0,IF(P1465="x",-$E1465/(COUNTIF($J1465:$Q1465,"x")+1),-$E1465*N(P1465)))</f>
        <v/>
      </c>
      <c r="AE1465" s="34">
        <f>IF(OR($A1465="",$H1465&lt;&gt;"Ausgabe",Q1465=""),0,IF(Q1465="x",-$E1465/(COUNTIF($J1465:$Q1465,"x")+1),-$E1465*N(Q1465)))</f>
        <v/>
      </c>
    </row>
    <row r="1466">
      <c r="A1466" s="30" t="n"/>
      <c r="E1466" s="31" t="n"/>
      <c r="J1466" s="32" t="n"/>
      <c r="K1466" s="32" t="n"/>
      <c r="L1466" s="32" t="n"/>
      <c r="M1466" s="32" t="n"/>
      <c r="N1466" s="32" t="n"/>
      <c r="O1466" s="32" t="n"/>
      <c r="P1466" s="32" t="n"/>
      <c r="Q1466" s="32" t="n"/>
      <c r="U1466" s="31">
        <f>IF($A1466="","",SUM(X1466:AE1466))</f>
        <v/>
      </c>
      <c r="V1466" s="31">
        <f>IF($A1466="","",IF($H1466&lt;&gt;"Ausgabe",0,-$E1466-$U1466))</f>
        <v/>
      </c>
      <c r="W1466" s="33">
        <f>IF($A1466="","",DATE(YEAR($A1466),MONTH($A1466),1))</f>
        <v/>
      </c>
      <c r="X1466" s="34">
        <f>IF(OR($A1466="",$H1466&lt;&gt;"Ausgabe",J1466=""),0,IF(J1466="x",-$E1466/(COUNTIF($J1466:$Q1466,"x")+1),-$E1466*N(J1466)))</f>
        <v/>
      </c>
      <c r="Y1466" s="34">
        <f>IF(OR($A1466="",$H1466&lt;&gt;"Ausgabe",K1466=""),0,IF(K1466="x",-$E1466/(COUNTIF($J1466:$Q1466,"x")+1),-$E1466*N(K1466)))</f>
        <v/>
      </c>
      <c r="Z1466" s="34">
        <f>IF(OR($A1466="",$H1466&lt;&gt;"Ausgabe",L1466=""),0,IF(L1466="x",-$E1466/(COUNTIF($J1466:$Q1466,"x")+1),-$E1466*N(L1466)))</f>
        <v/>
      </c>
      <c r="AA1466" s="34">
        <f>IF(OR($A1466="",$H1466&lt;&gt;"Ausgabe",M1466=""),0,IF(M1466="x",-$E1466/(COUNTIF($J1466:$Q1466,"x")+1),-$E1466*N(M1466)))</f>
        <v/>
      </c>
      <c r="AB1466" s="34">
        <f>IF(OR($A1466="",$H1466&lt;&gt;"Ausgabe",N1466=""),0,IF(N1466="x",-$E1466/(COUNTIF($J1466:$Q1466,"x")+1),-$E1466*N(N1466)))</f>
        <v/>
      </c>
      <c r="AC1466" s="34">
        <f>IF(OR($A1466="",$H1466&lt;&gt;"Ausgabe",O1466=""),0,IF(O1466="x",-$E1466/(COUNTIF($J1466:$Q1466,"x")+1),-$E1466*N(O1466)))</f>
        <v/>
      </c>
      <c r="AD1466" s="34">
        <f>IF(OR($A1466="",$H1466&lt;&gt;"Ausgabe",P1466=""),0,IF(P1466="x",-$E1466/(COUNTIF($J1466:$Q1466,"x")+1),-$E1466*N(P1466)))</f>
        <v/>
      </c>
      <c r="AE1466" s="34">
        <f>IF(OR($A1466="",$H1466&lt;&gt;"Ausgabe",Q1466=""),0,IF(Q1466="x",-$E1466/(COUNTIF($J1466:$Q1466,"x")+1),-$E1466*N(Q1466)))</f>
        <v/>
      </c>
    </row>
    <row r="1467">
      <c r="A1467" s="30" t="n"/>
      <c r="E1467" s="31" t="n"/>
      <c r="J1467" s="32" t="n"/>
      <c r="K1467" s="32" t="n"/>
      <c r="L1467" s="32" t="n"/>
      <c r="M1467" s="32" t="n"/>
      <c r="N1467" s="32" t="n"/>
      <c r="O1467" s="32" t="n"/>
      <c r="P1467" s="32" t="n"/>
      <c r="Q1467" s="32" t="n"/>
      <c r="U1467" s="31">
        <f>IF($A1467="","",SUM(X1467:AE1467))</f>
        <v/>
      </c>
      <c r="V1467" s="31">
        <f>IF($A1467="","",IF($H1467&lt;&gt;"Ausgabe",0,-$E1467-$U1467))</f>
        <v/>
      </c>
      <c r="W1467" s="33">
        <f>IF($A1467="","",DATE(YEAR($A1467),MONTH($A1467),1))</f>
        <v/>
      </c>
      <c r="X1467" s="34">
        <f>IF(OR($A1467="",$H1467&lt;&gt;"Ausgabe",J1467=""),0,IF(J1467="x",-$E1467/(COUNTIF($J1467:$Q1467,"x")+1),-$E1467*N(J1467)))</f>
        <v/>
      </c>
      <c r="Y1467" s="34">
        <f>IF(OR($A1467="",$H1467&lt;&gt;"Ausgabe",K1467=""),0,IF(K1467="x",-$E1467/(COUNTIF($J1467:$Q1467,"x")+1),-$E1467*N(K1467)))</f>
        <v/>
      </c>
      <c r="Z1467" s="34">
        <f>IF(OR($A1467="",$H1467&lt;&gt;"Ausgabe",L1467=""),0,IF(L1467="x",-$E1467/(COUNTIF($J1467:$Q1467,"x")+1),-$E1467*N(L1467)))</f>
        <v/>
      </c>
      <c r="AA1467" s="34">
        <f>IF(OR($A1467="",$H1467&lt;&gt;"Ausgabe",M1467=""),0,IF(M1467="x",-$E1467/(COUNTIF($J1467:$Q1467,"x")+1),-$E1467*N(M1467)))</f>
        <v/>
      </c>
      <c r="AB1467" s="34">
        <f>IF(OR($A1467="",$H1467&lt;&gt;"Ausgabe",N1467=""),0,IF(N1467="x",-$E1467/(COUNTIF($J1467:$Q1467,"x")+1),-$E1467*N(N1467)))</f>
        <v/>
      </c>
      <c r="AC1467" s="34">
        <f>IF(OR($A1467="",$H1467&lt;&gt;"Ausgabe",O1467=""),0,IF(O1467="x",-$E1467/(COUNTIF($J1467:$Q1467,"x")+1),-$E1467*N(O1467)))</f>
        <v/>
      </c>
      <c r="AD1467" s="34">
        <f>IF(OR($A1467="",$H1467&lt;&gt;"Ausgabe",P1467=""),0,IF(P1467="x",-$E1467/(COUNTIF($J1467:$Q1467,"x")+1),-$E1467*N(P1467)))</f>
        <v/>
      </c>
      <c r="AE1467" s="34">
        <f>IF(OR($A1467="",$H1467&lt;&gt;"Ausgabe",Q1467=""),0,IF(Q1467="x",-$E1467/(COUNTIF($J1467:$Q1467,"x")+1),-$E1467*N(Q1467)))</f>
        <v/>
      </c>
    </row>
    <row r="1468">
      <c r="A1468" s="30" t="n"/>
      <c r="E1468" s="31" t="n"/>
      <c r="J1468" s="32" t="n"/>
      <c r="K1468" s="32" t="n"/>
      <c r="L1468" s="32" t="n"/>
      <c r="M1468" s="32" t="n"/>
      <c r="N1468" s="32" t="n"/>
      <c r="O1468" s="32" t="n"/>
      <c r="P1468" s="32" t="n"/>
      <c r="Q1468" s="32" t="n"/>
      <c r="U1468" s="31">
        <f>IF($A1468="","",SUM(X1468:AE1468))</f>
        <v/>
      </c>
      <c r="V1468" s="31">
        <f>IF($A1468="","",IF($H1468&lt;&gt;"Ausgabe",0,-$E1468-$U1468))</f>
        <v/>
      </c>
      <c r="W1468" s="33">
        <f>IF($A1468="","",DATE(YEAR($A1468),MONTH($A1468),1))</f>
        <v/>
      </c>
      <c r="X1468" s="34">
        <f>IF(OR($A1468="",$H1468&lt;&gt;"Ausgabe",J1468=""),0,IF(J1468="x",-$E1468/(COUNTIF($J1468:$Q1468,"x")+1),-$E1468*N(J1468)))</f>
        <v/>
      </c>
      <c r="Y1468" s="34">
        <f>IF(OR($A1468="",$H1468&lt;&gt;"Ausgabe",K1468=""),0,IF(K1468="x",-$E1468/(COUNTIF($J1468:$Q1468,"x")+1),-$E1468*N(K1468)))</f>
        <v/>
      </c>
      <c r="Z1468" s="34">
        <f>IF(OR($A1468="",$H1468&lt;&gt;"Ausgabe",L1468=""),0,IF(L1468="x",-$E1468/(COUNTIF($J1468:$Q1468,"x")+1),-$E1468*N(L1468)))</f>
        <v/>
      </c>
      <c r="AA1468" s="34">
        <f>IF(OR($A1468="",$H1468&lt;&gt;"Ausgabe",M1468=""),0,IF(M1468="x",-$E1468/(COUNTIF($J1468:$Q1468,"x")+1),-$E1468*N(M1468)))</f>
        <v/>
      </c>
      <c r="AB1468" s="34">
        <f>IF(OR($A1468="",$H1468&lt;&gt;"Ausgabe",N1468=""),0,IF(N1468="x",-$E1468/(COUNTIF($J1468:$Q1468,"x")+1),-$E1468*N(N1468)))</f>
        <v/>
      </c>
      <c r="AC1468" s="34">
        <f>IF(OR($A1468="",$H1468&lt;&gt;"Ausgabe",O1468=""),0,IF(O1468="x",-$E1468/(COUNTIF($J1468:$Q1468,"x")+1),-$E1468*N(O1468)))</f>
        <v/>
      </c>
      <c r="AD1468" s="34">
        <f>IF(OR($A1468="",$H1468&lt;&gt;"Ausgabe",P1468=""),0,IF(P1468="x",-$E1468/(COUNTIF($J1468:$Q1468,"x")+1),-$E1468*N(P1468)))</f>
        <v/>
      </c>
      <c r="AE1468" s="34">
        <f>IF(OR($A1468="",$H1468&lt;&gt;"Ausgabe",Q1468=""),0,IF(Q1468="x",-$E1468/(COUNTIF($J1468:$Q1468,"x")+1),-$E1468*N(Q1468)))</f>
        <v/>
      </c>
    </row>
    <row r="1469">
      <c r="A1469" s="30" t="n"/>
      <c r="E1469" s="31" t="n"/>
      <c r="J1469" s="32" t="n"/>
      <c r="K1469" s="32" t="n"/>
      <c r="L1469" s="32" t="n"/>
      <c r="M1469" s="32" t="n"/>
      <c r="N1469" s="32" t="n"/>
      <c r="O1469" s="32" t="n"/>
      <c r="P1469" s="32" t="n"/>
      <c r="Q1469" s="32" t="n"/>
      <c r="U1469" s="31">
        <f>IF($A1469="","",SUM(X1469:AE1469))</f>
        <v/>
      </c>
      <c r="V1469" s="31">
        <f>IF($A1469="","",IF($H1469&lt;&gt;"Ausgabe",0,-$E1469-$U1469))</f>
        <v/>
      </c>
      <c r="W1469" s="33">
        <f>IF($A1469="","",DATE(YEAR($A1469),MONTH($A1469),1))</f>
        <v/>
      </c>
      <c r="X1469" s="34">
        <f>IF(OR($A1469="",$H1469&lt;&gt;"Ausgabe",J1469=""),0,IF(J1469="x",-$E1469/(COUNTIF($J1469:$Q1469,"x")+1),-$E1469*N(J1469)))</f>
        <v/>
      </c>
      <c r="Y1469" s="34">
        <f>IF(OR($A1469="",$H1469&lt;&gt;"Ausgabe",K1469=""),0,IF(K1469="x",-$E1469/(COUNTIF($J1469:$Q1469,"x")+1),-$E1469*N(K1469)))</f>
        <v/>
      </c>
      <c r="Z1469" s="34">
        <f>IF(OR($A1469="",$H1469&lt;&gt;"Ausgabe",L1469=""),0,IF(L1469="x",-$E1469/(COUNTIF($J1469:$Q1469,"x")+1),-$E1469*N(L1469)))</f>
        <v/>
      </c>
      <c r="AA1469" s="34">
        <f>IF(OR($A1469="",$H1469&lt;&gt;"Ausgabe",M1469=""),0,IF(M1469="x",-$E1469/(COUNTIF($J1469:$Q1469,"x")+1),-$E1469*N(M1469)))</f>
        <v/>
      </c>
      <c r="AB1469" s="34">
        <f>IF(OR($A1469="",$H1469&lt;&gt;"Ausgabe",N1469=""),0,IF(N1469="x",-$E1469/(COUNTIF($J1469:$Q1469,"x")+1),-$E1469*N(N1469)))</f>
        <v/>
      </c>
      <c r="AC1469" s="34">
        <f>IF(OR($A1469="",$H1469&lt;&gt;"Ausgabe",O1469=""),0,IF(O1469="x",-$E1469/(COUNTIF($J1469:$Q1469,"x")+1),-$E1469*N(O1469)))</f>
        <v/>
      </c>
      <c r="AD1469" s="34">
        <f>IF(OR($A1469="",$H1469&lt;&gt;"Ausgabe",P1469=""),0,IF(P1469="x",-$E1469/(COUNTIF($J1469:$Q1469,"x")+1),-$E1469*N(P1469)))</f>
        <v/>
      </c>
      <c r="AE1469" s="34">
        <f>IF(OR($A1469="",$H1469&lt;&gt;"Ausgabe",Q1469=""),0,IF(Q1469="x",-$E1469/(COUNTIF($J1469:$Q1469,"x")+1),-$E1469*N(Q1469)))</f>
        <v/>
      </c>
    </row>
    <row r="1470">
      <c r="A1470" s="30" t="n"/>
      <c r="E1470" s="31" t="n"/>
      <c r="J1470" s="32" t="n"/>
      <c r="K1470" s="32" t="n"/>
      <c r="L1470" s="32" t="n"/>
      <c r="M1470" s="32" t="n"/>
      <c r="N1470" s="32" t="n"/>
      <c r="O1470" s="32" t="n"/>
      <c r="P1470" s="32" t="n"/>
      <c r="Q1470" s="32" t="n"/>
      <c r="U1470" s="31">
        <f>IF($A1470="","",SUM(X1470:AE1470))</f>
        <v/>
      </c>
      <c r="V1470" s="31">
        <f>IF($A1470="","",IF($H1470&lt;&gt;"Ausgabe",0,-$E1470-$U1470))</f>
        <v/>
      </c>
      <c r="W1470" s="33">
        <f>IF($A1470="","",DATE(YEAR($A1470),MONTH($A1470),1))</f>
        <v/>
      </c>
      <c r="X1470" s="34">
        <f>IF(OR($A1470="",$H1470&lt;&gt;"Ausgabe",J1470=""),0,IF(J1470="x",-$E1470/(COUNTIF($J1470:$Q1470,"x")+1),-$E1470*N(J1470)))</f>
        <v/>
      </c>
      <c r="Y1470" s="34">
        <f>IF(OR($A1470="",$H1470&lt;&gt;"Ausgabe",K1470=""),0,IF(K1470="x",-$E1470/(COUNTIF($J1470:$Q1470,"x")+1),-$E1470*N(K1470)))</f>
        <v/>
      </c>
      <c r="Z1470" s="34">
        <f>IF(OR($A1470="",$H1470&lt;&gt;"Ausgabe",L1470=""),0,IF(L1470="x",-$E1470/(COUNTIF($J1470:$Q1470,"x")+1),-$E1470*N(L1470)))</f>
        <v/>
      </c>
      <c r="AA1470" s="34">
        <f>IF(OR($A1470="",$H1470&lt;&gt;"Ausgabe",M1470=""),0,IF(M1470="x",-$E1470/(COUNTIF($J1470:$Q1470,"x")+1),-$E1470*N(M1470)))</f>
        <v/>
      </c>
      <c r="AB1470" s="34">
        <f>IF(OR($A1470="",$H1470&lt;&gt;"Ausgabe",N1470=""),0,IF(N1470="x",-$E1470/(COUNTIF($J1470:$Q1470,"x")+1),-$E1470*N(N1470)))</f>
        <v/>
      </c>
      <c r="AC1470" s="34">
        <f>IF(OR($A1470="",$H1470&lt;&gt;"Ausgabe",O1470=""),0,IF(O1470="x",-$E1470/(COUNTIF($J1470:$Q1470,"x")+1),-$E1470*N(O1470)))</f>
        <v/>
      </c>
      <c r="AD1470" s="34">
        <f>IF(OR($A1470="",$H1470&lt;&gt;"Ausgabe",P1470=""),0,IF(P1470="x",-$E1470/(COUNTIF($J1470:$Q1470,"x")+1),-$E1470*N(P1470)))</f>
        <v/>
      </c>
      <c r="AE1470" s="34">
        <f>IF(OR($A1470="",$H1470&lt;&gt;"Ausgabe",Q1470=""),0,IF(Q1470="x",-$E1470/(COUNTIF($J1470:$Q1470,"x")+1),-$E1470*N(Q1470)))</f>
        <v/>
      </c>
    </row>
    <row r="1471">
      <c r="A1471" s="30" t="n"/>
      <c r="E1471" s="31" t="n"/>
      <c r="J1471" s="32" t="n"/>
      <c r="K1471" s="32" t="n"/>
      <c r="L1471" s="32" t="n"/>
      <c r="M1471" s="32" t="n"/>
      <c r="N1471" s="32" t="n"/>
      <c r="O1471" s="32" t="n"/>
      <c r="P1471" s="32" t="n"/>
      <c r="Q1471" s="32" t="n"/>
      <c r="U1471" s="31">
        <f>IF($A1471="","",SUM(X1471:AE1471))</f>
        <v/>
      </c>
      <c r="V1471" s="31">
        <f>IF($A1471="","",IF($H1471&lt;&gt;"Ausgabe",0,-$E1471-$U1471))</f>
        <v/>
      </c>
      <c r="W1471" s="33">
        <f>IF($A1471="","",DATE(YEAR($A1471),MONTH($A1471),1))</f>
        <v/>
      </c>
      <c r="X1471" s="34">
        <f>IF(OR($A1471="",$H1471&lt;&gt;"Ausgabe",J1471=""),0,IF(J1471="x",-$E1471/(COUNTIF($J1471:$Q1471,"x")+1),-$E1471*N(J1471)))</f>
        <v/>
      </c>
      <c r="Y1471" s="34">
        <f>IF(OR($A1471="",$H1471&lt;&gt;"Ausgabe",K1471=""),0,IF(K1471="x",-$E1471/(COUNTIF($J1471:$Q1471,"x")+1),-$E1471*N(K1471)))</f>
        <v/>
      </c>
      <c r="Z1471" s="34">
        <f>IF(OR($A1471="",$H1471&lt;&gt;"Ausgabe",L1471=""),0,IF(L1471="x",-$E1471/(COUNTIF($J1471:$Q1471,"x")+1),-$E1471*N(L1471)))</f>
        <v/>
      </c>
      <c r="AA1471" s="34">
        <f>IF(OR($A1471="",$H1471&lt;&gt;"Ausgabe",M1471=""),0,IF(M1471="x",-$E1471/(COUNTIF($J1471:$Q1471,"x")+1),-$E1471*N(M1471)))</f>
        <v/>
      </c>
      <c r="AB1471" s="34">
        <f>IF(OR($A1471="",$H1471&lt;&gt;"Ausgabe",N1471=""),0,IF(N1471="x",-$E1471/(COUNTIF($J1471:$Q1471,"x")+1),-$E1471*N(N1471)))</f>
        <v/>
      </c>
      <c r="AC1471" s="34">
        <f>IF(OR($A1471="",$H1471&lt;&gt;"Ausgabe",O1471=""),0,IF(O1471="x",-$E1471/(COUNTIF($J1471:$Q1471,"x")+1),-$E1471*N(O1471)))</f>
        <v/>
      </c>
      <c r="AD1471" s="34">
        <f>IF(OR($A1471="",$H1471&lt;&gt;"Ausgabe",P1471=""),0,IF(P1471="x",-$E1471/(COUNTIF($J1471:$Q1471,"x")+1),-$E1471*N(P1471)))</f>
        <v/>
      </c>
      <c r="AE1471" s="34">
        <f>IF(OR($A1471="",$H1471&lt;&gt;"Ausgabe",Q1471=""),0,IF(Q1471="x",-$E1471/(COUNTIF($J1471:$Q1471,"x")+1),-$E1471*N(Q1471)))</f>
        <v/>
      </c>
    </row>
    <row r="1472">
      <c r="A1472" s="30" t="n"/>
      <c r="E1472" s="31" t="n"/>
      <c r="J1472" s="32" t="n"/>
      <c r="K1472" s="32" t="n"/>
      <c r="L1472" s="32" t="n"/>
      <c r="M1472" s="32" t="n"/>
      <c r="N1472" s="32" t="n"/>
      <c r="O1472" s="32" t="n"/>
      <c r="P1472" s="32" t="n"/>
      <c r="Q1472" s="32" t="n"/>
      <c r="U1472" s="31">
        <f>IF($A1472="","",SUM(X1472:AE1472))</f>
        <v/>
      </c>
      <c r="V1472" s="31">
        <f>IF($A1472="","",IF($H1472&lt;&gt;"Ausgabe",0,-$E1472-$U1472))</f>
        <v/>
      </c>
      <c r="W1472" s="33">
        <f>IF($A1472="","",DATE(YEAR($A1472),MONTH($A1472),1))</f>
        <v/>
      </c>
      <c r="X1472" s="34">
        <f>IF(OR($A1472="",$H1472&lt;&gt;"Ausgabe",J1472=""),0,IF(J1472="x",-$E1472/(COUNTIF($J1472:$Q1472,"x")+1),-$E1472*N(J1472)))</f>
        <v/>
      </c>
      <c r="Y1472" s="34">
        <f>IF(OR($A1472="",$H1472&lt;&gt;"Ausgabe",K1472=""),0,IF(K1472="x",-$E1472/(COUNTIF($J1472:$Q1472,"x")+1),-$E1472*N(K1472)))</f>
        <v/>
      </c>
      <c r="Z1472" s="34">
        <f>IF(OR($A1472="",$H1472&lt;&gt;"Ausgabe",L1472=""),0,IF(L1472="x",-$E1472/(COUNTIF($J1472:$Q1472,"x")+1),-$E1472*N(L1472)))</f>
        <v/>
      </c>
      <c r="AA1472" s="34">
        <f>IF(OR($A1472="",$H1472&lt;&gt;"Ausgabe",M1472=""),0,IF(M1472="x",-$E1472/(COUNTIF($J1472:$Q1472,"x")+1),-$E1472*N(M1472)))</f>
        <v/>
      </c>
      <c r="AB1472" s="34">
        <f>IF(OR($A1472="",$H1472&lt;&gt;"Ausgabe",N1472=""),0,IF(N1472="x",-$E1472/(COUNTIF($J1472:$Q1472,"x")+1),-$E1472*N(N1472)))</f>
        <v/>
      </c>
      <c r="AC1472" s="34">
        <f>IF(OR($A1472="",$H1472&lt;&gt;"Ausgabe",O1472=""),0,IF(O1472="x",-$E1472/(COUNTIF($J1472:$Q1472,"x")+1),-$E1472*N(O1472)))</f>
        <v/>
      </c>
      <c r="AD1472" s="34">
        <f>IF(OR($A1472="",$H1472&lt;&gt;"Ausgabe",P1472=""),0,IF(P1472="x",-$E1472/(COUNTIF($J1472:$Q1472,"x")+1),-$E1472*N(P1472)))</f>
        <v/>
      </c>
      <c r="AE1472" s="34">
        <f>IF(OR($A1472="",$H1472&lt;&gt;"Ausgabe",Q1472=""),0,IF(Q1472="x",-$E1472/(COUNTIF($J1472:$Q1472,"x")+1),-$E1472*N(Q1472)))</f>
        <v/>
      </c>
    </row>
    <row r="1473">
      <c r="A1473" s="30" t="n"/>
      <c r="E1473" s="31" t="n"/>
      <c r="J1473" s="32" t="n"/>
      <c r="K1473" s="32" t="n"/>
      <c r="L1473" s="32" t="n"/>
      <c r="M1473" s="32" t="n"/>
      <c r="N1473" s="32" t="n"/>
      <c r="O1473" s="32" t="n"/>
      <c r="P1473" s="32" t="n"/>
      <c r="Q1473" s="32" t="n"/>
      <c r="U1473" s="31">
        <f>IF($A1473="","",SUM(X1473:AE1473))</f>
        <v/>
      </c>
      <c r="V1473" s="31">
        <f>IF($A1473="","",IF($H1473&lt;&gt;"Ausgabe",0,-$E1473-$U1473))</f>
        <v/>
      </c>
      <c r="W1473" s="33">
        <f>IF($A1473="","",DATE(YEAR($A1473),MONTH($A1473),1))</f>
        <v/>
      </c>
      <c r="X1473" s="34">
        <f>IF(OR($A1473="",$H1473&lt;&gt;"Ausgabe",J1473=""),0,IF(J1473="x",-$E1473/(COUNTIF($J1473:$Q1473,"x")+1),-$E1473*N(J1473)))</f>
        <v/>
      </c>
      <c r="Y1473" s="34">
        <f>IF(OR($A1473="",$H1473&lt;&gt;"Ausgabe",K1473=""),0,IF(K1473="x",-$E1473/(COUNTIF($J1473:$Q1473,"x")+1),-$E1473*N(K1473)))</f>
        <v/>
      </c>
      <c r="Z1473" s="34">
        <f>IF(OR($A1473="",$H1473&lt;&gt;"Ausgabe",L1473=""),0,IF(L1473="x",-$E1473/(COUNTIF($J1473:$Q1473,"x")+1),-$E1473*N(L1473)))</f>
        <v/>
      </c>
      <c r="AA1473" s="34">
        <f>IF(OR($A1473="",$H1473&lt;&gt;"Ausgabe",M1473=""),0,IF(M1473="x",-$E1473/(COUNTIF($J1473:$Q1473,"x")+1),-$E1473*N(M1473)))</f>
        <v/>
      </c>
      <c r="AB1473" s="34">
        <f>IF(OR($A1473="",$H1473&lt;&gt;"Ausgabe",N1473=""),0,IF(N1473="x",-$E1473/(COUNTIF($J1473:$Q1473,"x")+1),-$E1473*N(N1473)))</f>
        <v/>
      </c>
      <c r="AC1473" s="34">
        <f>IF(OR($A1473="",$H1473&lt;&gt;"Ausgabe",O1473=""),0,IF(O1473="x",-$E1473/(COUNTIF($J1473:$Q1473,"x")+1),-$E1473*N(O1473)))</f>
        <v/>
      </c>
      <c r="AD1473" s="34">
        <f>IF(OR($A1473="",$H1473&lt;&gt;"Ausgabe",P1473=""),0,IF(P1473="x",-$E1473/(COUNTIF($J1473:$Q1473,"x")+1),-$E1473*N(P1473)))</f>
        <v/>
      </c>
      <c r="AE1473" s="34">
        <f>IF(OR($A1473="",$H1473&lt;&gt;"Ausgabe",Q1473=""),0,IF(Q1473="x",-$E1473/(COUNTIF($J1473:$Q1473,"x")+1),-$E1473*N(Q1473)))</f>
        <v/>
      </c>
    </row>
    <row r="1474">
      <c r="A1474" s="30" t="n"/>
      <c r="E1474" s="31" t="n"/>
      <c r="J1474" s="32" t="n"/>
      <c r="K1474" s="32" t="n"/>
      <c r="L1474" s="32" t="n"/>
      <c r="M1474" s="32" t="n"/>
      <c r="N1474" s="32" t="n"/>
      <c r="O1474" s="32" t="n"/>
      <c r="P1474" s="32" t="n"/>
      <c r="Q1474" s="32" t="n"/>
      <c r="U1474" s="31">
        <f>IF($A1474="","",SUM(X1474:AE1474))</f>
        <v/>
      </c>
      <c r="V1474" s="31">
        <f>IF($A1474="","",IF($H1474&lt;&gt;"Ausgabe",0,-$E1474-$U1474))</f>
        <v/>
      </c>
      <c r="W1474" s="33">
        <f>IF($A1474="","",DATE(YEAR($A1474),MONTH($A1474),1))</f>
        <v/>
      </c>
      <c r="X1474" s="34">
        <f>IF(OR($A1474="",$H1474&lt;&gt;"Ausgabe",J1474=""),0,IF(J1474="x",-$E1474/(COUNTIF($J1474:$Q1474,"x")+1),-$E1474*N(J1474)))</f>
        <v/>
      </c>
      <c r="Y1474" s="34">
        <f>IF(OR($A1474="",$H1474&lt;&gt;"Ausgabe",K1474=""),0,IF(K1474="x",-$E1474/(COUNTIF($J1474:$Q1474,"x")+1),-$E1474*N(K1474)))</f>
        <v/>
      </c>
      <c r="Z1474" s="34">
        <f>IF(OR($A1474="",$H1474&lt;&gt;"Ausgabe",L1474=""),0,IF(L1474="x",-$E1474/(COUNTIF($J1474:$Q1474,"x")+1),-$E1474*N(L1474)))</f>
        <v/>
      </c>
      <c r="AA1474" s="34">
        <f>IF(OR($A1474="",$H1474&lt;&gt;"Ausgabe",M1474=""),0,IF(M1474="x",-$E1474/(COUNTIF($J1474:$Q1474,"x")+1),-$E1474*N(M1474)))</f>
        <v/>
      </c>
      <c r="AB1474" s="34">
        <f>IF(OR($A1474="",$H1474&lt;&gt;"Ausgabe",N1474=""),0,IF(N1474="x",-$E1474/(COUNTIF($J1474:$Q1474,"x")+1),-$E1474*N(N1474)))</f>
        <v/>
      </c>
      <c r="AC1474" s="34">
        <f>IF(OR($A1474="",$H1474&lt;&gt;"Ausgabe",O1474=""),0,IF(O1474="x",-$E1474/(COUNTIF($J1474:$Q1474,"x")+1),-$E1474*N(O1474)))</f>
        <v/>
      </c>
      <c r="AD1474" s="34">
        <f>IF(OR($A1474="",$H1474&lt;&gt;"Ausgabe",P1474=""),0,IF(P1474="x",-$E1474/(COUNTIF($J1474:$Q1474,"x")+1),-$E1474*N(P1474)))</f>
        <v/>
      </c>
      <c r="AE1474" s="34">
        <f>IF(OR($A1474="",$H1474&lt;&gt;"Ausgabe",Q1474=""),0,IF(Q1474="x",-$E1474/(COUNTIF($J1474:$Q1474,"x")+1),-$E1474*N(Q1474)))</f>
        <v/>
      </c>
    </row>
    <row r="1475">
      <c r="A1475" s="30" t="n"/>
      <c r="E1475" s="31" t="n"/>
      <c r="J1475" s="32" t="n"/>
      <c r="K1475" s="32" t="n"/>
      <c r="L1475" s="32" t="n"/>
      <c r="M1475" s="32" t="n"/>
      <c r="N1475" s="32" t="n"/>
      <c r="O1475" s="32" t="n"/>
      <c r="P1475" s="32" t="n"/>
      <c r="Q1475" s="32" t="n"/>
      <c r="U1475" s="31">
        <f>IF($A1475="","",SUM(X1475:AE1475))</f>
        <v/>
      </c>
      <c r="V1475" s="31">
        <f>IF($A1475="","",IF($H1475&lt;&gt;"Ausgabe",0,-$E1475-$U1475))</f>
        <v/>
      </c>
      <c r="W1475" s="33">
        <f>IF($A1475="","",DATE(YEAR($A1475),MONTH($A1475),1))</f>
        <v/>
      </c>
      <c r="X1475" s="34">
        <f>IF(OR($A1475="",$H1475&lt;&gt;"Ausgabe",J1475=""),0,IF(J1475="x",-$E1475/(COUNTIF($J1475:$Q1475,"x")+1),-$E1475*N(J1475)))</f>
        <v/>
      </c>
      <c r="Y1475" s="34">
        <f>IF(OR($A1475="",$H1475&lt;&gt;"Ausgabe",K1475=""),0,IF(K1475="x",-$E1475/(COUNTIF($J1475:$Q1475,"x")+1),-$E1475*N(K1475)))</f>
        <v/>
      </c>
      <c r="Z1475" s="34">
        <f>IF(OR($A1475="",$H1475&lt;&gt;"Ausgabe",L1475=""),0,IF(L1475="x",-$E1475/(COUNTIF($J1475:$Q1475,"x")+1),-$E1475*N(L1475)))</f>
        <v/>
      </c>
      <c r="AA1475" s="34">
        <f>IF(OR($A1475="",$H1475&lt;&gt;"Ausgabe",M1475=""),0,IF(M1475="x",-$E1475/(COUNTIF($J1475:$Q1475,"x")+1),-$E1475*N(M1475)))</f>
        <v/>
      </c>
      <c r="AB1475" s="34">
        <f>IF(OR($A1475="",$H1475&lt;&gt;"Ausgabe",N1475=""),0,IF(N1475="x",-$E1475/(COUNTIF($J1475:$Q1475,"x")+1),-$E1475*N(N1475)))</f>
        <v/>
      </c>
      <c r="AC1475" s="34">
        <f>IF(OR($A1475="",$H1475&lt;&gt;"Ausgabe",O1475=""),0,IF(O1475="x",-$E1475/(COUNTIF($J1475:$Q1475,"x")+1),-$E1475*N(O1475)))</f>
        <v/>
      </c>
      <c r="AD1475" s="34">
        <f>IF(OR($A1475="",$H1475&lt;&gt;"Ausgabe",P1475=""),0,IF(P1475="x",-$E1475/(COUNTIF($J1475:$Q1475,"x")+1),-$E1475*N(P1475)))</f>
        <v/>
      </c>
      <c r="AE1475" s="34">
        <f>IF(OR($A1475="",$H1475&lt;&gt;"Ausgabe",Q1475=""),0,IF(Q1475="x",-$E1475/(COUNTIF($J1475:$Q1475,"x")+1),-$E1475*N(Q1475)))</f>
        <v/>
      </c>
    </row>
    <row r="1476">
      <c r="A1476" s="30" t="n"/>
      <c r="E1476" s="31" t="n"/>
      <c r="J1476" s="32" t="n"/>
      <c r="K1476" s="32" t="n"/>
      <c r="L1476" s="32" t="n"/>
      <c r="M1476" s="32" t="n"/>
      <c r="N1476" s="32" t="n"/>
      <c r="O1476" s="32" t="n"/>
      <c r="P1476" s="32" t="n"/>
      <c r="Q1476" s="32" t="n"/>
      <c r="U1476" s="31">
        <f>IF($A1476="","",SUM(X1476:AE1476))</f>
        <v/>
      </c>
      <c r="V1476" s="31">
        <f>IF($A1476="","",IF($H1476&lt;&gt;"Ausgabe",0,-$E1476-$U1476))</f>
        <v/>
      </c>
      <c r="W1476" s="33">
        <f>IF($A1476="","",DATE(YEAR($A1476),MONTH($A1476),1))</f>
        <v/>
      </c>
      <c r="X1476" s="34">
        <f>IF(OR($A1476="",$H1476&lt;&gt;"Ausgabe",J1476=""),0,IF(J1476="x",-$E1476/(COUNTIF($J1476:$Q1476,"x")+1),-$E1476*N(J1476)))</f>
        <v/>
      </c>
      <c r="Y1476" s="34">
        <f>IF(OR($A1476="",$H1476&lt;&gt;"Ausgabe",K1476=""),0,IF(K1476="x",-$E1476/(COUNTIF($J1476:$Q1476,"x")+1),-$E1476*N(K1476)))</f>
        <v/>
      </c>
      <c r="Z1476" s="34">
        <f>IF(OR($A1476="",$H1476&lt;&gt;"Ausgabe",L1476=""),0,IF(L1476="x",-$E1476/(COUNTIF($J1476:$Q1476,"x")+1),-$E1476*N(L1476)))</f>
        <v/>
      </c>
      <c r="AA1476" s="34">
        <f>IF(OR($A1476="",$H1476&lt;&gt;"Ausgabe",M1476=""),0,IF(M1476="x",-$E1476/(COUNTIF($J1476:$Q1476,"x")+1),-$E1476*N(M1476)))</f>
        <v/>
      </c>
      <c r="AB1476" s="34">
        <f>IF(OR($A1476="",$H1476&lt;&gt;"Ausgabe",N1476=""),0,IF(N1476="x",-$E1476/(COUNTIF($J1476:$Q1476,"x")+1),-$E1476*N(N1476)))</f>
        <v/>
      </c>
      <c r="AC1476" s="34">
        <f>IF(OR($A1476="",$H1476&lt;&gt;"Ausgabe",O1476=""),0,IF(O1476="x",-$E1476/(COUNTIF($J1476:$Q1476,"x")+1),-$E1476*N(O1476)))</f>
        <v/>
      </c>
      <c r="AD1476" s="34">
        <f>IF(OR($A1476="",$H1476&lt;&gt;"Ausgabe",P1476=""),0,IF(P1476="x",-$E1476/(COUNTIF($J1476:$Q1476,"x")+1),-$E1476*N(P1476)))</f>
        <v/>
      </c>
      <c r="AE1476" s="34">
        <f>IF(OR($A1476="",$H1476&lt;&gt;"Ausgabe",Q1476=""),0,IF(Q1476="x",-$E1476/(COUNTIF($J1476:$Q1476,"x")+1),-$E1476*N(Q1476)))</f>
        <v/>
      </c>
    </row>
    <row r="1477">
      <c r="A1477" s="30" t="n"/>
      <c r="E1477" s="31" t="n"/>
      <c r="J1477" s="32" t="n"/>
      <c r="K1477" s="32" t="n"/>
      <c r="L1477" s="32" t="n"/>
      <c r="M1477" s="32" t="n"/>
      <c r="N1477" s="32" t="n"/>
      <c r="O1477" s="32" t="n"/>
      <c r="P1477" s="32" t="n"/>
      <c r="Q1477" s="32" t="n"/>
      <c r="U1477" s="31">
        <f>IF($A1477="","",SUM(X1477:AE1477))</f>
        <v/>
      </c>
      <c r="V1477" s="31">
        <f>IF($A1477="","",IF($H1477&lt;&gt;"Ausgabe",0,-$E1477-$U1477))</f>
        <v/>
      </c>
      <c r="W1477" s="33">
        <f>IF($A1477="","",DATE(YEAR($A1477),MONTH($A1477),1))</f>
        <v/>
      </c>
      <c r="X1477" s="34">
        <f>IF(OR($A1477="",$H1477&lt;&gt;"Ausgabe",J1477=""),0,IF(J1477="x",-$E1477/(COUNTIF($J1477:$Q1477,"x")+1),-$E1477*N(J1477)))</f>
        <v/>
      </c>
      <c r="Y1477" s="34">
        <f>IF(OR($A1477="",$H1477&lt;&gt;"Ausgabe",K1477=""),0,IF(K1477="x",-$E1477/(COUNTIF($J1477:$Q1477,"x")+1),-$E1477*N(K1477)))</f>
        <v/>
      </c>
      <c r="Z1477" s="34">
        <f>IF(OR($A1477="",$H1477&lt;&gt;"Ausgabe",L1477=""),0,IF(L1477="x",-$E1477/(COUNTIF($J1477:$Q1477,"x")+1),-$E1477*N(L1477)))</f>
        <v/>
      </c>
      <c r="AA1477" s="34">
        <f>IF(OR($A1477="",$H1477&lt;&gt;"Ausgabe",M1477=""),0,IF(M1477="x",-$E1477/(COUNTIF($J1477:$Q1477,"x")+1),-$E1477*N(M1477)))</f>
        <v/>
      </c>
      <c r="AB1477" s="34">
        <f>IF(OR($A1477="",$H1477&lt;&gt;"Ausgabe",N1477=""),0,IF(N1477="x",-$E1477/(COUNTIF($J1477:$Q1477,"x")+1),-$E1477*N(N1477)))</f>
        <v/>
      </c>
      <c r="AC1477" s="34">
        <f>IF(OR($A1477="",$H1477&lt;&gt;"Ausgabe",O1477=""),0,IF(O1477="x",-$E1477/(COUNTIF($J1477:$Q1477,"x")+1),-$E1477*N(O1477)))</f>
        <v/>
      </c>
      <c r="AD1477" s="34">
        <f>IF(OR($A1477="",$H1477&lt;&gt;"Ausgabe",P1477=""),0,IF(P1477="x",-$E1477/(COUNTIF($J1477:$Q1477,"x")+1),-$E1477*N(P1477)))</f>
        <v/>
      </c>
      <c r="AE1477" s="34">
        <f>IF(OR($A1477="",$H1477&lt;&gt;"Ausgabe",Q1477=""),0,IF(Q1477="x",-$E1477/(COUNTIF($J1477:$Q1477,"x")+1),-$E1477*N(Q1477)))</f>
        <v/>
      </c>
    </row>
    <row r="1478">
      <c r="A1478" s="30" t="n"/>
      <c r="E1478" s="31" t="n"/>
      <c r="J1478" s="32" t="n"/>
      <c r="K1478" s="32" t="n"/>
      <c r="L1478" s="32" t="n"/>
      <c r="M1478" s="32" t="n"/>
      <c r="N1478" s="32" t="n"/>
      <c r="O1478" s="32" t="n"/>
      <c r="P1478" s="32" t="n"/>
      <c r="Q1478" s="32" t="n"/>
      <c r="U1478" s="31">
        <f>IF($A1478="","",SUM(X1478:AE1478))</f>
        <v/>
      </c>
      <c r="V1478" s="31">
        <f>IF($A1478="","",IF($H1478&lt;&gt;"Ausgabe",0,-$E1478-$U1478))</f>
        <v/>
      </c>
      <c r="W1478" s="33">
        <f>IF($A1478="","",DATE(YEAR($A1478),MONTH($A1478),1))</f>
        <v/>
      </c>
      <c r="X1478" s="34">
        <f>IF(OR($A1478="",$H1478&lt;&gt;"Ausgabe",J1478=""),0,IF(J1478="x",-$E1478/(COUNTIF($J1478:$Q1478,"x")+1),-$E1478*N(J1478)))</f>
        <v/>
      </c>
      <c r="Y1478" s="34">
        <f>IF(OR($A1478="",$H1478&lt;&gt;"Ausgabe",K1478=""),0,IF(K1478="x",-$E1478/(COUNTIF($J1478:$Q1478,"x")+1),-$E1478*N(K1478)))</f>
        <v/>
      </c>
      <c r="Z1478" s="34">
        <f>IF(OR($A1478="",$H1478&lt;&gt;"Ausgabe",L1478=""),0,IF(L1478="x",-$E1478/(COUNTIF($J1478:$Q1478,"x")+1),-$E1478*N(L1478)))</f>
        <v/>
      </c>
      <c r="AA1478" s="34">
        <f>IF(OR($A1478="",$H1478&lt;&gt;"Ausgabe",M1478=""),0,IF(M1478="x",-$E1478/(COUNTIF($J1478:$Q1478,"x")+1),-$E1478*N(M1478)))</f>
        <v/>
      </c>
      <c r="AB1478" s="34">
        <f>IF(OR($A1478="",$H1478&lt;&gt;"Ausgabe",N1478=""),0,IF(N1478="x",-$E1478/(COUNTIF($J1478:$Q1478,"x")+1),-$E1478*N(N1478)))</f>
        <v/>
      </c>
      <c r="AC1478" s="34">
        <f>IF(OR($A1478="",$H1478&lt;&gt;"Ausgabe",O1478=""),0,IF(O1478="x",-$E1478/(COUNTIF($J1478:$Q1478,"x")+1),-$E1478*N(O1478)))</f>
        <v/>
      </c>
      <c r="AD1478" s="34">
        <f>IF(OR($A1478="",$H1478&lt;&gt;"Ausgabe",P1478=""),0,IF(P1478="x",-$E1478/(COUNTIF($J1478:$Q1478,"x")+1),-$E1478*N(P1478)))</f>
        <v/>
      </c>
      <c r="AE1478" s="34">
        <f>IF(OR($A1478="",$H1478&lt;&gt;"Ausgabe",Q1478=""),0,IF(Q1478="x",-$E1478/(COUNTIF($J1478:$Q1478,"x")+1),-$E1478*N(Q1478)))</f>
        <v/>
      </c>
    </row>
    <row r="1479">
      <c r="A1479" s="30" t="n"/>
      <c r="E1479" s="31" t="n"/>
      <c r="J1479" s="32" t="n"/>
      <c r="K1479" s="32" t="n"/>
      <c r="L1479" s="32" t="n"/>
      <c r="M1479" s="32" t="n"/>
      <c r="N1479" s="32" t="n"/>
      <c r="O1479" s="32" t="n"/>
      <c r="P1479" s="32" t="n"/>
      <c r="Q1479" s="32" t="n"/>
      <c r="U1479" s="31">
        <f>IF($A1479="","",SUM(X1479:AE1479))</f>
        <v/>
      </c>
      <c r="V1479" s="31">
        <f>IF($A1479="","",IF($H1479&lt;&gt;"Ausgabe",0,-$E1479-$U1479))</f>
        <v/>
      </c>
      <c r="W1479" s="33">
        <f>IF($A1479="","",DATE(YEAR($A1479),MONTH($A1479),1))</f>
        <v/>
      </c>
      <c r="X1479" s="34">
        <f>IF(OR($A1479="",$H1479&lt;&gt;"Ausgabe",J1479=""),0,IF(J1479="x",-$E1479/(COUNTIF($J1479:$Q1479,"x")+1),-$E1479*N(J1479)))</f>
        <v/>
      </c>
      <c r="Y1479" s="34">
        <f>IF(OR($A1479="",$H1479&lt;&gt;"Ausgabe",K1479=""),0,IF(K1479="x",-$E1479/(COUNTIF($J1479:$Q1479,"x")+1),-$E1479*N(K1479)))</f>
        <v/>
      </c>
      <c r="Z1479" s="34">
        <f>IF(OR($A1479="",$H1479&lt;&gt;"Ausgabe",L1479=""),0,IF(L1479="x",-$E1479/(COUNTIF($J1479:$Q1479,"x")+1),-$E1479*N(L1479)))</f>
        <v/>
      </c>
      <c r="AA1479" s="34">
        <f>IF(OR($A1479="",$H1479&lt;&gt;"Ausgabe",M1479=""),0,IF(M1479="x",-$E1479/(COUNTIF($J1479:$Q1479,"x")+1),-$E1479*N(M1479)))</f>
        <v/>
      </c>
      <c r="AB1479" s="34">
        <f>IF(OR($A1479="",$H1479&lt;&gt;"Ausgabe",N1479=""),0,IF(N1479="x",-$E1479/(COUNTIF($J1479:$Q1479,"x")+1),-$E1479*N(N1479)))</f>
        <v/>
      </c>
      <c r="AC1479" s="34">
        <f>IF(OR($A1479="",$H1479&lt;&gt;"Ausgabe",O1479=""),0,IF(O1479="x",-$E1479/(COUNTIF($J1479:$Q1479,"x")+1),-$E1479*N(O1479)))</f>
        <v/>
      </c>
      <c r="AD1479" s="34">
        <f>IF(OR($A1479="",$H1479&lt;&gt;"Ausgabe",P1479=""),0,IF(P1479="x",-$E1479/(COUNTIF($J1479:$Q1479,"x")+1),-$E1479*N(P1479)))</f>
        <v/>
      </c>
      <c r="AE1479" s="34">
        <f>IF(OR($A1479="",$H1479&lt;&gt;"Ausgabe",Q1479=""),0,IF(Q1479="x",-$E1479/(COUNTIF($J1479:$Q1479,"x")+1),-$E1479*N(Q1479)))</f>
        <v/>
      </c>
    </row>
    <row r="1480">
      <c r="A1480" s="30" t="n"/>
      <c r="E1480" s="31" t="n"/>
      <c r="J1480" s="32" t="n"/>
      <c r="K1480" s="32" t="n"/>
      <c r="L1480" s="32" t="n"/>
      <c r="M1480" s="32" t="n"/>
      <c r="N1480" s="32" t="n"/>
      <c r="O1480" s="32" t="n"/>
      <c r="P1480" s="32" t="n"/>
      <c r="Q1480" s="32" t="n"/>
      <c r="U1480" s="31">
        <f>IF($A1480="","",SUM(X1480:AE1480))</f>
        <v/>
      </c>
      <c r="V1480" s="31">
        <f>IF($A1480="","",IF($H1480&lt;&gt;"Ausgabe",0,-$E1480-$U1480))</f>
        <v/>
      </c>
      <c r="W1480" s="33">
        <f>IF($A1480="","",DATE(YEAR($A1480),MONTH($A1480),1))</f>
        <v/>
      </c>
      <c r="X1480" s="34">
        <f>IF(OR($A1480="",$H1480&lt;&gt;"Ausgabe",J1480=""),0,IF(J1480="x",-$E1480/(COUNTIF($J1480:$Q1480,"x")+1),-$E1480*N(J1480)))</f>
        <v/>
      </c>
      <c r="Y1480" s="34">
        <f>IF(OR($A1480="",$H1480&lt;&gt;"Ausgabe",K1480=""),0,IF(K1480="x",-$E1480/(COUNTIF($J1480:$Q1480,"x")+1),-$E1480*N(K1480)))</f>
        <v/>
      </c>
      <c r="Z1480" s="34">
        <f>IF(OR($A1480="",$H1480&lt;&gt;"Ausgabe",L1480=""),0,IF(L1480="x",-$E1480/(COUNTIF($J1480:$Q1480,"x")+1),-$E1480*N(L1480)))</f>
        <v/>
      </c>
      <c r="AA1480" s="34">
        <f>IF(OR($A1480="",$H1480&lt;&gt;"Ausgabe",M1480=""),0,IF(M1480="x",-$E1480/(COUNTIF($J1480:$Q1480,"x")+1),-$E1480*N(M1480)))</f>
        <v/>
      </c>
      <c r="AB1480" s="34">
        <f>IF(OR($A1480="",$H1480&lt;&gt;"Ausgabe",N1480=""),0,IF(N1480="x",-$E1480/(COUNTIF($J1480:$Q1480,"x")+1),-$E1480*N(N1480)))</f>
        <v/>
      </c>
      <c r="AC1480" s="34">
        <f>IF(OR($A1480="",$H1480&lt;&gt;"Ausgabe",O1480=""),0,IF(O1480="x",-$E1480/(COUNTIF($J1480:$Q1480,"x")+1),-$E1480*N(O1480)))</f>
        <v/>
      </c>
      <c r="AD1480" s="34">
        <f>IF(OR($A1480="",$H1480&lt;&gt;"Ausgabe",P1480=""),0,IF(P1480="x",-$E1480/(COUNTIF($J1480:$Q1480,"x")+1),-$E1480*N(P1480)))</f>
        <v/>
      </c>
      <c r="AE1480" s="34">
        <f>IF(OR($A1480="",$H1480&lt;&gt;"Ausgabe",Q1480=""),0,IF(Q1480="x",-$E1480/(COUNTIF($J1480:$Q1480,"x")+1),-$E1480*N(Q1480)))</f>
        <v/>
      </c>
    </row>
    <row r="1481">
      <c r="A1481" s="30" t="n"/>
      <c r="E1481" s="31" t="n"/>
      <c r="J1481" s="32" t="n"/>
      <c r="K1481" s="32" t="n"/>
      <c r="L1481" s="32" t="n"/>
      <c r="M1481" s="32" t="n"/>
      <c r="N1481" s="32" t="n"/>
      <c r="O1481" s="32" t="n"/>
      <c r="P1481" s="32" t="n"/>
      <c r="Q1481" s="32" t="n"/>
      <c r="U1481" s="31">
        <f>IF($A1481="","",SUM(X1481:AE1481))</f>
        <v/>
      </c>
      <c r="V1481" s="31">
        <f>IF($A1481="","",IF($H1481&lt;&gt;"Ausgabe",0,-$E1481-$U1481))</f>
        <v/>
      </c>
      <c r="W1481" s="33">
        <f>IF($A1481="","",DATE(YEAR($A1481),MONTH($A1481),1))</f>
        <v/>
      </c>
      <c r="X1481" s="34">
        <f>IF(OR($A1481="",$H1481&lt;&gt;"Ausgabe",J1481=""),0,IF(J1481="x",-$E1481/(COUNTIF($J1481:$Q1481,"x")+1),-$E1481*N(J1481)))</f>
        <v/>
      </c>
      <c r="Y1481" s="34">
        <f>IF(OR($A1481="",$H1481&lt;&gt;"Ausgabe",K1481=""),0,IF(K1481="x",-$E1481/(COUNTIF($J1481:$Q1481,"x")+1),-$E1481*N(K1481)))</f>
        <v/>
      </c>
      <c r="Z1481" s="34">
        <f>IF(OR($A1481="",$H1481&lt;&gt;"Ausgabe",L1481=""),0,IF(L1481="x",-$E1481/(COUNTIF($J1481:$Q1481,"x")+1),-$E1481*N(L1481)))</f>
        <v/>
      </c>
      <c r="AA1481" s="34">
        <f>IF(OR($A1481="",$H1481&lt;&gt;"Ausgabe",M1481=""),0,IF(M1481="x",-$E1481/(COUNTIF($J1481:$Q1481,"x")+1),-$E1481*N(M1481)))</f>
        <v/>
      </c>
      <c r="AB1481" s="34">
        <f>IF(OR($A1481="",$H1481&lt;&gt;"Ausgabe",N1481=""),0,IF(N1481="x",-$E1481/(COUNTIF($J1481:$Q1481,"x")+1),-$E1481*N(N1481)))</f>
        <v/>
      </c>
      <c r="AC1481" s="34">
        <f>IF(OR($A1481="",$H1481&lt;&gt;"Ausgabe",O1481=""),0,IF(O1481="x",-$E1481/(COUNTIF($J1481:$Q1481,"x")+1),-$E1481*N(O1481)))</f>
        <v/>
      </c>
      <c r="AD1481" s="34">
        <f>IF(OR($A1481="",$H1481&lt;&gt;"Ausgabe",P1481=""),0,IF(P1481="x",-$E1481/(COUNTIF($J1481:$Q1481,"x")+1),-$E1481*N(P1481)))</f>
        <v/>
      </c>
      <c r="AE1481" s="34">
        <f>IF(OR($A1481="",$H1481&lt;&gt;"Ausgabe",Q1481=""),0,IF(Q1481="x",-$E1481/(COUNTIF($J1481:$Q1481,"x")+1),-$E1481*N(Q1481)))</f>
        <v/>
      </c>
    </row>
    <row r="1482">
      <c r="A1482" s="30" t="n"/>
      <c r="E1482" s="31" t="n"/>
      <c r="J1482" s="32" t="n"/>
      <c r="K1482" s="32" t="n"/>
      <c r="L1482" s="32" t="n"/>
      <c r="M1482" s="32" t="n"/>
      <c r="N1482" s="32" t="n"/>
      <c r="O1482" s="32" t="n"/>
      <c r="P1482" s="32" t="n"/>
      <c r="Q1482" s="32" t="n"/>
      <c r="U1482" s="31">
        <f>IF($A1482="","",SUM(X1482:AE1482))</f>
        <v/>
      </c>
      <c r="V1482" s="31">
        <f>IF($A1482="","",IF($H1482&lt;&gt;"Ausgabe",0,-$E1482-$U1482))</f>
        <v/>
      </c>
      <c r="W1482" s="33">
        <f>IF($A1482="","",DATE(YEAR($A1482),MONTH($A1482),1))</f>
        <v/>
      </c>
      <c r="X1482" s="34">
        <f>IF(OR($A1482="",$H1482&lt;&gt;"Ausgabe",J1482=""),0,IF(J1482="x",-$E1482/(COUNTIF($J1482:$Q1482,"x")+1),-$E1482*N(J1482)))</f>
        <v/>
      </c>
      <c r="Y1482" s="34">
        <f>IF(OR($A1482="",$H1482&lt;&gt;"Ausgabe",K1482=""),0,IF(K1482="x",-$E1482/(COUNTIF($J1482:$Q1482,"x")+1),-$E1482*N(K1482)))</f>
        <v/>
      </c>
      <c r="Z1482" s="34">
        <f>IF(OR($A1482="",$H1482&lt;&gt;"Ausgabe",L1482=""),0,IF(L1482="x",-$E1482/(COUNTIF($J1482:$Q1482,"x")+1),-$E1482*N(L1482)))</f>
        <v/>
      </c>
      <c r="AA1482" s="34">
        <f>IF(OR($A1482="",$H1482&lt;&gt;"Ausgabe",M1482=""),0,IF(M1482="x",-$E1482/(COUNTIF($J1482:$Q1482,"x")+1),-$E1482*N(M1482)))</f>
        <v/>
      </c>
      <c r="AB1482" s="34">
        <f>IF(OR($A1482="",$H1482&lt;&gt;"Ausgabe",N1482=""),0,IF(N1482="x",-$E1482/(COUNTIF($J1482:$Q1482,"x")+1),-$E1482*N(N1482)))</f>
        <v/>
      </c>
      <c r="AC1482" s="34">
        <f>IF(OR($A1482="",$H1482&lt;&gt;"Ausgabe",O1482=""),0,IF(O1482="x",-$E1482/(COUNTIF($J1482:$Q1482,"x")+1),-$E1482*N(O1482)))</f>
        <v/>
      </c>
      <c r="AD1482" s="34">
        <f>IF(OR($A1482="",$H1482&lt;&gt;"Ausgabe",P1482=""),0,IF(P1482="x",-$E1482/(COUNTIF($J1482:$Q1482,"x")+1),-$E1482*N(P1482)))</f>
        <v/>
      </c>
      <c r="AE1482" s="34">
        <f>IF(OR($A1482="",$H1482&lt;&gt;"Ausgabe",Q1482=""),0,IF(Q1482="x",-$E1482/(COUNTIF($J1482:$Q1482,"x")+1),-$E1482*N(Q1482)))</f>
        <v/>
      </c>
    </row>
    <row r="1483">
      <c r="A1483" s="30" t="n"/>
      <c r="E1483" s="31" t="n"/>
      <c r="J1483" s="32" t="n"/>
      <c r="K1483" s="32" t="n"/>
      <c r="L1483" s="32" t="n"/>
      <c r="M1483" s="32" t="n"/>
      <c r="N1483" s="32" t="n"/>
      <c r="O1483" s="32" t="n"/>
      <c r="P1483" s="32" t="n"/>
      <c r="Q1483" s="32" t="n"/>
      <c r="U1483" s="31">
        <f>IF($A1483="","",SUM(X1483:AE1483))</f>
        <v/>
      </c>
      <c r="V1483" s="31">
        <f>IF($A1483="","",IF($H1483&lt;&gt;"Ausgabe",0,-$E1483-$U1483))</f>
        <v/>
      </c>
      <c r="W1483" s="33">
        <f>IF($A1483="","",DATE(YEAR($A1483),MONTH($A1483),1))</f>
        <v/>
      </c>
      <c r="X1483" s="34">
        <f>IF(OR($A1483="",$H1483&lt;&gt;"Ausgabe",J1483=""),0,IF(J1483="x",-$E1483/(COUNTIF($J1483:$Q1483,"x")+1),-$E1483*N(J1483)))</f>
        <v/>
      </c>
      <c r="Y1483" s="34">
        <f>IF(OR($A1483="",$H1483&lt;&gt;"Ausgabe",K1483=""),0,IF(K1483="x",-$E1483/(COUNTIF($J1483:$Q1483,"x")+1),-$E1483*N(K1483)))</f>
        <v/>
      </c>
      <c r="Z1483" s="34">
        <f>IF(OR($A1483="",$H1483&lt;&gt;"Ausgabe",L1483=""),0,IF(L1483="x",-$E1483/(COUNTIF($J1483:$Q1483,"x")+1),-$E1483*N(L1483)))</f>
        <v/>
      </c>
      <c r="AA1483" s="34">
        <f>IF(OR($A1483="",$H1483&lt;&gt;"Ausgabe",M1483=""),0,IF(M1483="x",-$E1483/(COUNTIF($J1483:$Q1483,"x")+1),-$E1483*N(M1483)))</f>
        <v/>
      </c>
      <c r="AB1483" s="34">
        <f>IF(OR($A1483="",$H1483&lt;&gt;"Ausgabe",N1483=""),0,IF(N1483="x",-$E1483/(COUNTIF($J1483:$Q1483,"x")+1),-$E1483*N(N1483)))</f>
        <v/>
      </c>
      <c r="AC1483" s="34">
        <f>IF(OR($A1483="",$H1483&lt;&gt;"Ausgabe",O1483=""),0,IF(O1483="x",-$E1483/(COUNTIF($J1483:$Q1483,"x")+1),-$E1483*N(O1483)))</f>
        <v/>
      </c>
      <c r="AD1483" s="34">
        <f>IF(OR($A1483="",$H1483&lt;&gt;"Ausgabe",P1483=""),0,IF(P1483="x",-$E1483/(COUNTIF($J1483:$Q1483,"x")+1),-$E1483*N(P1483)))</f>
        <v/>
      </c>
      <c r="AE1483" s="34">
        <f>IF(OR($A1483="",$H1483&lt;&gt;"Ausgabe",Q1483=""),0,IF(Q1483="x",-$E1483/(COUNTIF($J1483:$Q1483,"x")+1),-$E1483*N(Q1483)))</f>
        <v/>
      </c>
    </row>
    <row r="1484">
      <c r="A1484" s="30" t="n"/>
      <c r="E1484" s="31" t="n"/>
      <c r="J1484" s="32" t="n"/>
      <c r="K1484" s="32" t="n"/>
      <c r="L1484" s="32" t="n"/>
      <c r="M1484" s="32" t="n"/>
      <c r="N1484" s="32" t="n"/>
      <c r="O1484" s="32" t="n"/>
      <c r="P1484" s="32" t="n"/>
      <c r="Q1484" s="32" t="n"/>
      <c r="U1484" s="31">
        <f>IF($A1484="","",SUM(X1484:AE1484))</f>
        <v/>
      </c>
      <c r="V1484" s="31">
        <f>IF($A1484="","",IF($H1484&lt;&gt;"Ausgabe",0,-$E1484-$U1484))</f>
        <v/>
      </c>
      <c r="W1484" s="33">
        <f>IF($A1484="","",DATE(YEAR($A1484),MONTH($A1484),1))</f>
        <v/>
      </c>
      <c r="X1484" s="34">
        <f>IF(OR($A1484="",$H1484&lt;&gt;"Ausgabe",J1484=""),0,IF(J1484="x",-$E1484/(COUNTIF($J1484:$Q1484,"x")+1),-$E1484*N(J1484)))</f>
        <v/>
      </c>
      <c r="Y1484" s="34">
        <f>IF(OR($A1484="",$H1484&lt;&gt;"Ausgabe",K1484=""),0,IF(K1484="x",-$E1484/(COUNTIF($J1484:$Q1484,"x")+1),-$E1484*N(K1484)))</f>
        <v/>
      </c>
      <c r="Z1484" s="34">
        <f>IF(OR($A1484="",$H1484&lt;&gt;"Ausgabe",L1484=""),0,IF(L1484="x",-$E1484/(COUNTIF($J1484:$Q1484,"x")+1),-$E1484*N(L1484)))</f>
        <v/>
      </c>
      <c r="AA1484" s="34">
        <f>IF(OR($A1484="",$H1484&lt;&gt;"Ausgabe",M1484=""),0,IF(M1484="x",-$E1484/(COUNTIF($J1484:$Q1484,"x")+1),-$E1484*N(M1484)))</f>
        <v/>
      </c>
      <c r="AB1484" s="34">
        <f>IF(OR($A1484="",$H1484&lt;&gt;"Ausgabe",N1484=""),0,IF(N1484="x",-$E1484/(COUNTIF($J1484:$Q1484,"x")+1),-$E1484*N(N1484)))</f>
        <v/>
      </c>
      <c r="AC1484" s="34">
        <f>IF(OR($A1484="",$H1484&lt;&gt;"Ausgabe",O1484=""),0,IF(O1484="x",-$E1484/(COUNTIF($J1484:$Q1484,"x")+1),-$E1484*N(O1484)))</f>
        <v/>
      </c>
      <c r="AD1484" s="34">
        <f>IF(OR($A1484="",$H1484&lt;&gt;"Ausgabe",P1484=""),0,IF(P1484="x",-$E1484/(COUNTIF($J1484:$Q1484,"x")+1),-$E1484*N(P1484)))</f>
        <v/>
      </c>
      <c r="AE1484" s="34">
        <f>IF(OR($A1484="",$H1484&lt;&gt;"Ausgabe",Q1484=""),0,IF(Q1484="x",-$E1484/(COUNTIF($J1484:$Q1484,"x")+1),-$E1484*N(Q1484)))</f>
        <v/>
      </c>
    </row>
    <row r="1485">
      <c r="A1485" s="30" t="n"/>
      <c r="E1485" s="31" t="n"/>
      <c r="J1485" s="32" t="n"/>
      <c r="K1485" s="32" t="n"/>
      <c r="L1485" s="32" t="n"/>
      <c r="M1485" s="32" t="n"/>
      <c r="N1485" s="32" t="n"/>
      <c r="O1485" s="32" t="n"/>
      <c r="P1485" s="32" t="n"/>
      <c r="Q1485" s="32" t="n"/>
      <c r="U1485" s="31">
        <f>IF($A1485="","",SUM(X1485:AE1485))</f>
        <v/>
      </c>
      <c r="V1485" s="31">
        <f>IF($A1485="","",IF($H1485&lt;&gt;"Ausgabe",0,-$E1485-$U1485))</f>
        <v/>
      </c>
      <c r="W1485" s="33">
        <f>IF($A1485="","",DATE(YEAR($A1485),MONTH($A1485),1))</f>
        <v/>
      </c>
      <c r="X1485" s="34">
        <f>IF(OR($A1485="",$H1485&lt;&gt;"Ausgabe",J1485=""),0,IF(J1485="x",-$E1485/(COUNTIF($J1485:$Q1485,"x")+1),-$E1485*N(J1485)))</f>
        <v/>
      </c>
      <c r="Y1485" s="34">
        <f>IF(OR($A1485="",$H1485&lt;&gt;"Ausgabe",K1485=""),0,IF(K1485="x",-$E1485/(COUNTIF($J1485:$Q1485,"x")+1),-$E1485*N(K1485)))</f>
        <v/>
      </c>
      <c r="Z1485" s="34">
        <f>IF(OR($A1485="",$H1485&lt;&gt;"Ausgabe",L1485=""),0,IF(L1485="x",-$E1485/(COUNTIF($J1485:$Q1485,"x")+1),-$E1485*N(L1485)))</f>
        <v/>
      </c>
      <c r="AA1485" s="34">
        <f>IF(OR($A1485="",$H1485&lt;&gt;"Ausgabe",M1485=""),0,IF(M1485="x",-$E1485/(COUNTIF($J1485:$Q1485,"x")+1),-$E1485*N(M1485)))</f>
        <v/>
      </c>
      <c r="AB1485" s="34">
        <f>IF(OR($A1485="",$H1485&lt;&gt;"Ausgabe",N1485=""),0,IF(N1485="x",-$E1485/(COUNTIF($J1485:$Q1485,"x")+1),-$E1485*N(N1485)))</f>
        <v/>
      </c>
      <c r="AC1485" s="34">
        <f>IF(OR($A1485="",$H1485&lt;&gt;"Ausgabe",O1485=""),0,IF(O1485="x",-$E1485/(COUNTIF($J1485:$Q1485,"x")+1),-$E1485*N(O1485)))</f>
        <v/>
      </c>
      <c r="AD1485" s="34">
        <f>IF(OR($A1485="",$H1485&lt;&gt;"Ausgabe",P1485=""),0,IF(P1485="x",-$E1485/(COUNTIF($J1485:$Q1485,"x")+1),-$E1485*N(P1485)))</f>
        <v/>
      </c>
      <c r="AE1485" s="34">
        <f>IF(OR($A1485="",$H1485&lt;&gt;"Ausgabe",Q1485=""),0,IF(Q1485="x",-$E1485/(COUNTIF($J1485:$Q1485,"x")+1),-$E1485*N(Q1485)))</f>
        <v/>
      </c>
    </row>
    <row r="1486">
      <c r="A1486" s="30" t="n"/>
      <c r="E1486" s="31" t="n"/>
      <c r="J1486" s="32" t="n"/>
      <c r="K1486" s="32" t="n"/>
      <c r="L1486" s="32" t="n"/>
      <c r="M1486" s="32" t="n"/>
      <c r="N1486" s="32" t="n"/>
      <c r="O1486" s="32" t="n"/>
      <c r="P1486" s="32" t="n"/>
      <c r="Q1486" s="32" t="n"/>
      <c r="U1486" s="31">
        <f>IF($A1486="","",SUM(X1486:AE1486))</f>
        <v/>
      </c>
      <c r="V1486" s="31">
        <f>IF($A1486="","",IF($H1486&lt;&gt;"Ausgabe",0,-$E1486-$U1486))</f>
        <v/>
      </c>
      <c r="W1486" s="33">
        <f>IF($A1486="","",DATE(YEAR($A1486),MONTH($A1486),1))</f>
        <v/>
      </c>
      <c r="X1486" s="34">
        <f>IF(OR($A1486="",$H1486&lt;&gt;"Ausgabe",J1486=""),0,IF(J1486="x",-$E1486/(COUNTIF($J1486:$Q1486,"x")+1),-$E1486*N(J1486)))</f>
        <v/>
      </c>
      <c r="Y1486" s="34">
        <f>IF(OR($A1486="",$H1486&lt;&gt;"Ausgabe",K1486=""),0,IF(K1486="x",-$E1486/(COUNTIF($J1486:$Q1486,"x")+1),-$E1486*N(K1486)))</f>
        <v/>
      </c>
      <c r="Z1486" s="34">
        <f>IF(OR($A1486="",$H1486&lt;&gt;"Ausgabe",L1486=""),0,IF(L1486="x",-$E1486/(COUNTIF($J1486:$Q1486,"x")+1),-$E1486*N(L1486)))</f>
        <v/>
      </c>
      <c r="AA1486" s="34">
        <f>IF(OR($A1486="",$H1486&lt;&gt;"Ausgabe",M1486=""),0,IF(M1486="x",-$E1486/(COUNTIF($J1486:$Q1486,"x")+1),-$E1486*N(M1486)))</f>
        <v/>
      </c>
      <c r="AB1486" s="34">
        <f>IF(OR($A1486="",$H1486&lt;&gt;"Ausgabe",N1486=""),0,IF(N1486="x",-$E1486/(COUNTIF($J1486:$Q1486,"x")+1),-$E1486*N(N1486)))</f>
        <v/>
      </c>
      <c r="AC1486" s="34">
        <f>IF(OR($A1486="",$H1486&lt;&gt;"Ausgabe",O1486=""),0,IF(O1486="x",-$E1486/(COUNTIF($J1486:$Q1486,"x")+1),-$E1486*N(O1486)))</f>
        <v/>
      </c>
      <c r="AD1486" s="34">
        <f>IF(OR($A1486="",$H1486&lt;&gt;"Ausgabe",P1486=""),0,IF(P1486="x",-$E1486/(COUNTIF($J1486:$Q1486,"x")+1),-$E1486*N(P1486)))</f>
        <v/>
      </c>
      <c r="AE1486" s="34">
        <f>IF(OR($A1486="",$H1486&lt;&gt;"Ausgabe",Q1486=""),0,IF(Q1486="x",-$E1486/(COUNTIF($J1486:$Q1486,"x")+1),-$E1486*N(Q1486)))</f>
        <v/>
      </c>
    </row>
    <row r="1487">
      <c r="A1487" s="30" t="n"/>
      <c r="E1487" s="31" t="n"/>
      <c r="J1487" s="32" t="n"/>
      <c r="K1487" s="32" t="n"/>
      <c r="L1487" s="32" t="n"/>
      <c r="M1487" s="32" t="n"/>
      <c r="N1487" s="32" t="n"/>
      <c r="O1487" s="32" t="n"/>
      <c r="P1487" s="32" t="n"/>
      <c r="Q1487" s="32" t="n"/>
      <c r="U1487" s="31">
        <f>IF($A1487="","",SUM(X1487:AE1487))</f>
        <v/>
      </c>
      <c r="V1487" s="31">
        <f>IF($A1487="","",IF($H1487&lt;&gt;"Ausgabe",0,-$E1487-$U1487))</f>
        <v/>
      </c>
      <c r="W1487" s="33">
        <f>IF($A1487="","",DATE(YEAR($A1487),MONTH($A1487),1))</f>
        <v/>
      </c>
      <c r="X1487" s="34">
        <f>IF(OR($A1487="",$H1487&lt;&gt;"Ausgabe",J1487=""),0,IF(J1487="x",-$E1487/(COUNTIF($J1487:$Q1487,"x")+1),-$E1487*N(J1487)))</f>
        <v/>
      </c>
      <c r="Y1487" s="34">
        <f>IF(OR($A1487="",$H1487&lt;&gt;"Ausgabe",K1487=""),0,IF(K1487="x",-$E1487/(COUNTIF($J1487:$Q1487,"x")+1),-$E1487*N(K1487)))</f>
        <v/>
      </c>
      <c r="Z1487" s="34">
        <f>IF(OR($A1487="",$H1487&lt;&gt;"Ausgabe",L1487=""),0,IF(L1487="x",-$E1487/(COUNTIF($J1487:$Q1487,"x")+1),-$E1487*N(L1487)))</f>
        <v/>
      </c>
      <c r="AA1487" s="34">
        <f>IF(OR($A1487="",$H1487&lt;&gt;"Ausgabe",M1487=""),0,IF(M1487="x",-$E1487/(COUNTIF($J1487:$Q1487,"x")+1),-$E1487*N(M1487)))</f>
        <v/>
      </c>
      <c r="AB1487" s="34">
        <f>IF(OR($A1487="",$H1487&lt;&gt;"Ausgabe",N1487=""),0,IF(N1487="x",-$E1487/(COUNTIF($J1487:$Q1487,"x")+1),-$E1487*N(N1487)))</f>
        <v/>
      </c>
      <c r="AC1487" s="34">
        <f>IF(OR($A1487="",$H1487&lt;&gt;"Ausgabe",O1487=""),0,IF(O1487="x",-$E1487/(COUNTIF($J1487:$Q1487,"x")+1),-$E1487*N(O1487)))</f>
        <v/>
      </c>
      <c r="AD1487" s="34">
        <f>IF(OR($A1487="",$H1487&lt;&gt;"Ausgabe",P1487=""),0,IF(P1487="x",-$E1487/(COUNTIF($J1487:$Q1487,"x")+1),-$E1487*N(P1487)))</f>
        <v/>
      </c>
      <c r="AE1487" s="34">
        <f>IF(OR($A1487="",$H1487&lt;&gt;"Ausgabe",Q1487=""),0,IF(Q1487="x",-$E1487/(COUNTIF($J1487:$Q1487,"x")+1),-$E1487*N(Q1487)))</f>
        <v/>
      </c>
    </row>
    <row r="1488">
      <c r="A1488" s="30" t="n"/>
      <c r="E1488" s="31" t="n"/>
      <c r="J1488" s="32" t="n"/>
      <c r="K1488" s="32" t="n"/>
      <c r="L1488" s="32" t="n"/>
      <c r="M1488" s="32" t="n"/>
      <c r="N1488" s="32" t="n"/>
      <c r="O1488" s="32" t="n"/>
      <c r="P1488" s="32" t="n"/>
      <c r="Q1488" s="32" t="n"/>
      <c r="U1488" s="31">
        <f>IF($A1488="","",SUM(X1488:AE1488))</f>
        <v/>
      </c>
      <c r="V1488" s="31">
        <f>IF($A1488="","",IF($H1488&lt;&gt;"Ausgabe",0,-$E1488-$U1488))</f>
        <v/>
      </c>
      <c r="W1488" s="33">
        <f>IF($A1488="","",DATE(YEAR($A1488),MONTH($A1488),1))</f>
        <v/>
      </c>
      <c r="X1488" s="34">
        <f>IF(OR($A1488="",$H1488&lt;&gt;"Ausgabe",J1488=""),0,IF(J1488="x",-$E1488/(COUNTIF($J1488:$Q1488,"x")+1),-$E1488*N(J1488)))</f>
        <v/>
      </c>
      <c r="Y1488" s="34">
        <f>IF(OR($A1488="",$H1488&lt;&gt;"Ausgabe",K1488=""),0,IF(K1488="x",-$E1488/(COUNTIF($J1488:$Q1488,"x")+1),-$E1488*N(K1488)))</f>
        <v/>
      </c>
      <c r="Z1488" s="34">
        <f>IF(OR($A1488="",$H1488&lt;&gt;"Ausgabe",L1488=""),0,IF(L1488="x",-$E1488/(COUNTIF($J1488:$Q1488,"x")+1),-$E1488*N(L1488)))</f>
        <v/>
      </c>
      <c r="AA1488" s="34">
        <f>IF(OR($A1488="",$H1488&lt;&gt;"Ausgabe",M1488=""),0,IF(M1488="x",-$E1488/(COUNTIF($J1488:$Q1488,"x")+1),-$E1488*N(M1488)))</f>
        <v/>
      </c>
      <c r="AB1488" s="34">
        <f>IF(OR($A1488="",$H1488&lt;&gt;"Ausgabe",N1488=""),0,IF(N1488="x",-$E1488/(COUNTIF($J1488:$Q1488,"x")+1),-$E1488*N(N1488)))</f>
        <v/>
      </c>
      <c r="AC1488" s="34">
        <f>IF(OR($A1488="",$H1488&lt;&gt;"Ausgabe",O1488=""),0,IF(O1488="x",-$E1488/(COUNTIF($J1488:$Q1488,"x")+1),-$E1488*N(O1488)))</f>
        <v/>
      </c>
      <c r="AD1488" s="34">
        <f>IF(OR($A1488="",$H1488&lt;&gt;"Ausgabe",P1488=""),0,IF(P1488="x",-$E1488/(COUNTIF($J1488:$Q1488,"x")+1),-$E1488*N(P1488)))</f>
        <v/>
      </c>
      <c r="AE1488" s="34">
        <f>IF(OR($A1488="",$H1488&lt;&gt;"Ausgabe",Q1488=""),0,IF(Q1488="x",-$E1488/(COUNTIF($J1488:$Q1488,"x")+1),-$E1488*N(Q1488)))</f>
        <v/>
      </c>
    </row>
    <row r="1489">
      <c r="A1489" s="30" t="n"/>
      <c r="E1489" s="31" t="n"/>
      <c r="J1489" s="32" t="n"/>
      <c r="K1489" s="32" t="n"/>
      <c r="L1489" s="32" t="n"/>
      <c r="M1489" s="32" t="n"/>
      <c r="N1489" s="32" t="n"/>
      <c r="O1489" s="32" t="n"/>
      <c r="P1489" s="32" t="n"/>
      <c r="Q1489" s="32" t="n"/>
      <c r="U1489" s="31">
        <f>IF($A1489="","",SUM(X1489:AE1489))</f>
        <v/>
      </c>
      <c r="V1489" s="31">
        <f>IF($A1489="","",IF($H1489&lt;&gt;"Ausgabe",0,-$E1489-$U1489))</f>
        <v/>
      </c>
      <c r="W1489" s="33">
        <f>IF($A1489="","",DATE(YEAR($A1489),MONTH($A1489),1))</f>
        <v/>
      </c>
      <c r="X1489" s="34">
        <f>IF(OR($A1489="",$H1489&lt;&gt;"Ausgabe",J1489=""),0,IF(J1489="x",-$E1489/(COUNTIF($J1489:$Q1489,"x")+1),-$E1489*N(J1489)))</f>
        <v/>
      </c>
      <c r="Y1489" s="34">
        <f>IF(OR($A1489="",$H1489&lt;&gt;"Ausgabe",K1489=""),0,IF(K1489="x",-$E1489/(COUNTIF($J1489:$Q1489,"x")+1),-$E1489*N(K1489)))</f>
        <v/>
      </c>
      <c r="Z1489" s="34">
        <f>IF(OR($A1489="",$H1489&lt;&gt;"Ausgabe",L1489=""),0,IF(L1489="x",-$E1489/(COUNTIF($J1489:$Q1489,"x")+1),-$E1489*N(L1489)))</f>
        <v/>
      </c>
      <c r="AA1489" s="34">
        <f>IF(OR($A1489="",$H1489&lt;&gt;"Ausgabe",M1489=""),0,IF(M1489="x",-$E1489/(COUNTIF($J1489:$Q1489,"x")+1),-$E1489*N(M1489)))</f>
        <v/>
      </c>
      <c r="AB1489" s="34">
        <f>IF(OR($A1489="",$H1489&lt;&gt;"Ausgabe",N1489=""),0,IF(N1489="x",-$E1489/(COUNTIF($J1489:$Q1489,"x")+1),-$E1489*N(N1489)))</f>
        <v/>
      </c>
      <c r="AC1489" s="34">
        <f>IF(OR($A1489="",$H1489&lt;&gt;"Ausgabe",O1489=""),0,IF(O1489="x",-$E1489/(COUNTIF($J1489:$Q1489,"x")+1),-$E1489*N(O1489)))</f>
        <v/>
      </c>
      <c r="AD1489" s="34">
        <f>IF(OR($A1489="",$H1489&lt;&gt;"Ausgabe",P1489=""),0,IF(P1489="x",-$E1489/(COUNTIF($J1489:$Q1489,"x")+1),-$E1489*N(P1489)))</f>
        <v/>
      </c>
      <c r="AE1489" s="34">
        <f>IF(OR($A1489="",$H1489&lt;&gt;"Ausgabe",Q1489=""),0,IF(Q1489="x",-$E1489/(COUNTIF($J1489:$Q1489,"x")+1),-$E1489*N(Q1489)))</f>
        <v/>
      </c>
    </row>
    <row r="1490">
      <c r="A1490" s="30" t="n"/>
      <c r="E1490" s="31" t="n"/>
      <c r="J1490" s="32" t="n"/>
      <c r="K1490" s="32" t="n"/>
      <c r="L1490" s="32" t="n"/>
      <c r="M1490" s="32" t="n"/>
      <c r="N1490" s="32" t="n"/>
      <c r="O1490" s="32" t="n"/>
      <c r="P1490" s="32" t="n"/>
      <c r="Q1490" s="32" t="n"/>
      <c r="U1490" s="31">
        <f>IF($A1490="","",SUM(X1490:AE1490))</f>
        <v/>
      </c>
      <c r="V1490" s="31">
        <f>IF($A1490="","",IF($H1490&lt;&gt;"Ausgabe",0,-$E1490-$U1490))</f>
        <v/>
      </c>
      <c r="W1490" s="33">
        <f>IF($A1490="","",DATE(YEAR($A1490),MONTH($A1490),1))</f>
        <v/>
      </c>
      <c r="X1490" s="34">
        <f>IF(OR($A1490="",$H1490&lt;&gt;"Ausgabe",J1490=""),0,IF(J1490="x",-$E1490/(COUNTIF($J1490:$Q1490,"x")+1),-$E1490*N(J1490)))</f>
        <v/>
      </c>
      <c r="Y1490" s="34">
        <f>IF(OR($A1490="",$H1490&lt;&gt;"Ausgabe",K1490=""),0,IF(K1490="x",-$E1490/(COUNTIF($J1490:$Q1490,"x")+1),-$E1490*N(K1490)))</f>
        <v/>
      </c>
      <c r="Z1490" s="34">
        <f>IF(OR($A1490="",$H1490&lt;&gt;"Ausgabe",L1490=""),0,IF(L1490="x",-$E1490/(COUNTIF($J1490:$Q1490,"x")+1),-$E1490*N(L1490)))</f>
        <v/>
      </c>
      <c r="AA1490" s="34">
        <f>IF(OR($A1490="",$H1490&lt;&gt;"Ausgabe",M1490=""),0,IF(M1490="x",-$E1490/(COUNTIF($J1490:$Q1490,"x")+1),-$E1490*N(M1490)))</f>
        <v/>
      </c>
      <c r="AB1490" s="34">
        <f>IF(OR($A1490="",$H1490&lt;&gt;"Ausgabe",N1490=""),0,IF(N1490="x",-$E1490/(COUNTIF($J1490:$Q1490,"x")+1),-$E1490*N(N1490)))</f>
        <v/>
      </c>
      <c r="AC1490" s="34">
        <f>IF(OR($A1490="",$H1490&lt;&gt;"Ausgabe",O1490=""),0,IF(O1490="x",-$E1490/(COUNTIF($J1490:$Q1490,"x")+1),-$E1490*N(O1490)))</f>
        <v/>
      </c>
      <c r="AD1490" s="34">
        <f>IF(OR($A1490="",$H1490&lt;&gt;"Ausgabe",P1490=""),0,IF(P1490="x",-$E1490/(COUNTIF($J1490:$Q1490,"x")+1),-$E1490*N(P1490)))</f>
        <v/>
      </c>
      <c r="AE1490" s="34">
        <f>IF(OR($A1490="",$H1490&lt;&gt;"Ausgabe",Q1490=""),0,IF(Q1490="x",-$E1490/(COUNTIF($J1490:$Q1490,"x")+1),-$E1490*N(Q1490)))</f>
        <v/>
      </c>
    </row>
    <row r="1491">
      <c r="A1491" s="30" t="n"/>
      <c r="E1491" s="31" t="n"/>
      <c r="J1491" s="32" t="n"/>
      <c r="K1491" s="32" t="n"/>
      <c r="L1491" s="32" t="n"/>
      <c r="M1491" s="32" t="n"/>
      <c r="N1491" s="32" t="n"/>
      <c r="O1491" s="32" t="n"/>
      <c r="P1491" s="32" t="n"/>
      <c r="Q1491" s="32" t="n"/>
      <c r="U1491" s="31">
        <f>IF($A1491="","",SUM(X1491:AE1491))</f>
        <v/>
      </c>
      <c r="V1491" s="31">
        <f>IF($A1491="","",IF($H1491&lt;&gt;"Ausgabe",0,-$E1491-$U1491))</f>
        <v/>
      </c>
      <c r="W1491" s="33">
        <f>IF($A1491="","",DATE(YEAR($A1491),MONTH($A1491),1))</f>
        <v/>
      </c>
      <c r="X1491" s="34">
        <f>IF(OR($A1491="",$H1491&lt;&gt;"Ausgabe",J1491=""),0,IF(J1491="x",-$E1491/(COUNTIF($J1491:$Q1491,"x")+1),-$E1491*N(J1491)))</f>
        <v/>
      </c>
      <c r="Y1491" s="34">
        <f>IF(OR($A1491="",$H1491&lt;&gt;"Ausgabe",K1491=""),0,IF(K1491="x",-$E1491/(COUNTIF($J1491:$Q1491,"x")+1),-$E1491*N(K1491)))</f>
        <v/>
      </c>
      <c r="Z1491" s="34">
        <f>IF(OR($A1491="",$H1491&lt;&gt;"Ausgabe",L1491=""),0,IF(L1491="x",-$E1491/(COUNTIF($J1491:$Q1491,"x")+1),-$E1491*N(L1491)))</f>
        <v/>
      </c>
      <c r="AA1491" s="34">
        <f>IF(OR($A1491="",$H1491&lt;&gt;"Ausgabe",M1491=""),0,IF(M1491="x",-$E1491/(COUNTIF($J1491:$Q1491,"x")+1),-$E1491*N(M1491)))</f>
        <v/>
      </c>
      <c r="AB1491" s="34">
        <f>IF(OR($A1491="",$H1491&lt;&gt;"Ausgabe",N1491=""),0,IF(N1491="x",-$E1491/(COUNTIF($J1491:$Q1491,"x")+1),-$E1491*N(N1491)))</f>
        <v/>
      </c>
      <c r="AC1491" s="34">
        <f>IF(OR($A1491="",$H1491&lt;&gt;"Ausgabe",O1491=""),0,IF(O1491="x",-$E1491/(COUNTIF($J1491:$Q1491,"x")+1),-$E1491*N(O1491)))</f>
        <v/>
      </c>
      <c r="AD1491" s="34">
        <f>IF(OR($A1491="",$H1491&lt;&gt;"Ausgabe",P1491=""),0,IF(P1491="x",-$E1491/(COUNTIF($J1491:$Q1491,"x")+1),-$E1491*N(P1491)))</f>
        <v/>
      </c>
      <c r="AE1491" s="34">
        <f>IF(OR($A1491="",$H1491&lt;&gt;"Ausgabe",Q1491=""),0,IF(Q1491="x",-$E1491/(COUNTIF($J1491:$Q1491,"x")+1),-$E1491*N(Q1491)))</f>
        <v/>
      </c>
    </row>
    <row r="1492">
      <c r="A1492" s="30" t="n"/>
      <c r="E1492" s="31" t="n"/>
      <c r="J1492" s="32" t="n"/>
      <c r="K1492" s="32" t="n"/>
      <c r="L1492" s="32" t="n"/>
      <c r="M1492" s="32" t="n"/>
      <c r="N1492" s="32" t="n"/>
      <c r="O1492" s="32" t="n"/>
      <c r="P1492" s="32" t="n"/>
      <c r="Q1492" s="32" t="n"/>
      <c r="U1492" s="31">
        <f>IF($A1492="","",SUM(X1492:AE1492))</f>
        <v/>
      </c>
      <c r="V1492" s="31">
        <f>IF($A1492="","",IF($H1492&lt;&gt;"Ausgabe",0,-$E1492-$U1492))</f>
        <v/>
      </c>
      <c r="W1492" s="33">
        <f>IF($A1492="","",DATE(YEAR($A1492),MONTH($A1492),1))</f>
        <v/>
      </c>
      <c r="X1492" s="34">
        <f>IF(OR($A1492="",$H1492&lt;&gt;"Ausgabe",J1492=""),0,IF(J1492="x",-$E1492/(COUNTIF($J1492:$Q1492,"x")+1),-$E1492*N(J1492)))</f>
        <v/>
      </c>
      <c r="Y1492" s="34">
        <f>IF(OR($A1492="",$H1492&lt;&gt;"Ausgabe",K1492=""),0,IF(K1492="x",-$E1492/(COUNTIF($J1492:$Q1492,"x")+1),-$E1492*N(K1492)))</f>
        <v/>
      </c>
      <c r="Z1492" s="34">
        <f>IF(OR($A1492="",$H1492&lt;&gt;"Ausgabe",L1492=""),0,IF(L1492="x",-$E1492/(COUNTIF($J1492:$Q1492,"x")+1),-$E1492*N(L1492)))</f>
        <v/>
      </c>
      <c r="AA1492" s="34">
        <f>IF(OR($A1492="",$H1492&lt;&gt;"Ausgabe",M1492=""),0,IF(M1492="x",-$E1492/(COUNTIF($J1492:$Q1492,"x")+1),-$E1492*N(M1492)))</f>
        <v/>
      </c>
      <c r="AB1492" s="34">
        <f>IF(OR($A1492="",$H1492&lt;&gt;"Ausgabe",N1492=""),0,IF(N1492="x",-$E1492/(COUNTIF($J1492:$Q1492,"x")+1),-$E1492*N(N1492)))</f>
        <v/>
      </c>
      <c r="AC1492" s="34">
        <f>IF(OR($A1492="",$H1492&lt;&gt;"Ausgabe",O1492=""),0,IF(O1492="x",-$E1492/(COUNTIF($J1492:$Q1492,"x")+1),-$E1492*N(O1492)))</f>
        <v/>
      </c>
      <c r="AD1492" s="34">
        <f>IF(OR($A1492="",$H1492&lt;&gt;"Ausgabe",P1492=""),0,IF(P1492="x",-$E1492/(COUNTIF($J1492:$Q1492,"x")+1),-$E1492*N(P1492)))</f>
        <v/>
      </c>
      <c r="AE1492" s="34">
        <f>IF(OR($A1492="",$H1492&lt;&gt;"Ausgabe",Q1492=""),0,IF(Q1492="x",-$E1492/(COUNTIF($J1492:$Q1492,"x")+1),-$E1492*N(Q1492)))</f>
        <v/>
      </c>
    </row>
    <row r="1493">
      <c r="A1493" s="30" t="n"/>
      <c r="E1493" s="31" t="n"/>
      <c r="J1493" s="32" t="n"/>
      <c r="K1493" s="32" t="n"/>
      <c r="L1493" s="32" t="n"/>
      <c r="M1493" s="32" t="n"/>
      <c r="N1493" s="32" t="n"/>
      <c r="O1493" s="32" t="n"/>
      <c r="P1493" s="32" t="n"/>
      <c r="Q1493" s="32" t="n"/>
      <c r="U1493" s="31">
        <f>IF($A1493="","",SUM(X1493:AE1493))</f>
        <v/>
      </c>
      <c r="V1493" s="31">
        <f>IF($A1493="","",IF($H1493&lt;&gt;"Ausgabe",0,-$E1493-$U1493))</f>
        <v/>
      </c>
      <c r="W1493" s="33">
        <f>IF($A1493="","",DATE(YEAR($A1493),MONTH($A1493),1))</f>
        <v/>
      </c>
      <c r="X1493" s="34">
        <f>IF(OR($A1493="",$H1493&lt;&gt;"Ausgabe",J1493=""),0,IF(J1493="x",-$E1493/(COUNTIF($J1493:$Q1493,"x")+1),-$E1493*N(J1493)))</f>
        <v/>
      </c>
      <c r="Y1493" s="34">
        <f>IF(OR($A1493="",$H1493&lt;&gt;"Ausgabe",K1493=""),0,IF(K1493="x",-$E1493/(COUNTIF($J1493:$Q1493,"x")+1),-$E1493*N(K1493)))</f>
        <v/>
      </c>
      <c r="Z1493" s="34">
        <f>IF(OR($A1493="",$H1493&lt;&gt;"Ausgabe",L1493=""),0,IF(L1493="x",-$E1493/(COUNTIF($J1493:$Q1493,"x")+1),-$E1493*N(L1493)))</f>
        <v/>
      </c>
      <c r="AA1493" s="34">
        <f>IF(OR($A1493="",$H1493&lt;&gt;"Ausgabe",M1493=""),0,IF(M1493="x",-$E1493/(COUNTIF($J1493:$Q1493,"x")+1),-$E1493*N(M1493)))</f>
        <v/>
      </c>
      <c r="AB1493" s="34">
        <f>IF(OR($A1493="",$H1493&lt;&gt;"Ausgabe",N1493=""),0,IF(N1493="x",-$E1493/(COUNTIF($J1493:$Q1493,"x")+1),-$E1493*N(N1493)))</f>
        <v/>
      </c>
      <c r="AC1493" s="34">
        <f>IF(OR($A1493="",$H1493&lt;&gt;"Ausgabe",O1493=""),0,IF(O1493="x",-$E1493/(COUNTIF($J1493:$Q1493,"x")+1),-$E1493*N(O1493)))</f>
        <v/>
      </c>
      <c r="AD1493" s="34">
        <f>IF(OR($A1493="",$H1493&lt;&gt;"Ausgabe",P1493=""),0,IF(P1493="x",-$E1493/(COUNTIF($J1493:$Q1493,"x")+1),-$E1493*N(P1493)))</f>
        <v/>
      </c>
      <c r="AE1493" s="34">
        <f>IF(OR($A1493="",$H1493&lt;&gt;"Ausgabe",Q1493=""),0,IF(Q1493="x",-$E1493/(COUNTIF($J1493:$Q1493,"x")+1),-$E1493*N(Q1493)))</f>
        <v/>
      </c>
    </row>
    <row r="1494">
      <c r="A1494" s="30" t="n"/>
      <c r="E1494" s="31" t="n"/>
      <c r="J1494" s="32" t="n"/>
      <c r="K1494" s="32" t="n"/>
      <c r="L1494" s="32" t="n"/>
      <c r="M1494" s="32" t="n"/>
      <c r="N1494" s="32" t="n"/>
      <c r="O1494" s="32" t="n"/>
      <c r="P1494" s="32" t="n"/>
      <c r="Q1494" s="32" t="n"/>
      <c r="U1494" s="31">
        <f>IF($A1494="","",SUM(X1494:AE1494))</f>
        <v/>
      </c>
      <c r="V1494" s="31">
        <f>IF($A1494="","",IF($H1494&lt;&gt;"Ausgabe",0,-$E1494-$U1494))</f>
        <v/>
      </c>
      <c r="W1494" s="33">
        <f>IF($A1494="","",DATE(YEAR($A1494),MONTH($A1494),1))</f>
        <v/>
      </c>
      <c r="X1494" s="34">
        <f>IF(OR($A1494="",$H1494&lt;&gt;"Ausgabe",J1494=""),0,IF(J1494="x",-$E1494/(COUNTIF($J1494:$Q1494,"x")+1),-$E1494*N(J1494)))</f>
        <v/>
      </c>
      <c r="Y1494" s="34">
        <f>IF(OR($A1494="",$H1494&lt;&gt;"Ausgabe",K1494=""),0,IF(K1494="x",-$E1494/(COUNTIF($J1494:$Q1494,"x")+1),-$E1494*N(K1494)))</f>
        <v/>
      </c>
      <c r="Z1494" s="34">
        <f>IF(OR($A1494="",$H1494&lt;&gt;"Ausgabe",L1494=""),0,IF(L1494="x",-$E1494/(COUNTIF($J1494:$Q1494,"x")+1),-$E1494*N(L1494)))</f>
        <v/>
      </c>
      <c r="AA1494" s="34">
        <f>IF(OR($A1494="",$H1494&lt;&gt;"Ausgabe",M1494=""),0,IF(M1494="x",-$E1494/(COUNTIF($J1494:$Q1494,"x")+1),-$E1494*N(M1494)))</f>
        <v/>
      </c>
      <c r="AB1494" s="34">
        <f>IF(OR($A1494="",$H1494&lt;&gt;"Ausgabe",N1494=""),0,IF(N1494="x",-$E1494/(COUNTIF($J1494:$Q1494,"x")+1),-$E1494*N(N1494)))</f>
        <v/>
      </c>
      <c r="AC1494" s="34">
        <f>IF(OR($A1494="",$H1494&lt;&gt;"Ausgabe",O1494=""),0,IF(O1494="x",-$E1494/(COUNTIF($J1494:$Q1494,"x")+1),-$E1494*N(O1494)))</f>
        <v/>
      </c>
      <c r="AD1494" s="34">
        <f>IF(OR($A1494="",$H1494&lt;&gt;"Ausgabe",P1494=""),0,IF(P1494="x",-$E1494/(COUNTIF($J1494:$Q1494,"x")+1),-$E1494*N(P1494)))</f>
        <v/>
      </c>
      <c r="AE1494" s="34">
        <f>IF(OR($A1494="",$H1494&lt;&gt;"Ausgabe",Q1494=""),0,IF(Q1494="x",-$E1494/(COUNTIF($J1494:$Q1494,"x")+1),-$E1494*N(Q1494)))</f>
        <v/>
      </c>
    </row>
    <row r="1495">
      <c r="A1495" s="30" t="n"/>
      <c r="E1495" s="31" t="n"/>
      <c r="J1495" s="32" t="n"/>
      <c r="K1495" s="32" t="n"/>
      <c r="L1495" s="32" t="n"/>
      <c r="M1495" s="32" t="n"/>
      <c r="N1495" s="32" t="n"/>
      <c r="O1495" s="32" t="n"/>
      <c r="P1495" s="32" t="n"/>
      <c r="Q1495" s="32" t="n"/>
      <c r="U1495" s="31">
        <f>IF($A1495="","",SUM(X1495:AE1495))</f>
        <v/>
      </c>
      <c r="V1495" s="31">
        <f>IF($A1495="","",IF($H1495&lt;&gt;"Ausgabe",0,-$E1495-$U1495))</f>
        <v/>
      </c>
      <c r="W1495" s="33">
        <f>IF($A1495="","",DATE(YEAR($A1495),MONTH($A1495),1))</f>
        <v/>
      </c>
      <c r="X1495" s="34">
        <f>IF(OR($A1495="",$H1495&lt;&gt;"Ausgabe",J1495=""),0,IF(J1495="x",-$E1495/(COUNTIF($J1495:$Q1495,"x")+1),-$E1495*N(J1495)))</f>
        <v/>
      </c>
      <c r="Y1495" s="34">
        <f>IF(OR($A1495="",$H1495&lt;&gt;"Ausgabe",K1495=""),0,IF(K1495="x",-$E1495/(COUNTIF($J1495:$Q1495,"x")+1),-$E1495*N(K1495)))</f>
        <v/>
      </c>
      <c r="Z1495" s="34">
        <f>IF(OR($A1495="",$H1495&lt;&gt;"Ausgabe",L1495=""),0,IF(L1495="x",-$E1495/(COUNTIF($J1495:$Q1495,"x")+1),-$E1495*N(L1495)))</f>
        <v/>
      </c>
      <c r="AA1495" s="34">
        <f>IF(OR($A1495="",$H1495&lt;&gt;"Ausgabe",M1495=""),0,IF(M1495="x",-$E1495/(COUNTIF($J1495:$Q1495,"x")+1),-$E1495*N(M1495)))</f>
        <v/>
      </c>
      <c r="AB1495" s="34">
        <f>IF(OR($A1495="",$H1495&lt;&gt;"Ausgabe",N1495=""),0,IF(N1495="x",-$E1495/(COUNTIF($J1495:$Q1495,"x")+1),-$E1495*N(N1495)))</f>
        <v/>
      </c>
      <c r="AC1495" s="34">
        <f>IF(OR($A1495="",$H1495&lt;&gt;"Ausgabe",O1495=""),0,IF(O1495="x",-$E1495/(COUNTIF($J1495:$Q1495,"x")+1),-$E1495*N(O1495)))</f>
        <v/>
      </c>
      <c r="AD1495" s="34">
        <f>IF(OR($A1495="",$H1495&lt;&gt;"Ausgabe",P1495=""),0,IF(P1495="x",-$E1495/(COUNTIF($J1495:$Q1495,"x")+1),-$E1495*N(P1495)))</f>
        <v/>
      </c>
      <c r="AE1495" s="34">
        <f>IF(OR($A1495="",$H1495&lt;&gt;"Ausgabe",Q1495=""),0,IF(Q1495="x",-$E1495/(COUNTIF($J1495:$Q1495,"x")+1),-$E1495*N(Q1495)))</f>
        <v/>
      </c>
    </row>
    <row r="1496">
      <c r="A1496" s="30" t="n"/>
      <c r="E1496" s="31" t="n"/>
      <c r="J1496" s="32" t="n"/>
      <c r="K1496" s="32" t="n"/>
      <c r="L1496" s="32" t="n"/>
      <c r="M1496" s="32" t="n"/>
      <c r="N1496" s="32" t="n"/>
      <c r="O1496" s="32" t="n"/>
      <c r="P1496" s="32" t="n"/>
      <c r="Q1496" s="32" t="n"/>
      <c r="U1496" s="31">
        <f>IF($A1496="","",SUM(X1496:AE1496))</f>
        <v/>
      </c>
      <c r="V1496" s="31">
        <f>IF($A1496="","",IF($H1496&lt;&gt;"Ausgabe",0,-$E1496-$U1496))</f>
        <v/>
      </c>
      <c r="W1496" s="33">
        <f>IF($A1496="","",DATE(YEAR($A1496),MONTH($A1496),1))</f>
        <v/>
      </c>
      <c r="X1496" s="34">
        <f>IF(OR($A1496="",$H1496&lt;&gt;"Ausgabe",J1496=""),0,IF(J1496="x",-$E1496/(COUNTIF($J1496:$Q1496,"x")+1),-$E1496*N(J1496)))</f>
        <v/>
      </c>
      <c r="Y1496" s="34">
        <f>IF(OR($A1496="",$H1496&lt;&gt;"Ausgabe",K1496=""),0,IF(K1496="x",-$E1496/(COUNTIF($J1496:$Q1496,"x")+1),-$E1496*N(K1496)))</f>
        <v/>
      </c>
      <c r="Z1496" s="34">
        <f>IF(OR($A1496="",$H1496&lt;&gt;"Ausgabe",L1496=""),0,IF(L1496="x",-$E1496/(COUNTIF($J1496:$Q1496,"x")+1),-$E1496*N(L1496)))</f>
        <v/>
      </c>
      <c r="AA1496" s="34">
        <f>IF(OR($A1496="",$H1496&lt;&gt;"Ausgabe",M1496=""),0,IF(M1496="x",-$E1496/(COUNTIF($J1496:$Q1496,"x")+1),-$E1496*N(M1496)))</f>
        <v/>
      </c>
      <c r="AB1496" s="34">
        <f>IF(OR($A1496="",$H1496&lt;&gt;"Ausgabe",N1496=""),0,IF(N1496="x",-$E1496/(COUNTIF($J1496:$Q1496,"x")+1),-$E1496*N(N1496)))</f>
        <v/>
      </c>
      <c r="AC1496" s="34">
        <f>IF(OR($A1496="",$H1496&lt;&gt;"Ausgabe",O1496=""),0,IF(O1496="x",-$E1496/(COUNTIF($J1496:$Q1496,"x")+1),-$E1496*N(O1496)))</f>
        <v/>
      </c>
      <c r="AD1496" s="34">
        <f>IF(OR($A1496="",$H1496&lt;&gt;"Ausgabe",P1496=""),0,IF(P1496="x",-$E1496/(COUNTIF($J1496:$Q1496,"x")+1),-$E1496*N(P1496)))</f>
        <v/>
      </c>
      <c r="AE1496" s="34">
        <f>IF(OR($A1496="",$H1496&lt;&gt;"Ausgabe",Q1496=""),0,IF(Q1496="x",-$E1496/(COUNTIF($J1496:$Q1496,"x")+1),-$E1496*N(Q1496)))</f>
        <v/>
      </c>
    </row>
    <row r="1497">
      <c r="A1497" s="30" t="n"/>
      <c r="E1497" s="31" t="n"/>
      <c r="J1497" s="32" t="n"/>
      <c r="K1497" s="32" t="n"/>
      <c r="L1497" s="32" t="n"/>
      <c r="M1497" s="32" t="n"/>
      <c r="N1497" s="32" t="n"/>
      <c r="O1497" s="32" t="n"/>
      <c r="P1497" s="32" t="n"/>
      <c r="Q1497" s="32" t="n"/>
      <c r="U1497" s="31">
        <f>IF($A1497="","",SUM(X1497:AE1497))</f>
        <v/>
      </c>
      <c r="V1497" s="31">
        <f>IF($A1497="","",IF($H1497&lt;&gt;"Ausgabe",0,-$E1497-$U1497))</f>
        <v/>
      </c>
      <c r="W1497" s="33">
        <f>IF($A1497="","",DATE(YEAR($A1497),MONTH($A1497),1))</f>
        <v/>
      </c>
      <c r="X1497" s="34">
        <f>IF(OR($A1497="",$H1497&lt;&gt;"Ausgabe",J1497=""),0,IF(J1497="x",-$E1497/(COUNTIF($J1497:$Q1497,"x")+1),-$E1497*N(J1497)))</f>
        <v/>
      </c>
      <c r="Y1497" s="34">
        <f>IF(OR($A1497="",$H1497&lt;&gt;"Ausgabe",K1497=""),0,IF(K1497="x",-$E1497/(COUNTIF($J1497:$Q1497,"x")+1),-$E1497*N(K1497)))</f>
        <v/>
      </c>
      <c r="Z1497" s="34">
        <f>IF(OR($A1497="",$H1497&lt;&gt;"Ausgabe",L1497=""),0,IF(L1497="x",-$E1497/(COUNTIF($J1497:$Q1497,"x")+1),-$E1497*N(L1497)))</f>
        <v/>
      </c>
      <c r="AA1497" s="34">
        <f>IF(OR($A1497="",$H1497&lt;&gt;"Ausgabe",M1497=""),0,IF(M1497="x",-$E1497/(COUNTIF($J1497:$Q1497,"x")+1),-$E1497*N(M1497)))</f>
        <v/>
      </c>
      <c r="AB1497" s="34">
        <f>IF(OR($A1497="",$H1497&lt;&gt;"Ausgabe",N1497=""),0,IF(N1497="x",-$E1497/(COUNTIF($J1497:$Q1497,"x")+1),-$E1497*N(N1497)))</f>
        <v/>
      </c>
      <c r="AC1497" s="34">
        <f>IF(OR($A1497="",$H1497&lt;&gt;"Ausgabe",O1497=""),0,IF(O1497="x",-$E1497/(COUNTIF($J1497:$Q1497,"x")+1),-$E1497*N(O1497)))</f>
        <v/>
      </c>
      <c r="AD1497" s="34">
        <f>IF(OR($A1497="",$H1497&lt;&gt;"Ausgabe",P1497=""),0,IF(P1497="x",-$E1497/(COUNTIF($J1497:$Q1497,"x")+1),-$E1497*N(P1497)))</f>
        <v/>
      </c>
      <c r="AE1497" s="34">
        <f>IF(OR($A1497="",$H1497&lt;&gt;"Ausgabe",Q1497=""),0,IF(Q1497="x",-$E1497/(COUNTIF($J1497:$Q1497,"x")+1),-$E1497*N(Q1497)))</f>
        <v/>
      </c>
    </row>
    <row r="1498">
      <c r="A1498" s="30" t="n"/>
      <c r="E1498" s="31" t="n"/>
      <c r="J1498" s="32" t="n"/>
      <c r="K1498" s="32" t="n"/>
      <c r="L1498" s="32" t="n"/>
      <c r="M1498" s="32" t="n"/>
      <c r="N1498" s="32" t="n"/>
      <c r="O1498" s="32" t="n"/>
      <c r="P1498" s="32" t="n"/>
      <c r="Q1498" s="32" t="n"/>
      <c r="U1498" s="31">
        <f>IF($A1498="","",SUM(X1498:AE1498))</f>
        <v/>
      </c>
      <c r="V1498" s="31">
        <f>IF($A1498="","",IF($H1498&lt;&gt;"Ausgabe",0,-$E1498-$U1498))</f>
        <v/>
      </c>
      <c r="W1498" s="33">
        <f>IF($A1498="","",DATE(YEAR($A1498),MONTH($A1498),1))</f>
        <v/>
      </c>
      <c r="X1498" s="34">
        <f>IF(OR($A1498="",$H1498&lt;&gt;"Ausgabe",J1498=""),0,IF(J1498="x",-$E1498/(COUNTIF($J1498:$Q1498,"x")+1),-$E1498*N(J1498)))</f>
        <v/>
      </c>
      <c r="Y1498" s="34">
        <f>IF(OR($A1498="",$H1498&lt;&gt;"Ausgabe",K1498=""),0,IF(K1498="x",-$E1498/(COUNTIF($J1498:$Q1498,"x")+1),-$E1498*N(K1498)))</f>
        <v/>
      </c>
      <c r="Z1498" s="34">
        <f>IF(OR($A1498="",$H1498&lt;&gt;"Ausgabe",L1498=""),0,IF(L1498="x",-$E1498/(COUNTIF($J1498:$Q1498,"x")+1),-$E1498*N(L1498)))</f>
        <v/>
      </c>
      <c r="AA1498" s="34">
        <f>IF(OR($A1498="",$H1498&lt;&gt;"Ausgabe",M1498=""),0,IF(M1498="x",-$E1498/(COUNTIF($J1498:$Q1498,"x")+1),-$E1498*N(M1498)))</f>
        <v/>
      </c>
      <c r="AB1498" s="34">
        <f>IF(OR($A1498="",$H1498&lt;&gt;"Ausgabe",N1498=""),0,IF(N1498="x",-$E1498/(COUNTIF($J1498:$Q1498,"x")+1),-$E1498*N(N1498)))</f>
        <v/>
      </c>
      <c r="AC1498" s="34">
        <f>IF(OR($A1498="",$H1498&lt;&gt;"Ausgabe",O1498=""),0,IF(O1498="x",-$E1498/(COUNTIF($J1498:$Q1498,"x")+1),-$E1498*N(O1498)))</f>
        <v/>
      </c>
      <c r="AD1498" s="34">
        <f>IF(OR($A1498="",$H1498&lt;&gt;"Ausgabe",P1498=""),0,IF(P1498="x",-$E1498/(COUNTIF($J1498:$Q1498,"x")+1),-$E1498*N(P1498)))</f>
        <v/>
      </c>
      <c r="AE1498" s="34">
        <f>IF(OR($A1498="",$H1498&lt;&gt;"Ausgabe",Q1498=""),0,IF(Q1498="x",-$E1498/(COUNTIF($J1498:$Q1498,"x")+1),-$E1498*N(Q1498)))</f>
        <v/>
      </c>
    </row>
    <row r="1499">
      <c r="A1499" s="30" t="n"/>
      <c r="E1499" s="31" t="n"/>
      <c r="J1499" s="32" t="n"/>
      <c r="K1499" s="32" t="n"/>
      <c r="L1499" s="32" t="n"/>
      <c r="M1499" s="32" t="n"/>
      <c r="N1499" s="32" t="n"/>
      <c r="O1499" s="32" t="n"/>
      <c r="P1499" s="32" t="n"/>
      <c r="Q1499" s="32" t="n"/>
      <c r="U1499" s="31">
        <f>IF($A1499="","",SUM(X1499:AE1499))</f>
        <v/>
      </c>
      <c r="V1499" s="31">
        <f>IF($A1499="","",IF($H1499&lt;&gt;"Ausgabe",0,-$E1499-$U1499))</f>
        <v/>
      </c>
      <c r="W1499" s="33">
        <f>IF($A1499="","",DATE(YEAR($A1499),MONTH($A1499),1))</f>
        <v/>
      </c>
      <c r="X1499" s="34">
        <f>IF(OR($A1499="",$H1499&lt;&gt;"Ausgabe",J1499=""),0,IF(J1499="x",-$E1499/(COUNTIF($J1499:$Q1499,"x")+1),-$E1499*N(J1499)))</f>
        <v/>
      </c>
      <c r="Y1499" s="34">
        <f>IF(OR($A1499="",$H1499&lt;&gt;"Ausgabe",K1499=""),0,IF(K1499="x",-$E1499/(COUNTIF($J1499:$Q1499,"x")+1),-$E1499*N(K1499)))</f>
        <v/>
      </c>
      <c r="Z1499" s="34">
        <f>IF(OR($A1499="",$H1499&lt;&gt;"Ausgabe",L1499=""),0,IF(L1499="x",-$E1499/(COUNTIF($J1499:$Q1499,"x")+1),-$E1499*N(L1499)))</f>
        <v/>
      </c>
      <c r="AA1499" s="34">
        <f>IF(OR($A1499="",$H1499&lt;&gt;"Ausgabe",M1499=""),0,IF(M1499="x",-$E1499/(COUNTIF($J1499:$Q1499,"x")+1),-$E1499*N(M1499)))</f>
        <v/>
      </c>
      <c r="AB1499" s="34">
        <f>IF(OR($A1499="",$H1499&lt;&gt;"Ausgabe",N1499=""),0,IF(N1499="x",-$E1499/(COUNTIF($J1499:$Q1499,"x")+1),-$E1499*N(N1499)))</f>
        <v/>
      </c>
      <c r="AC1499" s="34">
        <f>IF(OR($A1499="",$H1499&lt;&gt;"Ausgabe",O1499=""),0,IF(O1499="x",-$E1499/(COUNTIF($J1499:$Q1499,"x")+1),-$E1499*N(O1499)))</f>
        <v/>
      </c>
      <c r="AD1499" s="34">
        <f>IF(OR($A1499="",$H1499&lt;&gt;"Ausgabe",P1499=""),0,IF(P1499="x",-$E1499/(COUNTIF($J1499:$Q1499,"x")+1),-$E1499*N(P1499)))</f>
        <v/>
      </c>
      <c r="AE1499" s="34">
        <f>IF(OR($A1499="",$H1499&lt;&gt;"Ausgabe",Q1499=""),0,IF(Q1499="x",-$E1499/(COUNTIF($J1499:$Q1499,"x")+1),-$E1499*N(Q1499)))</f>
        <v/>
      </c>
    </row>
    <row r="1500">
      <c r="A1500" s="30" t="n"/>
      <c r="E1500" s="31" t="n"/>
      <c r="J1500" s="32" t="n"/>
      <c r="K1500" s="32" t="n"/>
      <c r="L1500" s="32" t="n"/>
      <c r="M1500" s="32" t="n"/>
      <c r="N1500" s="32" t="n"/>
      <c r="O1500" s="32" t="n"/>
      <c r="P1500" s="32" t="n"/>
      <c r="Q1500" s="32" t="n"/>
      <c r="U1500" s="31">
        <f>IF($A1500="","",SUM(X1500:AE1500))</f>
        <v/>
      </c>
      <c r="V1500" s="31">
        <f>IF($A1500="","",IF($H1500&lt;&gt;"Ausgabe",0,-$E1500-$U1500))</f>
        <v/>
      </c>
      <c r="W1500" s="33">
        <f>IF($A1500="","",DATE(YEAR($A1500),MONTH($A1500),1))</f>
        <v/>
      </c>
      <c r="X1500" s="34">
        <f>IF(OR($A1500="",$H1500&lt;&gt;"Ausgabe",J1500=""),0,IF(J1500="x",-$E1500/(COUNTIF($J1500:$Q1500,"x")+1),-$E1500*N(J1500)))</f>
        <v/>
      </c>
      <c r="Y1500" s="34">
        <f>IF(OR($A1500="",$H1500&lt;&gt;"Ausgabe",K1500=""),0,IF(K1500="x",-$E1500/(COUNTIF($J1500:$Q1500,"x")+1),-$E1500*N(K1500)))</f>
        <v/>
      </c>
      <c r="Z1500" s="34">
        <f>IF(OR($A1500="",$H1500&lt;&gt;"Ausgabe",L1500=""),0,IF(L1500="x",-$E1500/(COUNTIF($J1500:$Q1500,"x")+1),-$E1500*N(L1500)))</f>
        <v/>
      </c>
      <c r="AA1500" s="34">
        <f>IF(OR($A1500="",$H1500&lt;&gt;"Ausgabe",M1500=""),0,IF(M1500="x",-$E1500/(COUNTIF($J1500:$Q1500,"x")+1),-$E1500*N(M1500)))</f>
        <v/>
      </c>
      <c r="AB1500" s="34">
        <f>IF(OR($A1500="",$H1500&lt;&gt;"Ausgabe",N1500=""),0,IF(N1500="x",-$E1500/(COUNTIF($J1500:$Q1500,"x")+1),-$E1500*N(N1500)))</f>
        <v/>
      </c>
      <c r="AC1500" s="34">
        <f>IF(OR($A1500="",$H1500&lt;&gt;"Ausgabe",O1500=""),0,IF(O1500="x",-$E1500/(COUNTIF($J1500:$Q1500,"x")+1),-$E1500*N(O1500)))</f>
        <v/>
      </c>
      <c r="AD1500" s="34">
        <f>IF(OR($A1500="",$H1500&lt;&gt;"Ausgabe",P1500=""),0,IF(P1500="x",-$E1500/(COUNTIF($J1500:$Q1500,"x")+1),-$E1500*N(P1500)))</f>
        <v/>
      </c>
      <c r="AE1500" s="34">
        <f>IF(OR($A1500="",$H1500&lt;&gt;"Ausgabe",Q1500=""),0,IF(Q1500="x",-$E1500/(COUNTIF($J1500:$Q1500,"x")+1),-$E1500*N(Q1500)))</f>
        <v/>
      </c>
    </row>
    <row r="1501">
      <c r="A1501" s="30" t="n"/>
      <c r="E1501" s="31" t="n"/>
      <c r="J1501" s="32" t="n"/>
      <c r="K1501" s="32" t="n"/>
      <c r="L1501" s="32" t="n"/>
      <c r="M1501" s="32" t="n"/>
      <c r="N1501" s="32" t="n"/>
      <c r="O1501" s="32" t="n"/>
      <c r="P1501" s="32" t="n"/>
      <c r="Q1501" s="32" t="n"/>
      <c r="U1501" s="31">
        <f>IF($A1501="","",SUM(X1501:AE1501))</f>
        <v/>
      </c>
      <c r="V1501" s="31">
        <f>IF($A1501="","",IF($H1501&lt;&gt;"Ausgabe",0,-$E1501-$U1501))</f>
        <v/>
      </c>
      <c r="W1501" s="33">
        <f>IF($A1501="","",DATE(YEAR($A1501),MONTH($A1501),1))</f>
        <v/>
      </c>
      <c r="X1501" s="34">
        <f>IF(OR($A1501="",$H1501&lt;&gt;"Ausgabe",J1501=""),0,IF(J1501="x",-$E1501/(COUNTIF($J1501:$Q1501,"x")+1),-$E1501*N(J1501)))</f>
        <v/>
      </c>
      <c r="Y1501" s="34">
        <f>IF(OR($A1501="",$H1501&lt;&gt;"Ausgabe",K1501=""),0,IF(K1501="x",-$E1501/(COUNTIF($J1501:$Q1501,"x")+1),-$E1501*N(K1501)))</f>
        <v/>
      </c>
      <c r="Z1501" s="34">
        <f>IF(OR($A1501="",$H1501&lt;&gt;"Ausgabe",L1501=""),0,IF(L1501="x",-$E1501/(COUNTIF($J1501:$Q1501,"x")+1),-$E1501*N(L1501)))</f>
        <v/>
      </c>
      <c r="AA1501" s="34">
        <f>IF(OR($A1501="",$H1501&lt;&gt;"Ausgabe",M1501=""),0,IF(M1501="x",-$E1501/(COUNTIF($J1501:$Q1501,"x")+1),-$E1501*N(M1501)))</f>
        <v/>
      </c>
      <c r="AB1501" s="34">
        <f>IF(OR($A1501="",$H1501&lt;&gt;"Ausgabe",N1501=""),0,IF(N1501="x",-$E1501/(COUNTIF($J1501:$Q1501,"x")+1),-$E1501*N(N1501)))</f>
        <v/>
      </c>
      <c r="AC1501" s="34">
        <f>IF(OR($A1501="",$H1501&lt;&gt;"Ausgabe",O1501=""),0,IF(O1501="x",-$E1501/(COUNTIF($J1501:$Q1501,"x")+1),-$E1501*N(O1501)))</f>
        <v/>
      </c>
      <c r="AD1501" s="34">
        <f>IF(OR($A1501="",$H1501&lt;&gt;"Ausgabe",P1501=""),0,IF(P1501="x",-$E1501/(COUNTIF($J1501:$Q1501,"x")+1),-$E1501*N(P1501)))</f>
        <v/>
      </c>
      <c r="AE1501" s="34">
        <f>IF(OR($A1501="",$H1501&lt;&gt;"Ausgabe",Q1501=""),0,IF(Q1501="x",-$E1501/(COUNTIF($J1501:$Q1501,"x")+1),-$E1501*N(Q1501)))</f>
        <v/>
      </c>
    </row>
    <row r="1502">
      <c r="A1502" s="30" t="n"/>
      <c r="E1502" s="31" t="n"/>
      <c r="J1502" s="32" t="n"/>
      <c r="K1502" s="32" t="n"/>
      <c r="L1502" s="32" t="n"/>
      <c r="M1502" s="32" t="n"/>
      <c r="N1502" s="32" t="n"/>
      <c r="O1502" s="32" t="n"/>
      <c r="P1502" s="32" t="n"/>
      <c r="Q1502" s="32" t="n"/>
      <c r="U1502" s="31">
        <f>IF($A1502="","",SUM(X1502:AE1502))</f>
        <v/>
      </c>
      <c r="V1502" s="31">
        <f>IF($A1502="","",IF($H1502&lt;&gt;"Ausgabe",0,-$E1502-$U1502))</f>
        <v/>
      </c>
      <c r="W1502" s="33">
        <f>IF($A1502="","",DATE(YEAR($A1502),MONTH($A1502),1))</f>
        <v/>
      </c>
      <c r="X1502" s="34">
        <f>IF(OR($A1502="",$H1502&lt;&gt;"Ausgabe",J1502=""),0,IF(J1502="x",-$E1502/(COUNTIF($J1502:$Q1502,"x")+1),-$E1502*N(J1502)))</f>
        <v/>
      </c>
      <c r="Y1502" s="34">
        <f>IF(OR($A1502="",$H1502&lt;&gt;"Ausgabe",K1502=""),0,IF(K1502="x",-$E1502/(COUNTIF($J1502:$Q1502,"x")+1),-$E1502*N(K1502)))</f>
        <v/>
      </c>
      <c r="Z1502" s="34">
        <f>IF(OR($A1502="",$H1502&lt;&gt;"Ausgabe",L1502=""),0,IF(L1502="x",-$E1502/(COUNTIF($J1502:$Q1502,"x")+1),-$E1502*N(L1502)))</f>
        <v/>
      </c>
      <c r="AA1502" s="34">
        <f>IF(OR($A1502="",$H1502&lt;&gt;"Ausgabe",M1502=""),0,IF(M1502="x",-$E1502/(COUNTIF($J1502:$Q1502,"x")+1),-$E1502*N(M1502)))</f>
        <v/>
      </c>
      <c r="AB1502" s="34">
        <f>IF(OR($A1502="",$H1502&lt;&gt;"Ausgabe",N1502=""),0,IF(N1502="x",-$E1502/(COUNTIF($J1502:$Q1502,"x")+1),-$E1502*N(N1502)))</f>
        <v/>
      </c>
      <c r="AC1502" s="34">
        <f>IF(OR($A1502="",$H1502&lt;&gt;"Ausgabe",O1502=""),0,IF(O1502="x",-$E1502/(COUNTIF($J1502:$Q1502,"x")+1),-$E1502*N(O1502)))</f>
        <v/>
      </c>
      <c r="AD1502" s="34">
        <f>IF(OR($A1502="",$H1502&lt;&gt;"Ausgabe",P1502=""),0,IF(P1502="x",-$E1502/(COUNTIF($J1502:$Q1502,"x")+1),-$E1502*N(P1502)))</f>
        <v/>
      </c>
      <c r="AE1502" s="34">
        <f>IF(OR($A1502="",$H1502&lt;&gt;"Ausgabe",Q1502=""),0,IF(Q1502="x",-$E1502/(COUNTIF($J1502:$Q1502,"x")+1),-$E1502*N(Q1502)))</f>
        <v/>
      </c>
    </row>
    <row r="1503">
      <c r="A1503" s="30" t="n"/>
      <c r="E1503" s="31" t="n"/>
      <c r="J1503" s="32" t="n"/>
      <c r="K1503" s="32" t="n"/>
      <c r="L1503" s="32" t="n"/>
      <c r="M1503" s="32" t="n"/>
      <c r="N1503" s="32" t="n"/>
      <c r="O1503" s="32" t="n"/>
      <c r="P1503" s="32" t="n"/>
      <c r="Q1503" s="32" t="n"/>
      <c r="U1503" s="31">
        <f>IF($A1503="","",SUM(X1503:AE1503))</f>
        <v/>
      </c>
      <c r="V1503" s="31">
        <f>IF($A1503="","",IF($H1503&lt;&gt;"Ausgabe",0,-$E1503-$U1503))</f>
        <v/>
      </c>
      <c r="W1503" s="33">
        <f>IF($A1503="","",DATE(YEAR($A1503),MONTH($A1503),1))</f>
        <v/>
      </c>
      <c r="X1503" s="34">
        <f>IF(OR($A1503="",$H1503&lt;&gt;"Ausgabe",J1503=""),0,IF(J1503="x",-$E1503/(COUNTIF($J1503:$Q1503,"x")+1),-$E1503*N(J1503)))</f>
        <v/>
      </c>
      <c r="Y1503" s="34">
        <f>IF(OR($A1503="",$H1503&lt;&gt;"Ausgabe",K1503=""),0,IF(K1503="x",-$E1503/(COUNTIF($J1503:$Q1503,"x")+1),-$E1503*N(K1503)))</f>
        <v/>
      </c>
      <c r="Z1503" s="34">
        <f>IF(OR($A1503="",$H1503&lt;&gt;"Ausgabe",L1503=""),0,IF(L1503="x",-$E1503/(COUNTIF($J1503:$Q1503,"x")+1),-$E1503*N(L1503)))</f>
        <v/>
      </c>
      <c r="AA1503" s="34">
        <f>IF(OR($A1503="",$H1503&lt;&gt;"Ausgabe",M1503=""),0,IF(M1503="x",-$E1503/(COUNTIF($J1503:$Q1503,"x")+1),-$E1503*N(M1503)))</f>
        <v/>
      </c>
      <c r="AB1503" s="34">
        <f>IF(OR($A1503="",$H1503&lt;&gt;"Ausgabe",N1503=""),0,IF(N1503="x",-$E1503/(COUNTIF($J1503:$Q1503,"x")+1),-$E1503*N(N1503)))</f>
        <v/>
      </c>
      <c r="AC1503" s="34">
        <f>IF(OR($A1503="",$H1503&lt;&gt;"Ausgabe",O1503=""),0,IF(O1503="x",-$E1503/(COUNTIF($J1503:$Q1503,"x")+1),-$E1503*N(O1503)))</f>
        <v/>
      </c>
      <c r="AD1503" s="34">
        <f>IF(OR($A1503="",$H1503&lt;&gt;"Ausgabe",P1503=""),0,IF(P1503="x",-$E1503/(COUNTIF($J1503:$Q1503,"x")+1),-$E1503*N(P1503)))</f>
        <v/>
      </c>
      <c r="AE1503" s="34">
        <f>IF(OR($A1503="",$H1503&lt;&gt;"Ausgabe",Q1503=""),0,IF(Q1503="x",-$E1503/(COUNTIF($J1503:$Q1503,"x")+1),-$E1503*N(Q1503)))</f>
        <v/>
      </c>
    </row>
    <row r="1504">
      <c r="A1504" s="30" t="n"/>
      <c r="E1504" s="31" t="n"/>
      <c r="J1504" s="32" t="n"/>
      <c r="K1504" s="32" t="n"/>
      <c r="L1504" s="32" t="n"/>
      <c r="M1504" s="32" t="n"/>
      <c r="N1504" s="32" t="n"/>
      <c r="O1504" s="32" t="n"/>
      <c r="P1504" s="32" t="n"/>
      <c r="Q1504" s="32" t="n"/>
      <c r="U1504" s="31">
        <f>IF($A1504="","",SUM(X1504:AE1504))</f>
        <v/>
      </c>
      <c r="V1504" s="31">
        <f>IF($A1504="","",IF($H1504&lt;&gt;"Ausgabe",0,-$E1504-$U1504))</f>
        <v/>
      </c>
      <c r="W1504" s="33">
        <f>IF($A1504="","",DATE(YEAR($A1504),MONTH($A1504),1))</f>
        <v/>
      </c>
      <c r="X1504" s="34">
        <f>IF(OR($A1504="",$H1504&lt;&gt;"Ausgabe",J1504=""),0,IF(J1504="x",-$E1504/(COUNTIF($J1504:$Q1504,"x")+1),-$E1504*N(J1504)))</f>
        <v/>
      </c>
      <c r="Y1504" s="34">
        <f>IF(OR($A1504="",$H1504&lt;&gt;"Ausgabe",K1504=""),0,IF(K1504="x",-$E1504/(COUNTIF($J1504:$Q1504,"x")+1),-$E1504*N(K1504)))</f>
        <v/>
      </c>
      <c r="Z1504" s="34">
        <f>IF(OR($A1504="",$H1504&lt;&gt;"Ausgabe",L1504=""),0,IF(L1504="x",-$E1504/(COUNTIF($J1504:$Q1504,"x")+1),-$E1504*N(L1504)))</f>
        <v/>
      </c>
      <c r="AA1504" s="34">
        <f>IF(OR($A1504="",$H1504&lt;&gt;"Ausgabe",M1504=""),0,IF(M1504="x",-$E1504/(COUNTIF($J1504:$Q1504,"x")+1),-$E1504*N(M1504)))</f>
        <v/>
      </c>
      <c r="AB1504" s="34">
        <f>IF(OR($A1504="",$H1504&lt;&gt;"Ausgabe",N1504=""),0,IF(N1504="x",-$E1504/(COUNTIF($J1504:$Q1504,"x")+1),-$E1504*N(N1504)))</f>
        <v/>
      </c>
      <c r="AC1504" s="34">
        <f>IF(OR($A1504="",$H1504&lt;&gt;"Ausgabe",O1504=""),0,IF(O1504="x",-$E1504/(COUNTIF($J1504:$Q1504,"x")+1),-$E1504*N(O1504)))</f>
        <v/>
      </c>
      <c r="AD1504" s="34">
        <f>IF(OR($A1504="",$H1504&lt;&gt;"Ausgabe",P1504=""),0,IF(P1504="x",-$E1504/(COUNTIF($J1504:$Q1504,"x")+1),-$E1504*N(P1504)))</f>
        <v/>
      </c>
      <c r="AE1504" s="34">
        <f>IF(OR($A1504="",$H1504&lt;&gt;"Ausgabe",Q1504=""),0,IF(Q1504="x",-$E1504/(COUNTIF($J1504:$Q1504,"x")+1),-$E1504*N(Q1504)))</f>
        <v/>
      </c>
    </row>
    <row r="1505">
      <c r="A1505" s="30" t="n"/>
      <c r="E1505" s="31" t="n"/>
      <c r="J1505" s="32" t="n"/>
      <c r="K1505" s="32" t="n"/>
      <c r="L1505" s="32" t="n"/>
      <c r="M1505" s="32" t="n"/>
      <c r="N1505" s="32" t="n"/>
      <c r="O1505" s="32" t="n"/>
      <c r="P1505" s="32" t="n"/>
      <c r="Q1505" s="32" t="n"/>
      <c r="U1505" s="31">
        <f>IF($A1505="","",SUM(X1505:AE1505))</f>
        <v/>
      </c>
      <c r="V1505" s="31">
        <f>IF($A1505="","",IF($H1505&lt;&gt;"Ausgabe",0,-$E1505-$U1505))</f>
        <v/>
      </c>
      <c r="W1505" s="33">
        <f>IF($A1505="","",DATE(YEAR($A1505),MONTH($A1505),1))</f>
        <v/>
      </c>
      <c r="X1505" s="34">
        <f>IF(OR($A1505="",$H1505&lt;&gt;"Ausgabe",J1505=""),0,IF(J1505="x",-$E1505/(COUNTIF($J1505:$Q1505,"x")+1),-$E1505*N(J1505)))</f>
        <v/>
      </c>
      <c r="Y1505" s="34">
        <f>IF(OR($A1505="",$H1505&lt;&gt;"Ausgabe",K1505=""),0,IF(K1505="x",-$E1505/(COUNTIF($J1505:$Q1505,"x")+1),-$E1505*N(K1505)))</f>
        <v/>
      </c>
      <c r="Z1505" s="34">
        <f>IF(OR($A1505="",$H1505&lt;&gt;"Ausgabe",L1505=""),0,IF(L1505="x",-$E1505/(COUNTIF($J1505:$Q1505,"x")+1),-$E1505*N(L1505)))</f>
        <v/>
      </c>
      <c r="AA1505" s="34">
        <f>IF(OR($A1505="",$H1505&lt;&gt;"Ausgabe",M1505=""),0,IF(M1505="x",-$E1505/(COUNTIF($J1505:$Q1505,"x")+1),-$E1505*N(M1505)))</f>
        <v/>
      </c>
      <c r="AB1505" s="34">
        <f>IF(OR($A1505="",$H1505&lt;&gt;"Ausgabe",N1505=""),0,IF(N1505="x",-$E1505/(COUNTIF($J1505:$Q1505,"x")+1),-$E1505*N(N1505)))</f>
        <v/>
      </c>
      <c r="AC1505" s="34">
        <f>IF(OR($A1505="",$H1505&lt;&gt;"Ausgabe",O1505=""),0,IF(O1505="x",-$E1505/(COUNTIF($J1505:$Q1505,"x")+1),-$E1505*N(O1505)))</f>
        <v/>
      </c>
      <c r="AD1505" s="34">
        <f>IF(OR($A1505="",$H1505&lt;&gt;"Ausgabe",P1505=""),0,IF(P1505="x",-$E1505/(COUNTIF($J1505:$Q1505,"x")+1),-$E1505*N(P1505)))</f>
        <v/>
      </c>
      <c r="AE1505" s="34">
        <f>IF(OR($A1505="",$H1505&lt;&gt;"Ausgabe",Q1505=""),0,IF(Q1505="x",-$E1505/(COUNTIF($J1505:$Q1505,"x")+1),-$E1505*N(Q1505)))</f>
        <v/>
      </c>
    </row>
    <row r="1506">
      <c r="A1506" s="30" t="n"/>
      <c r="E1506" s="31" t="n"/>
      <c r="J1506" s="32" t="n"/>
      <c r="K1506" s="32" t="n"/>
      <c r="L1506" s="32" t="n"/>
      <c r="M1506" s="32" t="n"/>
      <c r="N1506" s="32" t="n"/>
      <c r="O1506" s="32" t="n"/>
      <c r="P1506" s="32" t="n"/>
      <c r="Q1506" s="32" t="n"/>
      <c r="U1506" s="31">
        <f>IF($A1506="","",SUM(X1506:AE1506))</f>
        <v/>
      </c>
      <c r="V1506" s="31">
        <f>IF($A1506="","",IF($H1506&lt;&gt;"Ausgabe",0,-$E1506-$U1506))</f>
        <v/>
      </c>
      <c r="W1506" s="33">
        <f>IF($A1506="","",DATE(YEAR($A1506),MONTH($A1506),1))</f>
        <v/>
      </c>
      <c r="X1506" s="34">
        <f>IF(OR($A1506="",$H1506&lt;&gt;"Ausgabe",J1506=""),0,IF(J1506="x",-$E1506/(COUNTIF($J1506:$Q1506,"x")+1),-$E1506*N(J1506)))</f>
        <v/>
      </c>
      <c r="Y1506" s="34">
        <f>IF(OR($A1506="",$H1506&lt;&gt;"Ausgabe",K1506=""),0,IF(K1506="x",-$E1506/(COUNTIF($J1506:$Q1506,"x")+1),-$E1506*N(K1506)))</f>
        <v/>
      </c>
      <c r="Z1506" s="34">
        <f>IF(OR($A1506="",$H1506&lt;&gt;"Ausgabe",L1506=""),0,IF(L1506="x",-$E1506/(COUNTIF($J1506:$Q1506,"x")+1),-$E1506*N(L1506)))</f>
        <v/>
      </c>
      <c r="AA1506" s="34">
        <f>IF(OR($A1506="",$H1506&lt;&gt;"Ausgabe",M1506=""),0,IF(M1506="x",-$E1506/(COUNTIF($J1506:$Q1506,"x")+1),-$E1506*N(M1506)))</f>
        <v/>
      </c>
      <c r="AB1506" s="34">
        <f>IF(OR($A1506="",$H1506&lt;&gt;"Ausgabe",N1506=""),0,IF(N1506="x",-$E1506/(COUNTIF($J1506:$Q1506,"x")+1),-$E1506*N(N1506)))</f>
        <v/>
      </c>
      <c r="AC1506" s="34">
        <f>IF(OR($A1506="",$H1506&lt;&gt;"Ausgabe",O1506=""),0,IF(O1506="x",-$E1506/(COUNTIF($J1506:$Q1506,"x")+1),-$E1506*N(O1506)))</f>
        <v/>
      </c>
      <c r="AD1506" s="34">
        <f>IF(OR($A1506="",$H1506&lt;&gt;"Ausgabe",P1506=""),0,IF(P1506="x",-$E1506/(COUNTIF($J1506:$Q1506,"x")+1),-$E1506*N(P1506)))</f>
        <v/>
      </c>
      <c r="AE1506" s="34">
        <f>IF(OR($A1506="",$H1506&lt;&gt;"Ausgabe",Q1506=""),0,IF(Q1506="x",-$E1506/(COUNTIF($J1506:$Q1506,"x")+1),-$E1506*N(Q1506)))</f>
        <v/>
      </c>
    </row>
    <row r="1507">
      <c r="A1507" s="30" t="n"/>
      <c r="E1507" s="31" t="n"/>
      <c r="J1507" s="32" t="n"/>
      <c r="K1507" s="32" t="n"/>
      <c r="L1507" s="32" t="n"/>
      <c r="M1507" s="32" t="n"/>
      <c r="N1507" s="32" t="n"/>
      <c r="O1507" s="32" t="n"/>
      <c r="P1507" s="32" t="n"/>
      <c r="Q1507" s="32" t="n"/>
      <c r="U1507" s="31">
        <f>IF($A1507="","",SUM(X1507:AE1507))</f>
        <v/>
      </c>
      <c r="V1507" s="31">
        <f>IF($A1507="","",IF($H1507&lt;&gt;"Ausgabe",0,-$E1507-$U1507))</f>
        <v/>
      </c>
      <c r="W1507" s="33">
        <f>IF($A1507="","",DATE(YEAR($A1507),MONTH($A1507),1))</f>
        <v/>
      </c>
      <c r="X1507" s="34">
        <f>IF(OR($A1507="",$H1507&lt;&gt;"Ausgabe",J1507=""),0,IF(J1507="x",-$E1507/(COUNTIF($J1507:$Q1507,"x")+1),-$E1507*N(J1507)))</f>
        <v/>
      </c>
      <c r="Y1507" s="34">
        <f>IF(OR($A1507="",$H1507&lt;&gt;"Ausgabe",K1507=""),0,IF(K1507="x",-$E1507/(COUNTIF($J1507:$Q1507,"x")+1),-$E1507*N(K1507)))</f>
        <v/>
      </c>
      <c r="Z1507" s="34">
        <f>IF(OR($A1507="",$H1507&lt;&gt;"Ausgabe",L1507=""),0,IF(L1507="x",-$E1507/(COUNTIF($J1507:$Q1507,"x")+1),-$E1507*N(L1507)))</f>
        <v/>
      </c>
      <c r="AA1507" s="34">
        <f>IF(OR($A1507="",$H1507&lt;&gt;"Ausgabe",M1507=""),0,IF(M1507="x",-$E1507/(COUNTIF($J1507:$Q1507,"x")+1),-$E1507*N(M1507)))</f>
        <v/>
      </c>
      <c r="AB1507" s="34">
        <f>IF(OR($A1507="",$H1507&lt;&gt;"Ausgabe",N1507=""),0,IF(N1507="x",-$E1507/(COUNTIF($J1507:$Q1507,"x")+1),-$E1507*N(N1507)))</f>
        <v/>
      </c>
      <c r="AC1507" s="34">
        <f>IF(OR($A1507="",$H1507&lt;&gt;"Ausgabe",O1507=""),0,IF(O1507="x",-$E1507/(COUNTIF($J1507:$Q1507,"x")+1),-$E1507*N(O1507)))</f>
        <v/>
      </c>
      <c r="AD1507" s="34">
        <f>IF(OR($A1507="",$H1507&lt;&gt;"Ausgabe",P1507=""),0,IF(P1507="x",-$E1507/(COUNTIF($J1507:$Q1507,"x")+1),-$E1507*N(P1507)))</f>
        <v/>
      </c>
      <c r="AE1507" s="34">
        <f>IF(OR($A1507="",$H1507&lt;&gt;"Ausgabe",Q1507=""),0,IF(Q1507="x",-$E1507/(COUNTIF($J1507:$Q1507,"x")+1),-$E1507*N(Q1507)))</f>
        <v/>
      </c>
    </row>
    <row r="1508">
      <c r="A1508" s="30" t="n"/>
      <c r="E1508" s="31" t="n"/>
      <c r="J1508" s="32" t="n"/>
      <c r="K1508" s="32" t="n"/>
      <c r="L1508" s="32" t="n"/>
      <c r="M1508" s="32" t="n"/>
      <c r="N1508" s="32" t="n"/>
      <c r="O1508" s="32" t="n"/>
      <c r="P1508" s="32" t="n"/>
      <c r="Q1508" s="32" t="n"/>
      <c r="U1508" s="31">
        <f>IF($A1508="","",SUM(X1508:AE1508))</f>
        <v/>
      </c>
      <c r="V1508" s="31">
        <f>IF($A1508="","",IF($H1508&lt;&gt;"Ausgabe",0,-$E1508-$U1508))</f>
        <v/>
      </c>
      <c r="W1508" s="33">
        <f>IF($A1508="","",DATE(YEAR($A1508),MONTH($A1508),1))</f>
        <v/>
      </c>
      <c r="X1508" s="34">
        <f>IF(OR($A1508="",$H1508&lt;&gt;"Ausgabe",J1508=""),0,IF(J1508="x",-$E1508/(COUNTIF($J1508:$Q1508,"x")+1),-$E1508*N(J1508)))</f>
        <v/>
      </c>
      <c r="Y1508" s="34">
        <f>IF(OR($A1508="",$H1508&lt;&gt;"Ausgabe",K1508=""),0,IF(K1508="x",-$E1508/(COUNTIF($J1508:$Q1508,"x")+1),-$E1508*N(K1508)))</f>
        <v/>
      </c>
      <c r="Z1508" s="34">
        <f>IF(OR($A1508="",$H1508&lt;&gt;"Ausgabe",L1508=""),0,IF(L1508="x",-$E1508/(COUNTIF($J1508:$Q1508,"x")+1),-$E1508*N(L1508)))</f>
        <v/>
      </c>
      <c r="AA1508" s="34">
        <f>IF(OR($A1508="",$H1508&lt;&gt;"Ausgabe",M1508=""),0,IF(M1508="x",-$E1508/(COUNTIF($J1508:$Q1508,"x")+1),-$E1508*N(M1508)))</f>
        <v/>
      </c>
      <c r="AB1508" s="34">
        <f>IF(OR($A1508="",$H1508&lt;&gt;"Ausgabe",N1508=""),0,IF(N1508="x",-$E1508/(COUNTIF($J1508:$Q1508,"x")+1),-$E1508*N(N1508)))</f>
        <v/>
      </c>
      <c r="AC1508" s="34">
        <f>IF(OR($A1508="",$H1508&lt;&gt;"Ausgabe",O1508=""),0,IF(O1508="x",-$E1508/(COUNTIF($J1508:$Q1508,"x")+1),-$E1508*N(O1508)))</f>
        <v/>
      </c>
      <c r="AD1508" s="34">
        <f>IF(OR($A1508="",$H1508&lt;&gt;"Ausgabe",P1508=""),0,IF(P1508="x",-$E1508/(COUNTIF($J1508:$Q1508,"x")+1),-$E1508*N(P1508)))</f>
        <v/>
      </c>
      <c r="AE1508" s="34">
        <f>IF(OR($A1508="",$H1508&lt;&gt;"Ausgabe",Q1508=""),0,IF(Q1508="x",-$E1508/(COUNTIF($J1508:$Q1508,"x")+1),-$E1508*N(Q1508)))</f>
        <v/>
      </c>
    </row>
    <row r="1509">
      <c r="A1509" s="30" t="n"/>
      <c r="E1509" s="31" t="n"/>
      <c r="J1509" s="32" t="n"/>
      <c r="K1509" s="32" t="n"/>
      <c r="L1509" s="32" t="n"/>
      <c r="M1509" s="32" t="n"/>
      <c r="N1509" s="32" t="n"/>
      <c r="O1509" s="32" t="n"/>
      <c r="P1509" s="32" t="n"/>
      <c r="Q1509" s="32" t="n"/>
      <c r="U1509" s="31">
        <f>IF($A1509="","",SUM(X1509:AE1509))</f>
        <v/>
      </c>
      <c r="V1509" s="31">
        <f>IF($A1509="","",IF($H1509&lt;&gt;"Ausgabe",0,-$E1509-$U1509))</f>
        <v/>
      </c>
      <c r="W1509" s="33">
        <f>IF($A1509="","",DATE(YEAR($A1509),MONTH($A1509),1))</f>
        <v/>
      </c>
      <c r="X1509" s="34">
        <f>IF(OR($A1509="",$H1509&lt;&gt;"Ausgabe",J1509=""),0,IF(J1509="x",-$E1509/(COUNTIF($J1509:$Q1509,"x")+1),-$E1509*N(J1509)))</f>
        <v/>
      </c>
      <c r="Y1509" s="34">
        <f>IF(OR($A1509="",$H1509&lt;&gt;"Ausgabe",K1509=""),0,IF(K1509="x",-$E1509/(COUNTIF($J1509:$Q1509,"x")+1),-$E1509*N(K1509)))</f>
        <v/>
      </c>
      <c r="Z1509" s="34">
        <f>IF(OR($A1509="",$H1509&lt;&gt;"Ausgabe",L1509=""),0,IF(L1509="x",-$E1509/(COUNTIF($J1509:$Q1509,"x")+1),-$E1509*N(L1509)))</f>
        <v/>
      </c>
      <c r="AA1509" s="34">
        <f>IF(OR($A1509="",$H1509&lt;&gt;"Ausgabe",M1509=""),0,IF(M1509="x",-$E1509/(COUNTIF($J1509:$Q1509,"x")+1),-$E1509*N(M1509)))</f>
        <v/>
      </c>
      <c r="AB1509" s="34">
        <f>IF(OR($A1509="",$H1509&lt;&gt;"Ausgabe",N1509=""),0,IF(N1509="x",-$E1509/(COUNTIF($J1509:$Q1509,"x")+1),-$E1509*N(N1509)))</f>
        <v/>
      </c>
      <c r="AC1509" s="34">
        <f>IF(OR($A1509="",$H1509&lt;&gt;"Ausgabe",O1509=""),0,IF(O1509="x",-$E1509/(COUNTIF($J1509:$Q1509,"x")+1),-$E1509*N(O1509)))</f>
        <v/>
      </c>
      <c r="AD1509" s="34">
        <f>IF(OR($A1509="",$H1509&lt;&gt;"Ausgabe",P1509=""),0,IF(P1509="x",-$E1509/(COUNTIF($J1509:$Q1509,"x")+1),-$E1509*N(P1509)))</f>
        <v/>
      </c>
      <c r="AE1509" s="34">
        <f>IF(OR($A1509="",$H1509&lt;&gt;"Ausgabe",Q1509=""),0,IF(Q1509="x",-$E1509/(COUNTIF($J1509:$Q1509,"x")+1),-$E1509*N(Q1509)))</f>
        <v/>
      </c>
    </row>
    <row r="1510">
      <c r="A1510" s="30" t="n"/>
      <c r="E1510" s="31" t="n"/>
      <c r="J1510" s="32" t="n"/>
      <c r="K1510" s="32" t="n"/>
      <c r="L1510" s="32" t="n"/>
      <c r="M1510" s="32" t="n"/>
      <c r="N1510" s="32" t="n"/>
      <c r="O1510" s="32" t="n"/>
      <c r="P1510" s="32" t="n"/>
      <c r="Q1510" s="32" t="n"/>
      <c r="U1510" s="31">
        <f>IF($A1510="","",SUM(X1510:AE1510))</f>
        <v/>
      </c>
      <c r="V1510" s="31">
        <f>IF($A1510="","",IF($H1510&lt;&gt;"Ausgabe",0,-$E1510-$U1510))</f>
        <v/>
      </c>
      <c r="W1510" s="33">
        <f>IF($A1510="","",DATE(YEAR($A1510),MONTH($A1510),1))</f>
        <v/>
      </c>
      <c r="X1510" s="34">
        <f>IF(OR($A1510="",$H1510&lt;&gt;"Ausgabe",J1510=""),0,IF(J1510="x",-$E1510/(COUNTIF($J1510:$Q1510,"x")+1),-$E1510*N(J1510)))</f>
        <v/>
      </c>
      <c r="Y1510" s="34">
        <f>IF(OR($A1510="",$H1510&lt;&gt;"Ausgabe",K1510=""),0,IF(K1510="x",-$E1510/(COUNTIF($J1510:$Q1510,"x")+1),-$E1510*N(K1510)))</f>
        <v/>
      </c>
      <c r="Z1510" s="34">
        <f>IF(OR($A1510="",$H1510&lt;&gt;"Ausgabe",L1510=""),0,IF(L1510="x",-$E1510/(COUNTIF($J1510:$Q1510,"x")+1),-$E1510*N(L1510)))</f>
        <v/>
      </c>
      <c r="AA1510" s="34">
        <f>IF(OR($A1510="",$H1510&lt;&gt;"Ausgabe",M1510=""),0,IF(M1510="x",-$E1510/(COUNTIF($J1510:$Q1510,"x")+1),-$E1510*N(M1510)))</f>
        <v/>
      </c>
      <c r="AB1510" s="34">
        <f>IF(OR($A1510="",$H1510&lt;&gt;"Ausgabe",N1510=""),0,IF(N1510="x",-$E1510/(COUNTIF($J1510:$Q1510,"x")+1),-$E1510*N(N1510)))</f>
        <v/>
      </c>
      <c r="AC1510" s="34">
        <f>IF(OR($A1510="",$H1510&lt;&gt;"Ausgabe",O1510=""),0,IF(O1510="x",-$E1510/(COUNTIF($J1510:$Q1510,"x")+1),-$E1510*N(O1510)))</f>
        <v/>
      </c>
      <c r="AD1510" s="34">
        <f>IF(OR($A1510="",$H1510&lt;&gt;"Ausgabe",P1510=""),0,IF(P1510="x",-$E1510/(COUNTIF($J1510:$Q1510,"x")+1),-$E1510*N(P1510)))</f>
        <v/>
      </c>
      <c r="AE1510" s="34">
        <f>IF(OR($A1510="",$H1510&lt;&gt;"Ausgabe",Q1510=""),0,IF(Q1510="x",-$E1510/(COUNTIF($J1510:$Q1510,"x")+1),-$E1510*N(Q1510)))</f>
        <v/>
      </c>
    </row>
    <row r="1511">
      <c r="A1511" s="30" t="n"/>
      <c r="E1511" s="31" t="n"/>
      <c r="J1511" s="32" t="n"/>
      <c r="K1511" s="32" t="n"/>
      <c r="L1511" s="32" t="n"/>
      <c r="M1511" s="32" t="n"/>
      <c r="N1511" s="32" t="n"/>
      <c r="O1511" s="32" t="n"/>
      <c r="P1511" s="32" t="n"/>
      <c r="Q1511" s="32" t="n"/>
      <c r="U1511" s="31">
        <f>IF($A1511="","",SUM(X1511:AE1511))</f>
        <v/>
      </c>
      <c r="V1511" s="31">
        <f>IF($A1511="","",IF($H1511&lt;&gt;"Ausgabe",0,-$E1511-$U1511))</f>
        <v/>
      </c>
      <c r="W1511" s="33">
        <f>IF($A1511="","",DATE(YEAR($A1511),MONTH($A1511),1))</f>
        <v/>
      </c>
      <c r="X1511" s="34">
        <f>IF(OR($A1511="",$H1511&lt;&gt;"Ausgabe",J1511=""),0,IF(J1511="x",-$E1511/(COUNTIF($J1511:$Q1511,"x")+1),-$E1511*N(J1511)))</f>
        <v/>
      </c>
      <c r="Y1511" s="34">
        <f>IF(OR($A1511="",$H1511&lt;&gt;"Ausgabe",K1511=""),0,IF(K1511="x",-$E1511/(COUNTIF($J1511:$Q1511,"x")+1),-$E1511*N(K1511)))</f>
        <v/>
      </c>
      <c r="Z1511" s="34">
        <f>IF(OR($A1511="",$H1511&lt;&gt;"Ausgabe",L1511=""),0,IF(L1511="x",-$E1511/(COUNTIF($J1511:$Q1511,"x")+1),-$E1511*N(L1511)))</f>
        <v/>
      </c>
      <c r="AA1511" s="34">
        <f>IF(OR($A1511="",$H1511&lt;&gt;"Ausgabe",M1511=""),0,IF(M1511="x",-$E1511/(COUNTIF($J1511:$Q1511,"x")+1),-$E1511*N(M1511)))</f>
        <v/>
      </c>
      <c r="AB1511" s="34">
        <f>IF(OR($A1511="",$H1511&lt;&gt;"Ausgabe",N1511=""),0,IF(N1511="x",-$E1511/(COUNTIF($J1511:$Q1511,"x")+1),-$E1511*N(N1511)))</f>
        <v/>
      </c>
      <c r="AC1511" s="34">
        <f>IF(OR($A1511="",$H1511&lt;&gt;"Ausgabe",O1511=""),0,IF(O1511="x",-$E1511/(COUNTIF($J1511:$Q1511,"x")+1),-$E1511*N(O1511)))</f>
        <v/>
      </c>
      <c r="AD1511" s="34">
        <f>IF(OR($A1511="",$H1511&lt;&gt;"Ausgabe",P1511=""),0,IF(P1511="x",-$E1511/(COUNTIF($J1511:$Q1511,"x")+1),-$E1511*N(P1511)))</f>
        <v/>
      </c>
      <c r="AE1511" s="34">
        <f>IF(OR($A1511="",$H1511&lt;&gt;"Ausgabe",Q1511=""),0,IF(Q1511="x",-$E1511/(COUNTIF($J1511:$Q1511,"x")+1),-$E1511*N(Q1511)))</f>
        <v/>
      </c>
    </row>
    <row r="1512">
      <c r="A1512" s="30" t="n"/>
      <c r="E1512" s="31" t="n"/>
      <c r="J1512" s="32" t="n"/>
      <c r="K1512" s="32" t="n"/>
      <c r="L1512" s="32" t="n"/>
      <c r="M1512" s="32" t="n"/>
      <c r="N1512" s="32" t="n"/>
      <c r="O1512" s="32" t="n"/>
      <c r="P1512" s="32" t="n"/>
      <c r="Q1512" s="32" t="n"/>
      <c r="U1512" s="31">
        <f>IF($A1512="","",SUM(X1512:AE1512))</f>
        <v/>
      </c>
      <c r="V1512" s="31">
        <f>IF($A1512="","",IF($H1512&lt;&gt;"Ausgabe",0,-$E1512-$U1512))</f>
        <v/>
      </c>
      <c r="W1512" s="33">
        <f>IF($A1512="","",DATE(YEAR($A1512),MONTH($A1512),1))</f>
        <v/>
      </c>
      <c r="X1512" s="34">
        <f>IF(OR($A1512="",$H1512&lt;&gt;"Ausgabe",J1512=""),0,IF(J1512="x",-$E1512/(COUNTIF($J1512:$Q1512,"x")+1),-$E1512*N(J1512)))</f>
        <v/>
      </c>
      <c r="Y1512" s="34">
        <f>IF(OR($A1512="",$H1512&lt;&gt;"Ausgabe",K1512=""),0,IF(K1512="x",-$E1512/(COUNTIF($J1512:$Q1512,"x")+1),-$E1512*N(K1512)))</f>
        <v/>
      </c>
      <c r="Z1512" s="34">
        <f>IF(OR($A1512="",$H1512&lt;&gt;"Ausgabe",L1512=""),0,IF(L1512="x",-$E1512/(COUNTIF($J1512:$Q1512,"x")+1),-$E1512*N(L1512)))</f>
        <v/>
      </c>
      <c r="AA1512" s="34">
        <f>IF(OR($A1512="",$H1512&lt;&gt;"Ausgabe",M1512=""),0,IF(M1512="x",-$E1512/(COUNTIF($J1512:$Q1512,"x")+1),-$E1512*N(M1512)))</f>
        <v/>
      </c>
      <c r="AB1512" s="34">
        <f>IF(OR($A1512="",$H1512&lt;&gt;"Ausgabe",N1512=""),0,IF(N1512="x",-$E1512/(COUNTIF($J1512:$Q1512,"x")+1),-$E1512*N(N1512)))</f>
        <v/>
      </c>
      <c r="AC1512" s="34">
        <f>IF(OR($A1512="",$H1512&lt;&gt;"Ausgabe",O1512=""),0,IF(O1512="x",-$E1512/(COUNTIF($J1512:$Q1512,"x")+1),-$E1512*N(O1512)))</f>
        <v/>
      </c>
      <c r="AD1512" s="34">
        <f>IF(OR($A1512="",$H1512&lt;&gt;"Ausgabe",P1512=""),0,IF(P1512="x",-$E1512/(COUNTIF($J1512:$Q1512,"x")+1),-$E1512*N(P1512)))</f>
        <v/>
      </c>
      <c r="AE1512" s="34">
        <f>IF(OR($A1512="",$H1512&lt;&gt;"Ausgabe",Q1512=""),0,IF(Q1512="x",-$E1512/(COUNTIF($J1512:$Q1512,"x")+1),-$E1512*N(Q1512)))</f>
        <v/>
      </c>
    </row>
    <row r="1513">
      <c r="A1513" s="30" t="n"/>
      <c r="E1513" s="31" t="n"/>
      <c r="J1513" s="32" t="n"/>
      <c r="K1513" s="32" t="n"/>
      <c r="L1513" s="32" t="n"/>
      <c r="M1513" s="32" t="n"/>
      <c r="N1513" s="32" t="n"/>
      <c r="O1513" s="32" t="n"/>
      <c r="P1513" s="32" t="n"/>
      <c r="Q1513" s="32" t="n"/>
      <c r="U1513" s="31">
        <f>IF($A1513="","",SUM(X1513:AE1513))</f>
        <v/>
      </c>
      <c r="V1513" s="31">
        <f>IF($A1513="","",IF($H1513&lt;&gt;"Ausgabe",0,-$E1513-$U1513))</f>
        <v/>
      </c>
      <c r="W1513" s="33">
        <f>IF($A1513="","",DATE(YEAR($A1513),MONTH($A1513),1))</f>
        <v/>
      </c>
      <c r="X1513" s="34">
        <f>IF(OR($A1513="",$H1513&lt;&gt;"Ausgabe",J1513=""),0,IF(J1513="x",-$E1513/(COUNTIF($J1513:$Q1513,"x")+1),-$E1513*N(J1513)))</f>
        <v/>
      </c>
      <c r="Y1513" s="34">
        <f>IF(OR($A1513="",$H1513&lt;&gt;"Ausgabe",K1513=""),0,IF(K1513="x",-$E1513/(COUNTIF($J1513:$Q1513,"x")+1),-$E1513*N(K1513)))</f>
        <v/>
      </c>
      <c r="Z1513" s="34">
        <f>IF(OR($A1513="",$H1513&lt;&gt;"Ausgabe",L1513=""),0,IF(L1513="x",-$E1513/(COUNTIF($J1513:$Q1513,"x")+1),-$E1513*N(L1513)))</f>
        <v/>
      </c>
      <c r="AA1513" s="34">
        <f>IF(OR($A1513="",$H1513&lt;&gt;"Ausgabe",M1513=""),0,IF(M1513="x",-$E1513/(COUNTIF($J1513:$Q1513,"x")+1),-$E1513*N(M1513)))</f>
        <v/>
      </c>
      <c r="AB1513" s="34">
        <f>IF(OR($A1513="",$H1513&lt;&gt;"Ausgabe",N1513=""),0,IF(N1513="x",-$E1513/(COUNTIF($J1513:$Q1513,"x")+1),-$E1513*N(N1513)))</f>
        <v/>
      </c>
      <c r="AC1513" s="34">
        <f>IF(OR($A1513="",$H1513&lt;&gt;"Ausgabe",O1513=""),0,IF(O1513="x",-$E1513/(COUNTIF($J1513:$Q1513,"x")+1),-$E1513*N(O1513)))</f>
        <v/>
      </c>
      <c r="AD1513" s="34">
        <f>IF(OR($A1513="",$H1513&lt;&gt;"Ausgabe",P1513=""),0,IF(P1513="x",-$E1513/(COUNTIF($J1513:$Q1513,"x")+1),-$E1513*N(P1513)))</f>
        <v/>
      </c>
      <c r="AE1513" s="34">
        <f>IF(OR($A1513="",$H1513&lt;&gt;"Ausgabe",Q1513=""),0,IF(Q1513="x",-$E1513/(COUNTIF($J1513:$Q1513,"x")+1),-$E1513*N(Q1513)))</f>
        <v/>
      </c>
    </row>
    <row r="1514">
      <c r="A1514" s="30" t="n"/>
      <c r="E1514" s="31" t="n"/>
      <c r="J1514" s="32" t="n"/>
      <c r="K1514" s="32" t="n"/>
      <c r="L1514" s="32" t="n"/>
      <c r="M1514" s="32" t="n"/>
      <c r="N1514" s="32" t="n"/>
      <c r="O1514" s="32" t="n"/>
      <c r="P1514" s="32" t="n"/>
      <c r="Q1514" s="32" t="n"/>
      <c r="U1514" s="31">
        <f>IF($A1514="","",SUM(X1514:AE1514))</f>
        <v/>
      </c>
      <c r="V1514" s="31">
        <f>IF($A1514="","",IF($H1514&lt;&gt;"Ausgabe",0,-$E1514-$U1514))</f>
        <v/>
      </c>
      <c r="W1514" s="33">
        <f>IF($A1514="","",DATE(YEAR($A1514),MONTH($A1514),1))</f>
        <v/>
      </c>
      <c r="X1514" s="34">
        <f>IF(OR($A1514="",$H1514&lt;&gt;"Ausgabe",J1514=""),0,IF(J1514="x",-$E1514/(COUNTIF($J1514:$Q1514,"x")+1),-$E1514*N(J1514)))</f>
        <v/>
      </c>
      <c r="Y1514" s="34">
        <f>IF(OR($A1514="",$H1514&lt;&gt;"Ausgabe",K1514=""),0,IF(K1514="x",-$E1514/(COUNTIF($J1514:$Q1514,"x")+1),-$E1514*N(K1514)))</f>
        <v/>
      </c>
      <c r="Z1514" s="34">
        <f>IF(OR($A1514="",$H1514&lt;&gt;"Ausgabe",L1514=""),0,IF(L1514="x",-$E1514/(COUNTIF($J1514:$Q1514,"x")+1),-$E1514*N(L1514)))</f>
        <v/>
      </c>
      <c r="AA1514" s="34">
        <f>IF(OR($A1514="",$H1514&lt;&gt;"Ausgabe",M1514=""),0,IF(M1514="x",-$E1514/(COUNTIF($J1514:$Q1514,"x")+1),-$E1514*N(M1514)))</f>
        <v/>
      </c>
      <c r="AB1514" s="34">
        <f>IF(OR($A1514="",$H1514&lt;&gt;"Ausgabe",N1514=""),0,IF(N1514="x",-$E1514/(COUNTIF($J1514:$Q1514,"x")+1),-$E1514*N(N1514)))</f>
        <v/>
      </c>
      <c r="AC1514" s="34">
        <f>IF(OR($A1514="",$H1514&lt;&gt;"Ausgabe",O1514=""),0,IF(O1514="x",-$E1514/(COUNTIF($J1514:$Q1514,"x")+1),-$E1514*N(O1514)))</f>
        <v/>
      </c>
      <c r="AD1514" s="34">
        <f>IF(OR($A1514="",$H1514&lt;&gt;"Ausgabe",P1514=""),0,IF(P1514="x",-$E1514/(COUNTIF($J1514:$Q1514,"x")+1),-$E1514*N(P1514)))</f>
        <v/>
      </c>
      <c r="AE1514" s="34">
        <f>IF(OR($A1514="",$H1514&lt;&gt;"Ausgabe",Q1514=""),0,IF(Q1514="x",-$E1514/(COUNTIF($J1514:$Q1514,"x")+1),-$E1514*N(Q1514)))</f>
        <v/>
      </c>
    </row>
    <row r="1515">
      <c r="A1515" s="30" t="n"/>
      <c r="E1515" s="31" t="n"/>
      <c r="J1515" s="32" t="n"/>
      <c r="K1515" s="32" t="n"/>
      <c r="L1515" s="32" t="n"/>
      <c r="M1515" s="32" t="n"/>
      <c r="N1515" s="32" t="n"/>
      <c r="O1515" s="32" t="n"/>
      <c r="P1515" s="32" t="n"/>
      <c r="Q1515" s="32" t="n"/>
      <c r="U1515" s="31">
        <f>IF($A1515="","",SUM(X1515:AE1515))</f>
        <v/>
      </c>
      <c r="V1515" s="31">
        <f>IF($A1515="","",IF($H1515&lt;&gt;"Ausgabe",0,-$E1515-$U1515))</f>
        <v/>
      </c>
      <c r="W1515" s="33">
        <f>IF($A1515="","",DATE(YEAR($A1515),MONTH($A1515),1))</f>
        <v/>
      </c>
      <c r="X1515" s="34">
        <f>IF(OR($A1515="",$H1515&lt;&gt;"Ausgabe",J1515=""),0,IF(J1515="x",-$E1515/(COUNTIF($J1515:$Q1515,"x")+1),-$E1515*N(J1515)))</f>
        <v/>
      </c>
      <c r="Y1515" s="34">
        <f>IF(OR($A1515="",$H1515&lt;&gt;"Ausgabe",K1515=""),0,IF(K1515="x",-$E1515/(COUNTIF($J1515:$Q1515,"x")+1),-$E1515*N(K1515)))</f>
        <v/>
      </c>
      <c r="Z1515" s="34">
        <f>IF(OR($A1515="",$H1515&lt;&gt;"Ausgabe",L1515=""),0,IF(L1515="x",-$E1515/(COUNTIF($J1515:$Q1515,"x")+1),-$E1515*N(L1515)))</f>
        <v/>
      </c>
      <c r="AA1515" s="34">
        <f>IF(OR($A1515="",$H1515&lt;&gt;"Ausgabe",M1515=""),0,IF(M1515="x",-$E1515/(COUNTIF($J1515:$Q1515,"x")+1),-$E1515*N(M1515)))</f>
        <v/>
      </c>
      <c r="AB1515" s="34">
        <f>IF(OR($A1515="",$H1515&lt;&gt;"Ausgabe",N1515=""),0,IF(N1515="x",-$E1515/(COUNTIF($J1515:$Q1515,"x")+1),-$E1515*N(N1515)))</f>
        <v/>
      </c>
      <c r="AC1515" s="34">
        <f>IF(OR($A1515="",$H1515&lt;&gt;"Ausgabe",O1515=""),0,IF(O1515="x",-$E1515/(COUNTIF($J1515:$Q1515,"x")+1),-$E1515*N(O1515)))</f>
        <v/>
      </c>
      <c r="AD1515" s="34">
        <f>IF(OR($A1515="",$H1515&lt;&gt;"Ausgabe",P1515=""),0,IF(P1515="x",-$E1515/(COUNTIF($J1515:$Q1515,"x")+1),-$E1515*N(P1515)))</f>
        <v/>
      </c>
      <c r="AE1515" s="34">
        <f>IF(OR($A1515="",$H1515&lt;&gt;"Ausgabe",Q1515=""),0,IF(Q1515="x",-$E1515/(COUNTIF($J1515:$Q1515,"x")+1),-$E1515*N(Q1515)))</f>
        <v/>
      </c>
    </row>
    <row r="1516">
      <c r="A1516" s="30" t="n"/>
      <c r="E1516" s="31" t="n"/>
      <c r="J1516" s="32" t="n"/>
      <c r="K1516" s="32" t="n"/>
      <c r="L1516" s="32" t="n"/>
      <c r="M1516" s="32" t="n"/>
      <c r="N1516" s="32" t="n"/>
      <c r="O1516" s="32" t="n"/>
      <c r="P1516" s="32" t="n"/>
      <c r="Q1516" s="32" t="n"/>
      <c r="U1516" s="31">
        <f>IF($A1516="","",SUM(X1516:AE1516))</f>
        <v/>
      </c>
      <c r="V1516" s="31">
        <f>IF($A1516="","",IF($H1516&lt;&gt;"Ausgabe",0,-$E1516-$U1516))</f>
        <v/>
      </c>
      <c r="W1516" s="33">
        <f>IF($A1516="","",DATE(YEAR($A1516),MONTH($A1516),1))</f>
        <v/>
      </c>
      <c r="X1516" s="34">
        <f>IF(OR($A1516="",$H1516&lt;&gt;"Ausgabe",J1516=""),0,IF(J1516="x",-$E1516/(COUNTIF($J1516:$Q1516,"x")+1),-$E1516*N(J1516)))</f>
        <v/>
      </c>
      <c r="Y1516" s="34">
        <f>IF(OR($A1516="",$H1516&lt;&gt;"Ausgabe",K1516=""),0,IF(K1516="x",-$E1516/(COUNTIF($J1516:$Q1516,"x")+1),-$E1516*N(K1516)))</f>
        <v/>
      </c>
      <c r="Z1516" s="34">
        <f>IF(OR($A1516="",$H1516&lt;&gt;"Ausgabe",L1516=""),0,IF(L1516="x",-$E1516/(COUNTIF($J1516:$Q1516,"x")+1),-$E1516*N(L1516)))</f>
        <v/>
      </c>
      <c r="AA1516" s="34">
        <f>IF(OR($A1516="",$H1516&lt;&gt;"Ausgabe",M1516=""),0,IF(M1516="x",-$E1516/(COUNTIF($J1516:$Q1516,"x")+1),-$E1516*N(M1516)))</f>
        <v/>
      </c>
      <c r="AB1516" s="34">
        <f>IF(OR($A1516="",$H1516&lt;&gt;"Ausgabe",N1516=""),0,IF(N1516="x",-$E1516/(COUNTIF($J1516:$Q1516,"x")+1),-$E1516*N(N1516)))</f>
        <v/>
      </c>
      <c r="AC1516" s="34">
        <f>IF(OR($A1516="",$H1516&lt;&gt;"Ausgabe",O1516=""),0,IF(O1516="x",-$E1516/(COUNTIF($J1516:$Q1516,"x")+1),-$E1516*N(O1516)))</f>
        <v/>
      </c>
      <c r="AD1516" s="34">
        <f>IF(OR($A1516="",$H1516&lt;&gt;"Ausgabe",P1516=""),0,IF(P1516="x",-$E1516/(COUNTIF($J1516:$Q1516,"x")+1),-$E1516*N(P1516)))</f>
        <v/>
      </c>
      <c r="AE1516" s="34">
        <f>IF(OR($A1516="",$H1516&lt;&gt;"Ausgabe",Q1516=""),0,IF(Q1516="x",-$E1516/(COUNTIF($J1516:$Q1516,"x")+1),-$E1516*N(Q1516)))</f>
        <v/>
      </c>
    </row>
    <row r="1517">
      <c r="A1517" s="30" t="n"/>
      <c r="E1517" s="31" t="n"/>
      <c r="J1517" s="32" t="n"/>
      <c r="K1517" s="32" t="n"/>
      <c r="L1517" s="32" t="n"/>
      <c r="M1517" s="32" t="n"/>
      <c r="N1517" s="32" t="n"/>
      <c r="O1517" s="32" t="n"/>
      <c r="P1517" s="32" t="n"/>
      <c r="Q1517" s="32" t="n"/>
      <c r="U1517" s="31">
        <f>IF($A1517="","",SUM(X1517:AE1517))</f>
        <v/>
      </c>
      <c r="V1517" s="31">
        <f>IF($A1517="","",IF($H1517&lt;&gt;"Ausgabe",0,-$E1517-$U1517))</f>
        <v/>
      </c>
      <c r="W1517" s="33">
        <f>IF($A1517="","",DATE(YEAR($A1517),MONTH($A1517),1))</f>
        <v/>
      </c>
      <c r="X1517" s="34">
        <f>IF(OR($A1517="",$H1517&lt;&gt;"Ausgabe",J1517=""),0,IF(J1517="x",-$E1517/(COUNTIF($J1517:$Q1517,"x")+1),-$E1517*N(J1517)))</f>
        <v/>
      </c>
      <c r="Y1517" s="34">
        <f>IF(OR($A1517="",$H1517&lt;&gt;"Ausgabe",K1517=""),0,IF(K1517="x",-$E1517/(COUNTIF($J1517:$Q1517,"x")+1),-$E1517*N(K1517)))</f>
        <v/>
      </c>
      <c r="Z1517" s="34">
        <f>IF(OR($A1517="",$H1517&lt;&gt;"Ausgabe",L1517=""),0,IF(L1517="x",-$E1517/(COUNTIF($J1517:$Q1517,"x")+1),-$E1517*N(L1517)))</f>
        <v/>
      </c>
      <c r="AA1517" s="34">
        <f>IF(OR($A1517="",$H1517&lt;&gt;"Ausgabe",M1517=""),0,IF(M1517="x",-$E1517/(COUNTIF($J1517:$Q1517,"x")+1),-$E1517*N(M1517)))</f>
        <v/>
      </c>
      <c r="AB1517" s="34">
        <f>IF(OR($A1517="",$H1517&lt;&gt;"Ausgabe",N1517=""),0,IF(N1517="x",-$E1517/(COUNTIF($J1517:$Q1517,"x")+1),-$E1517*N(N1517)))</f>
        <v/>
      </c>
      <c r="AC1517" s="34">
        <f>IF(OR($A1517="",$H1517&lt;&gt;"Ausgabe",O1517=""),0,IF(O1517="x",-$E1517/(COUNTIF($J1517:$Q1517,"x")+1),-$E1517*N(O1517)))</f>
        <v/>
      </c>
      <c r="AD1517" s="34">
        <f>IF(OR($A1517="",$H1517&lt;&gt;"Ausgabe",P1517=""),0,IF(P1517="x",-$E1517/(COUNTIF($J1517:$Q1517,"x")+1),-$E1517*N(P1517)))</f>
        <v/>
      </c>
      <c r="AE1517" s="34">
        <f>IF(OR($A1517="",$H1517&lt;&gt;"Ausgabe",Q1517=""),0,IF(Q1517="x",-$E1517/(COUNTIF($J1517:$Q1517,"x")+1),-$E1517*N(Q1517)))</f>
        <v/>
      </c>
    </row>
    <row r="1518">
      <c r="A1518" s="30" t="n"/>
      <c r="E1518" s="31" t="n"/>
      <c r="J1518" s="32" t="n"/>
      <c r="K1518" s="32" t="n"/>
      <c r="L1518" s="32" t="n"/>
      <c r="M1518" s="32" t="n"/>
      <c r="N1518" s="32" t="n"/>
      <c r="O1518" s="32" t="n"/>
      <c r="P1518" s="32" t="n"/>
      <c r="Q1518" s="32" t="n"/>
      <c r="U1518" s="31">
        <f>IF($A1518="","",SUM(X1518:AE1518))</f>
        <v/>
      </c>
      <c r="V1518" s="31">
        <f>IF($A1518="","",IF($H1518&lt;&gt;"Ausgabe",0,-$E1518-$U1518))</f>
        <v/>
      </c>
      <c r="W1518" s="33">
        <f>IF($A1518="","",DATE(YEAR($A1518),MONTH($A1518),1))</f>
        <v/>
      </c>
      <c r="X1518" s="34">
        <f>IF(OR($A1518="",$H1518&lt;&gt;"Ausgabe",J1518=""),0,IF(J1518="x",-$E1518/(COUNTIF($J1518:$Q1518,"x")+1),-$E1518*N(J1518)))</f>
        <v/>
      </c>
      <c r="Y1518" s="34">
        <f>IF(OR($A1518="",$H1518&lt;&gt;"Ausgabe",K1518=""),0,IF(K1518="x",-$E1518/(COUNTIF($J1518:$Q1518,"x")+1),-$E1518*N(K1518)))</f>
        <v/>
      </c>
      <c r="Z1518" s="34">
        <f>IF(OR($A1518="",$H1518&lt;&gt;"Ausgabe",L1518=""),0,IF(L1518="x",-$E1518/(COUNTIF($J1518:$Q1518,"x")+1),-$E1518*N(L1518)))</f>
        <v/>
      </c>
      <c r="AA1518" s="34">
        <f>IF(OR($A1518="",$H1518&lt;&gt;"Ausgabe",M1518=""),0,IF(M1518="x",-$E1518/(COUNTIF($J1518:$Q1518,"x")+1),-$E1518*N(M1518)))</f>
        <v/>
      </c>
      <c r="AB1518" s="34">
        <f>IF(OR($A1518="",$H1518&lt;&gt;"Ausgabe",N1518=""),0,IF(N1518="x",-$E1518/(COUNTIF($J1518:$Q1518,"x")+1),-$E1518*N(N1518)))</f>
        <v/>
      </c>
      <c r="AC1518" s="34">
        <f>IF(OR($A1518="",$H1518&lt;&gt;"Ausgabe",O1518=""),0,IF(O1518="x",-$E1518/(COUNTIF($J1518:$Q1518,"x")+1),-$E1518*N(O1518)))</f>
        <v/>
      </c>
      <c r="AD1518" s="34">
        <f>IF(OR($A1518="",$H1518&lt;&gt;"Ausgabe",P1518=""),0,IF(P1518="x",-$E1518/(COUNTIF($J1518:$Q1518,"x")+1),-$E1518*N(P1518)))</f>
        <v/>
      </c>
      <c r="AE1518" s="34">
        <f>IF(OR($A1518="",$H1518&lt;&gt;"Ausgabe",Q1518=""),0,IF(Q1518="x",-$E1518/(COUNTIF($J1518:$Q1518,"x")+1),-$E1518*N(Q1518)))</f>
        <v/>
      </c>
    </row>
    <row r="1519">
      <c r="A1519" s="30" t="n"/>
      <c r="E1519" s="31" t="n"/>
      <c r="J1519" s="32" t="n"/>
      <c r="K1519" s="32" t="n"/>
      <c r="L1519" s="32" t="n"/>
      <c r="M1519" s="32" t="n"/>
      <c r="N1519" s="32" t="n"/>
      <c r="O1519" s="32" t="n"/>
      <c r="P1519" s="32" t="n"/>
      <c r="Q1519" s="32" t="n"/>
      <c r="U1519" s="31">
        <f>IF($A1519="","",SUM(X1519:AE1519))</f>
        <v/>
      </c>
      <c r="V1519" s="31">
        <f>IF($A1519="","",IF($H1519&lt;&gt;"Ausgabe",0,-$E1519-$U1519))</f>
        <v/>
      </c>
      <c r="W1519" s="33">
        <f>IF($A1519="","",DATE(YEAR($A1519),MONTH($A1519),1))</f>
        <v/>
      </c>
      <c r="X1519" s="34">
        <f>IF(OR($A1519="",$H1519&lt;&gt;"Ausgabe",J1519=""),0,IF(J1519="x",-$E1519/(COUNTIF($J1519:$Q1519,"x")+1),-$E1519*N(J1519)))</f>
        <v/>
      </c>
      <c r="Y1519" s="34">
        <f>IF(OR($A1519="",$H1519&lt;&gt;"Ausgabe",K1519=""),0,IF(K1519="x",-$E1519/(COUNTIF($J1519:$Q1519,"x")+1),-$E1519*N(K1519)))</f>
        <v/>
      </c>
      <c r="Z1519" s="34">
        <f>IF(OR($A1519="",$H1519&lt;&gt;"Ausgabe",L1519=""),0,IF(L1519="x",-$E1519/(COUNTIF($J1519:$Q1519,"x")+1),-$E1519*N(L1519)))</f>
        <v/>
      </c>
      <c r="AA1519" s="34">
        <f>IF(OR($A1519="",$H1519&lt;&gt;"Ausgabe",M1519=""),0,IF(M1519="x",-$E1519/(COUNTIF($J1519:$Q1519,"x")+1),-$E1519*N(M1519)))</f>
        <v/>
      </c>
      <c r="AB1519" s="34">
        <f>IF(OR($A1519="",$H1519&lt;&gt;"Ausgabe",N1519=""),0,IF(N1519="x",-$E1519/(COUNTIF($J1519:$Q1519,"x")+1),-$E1519*N(N1519)))</f>
        <v/>
      </c>
      <c r="AC1519" s="34">
        <f>IF(OR($A1519="",$H1519&lt;&gt;"Ausgabe",O1519=""),0,IF(O1519="x",-$E1519/(COUNTIF($J1519:$Q1519,"x")+1),-$E1519*N(O1519)))</f>
        <v/>
      </c>
      <c r="AD1519" s="34">
        <f>IF(OR($A1519="",$H1519&lt;&gt;"Ausgabe",P1519=""),0,IF(P1519="x",-$E1519/(COUNTIF($J1519:$Q1519,"x")+1),-$E1519*N(P1519)))</f>
        <v/>
      </c>
      <c r="AE1519" s="34">
        <f>IF(OR($A1519="",$H1519&lt;&gt;"Ausgabe",Q1519=""),0,IF(Q1519="x",-$E1519/(COUNTIF($J1519:$Q1519,"x")+1),-$E1519*N(Q1519)))</f>
        <v/>
      </c>
    </row>
    <row r="1520">
      <c r="A1520" s="30" t="n"/>
      <c r="E1520" s="31" t="n"/>
      <c r="J1520" s="32" t="n"/>
      <c r="K1520" s="32" t="n"/>
      <c r="L1520" s="32" t="n"/>
      <c r="M1520" s="32" t="n"/>
      <c r="N1520" s="32" t="n"/>
      <c r="O1520" s="32" t="n"/>
      <c r="P1520" s="32" t="n"/>
      <c r="Q1520" s="32" t="n"/>
      <c r="U1520" s="31">
        <f>IF($A1520="","",SUM(X1520:AE1520))</f>
        <v/>
      </c>
      <c r="V1520" s="31">
        <f>IF($A1520="","",IF($H1520&lt;&gt;"Ausgabe",0,-$E1520-$U1520))</f>
        <v/>
      </c>
      <c r="W1520" s="33">
        <f>IF($A1520="","",DATE(YEAR($A1520),MONTH($A1520),1))</f>
        <v/>
      </c>
      <c r="X1520" s="34">
        <f>IF(OR($A1520="",$H1520&lt;&gt;"Ausgabe",J1520=""),0,IF(J1520="x",-$E1520/(COUNTIF($J1520:$Q1520,"x")+1),-$E1520*N(J1520)))</f>
        <v/>
      </c>
      <c r="Y1520" s="34">
        <f>IF(OR($A1520="",$H1520&lt;&gt;"Ausgabe",K1520=""),0,IF(K1520="x",-$E1520/(COUNTIF($J1520:$Q1520,"x")+1),-$E1520*N(K1520)))</f>
        <v/>
      </c>
      <c r="Z1520" s="34">
        <f>IF(OR($A1520="",$H1520&lt;&gt;"Ausgabe",L1520=""),0,IF(L1520="x",-$E1520/(COUNTIF($J1520:$Q1520,"x")+1),-$E1520*N(L1520)))</f>
        <v/>
      </c>
      <c r="AA1520" s="34">
        <f>IF(OR($A1520="",$H1520&lt;&gt;"Ausgabe",M1520=""),0,IF(M1520="x",-$E1520/(COUNTIF($J1520:$Q1520,"x")+1),-$E1520*N(M1520)))</f>
        <v/>
      </c>
      <c r="AB1520" s="34">
        <f>IF(OR($A1520="",$H1520&lt;&gt;"Ausgabe",N1520=""),0,IF(N1520="x",-$E1520/(COUNTIF($J1520:$Q1520,"x")+1),-$E1520*N(N1520)))</f>
        <v/>
      </c>
      <c r="AC1520" s="34">
        <f>IF(OR($A1520="",$H1520&lt;&gt;"Ausgabe",O1520=""),0,IF(O1520="x",-$E1520/(COUNTIF($J1520:$Q1520,"x")+1),-$E1520*N(O1520)))</f>
        <v/>
      </c>
      <c r="AD1520" s="34">
        <f>IF(OR($A1520="",$H1520&lt;&gt;"Ausgabe",P1520=""),0,IF(P1520="x",-$E1520/(COUNTIF($J1520:$Q1520,"x")+1),-$E1520*N(P1520)))</f>
        <v/>
      </c>
      <c r="AE1520" s="34">
        <f>IF(OR($A1520="",$H1520&lt;&gt;"Ausgabe",Q1520=""),0,IF(Q1520="x",-$E1520/(COUNTIF($J1520:$Q1520,"x")+1),-$E1520*N(Q1520)))</f>
        <v/>
      </c>
    </row>
    <row r="1521">
      <c r="A1521" s="30" t="n"/>
      <c r="E1521" s="31" t="n"/>
      <c r="J1521" s="32" t="n"/>
      <c r="K1521" s="32" t="n"/>
      <c r="L1521" s="32" t="n"/>
      <c r="M1521" s="32" t="n"/>
      <c r="N1521" s="32" t="n"/>
      <c r="O1521" s="32" t="n"/>
      <c r="P1521" s="32" t="n"/>
      <c r="Q1521" s="32" t="n"/>
      <c r="U1521" s="31">
        <f>IF($A1521="","",SUM(X1521:AE1521))</f>
        <v/>
      </c>
      <c r="V1521" s="31">
        <f>IF($A1521="","",IF($H1521&lt;&gt;"Ausgabe",0,-$E1521-$U1521))</f>
        <v/>
      </c>
      <c r="W1521" s="33">
        <f>IF($A1521="","",DATE(YEAR($A1521),MONTH($A1521),1))</f>
        <v/>
      </c>
      <c r="X1521" s="34">
        <f>IF(OR($A1521="",$H1521&lt;&gt;"Ausgabe",J1521=""),0,IF(J1521="x",-$E1521/(COUNTIF($J1521:$Q1521,"x")+1),-$E1521*N(J1521)))</f>
        <v/>
      </c>
      <c r="Y1521" s="34">
        <f>IF(OR($A1521="",$H1521&lt;&gt;"Ausgabe",K1521=""),0,IF(K1521="x",-$E1521/(COUNTIF($J1521:$Q1521,"x")+1),-$E1521*N(K1521)))</f>
        <v/>
      </c>
      <c r="Z1521" s="34">
        <f>IF(OR($A1521="",$H1521&lt;&gt;"Ausgabe",L1521=""),0,IF(L1521="x",-$E1521/(COUNTIF($J1521:$Q1521,"x")+1),-$E1521*N(L1521)))</f>
        <v/>
      </c>
      <c r="AA1521" s="34">
        <f>IF(OR($A1521="",$H1521&lt;&gt;"Ausgabe",M1521=""),0,IF(M1521="x",-$E1521/(COUNTIF($J1521:$Q1521,"x")+1),-$E1521*N(M1521)))</f>
        <v/>
      </c>
      <c r="AB1521" s="34">
        <f>IF(OR($A1521="",$H1521&lt;&gt;"Ausgabe",N1521=""),0,IF(N1521="x",-$E1521/(COUNTIF($J1521:$Q1521,"x")+1),-$E1521*N(N1521)))</f>
        <v/>
      </c>
      <c r="AC1521" s="34">
        <f>IF(OR($A1521="",$H1521&lt;&gt;"Ausgabe",O1521=""),0,IF(O1521="x",-$E1521/(COUNTIF($J1521:$Q1521,"x")+1),-$E1521*N(O1521)))</f>
        <v/>
      </c>
      <c r="AD1521" s="34">
        <f>IF(OR($A1521="",$H1521&lt;&gt;"Ausgabe",P1521=""),0,IF(P1521="x",-$E1521/(COUNTIF($J1521:$Q1521,"x")+1),-$E1521*N(P1521)))</f>
        <v/>
      </c>
      <c r="AE1521" s="34">
        <f>IF(OR($A1521="",$H1521&lt;&gt;"Ausgabe",Q1521=""),0,IF(Q1521="x",-$E1521/(COUNTIF($J1521:$Q1521,"x")+1),-$E1521*N(Q1521)))</f>
        <v/>
      </c>
    </row>
    <row r="1522">
      <c r="A1522" s="30" t="n"/>
      <c r="E1522" s="31" t="n"/>
      <c r="J1522" s="32" t="n"/>
      <c r="K1522" s="32" t="n"/>
      <c r="L1522" s="32" t="n"/>
      <c r="M1522" s="32" t="n"/>
      <c r="N1522" s="32" t="n"/>
      <c r="O1522" s="32" t="n"/>
      <c r="P1522" s="32" t="n"/>
      <c r="Q1522" s="32" t="n"/>
      <c r="U1522" s="31">
        <f>IF($A1522="","",SUM(X1522:AE1522))</f>
        <v/>
      </c>
      <c r="V1522" s="31">
        <f>IF($A1522="","",IF($H1522&lt;&gt;"Ausgabe",0,-$E1522-$U1522))</f>
        <v/>
      </c>
      <c r="W1522" s="33">
        <f>IF($A1522="","",DATE(YEAR($A1522),MONTH($A1522),1))</f>
        <v/>
      </c>
      <c r="X1522" s="34">
        <f>IF(OR($A1522="",$H1522&lt;&gt;"Ausgabe",J1522=""),0,IF(J1522="x",-$E1522/(COUNTIF($J1522:$Q1522,"x")+1),-$E1522*N(J1522)))</f>
        <v/>
      </c>
      <c r="Y1522" s="34">
        <f>IF(OR($A1522="",$H1522&lt;&gt;"Ausgabe",K1522=""),0,IF(K1522="x",-$E1522/(COUNTIF($J1522:$Q1522,"x")+1),-$E1522*N(K1522)))</f>
        <v/>
      </c>
      <c r="Z1522" s="34">
        <f>IF(OR($A1522="",$H1522&lt;&gt;"Ausgabe",L1522=""),0,IF(L1522="x",-$E1522/(COUNTIF($J1522:$Q1522,"x")+1),-$E1522*N(L1522)))</f>
        <v/>
      </c>
      <c r="AA1522" s="34">
        <f>IF(OR($A1522="",$H1522&lt;&gt;"Ausgabe",M1522=""),0,IF(M1522="x",-$E1522/(COUNTIF($J1522:$Q1522,"x")+1),-$E1522*N(M1522)))</f>
        <v/>
      </c>
      <c r="AB1522" s="34">
        <f>IF(OR($A1522="",$H1522&lt;&gt;"Ausgabe",N1522=""),0,IF(N1522="x",-$E1522/(COUNTIF($J1522:$Q1522,"x")+1),-$E1522*N(N1522)))</f>
        <v/>
      </c>
      <c r="AC1522" s="34">
        <f>IF(OR($A1522="",$H1522&lt;&gt;"Ausgabe",O1522=""),0,IF(O1522="x",-$E1522/(COUNTIF($J1522:$Q1522,"x")+1),-$E1522*N(O1522)))</f>
        <v/>
      </c>
      <c r="AD1522" s="34">
        <f>IF(OR($A1522="",$H1522&lt;&gt;"Ausgabe",P1522=""),0,IF(P1522="x",-$E1522/(COUNTIF($J1522:$Q1522,"x")+1),-$E1522*N(P1522)))</f>
        <v/>
      </c>
      <c r="AE1522" s="34">
        <f>IF(OR($A1522="",$H1522&lt;&gt;"Ausgabe",Q1522=""),0,IF(Q1522="x",-$E1522/(COUNTIF($J1522:$Q1522,"x")+1),-$E1522*N(Q1522)))</f>
        <v/>
      </c>
    </row>
    <row r="1523">
      <c r="A1523" s="30" t="n"/>
      <c r="E1523" s="31" t="n"/>
      <c r="J1523" s="32" t="n"/>
      <c r="K1523" s="32" t="n"/>
      <c r="L1523" s="32" t="n"/>
      <c r="M1523" s="32" t="n"/>
      <c r="N1523" s="32" t="n"/>
      <c r="O1523" s="32" t="n"/>
      <c r="P1523" s="32" t="n"/>
      <c r="Q1523" s="32" t="n"/>
      <c r="U1523" s="31">
        <f>IF($A1523="","",SUM(X1523:AE1523))</f>
        <v/>
      </c>
      <c r="V1523" s="31">
        <f>IF($A1523="","",IF($H1523&lt;&gt;"Ausgabe",0,-$E1523-$U1523))</f>
        <v/>
      </c>
      <c r="W1523" s="33">
        <f>IF($A1523="","",DATE(YEAR($A1523),MONTH($A1523),1))</f>
        <v/>
      </c>
      <c r="X1523" s="34">
        <f>IF(OR($A1523="",$H1523&lt;&gt;"Ausgabe",J1523=""),0,IF(J1523="x",-$E1523/(COUNTIF($J1523:$Q1523,"x")+1),-$E1523*N(J1523)))</f>
        <v/>
      </c>
      <c r="Y1523" s="34">
        <f>IF(OR($A1523="",$H1523&lt;&gt;"Ausgabe",K1523=""),0,IF(K1523="x",-$E1523/(COUNTIF($J1523:$Q1523,"x")+1),-$E1523*N(K1523)))</f>
        <v/>
      </c>
      <c r="Z1523" s="34">
        <f>IF(OR($A1523="",$H1523&lt;&gt;"Ausgabe",L1523=""),0,IF(L1523="x",-$E1523/(COUNTIF($J1523:$Q1523,"x")+1),-$E1523*N(L1523)))</f>
        <v/>
      </c>
      <c r="AA1523" s="34">
        <f>IF(OR($A1523="",$H1523&lt;&gt;"Ausgabe",M1523=""),0,IF(M1523="x",-$E1523/(COUNTIF($J1523:$Q1523,"x")+1),-$E1523*N(M1523)))</f>
        <v/>
      </c>
      <c r="AB1523" s="34">
        <f>IF(OR($A1523="",$H1523&lt;&gt;"Ausgabe",N1523=""),0,IF(N1523="x",-$E1523/(COUNTIF($J1523:$Q1523,"x")+1),-$E1523*N(N1523)))</f>
        <v/>
      </c>
      <c r="AC1523" s="34">
        <f>IF(OR($A1523="",$H1523&lt;&gt;"Ausgabe",O1523=""),0,IF(O1523="x",-$E1523/(COUNTIF($J1523:$Q1523,"x")+1),-$E1523*N(O1523)))</f>
        <v/>
      </c>
      <c r="AD1523" s="34">
        <f>IF(OR($A1523="",$H1523&lt;&gt;"Ausgabe",P1523=""),0,IF(P1523="x",-$E1523/(COUNTIF($J1523:$Q1523,"x")+1),-$E1523*N(P1523)))</f>
        <v/>
      </c>
      <c r="AE1523" s="34">
        <f>IF(OR($A1523="",$H1523&lt;&gt;"Ausgabe",Q1523=""),0,IF(Q1523="x",-$E1523/(COUNTIF($J1523:$Q1523,"x")+1),-$E1523*N(Q1523)))</f>
        <v/>
      </c>
    </row>
    <row r="1524">
      <c r="A1524" s="30" t="n"/>
      <c r="E1524" s="31" t="n"/>
      <c r="J1524" s="32" t="n"/>
      <c r="K1524" s="32" t="n"/>
      <c r="L1524" s="32" t="n"/>
      <c r="M1524" s="32" t="n"/>
      <c r="N1524" s="32" t="n"/>
      <c r="O1524" s="32" t="n"/>
      <c r="P1524" s="32" t="n"/>
      <c r="Q1524" s="32" t="n"/>
      <c r="U1524" s="31">
        <f>IF($A1524="","",SUM(X1524:AE1524))</f>
        <v/>
      </c>
      <c r="V1524" s="31">
        <f>IF($A1524="","",IF($H1524&lt;&gt;"Ausgabe",0,-$E1524-$U1524))</f>
        <v/>
      </c>
      <c r="W1524" s="33">
        <f>IF($A1524="","",DATE(YEAR($A1524),MONTH($A1524),1))</f>
        <v/>
      </c>
      <c r="X1524" s="34">
        <f>IF(OR($A1524="",$H1524&lt;&gt;"Ausgabe",J1524=""),0,IF(J1524="x",-$E1524/(COUNTIF($J1524:$Q1524,"x")+1),-$E1524*N(J1524)))</f>
        <v/>
      </c>
      <c r="Y1524" s="34">
        <f>IF(OR($A1524="",$H1524&lt;&gt;"Ausgabe",K1524=""),0,IF(K1524="x",-$E1524/(COUNTIF($J1524:$Q1524,"x")+1),-$E1524*N(K1524)))</f>
        <v/>
      </c>
      <c r="Z1524" s="34">
        <f>IF(OR($A1524="",$H1524&lt;&gt;"Ausgabe",L1524=""),0,IF(L1524="x",-$E1524/(COUNTIF($J1524:$Q1524,"x")+1),-$E1524*N(L1524)))</f>
        <v/>
      </c>
      <c r="AA1524" s="34">
        <f>IF(OR($A1524="",$H1524&lt;&gt;"Ausgabe",M1524=""),0,IF(M1524="x",-$E1524/(COUNTIF($J1524:$Q1524,"x")+1),-$E1524*N(M1524)))</f>
        <v/>
      </c>
      <c r="AB1524" s="34">
        <f>IF(OR($A1524="",$H1524&lt;&gt;"Ausgabe",N1524=""),0,IF(N1524="x",-$E1524/(COUNTIF($J1524:$Q1524,"x")+1),-$E1524*N(N1524)))</f>
        <v/>
      </c>
      <c r="AC1524" s="34">
        <f>IF(OR($A1524="",$H1524&lt;&gt;"Ausgabe",O1524=""),0,IF(O1524="x",-$E1524/(COUNTIF($J1524:$Q1524,"x")+1),-$E1524*N(O1524)))</f>
        <v/>
      </c>
      <c r="AD1524" s="34">
        <f>IF(OR($A1524="",$H1524&lt;&gt;"Ausgabe",P1524=""),0,IF(P1524="x",-$E1524/(COUNTIF($J1524:$Q1524,"x")+1),-$E1524*N(P1524)))</f>
        <v/>
      </c>
      <c r="AE1524" s="34">
        <f>IF(OR($A1524="",$H1524&lt;&gt;"Ausgabe",Q1524=""),0,IF(Q1524="x",-$E1524/(COUNTIF($J1524:$Q1524,"x")+1),-$E1524*N(Q1524)))</f>
        <v/>
      </c>
    </row>
    <row r="1525">
      <c r="A1525" s="30" t="n"/>
      <c r="E1525" s="31" t="n"/>
      <c r="J1525" s="32" t="n"/>
      <c r="K1525" s="32" t="n"/>
      <c r="L1525" s="32" t="n"/>
      <c r="M1525" s="32" t="n"/>
      <c r="N1525" s="32" t="n"/>
      <c r="O1525" s="32" t="n"/>
      <c r="P1525" s="32" t="n"/>
      <c r="Q1525" s="32" t="n"/>
      <c r="U1525" s="31">
        <f>IF($A1525="","",SUM(X1525:AE1525))</f>
        <v/>
      </c>
      <c r="V1525" s="31">
        <f>IF($A1525="","",IF($H1525&lt;&gt;"Ausgabe",0,-$E1525-$U1525))</f>
        <v/>
      </c>
      <c r="W1525" s="33">
        <f>IF($A1525="","",DATE(YEAR($A1525),MONTH($A1525),1))</f>
        <v/>
      </c>
      <c r="X1525" s="34">
        <f>IF(OR($A1525="",$H1525&lt;&gt;"Ausgabe",J1525=""),0,IF(J1525="x",-$E1525/(COUNTIF($J1525:$Q1525,"x")+1),-$E1525*N(J1525)))</f>
        <v/>
      </c>
      <c r="Y1525" s="34">
        <f>IF(OR($A1525="",$H1525&lt;&gt;"Ausgabe",K1525=""),0,IF(K1525="x",-$E1525/(COUNTIF($J1525:$Q1525,"x")+1),-$E1525*N(K1525)))</f>
        <v/>
      </c>
      <c r="Z1525" s="34">
        <f>IF(OR($A1525="",$H1525&lt;&gt;"Ausgabe",L1525=""),0,IF(L1525="x",-$E1525/(COUNTIF($J1525:$Q1525,"x")+1),-$E1525*N(L1525)))</f>
        <v/>
      </c>
      <c r="AA1525" s="34">
        <f>IF(OR($A1525="",$H1525&lt;&gt;"Ausgabe",M1525=""),0,IF(M1525="x",-$E1525/(COUNTIF($J1525:$Q1525,"x")+1),-$E1525*N(M1525)))</f>
        <v/>
      </c>
      <c r="AB1525" s="34">
        <f>IF(OR($A1525="",$H1525&lt;&gt;"Ausgabe",N1525=""),0,IF(N1525="x",-$E1525/(COUNTIF($J1525:$Q1525,"x")+1),-$E1525*N(N1525)))</f>
        <v/>
      </c>
      <c r="AC1525" s="34">
        <f>IF(OR($A1525="",$H1525&lt;&gt;"Ausgabe",O1525=""),0,IF(O1525="x",-$E1525/(COUNTIF($J1525:$Q1525,"x")+1),-$E1525*N(O1525)))</f>
        <v/>
      </c>
      <c r="AD1525" s="34">
        <f>IF(OR($A1525="",$H1525&lt;&gt;"Ausgabe",P1525=""),0,IF(P1525="x",-$E1525/(COUNTIF($J1525:$Q1525,"x")+1),-$E1525*N(P1525)))</f>
        <v/>
      </c>
      <c r="AE1525" s="34">
        <f>IF(OR($A1525="",$H1525&lt;&gt;"Ausgabe",Q1525=""),0,IF(Q1525="x",-$E1525/(COUNTIF($J1525:$Q1525,"x")+1),-$E1525*N(Q1525)))</f>
        <v/>
      </c>
    </row>
    <row r="1526">
      <c r="A1526" s="30" t="n"/>
      <c r="E1526" s="31" t="n"/>
      <c r="J1526" s="32" t="n"/>
      <c r="K1526" s="32" t="n"/>
      <c r="L1526" s="32" t="n"/>
      <c r="M1526" s="32" t="n"/>
      <c r="N1526" s="32" t="n"/>
      <c r="O1526" s="32" t="n"/>
      <c r="P1526" s="32" t="n"/>
      <c r="Q1526" s="32" t="n"/>
      <c r="U1526" s="31">
        <f>IF($A1526="","",SUM(X1526:AE1526))</f>
        <v/>
      </c>
      <c r="V1526" s="31">
        <f>IF($A1526="","",IF($H1526&lt;&gt;"Ausgabe",0,-$E1526-$U1526))</f>
        <v/>
      </c>
      <c r="W1526" s="33">
        <f>IF($A1526="","",DATE(YEAR($A1526),MONTH($A1526),1))</f>
        <v/>
      </c>
      <c r="X1526" s="34">
        <f>IF(OR($A1526="",$H1526&lt;&gt;"Ausgabe",J1526=""),0,IF(J1526="x",-$E1526/(COUNTIF($J1526:$Q1526,"x")+1),-$E1526*N(J1526)))</f>
        <v/>
      </c>
      <c r="Y1526" s="34">
        <f>IF(OR($A1526="",$H1526&lt;&gt;"Ausgabe",K1526=""),0,IF(K1526="x",-$E1526/(COUNTIF($J1526:$Q1526,"x")+1),-$E1526*N(K1526)))</f>
        <v/>
      </c>
      <c r="Z1526" s="34">
        <f>IF(OR($A1526="",$H1526&lt;&gt;"Ausgabe",L1526=""),0,IF(L1526="x",-$E1526/(COUNTIF($J1526:$Q1526,"x")+1),-$E1526*N(L1526)))</f>
        <v/>
      </c>
      <c r="AA1526" s="34">
        <f>IF(OR($A1526="",$H1526&lt;&gt;"Ausgabe",M1526=""),0,IF(M1526="x",-$E1526/(COUNTIF($J1526:$Q1526,"x")+1),-$E1526*N(M1526)))</f>
        <v/>
      </c>
      <c r="AB1526" s="34">
        <f>IF(OR($A1526="",$H1526&lt;&gt;"Ausgabe",N1526=""),0,IF(N1526="x",-$E1526/(COUNTIF($J1526:$Q1526,"x")+1),-$E1526*N(N1526)))</f>
        <v/>
      </c>
      <c r="AC1526" s="34">
        <f>IF(OR($A1526="",$H1526&lt;&gt;"Ausgabe",O1526=""),0,IF(O1526="x",-$E1526/(COUNTIF($J1526:$Q1526,"x")+1),-$E1526*N(O1526)))</f>
        <v/>
      </c>
      <c r="AD1526" s="34">
        <f>IF(OR($A1526="",$H1526&lt;&gt;"Ausgabe",P1526=""),0,IF(P1526="x",-$E1526/(COUNTIF($J1526:$Q1526,"x")+1),-$E1526*N(P1526)))</f>
        <v/>
      </c>
      <c r="AE1526" s="34">
        <f>IF(OR($A1526="",$H1526&lt;&gt;"Ausgabe",Q1526=""),0,IF(Q1526="x",-$E1526/(COUNTIF($J1526:$Q1526,"x")+1),-$E1526*N(Q1526)))</f>
        <v/>
      </c>
    </row>
    <row r="1527">
      <c r="A1527" s="30" t="n"/>
      <c r="E1527" s="31" t="n"/>
      <c r="J1527" s="32" t="n"/>
      <c r="K1527" s="32" t="n"/>
      <c r="L1527" s="32" t="n"/>
      <c r="M1527" s="32" t="n"/>
      <c r="N1527" s="32" t="n"/>
      <c r="O1527" s="32" t="n"/>
      <c r="P1527" s="32" t="n"/>
      <c r="Q1527" s="32" t="n"/>
      <c r="U1527" s="31">
        <f>IF($A1527="","",SUM(X1527:AE1527))</f>
        <v/>
      </c>
      <c r="V1527" s="31">
        <f>IF($A1527="","",IF($H1527&lt;&gt;"Ausgabe",0,-$E1527-$U1527))</f>
        <v/>
      </c>
      <c r="W1527" s="33">
        <f>IF($A1527="","",DATE(YEAR($A1527),MONTH($A1527),1))</f>
        <v/>
      </c>
      <c r="X1527" s="34">
        <f>IF(OR($A1527="",$H1527&lt;&gt;"Ausgabe",J1527=""),0,IF(J1527="x",-$E1527/(COUNTIF($J1527:$Q1527,"x")+1),-$E1527*N(J1527)))</f>
        <v/>
      </c>
      <c r="Y1527" s="34">
        <f>IF(OR($A1527="",$H1527&lt;&gt;"Ausgabe",K1527=""),0,IF(K1527="x",-$E1527/(COUNTIF($J1527:$Q1527,"x")+1),-$E1527*N(K1527)))</f>
        <v/>
      </c>
      <c r="Z1527" s="34">
        <f>IF(OR($A1527="",$H1527&lt;&gt;"Ausgabe",L1527=""),0,IF(L1527="x",-$E1527/(COUNTIF($J1527:$Q1527,"x")+1),-$E1527*N(L1527)))</f>
        <v/>
      </c>
      <c r="AA1527" s="34">
        <f>IF(OR($A1527="",$H1527&lt;&gt;"Ausgabe",M1527=""),0,IF(M1527="x",-$E1527/(COUNTIF($J1527:$Q1527,"x")+1),-$E1527*N(M1527)))</f>
        <v/>
      </c>
      <c r="AB1527" s="34">
        <f>IF(OR($A1527="",$H1527&lt;&gt;"Ausgabe",N1527=""),0,IF(N1527="x",-$E1527/(COUNTIF($J1527:$Q1527,"x")+1),-$E1527*N(N1527)))</f>
        <v/>
      </c>
      <c r="AC1527" s="34">
        <f>IF(OR($A1527="",$H1527&lt;&gt;"Ausgabe",O1527=""),0,IF(O1527="x",-$E1527/(COUNTIF($J1527:$Q1527,"x")+1),-$E1527*N(O1527)))</f>
        <v/>
      </c>
      <c r="AD1527" s="34">
        <f>IF(OR($A1527="",$H1527&lt;&gt;"Ausgabe",P1527=""),0,IF(P1527="x",-$E1527/(COUNTIF($J1527:$Q1527,"x")+1),-$E1527*N(P1527)))</f>
        <v/>
      </c>
      <c r="AE1527" s="34">
        <f>IF(OR($A1527="",$H1527&lt;&gt;"Ausgabe",Q1527=""),0,IF(Q1527="x",-$E1527/(COUNTIF($J1527:$Q1527,"x")+1),-$E1527*N(Q1527)))</f>
        <v/>
      </c>
    </row>
    <row r="1528">
      <c r="A1528" s="30" t="n"/>
      <c r="E1528" s="31" t="n"/>
      <c r="J1528" s="32" t="n"/>
      <c r="K1528" s="32" t="n"/>
      <c r="L1528" s="32" t="n"/>
      <c r="M1528" s="32" t="n"/>
      <c r="N1528" s="32" t="n"/>
      <c r="O1528" s="32" t="n"/>
      <c r="P1528" s="32" t="n"/>
      <c r="Q1528" s="32" t="n"/>
      <c r="U1528" s="31">
        <f>IF($A1528="","",SUM(X1528:AE1528))</f>
        <v/>
      </c>
      <c r="V1528" s="31">
        <f>IF($A1528="","",IF($H1528&lt;&gt;"Ausgabe",0,-$E1528-$U1528))</f>
        <v/>
      </c>
      <c r="W1528" s="33">
        <f>IF($A1528="","",DATE(YEAR($A1528),MONTH($A1528),1))</f>
        <v/>
      </c>
      <c r="X1528" s="34">
        <f>IF(OR($A1528="",$H1528&lt;&gt;"Ausgabe",J1528=""),0,IF(J1528="x",-$E1528/(COUNTIF($J1528:$Q1528,"x")+1),-$E1528*N(J1528)))</f>
        <v/>
      </c>
      <c r="Y1528" s="34">
        <f>IF(OR($A1528="",$H1528&lt;&gt;"Ausgabe",K1528=""),0,IF(K1528="x",-$E1528/(COUNTIF($J1528:$Q1528,"x")+1),-$E1528*N(K1528)))</f>
        <v/>
      </c>
      <c r="Z1528" s="34">
        <f>IF(OR($A1528="",$H1528&lt;&gt;"Ausgabe",L1528=""),0,IF(L1528="x",-$E1528/(COUNTIF($J1528:$Q1528,"x")+1),-$E1528*N(L1528)))</f>
        <v/>
      </c>
      <c r="AA1528" s="34">
        <f>IF(OR($A1528="",$H1528&lt;&gt;"Ausgabe",M1528=""),0,IF(M1528="x",-$E1528/(COUNTIF($J1528:$Q1528,"x")+1),-$E1528*N(M1528)))</f>
        <v/>
      </c>
      <c r="AB1528" s="34">
        <f>IF(OR($A1528="",$H1528&lt;&gt;"Ausgabe",N1528=""),0,IF(N1528="x",-$E1528/(COUNTIF($J1528:$Q1528,"x")+1),-$E1528*N(N1528)))</f>
        <v/>
      </c>
      <c r="AC1528" s="34">
        <f>IF(OR($A1528="",$H1528&lt;&gt;"Ausgabe",O1528=""),0,IF(O1528="x",-$E1528/(COUNTIF($J1528:$Q1528,"x")+1),-$E1528*N(O1528)))</f>
        <v/>
      </c>
      <c r="AD1528" s="34">
        <f>IF(OR($A1528="",$H1528&lt;&gt;"Ausgabe",P1528=""),0,IF(P1528="x",-$E1528/(COUNTIF($J1528:$Q1528,"x")+1),-$E1528*N(P1528)))</f>
        <v/>
      </c>
      <c r="AE1528" s="34">
        <f>IF(OR($A1528="",$H1528&lt;&gt;"Ausgabe",Q1528=""),0,IF(Q1528="x",-$E1528/(COUNTIF($J1528:$Q1528,"x")+1),-$E1528*N(Q1528)))</f>
        <v/>
      </c>
    </row>
    <row r="1529">
      <c r="A1529" s="30" t="n"/>
      <c r="E1529" s="31" t="n"/>
      <c r="J1529" s="32" t="n"/>
      <c r="K1529" s="32" t="n"/>
      <c r="L1529" s="32" t="n"/>
      <c r="M1529" s="32" t="n"/>
      <c r="N1529" s="32" t="n"/>
      <c r="O1529" s="32" t="n"/>
      <c r="P1529" s="32" t="n"/>
      <c r="Q1529" s="32" t="n"/>
      <c r="U1529" s="31">
        <f>IF($A1529="","",SUM(X1529:AE1529))</f>
        <v/>
      </c>
      <c r="V1529" s="31">
        <f>IF($A1529="","",IF($H1529&lt;&gt;"Ausgabe",0,-$E1529-$U1529))</f>
        <v/>
      </c>
      <c r="W1529" s="33">
        <f>IF($A1529="","",DATE(YEAR($A1529),MONTH($A1529),1))</f>
        <v/>
      </c>
      <c r="X1529" s="34">
        <f>IF(OR($A1529="",$H1529&lt;&gt;"Ausgabe",J1529=""),0,IF(J1529="x",-$E1529/(COUNTIF($J1529:$Q1529,"x")+1),-$E1529*N(J1529)))</f>
        <v/>
      </c>
      <c r="Y1529" s="34">
        <f>IF(OR($A1529="",$H1529&lt;&gt;"Ausgabe",K1529=""),0,IF(K1529="x",-$E1529/(COUNTIF($J1529:$Q1529,"x")+1),-$E1529*N(K1529)))</f>
        <v/>
      </c>
      <c r="Z1529" s="34">
        <f>IF(OR($A1529="",$H1529&lt;&gt;"Ausgabe",L1529=""),0,IF(L1529="x",-$E1529/(COUNTIF($J1529:$Q1529,"x")+1),-$E1529*N(L1529)))</f>
        <v/>
      </c>
      <c r="AA1529" s="34">
        <f>IF(OR($A1529="",$H1529&lt;&gt;"Ausgabe",M1529=""),0,IF(M1529="x",-$E1529/(COUNTIF($J1529:$Q1529,"x")+1),-$E1529*N(M1529)))</f>
        <v/>
      </c>
      <c r="AB1529" s="34">
        <f>IF(OR($A1529="",$H1529&lt;&gt;"Ausgabe",N1529=""),0,IF(N1529="x",-$E1529/(COUNTIF($J1529:$Q1529,"x")+1),-$E1529*N(N1529)))</f>
        <v/>
      </c>
      <c r="AC1529" s="34">
        <f>IF(OR($A1529="",$H1529&lt;&gt;"Ausgabe",O1529=""),0,IF(O1529="x",-$E1529/(COUNTIF($J1529:$Q1529,"x")+1),-$E1529*N(O1529)))</f>
        <v/>
      </c>
      <c r="AD1529" s="34">
        <f>IF(OR($A1529="",$H1529&lt;&gt;"Ausgabe",P1529=""),0,IF(P1529="x",-$E1529/(COUNTIF($J1529:$Q1529,"x")+1),-$E1529*N(P1529)))</f>
        <v/>
      </c>
      <c r="AE1529" s="34">
        <f>IF(OR($A1529="",$H1529&lt;&gt;"Ausgabe",Q1529=""),0,IF(Q1529="x",-$E1529/(COUNTIF($J1529:$Q1529,"x")+1),-$E1529*N(Q1529)))</f>
        <v/>
      </c>
    </row>
    <row r="1530">
      <c r="A1530" s="30" t="n"/>
      <c r="E1530" s="31" t="n"/>
      <c r="J1530" s="32" t="n"/>
      <c r="K1530" s="32" t="n"/>
      <c r="L1530" s="32" t="n"/>
      <c r="M1530" s="32" t="n"/>
      <c r="N1530" s="32" t="n"/>
      <c r="O1530" s="32" t="n"/>
      <c r="P1530" s="32" t="n"/>
      <c r="Q1530" s="32" t="n"/>
      <c r="U1530" s="31">
        <f>IF($A1530="","",SUM(X1530:AE1530))</f>
        <v/>
      </c>
      <c r="V1530" s="31">
        <f>IF($A1530="","",IF($H1530&lt;&gt;"Ausgabe",0,-$E1530-$U1530))</f>
        <v/>
      </c>
      <c r="W1530" s="33">
        <f>IF($A1530="","",DATE(YEAR($A1530),MONTH($A1530),1))</f>
        <v/>
      </c>
      <c r="X1530" s="34">
        <f>IF(OR($A1530="",$H1530&lt;&gt;"Ausgabe",J1530=""),0,IF(J1530="x",-$E1530/(COUNTIF($J1530:$Q1530,"x")+1),-$E1530*N(J1530)))</f>
        <v/>
      </c>
      <c r="Y1530" s="34">
        <f>IF(OR($A1530="",$H1530&lt;&gt;"Ausgabe",K1530=""),0,IF(K1530="x",-$E1530/(COUNTIF($J1530:$Q1530,"x")+1),-$E1530*N(K1530)))</f>
        <v/>
      </c>
      <c r="Z1530" s="34">
        <f>IF(OR($A1530="",$H1530&lt;&gt;"Ausgabe",L1530=""),0,IF(L1530="x",-$E1530/(COUNTIF($J1530:$Q1530,"x")+1),-$E1530*N(L1530)))</f>
        <v/>
      </c>
      <c r="AA1530" s="34">
        <f>IF(OR($A1530="",$H1530&lt;&gt;"Ausgabe",M1530=""),0,IF(M1530="x",-$E1530/(COUNTIF($J1530:$Q1530,"x")+1),-$E1530*N(M1530)))</f>
        <v/>
      </c>
      <c r="AB1530" s="34">
        <f>IF(OR($A1530="",$H1530&lt;&gt;"Ausgabe",N1530=""),0,IF(N1530="x",-$E1530/(COUNTIF($J1530:$Q1530,"x")+1),-$E1530*N(N1530)))</f>
        <v/>
      </c>
      <c r="AC1530" s="34">
        <f>IF(OR($A1530="",$H1530&lt;&gt;"Ausgabe",O1530=""),0,IF(O1530="x",-$E1530/(COUNTIF($J1530:$Q1530,"x")+1),-$E1530*N(O1530)))</f>
        <v/>
      </c>
      <c r="AD1530" s="34">
        <f>IF(OR($A1530="",$H1530&lt;&gt;"Ausgabe",P1530=""),0,IF(P1530="x",-$E1530/(COUNTIF($J1530:$Q1530,"x")+1),-$E1530*N(P1530)))</f>
        <v/>
      </c>
      <c r="AE1530" s="34">
        <f>IF(OR($A1530="",$H1530&lt;&gt;"Ausgabe",Q1530=""),0,IF(Q1530="x",-$E1530/(COUNTIF($J1530:$Q1530,"x")+1),-$E1530*N(Q1530)))</f>
        <v/>
      </c>
    </row>
    <row r="1531">
      <c r="A1531" s="30" t="n"/>
      <c r="E1531" s="31" t="n"/>
      <c r="J1531" s="32" t="n"/>
      <c r="K1531" s="32" t="n"/>
      <c r="L1531" s="32" t="n"/>
      <c r="M1531" s="32" t="n"/>
      <c r="N1531" s="32" t="n"/>
      <c r="O1531" s="32" t="n"/>
      <c r="P1531" s="32" t="n"/>
      <c r="Q1531" s="32" t="n"/>
      <c r="U1531" s="31">
        <f>IF($A1531="","",SUM(X1531:AE1531))</f>
        <v/>
      </c>
      <c r="V1531" s="31">
        <f>IF($A1531="","",IF($H1531&lt;&gt;"Ausgabe",0,-$E1531-$U1531))</f>
        <v/>
      </c>
      <c r="W1531" s="33">
        <f>IF($A1531="","",DATE(YEAR($A1531),MONTH($A1531),1))</f>
        <v/>
      </c>
      <c r="X1531" s="34">
        <f>IF(OR($A1531="",$H1531&lt;&gt;"Ausgabe",J1531=""),0,IF(J1531="x",-$E1531/(COUNTIF($J1531:$Q1531,"x")+1),-$E1531*N(J1531)))</f>
        <v/>
      </c>
      <c r="Y1531" s="34">
        <f>IF(OR($A1531="",$H1531&lt;&gt;"Ausgabe",K1531=""),0,IF(K1531="x",-$E1531/(COUNTIF($J1531:$Q1531,"x")+1),-$E1531*N(K1531)))</f>
        <v/>
      </c>
      <c r="Z1531" s="34">
        <f>IF(OR($A1531="",$H1531&lt;&gt;"Ausgabe",L1531=""),0,IF(L1531="x",-$E1531/(COUNTIF($J1531:$Q1531,"x")+1),-$E1531*N(L1531)))</f>
        <v/>
      </c>
      <c r="AA1531" s="34">
        <f>IF(OR($A1531="",$H1531&lt;&gt;"Ausgabe",M1531=""),0,IF(M1531="x",-$E1531/(COUNTIF($J1531:$Q1531,"x")+1),-$E1531*N(M1531)))</f>
        <v/>
      </c>
      <c r="AB1531" s="34">
        <f>IF(OR($A1531="",$H1531&lt;&gt;"Ausgabe",N1531=""),0,IF(N1531="x",-$E1531/(COUNTIF($J1531:$Q1531,"x")+1),-$E1531*N(N1531)))</f>
        <v/>
      </c>
      <c r="AC1531" s="34">
        <f>IF(OR($A1531="",$H1531&lt;&gt;"Ausgabe",O1531=""),0,IF(O1531="x",-$E1531/(COUNTIF($J1531:$Q1531,"x")+1),-$E1531*N(O1531)))</f>
        <v/>
      </c>
      <c r="AD1531" s="34">
        <f>IF(OR($A1531="",$H1531&lt;&gt;"Ausgabe",P1531=""),0,IF(P1531="x",-$E1531/(COUNTIF($J1531:$Q1531,"x")+1),-$E1531*N(P1531)))</f>
        <v/>
      </c>
      <c r="AE1531" s="34">
        <f>IF(OR($A1531="",$H1531&lt;&gt;"Ausgabe",Q1531=""),0,IF(Q1531="x",-$E1531/(COUNTIF($J1531:$Q1531,"x")+1),-$E1531*N(Q1531)))</f>
        <v/>
      </c>
    </row>
    <row r="1532">
      <c r="A1532" s="30" t="n"/>
      <c r="E1532" s="31" t="n"/>
      <c r="J1532" s="32" t="n"/>
      <c r="K1532" s="32" t="n"/>
      <c r="L1532" s="32" t="n"/>
      <c r="M1532" s="32" t="n"/>
      <c r="N1532" s="32" t="n"/>
      <c r="O1532" s="32" t="n"/>
      <c r="P1532" s="32" t="n"/>
      <c r="Q1532" s="32" t="n"/>
      <c r="U1532" s="31">
        <f>IF($A1532="","",SUM(X1532:AE1532))</f>
        <v/>
      </c>
      <c r="V1532" s="31">
        <f>IF($A1532="","",IF($H1532&lt;&gt;"Ausgabe",0,-$E1532-$U1532))</f>
        <v/>
      </c>
      <c r="W1532" s="33">
        <f>IF($A1532="","",DATE(YEAR($A1532),MONTH($A1532),1))</f>
        <v/>
      </c>
      <c r="X1532" s="34">
        <f>IF(OR($A1532="",$H1532&lt;&gt;"Ausgabe",J1532=""),0,IF(J1532="x",-$E1532/(COUNTIF($J1532:$Q1532,"x")+1),-$E1532*N(J1532)))</f>
        <v/>
      </c>
      <c r="Y1532" s="34">
        <f>IF(OR($A1532="",$H1532&lt;&gt;"Ausgabe",K1532=""),0,IF(K1532="x",-$E1532/(COUNTIF($J1532:$Q1532,"x")+1),-$E1532*N(K1532)))</f>
        <v/>
      </c>
      <c r="Z1532" s="34">
        <f>IF(OR($A1532="",$H1532&lt;&gt;"Ausgabe",L1532=""),0,IF(L1532="x",-$E1532/(COUNTIF($J1532:$Q1532,"x")+1),-$E1532*N(L1532)))</f>
        <v/>
      </c>
      <c r="AA1532" s="34">
        <f>IF(OR($A1532="",$H1532&lt;&gt;"Ausgabe",M1532=""),0,IF(M1532="x",-$E1532/(COUNTIF($J1532:$Q1532,"x")+1),-$E1532*N(M1532)))</f>
        <v/>
      </c>
      <c r="AB1532" s="34">
        <f>IF(OR($A1532="",$H1532&lt;&gt;"Ausgabe",N1532=""),0,IF(N1532="x",-$E1532/(COUNTIF($J1532:$Q1532,"x")+1),-$E1532*N(N1532)))</f>
        <v/>
      </c>
      <c r="AC1532" s="34">
        <f>IF(OR($A1532="",$H1532&lt;&gt;"Ausgabe",O1532=""),0,IF(O1532="x",-$E1532/(COUNTIF($J1532:$Q1532,"x")+1),-$E1532*N(O1532)))</f>
        <v/>
      </c>
      <c r="AD1532" s="34">
        <f>IF(OR($A1532="",$H1532&lt;&gt;"Ausgabe",P1532=""),0,IF(P1532="x",-$E1532/(COUNTIF($J1532:$Q1532,"x")+1),-$E1532*N(P1532)))</f>
        <v/>
      </c>
      <c r="AE1532" s="34">
        <f>IF(OR($A1532="",$H1532&lt;&gt;"Ausgabe",Q1532=""),0,IF(Q1532="x",-$E1532/(COUNTIF($J1532:$Q1532,"x")+1),-$E1532*N(Q1532)))</f>
        <v/>
      </c>
    </row>
    <row r="1533">
      <c r="A1533" s="30" t="n"/>
      <c r="E1533" s="31" t="n"/>
      <c r="J1533" s="32" t="n"/>
      <c r="K1533" s="32" t="n"/>
      <c r="L1533" s="32" t="n"/>
      <c r="M1533" s="32" t="n"/>
      <c r="N1533" s="32" t="n"/>
      <c r="O1533" s="32" t="n"/>
      <c r="P1533" s="32" t="n"/>
      <c r="Q1533" s="32" t="n"/>
      <c r="U1533" s="31">
        <f>IF($A1533="","",SUM(X1533:AE1533))</f>
        <v/>
      </c>
      <c r="V1533" s="31">
        <f>IF($A1533="","",IF($H1533&lt;&gt;"Ausgabe",0,-$E1533-$U1533))</f>
        <v/>
      </c>
      <c r="W1533" s="33">
        <f>IF($A1533="","",DATE(YEAR($A1533),MONTH($A1533),1))</f>
        <v/>
      </c>
      <c r="X1533" s="34">
        <f>IF(OR($A1533="",$H1533&lt;&gt;"Ausgabe",J1533=""),0,IF(J1533="x",-$E1533/(COUNTIF($J1533:$Q1533,"x")+1),-$E1533*N(J1533)))</f>
        <v/>
      </c>
      <c r="Y1533" s="34">
        <f>IF(OR($A1533="",$H1533&lt;&gt;"Ausgabe",K1533=""),0,IF(K1533="x",-$E1533/(COUNTIF($J1533:$Q1533,"x")+1),-$E1533*N(K1533)))</f>
        <v/>
      </c>
      <c r="Z1533" s="34">
        <f>IF(OR($A1533="",$H1533&lt;&gt;"Ausgabe",L1533=""),0,IF(L1533="x",-$E1533/(COUNTIF($J1533:$Q1533,"x")+1),-$E1533*N(L1533)))</f>
        <v/>
      </c>
      <c r="AA1533" s="34">
        <f>IF(OR($A1533="",$H1533&lt;&gt;"Ausgabe",M1533=""),0,IF(M1533="x",-$E1533/(COUNTIF($J1533:$Q1533,"x")+1),-$E1533*N(M1533)))</f>
        <v/>
      </c>
      <c r="AB1533" s="34">
        <f>IF(OR($A1533="",$H1533&lt;&gt;"Ausgabe",N1533=""),0,IF(N1533="x",-$E1533/(COUNTIF($J1533:$Q1533,"x")+1),-$E1533*N(N1533)))</f>
        <v/>
      </c>
      <c r="AC1533" s="34">
        <f>IF(OR($A1533="",$H1533&lt;&gt;"Ausgabe",O1533=""),0,IF(O1533="x",-$E1533/(COUNTIF($J1533:$Q1533,"x")+1),-$E1533*N(O1533)))</f>
        <v/>
      </c>
      <c r="AD1533" s="34">
        <f>IF(OR($A1533="",$H1533&lt;&gt;"Ausgabe",P1533=""),0,IF(P1533="x",-$E1533/(COUNTIF($J1533:$Q1533,"x")+1),-$E1533*N(P1533)))</f>
        <v/>
      </c>
      <c r="AE1533" s="34">
        <f>IF(OR($A1533="",$H1533&lt;&gt;"Ausgabe",Q1533=""),0,IF(Q1533="x",-$E1533/(COUNTIF($J1533:$Q1533,"x")+1),-$E1533*N(Q1533)))</f>
        <v/>
      </c>
    </row>
    <row r="1534">
      <c r="A1534" s="30" t="n"/>
      <c r="E1534" s="31" t="n"/>
      <c r="J1534" s="32" t="n"/>
      <c r="K1534" s="32" t="n"/>
      <c r="L1534" s="32" t="n"/>
      <c r="M1534" s="32" t="n"/>
      <c r="N1534" s="32" t="n"/>
      <c r="O1534" s="32" t="n"/>
      <c r="P1534" s="32" t="n"/>
      <c r="Q1534" s="32" t="n"/>
      <c r="U1534" s="31">
        <f>IF($A1534="","",SUM(X1534:AE1534))</f>
        <v/>
      </c>
      <c r="V1534" s="31">
        <f>IF($A1534="","",IF($H1534&lt;&gt;"Ausgabe",0,-$E1534-$U1534))</f>
        <v/>
      </c>
      <c r="W1534" s="33">
        <f>IF($A1534="","",DATE(YEAR($A1534),MONTH($A1534),1))</f>
        <v/>
      </c>
      <c r="X1534" s="34">
        <f>IF(OR($A1534="",$H1534&lt;&gt;"Ausgabe",J1534=""),0,IF(J1534="x",-$E1534/(COUNTIF($J1534:$Q1534,"x")+1),-$E1534*N(J1534)))</f>
        <v/>
      </c>
      <c r="Y1534" s="34">
        <f>IF(OR($A1534="",$H1534&lt;&gt;"Ausgabe",K1534=""),0,IF(K1534="x",-$E1534/(COUNTIF($J1534:$Q1534,"x")+1),-$E1534*N(K1534)))</f>
        <v/>
      </c>
      <c r="Z1534" s="34">
        <f>IF(OR($A1534="",$H1534&lt;&gt;"Ausgabe",L1534=""),0,IF(L1534="x",-$E1534/(COUNTIF($J1534:$Q1534,"x")+1),-$E1534*N(L1534)))</f>
        <v/>
      </c>
      <c r="AA1534" s="34">
        <f>IF(OR($A1534="",$H1534&lt;&gt;"Ausgabe",M1534=""),0,IF(M1534="x",-$E1534/(COUNTIF($J1534:$Q1534,"x")+1),-$E1534*N(M1534)))</f>
        <v/>
      </c>
      <c r="AB1534" s="34">
        <f>IF(OR($A1534="",$H1534&lt;&gt;"Ausgabe",N1534=""),0,IF(N1534="x",-$E1534/(COUNTIF($J1534:$Q1534,"x")+1),-$E1534*N(N1534)))</f>
        <v/>
      </c>
      <c r="AC1534" s="34">
        <f>IF(OR($A1534="",$H1534&lt;&gt;"Ausgabe",O1534=""),0,IF(O1534="x",-$E1534/(COUNTIF($J1534:$Q1534,"x")+1),-$E1534*N(O1534)))</f>
        <v/>
      </c>
      <c r="AD1534" s="34">
        <f>IF(OR($A1534="",$H1534&lt;&gt;"Ausgabe",P1534=""),0,IF(P1534="x",-$E1534/(COUNTIF($J1534:$Q1534,"x")+1),-$E1534*N(P1534)))</f>
        <v/>
      </c>
      <c r="AE1534" s="34">
        <f>IF(OR($A1534="",$H1534&lt;&gt;"Ausgabe",Q1534=""),0,IF(Q1534="x",-$E1534/(COUNTIF($J1534:$Q1534,"x")+1),-$E1534*N(Q1534)))</f>
        <v/>
      </c>
    </row>
    <row r="1535">
      <c r="A1535" s="30" t="n"/>
      <c r="E1535" s="31" t="n"/>
      <c r="J1535" s="32" t="n"/>
      <c r="K1535" s="32" t="n"/>
      <c r="L1535" s="32" t="n"/>
      <c r="M1535" s="32" t="n"/>
      <c r="N1535" s="32" t="n"/>
      <c r="O1535" s="32" t="n"/>
      <c r="P1535" s="32" t="n"/>
      <c r="Q1535" s="32" t="n"/>
      <c r="U1535" s="31">
        <f>IF($A1535="","",SUM(X1535:AE1535))</f>
        <v/>
      </c>
      <c r="V1535" s="31">
        <f>IF($A1535="","",IF($H1535&lt;&gt;"Ausgabe",0,-$E1535-$U1535))</f>
        <v/>
      </c>
      <c r="W1535" s="33">
        <f>IF($A1535="","",DATE(YEAR($A1535),MONTH($A1535),1))</f>
        <v/>
      </c>
      <c r="X1535" s="34">
        <f>IF(OR($A1535="",$H1535&lt;&gt;"Ausgabe",J1535=""),0,IF(J1535="x",-$E1535/(COUNTIF($J1535:$Q1535,"x")+1),-$E1535*N(J1535)))</f>
        <v/>
      </c>
      <c r="Y1535" s="34">
        <f>IF(OR($A1535="",$H1535&lt;&gt;"Ausgabe",K1535=""),0,IF(K1535="x",-$E1535/(COUNTIF($J1535:$Q1535,"x")+1),-$E1535*N(K1535)))</f>
        <v/>
      </c>
      <c r="Z1535" s="34">
        <f>IF(OR($A1535="",$H1535&lt;&gt;"Ausgabe",L1535=""),0,IF(L1535="x",-$E1535/(COUNTIF($J1535:$Q1535,"x")+1),-$E1535*N(L1535)))</f>
        <v/>
      </c>
      <c r="AA1535" s="34">
        <f>IF(OR($A1535="",$H1535&lt;&gt;"Ausgabe",M1535=""),0,IF(M1535="x",-$E1535/(COUNTIF($J1535:$Q1535,"x")+1),-$E1535*N(M1535)))</f>
        <v/>
      </c>
      <c r="AB1535" s="34">
        <f>IF(OR($A1535="",$H1535&lt;&gt;"Ausgabe",N1535=""),0,IF(N1535="x",-$E1535/(COUNTIF($J1535:$Q1535,"x")+1),-$E1535*N(N1535)))</f>
        <v/>
      </c>
      <c r="AC1535" s="34">
        <f>IF(OR($A1535="",$H1535&lt;&gt;"Ausgabe",O1535=""),0,IF(O1535="x",-$E1535/(COUNTIF($J1535:$Q1535,"x")+1),-$E1535*N(O1535)))</f>
        <v/>
      </c>
      <c r="AD1535" s="34">
        <f>IF(OR($A1535="",$H1535&lt;&gt;"Ausgabe",P1535=""),0,IF(P1535="x",-$E1535/(COUNTIF($J1535:$Q1535,"x")+1),-$E1535*N(P1535)))</f>
        <v/>
      </c>
      <c r="AE1535" s="34">
        <f>IF(OR($A1535="",$H1535&lt;&gt;"Ausgabe",Q1535=""),0,IF(Q1535="x",-$E1535/(COUNTIF($J1535:$Q1535,"x")+1),-$E1535*N(Q1535)))</f>
        <v/>
      </c>
    </row>
    <row r="1536">
      <c r="A1536" s="30" t="n"/>
      <c r="E1536" s="31" t="n"/>
      <c r="J1536" s="32" t="n"/>
      <c r="K1536" s="32" t="n"/>
      <c r="L1536" s="32" t="n"/>
      <c r="M1536" s="32" t="n"/>
      <c r="N1536" s="32" t="n"/>
      <c r="O1536" s="32" t="n"/>
      <c r="P1536" s="32" t="n"/>
      <c r="Q1536" s="32" t="n"/>
      <c r="U1536" s="31">
        <f>IF($A1536="","",SUM(X1536:AE1536))</f>
        <v/>
      </c>
      <c r="V1536" s="31">
        <f>IF($A1536="","",IF($H1536&lt;&gt;"Ausgabe",0,-$E1536-$U1536))</f>
        <v/>
      </c>
      <c r="W1536" s="33">
        <f>IF($A1536="","",DATE(YEAR($A1536),MONTH($A1536),1))</f>
        <v/>
      </c>
      <c r="X1536" s="34">
        <f>IF(OR($A1536="",$H1536&lt;&gt;"Ausgabe",J1536=""),0,IF(J1536="x",-$E1536/(COUNTIF($J1536:$Q1536,"x")+1),-$E1536*N(J1536)))</f>
        <v/>
      </c>
      <c r="Y1536" s="34">
        <f>IF(OR($A1536="",$H1536&lt;&gt;"Ausgabe",K1536=""),0,IF(K1536="x",-$E1536/(COUNTIF($J1536:$Q1536,"x")+1),-$E1536*N(K1536)))</f>
        <v/>
      </c>
      <c r="Z1536" s="34">
        <f>IF(OR($A1536="",$H1536&lt;&gt;"Ausgabe",L1536=""),0,IF(L1536="x",-$E1536/(COUNTIF($J1536:$Q1536,"x")+1),-$E1536*N(L1536)))</f>
        <v/>
      </c>
      <c r="AA1536" s="34">
        <f>IF(OR($A1536="",$H1536&lt;&gt;"Ausgabe",M1536=""),0,IF(M1536="x",-$E1536/(COUNTIF($J1536:$Q1536,"x")+1),-$E1536*N(M1536)))</f>
        <v/>
      </c>
      <c r="AB1536" s="34">
        <f>IF(OR($A1536="",$H1536&lt;&gt;"Ausgabe",N1536=""),0,IF(N1536="x",-$E1536/(COUNTIF($J1536:$Q1536,"x")+1),-$E1536*N(N1536)))</f>
        <v/>
      </c>
      <c r="AC1536" s="34">
        <f>IF(OR($A1536="",$H1536&lt;&gt;"Ausgabe",O1536=""),0,IF(O1536="x",-$E1536/(COUNTIF($J1536:$Q1536,"x")+1),-$E1536*N(O1536)))</f>
        <v/>
      </c>
      <c r="AD1536" s="34">
        <f>IF(OR($A1536="",$H1536&lt;&gt;"Ausgabe",P1536=""),0,IF(P1536="x",-$E1536/(COUNTIF($J1536:$Q1536,"x")+1),-$E1536*N(P1536)))</f>
        <v/>
      </c>
      <c r="AE1536" s="34">
        <f>IF(OR($A1536="",$H1536&lt;&gt;"Ausgabe",Q1536=""),0,IF(Q1536="x",-$E1536/(COUNTIF($J1536:$Q1536,"x")+1),-$E1536*N(Q1536)))</f>
        <v/>
      </c>
    </row>
    <row r="1537">
      <c r="A1537" s="30" t="n"/>
      <c r="E1537" s="31" t="n"/>
      <c r="J1537" s="32" t="n"/>
      <c r="K1537" s="32" t="n"/>
      <c r="L1537" s="32" t="n"/>
      <c r="M1537" s="32" t="n"/>
      <c r="N1537" s="32" t="n"/>
      <c r="O1537" s="32" t="n"/>
      <c r="P1537" s="32" t="n"/>
      <c r="Q1537" s="32" t="n"/>
      <c r="U1537" s="31">
        <f>IF($A1537="","",SUM(X1537:AE1537))</f>
        <v/>
      </c>
      <c r="V1537" s="31">
        <f>IF($A1537="","",IF($H1537&lt;&gt;"Ausgabe",0,-$E1537-$U1537))</f>
        <v/>
      </c>
      <c r="W1537" s="33">
        <f>IF($A1537="","",DATE(YEAR($A1537),MONTH($A1537),1))</f>
        <v/>
      </c>
      <c r="X1537" s="34">
        <f>IF(OR($A1537="",$H1537&lt;&gt;"Ausgabe",J1537=""),0,IF(J1537="x",-$E1537/(COUNTIF($J1537:$Q1537,"x")+1),-$E1537*N(J1537)))</f>
        <v/>
      </c>
      <c r="Y1537" s="34">
        <f>IF(OR($A1537="",$H1537&lt;&gt;"Ausgabe",K1537=""),0,IF(K1537="x",-$E1537/(COUNTIF($J1537:$Q1537,"x")+1),-$E1537*N(K1537)))</f>
        <v/>
      </c>
      <c r="Z1537" s="34">
        <f>IF(OR($A1537="",$H1537&lt;&gt;"Ausgabe",L1537=""),0,IF(L1537="x",-$E1537/(COUNTIF($J1537:$Q1537,"x")+1),-$E1537*N(L1537)))</f>
        <v/>
      </c>
      <c r="AA1537" s="34">
        <f>IF(OR($A1537="",$H1537&lt;&gt;"Ausgabe",M1537=""),0,IF(M1537="x",-$E1537/(COUNTIF($J1537:$Q1537,"x")+1),-$E1537*N(M1537)))</f>
        <v/>
      </c>
      <c r="AB1537" s="34">
        <f>IF(OR($A1537="",$H1537&lt;&gt;"Ausgabe",N1537=""),0,IF(N1537="x",-$E1537/(COUNTIF($J1537:$Q1537,"x")+1),-$E1537*N(N1537)))</f>
        <v/>
      </c>
      <c r="AC1537" s="34">
        <f>IF(OR($A1537="",$H1537&lt;&gt;"Ausgabe",O1537=""),0,IF(O1537="x",-$E1537/(COUNTIF($J1537:$Q1537,"x")+1),-$E1537*N(O1537)))</f>
        <v/>
      </c>
      <c r="AD1537" s="34">
        <f>IF(OR($A1537="",$H1537&lt;&gt;"Ausgabe",P1537=""),0,IF(P1537="x",-$E1537/(COUNTIF($J1537:$Q1537,"x")+1),-$E1537*N(P1537)))</f>
        <v/>
      </c>
      <c r="AE1537" s="34">
        <f>IF(OR($A1537="",$H1537&lt;&gt;"Ausgabe",Q1537=""),0,IF(Q1537="x",-$E1537/(COUNTIF($J1537:$Q1537,"x")+1),-$E1537*N(Q1537)))</f>
        <v/>
      </c>
    </row>
    <row r="1538">
      <c r="A1538" s="30" t="n"/>
      <c r="E1538" s="31" t="n"/>
      <c r="J1538" s="32" t="n"/>
      <c r="K1538" s="32" t="n"/>
      <c r="L1538" s="32" t="n"/>
      <c r="M1538" s="32" t="n"/>
      <c r="N1538" s="32" t="n"/>
      <c r="O1538" s="32" t="n"/>
      <c r="P1538" s="32" t="n"/>
      <c r="Q1538" s="32" t="n"/>
      <c r="U1538" s="31">
        <f>IF($A1538="","",SUM(X1538:AE1538))</f>
        <v/>
      </c>
      <c r="V1538" s="31">
        <f>IF($A1538="","",IF($H1538&lt;&gt;"Ausgabe",0,-$E1538-$U1538))</f>
        <v/>
      </c>
      <c r="W1538" s="33">
        <f>IF($A1538="","",DATE(YEAR($A1538),MONTH($A1538),1))</f>
        <v/>
      </c>
      <c r="X1538" s="34">
        <f>IF(OR($A1538="",$H1538&lt;&gt;"Ausgabe",J1538=""),0,IF(J1538="x",-$E1538/(COUNTIF($J1538:$Q1538,"x")+1),-$E1538*N(J1538)))</f>
        <v/>
      </c>
      <c r="Y1538" s="34">
        <f>IF(OR($A1538="",$H1538&lt;&gt;"Ausgabe",K1538=""),0,IF(K1538="x",-$E1538/(COUNTIF($J1538:$Q1538,"x")+1),-$E1538*N(K1538)))</f>
        <v/>
      </c>
      <c r="Z1538" s="34">
        <f>IF(OR($A1538="",$H1538&lt;&gt;"Ausgabe",L1538=""),0,IF(L1538="x",-$E1538/(COUNTIF($J1538:$Q1538,"x")+1),-$E1538*N(L1538)))</f>
        <v/>
      </c>
      <c r="AA1538" s="34">
        <f>IF(OR($A1538="",$H1538&lt;&gt;"Ausgabe",M1538=""),0,IF(M1538="x",-$E1538/(COUNTIF($J1538:$Q1538,"x")+1),-$E1538*N(M1538)))</f>
        <v/>
      </c>
      <c r="AB1538" s="34">
        <f>IF(OR($A1538="",$H1538&lt;&gt;"Ausgabe",N1538=""),0,IF(N1538="x",-$E1538/(COUNTIF($J1538:$Q1538,"x")+1),-$E1538*N(N1538)))</f>
        <v/>
      </c>
      <c r="AC1538" s="34">
        <f>IF(OR($A1538="",$H1538&lt;&gt;"Ausgabe",O1538=""),0,IF(O1538="x",-$E1538/(COUNTIF($J1538:$Q1538,"x")+1),-$E1538*N(O1538)))</f>
        <v/>
      </c>
      <c r="AD1538" s="34">
        <f>IF(OR($A1538="",$H1538&lt;&gt;"Ausgabe",P1538=""),0,IF(P1538="x",-$E1538/(COUNTIF($J1538:$Q1538,"x")+1),-$E1538*N(P1538)))</f>
        <v/>
      </c>
      <c r="AE1538" s="34">
        <f>IF(OR($A1538="",$H1538&lt;&gt;"Ausgabe",Q1538=""),0,IF(Q1538="x",-$E1538/(COUNTIF($J1538:$Q1538,"x")+1),-$E1538*N(Q1538)))</f>
        <v/>
      </c>
    </row>
    <row r="1539">
      <c r="A1539" s="30" t="n"/>
      <c r="E1539" s="31" t="n"/>
      <c r="J1539" s="32" t="n"/>
      <c r="K1539" s="32" t="n"/>
      <c r="L1539" s="32" t="n"/>
      <c r="M1539" s="32" t="n"/>
      <c r="N1539" s="32" t="n"/>
      <c r="O1539" s="32" t="n"/>
      <c r="P1539" s="32" t="n"/>
      <c r="Q1539" s="32" t="n"/>
      <c r="U1539" s="31">
        <f>IF($A1539="","",SUM(X1539:AE1539))</f>
        <v/>
      </c>
      <c r="V1539" s="31">
        <f>IF($A1539="","",IF($H1539&lt;&gt;"Ausgabe",0,-$E1539-$U1539))</f>
        <v/>
      </c>
      <c r="W1539" s="33">
        <f>IF($A1539="","",DATE(YEAR($A1539),MONTH($A1539),1))</f>
        <v/>
      </c>
      <c r="X1539" s="34">
        <f>IF(OR($A1539="",$H1539&lt;&gt;"Ausgabe",J1539=""),0,IF(J1539="x",-$E1539/(COUNTIF($J1539:$Q1539,"x")+1),-$E1539*N(J1539)))</f>
        <v/>
      </c>
      <c r="Y1539" s="34">
        <f>IF(OR($A1539="",$H1539&lt;&gt;"Ausgabe",K1539=""),0,IF(K1539="x",-$E1539/(COUNTIF($J1539:$Q1539,"x")+1),-$E1539*N(K1539)))</f>
        <v/>
      </c>
      <c r="Z1539" s="34">
        <f>IF(OR($A1539="",$H1539&lt;&gt;"Ausgabe",L1539=""),0,IF(L1539="x",-$E1539/(COUNTIF($J1539:$Q1539,"x")+1),-$E1539*N(L1539)))</f>
        <v/>
      </c>
      <c r="AA1539" s="34">
        <f>IF(OR($A1539="",$H1539&lt;&gt;"Ausgabe",M1539=""),0,IF(M1539="x",-$E1539/(COUNTIF($J1539:$Q1539,"x")+1),-$E1539*N(M1539)))</f>
        <v/>
      </c>
      <c r="AB1539" s="34">
        <f>IF(OR($A1539="",$H1539&lt;&gt;"Ausgabe",N1539=""),0,IF(N1539="x",-$E1539/(COUNTIF($J1539:$Q1539,"x")+1),-$E1539*N(N1539)))</f>
        <v/>
      </c>
      <c r="AC1539" s="34">
        <f>IF(OR($A1539="",$H1539&lt;&gt;"Ausgabe",O1539=""),0,IF(O1539="x",-$E1539/(COUNTIF($J1539:$Q1539,"x")+1),-$E1539*N(O1539)))</f>
        <v/>
      </c>
      <c r="AD1539" s="34">
        <f>IF(OR($A1539="",$H1539&lt;&gt;"Ausgabe",P1539=""),0,IF(P1539="x",-$E1539/(COUNTIF($J1539:$Q1539,"x")+1),-$E1539*N(P1539)))</f>
        <v/>
      </c>
      <c r="AE1539" s="34">
        <f>IF(OR($A1539="",$H1539&lt;&gt;"Ausgabe",Q1539=""),0,IF(Q1539="x",-$E1539/(COUNTIF($J1539:$Q1539,"x")+1),-$E1539*N(Q1539)))</f>
        <v/>
      </c>
    </row>
    <row r="1540">
      <c r="A1540" s="30" t="n"/>
      <c r="E1540" s="31" t="n"/>
      <c r="J1540" s="32" t="n"/>
      <c r="K1540" s="32" t="n"/>
      <c r="L1540" s="32" t="n"/>
      <c r="M1540" s="32" t="n"/>
      <c r="N1540" s="32" t="n"/>
      <c r="O1540" s="32" t="n"/>
      <c r="P1540" s="32" t="n"/>
      <c r="Q1540" s="32" t="n"/>
      <c r="U1540" s="31">
        <f>IF($A1540="","",SUM(X1540:AE1540))</f>
        <v/>
      </c>
      <c r="V1540" s="31">
        <f>IF($A1540="","",IF($H1540&lt;&gt;"Ausgabe",0,-$E1540-$U1540))</f>
        <v/>
      </c>
      <c r="W1540" s="33">
        <f>IF($A1540="","",DATE(YEAR($A1540),MONTH($A1540),1))</f>
        <v/>
      </c>
      <c r="X1540" s="34">
        <f>IF(OR($A1540="",$H1540&lt;&gt;"Ausgabe",J1540=""),0,IF(J1540="x",-$E1540/(COUNTIF($J1540:$Q1540,"x")+1),-$E1540*N(J1540)))</f>
        <v/>
      </c>
      <c r="Y1540" s="34">
        <f>IF(OR($A1540="",$H1540&lt;&gt;"Ausgabe",K1540=""),0,IF(K1540="x",-$E1540/(COUNTIF($J1540:$Q1540,"x")+1),-$E1540*N(K1540)))</f>
        <v/>
      </c>
      <c r="Z1540" s="34">
        <f>IF(OR($A1540="",$H1540&lt;&gt;"Ausgabe",L1540=""),0,IF(L1540="x",-$E1540/(COUNTIF($J1540:$Q1540,"x")+1),-$E1540*N(L1540)))</f>
        <v/>
      </c>
      <c r="AA1540" s="34">
        <f>IF(OR($A1540="",$H1540&lt;&gt;"Ausgabe",M1540=""),0,IF(M1540="x",-$E1540/(COUNTIF($J1540:$Q1540,"x")+1),-$E1540*N(M1540)))</f>
        <v/>
      </c>
      <c r="AB1540" s="34">
        <f>IF(OR($A1540="",$H1540&lt;&gt;"Ausgabe",N1540=""),0,IF(N1540="x",-$E1540/(COUNTIF($J1540:$Q1540,"x")+1),-$E1540*N(N1540)))</f>
        <v/>
      </c>
      <c r="AC1540" s="34">
        <f>IF(OR($A1540="",$H1540&lt;&gt;"Ausgabe",O1540=""),0,IF(O1540="x",-$E1540/(COUNTIF($J1540:$Q1540,"x")+1),-$E1540*N(O1540)))</f>
        <v/>
      </c>
      <c r="AD1540" s="34">
        <f>IF(OR($A1540="",$H1540&lt;&gt;"Ausgabe",P1540=""),0,IF(P1540="x",-$E1540/(COUNTIF($J1540:$Q1540,"x")+1),-$E1540*N(P1540)))</f>
        <v/>
      </c>
      <c r="AE1540" s="34">
        <f>IF(OR($A1540="",$H1540&lt;&gt;"Ausgabe",Q1540=""),0,IF(Q1540="x",-$E1540/(COUNTIF($J1540:$Q1540,"x")+1),-$E1540*N(Q1540)))</f>
        <v/>
      </c>
    </row>
    <row r="1541">
      <c r="A1541" s="30" t="n"/>
      <c r="E1541" s="31" t="n"/>
      <c r="J1541" s="32" t="n"/>
      <c r="K1541" s="32" t="n"/>
      <c r="L1541" s="32" t="n"/>
      <c r="M1541" s="32" t="n"/>
      <c r="N1541" s="32" t="n"/>
      <c r="O1541" s="32" t="n"/>
      <c r="P1541" s="32" t="n"/>
      <c r="Q1541" s="32" t="n"/>
      <c r="U1541" s="31">
        <f>IF($A1541="","",SUM(X1541:AE1541))</f>
        <v/>
      </c>
      <c r="V1541" s="31">
        <f>IF($A1541="","",IF($H1541&lt;&gt;"Ausgabe",0,-$E1541-$U1541))</f>
        <v/>
      </c>
      <c r="W1541" s="33">
        <f>IF($A1541="","",DATE(YEAR($A1541),MONTH($A1541),1))</f>
        <v/>
      </c>
      <c r="X1541" s="34">
        <f>IF(OR($A1541="",$H1541&lt;&gt;"Ausgabe",J1541=""),0,IF(J1541="x",-$E1541/(COUNTIF($J1541:$Q1541,"x")+1),-$E1541*N(J1541)))</f>
        <v/>
      </c>
      <c r="Y1541" s="34">
        <f>IF(OR($A1541="",$H1541&lt;&gt;"Ausgabe",K1541=""),0,IF(K1541="x",-$E1541/(COUNTIF($J1541:$Q1541,"x")+1),-$E1541*N(K1541)))</f>
        <v/>
      </c>
      <c r="Z1541" s="34">
        <f>IF(OR($A1541="",$H1541&lt;&gt;"Ausgabe",L1541=""),0,IF(L1541="x",-$E1541/(COUNTIF($J1541:$Q1541,"x")+1),-$E1541*N(L1541)))</f>
        <v/>
      </c>
      <c r="AA1541" s="34">
        <f>IF(OR($A1541="",$H1541&lt;&gt;"Ausgabe",M1541=""),0,IF(M1541="x",-$E1541/(COUNTIF($J1541:$Q1541,"x")+1),-$E1541*N(M1541)))</f>
        <v/>
      </c>
      <c r="AB1541" s="34">
        <f>IF(OR($A1541="",$H1541&lt;&gt;"Ausgabe",N1541=""),0,IF(N1541="x",-$E1541/(COUNTIF($J1541:$Q1541,"x")+1),-$E1541*N(N1541)))</f>
        <v/>
      </c>
      <c r="AC1541" s="34">
        <f>IF(OR($A1541="",$H1541&lt;&gt;"Ausgabe",O1541=""),0,IF(O1541="x",-$E1541/(COUNTIF($J1541:$Q1541,"x")+1),-$E1541*N(O1541)))</f>
        <v/>
      </c>
      <c r="AD1541" s="34">
        <f>IF(OR($A1541="",$H1541&lt;&gt;"Ausgabe",P1541=""),0,IF(P1541="x",-$E1541/(COUNTIF($J1541:$Q1541,"x")+1),-$E1541*N(P1541)))</f>
        <v/>
      </c>
      <c r="AE1541" s="34">
        <f>IF(OR($A1541="",$H1541&lt;&gt;"Ausgabe",Q1541=""),0,IF(Q1541="x",-$E1541/(COUNTIF($J1541:$Q1541,"x")+1),-$E1541*N(Q1541)))</f>
        <v/>
      </c>
    </row>
    <row r="1542">
      <c r="A1542" s="30" t="n"/>
      <c r="E1542" s="31" t="n"/>
      <c r="J1542" s="32" t="n"/>
      <c r="K1542" s="32" t="n"/>
      <c r="L1542" s="32" t="n"/>
      <c r="M1542" s="32" t="n"/>
      <c r="N1542" s="32" t="n"/>
      <c r="O1542" s="32" t="n"/>
      <c r="P1542" s="32" t="n"/>
      <c r="Q1542" s="32" t="n"/>
      <c r="U1542" s="31">
        <f>IF($A1542="","",SUM(X1542:AE1542))</f>
        <v/>
      </c>
      <c r="V1542" s="31">
        <f>IF($A1542="","",IF($H1542&lt;&gt;"Ausgabe",0,-$E1542-$U1542))</f>
        <v/>
      </c>
      <c r="W1542" s="33">
        <f>IF($A1542="","",DATE(YEAR($A1542),MONTH($A1542),1))</f>
        <v/>
      </c>
      <c r="X1542" s="34">
        <f>IF(OR($A1542="",$H1542&lt;&gt;"Ausgabe",J1542=""),0,IF(J1542="x",-$E1542/(COUNTIF($J1542:$Q1542,"x")+1),-$E1542*N(J1542)))</f>
        <v/>
      </c>
      <c r="Y1542" s="34">
        <f>IF(OR($A1542="",$H1542&lt;&gt;"Ausgabe",K1542=""),0,IF(K1542="x",-$E1542/(COUNTIF($J1542:$Q1542,"x")+1),-$E1542*N(K1542)))</f>
        <v/>
      </c>
      <c r="Z1542" s="34">
        <f>IF(OR($A1542="",$H1542&lt;&gt;"Ausgabe",L1542=""),0,IF(L1542="x",-$E1542/(COUNTIF($J1542:$Q1542,"x")+1),-$E1542*N(L1542)))</f>
        <v/>
      </c>
      <c r="AA1542" s="34">
        <f>IF(OR($A1542="",$H1542&lt;&gt;"Ausgabe",M1542=""),0,IF(M1542="x",-$E1542/(COUNTIF($J1542:$Q1542,"x")+1),-$E1542*N(M1542)))</f>
        <v/>
      </c>
      <c r="AB1542" s="34">
        <f>IF(OR($A1542="",$H1542&lt;&gt;"Ausgabe",N1542=""),0,IF(N1542="x",-$E1542/(COUNTIF($J1542:$Q1542,"x")+1),-$E1542*N(N1542)))</f>
        <v/>
      </c>
      <c r="AC1542" s="34">
        <f>IF(OR($A1542="",$H1542&lt;&gt;"Ausgabe",O1542=""),0,IF(O1542="x",-$E1542/(COUNTIF($J1542:$Q1542,"x")+1),-$E1542*N(O1542)))</f>
        <v/>
      </c>
      <c r="AD1542" s="34">
        <f>IF(OR($A1542="",$H1542&lt;&gt;"Ausgabe",P1542=""),0,IF(P1542="x",-$E1542/(COUNTIF($J1542:$Q1542,"x")+1),-$E1542*N(P1542)))</f>
        <v/>
      </c>
      <c r="AE1542" s="34">
        <f>IF(OR($A1542="",$H1542&lt;&gt;"Ausgabe",Q1542=""),0,IF(Q1542="x",-$E1542/(COUNTIF($J1542:$Q1542,"x")+1),-$E1542*N(Q1542)))</f>
        <v/>
      </c>
    </row>
    <row r="1543">
      <c r="A1543" s="30" t="n"/>
      <c r="E1543" s="31" t="n"/>
      <c r="J1543" s="32" t="n"/>
      <c r="K1543" s="32" t="n"/>
      <c r="L1543" s="32" t="n"/>
      <c r="M1543" s="32" t="n"/>
      <c r="N1543" s="32" t="n"/>
      <c r="O1543" s="32" t="n"/>
      <c r="P1543" s="32" t="n"/>
      <c r="Q1543" s="32" t="n"/>
      <c r="U1543" s="31">
        <f>IF($A1543="","",SUM(X1543:AE1543))</f>
        <v/>
      </c>
      <c r="V1543" s="31">
        <f>IF($A1543="","",IF($H1543&lt;&gt;"Ausgabe",0,-$E1543-$U1543))</f>
        <v/>
      </c>
      <c r="W1543" s="33">
        <f>IF($A1543="","",DATE(YEAR($A1543),MONTH($A1543),1))</f>
        <v/>
      </c>
      <c r="X1543" s="34">
        <f>IF(OR($A1543="",$H1543&lt;&gt;"Ausgabe",J1543=""),0,IF(J1543="x",-$E1543/(COUNTIF($J1543:$Q1543,"x")+1),-$E1543*N(J1543)))</f>
        <v/>
      </c>
      <c r="Y1543" s="34">
        <f>IF(OR($A1543="",$H1543&lt;&gt;"Ausgabe",K1543=""),0,IF(K1543="x",-$E1543/(COUNTIF($J1543:$Q1543,"x")+1),-$E1543*N(K1543)))</f>
        <v/>
      </c>
      <c r="Z1543" s="34">
        <f>IF(OR($A1543="",$H1543&lt;&gt;"Ausgabe",L1543=""),0,IF(L1543="x",-$E1543/(COUNTIF($J1543:$Q1543,"x")+1),-$E1543*N(L1543)))</f>
        <v/>
      </c>
      <c r="AA1543" s="34">
        <f>IF(OR($A1543="",$H1543&lt;&gt;"Ausgabe",M1543=""),0,IF(M1543="x",-$E1543/(COUNTIF($J1543:$Q1543,"x")+1),-$E1543*N(M1543)))</f>
        <v/>
      </c>
      <c r="AB1543" s="34">
        <f>IF(OR($A1543="",$H1543&lt;&gt;"Ausgabe",N1543=""),0,IF(N1543="x",-$E1543/(COUNTIF($J1543:$Q1543,"x")+1),-$E1543*N(N1543)))</f>
        <v/>
      </c>
      <c r="AC1543" s="34">
        <f>IF(OR($A1543="",$H1543&lt;&gt;"Ausgabe",O1543=""),0,IF(O1543="x",-$E1543/(COUNTIF($J1543:$Q1543,"x")+1),-$E1543*N(O1543)))</f>
        <v/>
      </c>
      <c r="AD1543" s="34">
        <f>IF(OR($A1543="",$H1543&lt;&gt;"Ausgabe",P1543=""),0,IF(P1543="x",-$E1543/(COUNTIF($J1543:$Q1543,"x")+1),-$E1543*N(P1543)))</f>
        <v/>
      </c>
      <c r="AE1543" s="34">
        <f>IF(OR($A1543="",$H1543&lt;&gt;"Ausgabe",Q1543=""),0,IF(Q1543="x",-$E1543/(COUNTIF($J1543:$Q1543,"x")+1),-$E1543*N(Q1543)))</f>
        <v/>
      </c>
    </row>
    <row r="1544">
      <c r="A1544" s="30" t="n"/>
      <c r="E1544" s="31" t="n"/>
      <c r="J1544" s="32" t="n"/>
      <c r="K1544" s="32" t="n"/>
      <c r="L1544" s="32" t="n"/>
      <c r="M1544" s="32" t="n"/>
      <c r="N1544" s="32" t="n"/>
      <c r="O1544" s="32" t="n"/>
      <c r="P1544" s="32" t="n"/>
      <c r="Q1544" s="32" t="n"/>
      <c r="U1544" s="31">
        <f>IF($A1544="","",SUM(X1544:AE1544))</f>
        <v/>
      </c>
      <c r="V1544" s="31">
        <f>IF($A1544="","",IF($H1544&lt;&gt;"Ausgabe",0,-$E1544-$U1544))</f>
        <v/>
      </c>
      <c r="W1544" s="33">
        <f>IF($A1544="","",DATE(YEAR($A1544),MONTH($A1544),1))</f>
        <v/>
      </c>
      <c r="X1544" s="34">
        <f>IF(OR($A1544="",$H1544&lt;&gt;"Ausgabe",J1544=""),0,IF(J1544="x",-$E1544/(COUNTIF($J1544:$Q1544,"x")+1),-$E1544*N(J1544)))</f>
        <v/>
      </c>
      <c r="Y1544" s="34">
        <f>IF(OR($A1544="",$H1544&lt;&gt;"Ausgabe",K1544=""),0,IF(K1544="x",-$E1544/(COUNTIF($J1544:$Q1544,"x")+1),-$E1544*N(K1544)))</f>
        <v/>
      </c>
      <c r="Z1544" s="34">
        <f>IF(OR($A1544="",$H1544&lt;&gt;"Ausgabe",L1544=""),0,IF(L1544="x",-$E1544/(COUNTIF($J1544:$Q1544,"x")+1),-$E1544*N(L1544)))</f>
        <v/>
      </c>
      <c r="AA1544" s="34">
        <f>IF(OR($A1544="",$H1544&lt;&gt;"Ausgabe",M1544=""),0,IF(M1544="x",-$E1544/(COUNTIF($J1544:$Q1544,"x")+1),-$E1544*N(M1544)))</f>
        <v/>
      </c>
      <c r="AB1544" s="34">
        <f>IF(OR($A1544="",$H1544&lt;&gt;"Ausgabe",N1544=""),0,IF(N1544="x",-$E1544/(COUNTIF($J1544:$Q1544,"x")+1),-$E1544*N(N1544)))</f>
        <v/>
      </c>
      <c r="AC1544" s="34">
        <f>IF(OR($A1544="",$H1544&lt;&gt;"Ausgabe",O1544=""),0,IF(O1544="x",-$E1544/(COUNTIF($J1544:$Q1544,"x")+1),-$E1544*N(O1544)))</f>
        <v/>
      </c>
      <c r="AD1544" s="34">
        <f>IF(OR($A1544="",$H1544&lt;&gt;"Ausgabe",P1544=""),0,IF(P1544="x",-$E1544/(COUNTIF($J1544:$Q1544,"x")+1),-$E1544*N(P1544)))</f>
        <v/>
      </c>
      <c r="AE1544" s="34">
        <f>IF(OR($A1544="",$H1544&lt;&gt;"Ausgabe",Q1544=""),0,IF(Q1544="x",-$E1544/(COUNTIF($J1544:$Q1544,"x")+1),-$E1544*N(Q1544)))</f>
        <v/>
      </c>
    </row>
    <row r="1545">
      <c r="A1545" s="30" t="n"/>
      <c r="E1545" s="31" t="n"/>
      <c r="J1545" s="32" t="n"/>
      <c r="K1545" s="32" t="n"/>
      <c r="L1545" s="32" t="n"/>
      <c r="M1545" s="32" t="n"/>
      <c r="N1545" s="32" t="n"/>
      <c r="O1545" s="32" t="n"/>
      <c r="P1545" s="32" t="n"/>
      <c r="Q1545" s="32" t="n"/>
      <c r="U1545" s="31">
        <f>IF($A1545="","",SUM(X1545:AE1545))</f>
        <v/>
      </c>
      <c r="V1545" s="31">
        <f>IF($A1545="","",IF($H1545&lt;&gt;"Ausgabe",0,-$E1545-$U1545))</f>
        <v/>
      </c>
      <c r="W1545" s="33">
        <f>IF($A1545="","",DATE(YEAR($A1545),MONTH($A1545),1))</f>
        <v/>
      </c>
      <c r="X1545" s="34">
        <f>IF(OR($A1545="",$H1545&lt;&gt;"Ausgabe",J1545=""),0,IF(J1545="x",-$E1545/(COUNTIF($J1545:$Q1545,"x")+1),-$E1545*N(J1545)))</f>
        <v/>
      </c>
      <c r="Y1545" s="34">
        <f>IF(OR($A1545="",$H1545&lt;&gt;"Ausgabe",K1545=""),0,IF(K1545="x",-$E1545/(COUNTIF($J1545:$Q1545,"x")+1),-$E1545*N(K1545)))</f>
        <v/>
      </c>
      <c r="Z1545" s="34">
        <f>IF(OR($A1545="",$H1545&lt;&gt;"Ausgabe",L1545=""),0,IF(L1545="x",-$E1545/(COUNTIF($J1545:$Q1545,"x")+1),-$E1545*N(L1545)))</f>
        <v/>
      </c>
      <c r="AA1545" s="34">
        <f>IF(OR($A1545="",$H1545&lt;&gt;"Ausgabe",M1545=""),0,IF(M1545="x",-$E1545/(COUNTIF($J1545:$Q1545,"x")+1),-$E1545*N(M1545)))</f>
        <v/>
      </c>
      <c r="AB1545" s="34">
        <f>IF(OR($A1545="",$H1545&lt;&gt;"Ausgabe",N1545=""),0,IF(N1545="x",-$E1545/(COUNTIF($J1545:$Q1545,"x")+1),-$E1545*N(N1545)))</f>
        <v/>
      </c>
      <c r="AC1545" s="34">
        <f>IF(OR($A1545="",$H1545&lt;&gt;"Ausgabe",O1545=""),0,IF(O1545="x",-$E1545/(COUNTIF($J1545:$Q1545,"x")+1),-$E1545*N(O1545)))</f>
        <v/>
      </c>
      <c r="AD1545" s="34">
        <f>IF(OR($A1545="",$H1545&lt;&gt;"Ausgabe",P1545=""),0,IF(P1545="x",-$E1545/(COUNTIF($J1545:$Q1545,"x")+1),-$E1545*N(P1545)))</f>
        <v/>
      </c>
      <c r="AE1545" s="34">
        <f>IF(OR($A1545="",$H1545&lt;&gt;"Ausgabe",Q1545=""),0,IF(Q1545="x",-$E1545/(COUNTIF($J1545:$Q1545,"x")+1),-$E1545*N(Q1545)))</f>
        <v/>
      </c>
    </row>
    <row r="1546">
      <c r="A1546" s="30" t="n"/>
      <c r="E1546" s="31" t="n"/>
      <c r="J1546" s="32" t="n"/>
      <c r="K1546" s="32" t="n"/>
      <c r="L1546" s="32" t="n"/>
      <c r="M1546" s="32" t="n"/>
      <c r="N1546" s="32" t="n"/>
      <c r="O1546" s="32" t="n"/>
      <c r="P1546" s="32" t="n"/>
      <c r="Q1546" s="32" t="n"/>
      <c r="U1546" s="31">
        <f>IF($A1546="","",SUM(X1546:AE1546))</f>
        <v/>
      </c>
      <c r="V1546" s="31">
        <f>IF($A1546="","",IF($H1546&lt;&gt;"Ausgabe",0,-$E1546-$U1546))</f>
        <v/>
      </c>
      <c r="W1546" s="33">
        <f>IF($A1546="","",DATE(YEAR($A1546),MONTH($A1546),1))</f>
        <v/>
      </c>
      <c r="X1546" s="34">
        <f>IF(OR($A1546="",$H1546&lt;&gt;"Ausgabe",J1546=""),0,IF(J1546="x",-$E1546/(COUNTIF($J1546:$Q1546,"x")+1),-$E1546*N(J1546)))</f>
        <v/>
      </c>
      <c r="Y1546" s="34">
        <f>IF(OR($A1546="",$H1546&lt;&gt;"Ausgabe",K1546=""),0,IF(K1546="x",-$E1546/(COUNTIF($J1546:$Q1546,"x")+1),-$E1546*N(K1546)))</f>
        <v/>
      </c>
      <c r="Z1546" s="34">
        <f>IF(OR($A1546="",$H1546&lt;&gt;"Ausgabe",L1546=""),0,IF(L1546="x",-$E1546/(COUNTIF($J1546:$Q1546,"x")+1),-$E1546*N(L1546)))</f>
        <v/>
      </c>
      <c r="AA1546" s="34">
        <f>IF(OR($A1546="",$H1546&lt;&gt;"Ausgabe",M1546=""),0,IF(M1546="x",-$E1546/(COUNTIF($J1546:$Q1546,"x")+1),-$E1546*N(M1546)))</f>
        <v/>
      </c>
      <c r="AB1546" s="34">
        <f>IF(OR($A1546="",$H1546&lt;&gt;"Ausgabe",N1546=""),0,IF(N1546="x",-$E1546/(COUNTIF($J1546:$Q1546,"x")+1),-$E1546*N(N1546)))</f>
        <v/>
      </c>
      <c r="AC1546" s="34">
        <f>IF(OR($A1546="",$H1546&lt;&gt;"Ausgabe",O1546=""),0,IF(O1546="x",-$E1546/(COUNTIF($J1546:$Q1546,"x")+1),-$E1546*N(O1546)))</f>
        <v/>
      </c>
      <c r="AD1546" s="34">
        <f>IF(OR($A1546="",$H1546&lt;&gt;"Ausgabe",P1546=""),0,IF(P1546="x",-$E1546/(COUNTIF($J1546:$Q1546,"x")+1),-$E1546*N(P1546)))</f>
        <v/>
      </c>
      <c r="AE1546" s="34">
        <f>IF(OR($A1546="",$H1546&lt;&gt;"Ausgabe",Q1546=""),0,IF(Q1546="x",-$E1546/(COUNTIF($J1546:$Q1546,"x")+1),-$E1546*N(Q1546)))</f>
        <v/>
      </c>
    </row>
    <row r="1547">
      <c r="A1547" s="30" t="n"/>
      <c r="E1547" s="31" t="n"/>
      <c r="J1547" s="32" t="n"/>
      <c r="K1547" s="32" t="n"/>
      <c r="L1547" s="32" t="n"/>
      <c r="M1547" s="32" t="n"/>
      <c r="N1547" s="32" t="n"/>
      <c r="O1547" s="32" t="n"/>
      <c r="P1547" s="32" t="n"/>
      <c r="Q1547" s="32" t="n"/>
      <c r="U1547" s="31">
        <f>IF($A1547="","",SUM(X1547:AE1547))</f>
        <v/>
      </c>
      <c r="V1547" s="31">
        <f>IF($A1547="","",IF($H1547&lt;&gt;"Ausgabe",0,-$E1547-$U1547))</f>
        <v/>
      </c>
      <c r="W1547" s="33">
        <f>IF($A1547="","",DATE(YEAR($A1547),MONTH($A1547),1))</f>
        <v/>
      </c>
      <c r="X1547" s="34">
        <f>IF(OR($A1547="",$H1547&lt;&gt;"Ausgabe",J1547=""),0,IF(J1547="x",-$E1547/(COUNTIF($J1547:$Q1547,"x")+1),-$E1547*N(J1547)))</f>
        <v/>
      </c>
      <c r="Y1547" s="34">
        <f>IF(OR($A1547="",$H1547&lt;&gt;"Ausgabe",K1547=""),0,IF(K1547="x",-$E1547/(COUNTIF($J1547:$Q1547,"x")+1),-$E1547*N(K1547)))</f>
        <v/>
      </c>
      <c r="Z1547" s="34">
        <f>IF(OR($A1547="",$H1547&lt;&gt;"Ausgabe",L1547=""),0,IF(L1547="x",-$E1547/(COUNTIF($J1547:$Q1547,"x")+1),-$E1547*N(L1547)))</f>
        <v/>
      </c>
      <c r="AA1547" s="34">
        <f>IF(OR($A1547="",$H1547&lt;&gt;"Ausgabe",M1547=""),0,IF(M1547="x",-$E1547/(COUNTIF($J1547:$Q1547,"x")+1),-$E1547*N(M1547)))</f>
        <v/>
      </c>
      <c r="AB1547" s="34">
        <f>IF(OR($A1547="",$H1547&lt;&gt;"Ausgabe",N1547=""),0,IF(N1547="x",-$E1547/(COUNTIF($J1547:$Q1547,"x")+1),-$E1547*N(N1547)))</f>
        <v/>
      </c>
      <c r="AC1547" s="34">
        <f>IF(OR($A1547="",$H1547&lt;&gt;"Ausgabe",O1547=""),0,IF(O1547="x",-$E1547/(COUNTIF($J1547:$Q1547,"x")+1),-$E1547*N(O1547)))</f>
        <v/>
      </c>
      <c r="AD1547" s="34">
        <f>IF(OR($A1547="",$H1547&lt;&gt;"Ausgabe",P1547=""),0,IF(P1547="x",-$E1547/(COUNTIF($J1547:$Q1547,"x")+1),-$E1547*N(P1547)))</f>
        <v/>
      </c>
      <c r="AE1547" s="34">
        <f>IF(OR($A1547="",$H1547&lt;&gt;"Ausgabe",Q1547=""),0,IF(Q1547="x",-$E1547/(COUNTIF($J1547:$Q1547,"x")+1),-$E1547*N(Q1547)))</f>
        <v/>
      </c>
    </row>
    <row r="1548">
      <c r="A1548" s="30" t="n"/>
      <c r="E1548" s="31" t="n"/>
      <c r="J1548" s="32" t="n"/>
      <c r="K1548" s="32" t="n"/>
      <c r="L1548" s="32" t="n"/>
      <c r="M1548" s="32" t="n"/>
      <c r="N1548" s="32" t="n"/>
      <c r="O1548" s="32" t="n"/>
      <c r="P1548" s="32" t="n"/>
      <c r="Q1548" s="32" t="n"/>
      <c r="U1548" s="31">
        <f>IF($A1548="","",SUM(X1548:AE1548))</f>
        <v/>
      </c>
      <c r="V1548" s="31">
        <f>IF($A1548="","",IF($H1548&lt;&gt;"Ausgabe",0,-$E1548-$U1548))</f>
        <v/>
      </c>
      <c r="W1548" s="33">
        <f>IF($A1548="","",DATE(YEAR($A1548),MONTH($A1548),1))</f>
        <v/>
      </c>
      <c r="X1548" s="34">
        <f>IF(OR($A1548="",$H1548&lt;&gt;"Ausgabe",J1548=""),0,IF(J1548="x",-$E1548/(COUNTIF($J1548:$Q1548,"x")+1),-$E1548*N(J1548)))</f>
        <v/>
      </c>
      <c r="Y1548" s="34">
        <f>IF(OR($A1548="",$H1548&lt;&gt;"Ausgabe",K1548=""),0,IF(K1548="x",-$E1548/(COUNTIF($J1548:$Q1548,"x")+1),-$E1548*N(K1548)))</f>
        <v/>
      </c>
      <c r="Z1548" s="34">
        <f>IF(OR($A1548="",$H1548&lt;&gt;"Ausgabe",L1548=""),0,IF(L1548="x",-$E1548/(COUNTIF($J1548:$Q1548,"x")+1),-$E1548*N(L1548)))</f>
        <v/>
      </c>
      <c r="AA1548" s="34">
        <f>IF(OR($A1548="",$H1548&lt;&gt;"Ausgabe",M1548=""),0,IF(M1548="x",-$E1548/(COUNTIF($J1548:$Q1548,"x")+1),-$E1548*N(M1548)))</f>
        <v/>
      </c>
      <c r="AB1548" s="34">
        <f>IF(OR($A1548="",$H1548&lt;&gt;"Ausgabe",N1548=""),0,IF(N1548="x",-$E1548/(COUNTIF($J1548:$Q1548,"x")+1),-$E1548*N(N1548)))</f>
        <v/>
      </c>
      <c r="AC1548" s="34">
        <f>IF(OR($A1548="",$H1548&lt;&gt;"Ausgabe",O1548=""),0,IF(O1548="x",-$E1548/(COUNTIF($J1548:$Q1548,"x")+1),-$E1548*N(O1548)))</f>
        <v/>
      </c>
      <c r="AD1548" s="34">
        <f>IF(OR($A1548="",$H1548&lt;&gt;"Ausgabe",P1548=""),0,IF(P1548="x",-$E1548/(COUNTIF($J1548:$Q1548,"x")+1),-$E1548*N(P1548)))</f>
        <v/>
      </c>
      <c r="AE1548" s="34">
        <f>IF(OR($A1548="",$H1548&lt;&gt;"Ausgabe",Q1548=""),0,IF(Q1548="x",-$E1548/(COUNTIF($J1548:$Q1548,"x")+1),-$E1548*N(Q1548)))</f>
        <v/>
      </c>
    </row>
    <row r="1549">
      <c r="A1549" s="30" t="n"/>
      <c r="E1549" s="31" t="n"/>
      <c r="J1549" s="32" t="n"/>
      <c r="K1549" s="32" t="n"/>
      <c r="L1549" s="32" t="n"/>
      <c r="M1549" s="32" t="n"/>
      <c r="N1549" s="32" t="n"/>
      <c r="O1549" s="32" t="n"/>
      <c r="P1549" s="32" t="n"/>
      <c r="Q1549" s="32" t="n"/>
      <c r="U1549" s="31">
        <f>IF($A1549="","",SUM(X1549:AE1549))</f>
        <v/>
      </c>
      <c r="V1549" s="31">
        <f>IF($A1549="","",IF($H1549&lt;&gt;"Ausgabe",0,-$E1549-$U1549))</f>
        <v/>
      </c>
      <c r="W1549" s="33">
        <f>IF($A1549="","",DATE(YEAR($A1549),MONTH($A1549),1))</f>
        <v/>
      </c>
      <c r="X1549" s="34">
        <f>IF(OR($A1549="",$H1549&lt;&gt;"Ausgabe",J1549=""),0,IF(J1549="x",-$E1549/(COUNTIF($J1549:$Q1549,"x")+1),-$E1549*N(J1549)))</f>
        <v/>
      </c>
      <c r="Y1549" s="34">
        <f>IF(OR($A1549="",$H1549&lt;&gt;"Ausgabe",K1549=""),0,IF(K1549="x",-$E1549/(COUNTIF($J1549:$Q1549,"x")+1),-$E1549*N(K1549)))</f>
        <v/>
      </c>
      <c r="Z1549" s="34">
        <f>IF(OR($A1549="",$H1549&lt;&gt;"Ausgabe",L1549=""),0,IF(L1549="x",-$E1549/(COUNTIF($J1549:$Q1549,"x")+1),-$E1549*N(L1549)))</f>
        <v/>
      </c>
      <c r="AA1549" s="34">
        <f>IF(OR($A1549="",$H1549&lt;&gt;"Ausgabe",M1549=""),0,IF(M1549="x",-$E1549/(COUNTIF($J1549:$Q1549,"x")+1),-$E1549*N(M1549)))</f>
        <v/>
      </c>
      <c r="AB1549" s="34">
        <f>IF(OR($A1549="",$H1549&lt;&gt;"Ausgabe",N1549=""),0,IF(N1549="x",-$E1549/(COUNTIF($J1549:$Q1549,"x")+1),-$E1549*N(N1549)))</f>
        <v/>
      </c>
      <c r="AC1549" s="34">
        <f>IF(OR($A1549="",$H1549&lt;&gt;"Ausgabe",O1549=""),0,IF(O1549="x",-$E1549/(COUNTIF($J1549:$Q1549,"x")+1),-$E1549*N(O1549)))</f>
        <v/>
      </c>
      <c r="AD1549" s="34">
        <f>IF(OR($A1549="",$H1549&lt;&gt;"Ausgabe",P1549=""),0,IF(P1549="x",-$E1549/(COUNTIF($J1549:$Q1549,"x")+1),-$E1549*N(P1549)))</f>
        <v/>
      </c>
      <c r="AE1549" s="34">
        <f>IF(OR($A1549="",$H1549&lt;&gt;"Ausgabe",Q1549=""),0,IF(Q1549="x",-$E1549/(COUNTIF($J1549:$Q1549,"x")+1),-$E1549*N(Q1549)))</f>
        <v/>
      </c>
    </row>
    <row r="1550">
      <c r="A1550" s="30" t="n"/>
      <c r="E1550" s="31" t="n"/>
      <c r="J1550" s="32" t="n"/>
      <c r="K1550" s="32" t="n"/>
      <c r="L1550" s="32" t="n"/>
      <c r="M1550" s="32" t="n"/>
      <c r="N1550" s="32" t="n"/>
      <c r="O1550" s="32" t="n"/>
      <c r="P1550" s="32" t="n"/>
      <c r="Q1550" s="32" t="n"/>
      <c r="U1550" s="31">
        <f>IF($A1550="","",SUM(X1550:AE1550))</f>
        <v/>
      </c>
      <c r="V1550" s="31">
        <f>IF($A1550="","",IF($H1550&lt;&gt;"Ausgabe",0,-$E1550-$U1550))</f>
        <v/>
      </c>
      <c r="W1550" s="33">
        <f>IF($A1550="","",DATE(YEAR($A1550),MONTH($A1550),1))</f>
        <v/>
      </c>
      <c r="X1550" s="34">
        <f>IF(OR($A1550="",$H1550&lt;&gt;"Ausgabe",J1550=""),0,IF(J1550="x",-$E1550/(COUNTIF($J1550:$Q1550,"x")+1),-$E1550*N(J1550)))</f>
        <v/>
      </c>
      <c r="Y1550" s="34">
        <f>IF(OR($A1550="",$H1550&lt;&gt;"Ausgabe",K1550=""),0,IF(K1550="x",-$E1550/(COUNTIF($J1550:$Q1550,"x")+1),-$E1550*N(K1550)))</f>
        <v/>
      </c>
      <c r="Z1550" s="34">
        <f>IF(OR($A1550="",$H1550&lt;&gt;"Ausgabe",L1550=""),0,IF(L1550="x",-$E1550/(COUNTIF($J1550:$Q1550,"x")+1),-$E1550*N(L1550)))</f>
        <v/>
      </c>
      <c r="AA1550" s="34">
        <f>IF(OR($A1550="",$H1550&lt;&gt;"Ausgabe",M1550=""),0,IF(M1550="x",-$E1550/(COUNTIF($J1550:$Q1550,"x")+1),-$E1550*N(M1550)))</f>
        <v/>
      </c>
      <c r="AB1550" s="34">
        <f>IF(OR($A1550="",$H1550&lt;&gt;"Ausgabe",N1550=""),0,IF(N1550="x",-$E1550/(COUNTIF($J1550:$Q1550,"x")+1),-$E1550*N(N1550)))</f>
        <v/>
      </c>
      <c r="AC1550" s="34">
        <f>IF(OR($A1550="",$H1550&lt;&gt;"Ausgabe",O1550=""),0,IF(O1550="x",-$E1550/(COUNTIF($J1550:$Q1550,"x")+1),-$E1550*N(O1550)))</f>
        <v/>
      </c>
      <c r="AD1550" s="34">
        <f>IF(OR($A1550="",$H1550&lt;&gt;"Ausgabe",P1550=""),0,IF(P1550="x",-$E1550/(COUNTIF($J1550:$Q1550,"x")+1),-$E1550*N(P1550)))</f>
        <v/>
      </c>
      <c r="AE1550" s="34">
        <f>IF(OR($A1550="",$H1550&lt;&gt;"Ausgabe",Q1550=""),0,IF(Q1550="x",-$E1550/(COUNTIF($J1550:$Q1550,"x")+1),-$E1550*N(Q1550)))</f>
        <v/>
      </c>
    </row>
    <row r="1551">
      <c r="A1551" s="30" t="n"/>
      <c r="E1551" s="31" t="n"/>
      <c r="J1551" s="32" t="n"/>
      <c r="K1551" s="32" t="n"/>
      <c r="L1551" s="32" t="n"/>
      <c r="M1551" s="32" t="n"/>
      <c r="N1551" s="32" t="n"/>
      <c r="O1551" s="32" t="n"/>
      <c r="P1551" s="32" t="n"/>
      <c r="Q1551" s="32" t="n"/>
      <c r="U1551" s="31">
        <f>IF($A1551="","",SUM(X1551:AE1551))</f>
        <v/>
      </c>
      <c r="V1551" s="31">
        <f>IF($A1551="","",IF($H1551&lt;&gt;"Ausgabe",0,-$E1551-$U1551))</f>
        <v/>
      </c>
      <c r="W1551" s="33">
        <f>IF($A1551="","",DATE(YEAR($A1551),MONTH($A1551),1))</f>
        <v/>
      </c>
      <c r="X1551" s="34">
        <f>IF(OR($A1551="",$H1551&lt;&gt;"Ausgabe",J1551=""),0,IF(J1551="x",-$E1551/(COUNTIF($J1551:$Q1551,"x")+1),-$E1551*N(J1551)))</f>
        <v/>
      </c>
      <c r="Y1551" s="34">
        <f>IF(OR($A1551="",$H1551&lt;&gt;"Ausgabe",K1551=""),0,IF(K1551="x",-$E1551/(COUNTIF($J1551:$Q1551,"x")+1),-$E1551*N(K1551)))</f>
        <v/>
      </c>
      <c r="Z1551" s="34">
        <f>IF(OR($A1551="",$H1551&lt;&gt;"Ausgabe",L1551=""),0,IF(L1551="x",-$E1551/(COUNTIF($J1551:$Q1551,"x")+1),-$E1551*N(L1551)))</f>
        <v/>
      </c>
      <c r="AA1551" s="34">
        <f>IF(OR($A1551="",$H1551&lt;&gt;"Ausgabe",M1551=""),0,IF(M1551="x",-$E1551/(COUNTIF($J1551:$Q1551,"x")+1),-$E1551*N(M1551)))</f>
        <v/>
      </c>
      <c r="AB1551" s="34">
        <f>IF(OR($A1551="",$H1551&lt;&gt;"Ausgabe",N1551=""),0,IF(N1551="x",-$E1551/(COUNTIF($J1551:$Q1551,"x")+1),-$E1551*N(N1551)))</f>
        <v/>
      </c>
      <c r="AC1551" s="34">
        <f>IF(OR($A1551="",$H1551&lt;&gt;"Ausgabe",O1551=""),0,IF(O1551="x",-$E1551/(COUNTIF($J1551:$Q1551,"x")+1),-$E1551*N(O1551)))</f>
        <v/>
      </c>
      <c r="AD1551" s="34">
        <f>IF(OR($A1551="",$H1551&lt;&gt;"Ausgabe",P1551=""),0,IF(P1551="x",-$E1551/(COUNTIF($J1551:$Q1551,"x")+1),-$E1551*N(P1551)))</f>
        <v/>
      </c>
      <c r="AE1551" s="34">
        <f>IF(OR($A1551="",$H1551&lt;&gt;"Ausgabe",Q1551=""),0,IF(Q1551="x",-$E1551/(COUNTIF($J1551:$Q1551,"x")+1),-$E1551*N(Q1551)))</f>
        <v/>
      </c>
    </row>
    <row r="1552">
      <c r="A1552" s="30" t="n"/>
      <c r="E1552" s="31" t="n"/>
      <c r="J1552" s="32" t="n"/>
      <c r="K1552" s="32" t="n"/>
      <c r="L1552" s="32" t="n"/>
      <c r="M1552" s="32" t="n"/>
      <c r="N1552" s="32" t="n"/>
      <c r="O1552" s="32" t="n"/>
      <c r="P1552" s="32" t="n"/>
      <c r="Q1552" s="32" t="n"/>
      <c r="U1552" s="31">
        <f>IF($A1552="","",SUM(X1552:AE1552))</f>
        <v/>
      </c>
      <c r="V1552" s="31">
        <f>IF($A1552="","",IF($H1552&lt;&gt;"Ausgabe",0,-$E1552-$U1552))</f>
        <v/>
      </c>
      <c r="W1552" s="33">
        <f>IF($A1552="","",DATE(YEAR($A1552),MONTH($A1552),1))</f>
        <v/>
      </c>
      <c r="X1552" s="34">
        <f>IF(OR($A1552="",$H1552&lt;&gt;"Ausgabe",J1552=""),0,IF(J1552="x",-$E1552/(COUNTIF($J1552:$Q1552,"x")+1),-$E1552*N(J1552)))</f>
        <v/>
      </c>
      <c r="Y1552" s="34">
        <f>IF(OR($A1552="",$H1552&lt;&gt;"Ausgabe",K1552=""),0,IF(K1552="x",-$E1552/(COUNTIF($J1552:$Q1552,"x")+1),-$E1552*N(K1552)))</f>
        <v/>
      </c>
      <c r="Z1552" s="34">
        <f>IF(OR($A1552="",$H1552&lt;&gt;"Ausgabe",L1552=""),0,IF(L1552="x",-$E1552/(COUNTIF($J1552:$Q1552,"x")+1),-$E1552*N(L1552)))</f>
        <v/>
      </c>
      <c r="AA1552" s="34">
        <f>IF(OR($A1552="",$H1552&lt;&gt;"Ausgabe",M1552=""),0,IF(M1552="x",-$E1552/(COUNTIF($J1552:$Q1552,"x")+1),-$E1552*N(M1552)))</f>
        <v/>
      </c>
      <c r="AB1552" s="34">
        <f>IF(OR($A1552="",$H1552&lt;&gt;"Ausgabe",N1552=""),0,IF(N1552="x",-$E1552/(COUNTIF($J1552:$Q1552,"x")+1),-$E1552*N(N1552)))</f>
        <v/>
      </c>
      <c r="AC1552" s="34">
        <f>IF(OR($A1552="",$H1552&lt;&gt;"Ausgabe",O1552=""),0,IF(O1552="x",-$E1552/(COUNTIF($J1552:$Q1552,"x")+1),-$E1552*N(O1552)))</f>
        <v/>
      </c>
      <c r="AD1552" s="34">
        <f>IF(OR($A1552="",$H1552&lt;&gt;"Ausgabe",P1552=""),0,IF(P1552="x",-$E1552/(COUNTIF($J1552:$Q1552,"x")+1),-$E1552*N(P1552)))</f>
        <v/>
      </c>
      <c r="AE1552" s="34">
        <f>IF(OR($A1552="",$H1552&lt;&gt;"Ausgabe",Q1552=""),0,IF(Q1552="x",-$E1552/(COUNTIF($J1552:$Q1552,"x")+1),-$E1552*N(Q1552)))</f>
        <v/>
      </c>
    </row>
    <row r="1553">
      <c r="A1553" s="30" t="n"/>
      <c r="E1553" s="31" t="n"/>
      <c r="J1553" s="32" t="n"/>
      <c r="K1553" s="32" t="n"/>
      <c r="L1553" s="32" t="n"/>
      <c r="M1553" s="32" t="n"/>
      <c r="N1553" s="32" t="n"/>
      <c r="O1553" s="32" t="n"/>
      <c r="P1553" s="32" t="n"/>
      <c r="Q1553" s="32" t="n"/>
      <c r="U1553" s="31">
        <f>IF($A1553="","",SUM(X1553:AE1553))</f>
        <v/>
      </c>
      <c r="V1553" s="31">
        <f>IF($A1553="","",IF($H1553&lt;&gt;"Ausgabe",0,-$E1553-$U1553))</f>
        <v/>
      </c>
      <c r="W1553" s="33">
        <f>IF($A1553="","",DATE(YEAR($A1553),MONTH($A1553),1))</f>
        <v/>
      </c>
      <c r="X1553" s="34">
        <f>IF(OR($A1553="",$H1553&lt;&gt;"Ausgabe",J1553=""),0,IF(J1553="x",-$E1553/(COUNTIF($J1553:$Q1553,"x")+1),-$E1553*N(J1553)))</f>
        <v/>
      </c>
      <c r="Y1553" s="34">
        <f>IF(OR($A1553="",$H1553&lt;&gt;"Ausgabe",K1553=""),0,IF(K1553="x",-$E1553/(COUNTIF($J1553:$Q1553,"x")+1),-$E1553*N(K1553)))</f>
        <v/>
      </c>
      <c r="Z1553" s="34">
        <f>IF(OR($A1553="",$H1553&lt;&gt;"Ausgabe",L1553=""),0,IF(L1553="x",-$E1553/(COUNTIF($J1553:$Q1553,"x")+1),-$E1553*N(L1553)))</f>
        <v/>
      </c>
      <c r="AA1553" s="34">
        <f>IF(OR($A1553="",$H1553&lt;&gt;"Ausgabe",M1553=""),0,IF(M1553="x",-$E1553/(COUNTIF($J1553:$Q1553,"x")+1),-$E1553*N(M1553)))</f>
        <v/>
      </c>
      <c r="AB1553" s="34">
        <f>IF(OR($A1553="",$H1553&lt;&gt;"Ausgabe",N1553=""),0,IF(N1553="x",-$E1553/(COUNTIF($J1553:$Q1553,"x")+1),-$E1553*N(N1553)))</f>
        <v/>
      </c>
      <c r="AC1553" s="34">
        <f>IF(OR($A1553="",$H1553&lt;&gt;"Ausgabe",O1553=""),0,IF(O1553="x",-$E1553/(COUNTIF($J1553:$Q1553,"x")+1),-$E1553*N(O1553)))</f>
        <v/>
      </c>
      <c r="AD1553" s="34">
        <f>IF(OR($A1553="",$H1553&lt;&gt;"Ausgabe",P1553=""),0,IF(P1553="x",-$E1553/(COUNTIF($J1553:$Q1553,"x")+1),-$E1553*N(P1553)))</f>
        <v/>
      </c>
      <c r="AE1553" s="34">
        <f>IF(OR($A1553="",$H1553&lt;&gt;"Ausgabe",Q1553=""),0,IF(Q1553="x",-$E1553/(COUNTIF($J1553:$Q1553,"x")+1),-$E1553*N(Q1553)))</f>
        <v/>
      </c>
    </row>
    <row r="1554">
      <c r="A1554" s="30" t="n"/>
      <c r="E1554" s="31" t="n"/>
      <c r="J1554" s="32" t="n"/>
      <c r="K1554" s="32" t="n"/>
      <c r="L1554" s="32" t="n"/>
      <c r="M1554" s="32" t="n"/>
      <c r="N1554" s="32" t="n"/>
      <c r="O1554" s="32" t="n"/>
      <c r="P1554" s="32" t="n"/>
      <c r="Q1554" s="32" t="n"/>
      <c r="U1554" s="31">
        <f>IF($A1554="","",SUM(X1554:AE1554))</f>
        <v/>
      </c>
      <c r="V1554" s="31">
        <f>IF($A1554="","",IF($H1554&lt;&gt;"Ausgabe",0,-$E1554-$U1554))</f>
        <v/>
      </c>
      <c r="W1554" s="33">
        <f>IF($A1554="","",DATE(YEAR($A1554),MONTH($A1554),1))</f>
        <v/>
      </c>
      <c r="X1554" s="34">
        <f>IF(OR($A1554="",$H1554&lt;&gt;"Ausgabe",J1554=""),0,IF(J1554="x",-$E1554/(COUNTIF($J1554:$Q1554,"x")+1),-$E1554*N(J1554)))</f>
        <v/>
      </c>
      <c r="Y1554" s="34">
        <f>IF(OR($A1554="",$H1554&lt;&gt;"Ausgabe",K1554=""),0,IF(K1554="x",-$E1554/(COUNTIF($J1554:$Q1554,"x")+1),-$E1554*N(K1554)))</f>
        <v/>
      </c>
      <c r="Z1554" s="34">
        <f>IF(OR($A1554="",$H1554&lt;&gt;"Ausgabe",L1554=""),0,IF(L1554="x",-$E1554/(COUNTIF($J1554:$Q1554,"x")+1),-$E1554*N(L1554)))</f>
        <v/>
      </c>
      <c r="AA1554" s="34">
        <f>IF(OR($A1554="",$H1554&lt;&gt;"Ausgabe",M1554=""),0,IF(M1554="x",-$E1554/(COUNTIF($J1554:$Q1554,"x")+1),-$E1554*N(M1554)))</f>
        <v/>
      </c>
      <c r="AB1554" s="34">
        <f>IF(OR($A1554="",$H1554&lt;&gt;"Ausgabe",N1554=""),0,IF(N1554="x",-$E1554/(COUNTIF($J1554:$Q1554,"x")+1),-$E1554*N(N1554)))</f>
        <v/>
      </c>
      <c r="AC1554" s="34">
        <f>IF(OR($A1554="",$H1554&lt;&gt;"Ausgabe",O1554=""),0,IF(O1554="x",-$E1554/(COUNTIF($J1554:$Q1554,"x")+1),-$E1554*N(O1554)))</f>
        <v/>
      </c>
      <c r="AD1554" s="34">
        <f>IF(OR($A1554="",$H1554&lt;&gt;"Ausgabe",P1554=""),0,IF(P1554="x",-$E1554/(COUNTIF($J1554:$Q1554,"x")+1),-$E1554*N(P1554)))</f>
        <v/>
      </c>
      <c r="AE1554" s="34">
        <f>IF(OR($A1554="",$H1554&lt;&gt;"Ausgabe",Q1554=""),0,IF(Q1554="x",-$E1554/(COUNTIF($J1554:$Q1554,"x")+1),-$E1554*N(Q1554)))</f>
        <v/>
      </c>
    </row>
    <row r="1555">
      <c r="A1555" s="30" t="n"/>
      <c r="E1555" s="31" t="n"/>
      <c r="J1555" s="32" t="n"/>
      <c r="K1555" s="32" t="n"/>
      <c r="L1555" s="32" t="n"/>
      <c r="M1555" s="32" t="n"/>
      <c r="N1555" s="32" t="n"/>
      <c r="O1555" s="32" t="n"/>
      <c r="P1555" s="32" t="n"/>
      <c r="Q1555" s="32" t="n"/>
      <c r="U1555" s="31">
        <f>IF($A1555="","",SUM(X1555:AE1555))</f>
        <v/>
      </c>
      <c r="V1555" s="31">
        <f>IF($A1555="","",IF($H1555&lt;&gt;"Ausgabe",0,-$E1555-$U1555))</f>
        <v/>
      </c>
      <c r="W1555" s="33">
        <f>IF($A1555="","",DATE(YEAR($A1555),MONTH($A1555),1))</f>
        <v/>
      </c>
      <c r="X1555" s="34">
        <f>IF(OR($A1555="",$H1555&lt;&gt;"Ausgabe",J1555=""),0,IF(J1555="x",-$E1555/(COUNTIF($J1555:$Q1555,"x")+1),-$E1555*N(J1555)))</f>
        <v/>
      </c>
      <c r="Y1555" s="34">
        <f>IF(OR($A1555="",$H1555&lt;&gt;"Ausgabe",K1555=""),0,IF(K1555="x",-$E1555/(COUNTIF($J1555:$Q1555,"x")+1),-$E1555*N(K1555)))</f>
        <v/>
      </c>
      <c r="Z1555" s="34">
        <f>IF(OR($A1555="",$H1555&lt;&gt;"Ausgabe",L1555=""),0,IF(L1555="x",-$E1555/(COUNTIF($J1555:$Q1555,"x")+1),-$E1555*N(L1555)))</f>
        <v/>
      </c>
      <c r="AA1555" s="34">
        <f>IF(OR($A1555="",$H1555&lt;&gt;"Ausgabe",M1555=""),0,IF(M1555="x",-$E1555/(COUNTIF($J1555:$Q1555,"x")+1),-$E1555*N(M1555)))</f>
        <v/>
      </c>
      <c r="AB1555" s="34">
        <f>IF(OR($A1555="",$H1555&lt;&gt;"Ausgabe",N1555=""),0,IF(N1555="x",-$E1555/(COUNTIF($J1555:$Q1555,"x")+1),-$E1555*N(N1555)))</f>
        <v/>
      </c>
      <c r="AC1555" s="34">
        <f>IF(OR($A1555="",$H1555&lt;&gt;"Ausgabe",O1555=""),0,IF(O1555="x",-$E1555/(COUNTIF($J1555:$Q1555,"x")+1),-$E1555*N(O1555)))</f>
        <v/>
      </c>
      <c r="AD1555" s="34">
        <f>IF(OR($A1555="",$H1555&lt;&gt;"Ausgabe",P1555=""),0,IF(P1555="x",-$E1555/(COUNTIF($J1555:$Q1555,"x")+1),-$E1555*N(P1555)))</f>
        <v/>
      </c>
      <c r="AE1555" s="34">
        <f>IF(OR($A1555="",$H1555&lt;&gt;"Ausgabe",Q1555=""),0,IF(Q1555="x",-$E1555/(COUNTIF($J1555:$Q1555,"x")+1),-$E1555*N(Q1555)))</f>
        <v/>
      </c>
    </row>
    <row r="1556">
      <c r="A1556" s="30" t="n"/>
      <c r="E1556" s="31" t="n"/>
      <c r="J1556" s="32" t="n"/>
      <c r="K1556" s="32" t="n"/>
      <c r="L1556" s="32" t="n"/>
      <c r="M1556" s="32" t="n"/>
      <c r="N1556" s="32" t="n"/>
      <c r="O1556" s="32" t="n"/>
      <c r="P1556" s="32" t="n"/>
      <c r="Q1556" s="32" t="n"/>
      <c r="U1556" s="31">
        <f>IF($A1556="","",SUM(X1556:AE1556))</f>
        <v/>
      </c>
      <c r="V1556" s="31">
        <f>IF($A1556="","",IF($H1556&lt;&gt;"Ausgabe",0,-$E1556-$U1556))</f>
        <v/>
      </c>
      <c r="W1556" s="33">
        <f>IF($A1556="","",DATE(YEAR($A1556),MONTH($A1556),1))</f>
        <v/>
      </c>
      <c r="X1556" s="34">
        <f>IF(OR($A1556="",$H1556&lt;&gt;"Ausgabe",J1556=""),0,IF(J1556="x",-$E1556/(COUNTIF($J1556:$Q1556,"x")+1),-$E1556*N(J1556)))</f>
        <v/>
      </c>
      <c r="Y1556" s="34">
        <f>IF(OR($A1556="",$H1556&lt;&gt;"Ausgabe",K1556=""),0,IF(K1556="x",-$E1556/(COUNTIF($J1556:$Q1556,"x")+1),-$E1556*N(K1556)))</f>
        <v/>
      </c>
      <c r="Z1556" s="34">
        <f>IF(OR($A1556="",$H1556&lt;&gt;"Ausgabe",L1556=""),0,IF(L1556="x",-$E1556/(COUNTIF($J1556:$Q1556,"x")+1),-$E1556*N(L1556)))</f>
        <v/>
      </c>
      <c r="AA1556" s="34">
        <f>IF(OR($A1556="",$H1556&lt;&gt;"Ausgabe",M1556=""),0,IF(M1556="x",-$E1556/(COUNTIF($J1556:$Q1556,"x")+1),-$E1556*N(M1556)))</f>
        <v/>
      </c>
      <c r="AB1556" s="34">
        <f>IF(OR($A1556="",$H1556&lt;&gt;"Ausgabe",N1556=""),0,IF(N1556="x",-$E1556/(COUNTIF($J1556:$Q1556,"x")+1),-$E1556*N(N1556)))</f>
        <v/>
      </c>
      <c r="AC1556" s="34">
        <f>IF(OR($A1556="",$H1556&lt;&gt;"Ausgabe",O1556=""),0,IF(O1556="x",-$E1556/(COUNTIF($J1556:$Q1556,"x")+1),-$E1556*N(O1556)))</f>
        <v/>
      </c>
      <c r="AD1556" s="34">
        <f>IF(OR($A1556="",$H1556&lt;&gt;"Ausgabe",P1556=""),0,IF(P1556="x",-$E1556/(COUNTIF($J1556:$Q1556,"x")+1),-$E1556*N(P1556)))</f>
        <v/>
      </c>
      <c r="AE1556" s="34">
        <f>IF(OR($A1556="",$H1556&lt;&gt;"Ausgabe",Q1556=""),0,IF(Q1556="x",-$E1556/(COUNTIF($J1556:$Q1556,"x")+1),-$E1556*N(Q1556)))</f>
        <v/>
      </c>
    </row>
    <row r="1557">
      <c r="A1557" s="30" t="n"/>
      <c r="E1557" s="31" t="n"/>
      <c r="J1557" s="32" t="n"/>
      <c r="K1557" s="32" t="n"/>
      <c r="L1557" s="32" t="n"/>
      <c r="M1557" s="32" t="n"/>
      <c r="N1557" s="32" t="n"/>
      <c r="O1557" s="32" t="n"/>
      <c r="P1557" s="32" t="n"/>
      <c r="Q1557" s="32" t="n"/>
      <c r="U1557" s="31">
        <f>IF($A1557="","",SUM(X1557:AE1557))</f>
        <v/>
      </c>
      <c r="V1557" s="31">
        <f>IF($A1557="","",IF($H1557&lt;&gt;"Ausgabe",0,-$E1557-$U1557))</f>
        <v/>
      </c>
      <c r="W1557" s="33">
        <f>IF($A1557="","",DATE(YEAR($A1557),MONTH($A1557),1))</f>
        <v/>
      </c>
      <c r="X1557" s="34">
        <f>IF(OR($A1557="",$H1557&lt;&gt;"Ausgabe",J1557=""),0,IF(J1557="x",-$E1557/(COUNTIF($J1557:$Q1557,"x")+1),-$E1557*N(J1557)))</f>
        <v/>
      </c>
      <c r="Y1557" s="34">
        <f>IF(OR($A1557="",$H1557&lt;&gt;"Ausgabe",K1557=""),0,IF(K1557="x",-$E1557/(COUNTIF($J1557:$Q1557,"x")+1),-$E1557*N(K1557)))</f>
        <v/>
      </c>
      <c r="Z1557" s="34">
        <f>IF(OR($A1557="",$H1557&lt;&gt;"Ausgabe",L1557=""),0,IF(L1557="x",-$E1557/(COUNTIF($J1557:$Q1557,"x")+1),-$E1557*N(L1557)))</f>
        <v/>
      </c>
      <c r="AA1557" s="34">
        <f>IF(OR($A1557="",$H1557&lt;&gt;"Ausgabe",M1557=""),0,IF(M1557="x",-$E1557/(COUNTIF($J1557:$Q1557,"x")+1),-$E1557*N(M1557)))</f>
        <v/>
      </c>
      <c r="AB1557" s="34">
        <f>IF(OR($A1557="",$H1557&lt;&gt;"Ausgabe",N1557=""),0,IF(N1557="x",-$E1557/(COUNTIF($J1557:$Q1557,"x")+1),-$E1557*N(N1557)))</f>
        <v/>
      </c>
      <c r="AC1557" s="34">
        <f>IF(OR($A1557="",$H1557&lt;&gt;"Ausgabe",O1557=""),0,IF(O1557="x",-$E1557/(COUNTIF($J1557:$Q1557,"x")+1),-$E1557*N(O1557)))</f>
        <v/>
      </c>
      <c r="AD1557" s="34">
        <f>IF(OR($A1557="",$H1557&lt;&gt;"Ausgabe",P1557=""),0,IF(P1557="x",-$E1557/(COUNTIF($J1557:$Q1557,"x")+1),-$E1557*N(P1557)))</f>
        <v/>
      </c>
      <c r="AE1557" s="34">
        <f>IF(OR($A1557="",$H1557&lt;&gt;"Ausgabe",Q1557=""),0,IF(Q1557="x",-$E1557/(COUNTIF($J1557:$Q1557,"x")+1),-$E1557*N(Q1557)))</f>
        <v/>
      </c>
    </row>
    <row r="1558">
      <c r="A1558" s="30" t="n"/>
      <c r="E1558" s="31" t="n"/>
      <c r="J1558" s="32" t="n"/>
      <c r="K1558" s="32" t="n"/>
      <c r="L1558" s="32" t="n"/>
      <c r="M1558" s="32" t="n"/>
      <c r="N1558" s="32" t="n"/>
      <c r="O1558" s="32" t="n"/>
      <c r="P1558" s="32" t="n"/>
      <c r="Q1558" s="32" t="n"/>
      <c r="U1558" s="31">
        <f>IF($A1558="","",SUM(X1558:AE1558))</f>
        <v/>
      </c>
      <c r="V1558" s="31">
        <f>IF($A1558="","",IF($H1558&lt;&gt;"Ausgabe",0,-$E1558-$U1558))</f>
        <v/>
      </c>
      <c r="W1558" s="33">
        <f>IF($A1558="","",DATE(YEAR($A1558),MONTH($A1558),1))</f>
        <v/>
      </c>
      <c r="X1558" s="34">
        <f>IF(OR($A1558="",$H1558&lt;&gt;"Ausgabe",J1558=""),0,IF(J1558="x",-$E1558/(COUNTIF($J1558:$Q1558,"x")+1),-$E1558*N(J1558)))</f>
        <v/>
      </c>
      <c r="Y1558" s="34">
        <f>IF(OR($A1558="",$H1558&lt;&gt;"Ausgabe",K1558=""),0,IF(K1558="x",-$E1558/(COUNTIF($J1558:$Q1558,"x")+1),-$E1558*N(K1558)))</f>
        <v/>
      </c>
      <c r="Z1558" s="34">
        <f>IF(OR($A1558="",$H1558&lt;&gt;"Ausgabe",L1558=""),0,IF(L1558="x",-$E1558/(COUNTIF($J1558:$Q1558,"x")+1),-$E1558*N(L1558)))</f>
        <v/>
      </c>
      <c r="AA1558" s="34">
        <f>IF(OR($A1558="",$H1558&lt;&gt;"Ausgabe",M1558=""),0,IF(M1558="x",-$E1558/(COUNTIF($J1558:$Q1558,"x")+1),-$E1558*N(M1558)))</f>
        <v/>
      </c>
      <c r="AB1558" s="34">
        <f>IF(OR($A1558="",$H1558&lt;&gt;"Ausgabe",N1558=""),0,IF(N1558="x",-$E1558/(COUNTIF($J1558:$Q1558,"x")+1),-$E1558*N(N1558)))</f>
        <v/>
      </c>
      <c r="AC1558" s="34">
        <f>IF(OR($A1558="",$H1558&lt;&gt;"Ausgabe",O1558=""),0,IF(O1558="x",-$E1558/(COUNTIF($J1558:$Q1558,"x")+1),-$E1558*N(O1558)))</f>
        <v/>
      </c>
      <c r="AD1558" s="34">
        <f>IF(OR($A1558="",$H1558&lt;&gt;"Ausgabe",P1558=""),0,IF(P1558="x",-$E1558/(COUNTIF($J1558:$Q1558,"x")+1),-$E1558*N(P1558)))</f>
        <v/>
      </c>
      <c r="AE1558" s="34">
        <f>IF(OR($A1558="",$H1558&lt;&gt;"Ausgabe",Q1558=""),0,IF(Q1558="x",-$E1558/(COUNTIF($J1558:$Q1558,"x")+1),-$E1558*N(Q1558)))</f>
        <v/>
      </c>
    </row>
    <row r="1559">
      <c r="A1559" s="30" t="n"/>
      <c r="E1559" s="31" t="n"/>
      <c r="J1559" s="32" t="n"/>
      <c r="K1559" s="32" t="n"/>
      <c r="L1559" s="32" t="n"/>
      <c r="M1559" s="32" t="n"/>
      <c r="N1559" s="32" t="n"/>
      <c r="O1559" s="32" t="n"/>
      <c r="P1559" s="32" t="n"/>
      <c r="Q1559" s="32" t="n"/>
      <c r="U1559" s="31">
        <f>IF($A1559="","",SUM(X1559:AE1559))</f>
        <v/>
      </c>
      <c r="V1559" s="31">
        <f>IF($A1559="","",IF($H1559&lt;&gt;"Ausgabe",0,-$E1559-$U1559))</f>
        <v/>
      </c>
      <c r="W1559" s="33">
        <f>IF($A1559="","",DATE(YEAR($A1559),MONTH($A1559),1))</f>
        <v/>
      </c>
      <c r="X1559" s="34">
        <f>IF(OR($A1559="",$H1559&lt;&gt;"Ausgabe",J1559=""),0,IF(J1559="x",-$E1559/(COUNTIF($J1559:$Q1559,"x")+1),-$E1559*N(J1559)))</f>
        <v/>
      </c>
      <c r="Y1559" s="34">
        <f>IF(OR($A1559="",$H1559&lt;&gt;"Ausgabe",K1559=""),0,IF(K1559="x",-$E1559/(COUNTIF($J1559:$Q1559,"x")+1),-$E1559*N(K1559)))</f>
        <v/>
      </c>
      <c r="Z1559" s="34">
        <f>IF(OR($A1559="",$H1559&lt;&gt;"Ausgabe",L1559=""),0,IF(L1559="x",-$E1559/(COUNTIF($J1559:$Q1559,"x")+1),-$E1559*N(L1559)))</f>
        <v/>
      </c>
      <c r="AA1559" s="34">
        <f>IF(OR($A1559="",$H1559&lt;&gt;"Ausgabe",M1559=""),0,IF(M1559="x",-$E1559/(COUNTIF($J1559:$Q1559,"x")+1),-$E1559*N(M1559)))</f>
        <v/>
      </c>
      <c r="AB1559" s="34">
        <f>IF(OR($A1559="",$H1559&lt;&gt;"Ausgabe",N1559=""),0,IF(N1559="x",-$E1559/(COUNTIF($J1559:$Q1559,"x")+1),-$E1559*N(N1559)))</f>
        <v/>
      </c>
      <c r="AC1559" s="34">
        <f>IF(OR($A1559="",$H1559&lt;&gt;"Ausgabe",O1559=""),0,IF(O1559="x",-$E1559/(COUNTIF($J1559:$Q1559,"x")+1),-$E1559*N(O1559)))</f>
        <v/>
      </c>
      <c r="AD1559" s="34">
        <f>IF(OR($A1559="",$H1559&lt;&gt;"Ausgabe",P1559=""),0,IF(P1559="x",-$E1559/(COUNTIF($J1559:$Q1559,"x")+1),-$E1559*N(P1559)))</f>
        <v/>
      </c>
      <c r="AE1559" s="34">
        <f>IF(OR($A1559="",$H1559&lt;&gt;"Ausgabe",Q1559=""),0,IF(Q1559="x",-$E1559/(COUNTIF($J1559:$Q1559,"x")+1),-$E1559*N(Q1559)))</f>
        <v/>
      </c>
    </row>
    <row r="1560">
      <c r="A1560" s="30" t="n"/>
      <c r="E1560" s="31" t="n"/>
      <c r="J1560" s="32" t="n"/>
      <c r="K1560" s="32" t="n"/>
      <c r="L1560" s="32" t="n"/>
      <c r="M1560" s="32" t="n"/>
      <c r="N1560" s="32" t="n"/>
      <c r="O1560" s="32" t="n"/>
      <c r="P1560" s="32" t="n"/>
      <c r="Q1560" s="32" t="n"/>
      <c r="U1560" s="31">
        <f>IF($A1560="","",SUM(X1560:AE1560))</f>
        <v/>
      </c>
      <c r="V1560" s="31">
        <f>IF($A1560="","",IF($H1560&lt;&gt;"Ausgabe",0,-$E1560-$U1560))</f>
        <v/>
      </c>
      <c r="W1560" s="33">
        <f>IF($A1560="","",DATE(YEAR($A1560),MONTH($A1560),1))</f>
        <v/>
      </c>
      <c r="X1560" s="34">
        <f>IF(OR($A1560="",$H1560&lt;&gt;"Ausgabe",J1560=""),0,IF(J1560="x",-$E1560/(COUNTIF($J1560:$Q1560,"x")+1),-$E1560*N(J1560)))</f>
        <v/>
      </c>
      <c r="Y1560" s="34">
        <f>IF(OR($A1560="",$H1560&lt;&gt;"Ausgabe",K1560=""),0,IF(K1560="x",-$E1560/(COUNTIF($J1560:$Q1560,"x")+1),-$E1560*N(K1560)))</f>
        <v/>
      </c>
      <c r="Z1560" s="34">
        <f>IF(OR($A1560="",$H1560&lt;&gt;"Ausgabe",L1560=""),0,IF(L1560="x",-$E1560/(COUNTIF($J1560:$Q1560,"x")+1),-$E1560*N(L1560)))</f>
        <v/>
      </c>
      <c r="AA1560" s="34">
        <f>IF(OR($A1560="",$H1560&lt;&gt;"Ausgabe",M1560=""),0,IF(M1560="x",-$E1560/(COUNTIF($J1560:$Q1560,"x")+1),-$E1560*N(M1560)))</f>
        <v/>
      </c>
      <c r="AB1560" s="34">
        <f>IF(OR($A1560="",$H1560&lt;&gt;"Ausgabe",N1560=""),0,IF(N1560="x",-$E1560/(COUNTIF($J1560:$Q1560,"x")+1),-$E1560*N(N1560)))</f>
        <v/>
      </c>
      <c r="AC1560" s="34">
        <f>IF(OR($A1560="",$H1560&lt;&gt;"Ausgabe",O1560=""),0,IF(O1560="x",-$E1560/(COUNTIF($J1560:$Q1560,"x")+1),-$E1560*N(O1560)))</f>
        <v/>
      </c>
      <c r="AD1560" s="34">
        <f>IF(OR($A1560="",$H1560&lt;&gt;"Ausgabe",P1560=""),0,IF(P1560="x",-$E1560/(COUNTIF($J1560:$Q1560,"x")+1),-$E1560*N(P1560)))</f>
        <v/>
      </c>
      <c r="AE1560" s="34">
        <f>IF(OR($A1560="",$H1560&lt;&gt;"Ausgabe",Q1560=""),0,IF(Q1560="x",-$E1560/(COUNTIF($J1560:$Q1560,"x")+1),-$E1560*N(Q1560)))</f>
        <v/>
      </c>
    </row>
    <row r="1561">
      <c r="A1561" s="30" t="n"/>
      <c r="E1561" s="31" t="n"/>
      <c r="J1561" s="32" t="n"/>
      <c r="K1561" s="32" t="n"/>
      <c r="L1561" s="32" t="n"/>
      <c r="M1561" s="32" t="n"/>
      <c r="N1561" s="32" t="n"/>
      <c r="O1561" s="32" t="n"/>
      <c r="P1561" s="32" t="n"/>
      <c r="Q1561" s="32" t="n"/>
      <c r="U1561" s="31">
        <f>IF($A1561="","",SUM(X1561:AE1561))</f>
        <v/>
      </c>
      <c r="V1561" s="31">
        <f>IF($A1561="","",IF($H1561&lt;&gt;"Ausgabe",0,-$E1561-$U1561))</f>
        <v/>
      </c>
      <c r="W1561" s="33">
        <f>IF($A1561="","",DATE(YEAR($A1561),MONTH($A1561),1))</f>
        <v/>
      </c>
      <c r="X1561" s="34">
        <f>IF(OR($A1561="",$H1561&lt;&gt;"Ausgabe",J1561=""),0,IF(J1561="x",-$E1561/(COUNTIF($J1561:$Q1561,"x")+1),-$E1561*N(J1561)))</f>
        <v/>
      </c>
      <c r="Y1561" s="34">
        <f>IF(OR($A1561="",$H1561&lt;&gt;"Ausgabe",K1561=""),0,IF(K1561="x",-$E1561/(COUNTIF($J1561:$Q1561,"x")+1),-$E1561*N(K1561)))</f>
        <v/>
      </c>
      <c r="Z1561" s="34">
        <f>IF(OR($A1561="",$H1561&lt;&gt;"Ausgabe",L1561=""),0,IF(L1561="x",-$E1561/(COUNTIF($J1561:$Q1561,"x")+1),-$E1561*N(L1561)))</f>
        <v/>
      </c>
      <c r="AA1561" s="34">
        <f>IF(OR($A1561="",$H1561&lt;&gt;"Ausgabe",M1561=""),0,IF(M1561="x",-$E1561/(COUNTIF($J1561:$Q1561,"x")+1),-$E1561*N(M1561)))</f>
        <v/>
      </c>
      <c r="AB1561" s="34">
        <f>IF(OR($A1561="",$H1561&lt;&gt;"Ausgabe",N1561=""),0,IF(N1561="x",-$E1561/(COUNTIF($J1561:$Q1561,"x")+1),-$E1561*N(N1561)))</f>
        <v/>
      </c>
      <c r="AC1561" s="34">
        <f>IF(OR($A1561="",$H1561&lt;&gt;"Ausgabe",O1561=""),0,IF(O1561="x",-$E1561/(COUNTIF($J1561:$Q1561,"x")+1),-$E1561*N(O1561)))</f>
        <v/>
      </c>
      <c r="AD1561" s="34">
        <f>IF(OR($A1561="",$H1561&lt;&gt;"Ausgabe",P1561=""),0,IF(P1561="x",-$E1561/(COUNTIF($J1561:$Q1561,"x")+1),-$E1561*N(P1561)))</f>
        <v/>
      </c>
      <c r="AE1561" s="34">
        <f>IF(OR($A1561="",$H1561&lt;&gt;"Ausgabe",Q1561=""),0,IF(Q1561="x",-$E1561/(COUNTIF($J1561:$Q1561,"x")+1),-$E1561*N(Q1561)))</f>
        <v/>
      </c>
    </row>
    <row r="1562">
      <c r="A1562" s="30" t="n"/>
      <c r="E1562" s="31" t="n"/>
      <c r="J1562" s="32" t="n"/>
      <c r="K1562" s="32" t="n"/>
      <c r="L1562" s="32" t="n"/>
      <c r="M1562" s="32" t="n"/>
      <c r="N1562" s="32" t="n"/>
      <c r="O1562" s="32" t="n"/>
      <c r="P1562" s="32" t="n"/>
      <c r="Q1562" s="32" t="n"/>
      <c r="U1562" s="31">
        <f>IF($A1562="","",SUM(X1562:AE1562))</f>
        <v/>
      </c>
      <c r="V1562" s="31">
        <f>IF($A1562="","",IF($H1562&lt;&gt;"Ausgabe",0,-$E1562-$U1562))</f>
        <v/>
      </c>
      <c r="W1562" s="33">
        <f>IF($A1562="","",DATE(YEAR($A1562),MONTH($A1562),1))</f>
        <v/>
      </c>
      <c r="X1562" s="34">
        <f>IF(OR($A1562="",$H1562&lt;&gt;"Ausgabe",J1562=""),0,IF(J1562="x",-$E1562/(COUNTIF($J1562:$Q1562,"x")+1),-$E1562*N(J1562)))</f>
        <v/>
      </c>
      <c r="Y1562" s="34">
        <f>IF(OR($A1562="",$H1562&lt;&gt;"Ausgabe",K1562=""),0,IF(K1562="x",-$E1562/(COUNTIF($J1562:$Q1562,"x")+1),-$E1562*N(K1562)))</f>
        <v/>
      </c>
      <c r="Z1562" s="34">
        <f>IF(OR($A1562="",$H1562&lt;&gt;"Ausgabe",L1562=""),0,IF(L1562="x",-$E1562/(COUNTIF($J1562:$Q1562,"x")+1),-$E1562*N(L1562)))</f>
        <v/>
      </c>
      <c r="AA1562" s="34">
        <f>IF(OR($A1562="",$H1562&lt;&gt;"Ausgabe",M1562=""),0,IF(M1562="x",-$E1562/(COUNTIF($J1562:$Q1562,"x")+1),-$E1562*N(M1562)))</f>
        <v/>
      </c>
      <c r="AB1562" s="34">
        <f>IF(OR($A1562="",$H1562&lt;&gt;"Ausgabe",N1562=""),0,IF(N1562="x",-$E1562/(COUNTIF($J1562:$Q1562,"x")+1),-$E1562*N(N1562)))</f>
        <v/>
      </c>
      <c r="AC1562" s="34">
        <f>IF(OR($A1562="",$H1562&lt;&gt;"Ausgabe",O1562=""),0,IF(O1562="x",-$E1562/(COUNTIF($J1562:$Q1562,"x")+1),-$E1562*N(O1562)))</f>
        <v/>
      </c>
      <c r="AD1562" s="34">
        <f>IF(OR($A1562="",$H1562&lt;&gt;"Ausgabe",P1562=""),0,IF(P1562="x",-$E1562/(COUNTIF($J1562:$Q1562,"x")+1),-$E1562*N(P1562)))</f>
        <v/>
      </c>
      <c r="AE1562" s="34">
        <f>IF(OR($A1562="",$H1562&lt;&gt;"Ausgabe",Q1562=""),0,IF(Q1562="x",-$E1562/(COUNTIF($J1562:$Q1562,"x")+1),-$E1562*N(Q1562)))</f>
        <v/>
      </c>
    </row>
    <row r="1563">
      <c r="A1563" s="30" t="n"/>
      <c r="E1563" s="31" t="n"/>
      <c r="J1563" s="32" t="n"/>
      <c r="K1563" s="32" t="n"/>
      <c r="L1563" s="32" t="n"/>
      <c r="M1563" s="32" t="n"/>
      <c r="N1563" s="32" t="n"/>
      <c r="O1563" s="32" t="n"/>
      <c r="P1563" s="32" t="n"/>
      <c r="Q1563" s="32" t="n"/>
      <c r="U1563" s="31">
        <f>IF($A1563="","",SUM(X1563:AE1563))</f>
        <v/>
      </c>
      <c r="V1563" s="31">
        <f>IF($A1563="","",IF($H1563&lt;&gt;"Ausgabe",0,-$E1563-$U1563))</f>
        <v/>
      </c>
      <c r="W1563" s="33">
        <f>IF($A1563="","",DATE(YEAR($A1563),MONTH($A1563),1))</f>
        <v/>
      </c>
      <c r="X1563" s="34">
        <f>IF(OR($A1563="",$H1563&lt;&gt;"Ausgabe",J1563=""),0,IF(J1563="x",-$E1563/(COUNTIF($J1563:$Q1563,"x")+1),-$E1563*N(J1563)))</f>
        <v/>
      </c>
      <c r="Y1563" s="34">
        <f>IF(OR($A1563="",$H1563&lt;&gt;"Ausgabe",K1563=""),0,IF(K1563="x",-$E1563/(COUNTIF($J1563:$Q1563,"x")+1),-$E1563*N(K1563)))</f>
        <v/>
      </c>
      <c r="Z1563" s="34">
        <f>IF(OR($A1563="",$H1563&lt;&gt;"Ausgabe",L1563=""),0,IF(L1563="x",-$E1563/(COUNTIF($J1563:$Q1563,"x")+1),-$E1563*N(L1563)))</f>
        <v/>
      </c>
      <c r="AA1563" s="34">
        <f>IF(OR($A1563="",$H1563&lt;&gt;"Ausgabe",M1563=""),0,IF(M1563="x",-$E1563/(COUNTIF($J1563:$Q1563,"x")+1),-$E1563*N(M1563)))</f>
        <v/>
      </c>
      <c r="AB1563" s="34">
        <f>IF(OR($A1563="",$H1563&lt;&gt;"Ausgabe",N1563=""),0,IF(N1563="x",-$E1563/(COUNTIF($J1563:$Q1563,"x")+1),-$E1563*N(N1563)))</f>
        <v/>
      </c>
      <c r="AC1563" s="34">
        <f>IF(OR($A1563="",$H1563&lt;&gt;"Ausgabe",O1563=""),0,IF(O1563="x",-$E1563/(COUNTIF($J1563:$Q1563,"x")+1),-$E1563*N(O1563)))</f>
        <v/>
      </c>
      <c r="AD1563" s="34">
        <f>IF(OR($A1563="",$H1563&lt;&gt;"Ausgabe",P1563=""),0,IF(P1563="x",-$E1563/(COUNTIF($J1563:$Q1563,"x")+1),-$E1563*N(P1563)))</f>
        <v/>
      </c>
      <c r="AE1563" s="34">
        <f>IF(OR($A1563="",$H1563&lt;&gt;"Ausgabe",Q1563=""),0,IF(Q1563="x",-$E1563/(COUNTIF($J1563:$Q1563,"x")+1),-$E1563*N(Q1563)))</f>
        <v/>
      </c>
    </row>
    <row r="1564">
      <c r="A1564" s="30" t="n"/>
      <c r="E1564" s="31" t="n"/>
      <c r="J1564" s="32" t="n"/>
      <c r="K1564" s="32" t="n"/>
      <c r="L1564" s="32" t="n"/>
      <c r="M1564" s="32" t="n"/>
      <c r="N1564" s="32" t="n"/>
      <c r="O1564" s="32" t="n"/>
      <c r="P1564" s="32" t="n"/>
      <c r="Q1564" s="32" t="n"/>
      <c r="U1564" s="31">
        <f>IF($A1564="","",SUM(X1564:AE1564))</f>
        <v/>
      </c>
      <c r="V1564" s="31">
        <f>IF($A1564="","",IF($H1564&lt;&gt;"Ausgabe",0,-$E1564-$U1564))</f>
        <v/>
      </c>
      <c r="W1564" s="33">
        <f>IF($A1564="","",DATE(YEAR($A1564),MONTH($A1564),1))</f>
        <v/>
      </c>
      <c r="X1564" s="34">
        <f>IF(OR($A1564="",$H1564&lt;&gt;"Ausgabe",J1564=""),0,IF(J1564="x",-$E1564/(COUNTIF($J1564:$Q1564,"x")+1),-$E1564*N(J1564)))</f>
        <v/>
      </c>
      <c r="Y1564" s="34">
        <f>IF(OR($A1564="",$H1564&lt;&gt;"Ausgabe",K1564=""),0,IF(K1564="x",-$E1564/(COUNTIF($J1564:$Q1564,"x")+1),-$E1564*N(K1564)))</f>
        <v/>
      </c>
      <c r="Z1564" s="34">
        <f>IF(OR($A1564="",$H1564&lt;&gt;"Ausgabe",L1564=""),0,IF(L1564="x",-$E1564/(COUNTIF($J1564:$Q1564,"x")+1),-$E1564*N(L1564)))</f>
        <v/>
      </c>
      <c r="AA1564" s="34">
        <f>IF(OR($A1564="",$H1564&lt;&gt;"Ausgabe",M1564=""),0,IF(M1564="x",-$E1564/(COUNTIF($J1564:$Q1564,"x")+1),-$E1564*N(M1564)))</f>
        <v/>
      </c>
      <c r="AB1564" s="34">
        <f>IF(OR($A1564="",$H1564&lt;&gt;"Ausgabe",N1564=""),0,IF(N1564="x",-$E1564/(COUNTIF($J1564:$Q1564,"x")+1),-$E1564*N(N1564)))</f>
        <v/>
      </c>
      <c r="AC1564" s="34">
        <f>IF(OR($A1564="",$H1564&lt;&gt;"Ausgabe",O1564=""),0,IF(O1564="x",-$E1564/(COUNTIF($J1564:$Q1564,"x")+1),-$E1564*N(O1564)))</f>
        <v/>
      </c>
      <c r="AD1564" s="34">
        <f>IF(OR($A1564="",$H1564&lt;&gt;"Ausgabe",P1564=""),0,IF(P1564="x",-$E1564/(COUNTIF($J1564:$Q1564,"x")+1),-$E1564*N(P1564)))</f>
        <v/>
      </c>
      <c r="AE1564" s="34">
        <f>IF(OR($A1564="",$H1564&lt;&gt;"Ausgabe",Q1564=""),0,IF(Q1564="x",-$E1564/(COUNTIF($J1564:$Q1564,"x")+1),-$E1564*N(Q1564)))</f>
        <v/>
      </c>
    </row>
    <row r="1565">
      <c r="A1565" s="30" t="n"/>
      <c r="E1565" s="31" t="n"/>
      <c r="J1565" s="32" t="n"/>
      <c r="K1565" s="32" t="n"/>
      <c r="L1565" s="32" t="n"/>
      <c r="M1565" s="32" t="n"/>
      <c r="N1565" s="32" t="n"/>
      <c r="O1565" s="32" t="n"/>
      <c r="P1565" s="32" t="n"/>
      <c r="Q1565" s="32" t="n"/>
      <c r="U1565" s="31">
        <f>IF($A1565="","",SUM(X1565:AE1565))</f>
        <v/>
      </c>
      <c r="V1565" s="31">
        <f>IF($A1565="","",IF($H1565&lt;&gt;"Ausgabe",0,-$E1565-$U1565))</f>
        <v/>
      </c>
      <c r="W1565" s="33">
        <f>IF($A1565="","",DATE(YEAR($A1565),MONTH($A1565),1))</f>
        <v/>
      </c>
      <c r="X1565" s="34">
        <f>IF(OR($A1565="",$H1565&lt;&gt;"Ausgabe",J1565=""),0,IF(J1565="x",-$E1565/(COUNTIF($J1565:$Q1565,"x")+1),-$E1565*N(J1565)))</f>
        <v/>
      </c>
      <c r="Y1565" s="34">
        <f>IF(OR($A1565="",$H1565&lt;&gt;"Ausgabe",K1565=""),0,IF(K1565="x",-$E1565/(COUNTIF($J1565:$Q1565,"x")+1),-$E1565*N(K1565)))</f>
        <v/>
      </c>
      <c r="Z1565" s="34">
        <f>IF(OR($A1565="",$H1565&lt;&gt;"Ausgabe",L1565=""),0,IF(L1565="x",-$E1565/(COUNTIF($J1565:$Q1565,"x")+1),-$E1565*N(L1565)))</f>
        <v/>
      </c>
      <c r="AA1565" s="34">
        <f>IF(OR($A1565="",$H1565&lt;&gt;"Ausgabe",M1565=""),0,IF(M1565="x",-$E1565/(COUNTIF($J1565:$Q1565,"x")+1),-$E1565*N(M1565)))</f>
        <v/>
      </c>
      <c r="AB1565" s="34">
        <f>IF(OR($A1565="",$H1565&lt;&gt;"Ausgabe",N1565=""),0,IF(N1565="x",-$E1565/(COUNTIF($J1565:$Q1565,"x")+1),-$E1565*N(N1565)))</f>
        <v/>
      </c>
      <c r="AC1565" s="34">
        <f>IF(OR($A1565="",$H1565&lt;&gt;"Ausgabe",O1565=""),0,IF(O1565="x",-$E1565/(COUNTIF($J1565:$Q1565,"x")+1),-$E1565*N(O1565)))</f>
        <v/>
      </c>
      <c r="AD1565" s="34">
        <f>IF(OR($A1565="",$H1565&lt;&gt;"Ausgabe",P1565=""),0,IF(P1565="x",-$E1565/(COUNTIF($J1565:$Q1565,"x")+1),-$E1565*N(P1565)))</f>
        <v/>
      </c>
      <c r="AE1565" s="34">
        <f>IF(OR($A1565="",$H1565&lt;&gt;"Ausgabe",Q1565=""),0,IF(Q1565="x",-$E1565/(COUNTIF($J1565:$Q1565,"x")+1),-$E1565*N(Q1565)))</f>
        <v/>
      </c>
    </row>
    <row r="1566">
      <c r="A1566" s="30" t="n"/>
      <c r="E1566" s="31" t="n"/>
      <c r="J1566" s="32" t="n"/>
      <c r="K1566" s="32" t="n"/>
      <c r="L1566" s="32" t="n"/>
      <c r="M1566" s="32" t="n"/>
      <c r="N1566" s="32" t="n"/>
      <c r="O1566" s="32" t="n"/>
      <c r="P1566" s="32" t="n"/>
      <c r="Q1566" s="32" t="n"/>
      <c r="U1566" s="31">
        <f>IF($A1566="","",SUM(X1566:AE1566))</f>
        <v/>
      </c>
      <c r="V1566" s="31">
        <f>IF($A1566="","",IF($H1566&lt;&gt;"Ausgabe",0,-$E1566-$U1566))</f>
        <v/>
      </c>
      <c r="W1566" s="33">
        <f>IF($A1566="","",DATE(YEAR($A1566),MONTH($A1566),1))</f>
        <v/>
      </c>
      <c r="X1566" s="34">
        <f>IF(OR($A1566="",$H1566&lt;&gt;"Ausgabe",J1566=""),0,IF(J1566="x",-$E1566/(COUNTIF($J1566:$Q1566,"x")+1),-$E1566*N(J1566)))</f>
        <v/>
      </c>
      <c r="Y1566" s="34">
        <f>IF(OR($A1566="",$H1566&lt;&gt;"Ausgabe",K1566=""),0,IF(K1566="x",-$E1566/(COUNTIF($J1566:$Q1566,"x")+1),-$E1566*N(K1566)))</f>
        <v/>
      </c>
      <c r="Z1566" s="34">
        <f>IF(OR($A1566="",$H1566&lt;&gt;"Ausgabe",L1566=""),0,IF(L1566="x",-$E1566/(COUNTIF($J1566:$Q1566,"x")+1),-$E1566*N(L1566)))</f>
        <v/>
      </c>
      <c r="AA1566" s="34">
        <f>IF(OR($A1566="",$H1566&lt;&gt;"Ausgabe",M1566=""),0,IF(M1566="x",-$E1566/(COUNTIF($J1566:$Q1566,"x")+1),-$E1566*N(M1566)))</f>
        <v/>
      </c>
      <c r="AB1566" s="34">
        <f>IF(OR($A1566="",$H1566&lt;&gt;"Ausgabe",N1566=""),0,IF(N1566="x",-$E1566/(COUNTIF($J1566:$Q1566,"x")+1),-$E1566*N(N1566)))</f>
        <v/>
      </c>
      <c r="AC1566" s="34">
        <f>IF(OR($A1566="",$H1566&lt;&gt;"Ausgabe",O1566=""),0,IF(O1566="x",-$E1566/(COUNTIF($J1566:$Q1566,"x")+1),-$E1566*N(O1566)))</f>
        <v/>
      </c>
      <c r="AD1566" s="34">
        <f>IF(OR($A1566="",$H1566&lt;&gt;"Ausgabe",P1566=""),0,IF(P1566="x",-$E1566/(COUNTIF($J1566:$Q1566,"x")+1),-$E1566*N(P1566)))</f>
        <v/>
      </c>
      <c r="AE1566" s="34">
        <f>IF(OR($A1566="",$H1566&lt;&gt;"Ausgabe",Q1566=""),0,IF(Q1566="x",-$E1566/(COUNTIF($J1566:$Q1566,"x")+1),-$E1566*N(Q1566)))</f>
        <v/>
      </c>
    </row>
    <row r="1567">
      <c r="A1567" s="30" t="n"/>
      <c r="E1567" s="31" t="n"/>
      <c r="J1567" s="32" t="n"/>
      <c r="K1567" s="32" t="n"/>
      <c r="L1567" s="32" t="n"/>
      <c r="M1567" s="32" t="n"/>
      <c r="N1567" s="32" t="n"/>
      <c r="O1567" s="32" t="n"/>
      <c r="P1567" s="32" t="n"/>
      <c r="Q1567" s="32" t="n"/>
      <c r="U1567" s="31">
        <f>IF($A1567="","",SUM(X1567:AE1567))</f>
        <v/>
      </c>
      <c r="V1567" s="31">
        <f>IF($A1567="","",IF($H1567&lt;&gt;"Ausgabe",0,-$E1567-$U1567))</f>
        <v/>
      </c>
      <c r="W1567" s="33">
        <f>IF($A1567="","",DATE(YEAR($A1567),MONTH($A1567),1))</f>
        <v/>
      </c>
      <c r="X1567" s="34">
        <f>IF(OR($A1567="",$H1567&lt;&gt;"Ausgabe",J1567=""),0,IF(J1567="x",-$E1567/(COUNTIF($J1567:$Q1567,"x")+1),-$E1567*N(J1567)))</f>
        <v/>
      </c>
      <c r="Y1567" s="34">
        <f>IF(OR($A1567="",$H1567&lt;&gt;"Ausgabe",K1567=""),0,IF(K1567="x",-$E1567/(COUNTIF($J1567:$Q1567,"x")+1),-$E1567*N(K1567)))</f>
        <v/>
      </c>
      <c r="Z1567" s="34">
        <f>IF(OR($A1567="",$H1567&lt;&gt;"Ausgabe",L1567=""),0,IF(L1567="x",-$E1567/(COUNTIF($J1567:$Q1567,"x")+1),-$E1567*N(L1567)))</f>
        <v/>
      </c>
      <c r="AA1567" s="34">
        <f>IF(OR($A1567="",$H1567&lt;&gt;"Ausgabe",M1567=""),0,IF(M1567="x",-$E1567/(COUNTIF($J1567:$Q1567,"x")+1),-$E1567*N(M1567)))</f>
        <v/>
      </c>
      <c r="AB1567" s="34">
        <f>IF(OR($A1567="",$H1567&lt;&gt;"Ausgabe",N1567=""),0,IF(N1567="x",-$E1567/(COUNTIF($J1567:$Q1567,"x")+1),-$E1567*N(N1567)))</f>
        <v/>
      </c>
      <c r="AC1567" s="34">
        <f>IF(OR($A1567="",$H1567&lt;&gt;"Ausgabe",O1567=""),0,IF(O1567="x",-$E1567/(COUNTIF($J1567:$Q1567,"x")+1),-$E1567*N(O1567)))</f>
        <v/>
      </c>
      <c r="AD1567" s="34">
        <f>IF(OR($A1567="",$H1567&lt;&gt;"Ausgabe",P1567=""),0,IF(P1567="x",-$E1567/(COUNTIF($J1567:$Q1567,"x")+1),-$E1567*N(P1567)))</f>
        <v/>
      </c>
      <c r="AE1567" s="34">
        <f>IF(OR($A1567="",$H1567&lt;&gt;"Ausgabe",Q1567=""),0,IF(Q1567="x",-$E1567/(COUNTIF($J1567:$Q1567,"x")+1),-$E1567*N(Q1567)))</f>
        <v/>
      </c>
    </row>
    <row r="1568">
      <c r="A1568" s="30" t="n"/>
      <c r="E1568" s="31" t="n"/>
      <c r="J1568" s="32" t="n"/>
      <c r="K1568" s="32" t="n"/>
      <c r="L1568" s="32" t="n"/>
      <c r="M1568" s="32" t="n"/>
      <c r="N1568" s="32" t="n"/>
      <c r="O1568" s="32" t="n"/>
      <c r="P1568" s="32" t="n"/>
      <c r="Q1568" s="32" t="n"/>
      <c r="U1568" s="31">
        <f>IF($A1568="","",SUM(X1568:AE1568))</f>
        <v/>
      </c>
      <c r="V1568" s="31">
        <f>IF($A1568="","",IF($H1568&lt;&gt;"Ausgabe",0,-$E1568-$U1568))</f>
        <v/>
      </c>
      <c r="W1568" s="33">
        <f>IF($A1568="","",DATE(YEAR($A1568),MONTH($A1568),1))</f>
        <v/>
      </c>
      <c r="X1568" s="34">
        <f>IF(OR($A1568="",$H1568&lt;&gt;"Ausgabe",J1568=""),0,IF(J1568="x",-$E1568/(COUNTIF($J1568:$Q1568,"x")+1),-$E1568*N(J1568)))</f>
        <v/>
      </c>
      <c r="Y1568" s="34">
        <f>IF(OR($A1568="",$H1568&lt;&gt;"Ausgabe",K1568=""),0,IF(K1568="x",-$E1568/(COUNTIF($J1568:$Q1568,"x")+1),-$E1568*N(K1568)))</f>
        <v/>
      </c>
      <c r="Z1568" s="34">
        <f>IF(OR($A1568="",$H1568&lt;&gt;"Ausgabe",L1568=""),0,IF(L1568="x",-$E1568/(COUNTIF($J1568:$Q1568,"x")+1),-$E1568*N(L1568)))</f>
        <v/>
      </c>
      <c r="AA1568" s="34">
        <f>IF(OR($A1568="",$H1568&lt;&gt;"Ausgabe",M1568=""),0,IF(M1568="x",-$E1568/(COUNTIF($J1568:$Q1568,"x")+1),-$E1568*N(M1568)))</f>
        <v/>
      </c>
      <c r="AB1568" s="34">
        <f>IF(OR($A1568="",$H1568&lt;&gt;"Ausgabe",N1568=""),0,IF(N1568="x",-$E1568/(COUNTIF($J1568:$Q1568,"x")+1),-$E1568*N(N1568)))</f>
        <v/>
      </c>
      <c r="AC1568" s="34">
        <f>IF(OR($A1568="",$H1568&lt;&gt;"Ausgabe",O1568=""),0,IF(O1568="x",-$E1568/(COUNTIF($J1568:$Q1568,"x")+1),-$E1568*N(O1568)))</f>
        <v/>
      </c>
      <c r="AD1568" s="34">
        <f>IF(OR($A1568="",$H1568&lt;&gt;"Ausgabe",P1568=""),0,IF(P1568="x",-$E1568/(COUNTIF($J1568:$Q1568,"x")+1),-$E1568*N(P1568)))</f>
        <v/>
      </c>
      <c r="AE1568" s="34">
        <f>IF(OR($A1568="",$H1568&lt;&gt;"Ausgabe",Q1568=""),0,IF(Q1568="x",-$E1568/(COUNTIF($J1568:$Q1568,"x")+1),-$E1568*N(Q1568)))</f>
        <v/>
      </c>
    </row>
    <row r="1569">
      <c r="A1569" s="30" t="n"/>
      <c r="E1569" s="31" t="n"/>
      <c r="J1569" s="32" t="n"/>
      <c r="K1569" s="32" t="n"/>
      <c r="L1569" s="32" t="n"/>
      <c r="M1569" s="32" t="n"/>
      <c r="N1569" s="32" t="n"/>
      <c r="O1569" s="32" t="n"/>
      <c r="P1569" s="32" t="n"/>
      <c r="Q1569" s="32" t="n"/>
      <c r="U1569" s="31">
        <f>IF($A1569="","",SUM(X1569:AE1569))</f>
        <v/>
      </c>
      <c r="V1569" s="31">
        <f>IF($A1569="","",IF($H1569&lt;&gt;"Ausgabe",0,-$E1569-$U1569))</f>
        <v/>
      </c>
      <c r="W1569" s="33">
        <f>IF($A1569="","",DATE(YEAR($A1569),MONTH($A1569),1))</f>
        <v/>
      </c>
      <c r="X1569" s="34">
        <f>IF(OR($A1569="",$H1569&lt;&gt;"Ausgabe",J1569=""),0,IF(J1569="x",-$E1569/(COUNTIF($J1569:$Q1569,"x")+1),-$E1569*N(J1569)))</f>
        <v/>
      </c>
      <c r="Y1569" s="34">
        <f>IF(OR($A1569="",$H1569&lt;&gt;"Ausgabe",K1569=""),0,IF(K1569="x",-$E1569/(COUNTIF($J1569:$Q1569,"x")+1),-$E1569*N(K1569)))</f>
        <v/>
      </c>
      <c r="Z1569" s="34">
        <f>IF(OR($A1569="",$H1569&lt;&gt;"Ausgabe",L1569=""),0,IF(L1569="x",-$E1569/(COUNTIF($J1569:$Q1569,"x")+1),-$E1569*N(L1569)))</f>
        <v/>
      </c>
      <c r="AA1569" s="34">
        <f>IF(OR($A1569="",$H1569&lt;&gt;"Ausgabe",M1569=""),0,IF(M1569="x",-$E1569/(COUNTIF($J1569:$Q1569,"x")+1),-$E1569*N(M1569)))</f>
        <v/>
      </c>
      <c r="AB1569" s="34">
        <f>IF(OR($A1569="",$H1569&lt;&gt;"Ausgabe",N1569=""),0,IF(N1569="x",-$E1569/(COUNTIF($J1569:$Q1569,"x")+1),-$E1569*N(N1569)))</f>
        <v/>
      </c>
      <c r="AC1569" s="34">
        <f>IF(OR($A1569="",$H1569&lt;&gt;"Ausgabe",O1569=""),0,IF(O1569="x",-$E1569/(COUNTIF($J1569:$Q1569,"x")+1),-$E1569*N(O1569)))</f>
        <v/>
      </c>
      <c r="AD1569" s="34">
        <f>IF(OR($A1569="",$H1569&lt;&gt;"Ausgabe",P1569=""),0,IF(P1569="x",-$E1569/(COUNTIF($J1569:$Q1569,"x")+1),-$E1569*N(P1569)))</f>
        <v/>
      </c>
      <c r="AE1569" s="34">
        <f>IF(OR($A1569="",$H1569&lt;&gt;"Ausgabe",Q1569=""),0,IF(Q1569="x",-$E1569/(COUNTIF($J1569:$Q1569,"x")+1),-$E1569*N(Q1569)))</f>
        <v/>
      </c>
    </row>
    <row r="1570">
      <c r="A1570" s="30" t="n"/>
      <c r="E1570" s="31" t="n"/>
      <c r="J1570" s="32" t="n"/>
      <c r="K1570" s="32" t="n"/>
      <c r="L1570" s="32" t="n"/>
      <c r="M1570" s="32" t="n"/>
      <c r="N1570" s="32" t="n"/>
      <c r="O1570" s="32" t="n"/>
      <c r="P1570" s="32" t="n"/>
      <c r="Q1570" s="32" t="n"/>
      <c r="U1570" s="31">
        <f>IF($A1570="","",SUM(X1570:AE1570))</f>
        <v/>
      </c>
      <c r="V1570" s="31">
        <f>IF($A1570="","",IF($H1570&lt;&gt;"Ausgabe",0,-$E1570-$U1570))</f>
        <v/>
      </c>
      <c r="W1570" s="33">
        <f>IF($A1570="","",DATE(YEAR($A1570),MONTH($A1570),1))</f>
        <v/>
      </c>
      <c r="X1570" s="34">
        <f>IF(OR($A1570="",$H1570&lt;&gt;"Ausgabe",J1570=""),0,IF(J1570="x",-$E1570/(COUNTIF($J1570:$Q1570,"x")+1),-$E1570*N(J1570)))</f>
        <v/>
      </c>
      <c r="Y1570" s="34">
        <f>IF(OR($A1570="",$H1570&lt;&gt;"Ausgabe",K1570=""),0,IF(K1570="x",-$E1570/(COUNTIF($J1570:$Q1570,"x")+1),-$E1570*N(K1570)))</f>
        <v/>
      </c>
      <c r="Z1570" s="34">
        <f>IF(OR($A1570="",$H1570&lt;&gt;"Ausgabe",L1570=""),0,IF(L1570="x",-$E1570/(COUNTIF($J1570:$Q1570,"x")+1),-$E1570*N(L1570)))</f>
        <v/>
      </c>
      <c r="AA1570" s="34">
        <f>IF(OR($A1570="",$H1570&lt;&gt;"Ausgabe",M1570=""),0,IF(M1570="x",-$E1570/(COUNTIF($J1570:$Q1570,"x")+1),-$E1570*N(M1570)))</f>
        <v/>
      </c>
      <c r="AB1570" s="34">
        <f>IF(OR($A1570="",$H1570&lt;&gt;"Ausgabe",N1570=""),0,IF(N1570="x",-$E1570/(COUNTIF($J1570:$Q1570,"x")+1),-$E1570*N(N1570)))</f>
        <v/>
      </c>
      <c r="AC1570" s="34">
        <f>IF(OR($A1570="",$H1570&lt;&gt;"Ausgabe",O1570=""),0,IF(O1570="x",-$E1570/(COUNTIF($J1570:$Q1570,"x")+1),-$E1570*N(O1570)))</f>
        <v/>
      </c>
      <c r="AD1570" s="34">
        <f>IF(OR($A1570="",$H1570&lt;&gt;"Ausgabe",P1570=""),0,IF(P1570="x",-$E1570/(COUNTIF($J1570:$Q1570,"x")+1),-$E1570*N(P1570)))</f>
        <v/>
      </c>
      <c r="AE1570" s="34">
        <f>IF(OR($A1570="",$H1570&lt;&gt;"Ausgabe",Q1570=""),0,IF(Q1570="x",-$E1570/(COUNTIF($J1570:$Q1570,"x")+1),-$E1570*N(Q1570)))</f>
        <v/>
      </c>
    </row>
    <row r="1571">
      <c r="A1571" s="30" t="n"/>
      <c r="E1571" s="31" t="n"/>
      <c r="J1571" s="32" t="n"/>
      <c r="K1571" s="32" t="n"/>
      <c r="L1571" s="32" t="n"/>
      <c r="M1571" s="32" t="n"/>
      <c r="N1571" s="32" t="n"/>
      <c r="O1571" s="32" t="n"/>
      <c r="P1571" s="32" t="n"/>
      <c r="Q1571" s="32" t="n"/>
      <c r="U1571" s="31">
        <f>IF($A1571="","",SUM(X1571:AE1571))</f>
        <v/>
      </c>
      <c r="V1571" s="31">
        <f>IF($A1571="","",IF($H1571&lt;&gt;"Ausgabe",0,-$E1571-$U1571))</f>
        <v/>
      </c>
      <c r="W1571" s="33">
        <f>IF($A1571="","",DATE(YEAR($A1571),MONTH($A1571),1))</f>
        <v/>
      </c>
      <c r="X1571" s="34">
        <f>IF(OR($A1571="",$H1571&lt;&gt;"Ausgabe",J1571=""),0,IF(J1571="x",-$E1571/(COUNTIF($J1571:$Q1571,"x")+1),-$E1571*N(J1571)))</f>
        <v/>
      </c>
      <c r="Y1571" s="34">
        <f>IF(OR($A1571="",$H1571&lt;&gt;"Ausgabe",K1571=""),0,IF(K1571="x",-$E1571/(COUNTIF($J1571:$Q1571,"x")+1),-$E1571*N(K1571)))</f>
        <v/>
      </c>
      <c r="Z1571" s="34">
        <f>IF(OR($A1571="",$H1571&lt;&gt;"Ausgabe",L1571=""),0,IF(L1571="x",-$E1571/(COUNTIF($J1571:$Q1571,"x")+1),-$E1571*N(L1571)))</f>
        <v/>
      </c>
      <c r="AA1571" s="34">
        <f>IF(OR($A1571="",$H1571&lt;&gt;"Ausgabe",M1571=""),0,IF(M1571="x",-$E1571/(COUNTIF($J1571:$Q1571,"x")+1),-$E1571*N(M1571)))</f>
        <v/>
      </c>
      <c r="AB1571" s="34">
        <f>IF(OR($A1571="",$H1571&lt;&gt;"Ausgabe",N1571=""),0,IF(N1571="x",-$E1571/(COUNTIF($J1571:$Q1571,"x")+1),-$E1571*N(N1571)))</f>
        <v/>
      </c>
      <c r="AC1571" s="34">
        <f>IF(OR($A1571="",$H1571&lt;&gt;"Ausgabe",O1571=""),0,IF(O1571="x",-$E1571/(COUNTIF($J1571:$Q1571,"x")+1),-$E1571*N(O1571)))</f>
        <v/>
      </c>
      <c r="AD1571" s="34">
        <f>IF(OR($A1571="",$H1571&lt;&gt;"Ausgabe",P1571=""),0,IF(P1571="x",-$E1571/(COUNTIF($J1571:$Q1571,"x")+1),-$E1571*N(P1571)))</f>
        <v/>
      </c>
      <c r="AE1571" s="34">
        <f>IF(OR($A1571="",$H1571&lt;&gt;"Ausgabe",Q1571=""),0,IF(Q1571="x",-$E1571/(COUNTIF($J1571:$Q1571,"x")+1),-$E1571*N(Q1571)))</f>
        <v/>
      </c>
    </row>
    <row r="1572">
      <c r="A1572" s="30" t="n"/>
      <c r="E1572" s="31" t="n"/>
      <c r="J1572" s="32" t="n"/>
      <c r="K1572" s="32" t="n"/>
      <c r="L1572" s="32" t="n"/>
      <c r="M1572" s="32" t="n"/>
      <c r="N1572" s="32" t="n"/>
      <c r="O1572" s="32" t="n"/>
      <c r="P1572" s="32" t="n"/>
      <c r="Q1572" s="32" t="n"/>
      <c r="U1572" s="31">
        <f>IF($A1572="","",SUM(X1572:AE1572))</f>
        <v/>
      </c>
      <c r="V1572" s="31">
        <f>IF($A1572="","",IF($H1572&lt;&gt;"Ausgabe",0,-$E1572-$U1572))</f>
        <v/>
      </c>
      <c r="W1572" s="33">
        <f>IF($A1572="","",DATE(YEAR($A1572),MONTH($A1572),1))</f>
        <v/>
      </c>
      <c r="X1572" s="34">
        <f>IF(OR($A1572="",$H1572&lt;&gt;"Ausgabe",J1572=""),0,IF(J1572="x",-$E1572/(COUNTIF($J1572:$Q1572,"x")+1),-$E1572*N(J1572)))</f>
        <v/>
      </c>
      <c r="Y1572" s="34">
        <f>IF(OR($A1572="",$H1572&lt;&gt;"Ausgabe",K1572=""),0,IF(K1572="x",-$E1572/(COUNTIF($J1572:$Q1572,"x")+1),-$E1572*N(K1572)))</f>
        <v/>
      </c>
      <c r="Z1572" s="34">
        <f>IF(OR($A1572="",$H1572&lt;&gt;"Ausgabe",L1572=""),0,IF(L1572="x",-$E1572/(COUNTIF($J1572:$Q1572,"x")+1),-$E1572*N(L1572)))</f>
        <v/>
      </c>
      <c r="AA1572" s="34">
        <f>IF(OR($A1572="",$H1572&lt;&gt;"Ausgabe",M1572=""),0,IF(M1572="x",-$E1572/(COUNTIF($J1572:$Q1572,"x")+1),-$E1572*N(M1572)))</f>
        <v/>
      </c>
      <c r="AB1572" s="34">
        <f>IF(OR($A1572="",$H1572&lt;&gt;"Ausgabe",N1572=""),0,IF(N1572="x",-$E1572/(COUNTIF($J1572:$Q1572,"x")+1),-$E1572*N(N1572)))</f>
        <v/>
      </c>
      <c r="AC1572" s="34">
        <f>IF(OR($A1572="",$H1572&lt;&gt;"Ausgabe",O1572=""),0,IF(O1572="x",-$E1572/(COUNTIF($J1572:$Q1572,"x")+1),-$E1572*N(O1572)))</f>
        <v/>
      </c>
      <c r="AD1572" s="34">
        <f>IF(OR($A1572="",$H1572&lt;&gt;"Ausgabe",P1572=""),0,IF(P1572="x",-$E1572/(COUNTIF($J1572:$Q1572,"x")+1),-$E1572*N(P1572)))</f>
        <v/>
      </c>
      <c r="AE1572" s="34">
        <f>IF(OR($A1572="",$H1572&lt;&gt;"Ausgabe",Q1572=""),0,IF(Q1572="x",-$E1572/(COUNTIF($J1572:$Q1572,"x")+1),-$E1572*N(Q1572)))</f>
        <v/>
      </c>
    </row>
    <row r="1573">
      <c r="A1573" s="30" t="n"/>
      <c r="E1573" s="31" t="n"/>
      <c r="J1573" s="32" t="n"/>
      <c r="K1573" s="32" t="n"/>
      <c r="L1573" s="32" t="n"/>
      <c r="M1573" s="32" t="n"/>
      <c r="N1573" s="32" t="n"/>
      <c r="O1573" s="32" t="n"/>
      <c r="P1573" s="32" t="n"/>
      <c r="Q1573" s="32" t="n"/>
      <c r="U1573" s="31">
        <f>IF($A1573="","",SUM(X1573:AE1573))</f>
        <v/>
      </c>
      <c r="V1573" s="31">
        <f>IF($A1573="","",IF($H1573&lt;&gt;"Ausgabe",0,-$E1573-$U1573))</f>
        <v/>
      </c>
      <c r="W1573" s="33">
        <f>IF($A1573="","",DATE(YEAR($A1573),MONTH($A1573),1))</f>
        <v/>
      </c>
      <c r="X1573" s="34">
        <f>IF(OR($A1573="",$H1573&lt;&gt;"Ausgabe",J1573=""),0,IF(J1573="x",-$E1573/(COUNTIF($J1573:$Q1573,"x")+1),-$E1573*N(J1573)))</f>
        <v/>
      </c>
      <c r="Y1573" s="34">
        <f>IF(OR($A1573="",$H1573&lt;&gt;"Ausgabe",K1573=""),0,IF(K1573="x",-$E1573/(COUNTIF($J1573:$Q1573,"x")+1),-$E1573*N(K1573)))</f>
        <v/>
      </c>
      <c r="Z1573" s="34">
        <f>IF(OR($A1573="",$H1573&lt;&gt;"Ausgabe",L1573=""),0,IF(L1573="x",-$E1573/(COUNTIF($J1573:$Q1573,"x")+1),-$E1573*N(L1573)))</f>
        <v/>
      </c>
      <c r="AA1573" s="34">
        <f>IF(OR($A1573="",$H1573&lt;&gt;"Ausgabe",M1573=""),0,IF(M1573="x",-$E1573/(COUNTIF($J1573:$Q1573,"x")+1),-$E1573*N(M1573)))</f>
        <v/>
      </c>
      <c r="AB1573" s="34">
        <f>IF(OR($A1573="",$H1573&lt;&gt;"Ausgabe",N1573=""),0,IF(N1573="x",-$E1573/(COUNTIF($J1573:$Q1573,"x")+1),-$E1573*N(N1573)))</f>
        <v/>
      </c>
      <c r="AC1573" s="34">
        <f>IF(OR($A1573="",$H1573&lt;&gt;"Ausgabe",O1573=""),0,IF(O1573="x",-$E1573/(COUNTIF($J1573:$Q1573,"x")+1),-$E1573*N(O1573)))</f>
        <v/>
      </c>
      <c r="AD1573" s="34">
        <f>IF(OR($A1573="",$H1573&lt;&gt;"Ausgabe",P1573=""),0,IF(P1573="x",-$E1573/(COUNTIF($J1573:$Q1573,"x")+1),-$E1573*N(P1573)))</f>
        <v/>
      </c>
      <c r="AE1573" s="34">
        <f>IF(OR($A1573="",$H1573&lt;&gt;"Ausgabe",Q1573=""),0,IF(Q1573="x",-$E1573/(COUNTIF($J1573:$Q1573,"x")+1),-$E1573*N(Q1573)))</f>
        <v/>
      </c>
    </row>
    <row r="1574">
      <c r="A1574" s="30" t="n"/>
      <c r="E1574" s="31" t="n"/>
      <c r="J1574" s="32" t="n"/>
      <c r="K1574" s="32" t="n"/>
      <c r="L1574" s="32" t="n"/>
      <c r="M1574" s="32" t="n"/>
      <c r="N1574" s="32" t="n"/>
      <c r="O1574" s="32" t="n"/>
      <c r="P1574" s="32" t="n"/>
      <c r="Q1574" s="32" t="n"/>
      <c r="U1574" s="31">
        <f>IF($A1574="","",SUM(X1574:AE1574))</f>
        <v/>
      </c>
      <c r="V1574" s="31">
        <f>IF($A1574="","",IF($H1574&lt;&gt;"Ausgabe",0,-$E1574-$U1574))</f>
        <v/>
      </c>
      <c r="W1574" s="33">
        <f>IF($A1574="","",DATE(YEAR($A1574),MONTH($A1574),1))</f>
        <v/>
      </c>
      <c r="X1574" s="34">
        <f>IF(OR($A1574="",$H1574&lt;&gt;"Ausgabe",J1574=""),0,IF(J1574="x",-$E1574/(COUNTIF($J1574:$Q1574,"x")+1),-$E1574*N(J1574)))</f>
        <v/>
      </c>
      <c r="Y1574" s="34">
        <f>IF(OR($A1574="",$H1574&lt;&gt;"Ausgabe",K1574=""),0,IF(K1574="x",-$E1574/(COUNTIF($J1574:$Q1574,"x")+1),-$E1574*N(K1574)))</f>
        <v/>
      </c>
      <c r="Z1574" s="34">
        <f>IF(OR($A1574="",$H1574&lt;&gt;"Ausgabe",L1574=""),0,IF(L1574="x",-$E1574/(COUNTIF($J1574:$Q1574,"x")+1),-$E1574*N(L1574)))</f>
        <v/>
      </c>
      <c r="AA1574" s="34">
        <f>IF(OR($A1574="",$H1574&lt;&gt;"Ausgabe",M1574=""),0,IF(M1574="x",-$E1574/(COUNTIF($J1574:$Q1574,"x")+1),-$E1574*N(M1574)))</f>
        <v/>
      </c>
      <c r="AB1574" s="34">
        <f>IF(OR($A1574="",$H1574&lt;&gt;"Ausgabe",N1574=""),0,IF(N1574="x",-$E1574/(COUNTIF($J1574:$Q1574,"x")+1),-$E1574*N(N1574)))</f>
        <v/>
      </c>
      <c r="AC1574" s="34">
        <f>IF(OR($A1574="",$H1574&lt;&gt;"Ausgabe",O1574=""),0,IF(O1574="x",-$E1574/(COUNTIF($J1574:$Q1574,"x")+1),-$E1574*N(O1574)))</f>
        <v/>
      </c>
      <c r="AD1574" s="34">
        <f>IF(OR($A1574="",$H1574&lt;&gt;"Ausgabe",P1574=""),0,IF(P1574="x",-$E1574/(COUNTIF($J1574:$Q1574,"x")+1),-$E1574*N(P1574)))</f>
        <v/>
      </c>
      <c r="AE1574" s="34">
        <f>IF(OR($A1574="",$H1574&lt;&gt;"Ausgabe",Q1574=""),0,IF(Q1574="x",-$E1574/(COUNTIF($J1574:$Q1574,"x")+1),-$E1574*N(Q1574)))</f>
        <v/>
      </c>
    </row>
    <row r="1575">
      <c r="A1575" s="30" t="n"/>
      <c r="E1575" s="31" t="n"/>
      <c r="J1575" s="32" t="n"/>
      <c r="K1575" s="32" t="n"/>
      <c r="L1575" s="32" t="n"/>
      <c r="M1575" s="32" t="n"/>
      <c r="N1575" s="32" t="n"/>
      <c r="O1575" s="32" t="n"/>
      <c r="P1575" s="32" t="n"/>
      <c r="Q1575" s="32" t="n"/>
      <c r="U1575" s="31">
        <f>IF($A1575="","",SUM(X1575:AE1575))</f>
        <v/>
      </c>
      <c r="V1575" s="31">
        <f>IF($A1575="","",IF($H1575&lt;&gt;"Ausgabe",0,-$E1575-$U1575))</f>
        <v/>
      </c>
      <c r="W1575" s="33">
        <f>IF($A1575="","",DATE(YEAR($A1575),MONTH($A1575),1))</f>
        <v/>
      </c>
      <c r="X1575" s="34">
        <f>IF(OR($A1575="",$H1575&lt;&gt;"Ausgabe",J1575=""),0,IF(J1575="x",-$E1575/(COUNTIF($J1575:$Q1575,"x")+1),-$E1575*N(J1575)))</f>
        <v/>
      </c>
      <c r="Y1575" s="34">
        <f>IF(OR($A1575="",$H1575&lt;&gt;"Ausgabe",K1575=""),0,IF(K1575="x",-$E1575/(COUNTIF($J1575:$Q1575,"x")+1),-$E1575*N(K1575)))</f>
        <v/>
      </c>
      <c r="Z1575" s="34">
        <f>IF(OR($A1575="",$H1575&lt;&gt;"Ausgabe",L1575=""),0,IF(L1575="x",-$E1575/(COUNTIF($J1575:$Q1575,"x")+1),-$E1575*N(L1575)))</f>
        <v/>
      </c>
      <c r="AA1575" s="34">
        <f>IF(OR($A1575="",$H1575&lt;&gt;"Ausgabe",M1575=""),0,IF(M1575="x",-$E1575/(COUNTIF($J1575:$Q1575,"x")+1),-$E1575*N(M1575)))</f>
        <v/>
      </c>
      <c r="AB1575" s="34">
        <f>IF(OR($A1575="",$H1575&lt;&gt;"Ausgabe",N1575=""),0,IF(N1575="x",-$E1575/(COUNTIF($J1575:$Q1575,"x")+1),-$E1575*N(N1575)))</f>
        <v/>
      </c>
      <c r="AC1575" s="34">
        <f>IF(OR($A1575="",$H1575&lt;&gt;"Ausgabe",O1575=""),0,IF(O1575="x",-$E1575/(COUNTIF($J1575:$Q1575,"x")+1),-$E1575*N(O1575)))</f>
        <v/>
      </c>
      <c r="AD1575" s="34">
        <f>IF(OR($A1575="",$H1575&lt;&gt;"Ausgabe",P1575=""),0,IF(P1575="x",-$E1575/(COUNTIF($J1575:$Q1575,"x")+1),-$E1575*N(P1575)))</f>
        <v/>
      </c>
      <c r="AE1575" s="34">
        <f>IF(OR($A1575="",$H1575&lt;&gt;"Ausgabe",Q1575=""),0,IF(Q1575="x",-$E1575/(COUNTIF($J1575:$Q1575,"x")+1),-$E1575*N(Q1575)))</f>
        <v/>
      </c>
    </row>
    <row r="1576">
      <c r="A1576" s="30" t="n"/>
      <c r="E1576" s="31" t="n"/>
      <c r="J1576" s="32" t="n"/>
      <c r="K1576" s="32" t="n"/>
      <c r="L1576" s="32" t="n"/>
      <c r="M1576" s="32" t="n"/>
      <c r="N1576" s="32" t="n"/>
      <c r="O1576" s="32" t="n"/>
      <c r="P1576" s="32" t="n"/>
      <c r="Q1576" s="32" t="n"/>
      <c r="U1576" s="31">
        <f>IF($A1576="","",SUM(X1576:AE1576))</f>
        <v/>
      </c>
      <c r="V1576" s="31">
        <f>IF($A1576="","",IF($H1576&lt;&gt;"Ausgabe",0,-$E1576-$U1576))</f>
        <v/>
      </c>
      <c r="W1576" s="33">
        <f>IF($A1576="","",DATE(YEAR($A1576),MONTH($A1576),1))</f>
        <v/>
      </c>
      <c r="X1576" s="34">
        <f>IF(OR($A1576="",$H1576&lt;&gt;"Ausgabe",J1576=""),0,IF(J1576="x",-$E1576/(COUNTIF($J1576:$Q1576,"x")+1),-$E1576*N(J1576)))</f>
        <v/>
      </c>
      <c r="Y1576" s="34">
        <f>IF(OR($A1576="",$H1576&lt;&gt;"Ausgabe",K1576=""),0,IF(K1576="x",-$E1576/(COUNTIF($J1576:$Q1576,"x")+1),-$E1576*N(K1576)))</f>
        <v/>
      </c>
      <c r="Z1576" s="34">
        <f>IF(OR($A1576="",$H1576&lt;&gt;"Ausgabe",L1576=""),0,IF(L1576="x",-$E1576/(COUNTIF($J1576:$Q1576,"x")+1),-$E1576*N(L1576)))</f>
        <v/>
      </c>
      <c r="AA1576" s="34">
        <f>IF(OR($A1576="",$H1576&lt;&gt;"Ausgabe",M1576=""),0,IF(M1576="x",-$E1576/(COUNTIF($J1576:$Q1576,"x")+1),-$E1576*N(M1576)))</f>
        <v/>
      </c>
      <c r="AB1576" s="34">
        <f>IF(OR($A1576="",$H1576&lt;&gt;"Ausgabe",N1576=""),0,IF(N1576="x",-$E1576/(COUNTIF($J1576:$Q1576,"x")+1),-$E1576*N(N1576)))</f>
        <v/>
      </c>
      <c r="AC1576" s="34">
        <f>IF(OR($A1576="",$H1576&lt;&gt;"Ausgabe",O1576=""),0,IF(O1576="x",-$E1576/(COUNTIF($J1576:$Q1576,"x")+1),-$E1576*N(O1576)))</f>
        <v/>
      </c>
      <c r="AD1576" s="34">
        <f>IF(OR($A1576="",$H1576&lt;&gt;"Ausgabe",P1576=""),0,IF(P1576="x",-$E1576/(COUNTIF($J1576:$Q1576,"x")+1),-$E1576*N(P1576)))</f>
        <v/>
      </c>
      <c r="AE1576" s="34">
        <f>IF(OR($A1576="",$H1576&lt;&gt;"Ausgabe",Q1576=""),0,IF(Q1576="x",-$E1576/(COUNTIF($J1576:$Q1576,"x")+1),-$E1576*N(Q1576)))</f>
        <v/>
      </c>
    </row>
    <row r="1577">
      <c r="A1577" s="30" t="n"/>
      <c r="E1577" s="31" t="n"/>
      <c r="J1577" s="32" t="n"/>
      <c r="K1577" s="32" t="n"/>
      <c r="L1577" s="32" t="n"/>
      <c r="M1577" s="32" t="n"/>
      <c r="N1577" s="32" t="n"/>
      <c r="O1577" s="32" t="n"/>
      <c r="P1577" s="32" t="n"/>
      <c r="Q1577" s="32" t="n"/>
      <c r="U1577" s="31">
        <f>IF($A1577="","",SUM(X1577:AE1577))</f>
        <v/>
      </c>
      <c r="V1577" s="31">
        <f>IF($A1577="","",IF($H1577&lt;&gt;"Ausgabe",0,-$E1577-$U1577))</f>
        <v/>
      </c>
      <c r="W1577" s="33">
        <f>IF($A1577="","",DATE(YEAR($A1577),MONTH($A1577),1))</f>
        <v/>
      </c>
      <c r="X1577" s="34">
        <f>IF(OR($A1577="",$H1577&lt;&gt;"Ausgabe",J1577=""),0,IF(J1577="x",-$E1577/(COUNTIF($J1577:$Q1577,"x")+1),-$E1577*N(J1577)))</f>
        <v/>
      </c>
      <c r="Y1577" s="34">
        <f>IF(OR($A1577="",$H1577&lt;&gt;"Ausgabe",K1577=""),0,IF(K1577="x",-$E1577/(COUNTIF($J1577:$Q1577,"x")+1),-$E1577*N(K1577)))</f>
        <v/>
      </c>
      <c r="Z1577" s="34">
        <f>IF(OR($A1577="",$H1577&lt;&gt;"Ausgabe",L1577=""),0,IF(L1577="x",-$E1577/(COUNTIF($J1577:$Q1577,"x")+1),-$E1577*N(L1577)))</f>
        <v/>
      </c>
      <c r="AA1577" s="34">
        <f>IF(OR($A1577="",$H1577&lt;&gt;"Ausgabe",M1577=""),0,IF(M1577="x",-$E1577/(COUNTIF($J1577:$Q1577,"x")+1),-$E1577*N(M1577)))</f>
        <v/>
      </c>
      <c r="AB1577" s="34">
        <f>IF(OR($A1577="",$H1577&lt;&gt;"Ausgabe",N1577=""),0,IF(N1577="x",-$E1577/(COUNTIF($J1577:$Q1577,"x")+1),-$E1577*N(N1577)))</f>
        <v/>
      </c>
      <c r="AC1577" s="34">
        <f>IF(OR($A1577="",$H1577&lt;&gt;"Ausgabe",O1577=""),0,IF(O1577="x",-$E1577/(COUNTIF($J1577:$Q1577,"x")+1),-$E1577*N(O1577)))</f>
        <v/>
      </c>
      <c r="AD1577" s="34">
        <f>IF(OR($A1577="",$H1577&lt;&gt;"Ausgabe",P1577=""),0,IF(P1577="x",-$E1577/(COUNTIF($J1577:$Q1577,"x")+1),-$E1577*N(P1577)))</f>
        <v/>
      </c>
      <c r="AE1577" s="34">
        <f>IF(OR($A1577="",$H1577&lt;&gt;"Ausgabe",Q1577=""),0,IF(Q1577="x",-$E1577/(COUNTIF($J1577:$Q1577,"x")+1),-$E1577*N(Q1577)))</f>
        <v/>
      </c>
    </row>
    <row r="1578">
      <c r="A1578" s="30" t="n"/>
      <c r="E1578" s="31" t="n"/>
      <c r="J1578" s="32" t="n"/>
      <c r="K1578" s="32" t="n"/>
      <c r="L1578" s="32" t="n"/>
      <c r="M1578" s="32" t="n"/>
      <c r="N1578" s="32" t="n"/>
      <c r="O1578" s="32" t="n"/>
      <c r="P1578" s="32" t="n"/>
      <c r="Q1578" s="32" t="n"/>
      <c r="U1578" s="31">
        <f>IF($A1578="","",SUM(X1578:AE1578))</f>
        <v/>
      </c>
      <c r="V1578" s="31">
        <f>IF($A1578="","",IF($H1578&lt;&gt;"Ausgabe",0,-$E1578-$U1578))</f>
        <v/>
      </c>
      <c r="W1578" s="33">
        <f>IF($A1578="","",DATE(YEAR($A1578),MONTH($A1578),1))</f>
        <v/>
      </c>
      <c r="X1578" s="34">
        <f>IF(OR($A1578="",$H1578&lt;&gt;"Ausgabe",J1578=""),0,IF(J1578="x",-$E1578/(COUNTIF($J1578:$Q1578,"x")+1),-$E1578*N(J1578)))</f>
        <v/>
      </c>
      <c r="Y1578" s="34">
        <f>IF(OR($A1578="",$H1578&lt;&gt;"Ausgabe",K1578=""),0,IF(K1578="x",-$E1578/(COUNTIF($J1578:$Q1578,"x")+1),-$E1578*N(K1578)))</f>
        <v/>
      </c>
      <c r="Z1578" s="34">
        <f>IF(OR($A1578="",$H1578&lt;&gt;"Ausgabe",L1578=""),0,IF(L1578="x",-$E1578/(COUNTIF($J1578:$Q1578,"x")+1),-$E1578*N(L1578)))</f>
        <v/>
      </c>
      <c r="AA1578" s="34">
        <f>IF(OR($A1578="",$H1578&lt;&gt;"Ausgabe",M1578=""),0,IF(M1578="x",-$E1578/(COUNTIF($J1578:$Q1578,"x")+1),-$E1578*N(M1578)))</f>
        <v/>
      </c>
      <c r="AB1578" s="34">
        <f>IF(OR($A1578="",$H1578&lt;&gt;"Ausgabe",N1578=""),0,IF(N1578="x",-$E1578/(COUNTIF($J1578:$Q1578,"x")+1),-$E1578*N(N1578)))</f>
        <v/>
      </c>
      <c r="AC1578" s="34">
        <f>IF(OR($A1578="",$H1578&lt;&gt;"Ausgabe",O1578=""),0,IF(O1578="x",-$E1578/(COUNTIF($J1578:$Q1578,"x")+1),-$E1578*N(O1578)))</f>
        <v/>
      </c>
      <c r="AD1578" s="34">
        <f>IF(OR($A1578="",$H1578&lt;&gt;"Ausgabe",P1578=""),0,IF(P1578="x",-$E1578/(COUNTIF($J1578:$Q1578,"x")+1),-$E1578*N(P1578)))</f>
        <v/>
      </c>
      <c r="AE1578" s="34">
        <f>IF(OR($A1578="",$H1578&lt;&gt;"Ausgabe",Q1578=""),0,IF(Q1578="x",-$E1578/(COUNTIF($J1578:$Q1578,"x")+1),-$E1578*N(Q1578)))</f>
        <v/>
      </c>
    </row>
    <row r="1579">
      <c r="A1579" s="30" t="n"/>
      <c r="E1579" s="31" t="n"/>
      <c r="J1579" s="32" t="n"/>
      <c r="K1579" s="32" t="n"/>
      <c r="L1579" s="32" t="n"/>
      <c r="M1579" s="32" t="n"/>
      <c r="N1579" s="32" t="n"/>
      <c r="O1579" s="32" t="n"/>
      <c r="P1579" s="32" t="n"/>
      <c r="Q1579" s="32" t="n"/>
      <c r="U1579" s="31">
        <f>IF($A1579="","",SUM(X1579:AE1579))</f>
        <v/>
      </c>
      <c r="V1579" s="31">
        <f>IF($A1579="","",IF($H1579&lt;&gt;"Ausgabe",0,-$E1579-$U1579))</f>
        <v/>
      </c>
      <c r="W1579" s="33">
        <f>IF($A1579="","",DATE(YEAR($A1579),MONTH($A1579),1))</f>
        <v/>
      </c>
      <c r="X1579" s="34">
        <f>IF(OR($A1579="",$H1579&lt;&gt;"Ausgabe",J1579=""),0,IF(J1579="x",-$E1579/(COUNTIF($J1579:$Q1579,"x")+1),-$E1579*N(J1579)))</f>
        <v/>
      </c>
      <c r="Y1579" s="34">
        <f>IF(OR($A1579="",$H1579&lt;&gt;"Ausgabe",K1579=""),0,IF(K1579="x",-$E1579/(COUNTIF($J1579:$Q1579,"x")+1),-$E1579*N(K1579)))</f>
        <v/>
      </c>
      <c r="Z1579" s="34">
        <f>IF(OR($A1579="",$H1579&lt;&gt;"Ausgabe",L1579=""),0,IF(L1579="x",-$E1579/(COUNTIF($J1579:$Q1579,"x")+1),-$E1579*N(L1579)))</f>
        <v/>
      </c>
      <c r="AA1579" s="34">
        <f>IF(OR($A1579="",$H1579&lt;&gt;"Ausgabe",M1579=""),0,IF(M1579="x",-$E1579/(COUNTIF($J1579:$Q1579,"x")+1),-$E1579*N(M1579)))</f>
        <v/>
      </c>
      <c r="AB1579" s="34">
        <f>IF(OR($A1579="",$H1579&lt;&gt;"Ausgabe",N1579=""),0,IF(N1579="x",-$E1579/(COUNTIF($J1579:$Q1579,"x")+1),-$E1579*N(N1579)))</f>
        <v/>
      </c>
      <c r="AC1579" s="34">
        <f>IF(OR($A1579="",$H1579&lt;&gt;"Ausgabe",O1579=""),0,IF(O1579="x",-$E1579/(COUNTIF($J1579:$Q1579,"x")+1),-$E1579*N(O1579)))</f>
        <v/>
      </c>
      <c r="AD1579" s="34">
        <f>IF(OR($A1579="",$H1579&lt;&gt;"Ausgabe",P1579=""),0,IF(P1579="x",-$E1579/(COUNTIF($J1579:$Q1579,"x")+1),-$E1579*N(P1579)))</f>
        <v/>
      </c>
      <c r="AE1579" s="34">
        <f>IF(OR($A1579="",$H1579&lt;&gt;"Ausgabe",Q1579=""),0,IF(Q1579="x",-$E1579/(COUNTIF($J1579:$Q1579,"x")+1),-$E1579*N(Q1579)))</f>
        <v/>
      </c>
    </row>
    <row r="1580">
      <c r="A1580" s="30" t="n"/>
      <c r="E1580" s="31" t="n"/>
      <c r="J1580" s="32" t="n"/>
      <c r="K1580" s="32" t="n"/>
      <c r="L1580" s="32" t="n"/>
      <c r="M1580" s="32" t="n"/>
      <c r="N1580" s="32" t="n"/>
      <c r="O1580" s="32" t="n"/>
      <c r="P1580" s="32" t="n"/>
      <c r="Q1580" s="32" t="n"/>
      <c r="U1580" s="31">
        <f>IF($A1580="","",SUM(X1580:AE1580))</f>
        <v/>
      </c>
      <c r="V1580" s="31">
        <f>IF($A1580="","",IF($H1580&lt;&gt;"Ausgabe",0,-$E1580-$U1580))</f>
        <v/>
      </c>
      <c r="W1580" s="33">
        <f>IF($A1580="","",DATE(YEAR($A1580),MONTH($A1580),1))</f>
        <v/>
      </c>
      <c r="X1580" s="34">
        <f>IF(OR($A1580="",$H1580&lt;&gt;"Ausgabe",J1580=""),0,IF(J1580="x",-$E1580/(COUNTIF($J1580:$Q1580,"x")+1),-$E1580*N(J1580)))</f>
        <v/>
      </c>
      <c r="Y1580" s="34">
        <f>IF(OR($A1580="",$H1580&lt;&gt;"Ausgabe",K1580=""),0,IF(K1580="x",-$E1580/(COUNTIF($J1580:$Q1580,"x")+1),-$E1580*N(K1580)))</f>
        <v/>
      </c>
      <c r="Z1580" s="34">
        <f>IF(OR($A1580="",$H1580&lt;&gt;"Ausgabe",L1580=""),0,IF(L1580="x",-$E1580/(COUNTIF($J1580:$Q1580,"x")+1),-$E1580*N(L1580)))</f>
        <v/>
      </c>
      <c r="AA1580" s="34">
        <f>IF(OR($A1580="",$H1580&lt;&gt;"Ausgabe",M1580=""),0,IF(M1580="x",-$E1580/(COUNTIF($J1580:$Q1580,"x")+1),-$E1580*N(M1580)))</f>
        <v/>
      </c>
      <c r="AB1580" s="34">
        <f>IF(OR($A1580="",$H1580&lt;&gt;"Ausgabe",N1580=""),0,IF(N1580="x",-$E1580/(COUNTIF($J1580:$Q1580,"x")+1),-$E1580*N(N1580)))</f>
        <v/>
      </c>
      <c r="AC1580" s="34">
        <f>IF(OR($A1580="",$H1580&lt;&gt;"Ausgabe",O1580=""),0,IF(O1580="x",-$E1580/(COUNTIF($J1580:$Q1580,"x")+1),-$E1580*N(O1580)))</f>
        <v/>
      </c>
      <c r="AD1580" s="34">
        <f>IF(OR($A1580="",$H1580&lt;&gt;"Ausgabe",P1580=""),0,IF(P1580="x",-$E1580/(COUNTIF($J1580:$Q1580,"x")+1),-$E1580*N(P1580)))</f>
        <v/>
      </c>
      <c r="AE1580" s="34">
        <f>IF(OR($A1580="",$H1580&lt;&gt;"Ausgabe",Q1580=""),0,IF(Q1580="x",-$E1580/(COUNTIF($J1580:$Q1580,"x")+1),-$E1580*N(Q1580)))</f>
        <v/>
      </c>
    </row>
    <row r="1581">
      <c r="A1581" s="30" t="n"/>
      <c r="E1581" s="31" t="n"/>
      <c r="J1581" s="32" t="n"/>
      <c r="K1581" s="32" t="n"/>
      <c r="L1581" s="32" t="n"/>
      <c r="M1581" s="32" t="n"/>
      <c r="N1581" s="32" t="n"/>
      <c r="O1581" s="32" t="n"/>
      <c r="P1581" s="32" t="n"/>
      <c r="Q1581" s="32" t="n"/>
      <c r="U1581" s="31">
        <f>IF($A1581="","",SUM(X1581:AE1581))</f>
        <v/>
      </c>
      <c r="V1581" s="31">
        <f>IF($A1581="","",IF($H1581&lt;&gt;"Ausgabe",0,-$E1581-$U1581))</f>
        <v/>
      </c>
      <c r="W1581" s="33">
        <f>IF($A1581="","",DATE(YEAR($A1581),MONTH($A1581),1))</f>
        <v/>
      </c>
      <c r="X1581" s="34">
        <f>IF(OR($A1581="",$H1581&lt;&gt;"Ausgabe",J1581=""),0,IF(J1581="x",-$E1581/(COUNTIF($J1581:$Q1581,"x")+1),-$E1581*N(J1581)))</f>
        <v/>
      </c>
      <c r="Y1581" s="34">
        <f>IF(OR($A1581="",$H1581&lt;&gt;"Ausgabe",K1581=""),0,IF(K1581="x",-$E1581/(COUNTIF($J1581:$Q1581,"x")+1),-$E1581*N(K1581)))</f>
        <v/>
      </c>
      <c r="Z1581" s="34">
        <f>IF(OR($A1581="",$H1581&lt;&gt;"Ausgabe",L1581=""),0,IF(L1581="x",-$E1581/(COUNTIF($J1581:$Q1581,"x")+1),-$E1581*N(L1581)))</f>
        <v/>
      </c>
      <c r="AA1581" s="34">
        <f>IF(OR($A1581="",$H1581&lt;&gt;"Ausgabe",M1581=""),0,IF(M1581="x",-$E1581/(COUNTIF($J1581:$Q1581,"x")+1),-$E1581*N(M1581)))</f>
        <v/>
      </c>
      <c r="AB1581" s="34">
        <f>IF(OR($A1581="",$H1581&lt;&gt;"Ausgabe",N1581=""),0,IF(N1581="x",-$E1581/(COUNTIF($J1581:$Q1581,"x")+1),-$E1581*N(N1581)))</f>
        <v/>
      </c>
      <c r="AC1581" s="34">
        <f>IF(OR($A1581="",$H1581&lt;&gt;"Ausgabe",O1581=""),0,IF(O1581="x",-$E1581/(COUNTIF($J1581:$Q1581,"x")+1),-$E1581*N(O1581)))</f>
        <v/>
      </c>
      <c r="AD1581" s="34">
        <f>IF(OR($A1581="",$H1581&lt;&gt;"Ausgabe",P1581=""),0,IF(P1581="x",-$E1581/(COUNTIF($J1581:$Q1581,"x")+1),-$E1581*N(P1581)))</f>
        <v/>
      </c>
      <c r="AE1581" s="34">
        <f>IF(OR($A1581="",$H1581&lt;&gt;"Ausgabe",Q1581=""),0,IF(Q1581="x",-$E1581/(COUNTIF($J1581:$Q1581,"x")+1),-$E1581*N(Q1581)))</f>
        <v/>
      </c>
    </row>
    <row r="1582">
      <c r="A1582" s="30" t="n"/>
      <c r="E1582" s="31" t="n"/>
      <c r="J1582" s="32" t="n"/>
      <c r="K1582" s="32" t="n"/>
      <c r="L1582" s="32" t="n"/>
      <c r="M1582" s="32" t="n"/>
      <c r="N1582" s="32" t="n"/>
      <c r="O1582" s="32" t="n"/>
      <c r="P1582" s="32" t="n"/>
      <c r="Q1582" s="32" t="n"/>
      <c r="U1582" s="31">
        <f>IF($A1582="","",SUM(X1582:AE1582))</f>
        <v/>
      </c>
      <c r="V1582" s="31">
        <f>IF($A1582="","",IF($H1582&lt;&gt;"Ausgabe",0,-$E1582-$U1582))</f>
        <v/>
      </c>
      <c r="W1582" s="33">
        <f>IF($A1582="","",DATE(YEAR($A1582),MONTH($A1582),1))</f>
        <v/>
      </c>
      <c r="X1582" s="34">
        <f>IF(OR($A1582="",$H1582&lt;&gt;"Ausgabe",J1582=""),0,IF(J1582="x",-$E1582/(COUNTIF($J1582:$Q1582,"x")+1),-$E1582*N(J1582)))</f>
        <v/>
      </c>
      <c r="Y1582" s="34">
        <f>IF(OR($A1582="",$H1582&lt;&gt;"Ausgabe",K1582=""),0,IF(K1582="x",-$E1582/(COUNTIF($J1582:$Q1582,"x")+1),-$E1582*N(K1582)))</f>
        <v/>
      </c>
      <c r="Z1582" s="34">
        <f>IF(OR($A1582="",$H1582&lt;&gt;"Ausgabe",L1582=""),0,IF(L1582="x",-$E1582/(COUNTIF($J1582:$Q1582,"x")+1),-$E1582*N(L1582)))</f>
        <v/>
      </c>
      <c r="AA1582" s="34">
        <f>IF(OR($A1582="",$H1582&lt;&gt;"Ausgabe",M1582=""),0,IF(M1582="x",-$E1582/(COUNTIF($J1582:$Q1582,"x")+1),-$E1582*N(M1582)))</f>
        <v/>
      </c>
      <c r="AB1582" s="34">
        <f>IF(OR($A1582="",$H1582&lt;&gt;"Ausgabe",N1582=""),0,IF(N1582="x",-$E1582/(COUNTIF($J1582:$Q1582,"x")+1),-$E1582*N(N1582)))</f>
        <v/>
      </c>
      <c r="AC1582" s="34">
        <f>IF(OR($A1582="",$H1582&lt;&gt;"Ausgabe",O1582=""),0,IF(O1582="x",-$E1582/(COUNTIF($J1582:$Q1582,"x")+1),-$E1582*N(O1582)))</f>
        <v/>
      </c>
      <c r="AD1582" s="34">
        <f>IF(OR($A1582="",$H1582&lt;&gt;"Ausgabe",P1582=""),0,IF(P1582="x",-$E1582/(COUNTIF($J1582:$Q1582,"x")+1),-$E1582*N(P1582)))</f>
        <v/>
      </c>
      <c r="AE1582" s="34">
        <f>IF(OR($A1582="",$H1582&lt;&gt;"Ausgabe",Q1582=""),0,IF(Q1582="x",-$E1582/(COUNTIF($J1582:$Q1582,"x")+1),-$E1582*N(Q1582)))</f>
        <v/>
      </c>
    </row>
    <row r="1583">
      <c r="A1583" s="30" t="n"/>
      <c r="E1583" s="31" t="n"/>
      <c r="J1583" s="32" t="n"/>
      <c r="K1583" s="32" t="n"/>
      <c r="L1583" s="32" t="n"/>
      <c r="M1583" s="32" t="n"/>
      <c r="N1583" s="32" t="n"/>
      <c r="O1583" s="32" t="n"/>
      <c r="P1583" s="32" t="n"/>
      <c r="Q1583" s="32" t="n"/>
      <c r="U1583" s="31">
        <f>IF($A1583="","",SUM(X1583:AE1583))</f>
        <v/>
      </c>
      <c r="V1583" s="31">
        <f>IF($A1583="","",IF($H1583&lt;&gt;"Ausgabe",0,-$E1583-$U1583))</f>
        <v/>
      </c>
      <c r="W1583" s="33">
        <f>IF($A1583="","",DATE(YEAR($A1583),MONTH($A1583),1))</f>
        <v/>
      </c>
      <c r="X1583" s="34">
        <f>IF(OR($A1583="",$H1583&lt;&gt;"Ausgabe",J1583=""),0,IF(J1583="x",-$E1583/(COUNTIF($J1583:$Q1583,"x")+1),-$E1583*N(J1583)))</f>
        <v/>
      </c>
      <c r="Y1583" s="34">
        <f>IF(OR($A1583="",$H1583&lt;&gt;"Ausgabe",K1583=""),0,IF(K1583="x",-$E1583/(COUNTIF($J1583:$Q1583,"x")+1),-$E1583*N(K1583)))</f>
        <v/>
      </c>
      <c r="Z1583" s="34">
        <f>IF(OR($A1583="",$H1583&lt;&gt;"Ausgabe",L1583=""),0,IF(L1583="x",-$E1583/(COUNTIF($J1583:$Q1583,"x")+1),-$E1583*N(L1583)))</f>
        <v/>
      </c>
      <c r="AA1583" s="34">
        <f>IF(OR($A1583="",$H1583&lt;&gt;"Ausgabe",M1583=""),0,IF(M1583="x",-$E1583/(COUNTIF($J1583:$Q1583,"x")+1),-$E1583*N(M1583)))</f>
        <v/>
      </c>
      <c r="AB1583" s="34">
        <f>IF(OR($A1583="",$H1583&lt;&gt;"Ausgabe",N1583=""),0,IF(N1583="x",-$E1583/(COUNTIF($J1583:$Q1583,"x")+1),-$E1583*N(N1583)))</f>
        <v/>
      </c>
      <c r="AC1583" s="34">
        <f>IF(OR($A1583="",$H1583&lt;&gt;"Ausgabe",O1583=""),0,IF(O1583="x",-$E1583/(COUNTIF($J1583:$Q1583,"x")+1),-$E1583*N(O1583)))</f>
        <v/>
      </c>
      <c r="AD1583" s="34">
        <f>IF(OR($A1583="",$H1583&lt;&gt;"Ausgabe",P1583=""),0,IF(P1583="x",-$E1583/(COUNTIF($J1583:$Q1583,"x")+1),-$E1583*N(P1583)))</f>
        <v/>
      </c>
      <c r="AE1583" s="34">
        <f>IF(OR($A1583="",$H1583&lt;&gt;"Ausgabe",Q1583=""),0,IF(Q1583="x",-$E1583/(COUNTIF($J1583:$Q1583,"x")+1),-$E1583*N(Q1583)))</f>
        <v/>
      </c>
    </row>
    <row r="1584">
      <c r="A1584" s="30" t="n"/>
      <c r="E1584" s="31" t="n"/>
      <c r="J1584" s="32" t="n"/>
      <c r="K1584" s="32" t="n"/>
      <c r="L1584" s="32" t="n"/>
      <c r="M1584" s="32" t="n"/>
      <c r="N1584" s="32" t="n"/>
      <c r="O1584" s="32" t="n"/>
      <c r="P1584" s="32" t="n"/>
      <c r="Q1584" s="32" t="n"/>
      <c r="U1584" s="31">
        <f>IF($A1584="","",SUM(X1584:AE1584))</f>
        <v/>
      </c>
      <c r="V1584" s="31">
        <f>IF($A1584="","",IF($H1584&lt;&gt;"Ausgabe",0,-$E1584-$U1584))</f>
        <v/>
      </c>
      <c r="W1584" s="33">
        <f>IF($A1584="","",DATE(YEAR($A1584),MONTH($A1584),1))</f>
        <v/>
      </c>
      <c r="X1584" s="34">
        <f>IF(OR($A1584="",$H1584&lt;&gt;"Ausgabe",J1584=""),0,IF(J1584="x",-$E1584/(COUNTIF($J1584:$Q1584,"x")+1),-$E1584*N(J1584)))</f>
        <v/>
      </c>
      <c r="Y1584" s="34">
        <f>IF(OR($A1584="",$H1584&lt;&gt;"Ausgabe",K1584=""),0,IF(K1584="x",-$E1584/(COUNTIF($J1584:$Q1584,"x")+1),-$E1584*N(K1584)))</f>
        <v/>
      </c>
      <c r="Z1584" s="34">
        <f>IF(OR($A1584="",$H1584&lt;&gt;"Ausgabe",L1584=""),0,IF(L1584="x",-$E1584/(COUNTIF($J1584:$Q1584,"x")+1),-$E1584*N(L1584)))</f>
        <v/>
      </c>
      <c r="AA1584" s="34">
        <f>IF(OR($A1584="",$H1584&lt;&gt;"Ausgabe",M1584=""),0,IF(M1584="x",-$E1584/(COUNTIF($J1584:$Q1584,"x")+1),-$E1584*N(M1584)))</f>
        <v/>
      </c>
      <c r="AB1584" s="34">
        <f>IF(OR($A1584="",$H1584&lt;&gt;"Ausgabe",N1584=""),0,IF(N1584="x",-$E1584/(COUNTIF($J1584:$Q1584,"x")+1),-$E1584*N(N1584)))</f>
        <v/>
      </c>
      <c r="AC1584" s="34">
        <f>IF(OR($A1584="",$H1584&lt;&gt;"Ausgabe",O1584=""),0,IF(O1584="x",-$E1584/(COUNTIF($J1584:$Q1584,"x")+1),-$E1584*N(O1584)))</f>
        <v/>
      </c>
      <c r="AD1584" s="34">
        <f>IF(OR($A1584="",$H1584&lt;&gt;"Ausgabe",P1584=""),0,IF(P1584="x",-$E1584/(COUNTIF($J1584:$Q1584,"x")+1),-$E1584*N(P1584)))</f>
        <v/>
      </c>
      <c r="AE1584" s="34">
        <f>IF(OR($A1584="",$H1584&lt;&gt;"Ausgabe",Q1584=""),0,IF(Q1584="x",-$E1584/(COUNTIF($J1584:$Q1584,"x")+1),-$E1584*N(Q1584)))</f>
        <v/>
      </c>
    </row>
    <row r="1585">
      <c r="A1585" s="30" t="n"/>
      <c r="E1585" s="31" t="n"/>
      <c r="J1585" s="32" t="n"/>
      <c r="K1585" s="32" t="n"/>
      <c r="L1585" s="32" t="n"/>
      <c r="M1585" s="32" t="n"/>
      <c r="N1585" s="32" t="n"/>
      <c r="O1585" s="32" t="n"/>
      <c r="P1585" s="32" t="n"/>
      <c r="Q1585" s="32" t="n"/>
      <c r="U1585" s="31">
        <f>IF($A1585="","",SUM(X1585:AE1585))</f>
        <v/>
      </c>
      <c r="V1585" s="31">
        <f>IF($A1585="","",IF($H1585&lt;&gt;"Ausgabe",0,-$E1585-$U1585))</f>
        <v/>
      </c>
      <c r="W1585" s="33">
        <f>IF($A1585="","",DATE(YEAR($A1585),MONTH($A1585),1))</f>
        <v/>
      </c>
      <c r="X1585" s="34">
        <f>IF(OR($A1585="",$H1585&lt;&gt;"Ausgabe",J1585=""),0,IF(J1585="x",-$E1585/(COUNTIF($J1585:$Q1585,"x")+1),-$E1585*N(J1585)))</f>
        <v/>
      </c>
      <c r="Y1585" s="34">
        <f>IF(OR($A1585="",$H1585&lt;&gt;"Ausgabe",K1585=""),0,IF(K1585="x",-$E1585/(COUNTIF($J1585:$Q1585,"x")+1),-$E1585*N(K1585)))</f>
        <v/>
      </c>
      <c r="Z1585" s="34">
        <f>IF(OR($A1585="",$H1585&lt;&gt;"Ausgabe",L1585=""),0,IF(L1585="x",-$E1585/(COUNTIF($J1585:$Q1585,"x")+1),-$E1585*N(L1585)))</f>
        <v/>
      </c>
      <c r="AA1585" s="34">
        <f>IF(OR($A1585="",$H1585&lt;&gt;"Ausgabe",M1585=""),0,IF(M1585="x",-$E1585/(COUNTIF($J1585:$Q1585,"x")+1),-$E1585*N(M1585)))</f>
        <v/>
      </c>
      <c r="AB1585" s="34">
        <f>IF(OR($A1585="",$H1585&lt;&gt;"Ausgabe",N1585=""),0,IF(N1585="x",-$E1585/(COUNTIF($J1585:$Q1585,"x")+1),-$E1585*N(N1585)))</f>
        <v/>
      </c>
      <c r="AC1585" s="34">
        <f>IF(OR($A1585="",$H1585&lt;&gt;"Ausgabe",O1585=""),0,IF(O1585="x",-$E1585/(COUNTIF($J1585:$Q1585,"x")+1),-$E1585*N(O1585)))</f>
        <v/>
      </c>
      <c r="AD1585" s="34">
        <f>IF(OR($A1585="",$H1585&lt;&gt;"Ausgabe",P1585=""),0,IF(P1585="x",-$E1585/(COUNTIF($J1585:$Q1585,"x")+1),-$E1585*N(P1585)))</f>
        <v/>
      </c>
      <c r="AE1585" s="34">
        <f>IF(OR($A1585="",$H1585&lt;&gt;"Ausgabe",Q1585=""),0,IF(Q1585="x",-$E1585/(COUNTIF($J1585:$Q1585,"x")+1),-$E1585*N(Q1585)))</f>
        <v/>
      </c>
    </row>
    <row r="1586">
      <c r="A1586" s="30" t="n"/>
      <c r="E1586" s="31" t="n"/>
      <c r="J1586" s="32" t="n"/>
      <c r="K1586" s="32" t="n"/>
      <c r="L1586" s="32" t="n"/>
      <c r="M1586" s="32" t="n"/>
      <c r="N1586" s="32" t="n"/>
      <c r="O1586" s="32" t="n"/>
      <c r="P1586" s="32" t="n"/>
      <c r="Q1586" s="32" t="n"/>
      <c r="U1586" s="31">
        <f>IF($A1586="","",SUM(X1586:AE1586))</f>
        <v/>
      </c>
      <c r="V1586" s="31">
        <f>IF($A1586="","",IF($H1586&lt;&gt;"Ausgabe",0,-$E1586-$U1586))</f>
        <v/>
      </c>
      <c r="W1586" s="33">
        <f>IF($A1586="","",DATE(YEAR($A1586),MONTH($A1586),1))</f>
        <v/>
      </c>
      <c r="X1586" s="34">
        <f>IF(OR($A1586="",$H1586&lt;&gt;"Ausgabe",J1586=""),0,IF(J1586="x",-$E1586/(COUNTIF($J1586:$Q1586,"x")+1),-$E1586*N(J1586)))</f>
        <v/>
      </c>
      <c r="Y1586" s="34">
        <f>IF(OR($A1586="",$H1586&lt;&gt;"Ausgabe",K1586=""),0,IF(K1586="x",-$E1586/(COUNTIF($J1586:$Q1586,"x")+1),-$E1586*N(K1586)))</f>
        <v/>
      </c>
      <c r="Z1586" s="34">
        <f>IF(OR($A1586="",$H1586&lt;&gt;"Ausgabe",L1586=""),0,IF(L1586="x",-$E1586/(COUNTIF($J1586:$Q1586,"x")+1),-$E1586*N(L1586)))</f>
        <v/>
      </c>
      <c r="AA1586" s="34">
        <f>IF(OR($A1586="",$H1586&lt;&gt;"Ausgabe",M1586=""),0,IF(M1586="x",-$E1586/(COUNTIF($J1586:$Q1586,"x")+1),-$E1586*N(M1586)))</f>
        <v/>
      </c>
      <c r="AB1586" s="34">
        <f>IF(OR($A1586="",$H1586&lt;&gt;"Ausgabe",N1586=""),0,IF(N1586="x",-$E1586/(COUNTIF($J1586:$Q1586,"x")+1),-$E1586*N(N1586)))</f>
        <v/>
      </c>
      <c r="AC1586" s="34">
        <f>IF(OR($A1586="",$H1586&lt;&gt;"Ausgabe",O1586=""),0,IF(O1586="x",-$E1586/(COUNTIF($J1586:$Q1586,"x")+1),-$E1586*N(O1586)))</f>
        <v/>
      </c>
      <c r="AD1586" s="34">
        <f>IF(OR($A1586="",$H1586&lt;&gt;"Ausgabe",P1586=""),0,IF(P1586="x",-$E1586/(COUNTIF($J1586:$Q1586,"x")+1),-$E1586*N(P1586)))</f>
        <v/>
      </c>
      <c r="AE1586" s="34">
        <f>IF(OR($A1586="",$H1586&lt;&gt;"Ausgabe",Q1586=""),0,IF(Q1586="x",-$E1586/(COUNTIF($J1586:$Q1586,"x")+1),-$E1586*N(Q1586)))</f>
        <v/>
      </c>
    </row>
    <row r="1587">
      <c r="A1587" s="30" t="n"/>
      <c r="E1587" s="31" t="n"/>
      <c r="J1587" s="32" t="n"/>
      <c r="K1587" s="32" t="n"/>
      <c r="L1587" s="32" t="n"/>
      <c r="M1587" s="32" t="n"/>
      <c r="N1587" s="32" t="n"/>
      <c r="O1587" s="32" t="n"/>
      <c r="P1587" s="32" t="n"/>
      <c r="Q1587" s="32" t="n"/>
      <c r="U1587" s="31">
        <f>IF($A1587="","",SUM(X1587:AE1587))</f>
        <v/>
      </c>
      <c r="V1587" s="31">
        <f>IF($A1587="","",IF($H1587&lt;&gt;"Ausgabe",0,-$E1587-$U1587))</f>
        <v/>
      </c>
      <c r="W1587" s="33">
        <f>IF($A1587="","",DATE(YEAR($A1587),MONTH($A1587),1))</f>
        <v/>
      </c>
      <c r="X1587" s="34">
        <f>IF(OR($A1587="",$H1587&lt;&gt;"Ausgabe",J1587=""),0,IF(J1587="x",-$E1587/(COUNTIF($J1587:$Q1587,"x")+1),-$E1587*N(J1587)))</f>
        <v/>
      </c>
      <c r="Y1587" s="34">
        <f>IF(OR($A1587="",$H1587&lt;&gt;"Ausgabe",K1587=""),0,IF(K1587="x",-$E1587/(COUNTIF($J1587:$Q1587,"x")+1),-$E1587*N(K1587)))</f>
        <v/>
      </c>
      <c r="Z1587" s="34">
        <f>IF(OR($A1587="",$H1587&lt;&gt;"Ausgabe",L1587=""),0,IF(L1587="x",-$E1587/(COUNTIF($J1587:$Q1587,"x")+1),-$E1587*N(L1587)))</f>
        <v/>
      </c>
      <c r="AA1587" s="34">
        <f>IF(OR($A1587="",$H1587&lt;&gt;"Ausgabe",M1587=""),0,IF(M1587="x",-$E1587/(COUNTIF($J1587:$Q1587,"x")+1),-$E1587*N(M1587)))</f>
        <v/>
      </c>
      <c r="AB1587" s="34">
        <f>IF(OR($A1587="",$H1587&lt;&gt;"Ausgabe",N1587=""),0,IF(N1587="x",-$E1587/(COUNTIF($J1587:$Q1587,"x")+1),-$E1587*N(N1587)))</f>
        <v/>
      </c>
      <c r="AC1587" s="34">
        <f>IF(OR($A1587="",$H1587&lt;&gt;"Ausgabe",O1587=""),0,IF(O1587="x",-$E1587/(COUNTIF($J1587:$Q1587,"x")+1),-$E1587*N(O1587)))</f>
        <v/>
      </c>
      <c r="AD1587" s="34">
        <f>IF(OR($A1587="",$H1587&lt;&gt;"Ausgabe",P1587=""),0,IF(P1587="x",-$E1587/(COUNTIF($J1587:$Q1587,"x")+1),-$E1587*N(P1587)))</f>
        <v/>
      </c>
      <c r="AE1587" s="34">
        <f>IF(OR($A1587="",$H1587&lt;&gt;"Ausgabe",Q1587=""),0,IF(Q1587="x",-$E1587/(COUNTIF($J1587:$Q1587,"x")+1),-$E1587*N(Q1587)))</f>
        <v/>
      </c>
    </row>
    <row r="1588">
      <c r="A1588" s="30" t="n"/>
      <c r="E1588" s="31" t="n"/>
      <c r="J1588" s="32" t="n"/>
      <c r="K1588" s="32" t="n"/>
      <c r="L1588" s="32" t="n"/>
      <c r="M1588" s="32" t="n"/>
      <c r="N1588" s="32" t="n"/>
      <c r="O1588" s="32" t="n"/>
      <c r="P1588" s="32" t="n"/>
      <c r="Q1588" s="32" t="n"/>
      <c r="U1588" s="31">
        <f>IF($A1588="","",SUM(X1588:AE1588))</f>
        <v/>
      </c>
      <c r="V1588" s="31">
        <f>IF($A1588="","",IF($H1588&lt;&gt;"Ausgabe",0,-$E1588-$U1588))</f>
        <v/>
      </c>
      <c r="W1588" s="33">
        <f>IF($A1588="","",DATE(YEAR($A1588),MONTH($A1588),1))</f>
        <v/>
      </c>
      <c r="X1588" s="34">
        <f>IF(OR($A1588="",$H1588&lt;&gt;"Ausgabe",J1588=""),0,IF(J1588="x",-$E1588/(COUNTIF($J1588:$Q1588,"x")+1),-$E1588*N(J1588)))</f>
        <v/>
      </c>
      <c r="Y1588" s="34">
        <f>IF(OR($A1588="",$H1588&lt;&gt;"Ausgabe",K1588=""),0,IF(K1588="x",-$E1588/(COUNTIF($J1588:$Q1588,"x")+1),-$E1588*N(K1588)))</f>
        <v/>
      </c>
      <c r="Z1588" s="34">
        <f>IF(OR($A1588="",$H1588&lt;&gt;"Ausgabe",L1588=""),0,IF(L1588="x",-$E1588/(COUNTIF($J1588:$Q1588,"x")+1),-$E1588*N(L1588)))</f>
        <v/>
      </c>
      <c r="AA1588" s="34">
        <f>IF(OR($A1588="",$H1588&lt;&gt;"Ausgabe",M1588=""),0,IF(M1588="x",-$E1588/(COUNTIF($J1588:$Q1588,"x")+1),-$E1588*N(M1588)))</f>
        <v/>
      </c>
      <c r="AB1588" s="34">
        <f>IF(OR($A1588="",$H1588&lt;&gt;"Ausgabe",N1588=""),0,IF(N1588="x",-$E1588/(COUNTIF($J1588:$Q1588,"x")+1),-$E1588*N(N1588)))</f>
        <v/>
      </c>
      <c r="AC1588" s="34">
        <f>IF(OR($A1588="",$H1588&lt;&gt;"Ausgabe",O1588=""),0,IF(O1588="x",-$E1588/(COUNTIF($J1588:$Q1588,"x")+1),-$E1588*N(O1588)))</f>
        <v/>
      </c>
      <c r="AD1588" s="34">
        <f>IF(OR($A1588="",$H1588&lt;&gt;"Ausgabe",P1588=""),0,IF(P1588="x",-$E1588/(COUNTIF($J1588:$Q1588,"x")+1),-$E1588*N(P1588)))</f>
        <v/>
      </c>
      <c r="AE1588" s="34">
        <f>IF(OR($A1588="",$H1588&lt;&gt;"Ausgabe",Q1588=""),0,IF(Q1588="x",-$E1588/(COUNTIF($J1588:$Q1588,"x")+1),-$E1588*N(Q1588)))</f>
        <v/>
      </c>
    </row>
    <row r="1589">
      <c r="A1589" s="30" t="n"/>
      <c r="E1589" s="31" t="n"/>
      <c r="J1589" s="32" t="n"/>
      <c r="K1589" s="32" t="n"/>
      <c r="L1589" s="32" t="n"/>
      <c r="M1589" s="32" t="n"/>
      <c r="N1589" s="32" t="n"/>
      <c r="O1589" s="32" t="n"/>
      <c r="P1589" s="32" t="n"/>
      <c r="Q1589" s="32" t="n"/>
      <c r="U1589" s="31">
        <f>IF($A1589="","",SUM(X1589:AE1589))</f>
        <v/>
      </c>
      <c r="V1589" s="31">
        <f>IF($A1589="","",IF($H1589&lt;&gt;"Ausgabe",0,-$E1589-$U1589))</f>
        <v/>
      </c>
      <c r="W1589" s="33">
        <f>IF($A1589="","",DATE(YEAR($A1589),MONTH($A1589),1))</f>
        <v/>
      </c>
      <c r="X1589" s="34">
        <f>IF(OR($A1589="",$H1589&lt;&gt;"Ausgabe",J1589=""),0,IF(J1589="x",-$E1589/(COUNTIF($J1589:$Q1589,"x")+1),-$E1589*N(J1589)))</f>
        <v/>
      </c>
      <c r="Y1589" s="34">
        <f>IF(OR($A1589="",$H1589&lt;&gt;"Ausgabe",K1589=""),0,IF(K1589="x",-$E1589/(COUNTIF($J1589:$Q1589,"x")+1),-$E1589*N(K1589)))</f>
        <v/>
      </c>
      <c r="Z1589" s="34">
        <f>IF(OR($A1589="",$H1589&lt;&gt;"Ausgabe",L1589=""),0,IF(L1589="x",-$E1589/(COUNTIF($J1589:$Q1589,"x")+1),-$E1589*N(L1589)))</f>
        <v/>
      </c>
      <c r="AA1589" s="34">
        <f>IF(OR($A1589="",$H1589&lt;&gt;"Ausgabe",M1589=""),0,IF(M1589="x",-$E1589/(COUNTIF($J1589:$Q1589,"x")+1),-$E1589*N(M1589)))</f>
        <v/>
      </c>
      <c r="AB1589" s="34">
        <f>IF(OR($A1589="",$H1589&lt;&gt;"Ausgabe",N1589=""),0,IF(N1589="x",-$E1589/(COUNTIF($J1589:$Q1589,"x")+1),-$E1589*N(N1589)))</f>
        <v/>
      </c>
      <c r="AC1589" s="34">
        <f>IF(OR($A1589="",$H1589&lt;&gt;"Ausgabe",O1589=""),0,IF(O1589="x",-$E1589/(COUNTIF($J1589:$Q1589,"x")+1),-$E1589*N(O1589)))</f>
        <v/>
      </c>
      <c r="AD1589" s="34">
        <f>IF(OR($A1589="",$H1589&lt;&gt;"Ausgabe",P1589=""),0,IF(P1589="x",-$E1589/(COUNTIF($J1589:$Q1589,"x")+1),-$E1589*N(P1589)))</f>
        <v/>
      </c>
      <c r="AE1589" s="34">
        <f>IF(OR($A1589="",$H1589&lt;&gt;"Ausgabe",Q1589=""),0,IF(Q1589="x",-$E1589/(COUNTIF($J1589:$Q1589,"x")+1),-$E1589*N(Q1589)))</f>
        <v/>
      </c>
    </row>
    <row r="1590">
      <c r="A1590" s="30" t="n"/>
      <c r="E1590" s="31" t="n"/>
      <c r="J1590" s="32" t="n"/>
      <c r="K1590" s="32" t="n"/>
      <c r="L1590" s="32" t="n"/>
      <c r="M1590" s="32" t="n"/>
      <c r="N1590" s="32" t="n"/>
      <c r="O1590" s="32" t="n"/>
      <c r="P1590" s="32" t="n"/>
      <c r="Q1590" s="32" t="n"/>
      <c r="U1590" s="31">
        <f>IF($A1590="","",SUM(X1590:AE1590))</f>
        <v/>
      </c>
      <c r="V1590" s="31">
        <f>IF($A1590="","",IF($H1590&lt;&gt;"Ausgabe",0,-$E1590-$U1590))</f>
        <v/>
      </c>
      <c r="W1590" s="33">
        <f>IF($A1590="","",DATE(YEAR($A1590),MONTH($A1590),1))</f>
        <v/>
      </c>
      <c r="X1590" s="34">
        <f>IF(OR($A1590="",$H1590&lt;&gt;"Ausgabe",J1590=""),0,IF(J1590="x",-$E1590/(COUNTIF($J1590:$Q1590,"x")+1),-$E1590*N(J1590)))</f>
        <v/>
      </c>
      <c r="Y1590" s="34">
        <f>IF(OR($A1590="",$H1590&lt;&gt;"Ausgabe",K1590=""),0,IF(K1590="x",-$E1590/(COUNTIF($J1590:$Q1590,"x")+1),-$E1590*N(K1590)))</f>
        <v/>
      </c>
      <c r="Z1590" s="34">
        <f>IF(OR($A1590="",$H1590&lt;&gt;"Ausgabe",L1590=""),0,IF(L1590="x",-$E1590/(COUNTIF($J1590:$Q1590,"x")+1),-$E1590*N(L1590)))</f>
        <v/>
      </c>
      <c r="AA1590" s="34">
        <f>IF(OR($A1590="",$H1590&lt;&gt;"Ausgabe",M1590=""),0,IF(M1590="x",-$E1590/(COUNTIF($J1590:$Q1590,"x")+1),-$E1590*N(M1590)))</f>
        <v/>
      </c>
      <c r="AB1590" s="34">
        <f>IF(OR($A1590="",$H1590&lt;&gt;"Ausgabe",N1590=""),0,IF(N1590="x",-$E1590/(COUNTIF($J1590:$Q1590,"x")+1),-$E1590*N(N1590)))</f>
        <v/>
      </c>
      <c r="AC1590" s="34">
        <f>IF(OR($A1590="",$H1590&lt;&gt;"Ausgabe",O1590=""),0,IF(O1590="x",-$E1590/(COUNTIF($J1590:$Q1590,"x")+1),-$E1590*N(O1590)))</f>
        <v/>
      </c>
      <c r="AD1590" s="34">
        <f>IF(OR($A1590="",$H1590&lt;&gt;"Ausgabe",P1590=""),0,IF(P1590="x",-$E1590/(COUNTIF($J1590:$Q1590,"x")+1),-$E1590*N(P1590)))</f>
        <v/>
      </c>
      <c r="AE1590" s="34">
        <f>IF(OR($A1590="",$H1590&lt;&gt;"Ausgabe",Q1590=""),0,IF(Q1590="x",-$E1590/(COUNTIF($J1590:$Q1590,"x")+1),-$E1590*N(Q1590)))</f>
        <v/>
      </c>
    </row>
    <row r="1591">
      <c r="A1591" s="30" t="n"/>
      <c r="E1591" s="31" t="n"/>
      <c r="J1591" s="32" t="n"/>
      <c r="K1591" s="32" t="n"/>
      <c r="L1591" s="32" t="n"/>
      <c r="M1591" s="32" t="n"/>
      <c r="N1591" s="32" t="n"/>
      <c r="O1591" s="32" t="n"/>
      <c r="P1591" s="32" t="n"/>
      <c r="Q1591" s="32" t="n"/>
      <c r="U1591" s="31">
        <f>IF($A1591="","",SUM(X1591:AE1591))</f>
        <v/>
      </c>
      <c r="V1591" s="31">
        <f>IF($A1591="","",IF($H1591&lt;&gt;"Ausgabe",0,-$E1591-$U1591))</f>
        <v/>
      </c>
      <c r="W1591" s="33">
        <f>IF($A1591="","",DATE(YEAR($A1591),MONTH($A1591),1))</f>
        <v/>
      </c>
      <c r="X1591" s="34">
        <f>IF(OR($A1591="",$H1591&lt;&gt;"Ausgabe",J1591=""),0,IF(J1591="x",-$E1591/(COUNTIF($J1591:$Q1591,"x")+1),-$E1591*N(J1591)))</f>
        <v/>
      </c>
      <c r="Y1591" s="34">
        <f>IF(OR($A1591="",$H1591&lt;&gt;"Ausgabe",K1591=""),0,IF(K1591="x",-$E1591/(COUNTIF($J1591:$Q1591,"x")+1),-$E1591*N(K1591)))</f>
        <v/>
      </c>
      <c r="Z1591" s="34">
        <f>IF(OR($A1591="",$H1591&lt;&gt;"Ausgabe",L1591=""),0,IF(L1591="x",-$E1591/(COUNTIF($J1591:$Q1591,"x")+1),-$E1591*N(L1591)))</f>
        <v/>
      </c>
      <c r="AA1591" s="34">
        <f>IF(OR($A1591="",$H1591&lt;&gt;"Ausgabe",M1591=""),0,IF(M1591="x",-$E1591/(COUNTIF($J1591:$Q1591,"x")+1),-$E1591*N(M1591)))</f>
        <v/>
      </c>
      <c r="AB1591" s="34">
        <f>IF(OR($A1591="",$H1591&lt;&gt;"Ausgabe",N1591=""),0,IF(N1591="x",-$E1591/(COUNTIF($J1591:$Q1591,"x")+1),-$E1591*N(N1591)))</f>
        <v/>
      </c>
      <c r="AC1591" s="34">
        <f>IF(OR($A1591="",$H1591&lt;&gt;"Ausgabe",O1591=""),0,IF(O1591="x",-$E1591/(COUNTIF($J1591:$Q1591,"x")+1),-$E1591*N(O1591)))</f>
        <v/>
      </c>
      <c r="AD1591" s="34">
        <f>IF(OR($A1591="",$H1591&lt;&gt;"Ausgabe",P1591=""),0,IF(P1591="x",-$E1591/(COUNTIF($J1591:$Q1591,"x")+1),-$E1591*N(P1591)))</f>
        <v/>
      </c>
      <c r="AE1591" s="34">
        <f>IF(OR($A1591="",$H1591&lt;&gt;"Ausgabe",Q1591=""),0,IF(Q1591="x",-$E1591/(COUNTIF($J1591:$Q1591,"x")+1),-$E1591*N(Q1591)))</f>
        <v/>
      </c>
    </row>
    <row r="1592">
      <c r="A1592" s="30" t="n"/>
      <c r="E1592" s="31" t="n"/>
      <c r="J1592" s="32" t="n"/>
      <c r="K1592" s="32" t="n"/>
      <c r="L1592" s="32" t="n"/>
      <c r="M1592" s="32" t="n"/>
      <c r="N1592" s="32" t="n"/>
      <c r="O1592" s="32" t="n"/>
      <c r="P1592" s="32" t="n"/>
      <c r="Q1592" s="32" t="n"/>
      <c r="U1592" s="31">
        <f>IF($A1592="","",SUM(X1592:AE1592))</f>
        <v/>
      </c>
      <c r="V1592" s="31">
        <f>IF($A1592="","",IF($H1592&lt;&gt;"Ausgabe",0,-$E1592-$U1592))</f>
        <v/>
      </c>
      <c r="W1592" s="33">
        <f>IF($A1592="","",DATE(YEAR($A1592),MONTH($A1592),1))</f>
        <v/>
      </c>
      <c r="X1592" s="34">
        <f>IF(OR($A1592="",$H1592&lt;&gt;"Ausgabe",J1592=""),0,IF(J1592="x",-$E1592/(COUNTIF($J1592:$Q1592,"x")+1),-$E1592*N(J1592)))</f>
        <v/>
      </c>
      <c r="Y1592" s="34">
        <f>IF(OR($A1592="",$H1592&lt;&gt;"Ausgabe",K1592=""),0,IF(K1592="x",-$E1592/(COUNTIF($J1592:$Q1592,"x")+1),-$E1592*N(K1592)))</f>
        <v/>
      </c>
      <c r="Z1592" s="34">
        <f>IF(OR($A1592="",$H1592&lt;&gt;"Ausgabe",L1592=""),0,IF(L1592="x",-$E1592/(COUNTIF($J1592:$Q1592,"x")+1),-$E1592*N(L1592)))</f>
        <v/>
      </c>
      <c r="AA1592" s="34">
        <f>IF(OR($A1592="",$H1592&lt;&gt;"Ausgabe",M1592=""),0,IF(M1592="x",-$E1592/(COUNTIF($J1592:$Q1592,"x")+1),-$E1592*N(M1592)))</f>
        <v/>
      </c>
      <c r="AB1592" s="34">
        <f>IF(OR($A1592="",$H1592&lt;&gt;"Ausgabe",N1592=""),0,IF(N1592="x",-$E1592/(COUNTIF($J1592:$Q1592,"x")+1),-$E1592*N(N1592)))</f>
        <v/>
      </c>
      <c r="AC1592" s="34">
        <f>IF(OR($A1592="",$H1592&lt;&gt;"Ausgabe",O1592=""),0,IF(O1592="x",-$E1592/(COUNTIF($J1592:$Q1592,"x")+1),-$E1592*N(O1592)))</f>
        <v/>
      </c>
      <c r="AD1592" s="34">
        <f>IF(OR($A1592="",$H1592&lt;&gt;"Ausgabe",P1592=""),0,IF(P1592="x",-$E1592/(COUNTIF($J1592:$Q1592,"x")+1),-$E1592*N(P1592)))</f>
        <v/>
      </c>
      <c r="AE1592" s="34">
        <f>IF(OR($A1592="",$H1592&lt;&gt;"Ausgabe",Q1592=""),0,IF(Q1592="x",-$E1592/(COUNTIF($J1592:$Q1592,"x")+1),-$E1592*N(Q1592)))</f>
        <v/>
      </c>
    </row>
    <row r="1593">
      <c r="A1593" s="30" t="n"/>
      <c r="E1593" s="31" t="n"/>
      <c r="J1593" s="32" t="n"/>
      <c r="K1593" s="32" t="n"/>
      <c r="L1593" s="32" t="n"/>
      <c r="M1593" s="32" t="n"/>
      <c r="N1593" s="32" t="n"/>
      <c r="O1593" s="32" t="n"/>
      <c r="P1593" s="32" t="n"/>
      <c r="Q1593" s="32" t="n"/>
      <c r="U1593" s="31">
        <f>IF($A1593="","",SUM(X1593:AE1593))</f>
        <v/>
      </c>
      <c r="V1593" s="31">
        <f>IF($A1593="","",IF($H1593&lt;&gt;"Ausgabe",0,-$E1593-$U1593))</f>
        <v/>
      </c>
      <c r="W1593" s="33">
        <f>IF($A1593="","",DATE(YEAR($A1593),MONTH($A1593),1))</f>
        <v/>
      </c>
      <c r="X1593" s="34">
        <f>IF(OR($A1593="",$H1593&lt;&gt;"Ausgabe",J1593=""),0,IF(J1593="x",-$E1593/(COUNTIF($J1593:$Q1593,"x")+1),-$E1593*N(J1593)))</f>
        <v/>
      </c>
      <c r="Y1593" s="34">
        <f>IF(OR($A1593="",$H1593&lt;&gt;"Ausgabe",K1593=""),0,IF(K1593="x",-$E1593/(COUNTIF($J1593:$Q1593,"x")+1),-$E1593*N(K1593)))</f>
        <v/>
      </c>
      <c r="Z1593" s="34">
        <f>IF(OR($A1593="",$H1593&lt;&gt;"Ausgabe",L1593=""),0,IF(L1593="x",-$E1593/(COUNTIF($J1593:$Q1593,"x")+1),-$E1593*N(L1593)))</f>
        <v/>
      </c>
      <c r="AA1593" s="34">
        <f>IF(OR($A1593="",$H1593&lt;&gt;"Ausgabe",M1593=""),0,IF(M1593="x",-$E1593/(COUNTIF($J1593:$Q1593,"x")+1),-$E1593*N(M1593)))</f>
        <v/>
      </c>
      <c r="AB1593" s="34">
        <f>IF(OR($A1593="",$H1593&lt;&gt;"Ausgabe",N1593=""),0,IF(N1593="x",-$E1593/(COUNTIF($J1593:$Q1593,"x")+1),-$E1593*N(N1593)))</f>
        <v/>
      </c>
      <c r="AC1593" s="34">
        <f>IF(OR($A1593="",$H1593&lt;&gt;"Ausgabe",O1593=""),0,IF(O1593="x",-$E1593/(COUNTIF($J1593:$Q1593,"x")+1),-$E1593*N(O1593)))</f>
        <v/>
      </c>
      <c r="AD1593" s="34">
        <f>IF(OR($A1593="",$H1593&lt;&gt;"Ausgabe",P1593=""),0,IF(P1593="x",-$E1593/(COUNTIF($J1593:$Q1593,"x")+1),-$E1593*N(P1593)))</f>
        <v/>
      </c>
      <c r="AE1593" s="34">
        <f>IF(OR($A1593="",$H1593&lt;&gt;"Ausgabe",Q1593=""),0,IF(Q1593="x",-$E1593/(COUNTIF($J1593:$Q1593,"x")+1),-$E1593*N(Q1593)))</f>
        <v/>
      </c>
    </row>
    <row r="1594">
      <c r="A1594" s="30" t="n"/>
      <c r="E1594" s="31" t="n"/>
      <c r="J1594" s="32" t="n"/>
      <c r="K1594" s="32" t="n"/>
      <c r="L1594" s="32" t="n"/>
      <c r="M1594" s="32" t="n"/>
      <c r="N1594" s="32" t="n"/>
      <c r="O1594" s="32" t="n"/>
      <c r="P1594" s="32" t="n"/>
      <c r="Q1594" s="32" t="n"/>
      <c r="U1594" s="31">
        <f>IF($A1594="","",SUM(X1594:AE1594))</f>
        <v/>
      </c>
      <c r="V1594" s="31">
        <f>IF($A1594="","",IF($H1594&lt;&gt;"Ausgabe",0,-$E1594-$U1594))</f>
        <v/>
      </c>
      <c r="W1594" s="33">
        <f>IF($A1594="","",DATE(YEAR($A1594),MONTH($A1594),1))</f>
        <v/>
      </c>
      <c r="X1594" s="34">
        <f>IF(OR($A1594="",$H1594&lt;&gt;"Ausgabe",J1594=""),0,IF(J1594="x",-$E1594/(COUNTIF($J1594:$Q1594,"x")+1),-$E1594*N(J1594)))</f>
        <v/>
      </c>
      <c r="Y1594" s="34">
        <f>IF(OR($A1594="",$H1594&lt;&gt;"Ausgabe",K1594=""),0,IF(K1594="x",-$E1594/(COUNTIF($J1594:$Q1594,"x")+1),-$E1594*N(K1594)))</f>
        <v/>
      </c>
      <c r="Z1594" s="34">
        <f>IF(OR($A1594="",$H1594&lt;&gt;"Ausgabe",L1594=""),0,IF(L1594="x",-$E1594/(COUNTIF($J1594:$Q1594,"x")+1),-$E1594*N(L1594)))</f>
        <v/>
      </c>
      <c r="AA1594" s="34">
        <f>IF(OR($A1594="",$H1594&lt;&gt;"Ausgabe",M1594=""),0,IF(M1594="x",-$E1594/(COUNTIF($J1594:$Q1594,"x")+1),-$E1594*N(M1594)))</f>
        <v/>
      </c>
      <c r="AB1594" s="34">
        <f>IF(OR($A1594="",$H1594&lt;&gt;"Ausgabe",N1594=""),0,IF(N1594="x",-$E1594/(COUNTIF($J1594:$Q1594,"x")+1),-$E1594*N(N1594)))</f>
        <v/>
      </c>
      <c r="AC1594" s="34">
        <f>IF(OR($A1594="",$H1594&lt;&gt;"Ausgabe",O1594=""),0,IF(O1594="x",-$E1594/(COUNTIF($J1594:$Q1594,"x")+1),-$E1594*N(O1594)))</f>
        <v/>
      </c>
      <c r="AD1594" s="34">
        <f>IF(OR($A1594="",$H1594&lt;&gt;"Ausgabe",P1594=""),0,IF(P1594="x",-$E1594/(COUNTIF($J1594:$Q1594,"x")+1),-$E1594*N(P1594)))</f>
        <v/>
      </c>
      <c r="AE1594" s="34">
        <f>IF(OR($A1594="",$H1594&lt;&gt;"Ausgabe",Q1594=""),0,IF(Q1594="x",-$E1594/(COUNTIF($J1594:$Q1594,"x")+1),-$E1594*N(Q1594)))</f>
        <v/>
      </c>
    </row>
    <row r="1595">
      <c r="A1595" s="30" t="n"/>
      <c r="E1595" s="31" t="n"/>
      <c r="J1595" s="32" t="n"/>
      <c r="K1595" s="32" t="n"/>
      <c r="L1595" s="32" t="n"/>
      <c r="M1595" s="32" t="n"/>
      <c r="N1595" s="32" t="n"/>
      <c r="O1595" s="32" t="n"/>
      <c r="P1595" s="32" t="n"/>
      <c r="Q1595" s="32" t="n"/>
      <c r="U1595" s="31">
        <f>IF($A1595="","",SUM(X1595:AE1595))</f>
        <v/>
      </c>
      <c r="V1595" s="31">
        <f>IF($A1595="","",IF($H1595&lt;&gt;"Ausgabe",0,-$E1595-$U1595))</f>
        <v/>
      </c>
      <c r="W1595" s="33">
        <f>IF($A1595="","",DATE(YEAR($A1595),MONTH($A1595),1))</f>
        <v/>
      </c>
      <c r="X1595" s="34">
        <f>IF(OR($A1595="",$H1595&lt;&gt;"Ausgabe",J1595=""),0,IF(J1595="x",-$E1595/(COUNTIF($J1595:$Q1595,"x")+1),-$E1595*N(J1595)))</f>
        <v/>
      </c>
      <c r="Y1595" s="34">
        <f>IF(OR($A1595="",$H1595&lt;&gt;"Ausgabe",K1595=""),0,IF(K1595="x",-$E1595/(COUNTIF($J1595:$Q1595,"x")+1),-$E1595*N(K1595)))</f>
        <v/>
      </c>
      <c r="Z1595" s="34">
        <f>IF(OR($A1595="",$H1595&lt;&gt;"Ausgabe",L1595=""),0,IF(L1595="x",-$E1595/(COUNTIF($J1595:$Q1595,"x")+1),-$E1595*N(L1595)))</f>
        <v/>
      </c>
      <c r="AA1595" s="34">
        <f>IF(OR($A1595="",$H1595&lt;&gt;"Ausgabe",M1595=""),0,IF(M1595="x",-$E1595/(COUNTIF($J1595:$Q1595,"x")+1),-$E1595*N(M1595)))</f>
        <v/>
      </c>
      <c r="AB1595" s="34">
        <f>IF(OR($A1595="",$H1595&lt;&gt;"Ausgabe",N1595=""),0,IF(N1595="x",-$E1595/(COUNTIF($J1595:$Q1595,"x")+1),-$E1595*N(N1595)))</f>
        <v/>
      </c>
      <c r="AC1595" s="34">
        <f>IF(OR($A1595="",$H1595&lt;&gt;"Ausgabe",O1595=""),0,IF(O1595="x",-$E1595/(COUNTIF($J1595:$Q1595,"x")+1),-$E1595*N(O1595)))</f>
        <v/>
      </c>
      <c r="AD1595" s="34">
        <f>IF(OR($A1595="",$H1595&lt;&gt;"Ausgabe",P1595=""),0,IF(P1595="x",-$E1595/(COUNTIF($J1595:$Q1595,"x")+1),-$E1595*N(P1595)))</f>
        <v/>
      </c>
      <c r="AE1595" s="34">
        <f>IF(OR($A1595="",$H1595&lt;&gt;"Ausgabe",Q1595=""),0,IF(Q1595="x",-$E1595/(COUNTIF($J1595:$Q1595,"x")+1),-$E1595*N(Q1595)))</f>
        <v/>
      </c>
    </row>
    <row r="1596">
      <c r="A1596" s="30" t="n"/>
      <c r="E1596" s="31" t="n"/>
      <c r="J1596" s="32" t="n"/>
      <c r="K1596" s="32" t="n"/>
      <c r="L1596" s="32" t="n"/>
      <c r="M1596" s="32" t="n"/>
      <c r="N1596" s="32" t="n"/>
      <c r="O1596" s="32" t="n"/>
      <c r="P1596" s="32" t="n"/>
      <c r="Q1596" s="32" t="n"/>
      <c r="U1596" s="31">
        <f>IF($A1596="","",SUM(X1596:AE1596))</f>
        <v/>
      </c>
      <c r="V1596" s="31">
        <f>IF($A1596="","",IF($H1596&lt;&gt;"Ausgabe",0,-$E1596-$U1596))</f>
        <v/>
      </c>
      <c r="W1596" s="33">
        <f>IF($A1596="","",DATE(YEAR($A1596),MONTH($A1596),1))</f>
        <v/>
      </c>
      <c r="X1596" s="34">
        <f>IF(OR($A1596="",$H1596&lt;&gt;"Ausgabe",J1596=""),0,IF(J1596="x",-$E1596/(COUNTIF($J1596:$Q1596,"x")+1),-$E1596*N(J1596)))</f>
        <v/>
      </c>
      <c r="Y1596" s="34">
        <f>IF(OR($A1596="",$H1596&lt;&gt;"Ausgabe",K1596=""),0,IF(K1596="x",-$E1596/(COUNTIF($J1596:$Q1596,"x")+1),-$E1596*N(K1596)))</f>
        <v/>
      </c>
      <c r="Z1596" s="34">
        <f>IF(OR($A1596="",$H1596&lt;&gt;"Ausgabe",L1596=""),0,IF(L1596="x",-$E1596/(COUNTIF($J1596:$Q1596,"x")+1),-$E1596*N(L1596)))</f>
        <v/>
      </c>
      <c r="AA1596" s="34">
        <f>IF(OR($A1596="",$H1596&lt;&gt;"Ausgabe",M1596=""),0,IF(M1596="x",-$E1596/(COUNTIF($J1596:$Q1596,"x")+1),-$E1596*N(M1596)))</f>
        <v/>
      </c>
      <c r="AB1596" s="34">
        <f>IF(OR($A1596="",$H1596&lt;&gt;"Ausgabe",N1596=""),0,IF(N1596="x",-$E1596/(COUNTIF($J1596:$Q1596,"x")+1),-$E1596*N(N1596)))</f>
        <v/>
      </c>
      <c r="AC1596" s="34">
        <f>IF(OR($A1596="",$H1596&lt;&gt;"Ausgabe",O1596=""),0,IF(O1596="x",-$E1596/(COUNTIF($J1596:$Q1596,"x")+1),-$E1596*N(O1596)))</f>
        <v/>
      </c>
      <c r="AD1596" s="34">
        <f>IF(OR($A1596="",$H1596&lt;&gt;"Ausgabe",P1596=""),0,IF(P1596="x",-$E1596/(COUNTIF($J1596:$Q1596,"x")+1),-$E1596*N(P1596)))</f>
        <v/>
      </c>
      <c r="AE1596" s="34">
        <f>IF(OR($A1596="",$H1596&lt;&gt;"Ausgabe",Q1596=""),0,IF(Q1596="x",-$E1596/(COUNTIF($J1596:$Q1596,"x")+1),-$E1596*N(Q1596)))</f>
        <v/>
      </c>
    </row>
    <row r="1597">
      <c r="A1597" s="30" t="n"/>
      <c r="E1597" s="31" t="n"/>
      <c r="J1597" s="32" t="n"/>
      <c r="K1597" s="32" t="n"/>
      <c r="L1597" s="32" t="n"/>
      <c r="M1597" s="32" t="n"/>
      <c r="N1597" s="32" t="n"/>
      <c r="O1597" s="32" t="n"/>
      <c r="P1597" s="32" t="n"/>
      <c r="Q1597" s="32" t="n"/>
      <c r="U1597" s="31">
        <f>IF($A1597="","",SUM(X1597:AE1597))</f>
        <v/>
      </c>
      <c r="V1597" s="31">
        <f>IF($A1597="","",IF($H1597&lt;&gt;"Ausgabe",0,-$E1597-$U1597))</f>
        <v/>
      </c>
      <c r="W1597" s="33">
        <f>IF($A1597="","",DATE(YEAR($A1597),MONTH($A1597),1))</f>
        <v/>
      </c>
      <c r="X1597" s="34">
        <f>IF(OR($A1597="",$H1597&lt;&gt;"Ausgabe",J1597=""),0,IF(J1597="x",-$E1597/(COUNTIF($J1597:$Q1597,"x")+1),-$E1597*N(J1597)))</f>
        <v/>
      </c>
      <c r="Y1597" s="34">
        <f>IF(OR($A1597="",$H1597&lt;&gt;"Ausgabe",K1597=""),0,IF(K1597="x",-$E1597/(COUNTIF($J1597:$Q1597,"x")+1),-$E1597*N(K1597)))</f>
        <v/>
      </c>
      <c r="Z1597" s="34">
        <f>IF(OR($A1597="",$H1597&lt;&gt;"Ausgabe",L1597=""),0,IF(L1597="x",-$E1597/(COUNTIF($J1597:$Q1597,"x")+1),-$E1597*N(L1597)))</f>
        <v/>
      </c>
      <c r="AA1597" s="34">
        <f>IF(OR($A1597="",$H1597&lt;&gt;"Ausgabe",M1597=""),0,IF(M1597="x",-$E1597/(COUNTIF($J1597:$Q1597,"x")+1),-$E1597*N(M1597)))</f>
        <v/>
      </c>
      <c r="AB1597" s="34">
        <f>IF(OR($A1597="",$H1597&lt;&gt;"Ausgabe",N1597=""),0,IF(N1597="x",-$E1597/(COUNTIF($J1597:$Q1597,"x")+1),-$E1597*N(N1597)))</f>
        <v/>
      </c>
      <c r="AC1597" s="34">
        <f>IF(OR($A1597="",$H1597&lt;&gt;"Ausgabe",O1597=""),0,IF(O1597="x",-$E1597/(COUNTIF($J1597:$Q1597,"x")+1),-$E1597*N(O1597)))</f>
        <v/>
      </c>
      <c r="AD1597" s="34">
        <f>IF(OR($A1597="",$H1597&lt;&gt;"Ausgabe",P1597=""),0,IF(P1597="x",-$E1597/(COUNTIF($J1597:$Q1597,"x")+1),-$E1597*N(P1597)))</f>
        <v/>
      </c>
      <c r="AE1597" s="34">
        <f>IF(OR($A1597="",$H1597&lt;&gt;"Ausgabe",Q1597=""),0,IF(Q1597="x",-$E1597/(COUNTIF($J1597:$Q1597,"x")+1),-$E1597*N(Q1597)))</f>
        <v/>
      </c>
    </row>
    <row r="1598">
      <c r="A1598" s="30" t="n"/>
      <c r="E1598" s="31" t="n"/>
      <c r="J1598" s="32" t="n"/>
      <c r="K1598" s="32" t="n"/>
      <c r="L1598" s="32" t="n"/>
      <c r="M1598" s="32" t="n"/>
      <c r="N1598" s="32" t="n"/>
      <c r="O1598" s="32" t="n"/>
      <c r="P1598" s="32" t="n"/>
      <c r="Q1598" s="32" t="n"/>
      <c r="U1598" s="31">
        <f>IF($A1598="","",SUM(X1598:AE1598))</f>
        <v/>
      </c>
      <c r="V1598" s="31">
        <f>IF($A1598="","",IF($H1598&lt;&gt;"Ausgabe",0,-$E1598-$U1598))</f>
        <v/>
      </c>
      <c r="W1598" s="33">
        <f>IF($A1598="","",DATE(YEAR($A1598),MONTH($A1598),1))</f>
        <v/>
      </c>
      <c r="X1598" s="34">
        <f>IF(OR($A1598="",$H1598&lt;&gt;"Ausgabe",J1598=""),0,IF(J1598="x",-$E1598/(COUNTIF($J1598:$Q1598,"x")+1),-$E1598*N(J1598)))</f>
        <v/>
      </c>
      <c r="Y1598" s="34">
        <f>IF(OR($A1598="",$H1598&lt;&gt;"Ausgabe",K1598=""),0,IF(K1598="x",-$E1598/(COUNTIF($J1598:$Q1598,"x")+1),-$E1598*N(K1598)))</f>
        <v/>
      </c>
      <c r="Z1598" s="34">
        <f>IF(OR($A1598="",$H1598&lt;&gt;"Ausgabe",L1598=""),0,IF(L1598="x",-$E1598/(COUNTIF($J1598:$Q1598,"x")+1),-$E1598*N(L1598)))</f>
        <v/>
      </c>
      <c r="AA1598" s="34">
        <f>IF(OR($A1598="",$H1598&lt;&gt;"Ausgabe",M1598=""),0,IF(M1598="x",-$E1598/(COUNTIF($J1598:$Q1598,"x")+1),-$E1598*N(M1598)))</f>
        <v/>
      </c>
      <c r="AB1598" s="34">
        <f>IF(OR($A1598="",$H1598&lt;&gt;"Ausgabe",N1598=""),0,IF(N1598="x",-$E1598/(COUNTIF($J1598:$Q1598,"x")+1),-$E1598*N(N1598)))</f>
        <v/>
      </c>
      <c r="AC1598" s="34">
        <f>IF(OR($A1598="",$H1598&lt;&gt;"Ausgabe",O1598=""),0,IF(O1598="x",-$E1598/(COUNTIF($J1598:$Q1598,"x")+1),-$E1598*N(O1598)))</f>
        <v/>
      </c>
      <c r="AD1598" s="34">
        <f>IF(OR($A1598="",$H1598&lt;&gt;"Ausgabe",P1598=""),0,IF(P1598="x",-$E1598/(COUNTIF($J1598:$Q1598,"x")+1),-$E1598*N(P1598)))</f>
        <v/>
      </c>
      <c r="AE1598" s="34">
        <f>IF(OR($A1598="",$H1598&lt;&gt;"Ausgabe",Q1598=""),0,IF(Q1598="x",-$E1598/(COUNTIF($J1598:$Q1598,"x")+1),-$E1598*N(Q1598)))</f>
        <v/>
      </c>
    </row>
    <row r="1599">
      <c r="A1599" s="30" t="n"/>
      <c r="E1599" s="31" t="n"/>
      <c r="J1599" s="32" t="n"/>
      <c r="K1599" s="32" t="n"/>
      <c r="L1599" s="32" t="n"/>
      <c r="M1599" s="32" t="n"/>
      <c r="N1599" s="32" t="n"/>
      <c r="O1599" s="32" t="n"/>
      <c r="P1599" s="32" t="n"/>
      <c r="Q1599" s="32" t="n"/>
      <c r="U1599" s="31">
        <f>IF($A1599="","",SUM(X1599:AE1599))</f>
        <v/>
      </c>
      <c r="V1599" s="31">
        <f>IF($A1599="","",IF($H1599&lt;&gt;"Ausgabe",0,-$E1599-$U1599))</f>
        <v/>
      </c>
      <c r="W1599" s="33">
        <f>IF($A1599="","",DATE(YEAR($A1599),MONTH($A1599),1))</f>
        <v/>
      </c>
      <c r="X1599" s="34">
        <f>IF(OR($A1599="",$H1599&lt;&gt;"Ausgabe",J1599=""),0,IF(J1599="x",-$E1599/(COUNTIF($J1599:$Q1599,"x")+1),-$E1599*N(J1599)))</f>
        <v/>
      </c>
      <c r="Y1599" s="34">
        <f>IF(OR($A1599="",$H1599&lt;&gt;"Ausgabe",K1599=""),0,IF(K1599="x",-$E1599/(COUNTIF($J1599:$Q1599,"x")+1),-$E1599*N(K1599)))</f>
        <v/>
      </c>
      <c r="Z1599" s="34">
        <f>IF(OR($A1599="",$H1599&lt;&gt;"Ausgabe",L1599=""),0,IF(L1599="x",-$E1599/(COUNTIF($J1599:$Q1599,"x")+1),-$E1599*N(L1599)))</f>
        <v/>
      </c>
      <c r="AA1599" s="34">
        <f>IF(OR($A1599="",$H1599&lt;&gt;"Ausgabe",M1599=""),0,IF(M1599="x",-$E1599/(COUNTIF($J1599:$Q1599,"x")+1),-$E1599*N(M1599)))</f>
        <v/>
      </c>
      <c r="AB1599" s="34">
        <f>IF(OR($A1599="",$H1599&lt;&gt;"Ausgabe",N1599=""),0,IF(N1599="x",-$E1599/(COUNTIF($J1599:$Q1599,"x")+1),-$E1599*N(N1599)))</f>
        <v/>
      </c>
      <c r="AC1599" s="34">
        <f>IF(OR($A1599="",$H1599&lt;&gt;"Ausgabe",O1599=""),0,IF(O1599="x",-$E1599/(COUNTIF($J1599:$Q1599,"x")+1),-$E1599*N(O1599)))</f>
        <v/>
      </c>
      <c r="AD1599" s="34">
        <f>IF(OR($A1599="",$H1599&lt;&gt;"Ausgabe",P1599=""),0,IF(P1599="x",-$E1599/(COUNTIF($J1599:$Q1599,"x")+1),-$E1599*N(P1599)))</f>
        <v/>
      </c>
      <c r="AE1599" s="34">
        <f>IF(OR($A1599="",$H1599&lt;&gt;"Ausgabe",Q1599=""),0,IF(Q1599="x",-$E1599/(COUNTIF($J1599:$Q1599,"x")+1),-$E1599*N(Q1599)))</f>
        <v/>
      </c>
    </row>
    <row r="1600">
      <c r="A1600" s="30" t="n"/>
      <c r="E1600" s="31" t="n"/>
      <c r="J1600" s="32" t="n"/>
      <c r="K1600" s="32" t="n"/>
      <c r="L1600" s="32" t="n"/>
      <c r="M1600" s="32" t="n"/>
      <c r="N1600" s="32" t="n"/>
      <c r="O1600" s="32" t="n"/>
      <c r="P1600" s="32" t="n"/>
      <c r="Q1600" s="32" t="n"/>
      <c r="U1600" s="31">
        <f>IF($A1600="","",SUM(X1600:AE1600))</f>
        <v/>
      </c>
      <c r="V1600" s="31">
        <f>IF($A1600="","",IF($H1600&lt;&gt;"Ausgabe",0,-$E1600-$U1600))</f>
        <v/>
      </c>
      <c r="W1600" s="33">
        <f>IF($A1600="","",DATE(YEAR($A1600),MONTH($A1600),1))</f>
        <v/>
      </c>
      <c r="X1600" s="34">
        <f>IF(OR($A1600="",$H1600&lt;&gt;"Ausgabe",J1600=""),0,IF(J1600="x",-$E1600/(COUNTIF($J1600:$Q1600,"x")+1),-$E1600*N(J1600)))</f>
        <v/>
      </c>
      <c r="Y1600" s="34">
        <f>IF(OR($A1600="",$H1600&lt;&gt;"Ausgabe",K1600=""),0,IF(K1600="x",-$E1600/(COUNTIF($J1600:$Q1600,"x")+1),-$E1600*N(K1600)))</f>
        <v/>
      </c>
      <c r="Z1600" s="34">
        <f>IF(OR($A1600="",$H1600&lt;&gt;"Ausgabe",L1600=""),0,IF(L1600="x",-$E1600/(COUNTIF($J1600:$Q1600,"x")+1),-$E1600*N(L1600)))</f>
        <v/>
      </c>
      <c r="AA1600" s="34">
        <f>IF(OR($A1600="",$H1600&lt;&gt;"Ausgabe",M1600=""),0,IF(M1600="x",-$E1600/(COUNTIF($J1600:$Q1600,"x")+1),-$E1600*N(M1600)))</f>
        <v/>
      </c>
      <c r="AB1600" s="34">
        <f>IF(OR($A1600="",$H1600&lt;&gt;"Ausgabe",N1600=""),0,IF(N1600="x",-$E1600/(COUNTIF($J1600:$Q1600,"x")+1),-$E1600*N(N1600)))</f>
        <v/>
      </c>
      <c r="AC1600" s="34">
        <f>IF(OR($A1600="",$H1600&lt;&gt;"Ausgabe",O1600=""),0,IF(O1600="x",-$E1600/(COUNTIF($J1600:$Q1600,"x")+1),-$E1600*N(O1600)))</f>
        <v/>
      </c>
      <c r="AD1600" s="34">
        <f>IF(OR($A1600="",$H1600&lt;&gt;"Ausgabe",P1600=""),0,IF(P1600="x",-$E1600/(COUNTIF($J1600:$Q1600,"x")+1),-$E1600*N(P1600)))</f>
        <v/>
      </c>
      <c r="AE1600" s="34">
        <f>IF(OR($A1600="",$H1600&lt;&gt;"Ausgabe",Q1600=""),0,IF(Q1600="x",-$E1600/(COUNTIF($J1600:$Q1600,"x")+1),-$E1600*N(Q1600)))</f>
        <v/>
      </c>
    </row>
    <row r="1601">
      <c r="A1601" s="30" t="n"/>
      <c r="E1601" s="31" t="n"/>
      <c r="J1601" s="32" t="n"/>
      <c r="K1601" s="32" t="n"/>
      <c r="L1601" s="32" t="n"/>
      <c r="M1601" s="32" t="n"/>
      <c r="N1601" s="32" t="n"/>
      <c r="O1601" s="32" t="n"/>
      <c r="P1601" s="32" t="n"/>
      <c r="Q1601" s="32" t="n"/>
      <c r="U1601" s="31">
        <f>IF($A1601="","",SUM(X1601:AE1601))</f>
        <v/>
      </c>
      <c r="V1601" s="31">
        <f>IF($A1601="","",IF($H1601&lt;&gt;"Ausgabe",0,-$E1601-$U1601))</f>
        <v/>
      </c>
      <c r="W1601" s="33">
        <f>IF($A1601="","",DATE(YEAR($A1601),MONTH($A1601),1))</f>
        <v/>
      </c>
      <c r="X1601" s="34">
        <f>IF(OR($A1601="",$H1601&lt;&gt;"Ausgabe",J1601=""),0,IF(J1601="x",-$E1601/(COUNTIF($J1601:$Q1601,"x")+1),-$E1601*N(J1601)))</f>
        <v/>
      </c>
      <c r="Y1601" s="34">
        <f>IF(OR($A1601="",$H1601&lt;&gt;"Ausgabe",K1601=""),0,IF(K1601="x",-$E1601/(COUNTIF($J1601:$Q1601,"x")+1),-$E1601*N(K1601)))</f>
        <v/>
      </c>
      <c r="Z1601" s="34">
        <f>IF(OR($A1601="",$H1601&lt;&gt;"Ausgabe",L1601=""),0,IF(L1601="x",-$E1601/(COUNTIF($J1601:$Q1601,"x")+1),-$E1601*N(L1601)))</f>
        <v/>
      </c>
      <c r="AA1601" s="34">
        <f>IF(OR($A1601="",$H1601&lt;&gt;"Ausgabe",M1601=""),0,IF(M1601="x",-$E1601/(COUNTIF($J1601:$Q1601,"x")+1),-$E1601*N(M1601)))</f>
        <v/>
      </c>
      <c r="AB1601" s="34">
        <f>IF(OR($A1601="",$H1601&lt;&gt;"Ausgabe",N1601=""),0,IF(N1601="x",-$E1601/(COUNTIF($J1601:$Q1601,"x")+1),-$E1601*N(N1601)))</f>
        <v/>
      </c>
      <c r="AC1601" s="34">
        <f>IF(OR($A1601="",$H1601&lt;&gt;"Ausgabe",O1601=""),0,IF(O1601="x",-$E1601/(COUNTIF($J1601:$Q1601,"x")+1),-$E1601*N(O1601)))</f>
        <v/>
      </c>
      <c r="AD1601" s="34">
        <f>IF(OR($A1601="",$H1601&lt;&gt;"Ausgabe",P1601=""),0,IF(P1601="x",-$E1601/(COUNTIF($J1601:$Q1601,"x")+1),-$E1601*N(P1601)))</f>
        <v/>
      </c>
      <c r="AE1601" s="34">
        <f>IF(OR($A1601="",$H1601&lt;&gt;"Ausgabe",Q1601=""),0,IF(Q1601="x",-$E1601/(COUNTIF($J1601:$Q1601,"x")+1),-$E1601*N(Q1601)))</f>
        <v/>
      </c>
    </row>
    <row r="1602">
      <c r="A1602" s="30" t="n"/>
      <c r="E1602" s="31" t="n"/>
      <c r="J1602" s="32" t="n"/>
      <c r="K1602" s="32" t="n"/>
      <c r="L1602" s="32" t="n"/>
      <c r="M1602" s="32" t="n"/>
      <c r="N1602" s="32" t="n"/>
      <c r="O1602" s="32" t="n"/>
      <c r="P1602" s="32" t="n"/>
      <c r="Q1602" s="32" t="n"/>
      <c r="U1602" s="31">
        <f>IF($A1602="","",SUM(X1602:AE1602))</f>
        <v/>
      </c>
      <c r="V1602" s="31">
        <f>IF($A1602="","",IF($H1602&lt;&gt;"Ausgabe",0,-$E1602-$U1602))</f>
        <v/>
      </c>
      <c r="W1602" s="33">
        <f>IF($A1602="","",DATE(YEAR($A1602),MONTH($A1602),1))</f>
        <v/>
      </c>
      <c r="X1602" s="34">
        <f>IF(OR($A1602="",$H1602&lt;&gt;"Ausgabe",J1602=""),0,IF(J1602="x",-$E1602/(COUNTIF($J1602:$Q1602,"x")+1),-$E1602*N(J1602)))</f>
        <v/>
      </c>
      <c r="Y1602" s="34">
        <f>IF(OR($A1602="",$H1602&lt;&gt;"Ausgabe",K1602=""),0,IF(K1602="x",-$E1602/(COUNTIF($J1602:$Q1602,"x")+1),-$E1602*N(K1602)))</f>
        <v/>
      </c>
      <c r="Z1602" s="34">
        <f>IF(OR($A1602="",$H1602&lt;&gt;"Ausgabe",L1602=""),0,IF(L1602="x",-$E1602/(COUNTIF($J1602:$Q1602,"x")+1),-$E1602*N(L1602)))</f>
        <v/>
      </c>
      <c r="AA1602" s="34">
        <f>IF(OR($A1602="",$H1602&lt;&gt;"Ausgabe",M1602=""),0,IF(M1602="x",-$E1602/(COUNTIF($J1602:$Q1602,"x")+1),-$E1602*N(M1602)))</f>
        <v/>
      </c>
      <c r="AB1602" s="34">
        <f>IF(OR($A1602="",$H1602&lt;&gt;"Ausgabe",N1602=""),0,IF(N1602="x",-$E1602/(COUNTIF($J1602:$Q1602,"x")+1),-$E1602*N(N1602)))</f>
        <v/>
      </c>
      <c r="AC1602" s="34">
        <f>IF(OR($A1602="",$H1602&lt;&gt;"Ausgabe",O1602=""),0,IF(O1602="x",-$E1602/(COUNTIF($J1602:$Q1602,"x")+1),-$E1602*N(O1602)))</f>
        <v/>
      </c>
      <c r="AD1602" s="34">
        <f>IF(OR($A1602="",$H1602&lt;&gt;"Ausgabe",P1602=""),0,IF(P1602="x",-$E1602/(COUNTIF($J1602:$Q1602,"x")+1),-$E1602*N(P1602)))</f>
        <v/>
      </c>
      <c r="AE1602" s="34">
        <f>IF(OR($A1602="",$H1602&lt;&gt;"Ausgabe",Q1602=""),0,IF(Q1602="x",-$E1602/(COUNTIF($J1602:$Q1602,"x")+1),-$E1602*N(Q1602)))</f>
        <v/>
      </c>
    </row>
    <row r="1603">
      <c r="A1603" s="30" t="n"/>
      <c r="E1603" s="31" t="n"/>
      <c r="J1603" s="32" t="n"/>
      <c r="K1603" s="32" t="n"/>
      <c r="L1603" s="32" t="n"/>
      <c r="M1603" s="32" t="n"/>
      <c r="N1603" s="32" t="n"/>
      <c r="O1603" s="32" t="n"/>
      <c r="P1603" s="32" t="n"/>
      <c r="Q1603" s="32" t="n"/>
      <c r="U1603" s="31">
        <f>IF($A1603="","",SUM(X1603:AE1603))</f>
        <v/>
      </c>
      <c r="V1603" s="31">
        <f>IF($A1603="","",IF($H1603&lt;&gt;"Ausgabe",0,-$E1603-$U1603))</f>
        <v/>
      </c>
      <c r="W1603" s="33">
        <f>IF($A1603="","",DATE(YEAR($A1603),MONTH($A1603),1))</f>
        <v/>
      </c>
      <c r="X1603" s="34">
        <f>IF(OR($A1603="",$H1603&lt;&gt;"Ausgabe",J1603=""),0,IF(J1603="x",-$E1603/(COUNTIF($J1603:$Q1603,"x")+1),-$E1603*N(J1603)))</f>
        <v/>
      </c>
      <c r="Y1603" s="34">
        <f>IF(OR($A1603="",$H1603&lt;&gt;"Ausgabe",K1603=""),0,IF(K1603="x",-$E1603/(COUNTIF($J1603:$Q1603,"x")+1),-$E1603*N(K1603)))</f>
        <v/>
      </c>
      <c r="Z1603" s="34">
        <f>IF(OR($A1603="",$H1603&lt;&gt;"Ausgabe",L1603=""),0,IF(L1603="x",-$E1603/(COUNTIF($J1603:$Q1603,"x")+1),-$E1603*N(L1603)))</f>
        <v/>
      </c>
      <c r="AA1603" s="34">
        <f>IF(OR($A1603="",$H1603&lt;&gt;"Ausgabe",M1603=""),0,IF(M1603="x",-$E1603/(COUNTIF($J1603:$Q1603,"x")+1),-$E1603*N(M1603)))</f>
        <v/>
      </c>
      <c r="AB1603" s="34">
        <f>IF(OR($A1603="",$H1603&lt;&gt;"Ausgabe",N1603=""),0,IF(N1603="x",-$E1603/(COUNTIF($J1603:$Q1603,"x")+1),-$E1603*N(N1603)))</f>
        <v/>
      </c>
      <c r="AC1603" s="34">
        <f>IF(OR($A1603="",$H1603&lt;&gt;"Ausgabe",O1603=""),0,IF(O1603="x",-$E1603/(COUNTIF($J1603:$Q1603,"x")+1),-$E1603*N(O1603)))</f>
        <v/>
      </c>
      <c r="AD1603" s="34">
        <f>IF(OR($A1603="",$H1603&lt;&gt;"Ausgabe",P1603=""),0,IF(P1603="x",-$E1603/(COUNTIF($J1603:$Q1603,"x")+1),-$E1603*N(P1603)))</f>
        <v/>
      </c>
      <c r="AE1603" s="34">
        <f>IF(OR($A1603="",$H1603&lt;&gt;"Ausgabe",Q1603=""),0,IF(Q1603="x",-$E1603/(COUNTIF($J1603:$Q1603,"x")+1),-$E1603*N(Q1603)))</f>
        <v/>
      </c>
    </row>
    <row r="1604">
      <c r="A1604" s="30" t="n"/>
      <c r="E1604" s="31" t="n"/>
      <c r="J1604" s="32" t="n"/>
      <c r="K1604" s="32" t="n"/>
      <c r="L1604" s="32" t="n"/>
      <c r="M1604" s="32" t="n"/>
      <c r="N1604" s="32" t="n"/>
      <c r="O1604" s="32" t="n"/>
      <c r="P1604" s="32" t="n"/>
      <c r="Q1604" s="32" t="n"/>
      <c r="U1604" s="31">
        <f>IF($A1604="","",SUM(X1604:AE1604))</f>
        <v/>
      </c>
      <c r="V1604" s="31">
        <f>IF($A1604="","",IF($H1604&lt;&gt;"Ausgabe",0,-$E1604-$U1604))</f>
        <v/>
      </c>
      <c r="W1604" s="33">
        <f>IF($A1604="","",DATE(YEAR($A1604),MONTH($A1604),1))</f>
        <v/>
      </c>
      <c r="X1604" s="34">
        <f>IF(OR($A1604="",$H1604&lt;&gt;"Ausgabe",J1604=""),0,IF(J1604="x",-$E1604/(COUNTIF($J1604:$Q1604,"x")+1),-$E1604*N(J1604)))</f>
        <v/>
      </c>
      <c r="Y1604" s="34">
        <f>IF(OR($A1604="",$H1604&lt;&gt;"Ausgabe",K1604=""),0,IF(K1604="x",-$E1604/(COUNTIF($J1604:$Q1604,"x")+1),-$E1604*N(K1604)))</f>
        <v/>
      </c>
      <c r="Z1604" s="34">
        <f>IF(OR($A1604="",$H1604&lt;&gt;"Ausgabe",L1604=""),0,IF(L1604="x",-$E1604/(COUNTIF($J1604:$Q1604,"x")+1),-$E1604*N(L1604)))</f>
        <v/>
      </c>
      <c r="AA1604" s="34">
        <f>IF(OR($A1604="",$H1604&lt;&gt;"Ausgabe",M1604=""),0,IF(M1604="x",-$E1604/(COUNTIF($J1604:$Q1604,"x")+1),-$E1604*N(M1604)))</f>
        <v/>
      </c>
      <c r="AB1604" s="34">
        <f>IF(OR($A1604="",$H1604&lt;&gt;"Ausgabe",N1604=""),0,IF(N1604="x",-$E1604/(COUNTIF($J1604:$Q1604,"x")+1),-$E1604*N(N1604)))</f>
        <v/>
      </c>
      <c r="AC1604" s="34">
        <f>IF(OR($A1604="",$H1604&lt;&gt;"Ausgabe",O1604=""),0,IF(O1604="x",-$E1604/(COUNTIF($J1604:$Q1604,"x")+1),-$E1604*N(O1604)))</f>
        <v/>
      </c>
      <c r="AD1604" s="34">
        <f>IF(OR($A1604="",$H1604&lt;&gt;"Ausgabe",P1604=""),0,IF(P1604="x",-$E1604/(COUNTIF($J1604:$Q1604,"x")+1),-$E1604*N(P1604)))</f>
        <v/>
      </c>
      <c r="AE1604" s="34">
        <f>IF(OR($A1604="",$H1604&lt;&gt;"Ausgabe",Q1604=""),0,IF(Q1604="x",-$E1604/(COUNTIF($J1604:$Q1604,"x")+1),-$E1604*N(Q1604)))</f>
        <v/>
      </c>
    </row>
    <row r="1605">
      <c r="A1605" s="30" t="n"/>
      <c r="E1605" s="31" t="n"/>
      <c r="J1605" s="32" t="n"/>
      <c r="K1605" s="32" t="n"/>
      <c r="L1605" s="32" t="n"/>
      <c r="M1605" s="32" t="n"/>
      <c r="N1605" s="32" t="n"/>
      <c r="O1605" s="32" t="n"/>
      <c r="P1605" s="32" t="n"/>
      <c r="Q1605" s="32" t="n"/>
      <c r="U1605" s="31">
        <f>IF($A1605="","",SUM(X1605:AE1605))</f>
        <v/>
      </c>
      <c r="V1605" s="31">
        <f>IF($A1605="","",IF($H1605&lt;&gt;"Ausgabe",0,-$E1605-$U1605))</f>
        <v/>
      </c>
      <c r="W1605" s="33">
        <f>IF($A1605="","",DATE(YEAR($A1605),MONTH($A1605),1))</f>
        <v/>
      </c>
      <c r="X1605" s="34">
        <f>IF(OR($A1605="",$H1605&lt;&gt;"Ausgabe",J1605=""),0,IF(J1605="x",-$E1605/(COUNTIF($J1605:$Q1605,"x")+1),-$E1605*N(J1605)))</f>
        <v/>
      </c>
      <c r="Y1605" s="34">
        <f>IF(OR($A1605="",$H1605&lt;&gt;"Ausgabe",K1605=""),0,IF(K1605="x",-$E1605/(COUNTIF($J1605:$Q1605,"x")+1),-$E1605*N(K1605)))</f>
        <v/>
      </c>
      <c r="Z1605" s="34">
        <f>IF(OR($A1605="",$H1605&lt;&gt;"Ausgabe",L1605=""),0,IF(L1605="x",-$E1605/(COUNTIF($J1605:$Q1605,"x")+1),-$E1605*N(L1605)))</f>
        <v/>
      </c>
      <c r="AA1605" s="34">
        <f>IF(OR($A1605="",$H1605&lt;&gt;"Ausgabe",M1605=""),0,IF(M1605="x",-$E1605/(COUNTIF($J1605:$Q1605,"x")+1),-$E1605*N(M1605)))</f>
        <v/>
      </c>
      <c r="AB1605" s="34">
        <f>IF(OR($A1605="",$H1605&lt;&gt;"Ausgabe",N1605=""),0,IF(N1605="x",-$E1605/(COUNTIF($J1605:$Q1605,"x")+1),-$E1605*N(N1605)))</f>
        <v/>
      </c>
      <c r="AC1605" s="34">
        <f>IF(OR($A1605="",$H1605&lt;&gt;"Ausgabe",O1605=""),0,IF(O1605="x",-$E1605/(COUNTIF($J1605:$Q1605,"x")+1),-$E1605*N(O1605)))</f>
        <v/>
      </c>
      <c r="AD1605" s="34">
        <f>IF(OR($A1605="",$H1605&lt;&gt;"Ausgabe",P1605=""),0,IF(P1605="x",-$E1605/(COUNTIF($J1605:$Q1605,"x")+1),-$E1605*N(P1605)))</f>
        <v/>
      </c>
      <c r="AE1605" s="34">
        <f>IF(OR($A1605="",$H1605&lt;&gt;"Ausgabe",Q1605=""),0,IF(Q1605="x",-$E1605/(COUNTIF($J1605:$Q1605,"x")+1),-$E1605*N(Q1605)))</f>
        <v/>
      </c>
    </row>
    <row r="1606">
      <c r="A1606" s="30" t="n"/>
      <c r="E1606" s="31" t="n"/>
      <c r="J1606" s="32" t="n"/>
      <c r="K1606" s="32" t="n"/>
      <c r="L1606" s="32" t="n"/>
      <c r="M1606" s="32" t="n"/>
      <c r="N1606" s="32" t="n"/>
      <c r="O1606" s="32" t="n"/>
      <c r="P1606" s="32" t="n"/>
      <c r="Q1606" s="32" t="n"/>
      <c r="U1606" s="31">
        <f>IF($A1606="","",SUM(X1606:AE1606))</f>
        <v/>
      </c>
      <c r="V1606" s="31">
        <f>IF($A1606="","",IF($H1606&lt;&gt;"Ausgabe",0,-$E1606-$U1606))</f>
        <v/>
      </c>
      <c r="W1606" s="33">
        <f>IF($A1606="","",DATE(YEAR($A1606),MONTH($A1606),1))</f>
        <v/>
      </c>
      <c r="X1606" s="34">
        <f>IF(OR($A1606="",$H1606&lt;&gt;"Ausgabe",J1606=""),0,IF(J1606="x",-$E1606/(COUNTIF($J1606:$Q1606,"x")+1),-$E1606*N(J1606)))</f>
        <v/>
      </c>
      <c r="Y1606" s="34">
        <f>IF(OR($A1606="",$H1606&lt;&gt;"Ausgabe",K1606=""),0,IF(K1606="x",-$E1606/(COUNTIF($J1606:$Q1606,"x")+1),-$E1606*N(K1606)))</f>
        <v/>
      </c>
      <c r="Z1606" s="34">
        <f>IF(OR($A1606="",$H1606&lt;&gt;"Ausgabe",L1606=""),0,IF(L1606="x",-$E1606/(COUNTIF($J1606:$Q1606,"x")+1),-$E1606*N(L1606)))</f>
        <v/>
      </c>
      <c r="AA1606" s="34">
        <f>IF(OR($A1606="",$H1606&lt;&gt;"Ausgabe",M1606=""),0,IF(M1606="x",-$E1606/(COUNTIF($J1606:$Q1606,"x")+1),-$E1606*N(M1606)))</f>
        <v/>
      </c>
      <c r="AB1606" s="34">
        <f>IF(OR($A1606="",$H1606&lt;&gt;"Ausgabe",N1606=""),0,IF(N1606="x",-$E1606/(COUNTIF($J1606:$Q1606,"x")+1),-$E1606*N(N1606)))</f>
        <v/>
      </c>
      <c r="AC1606" s="34">
        <f>IF(OR($A1606="",$H1606&lt;&gt;"Ausgabe",O1606=""),0,IF(O1606="x",-$E1606/(COUNTIF($J1606:$Q1606,"x")+1),-$E1606*N(O1606)))</f>
        <v/>
      </c>
      <c r="AD1606" s="34">
        <f>IF(OR($A1606="",$H1606&lt;&gt;"Ausgabe",P1606=""),0,IF(P1606="x",-$E1606/(COUNTIF($J1606:$Q1606,"x")+1),-$E1606*N(P1606)))</f>
        <v/>
      </c>
      <c r="AE1606" s="34">
        <f>IF(OR($A1606="",$H1606&lt;&gt;"Ausgabe",Q1606=""),0,IF(Q1606="x",-$E1606/(COUNTIF($J1606:$Q1606,"x")+1),-$E1606*N(Q1606)))</f>
        <v/>
      </c>
    </row>
    <row r="1607">
      <c r="A1607" s="30" t="n"/>
      <c r="E1607" s="31" t="n"/>
      <c r="J1607" s="32" t="n"/>
      <c r="K1607" s="32" t="n"/>
      <c r="L1607" s="32" t="n"/>
      <c r="M1607" s="32" t="n"/>
      <c r="N1607" s="32" t="n"/>
      <c r="O1607" s="32" t="n"/>
      <c r="P1607" s="32" t="n"/>
      <c r="Q1607" s="32" t="n"/>
      <c r="U1607" s="31">
        <f>IF($A1607="","",SUM(X1607:AE1607))</f>
        <v/>
      </c>
      <c r="V1607" s="31">
        <f>IF($A1607="","",IF($H1607&lt;&gt;"Ausgabe",0,-$E1607-$U1607))</f>
        <v/>
      </c>
      <c r="W1607" s="33">
        <f>IF($A1607="","",DATE(YEAR($A1607),MONTH($A1607),1))</f>
        <v/>
      </c>
      <c r="X1607" s="34">
        <f>IF(OR($A1607="",$H1607&lt;&gt;"Ausgabe",J1607=""),0,IF(J1607="x",-$E1607/(COUNTIF($J1607:$Q1607,"x")+1),-$E1607*N(J1607)))</f>
        <v/>
      </c>
      <c r="Y1607" s="34">
        <f>IF(OR($A1607="",$H1607&lt;&gt;"Ausgabe",K1607=""),0,IF(K1607="x",-$E1607/(COUNTIF($J1607:$Q1607,"x")+1),-$E1607*N(K1607)))</f>
        <v/>
      </c>
      <c r="Z1607" s="34">
        <f>IF(OR($A1607="",$H1607&lt;&gt;"Ausgabe",L1607=""),0,IF(L1607="x",-$E1607/(COUNTIF($J1607:$Q1607,"x")+1),-$E1607*N(L1607)))</f>
        <v/>
      </c>
      <c r="AA1607" s="34">
        <f>IF(OR($A1607="",$H1607&lt;&gt;"Ausgabe",M1607=""),0,IF(M1607="x",-$E1607/(COUNTIF($J1607:$Q1607,"x")+1),-$E1607*N(M1607)))</f>
        <v/>
      </c>
      <c r="AB1607" s="34">
        <f>IF(OR($A1607="",$H1607&lt;&gt;"Ausgabe",N1607=""),0,IF(N1607="x",-$E1607/(COUNTIF($J1607:$Q1607,"x")+1),-$E1607*N(N1607)))</f>
        <v/>
      </c>
      <c r="AC1607" s="34">
        <f>IF(OR($A1607="",$H1607&lt;&gt;"Ausgabe",O1607=""),0,IF(O1607="x",-$E1607/(COUNTIF($J1607:$Q1607,"x")+1),-$E1607*N(O1607)))</f>
        <v/>
      </c>
      <c r="AD1607" s="34">
        <f>IF(OR($A1607="",$H1607&lt;&gt;"Ausgabe",P1607=""),0,IF(P1607="x",-$E1607/(COUNTIF($J1607:$Q1607,"x")+1),-$E1607*N(P1607)))</f>
        <v/>
      </c>
      <c r="AE1607" s="34">
        <f>IF(OR($A1607="",$H1607&lt;&gt;"Ausgabe",Q1607=""),0,IF(Q1607="x",-$E1607/(COUNTIF($J1607:$Q1607,"x")+1),-$E1607*N(Q1607)))</f>
        <v/>
      </c>
    </row>
    <row r="1608">
      <c r="A1608" s="30" t="n"/>
      <c r="E1608" s="31" t="n"/>
      <c r="J1608" s="32" t="n"/>
      <c r="K1608" s="32" t="n"/>
      <c r="L1608" s="32" t="n"/>
      <c r="M1608" s="32" t="n"/>
      <c r="N1608" s="32" t="n"/>
      <c r="O1608" s="32" t="n"/>
      <c r="P1608" s="32" t="n"/>
      <c r="Q1608" s="32" t="n"/>
      <c r="U1608" s="31">
        <f>IF($A1608="","",SUM(X1608:AE1608))</f>
        <v/>
      </c>
      <c r="V1608" s="31">
        <f>IF($A1608="","",IF($H1608&lt;&gt;"Ausgabe",0,-$E1608-$U1608))</f>
        <v/>
      </c>
      <c r="W1608" s="33">
        <f>IF($A1608="","",DATE(YEAR($A1608),MONTH($A1608),1))</f>
        <v/>
      </c>
      <c r="X1608" s="34">
        <f>IF(OR($A1608="",$H1608&lt;&gt;"Ausgabe",J1608=""),0,IF(J1608="x",-$E1608/(COUNTIF($J1608:$Q1608,"x")+1),-$E1608*N(J1608)))</f>
        <v/>
      </c>
      <c r="Y1608" s="34">
        <f>IF(OR($A1608="",$H1608&lt;&gt;"Ausgabe",K1608=""),0,IF(K1608="x",-$E1608/(COUNTIF($J1608:$Q1608,"x")+1),-$E1608*N(K1608)))</f>
        <v/>
      </c>
      <c r="Z1608" s="34">
        <f>IF(OR($A1608="",$H1608&lt;&gt;"Ausgabe",L1608=""),0,IF(L1608="x",-$E1608/(COUNTIF($J1608:$Q1608,"x")+1),-$E1608*N(L1608)))</f>
        <v/>
      </c>
      <c r="AA1608" s="34">
        <f>IF(OR($A1608="",$H1608&lt;&gt;"Ausgabe",M1608=""),0,IF(M1608="x",-$E1608/(COUNTIF($J1608:$Q1608,"x")+1),-$E1608*N(M1608)))</f>
        <v/>
      </c>
      <c r="AB1608" s="34">
        <f>IF(OR($A1608="",$H1608&lt;&gt;"Ausgabe",N1608=""),0,IF(N1608="x",-$E1608/(COUNTIF($J1608:$Q1608,"x")+1),-$E1608*N(N1608)))</f>
        <v/>
      </c>
      <c r="AC1608" s="34">
        <f>IF(OR($A1608="",$H1608&lt;&gt;"Ausgabe",O1608=""),0,IF(O1608="x",-$E1608/(COUNTIF($J1608:$Q1608,"x")+1),-$E1608*N(O1608)))</f>
        <v/>
      </c>
      <c r="AD1608" s="34">
        <f>IF(OR($A1608="",$H1608&lt;&gt;"Ausgabe",P1608=""),0,IF(P1608="x",-$E1608/(COUNTIF($J1608:$Q1608,"x")+1),-$E1608*N(P1608)))</f>
        <v/>
      </c>
      <c r="AE1608" s="34">
        <f>IF(OR($A1608="",$H1608&lt;&gt;"Ausgabe",Q1608=""),0,IF(Q1608="x",-$E1608/(COUNTIF($J1608:$Q1608,"x")+1),-$E1608*N(Q1608)))</f>
        <v/>
      </c>
    </row>
    <row r="1609">
      <c r="A1609" s="30" t="n"/>
      <c r="E1609" s="31" t="n"/>
      <c r="J1609" s="32" t="n"/>
      <c r="K1609" s="32" t="n"/>
      <c r="L1609" s="32" t="n"/>
      <c r="M1609" s="32" t="n"/>
      <c r="N1609" s="32" t="n"/>
      <c r="O1609" s="32" t="n"/>
      <c r="P1609" s="32" t="n"/>
      <c r="Q1609" s="32" t="n"/>
      <c r="U1609" s="31">
        <f>IF($A1609="","",SUM(X1609:AE1609))</f>
        <v/>
      </c>
      <c r="V1609" s="31">
        <f>IF($A1609="","",IF($H1609&lt;&gt;"Ausgabe",0,-$E1609-$U1609))</f>
        <v/>
      </c>
      <c r="W1609" s="33">
        <f>IF($A1609="","",DATE(YEAR($A1609),MONTH($A1609),1))</f>
        <v/>
      </c>
      <c r="X1609" s="34">
        <f>IF(OR($A1609="",$H1609&lt;&gt;"Ausgabe",J1609=""),0,IF(J1609="x",-$E1609/(COUNTIF($J1609:$Q1609,"x")+1),-$E1609*N(J1609)))</f>
        <v/>
      </c>
      <c r="Y1609" s="34">
        <f>IF(OR($A1609="",$H1609&lt;&gt;"Ausgabe",K1609=""),0,IF(K1609="x",-$E1609/(COUNTIF($J1609:$Q1609,"x")+1),-$E1609*N(K1609)))</f>
        <v/>
      </c>
      <c r="Z1609" s="34">
        <f>IF(OR($A1609="",$H1609&lt;&gt;"Ausgabe",L1609=""),0,IF(L1609="x",-$E1609/(COUNTIF($J1609:$Q1609,"x")+1),-$E1609*N(L1609)))</f>
        <v/>
      </c>
      <c r="AA1609" s="34">
        <f>IF(OR($A1609="",$H1609&lt;&gt;"Ausgabe",M1609=""),0,IF(M1609="x",-$E1609/(COUNTIF($J1609:$Q1609,"x")+1),-$E1609*N(M1609)))</f>
        <v/>
      </c>
      <c r="AB1609" s="34">
        <f>IF(OR($A1609="",$H1609&lt;&gt;"Ausgabe",N1609=""),0,IF(N1609="x",-$E1609/(COUNTIF($J1609:$Q1609,"x")+1),-$E1609*N(N1609)))</f>
        <v/>
      </c>
      <c r="AC1609" s="34">
        <f>IF(OR($A1609="",$H1609&lt;&gt;"Ausgabe",O1609=""),0,IF(O1609="x",-$E1609/(COUNTIF($J1609:$Q1609,"x")+1),-$E1609*N(O1609)))</f>
        <v/>
      </c>
      <c r="AD1609" s="34">
        <f>IF(OR($A1609="",$H1609&lt;&gt;"Ausgabe",P1609=""),0,IF(P1609="x",-$E1609/(COUNTIF($J1609:$Q1609,"x")+1),-$E1609*N(P1609)))</f>
        <v/>
      </c>
      <c r="AE1609" s="34">
        <f>IF(OR($A1609="",$H1609&lt;&gt;"Ausgabe",Q1609=""),0,IF(Q1609="x",-$E1609/(COUNTIF($J1609:$Q1609,"x")+1),-$E1609*N(Q1609)))</f>
        <v/>
      </c>
    </row>
    <row r="1610">
      <c r="A1610" s="30" t="n"/>
      <c r="E1610" s="31" t="n"/>
      <c r="J1610" s="32" t="n"/>
      <c r="K1610" s="32" t="n"/>
      <c r="L1610" s="32" t="n"/>
      <c r="M1610" s="32" t="n"/>
      <c r="N1610" s="32" t="n"/>
      <c r="O1610" s="32" t="n"/>
      <c r="P1610" s="32" t="n"/>
      <c r="Q1610" s="32" t="n"/>
      <c r="U1610" s="31">
        <f>IF($A1610="","",SUM(X1610:AE1610))</f>
        <v/>
      </c>
      <c r="V1610" s="31">
        <f>IF($A1610="","",IF($H1610&lt;&gt;"Ausgabe",0,-$E1610-$U1610))</f>
        <v/>
      </c>
      <c r="W1610" s="33">
        <f>IF($A1610="","",DATE(YEAR($A1610),MONTH($A1610),1))</f>
        <v/>
      </c>
      <c r="X1610" s="34">
        <f>IF(OR($A1610="",$H1610&lt;&gt;"Ausgabe",J1610=""),0,IF(J1610="x",-$E1610/(COUNTIF($J1610:$Q1610,"x")+1),-$E1610*N(J1610)))</f>
        <v/>
      </c>
      <c r="Y1610" s="34">
        <f>IF(OR($A1610="",$H1610&lt;&gt;"Ausgabe",K1610=""),0,IF(K1610="x",-$E1610/(COUNTIF($J1610:$Q1610,"x")+1),-$E1610*N(K1610)))</f>
        <v/>
      </c>
      <c r="Z1610" s="34">
        <f>IF(OR($A1610="",$H1610&lt;&gt;"Ausgabe",L1610=""),0,IF(L1610="x",-$E1610/(COUNTIF($J1610:$Q1610,"x")+1),-$E1610*N(L1610)))</f>
        <v/>
      </c>
      <c r="AA1610" s="34">
        <f>IF(OR($A1610="",$H1610&lt;&gt;"Ausgabe",M1610=""),0,IF(M1610="x",-$E1610/(COUNTIF($J1610:$Q1610,"x")+1),-$E1610*N(M1610)))</f>
        <v/>
      </c>
      <c r="AB1610" s="34">
        <f>IF(OR($A1610="",$H1610&lt;&gt;"Ausgabe",N1610=""),0,IF(N1610="x",-$E1610/(COUNTIF($J1610:$Q1610,"x")+1),-$E1610*N(N1610)))</f>
        <v/>
      </c>
      <c r="AC1610" s="34">
        <f>IF(OR($A1610="",$H1610&lt;&gt;"Ausgabe",O1610=""),0,IF(O1610="x",-$E1610/(COUNTIF($J1610:$Q1610,"x")+1),-$E1610*N(O1610)))</f>
        <v/>
      </c>
      <c r="AD1610" s="34">
        <f>IF(OR($A1610="",$H1610&lt;&gt;"Ausgabe",P1610=""),0,IF(P1610="x",-$E1610/(COUNTIF($J1610:$Q1610,"x")+1),-$E1610*N(P1610)))</f>
        <v/>
      </c>
      <c r="AE1610" s="34">
        <f>IF(OR($A1610="",$H1610&lt;&gt;"Ausgabe",Q1610=""),0,IF(Q1610="x",-$E1610/(COUNTIF($J1610:$Q1610,"x")+1),-$E1610*N(Q1610)))</f>
        <v/>
      </c>
    </row>
    <row r="1611">
      <c r="A1611" s="30" t="n"/>
      <c r="E1611" s="31" t="n"/>
      <c r="J1611" s="32" t="n"/>
      <c r="K1611" s="32" t="n"/>
      <c r="L1611" s="32" t="n"/>
      <c r="M1611" s="32" t="n"/>
      <c r="N1611" s="32" t="n"/>
      <c r="O1611" s="32" t="n"/>
      <c r="P1611" s="32" t="n"/>
      <c r="Q1611" s="32" t="n"/>
      <c r="U1611" s="31">
        <f>IF($A1611="","",SUM(X1611:AE1611))</f>
        <v/>
      </c>
      <c r="V1611" s="31">
        <f>IF($A1611="","",IF($H1611&lt;&gt;"Ausgabe",0,-$E1611-$U1611))</f>
        <v/>
      </c>
      <c r="W1611" s="33">
        <f>IF($A1611="","",DATE(YEAR($A1611),MONTH($A1611),1))</f>
        <v/>
      </c>
      <c r="X1611" s="34">
        <f>IF(OR($A1611="",$H1611&lt;&gt;"Ausgabe",J1611=""),0,IF(J1611="x",-$E1611/(COUNTIF($J1611:$Q1611,"x")+1),-$E1611*N(J1611)))</f>
        <v/>
      </c>
      <c r="Y1611" s="34">
        <f>IF(OR($A1611="",$H1611&lt;&gt;"Ausgabe",K1611=""),0,IF(K1611="x",-$E1611/(COUNTIF($J1611:$Q1611,"x")+1),-$E1611*N(K1611)))</f>
        <v/>
      </c>
      <c r="Z1611" s="34">
        <f>IF(OR($A1611="",$H1611&lt;&gt;"Ausgabe",L1611=""),0,IF(L1611="x",-$E1611/(COUNTIF($J1611:$Q1611,"x")+1),-$E1611*N(L1611)))</f>
        <v/>
      </c>
      <c r="AA1611" s="34">
        <f>IF(OR($A1611="",$H1611&lt;&gt;"Ausgabe",M1611=""),0,IF(M1611="x",-$E1611/(COUNTIF($J1611:$Q1611,"x")+1),-$E1611*N(M1611)))</f>
        <v/>
      </c>
      <c r="AB1611" s="34">
        <f>IF(OR($A1611="",$H1611&lt;&gt;"Ausgabe",N1611=""),0,IF(N1611="x",-$E1611/(COUNTIF($J1611:$Q1611,"x")+1),-$E1611*N(N1611)))</f>
        <v/>
      </c>
      <c r="AC1611" s="34">
        <f>IF(OR($A1611="",$H1611&lt;&gt;"Ausgabe",O1611=""),0,IF(O1611="x",-$E1611/(COUNTIF($J1611:$Q1611,"x")+1),-$E1611*N(O1611)))</f>
        <v/>
      </c>
      <c r="AD1611" s="34">
        <f>IF(OR($A1611="",$H1611&lt;&gt;"Ausgabe",P1611=""),0,IF(P1611="x",-$E1611/(COUNTIF($J1611:$Q1611,"x")+1),-$E1611*N(P1611)))</f>
        <v/>
      </c>
      <c r="AE1611" s="34">
        <f>IF(OR($A1611="",$H1611&lt;&gt;"Ausgabe",Q1611=""),0,IF(Q1611="x",-$E1611/(COUNTIF($J1611:$Q1611,"x")+1),-$E1611*N(Q1611)))</f>
        <v/>
      </c>
    </row>
    <row r="1612">
      <c r="A1612" s="30" t="n"/>
      <c r="E1612" s="31" t="n"/>
      <c r="J1612" s="32" t="n"/>
      <c r="K1612" s="32" t="n"/>
      <c r="L1612" s="32" t="n"/>
      <c r="M1612" s="32" t="n"/>
      <c r="N1612" s="32" t="n"/>
      <c r="O1612" s="32" t="n"/>
      <c r="P1612" s="32" t="n"/>
      <c r="Q1612" s="32" t="n"/>
      <c r="U1612" s="31">
        <f>IF($A1612="","",SUM(X1612:AE1612))</f>
        <v/>
      </c>
      <c r="V1612" s="31">
        <f>IF($A1612="","",IF($H1612&lt;&gt;"Ausgabe",0,-$E1612-$U1612))</f>
        <v/>
      </c>
      <c r="W1612" s="33">
        <f>IF($A1612="","",DATE(YEAR($A1612),MONTH($A1612),1))</f>
        <v/>
      </c>
      <c r="X1612" s="34">
        <f>IF(OR($A1612="",$H1612&lt;&gt;"Ausgabe",J1612=""),0,IF(J1612="x",-$E1612/(COUNTIF($J1612:$Q1612,"x")+1),-$E1612*N(J1612)))</f>
        <v/>
      </c>
      <c r="Y1612" s="34">
        <f>IF(OR($A1612="",$H1612&lt;&gt;"Ausgabe",K1612=""),0,IF(K1612="x",-$E1612/(COUNTIF($J1612:$Q1612,"x")+1),-$E1612*N(K1612)))</f>
        <v/>
      </c>
      <c r="Z1612" s="34">
        <f>IF(OR($A1612="",$H1612&lt;&gt;"Ausgabe",L1612=""),0,IF(L1612="x",-$E1612/(COUNTIF($J1612:$Q1612,"x")+1),-$E1612*N(L1612)))</f>
        <v/>
      </c>
      <c r="AA1612" s="34">
        <f>IF(OR($A1612="",$H1612&lt;&gt;"Ausgabe",M1612=""),0,IF(M1612="x",-$E1612/(COUNTIF($J1612:$Q1612,"x")+1),-$E1612*N(M1612)))</f>
        <v/>
      </c>
      <c r="AB1612" s="34">
        <f>IF(OR($A1612="",$H1612&lt;&gt;"Ausgabe",N1612=""),0,IF(N1612="x",-$E1612/(COUNTIF($J1612:$Q1612,"x")+1),-$E1612*N(N1612)))</f>
        <v/>
      </c>
      <c r="AC1612" s="34">
        <f>IF(OR($A1612="",$H1612&lt;&gt;"Ausgabe",O1612=""),0,IF(O1612="x",-$E1612/(COUNTIF($J1612:$Q1612,"x")+1),-$E1612*N(O1612)))</f>
        <v/>
      </c>
      <c r="AD1612" s="34">
        <f>IF(OR($A1612="",$H1612&lt;&gt;"Ausgabe",P1612=""),0,IF(P1612="x",-$E1612/(COUNTIF($J1612:$Q1612,"x")+1),-$E1612*N(P1612)))</f>
        <v/>
      </c>
      <c r="AE1612" s="34">
        <f>IF(OR($A1612="",$H1612&lt;&gt;"Ausgabe",Q1612=""),0,IF(Q1612="x",-$E1612/(COUNTIF($J1612:$Q1612,"x")+1),-$E1612*N(Q1612)))</f>
        <v/>
      </c>
    </row>
    <row r="1613">
      <c r="A1613" s="30" t="n"/>
      <c r="E1613" s="31" t="n"/>
      <c r="J1613" s="32" t="n"/>
      <c r="K1613" s="32" t="n"/>
      <c r="L1613" s="32" t="n"/>
      <c r="M1613" s="32" t="n"/>
      <c r="N1613" s="32" t="n"/>
      <c r="O1613" s="32" t="n"/>
      <c r="P1613" s="32" t="n"/>
      <c r="Q1613" s="32" t="n"/>
      <c r="U1613" s="31">
        <f>IF($A1613="","",SUM(X1613:AE1613))</f>
        <v/>
      </c>
      <c r="V1613" s="31">
        <f>IF($A1613="","",IF($H1613&lt;&gt;"Ausgabe",0,-$E1613-$U1613))</f>
        <v/>
      </c>
      <c r="W1613" s="33">
        <f>IF($A1613="","",DATE(YEAR($A1613),MONTH($A1613),1))</f>
        <v/>
      </c>
      <c r="X1613" s="34">
        <f>IF(OR($A1613="",$H1613&lt;&gt;"Ausgabe",J1613=""),0,IF(J1613="x",-$E1613/(COUNTIF($J1613:$Q1613,"x")+1),-$E1613*N(J1613)))</f>
        <v/>
      </c>
      <c r="Y1613" s="34">
        <f>IF(OR($A1613="",$H1613&lt;&gt;"Ausgabe",K1613=""),0,IF(K1613="x",-$E1613/(COUNTIF($J1613:$Q1613,"x")+1),-$E1613*N(K1613)))</f>
        <v/>
      </c>
      <c r="Z1613" s="34">
        <f>IF(OR($A1613="",$H1613&lt;&gt;"Ausgabe",L1613=""),0,IF(L1613="x",-$E1613/(COUNTIF($J1613:$Q1613,"x")+1),-$E1613*N(L1613)))</f>
        <v/>
      </c>
      <c r="AA1613" s="34">
        <f>IF(OR($A1613="",$H1613&lt;&gt;"Ausgabe",M1613=""),0,IF(M1613="x",-$E1613/(COUNTIF($J1613:$Q1613,"x")+1),-$E1613*N(M1613)))</f>
        <v/>
      </c>
      <c r="AB1613" s="34">
        <f>IF(OR($A1613="",$H1613&lt;&gt;"Ausgabe",N1613=""),0,IF(N1613="x",-$E1613/(COUNTIF($J1613:$Q1613,"x")+1),-$E1613*N(N1613)))</f>
        <v/>
      </c>
      <c r="AC1613" s="34">
        <f>IF(OR($A1613="",$H1613&lt;&gt;"Ausgabe",O1613=""),0,IF(O1613="x",-$E1613/(COUNTIF($J1613:$Q1613,"x")+1),-$E1613*N(O1613)))</f>
        <v/>
      </c>
      <c r="AD1613" s="34">
        <f>IF(OR($A1613="",$H1613&lt;&gt;"Ausgabe",P1613=""),0,IF(P1613="x",-$E1613/(COUNTIF($J1613:$Q1613,"x")+1),-$E1613*N(P1613)))</f>
        <v/>
      </c>
      <c r="AE1613" s="34">
        <f>IF(OR($A1613="",$H1613&lt;&gt;"Ausgabe",Q1613=""),0,IF(Q1613="x",-$E1613/(COUNTIF($J1613:$Q1613,"x")+1),-$E1613*N(Q1613)))</f>
        <v/>
      </c>
    </row>
    <row r="1614">
      <c r="A1614" s="30" t="n"/>
      <c r="E1614" s="31" t="n"/>
      <c r="J1614" s="32" t="n"/>
      <c r="K1614" s="32" t="n"/>
      <c r="L1614" s="32" t="n"/>
      <c r="M1614" s="32" t="n"/>
      <c r="N1614" s="32" t="n"/>
      <c r="O1614" s="32" t="n"/>
      <c r="P1614" s="32" t="n"/>
      <c r="Q1614" s="32" t="n"/>
      <c r="U1614" s="31">
        <f>IF($A1614="","",SUM(X1614:AE1614))</f>
        <v/>
      </c>
      <c r="V1614" s="31">
        <f>IF($A1614="","",IF($H1614&lt;&gt;"Ausgabe",0,-$E1614-$U1614))</f>
        <v/>
      </c>
      <c r="W1614" s="33">
        <f>IF($A1614="","",DATE(YEAR($A1614),MONTH($A1614),1))</f>
        <v/>
      </c>
      <c r="X1614" s="34">
        <f>IF(OR($A1614="",$H1614&lt;&gt;"Ausgabe",J1614=""),0,IF(J1614="x",-$E1614/(COUNTIF($J1614:$Q1614,"x")+1),-$E1614*N(J1614)))</f>
        <v/>
      </c>
      <c r="Y1614" s="34">
        <f>IF(OR($A1614="",$H1614&lt;&gt;"Ausgabe",K1614=""),0,IF(K1614="x",-$E1614/(COUNTIF($J1614:$Q1614,"x")+1),-$E1614*N(K1614)))</f>
        <v/>
      </c>
      <c r="Z1614" s="34">
        <f>IF(OR($A1614="",$H1614&lt;&gt;"Ausgabe",L1614=""),0,IF(L1614="x",-$E1614/(COUNTIF($J1614:$Q1614,"x")+1),-$E1614*N(L1614)))</f>
        <v/>
      </c>
      <c r="AA1614" s="34">
        <f>IF(OR($A1614="",$H1614&lt;&gt;"Ausgabe",M1614=""),0,IF(M1614="x",-$E1614/(COUNTIF($J1614:$Q1614,"x")+1),-$E1614*N(M1614)))</f>
        <v/>
      </c>
      <c r="AB1614" s="34">
        <f>IF(OR($A1614="",$H1614&lt;&gt;"Ausgabe",N1614=""),0,IF(N1614="x",-$E1614/(COUNTIF($J1614:$Q1614,"x")+1),-$E1614*N(N1614)))</f>
        <v/>
      </c>
      <c r="AC1614" s="34">
        <f>IF(OR($A1614="",$H1614&lt;&gt;"Ausgabe",O1614=""),0,IF(O1614="x",-$E1614/(COUNTIF($J1614:$Q1614,"x")+1),-$E1614*N(O1614)))</f>
        <v/>
      </c>
      <c r="AD1614" s="34">
        <f>IF(OR($A1614="",$H1614&lt;&gt;"Ausgabe",P1614=""),0,IF(P1614="x",-$E1614/(COUNTIF($J1614:$Q1614,"x")+1),-$E1614*N(P1614)))</f>
        <v/>
      </c>
      <c r="AE1614" s="34">
        <f>IF(OR($A1614="",$H1614&lt;&gt;"Ausgabe",Q1614=""),0,IF(Q1614="x",-$E1614/(COUNTIF($J1614:$Q1614,"x")+1),-$E1614*N(Q1614)))</f>
        <v/>
      </c>
    </row>
    <row r="1615">
      <c r="A1615" s="30" t="n"/>
      <c r="E1615" s="31" t="n"/>
      <c r="J1615" s="32" t="n"/>
      <c r="K1615" s="32" t="n"/>
      <c r="L1615" s="32" t="n"/>
      <c r="M1615" s="32" t="n"/>
      <c r="N1615" s="32" t="n"/>
      <c r="O1615" s="32" t="n"/>
      <c r="P1615" s="32" t="n"/>
      <c r="Q1615" s="32" t="n"/>
      <c r="U1615" s="31">
        <f>IF($A1615="","",SUM(X1615:AE1615))</f>
        <v/>
      </c>
      <c r="V1615" s="31">
        <f>IF($A1615="","",IF($H1615&lt;&gt;"Ausgabe",0,-$E1615-$U1615))</f>
        <v/>
      </c>
      <c r="W1615" s="33">
        <f>IF($A1615="","",DATE(YEAR($A1615),MONTH($A1615),1))</f>
        <v/>
      </c>
      <c r="X1615" s="34">
        <f>IF(OR($A1615="",$H1615&lt;&gt;"Ausgabe",J1615=""),0,IF(J1615="x",-$E1615/(COUNTIF($J1615:$Q1615,"x")+1),-$E1615*N(J1615)))</f>
        <v/>
      </c>
      <c r="Y1615" s="34">
        <f>IF(OR($A1615="",$H1615&lt;&gt;"Ausgabe",K1615=""),0,IF(K1615="x",-$E1615/(COUNTIF($J1615:$Q1615,"x")+1),-$E1615*N(K1615)))</f>
        <v/>
      </c>
      <c r="Z1615" s="34">
        <f>IF(OR($A1615="",$H1615&lt;&gt;"Ausgabe",L1615=""),0,IF(L1615="x",-$E1615/(COUNTIF($J1615:$Q1615,"x")+1),-$E1615*N(L1615)))</f>
        <v/>
      </c>
      <c r="AA1615" s="34">
        <f>IF(OR($A1615="",$H1615&lt;&gt;"Ausgabe",M1615=""),0,IF(M1615="x",-$E1615/(COUNTIF($J1615:$Q1615,"x")+1),-$E1615*N(M1615)))</f>
        <v/>
      </c>
      <c r="AB1615" s="34">
        <f>IF(OR($A1615="",$H1615&lt;&gt;"Ausgabe",N1615=""),0,IF(N1615="x",-$E1615/(COUNTIF($J1615:$Q1615,"x")+1),-$E1615*N(N1615)))</f>
        <v/>
      </c>
      <c r="AC1615" s="34">
        <f>IF(OR($A1615="",$H1615&lt;&gt;"Ausgabe",O1615=""),0,IF(O1615="x",-$E1615/(COUNTIF($J1615:$Q1615,"x")+1),-$E1615*N(O1615)))</f>
        <v/>
      </c>
      <c r="AD1615" s="34">
        <f>IF(OR($A1615="",$H1615&lt;&gt;"Ausgabe",P1615=""),0,IF(P1615="x",-$E1615/(COUNTIF($J1615:$Q1615,"x")+1),-$E1615*N(P1615)))</f>
        <v/>
      </c>
      <c r="AE1615" s="34">
        <f>IF(OR($A1615="",$H1615&lt;&gt;"Ausgabe",Q1615=""),0,IF(Q1615="x",-$E1615/(COUNTIF($J1615:$Q1615,"x")+1),-$E1615*N(Q1615)))</f>
        <v/>
      </c>
    </row>
    <row r="1616">
      <c r="A1616" s="30" t="n"/>
      <c r="E1616" s="31" t="n"/>
      <c r="J1616" s="32" t="n"/>
      <c r="K1616" s="32" t="n"/>
      <c r="L1616" s="32" t="n"/>
      <c r="M1616" s="32" t="n"/>
      <c r="N1616" s="32" t="n"/>
      <c r="O1616" s="32" t="n"/>
      <c r="P1616" s="32" t="n"/>
      <c r="Q1616" s="32" t="n"/>
      <c r="U1616" s="31">
        <f>IF($A1616="","",SUM(X1616:AE1616))</f>
        <v/>
      </c>
      <c r="V1616" s="31">
        <f>IF($A1616="","",IF($H1616&lt;&gt;"Ausgabe",0,-$E1616-$U1616))</f>
        <v/>
      </c>
      <c r="W1616" s="33">
        <f>IF($A1616="","",DATE(YEAR($A1616),MONTH($A1616),1))</f>
        <v/>
      </c>
      <c r="X1616" s="34">
        <f>IF(OR($A1616="",$H1616&lt;&gt;"Ausgabe",J1616=""),0,IF(J1616="x",-$E1616/(COUNTIF($J1616:$Q1616,"x")+1),-$E1616*N(J1616)))</f>
        <v/>
      </c>
      <c r="Y1616" s="34">
        <f>IF(OR($A1616="",$H1616&lt;&gt;"Ausgabe",K1616=""),0,IF(K1616="x",-$E1616/(COUNTIF($J1616:$Q1616,"x")+1),-$E1616*N(K1616)))</f>
        <v/>
      </c>
      <c r="Z1616" s="34">
        <f>IF(OR($A1616="",$H1616&lt;&gt;"Ausgabe",L1616=""),0,IF(L1616="x",-$E1616/(COUNTIF($J1616:$Q1616,"x")+1),-$E1616*N(L1616)))</f>
        <v/>
      </c>
      <c r="AA1616" s="34">
        <f>IF(OR($A1616="",$H1616&lt;&gt;"Ausgabe",M1616=""),0,IF(M1616="x",-$E1616/(COUNTIF($J1616:$Q1616,"x")+1),-$E1616*N(M1616)))</f>
        <v/>
      </c>
      <c r="AB1616" s="34">
        <f>IF(OR($A1616="",$H1616&lt;&gt;"Ausgabe",N1616=""),0,IF(N1616="x",-$E1616/(COUNTIF($J1616:$Q1616,"x")+1),-$E1616*N(N1616)))</f>
        <v/>
      </c>
      <c r="AC1616" s="34">
        <f>IF(OR($A1616="",$H1616&lt;&gt;"Ausgabe",O1616=""),0,IF(O1616="x",-$E1616/(COUNTIF($J1616:$Q1616,"x")+1),-$E1616*N(O1616)))</f>
        <v/>
      </c>
      <c r="AD1616" s="34">
        <f>IF(OR($A1616="",$H1616&lt;&gt;"Ausgabe",P1616=""),0,IF(P1616="x",-$E1616/(COUNTIF($J1616:$Q1616,"x")+1),-$E1616*N(P1616)))</f>
        <v/>
      </c>
      <c r="AE1616" s="34">
        <f>IF(OR($A1616="",$H1616&lt;&gt;"Ausgabe",Q1616=""),0,IF(Q1616="x",-$E1616/(COUNTIF($J1616:$Q1616,"x")+1),-$E1616*N(Q1616)))</f>
        <v/>
      </c>
    </row>
    <row r="1617">
      <c r="A1617" s="30" t="n"/>
      <c r="E1617" s="31" t="n"/>
      <c r="J1617" s="32" t="n"/>
      <c r="K1617" s="32" t="n"/>
      <c r="L1617" s="32" t="n"/>
      <c r="M1617" s="32" t="n"/>
      <c r="N1617" s="32" t="n"/>
      <c r="O1617" s="32" t="n"/>
      <c r="P1617" s="32" t="n"/>
      <c r="Q1617" s="32" t="n"/>
      <c r="U1617" s="31">
        <f>IF($A1617="","",SUM(X1617:AE1617))</f>
        <v/>
      </c>
      <c r="V1617" s="31">
        <f>IF($A1617="","",IF($H1617&lt;&gt;"Ausgabe",0,-$E1617-$U1617))</f>
        <v/>
      </c>
      <c r="W1617" s="33">
        <f>IF($A1617="","",DATE(YEAR($A1617),MONTH($A1617),1))</f>
        <v/>
      </c>
      <c r="X1617" s="34">
        <f>IF(OR($A1617="",$H1617&lt;&gt;"Ausgabe",J1617=""),0,IF(J1617="x",-$E1617/(COUNTIF($J1617:$Q1617,"x")+1),-$E1617*N(J1617)))</f>
        <v/>
      </c>
      <c r="Y1617" s="34">
        <f>IF(OR($A1617="",$H1617&lt;&gt;"Ausgabe",K1617=""),0,IF(K1617="x",-$E1617/(COUNTIF($J1617:$Q1617,"x")+1),-$E1617*N(K1617)))</f>
        <v/>
      </c>
      <c r="Z1617" s="34">
        <f>IF(OR($A1617="",$H1617&lt;&gt;"Ausgabe",L1617=""),0,IF(L1617="x",-$E1617/(COUNTIF($J1617:$Q1617,"x")+1),-$E1617*N(L1617)))</f>
        <v/>
      </c>
      <c r="AA1617" s="34">
        <f>IF(OR($A1617="",$H1617&lt;&gt;"Ausgabe",M1617=""),0,IF(M1617="x",-$E1617/(COUNTIF($J1617:$Q1617,"x")+1),-$E1617*N(M1617)))</f>
        <v/>
      </c>
      <c r="AB1617" s="34">
        <f>IF(OR($A1617="",$H1617&lt;&gt;"Ausgabe",N1617=""),0,IF(N1617="x",-$E1617/(COUNTIF($J1617:$Q1617,"x")+1),-$E1617*N(N1617)))</f>
        <v/>
      </c>
      <c r="AC1617" s="34">
        <f>IF(OR($A1617="",$H1617&lt;&gt;"Ausgabe",O1617=""),0,IF(O1617="x",-$E1617/(COUNTIF($J1617:$Q1617,"x")+1),-$E1617*N(O1617)))</f>
        <v/>
      </c>
      <c r="AD1617" s="34">
        <f>IF(OR($A1617="",$H1617&lt;&gt;"Ausgabe",P1617=""),0,IF(P1617="x",-$E1617/(COUNTIF($J1617:$Q1617,"x")+1),-$E1617*N(P1617)))</f>
        <v/>
      </c>
      <c r="AE1617" s="34">
        <f>IF(OR($A1617="",$H1617&lt;&gt;"Ausgabe",Q1617=""),0,IF(Q1617="x",-$E1617/(COUNTIF($J1617:$Q1617,"x")+1),-$E1617*N(Q1617)))</f>
        <v/>
      </c>
    </row>
    <row r="1618">
      <c r="A1618" s="30" t="n"/>
      <c r="E1618" s="31" t="n"/>
      <c r="J1618" s="32" t="n"/>
      <c r="K1618" s="32" t="n"/>
      <c r="L1618" s="32" t="n"/>
      <c r="M1618" s="32" t="n"/>
      <c r="N1618" s="32" t="n"/>
      <c r="O1618" s="32" t="n"/>
      <c r="P1618" s="32" t="n"/>
      <c r="Q1618" s="32" t="n"/>
      <c r="U1618" s="31">
        <f>IF($A1618="","",SUM(X1618:AE1618))</f>
        <v/>
      </c>
      <c r="V1618" s="31">
        <f>IF($A1618="","",IF($H1618&lt;&gt;"Ausgabe",0,-$E1618-$U1618))</f>
        <v/>
      </c>
      <c r="W1618" s="33">
        <f>IF($A1618="","",DATE(YEAR($A1618),MONTH($A1618),1))</f>
        <v/>
      </c>
      <c r="X1618" s="34">
        <f>IF(OR($A1618="",$H1618&lt;&gt;"Ausgabe",J1618=""),0,IF(J1618="x",-$E1618/(COUNTIF($J1618:$Q1618,"x")+1),-$E1618*N(J1618)))</f>
        <v/>
      </c>
      <c r="Y1618" s="34">
        <f>IF(OR($A1618="",$H1618&lt;&gt;"Ausgabe",K1618=""),0,IF(K1618="x",-$E1618/(COUNTIF($J1618:$Q1618,"x")+1),-$E1618*N(K1618)))</f>
        <v/>
      </c>
      <c r="Z1618" s="34">
        <f>IF(OR($A1618="",$H1618&lt;&gt;"Ausgabe",L1618=""),0,IF(L1618="x",-$E1618/(COUNTIF($J1618:$Q1618,"x")+1),-$E1618*N(L1618)))</f>
        <v/>
      </c>
      <c r="AA1618" s="34">
        <f>IF(OR($A1618="",$H1618&lt;&gt;"Ausgabe",M1618=""),0,IF(M1618="x",-$E1618/(COUNTIF($J1618:$Q1618,"x")+1),-$E1618*N(M1618)))</f>
        <v/>
      </c>
      <c r="AB1618" s="34">
        <f>IF(OR($A1618="",$H1618&lt;&gt;"Ausgabe",N1618=""),0,IF(N1618="x",-$E1618/(COUNTIF($J1618:$Q1618,"x")+1),-$E1618*N(N1618)))</f>
        <v/>
      </c>
      <c r="AC1618" s="34">
        <f>IF(OR($A1618="",$H1618&lt;&gt;"Ausgabe",O1618=""),0,IF(O1618="x",-$E1618/(COUNTIF($J1618:$Q1618,"x")+1),-$E1618*N(O1618)))</f>
        <v/>
      </c>
      <c r="AD1618" s="34">
        <f>IF(OR($A1618="",$H1618&lt;&gt;"Ausgabe",P1618=""),0,IF(P1618="x",-$E1618/(COUNTIF($J1618:$Q1618,"x")+1),-$E1618*N(P1618)))</f>
        <v/>
      </c>
      <c r="AE1618" s="34">
        <f>IF(OR($A1618="",$H1618&lt;&gt;"Ausgabe",Q1618=""),0,IF(Q1618="x",-$E1618/(COUNTIF($J1618:$Q1618,"x")+1),-$E1618*N(Q1618)))</f>
        <v/>
      </c>
    </row>
    <row r="1619">
      <c r="A1619" s="30" t="n"/>
      <c r="E1619" s="31" t="n"/>
      <c r="J1619" s="32" t="n"/>
      <c r="K1619" s="32" t="n"/>
      <c r="L1619" s="32" t="n"/>
      <c r="M1619" s="32" t="n"/>
      <c r="N1619" s="32" t="n"/>
      <c r="O1619" s="32" t="n"/>
      <c r="P1619" s="32" t="n"/>
      <c r="Q1619" s="32" t="n"/>
      <c r="U1619" s="31">
        <f>IF($A1619="","",SUM(X1619:AE1619))</f>
        <v/>
      </c>
      <c r="V1619" s="31">
        <f>IF($A1619="","",IF($H1619&lt;&gt;"Ausgabe",0,-$E1619-$U1619))</f>
        <v/>
      </c>
      <c r="W1619" s="33">
        <f>IF($A1619="","",DATE(YEAR($A1619),MONTH($A1619),1))</f>
        <v/>
      </c>
      <c r="X1619" s="34">
        <f>IF(OR($A1619="",$H1619&lt;&gt;"Ausgabe",J1619=""),0,IF(J1619="x",-$E1619/(COUNTIF($J1619:$Q1619,"x")+1),-$E1619*N(J1619)))</f>
        <v/>
      </c>
      <c r="Y1619" s="34">
        <f>IF(OR($A1619="",$H1619&lt;&gt;"Ausgabe",K1619=""),0,IF(K1619="x",-$E1619/(COUNTIF($J1619:$Q1619,"x")+1),-$E1619*N(K1619)))</f>
        <v/>
      </c>
      <c r="Z1619" s="34">
        <f>IF(OR($A1619="",$H1619&lt;&gt;"Ausgabe",L1619=""),0,IF(L1619="x",-$E1619/(COUNTIF($J1619:$Q1619,"x")+1),-$E1619*N(L1619)))</f>
        <v/>
      </c>
      <c r="AA1619" s="34">
        <f>IF(OR($A1619="",$H1619&lt;&gt;"Ausgabe",M1619=""),0,IF(M1619="x",-$E1619/(COUNTIF($J1619:$Q1619,"x")+1),-$E1619*N(M1619)))</f>
        <v/>
      </c>
      <c r="AB1619" s="34">
        <f>IF(OR($A1619="",$H1619&lt;&gt;"Ausgabe",N1619=""),0,IF(N1619="x",-$E1619/(COUNTIF($J1619:$Q1619,"x")+1),-$E1619*N(N1619)))</f>
        <v/>
      </c>
      <c r="AC1619" s="34">
        <f>IF(OR($A1619="",$H1619&lt;&gt;"Ausgabe",O1619=""),0,IF(O1619="x",-$E1619/(COUNTIF($J1619:$Q1619,"x")+1),-$E1619*N(O1619)))</f>
        <v/>
      </c>
      <c r="AD1619" s="34">
        <f>IF(OR($A1619="",$H1619&lt;&gt;"Ausgabe",P1619=""),0,IF(P1619="x",-$E1619/(COUNTIF($J1619:$Q1619,"x")+1),-$E1619*N(P1619)))</f>
        <v/>
      </c>
      <c r="AE1619" s="34">
        <f>IF(OR($A1619="",$H1619&lt;&gt;"Ausgabe",Q1619=""),0,IF(Q1619="x",-$E1619/(COUNTIF($J1619:$Q1619,"x")+1),-$E1619*N(Q1619)))</f>
        <v/>
      </c>
    </row>
    <row r="1620">
      <c r="A1620" s="30" t="n"/>
      <c r="E1620" s="31" t="n"/>
      <c r="J1620" s="32" t="n"/>
      <c r="K1620" s="32" t="n"/>
      <c r="L1620" s="32" t="n"/>
      <c r="M1620" s="32" t="n"/>
      <c r="N1620" s="32" t="n"/>
      <c r="O1620" s="32" t="n"/>
      <c r="P1620" s="32" t="n"/>
      <c r="Q1620" s="32" t="n"/>
      <c r="U1620" s="31">
        <f>IF($A1620="","",SUM(X1620:AE1620))</f>
        <v/>
      </c>
      <c r="V1620" s="31">
        <f>IF($A1620="","",IF($H1620&lt;&gt;"Ausgabe",0,-$E1620-$U1620))</f>
        <v/>
      </c>
      <c r="W1620" s="33">
        <f>IF($A1620="","",DATE(YEAR($A1620),MONTH($A1620),1))</f>
        <v/>
      </c>
      <c r="X1620" s="34">
        <f>IF(OR($A1620="",$H1620&lt;&gt;"Ausgabe",J1620=""),0,IF(J1620="x",-$E1620/(COUNTIF($J1620:$Q1620,"x")+1),-$E1620*N(J1620)))</f>
        <v/>
      </c>
      <c r="Y1620" s="34">
        <f>IF(OR($A1620="",$H1620&lt;&gt;"Ausgabe",K1620=""),0,IF(K1620="x",-$E1620/(COUNTIF($J1620:$Q1620,"x")+1),-$E1620*N(K1620)))</f>
        <v/>
      </c>
      <c r="Z1620" s="34">
        <f>IF(OR($A1620="",$H1620&lt;&gt;"Ausgabe",L1620=""),0,IF(L1620="x",-$E1620/(COUNTIF($J1620:$Q1620,"x")+1),-$E1620*N(L1620)))</f>
        <v/>
      </c>
      <c r="AA1620" s="34">
        <f>IF(OR($A1620="",$H1620&lt;&gt;"Ausgabe",M1620=""),0,IF(M1620="x",-$E1620/(COUNTIF($J1620:$Q1620,"x")+1),-$E1620*N(M1620)))</f>
        <v/>
      </c>
      <c r="AB1620" s="34">
        <f>IF(OR($A1620="",$H1620&lt;&gt;"Ausgabe",N1620=""),0,IF(N1620="x",-$E1620/(COUNTIF($J1620:$Q1620,"x")+1),-$E1620*N(N1620)))</f>
        <v/>
      </c>
      <c r="AC1620" s="34">
        <f>IF(OR($A1620="",$H1620&lt;&gt;"Ausgabe",O1620=""),0,IF(O1620="x",-$E1620/(COUNTIF($J1620:$Q1620,"x")+1),-$E1620*N(O1620)))</f>
        <v/>
      </c>
      <c r="AD1620" s="34">
        <f>IF(OR($A1620="",$H1620&lt;&gt;"Ausgabe",P1620=""),0,IF(P1620="x",-$E1620/(COUNTIF($J1620:$Q1620,"x")+1),-$E1620*N(P1620)))</f>
        <v/>
      </c>
      <c r="AE1620" s="34">
        <f>IF(OR($A1620="",$H1620&lt;&gt;"Ausgabe",Q1620=""),0,IF(Q1620="x",-$E1620/(COUNTIF($J1620:$Q1620,"x")+1),-$E1620*N(Q1620)))</f>
        <v/>
      </c>
    </row>
    <row r="1621">
      <c r="A1621" s="30" t="n"/>
      <c r="E1621" s="31" t="n"/>
      <c r="J1621" s="32" t="n"/>
      <c r="K1621" s="32" t="n"/>
      <c r="L1621" s="32" t="n"/>
      <c r="M1621" s="32" t="n"/>
      <c r="N1621" s="32" t="n"/>
      <c r="O1621" s="32" t="n"/>
      <c r="P1621" s="32" t="n"/>
      <c r="Q1621" s="32" t="n"/>
      <c r="U1621" s="31">
        <f>IF($A1621="","",SUM(X1621:AE1621))</f>
        <v/>
      </c>
      <c r="V1621" s="31">
        <f>IF($A1621="","",IF($H1621&lt;&gt;"Ausgabe",0,-$E1621-$U1621))</f>
        <v/>
      </c>
      <c r="W1621" s="33">
        <f>IF($A1621="","",DATE(YEAR($A1621),MONTH($A1621),1))</f>
        <v/>
      </c>
      <c r="X1621" s="34">
        <f>IF(OR($A1621="",$H1621&lt;&gt;"Ausgabe",J1621=""),0,IF(J1621="x",-$E1621/(COUNTIF($J1621:$Q1621,"x")+1),-$E1621*N(J1621)))</f>
        <v/>
      </c>
      <c r="Y1621" s="34">
        <f>IF(OR($A1621="",$H1621&lt;&gt;"Ausgabe",K1621=""),0,IF(K1621="x",-$E1621/(COUNTIF($J1621:$Q1621,"x")+1),-$E1621*N(K1621)))</f>
        <v/>
      </c>
      <c r="Z1621" s="34">
        <f>IF(OR($A1621="",$H1621&lt;&gt;"Ausgabe",L1621=""),0,IF(L1621="x",-$E1621/(COUNTIF($J1621:$Q1621,"x")+1),-$E1621*N(L1621)))</f>
        <v/>
      </c>
      <c r="AA1621" s="34">
        <f>IF(OR($A1621="",$H1621&lt;&gt;"Ausgabe",M1621=""),0,IF(M1621="x",-$E1621/(COUNTIF($J1621:$Q1621,"x")+1),-$E1621*N(M1621)))</f>
        <v/>
      </c>
      <c r="AB1621" s="34">
        <f>IF(OR($A1621="",$H1621&lt;&gt;"Ausgabe",N1621=""),0,IF(N1621="x",-$E1621/(COUNTIF($J1621:$Q1621,"x")+1),-$E1621*N(N1621)))</f>
        <v/>
      </c>
      <c r="AC1621" s="34">
        <f>IF(OR($A1621="",$H1621&lt;&gt;"Ausgabe",O1621=""),0,IF(O1621="x",-$E1621/(COUNTIF($J1621:$Q1621,"x")+1),-$E1621*N(O1621)))</f>
        <v/>
      </c>
      <c r="AD1621" s="34">
        <f>IF(OR($A1621="",$H1621&lt;&gt;"Ausgabe",P1621=""),0,IF(P1621="x",-$E1621/(COUNTIF($J1621:$Q1621,"x")+1),-$E1621*N(P1621)))</f>
        <v/>
      </c>
      <c r="AE1621" s="34">
        <f>IF(OR($A1621="",$H1621&lt;&gt;"Ausgabe",Q1621=""),0,IF(Q1621="x",-$E1621/(COUNTIF($J1621:$Q1621,"x")+1),-$E1621*N(Q1621)))</f>
        <v/>
      </c>
    </row>
    <row r="1622">
      <c r="A1622" s="30" t="n"/>
      <c r="E1622" s="31" t="n"/>
      <c r="J1622" s="32" t="n"/>
      <c r="K1622" s="32" t="n"/>
      <c r="L1622" s="32" t="n"/>
      <c r="M1622" s="32" t="n"/>
      <c r="N1622" s="32" t="n"/>
      <c r="O1622" s="32" t="n"/>
      <c r="P1622" s="32" t="n"/>
      <c r="Q1622" s="32" t="n"/>
      <c r="U1622" s="31">
        <f>IF($A1622="","",SUM(X1622:AE1622))</f>
        <v/>
      </c>
      <c r="V1622" s="31">
        <f>IF($A1622="","",IF($H1622&lt;&gt;"Ausgabe",0,-$E1622-$U1622))</f>
        <v/>
      </c>
      <c r="W1622" s="33">
        <f>IF($A1622="","",DATE(YEAR($A1622),MONTH($A1622),1))</f>
        <v/>
      </c>
      <c r="X1622" s="34">
        <f>IF(OR($A1622="",$H1622&lt;&gt;"Ausgabe",J1622=""),0,IF(J1622="x",-$E1622/(COUNTIF($J1622:$Q1622,"x")+1),-$E1622*N(J1622)))</f>
        <v/>
      </c>
      <c r="Y1622" s="34">
        <f>IF(OR($A1622="",$H1622&lt;&gt;"Ausgabe",K1622=""),0,IF(K1622="x",-$E1622/(COUNTIF($J1622:$Q1622,"x")+1),-$E1622*N(K1622)))</f>
        <v/>
      </c>
      <c r="Z1622" s="34">
        <f>IF(OR($A1622="",$H1622&lt;&gt;"Ausgabe",L1622=""),0,IF(L1622="x",-$E1622/(COUNTIF($J1622:$Q1622,"x")+1),-$E1622*N(L1622)))</f>
        <v/>
      </c>
      <c r="AA1622" s="34">
        <f>IF(OR($A1622="",$H1622&lt;&gt;"Ausgabe",M1622=""),0,IF(M1622="x",-$E1622/(COUNTIF($J1622:$Q1622,"x")+1),-$E1622*N(M1622)))</f>
        <v/>
      </c>
      <c r="AB1622" s="34">
        <f>IF(OR($A1622="",$H1622&lt;&gt;"Ausgabe",N1622=""),0,IF(N1622="x",-$E1622/(COUNTIF($J1622:$Q1622,"x")+1),-$E1622*N(N1622)))</f>
        <v/>
      </c>
      <c r="AC1622" s="34">
        <f>IF(OR($A1622="",$H1622&lt;&gt;"Ausgabe",O1622=""),0,IF(O1622="x",-$E1622/(COUNTIF($J1622:$Q1622,"x")+1),-$E1622*N(O1622)))</f>
        <v/>
      </c>
      <c r="AD1622" s="34">
        <f>IF(OR($A1622="",$H1622&lt;&gt;"Ausgabe",P1622=""),0,IF(P1622="x",-$E1622/(COUNTIF($J1622:$Q1622,"x")+1),-$E1622*N(P1622)))</f>
        <v/>
      </c>
      <c r="AE1622" s="34">
        <f>IF(OR($A1622="",$H1622&lt;&gt;"Ausgabe",Q1622=""),0,IF(Q1622="x",-$E1622/(COUNTIF($J1622:$Q1622,"x")+1),-$E1622*N(Q1622)))</f>
        <v/>
      </c>
    </row>
    <row r="1623">
      <c r="A1623" s="30" t="n"/>
      <c r="E1623" s="31" t="n"/>
      <c r="J1623" s="32" t="n"/>
      <c r="K1623" s="32" t="n"/>
      <c r="L1623" s="32" t="n"/>
      <c r="M1623" s="32" t="n"/>
      <c r="N1623" s="32" t="n"/>
      <c r="O1623" s="32" t="n"/>
      <c r="P1623" s="32" t="n"/>
      <c r="Q1623" s="32" t="n"/>
      <c r="U1623" s="31">
        <f>IF($A1623="","",SUM(X1623:AE1623))</f>
        <v/>
      </c>
      <c r="V1623" s="31">
        <f>IF($A1623="","",IF($H1623&lt;&gt;"Ausgabe",0,-$E1623-$U1623))</f>
        <v/>
      </c>
      <c r="W1623" s="33">
        <f>IF($A1623="","",DATE(YEAR($A1623),MONTH($A1623),1))</f>
        <v/>
      </c>
      <c r="X1623" s="34">
        <f>IF(OR($A1623="",$H1623&lt;&gt;"Ausgabe",J1623=""),0,IF(J1623="x",-$E1623/(COUNTIF($J1623:$Q1623,"x")+1),-$E1623*N(J1623)))</f>
        <v/>
      </c>
      <c r="Y1623" s="34">
        <f>IF(OR($A1623="",$H1623&lt;&gt;"Ausgabe",K1623=""),0,IF(K1623="x",-$E1623/(COUNTIF($J1623:$Q1623,"x")+1),-$E1623*N(K1623)))</f>
        <v/>
      </c>
      <c r="Z1623" s="34">
        <f>IF(OR($A1623="",$H1623&lt;&gt;"Ausgabe",L1623=""),0,IF(L1623="x",-$E1623/(COUNTIF($J1623:$Q1623,"x")+1),-$E1623*N(L1623)))</f>
        <v/>
      </c>
      <c r="AA1623" s="34">
        <f>IF(OR($A1623="",$H1623&lt;&gt;"Ausgabe",M1623=""),0,IF(M1623="x",-$E1623/(COUNTIF($J1623:$Q1623,"x")+1),-$E1623*N(M1623)))</f>
        <v/>
      </c>
      <c r="AB1623" s="34">
        <f>IF(OR($A1623="",$H1623&lt;&gt;"Ausgabe",N1623=""),0,IF(N1623="x",-$E1623/(COUNTIF($J1623:$Q1623,"x")+1),-$E1623*N(N1623)))</f>
        <v/>
      </c>
      <c r="AC1623" s="34">
        <f>IF(OR($A1623="",$H1623&lt;&gt;"Ausgabe",O1623=""),0,IF(O1623="x",-$E1623/(COUNTIF($J1623:$Q1623,"x")+1),-$E1623*N(O1623)))</f>
        <v/>
      </c>
      <c r="AD1623" s="34">
        <f>IF(OR($A1623="",$H1623&lt;&gt;"Ausgabe",P1623=""),0,IF(P1623="x",-$E1623/(COUNTIF($J1623:$Q1623,"x")+1),-$E1623*N(P1623)))</f>
        <v/>
      </c>
      <c r="AE1623" s="34">
        <f>IF(OR($A1623="",$H1623&lt;&gt;"Ausgabe",Q1623=""),0,IF(Q1623="x",-$E1623/(COUNTIF($J1623:$Q1623,"x")+1),-$E1623*N(Q1623)))</f>
        <v/>
      </c>
    </row>
    <row r="1624">
      <c r="A1624" s="30" t="n"/>
      <c r="E1624" s="31" t="n"/>
      <c r="J1624" s="32" t="n"/>
      <c r="K1624" s="32" t="n"/>
      <c r="L1624" s="32" t="n"/>
      <c r="M1624" s="32" t="n"/>
      <c r="N1624" s="32" t="n"/>
      <c r="O1624" s="32" t="n"/>
      <c r="P1624" s="32" t="n"/>
      <c r="Q1624" s="32" t="n"/>
      <c r="U1624" s="31">
        <f>IF($A1624="","",SUM(X1624:AE1624))</f>
        <v/>
      </c>
      <c r="V1624" s="31">
        <f>IF($A1624="","",IF($H1624&lt;&gt;"Ausgabe",0,-$E1624-$U1624))</f>
        <v/>
      </c>
      <c r="W1624" s="33">
        <f>IF($A1624="","",DATE(YEAR($A1624),MONTH($A1624),1))</f>
        <v/>
      </c>
      <c r="X1624" s="34">
        <f>IF(OR($A1624="",$H1624&lt;&gt;"Ausgabe",J1624=""),0,IF(J1624="x",-$E1624/(COUNTIF($J1624:$Q1624,"x")+1),-$E1624*N(J1624)))</f>
        <v/>
      </c>
      <c r="Y1624" s="34">
        <f>IF(OR($A1624="",$H1624&lt;&gt;"Ausgabe",K1624=""),0,IF(K1624="x",-$E1624/(COUNTIF($J1624:$Q1624,"x")+1),-$E1624*N(K1624)))</f>
        <v/>
      </c>
      <c r="Z1624" s="34">
        <f>IF(OR($A1624="",$H1624&lt;&gt;"Ausgabe",L1624=""),0,IF(L1624="x",-$E1624/(COUNTIF($J1624:$Q1624,"x")+1),-$E1624*N(L1624)))</f>
        <v/>
      </c>
      <c r="AA1624" s="34">
        <f>IF(OR($A1624="",$H1624&lt;&gt;"Ausgabe",M1624=""),0,IF(M1624="x",-$E1624/(COUNTIF($J1624:$Q1624,"x")+1),-$E1624*N(M1624)))</f>
        <v/>
      </c>
      <c r="AB1624" s="34">
        <f>IF(OR($A1624="",$H1624&lt;&gt;"Ausgabe",N1624=""),0,IF(N1624="x",-$E1624/(COUNTIF($J1624:$Q1624,"x")+1),-$E1624*N(N1624)))</f>
        <v/>
      </c>
      <c r="AC1624" s="34">
        <f>IF(OR($A1624="",$H1624&lt;&gt;"Ausgabe",O1624=""),0,IF(O1624="x",-$E1624/(COUNTIF($J1624:$Q1624,"x")+1),-$E1624*N(O1624)))</f>
        <v/>
      </c>
      <c r="AD1624" s="34">
        <f>IF(OR($A1624="",$H1624&lt;&gt;"Ausgabe",P1624=""),0,IF(P1624="x",-$E1624/(COUNTIF($J1624:$Q1624,"x")+1),-$E1624*N(P1624)))</f>
        <v/>
      </c>
      <c r="AE1624" s="34">
        <f>IF(OR($A1624="",$H1624&lt;&gt;"Ausgabe",Q1624=""),0,IF(Q1624="x",-$E1624/(COUNTIF($J1624:$Q1624,"x")+1),-$E1624*N(Q1624)))</f>
        <v/>
      </c>
    </row>
    <row r="1625">
      <c r="A1625" s="30" t="n"/>
      <c r="E1625" s="31" t="n"/>
      <c r="J1625" s="32" t="n"/>
      <c r="K1625" s="32" t="n"/>
      <c r="L1625" s="32" t="n"/>
      <c r="M1625" s="32" t="n"/>
      <c r="N1625" s="32" t="n"/>
      <c r="O1625" s="32" t="n"/>
      <c r="P1625" s="32" t="n"/>
      <c r="Q1625" s="32" t="n"/>
      <c r="U1625" s="31">
        <f>IF($A1625="","",SUM(X1625:AE1625))</f>
        <v/>
      </c>
      <c r="V1625" s="31">
        <f>IF($A1625="","",IF($H1625&lt;&gt;"Ausgabe",0,-$E1625-$U1625))</f>
        <v/>
      </c>
      <c r="W1625" s="33">
        <f>IF($A1625="","",DATE(YEAR($A1625),MONTH($A1625),1))</f>
        <v/>
      </c>
      <c r="X1625" s="34">
        <f>IF(OR($A1625="",$H1625&lt;&gt;"Ausgabe",J1625=""),0,IF(J1625="x",-$E1625/(COUNTIF($J1625:$Q1625,"x")+1),-$E1625*N(J1625)))</f>
        <v/>
      </c>
      <c r="Y1625" s="34">
        <f>IF(OR($A1625="",$H1625&lt;&gt;"Ausgabe",K1625=""),0,IF(K1625="x",-$E1625/(COUNTIF($J1625:$Q1625,"x")+1),-$E1625*N(K1625)))</f>
        <v/>
      </c>
      <c r="Z1625" s="34">
        <f>IF(OR($A1625="",$H1625&lt;&gt;"Ausgabe",L1625=""),0,IF(L1625="x",-$E1625/(COUNTIF($J1625:$Q1625,"x")+1),-$E1625*N(L1625)))</f>
        <v/>
      </c>
      <c r="AA1625" s="34">
        <f>IF(OR($A1625="",$H1625&lt;&gt;"Ausgabe",M1625=""),0,IF(M1625="x",-$E1625/(COUNTIF($J1625:$Q1625,"x")+1),-$E1625*N(M1625)))</f>
        <v/>
      </c>
      <c r="AB1625" s="34">
        <f>IF(OR($A1625="",$H1625&lt;&gt;"Ausgabe",N1625=""),0,IF(N1625="x",-$E1625/(COUNTIF($J1625:$Q1625,"x")+1),-$E1625*N(N1625)))</f>
        <v/>
      </c>
      <c r="AC1625" s="34">
        <f>IF(OR($A1625="",$H1625&lt;&gt;"Ausgabe",O1625=""),0,IF(O1625="x",-$E1625/(COUNTIF($J1625:$Q1625,"x")+1),-$E1625*N(O1625)))</f>
        <v/>
      </c>
      <c r="AD1625" s="34">
        <f>IF(OR($A1625="",$H1625&lt;&gt;"Ausgabe",P1625=""),0,IF(P1625="x",-$E1625/(COUNTIF($J1625:$Q1625,"x")+1),-$E1625*N(P1625)))</f>
        <v/>
      </c>
      <c r="AE1625" s="34">
        <f>IF(OR($A1625="",$H1625&lt;&gt;"Ausgabe",Q1625=""),0,IF(Q1625="x",-$E1625/(COUNTIF($J1625:$Q1625,"x")+1),-$E1625*N(Q1625)))</f>
        <v/>
      </c>
    </row>
    <row r="1626">
      <c r="A1626" s="30" t="n"/>
      <c r="E1626" s="31" t="n"/>
      <c r="J1626" s="32" t="n"/>
      <c r="K1626" s="32" t="n"/>
      <c r="L1626" s="32" t="n"/>
      <c r="M1626" s="32" t="n"/>
      <c r="N1626" s="32" t="n"/>
      <c r="O1626" s="32" t="n"/>
      <c r="P1626" s="32" t="n"/>
      <c r="Q1626" s="32" t="n"/>
      <c r="U1626" s="31">
        <f>IF($A1626="","",SUM(X1626:AE1626))</f>
        <v/>
      </c>
      <c r="V1626" s="31">
        <f>IF($A1626="","",IF($H1626&lt;&gt;"Ausgabe",0,-$E1626-$U1626))</f>
        <v/>
      </c>
      <c r="W1626" s="33">
        <f>IF($A1626="","",DATE(YEAR($A1626),MONTH($A1626),1))</f>
        <v/>
      </c>
      <c r="X1626" s="34">
        <f>IF(OR($A1626="",$H1626&lt;&gt;"Ausgabe",J1626=""),0,IF(J1626="x",-$E1626/(COUNTIF($J1626:$Q1626,"x")+1),-$E1626*N(J1626)))</f>
        <v/>
      </c>
      <c r="Y1626" s="34">
        <f>IF(OR($A1626="",$H1626&lt;&gt;"Ausgabe",K1626=""),0,IF(K1626="x",-$E1626/(COUNTIF($J1626:$Q1626,"x")+1),-$E1626*N(K1626)))</f>
        <v/>
      </c>
      <c r="Z1626" s="34">
        <f>IF(OR($A1626="",$H1626&lt;&gt;"Ausgabe",L1626=""),0,IF(L1626="x",-$E1626/(COUNTIF($J1626:$Q1626,"x")+1),-$E1626*N(L1626)))</f>
        <v/>
      </c>
      <c r="AA1626" s="34">
        <f>IF(OR($A1626="",$H1626&lt;&gt;"Ausgabe",M1626=""),0,IF(M1626="x",-$E1626/(COUNTIF($J1626:$Q1626,"x")+1),-$E1626*N(M1626)))</f>
        <v/>
      </c>
      <c r="AB1626" s="34">
        <f>IF(OR($A1626="",$H1626&lt;&gt;"Ausgabe",N1626=""),0,IF(N1626="x",-$E1626/(COUNTIF($J1626:$Q1626,"x")+1),-$E1626*N(N1626)))</f>
        <v/>
      </c>
      <c r="AC1626" s="34">
        <f>IF(OR($A1626="",$H1626&lt;&gt;"Ausgabe",O1626=""),0,IF(O1626="x",-$E1626/(COUNTIF($J1626:$Q1626,"x")+1),-$E1626*N(O1626)))</f>
        <v/>
      </c>
      <c r="AD1626" s="34">
        <f>IF(OR($A1626="",$H1626&lt;&gt;"Ausgabe",P1626=""),0,IF(P1626="x",-$E1626/(COUNTIF($J1626:$Q1626,"x")+1),-$E1626*N(P1626)))</f>
        <v/>
      </c>
      <c r="AE1626" s="34">
        <f>IF(OR($A1626="",$H1626&lt;&gt;"Ausgabe",Q1626=""),0,IF(Q1626="x",-$E1626/(COUNTIF($J1626:$Q1626,"x")+1),-$E1626*N(Q1626)))</f>
        <v/>
      </c>
    </row>
    <row r="1627">
      <c r="A1627" s="30" t="n"/>
      <c r="E1627" s="31" t="n"/>
      <c r="J1627" s="32" t="n"/>
      <c r="K1627" s="32" t="n"/>
      <c r="L1627" s="32" t="n"/>
      <c r="M1627" s="32" t="n"/>
      <c r="N1627" s="32" t="n"/>
      <c r="O1627" s="32" t="n"/>
      <c r="P1627" s="32" t="n"/>
      <c r="Q1627" s="32" t="n"/>
      <c r="U1627" s="31">
        <f>IF($A1627="","",SUM(X1627:AE1627))</f>
        <v/>
      </c>
      <c r="V1627" s="31">
        <f>IF($A1627="","",IF($H1627&lt;&gt;"Ausgabe",0,-$E1627-$U1627))</f>
        <v/>
      </c>
      <c r="W1627" s="33">
        <f>IF($A1627="","",DATE(YEAR($A1627),MONTH($A1627),1))</f>
        <v/>
      </c>
      <c r="X1627" s="34">
        <f>IF(OR($A1627="",$H1627&lt;&gt;"Ausgabe",J1627=""),0,IF(J1627="x",-$E1627/(COUNTIF($J1627:$Q1627,"x")+1),-$E1627*N(J1627)))</f>
        <v/>
      </c>
      <c r="Y1627" s="34">
        <f>IF(OR($A1627="",$H1627&lt;&gt;"Ausgabe",K1627=""),0,IF(K1627="x",-$E1627/(COUNTIF($J1627:$Q1627,"x")+1),-$E1627*N(K1627)))</f>
        <v/>
      </c>
      <c r="Z1627" s="34">
        <f>IF(OR($A1627="",$H1627&lt;&gt;"Ausgabe",L1627=""),0,IF(L1627="x",-$E1627/(COUNTIF($J1627:$Q1627,"x")+1),-$E1627*N(L1627)))</f>
        <v/>
      </c>
      <c r="AA1627" s="34">
        <f>IF(OR($A1627="",$H1627&lt;&gt;"Ausgabe",M1627=""),0,IF(M1627="x",-$E1627/(COUNTIF($J1627:$Q1627,"x")+1),-$E1627*N(M1627)))</f>
        <v/>
      </c>
      <c r="AB1627" s="34">
        <f>IF(OR($A1627="",$H1627&lt;&gt;"Ausgabe",N1627=""),0,IF(N1627="x",-$E1627/(COUNTIF($J1627:$Q1627,"x")+1),-$E1627*N(N1627)))</f>
        <v/>
      </c>
      <c r="AC1627" s="34">
        <f>IF(OR($A1627="",$H1627&lt;&gt;"Ausgabe",O1627=""),0,IF(O1627="x",-$E1627/(COUNTIF($J1627:$Q1627,"x")+1),-$E1627*N(O1627)))</f>
        <v/>
      </c>
      <c r="AD1627" s="34">
        <f>IF(OR($A1627="",$H1627&lt;&gt;"Ausgabe",P1627=""),0,IF(P1627="x",-$E1627/(COUNTIF($J1627:$Q1627,"x")+1),-$E1627*N(P1627)))</f>
        <v/>
      </c>
      <c r="AE1627" s="34">
        <f>IF(OR($A1627="",$H1627&lt;&gt;"Ausgabe",Q1627=""),0,IF(Q1627="x",-$E1627/(COUNTIF($J1627:$Q1627,"x")+1),-$E1627*N(Q1627)))</f>
        <v/>
      </c>
    </row>
    <row r="1628">
      <c r="A1628" s="30" t="n"/>
      <c r="E1628" s="31" t="n"/>
      <c r="J1628" s="32" t="n"/>
      <c r="K1628" s="32" t="n"/>
      <c r="L1628" s="32" t="n"/>
      <c r="M1628" s="32" t="n"/>
      <c r="N1628" s="32" t="n"/>
      <c r="O1628" s="32" t="n"/>
      <c r="P1628" s="32" t="n"/>
      <c r="Q1628" s="32" t="n"/>
      <c r="U1628" s="31">
        <f>IF($A1628="","",SUM(X1628:AE1628))</f>
        <v/>
      </c>
      <c r="V1628" s="31">
        <f>IF($A1628="","",IF($H1628&lt;&gt;"Ausgabe",0,-$E1628-$U1628))</f>
        <v/>
      </c>
      <c r="W1628" s="33">
        <f>IF($A1628="","",DATE(YEAR($A1628),MONTH($A1628),1))</f>
        <v/>
      </c>
      <c r="X1628" s="34">
        <f>IF(OR($A1628="",$H1628&lt;&gt;"Ausgabe",J1628=""),0,IF(J1628="x",-$E1628/(COUNTIF($J1628:$Q1628,"x")+1),-$E1628*N(J1628)))</f>
        <v/>
      </c>
      <c r="Y1628" s="34">
        <f>IF(OR($A1628="",$H1628&lt;&gt;"Ausgabe",K1628=""),0,IF(K1628="x",-$E1628/(COUNTIF($J1628:$Q1628,"x")+1),-$E1628*N(K1628)))</f>
        <v/>
      </c>
      <c r="Z1628" s="34">
        <f>IF(OR($A1628="",$H1628&lt;&gt;"Ausgabe",L1628=""),0,IF(L1628="x",-$E1628/(COUNTIF($J1628:$Q1628,"x")+1),-$E1628*N(L1628)))</f>
        <v/>
      </c>
      <c r="AA1628" s="34">
        <f>IF(OR($A1628="",$H1628&lt;&gt;"Ausgabe",M1628=""),0,IF(M1628="x",-$E1628/(COUNTIF($J1628:$Q1628,"x")+1),-$E1628*N(M1628)))</f>
        <v/>
      </c>
      <c r="AB1628" s="34">
        <f>IF(OR($A1628="",$H1628&lt;&gt;"Ausgabe",N1628=""),0,IF(N1628="x",-$E1628/(COUNTIF($J1628:$Q1628,"x")+1),-$E1628*N(N1628)))</f>
        <v/>
      </c>
      <c r="AC1628" s="34">
        <f>IF(OR($A1628="",$H1628&lt;&gt;"Ausgabe",O1628=""),0,IF(O1628="x",-$E1628/(COUNTIF($J1628:$Q1628,"x")+1),-$E1628*N(O1628)))</f>
        <v/>
      </c>
      <c r="AD1628" s="34">
        <f>IF(OR($A1628="",$H1628&lt;&gt;"Ausgabe",P1628=""),0,IF(P1628="x",-$E1628/(COUNTIF($J1628:$Q1628,"x")+1),-$E1628*N(P1628)))</f>
        <v/>
      </c>
      <c r="AE1628" s="34">
        <f>IF(OR($A1628="",$H1628&lt;&gt;"Ausgabe",Q1628=""),0,IF(Q1628="x",-$E1628/(COUNTIF($J1628:$Q1628,"x")+1),-$E1628*N(Q1628)))</f>
        <v/>
      </c>
    </row>
    <row r="1629">
      <c r="A1629" s="30" t="n"/>
      <c r="E1629" s="31" t="n"/>
      <c r="J1629" s="32" t="n"/>
      <c r="K1629" s="32" t="n"/>
      <c r="L1629" s="32" t="n"/>
      <c r="M1629" s="32" t="n"/>
      <c r="N1629" s="32" t="n"/>
      <c r="O1629" s="32" t="n"/>
      <c r="P1629" s="32" t="n"/>
      <c r="Q1629" s="32" t="n"/>
      <c r="U1629" s="31">
        <f>IF($A1629="","",SUM(X1629:AE1629))</f>
        <v/>
      </c>
      <c r="V1629" s="31">
        <f>IF($A1629="","",IF($H1629&lt;&gt;"Ausgabe",0,-$E1629-$U1629))</f>
        <v/>
      </c>
      <c r="W1629" s="33">
        <f>IF($A1629="","",DATE(YEAR($A1629),MONTH($A1629),1))</f>
        <v/>
      </c>
      <c r="X1629" s="34">
        <f>IF(OR($A1629="",$H1629&lt;&gt;"Ausgabe",J1629=""),0,IF(J1629="x",-$E1629/(COUNTIF($J1629:$Q1629,"x")+1),-$E1629*N(J1629)))</f>
        <v/>
      </c>
      <c r="Y1629" s="34">
        <f>IF(OR($A1629="",$H1629&lt;&gt;"Ausgabe",K1629=""),0,IF(K1629="x",-$E1629/(COUNTIF($J1629:$Q1629,"x")+1),-$E1629*N(K1629)))</f>
        <v/>
      </c>
      <c r="Z1629" s="34">
        <f>IF(OR($A1629="",$H1629&lt;&gt;"Ausgabe",L1629=""),0,IF(L1629="x",-$E1629/(COUNTIF($J1629:$Q1629,"x")+1),-$E1629*N(L1629)))</f>
        <v/>
      </c>
      <c r="AA1629" s="34">
        <f>IF(OR($A1629="",$H1629&lt;&gt;"Ausgabe",M1629=""),0,IF(M1629="x",-$E1629/(COUNTIF($J1629:$Q1629,"x")+1),-$E1629*N(M1629)))</f>
        <v/>
      </c>
      <c r="AB1629" s="34">
        <f>IF(OR($A1629="",$H1629&lt;&gt;"Ausgabe",N1629=""),0,IF(N1629="x",-$E1629/(COUNTIF($J1629:$Q1629,"x")+1),-$E1629*N(N1629)))</f>
        <v/>
      </c>
      <c r="AC1629" s="34">
        <f>IF(OR($A1629="",$H1629&lt;&gt;"Ausgabe",O1629=""),0,IF(O1629="x",-$E1629/(COUNTIF($J1629:$Q1629,"x")+1),-$E1629*N(O1629)))</f>
        <v/>
      </c>
      <c r="AD1629" s="34">
        <f>IF(OR($A1629="",$H1629&lt;&gt;"Ausgabe",P1629=""),0,IF(P1629="x",-$E1629/(COUNTIF($J1629:$Q1629,"x")+1),-$E1629*N(P1629)))</f>
        <v/>
      </c>
      <c r="AE1629" s="34">
        <f>IF(OR($A1629="",$H1629&lt;&gt;"Ausgabe",Q1629=""),0,IF(Q1629="x",-$E1629/(COUNTIF($J1629:$Q1629,"x")+1),-$E1629*N(Q1629)))</f>
        <v/>
      </c>
    </row>
    <row r="1630">
      <c r="A1630" s="30" t="n"/>
      <c r="E1630" s="31" t="n"/>
      <c r="J1630" s="32" t="n"/>
      <c r="K1630" s="32" t="n"/>
      <c r="L1630" s="32" t="n"/>
      <c r="M1630" s="32" t="n"/>
      <c r="N1630" s="32" t="n"/>
      <c r="O1630" s="32" t="n"/>
      <c r="P1630" s="32" t="n"/>
      <c r="Q1630" s="32" t="n"/>
      <c r="U1630" s="31">
        <f>IF($A1630="","",SUM(X1630:AE1630))</f>
        <v/>
      </c>
      <c r="V1630" s="31">
        <f>IF($A1630="","",IF($H1630&lt;&gt;"Ausgabe",0,-$E1630-$U1630))</f>
        <v/>
      </c>
      <c r="W1630" s="33">
        <f>IF($A1630="","",DATE(YEAR($A1630),MONTH($A1630),1))</f>
        <v/>
      </c>
      <c r="X1630" s="34">
        <f>IF(OR($A1630="",$H1630&lt;&gt;"Ausgabe",J1630=""),0,IF(J1630="x",-$E1630/(COUNTIF($J1630:$Q1630,"x")+1),-$E1630*N(J1630)))</f>
        <v/>
      </c>
      <c r="Y1630" s="34">
        <f>IF(OR($A1630="",$H1630&lt;&gt;"Ausgabe",K1630=""),0,IF(K1630="x",-$E1630/(COUNTIF($J1630:$Q1630,"x")+1),-$E1630*N(K1630)))</f>
        <v/>
      </c>
      <c r="Z1630" s="34">
        <f>IF(OR($A1630="",$H1630&lt;&gt;"Ausgabe",L1630=""),0,IF(L1630="x",-$E1630/(COUNTIF($J1630:$Q1630,"x")+1),-$E1630*N(L1630)))</f>
        <v/>
      </c>
      <c r="AA1630" s="34">
        <f>IF(OR($A1630="",$H1630&lt;&gt;"Ausgabe",M1630=""),0,IF(M1630="x",-$E1630/(COUNTIF($J1630:$Q1630,"x")+1),-$E1630*N(M1630)))</f>
        <v/>
      </c>
      <c r="AB1630" s="34">
        <f>IF(OR($A1630="",$H1630&lt;&gt;"Ausgabe",N1630=""),0,IF(N1630="x",-$E1630/(COUNTIF($J1630:$Q1630,"x")+1),-$E1630*N(N1630)))</f>
        <v/>
      </c>
      <c r="AC1630" s="34">
        <f>IF(OR($A1630="",$H1630&lt;&gt;"Ausgabe",O1630=""),0,IF(O1630="x",-$E1630/(COUNTIF($J1630:$Q1630,"x")+1),-$E1630*N(O1630)))</f>
        <v/>
      </c>
      <c r="AD1630" s="34">
        <f>IF(OR($A1630="",$H1630&lt;&gt;"Ausgabe",P1630=""),0,IF(P1630="x",-$E1630/(COUNTIF($J1630:$Q1630,"x")+1),-$E1630*N(P1630)))</f>
        <v/>
      </c>
      <c r="AE1630" s="34">
        <f>IF(OR($A1630="",$H1630&lt;&gt;"Ausgabe",Q1630=""),0,IF(Q1630="x",-$E1630/(COUNTIF($J1630:$Q1630,"x")+1),-$E1630*N(Q1630)))</f>
        <v/>
      </c>
    </row>
    <row r="1631">
      <c r="A1631" s="30" t="n"/>
      <c r="E1631" s="31" t="n"/>
      <c r="J1631" s="32" t="n"/>
      <c r="K1631" s="32" t="n"/>
      <c r="L1631" s="32" t="n"/>
      <c r="M1631" s="32" t="n"/>
      <c r="N1631" s="32" t="n"/>
      <c r="O1631" s="32" t="n"/>
      <c r="P1631" s="32" t="n"/>
      <c r="Q1631" s="32" t="n"/>
      <c r="U1631" s="31">
        <f>IF($A1631="","",SUM(X1631:AE1631))</f>
        <v/>
      </c>
      <c r="V1631" s="31">
        <f>IF($A1631="","",IF($H1631&lt;&gt;"Ausgabe",0,-$E1631-$U1631))</f>
        <v/>
      </c>
      <c r="W1631" s="33">
        <f>IF($A1631="","",DATE(YEAR($A1631),MONTH($A1631),1))</f>
        <v/>
      </c>
      <c r="X1631" s="34">
        <f>IF(OR($A1631="",$H1631&lt;&gt;"Ausgabe",J1631=""),0,IF(J1631="x",-$E1631/(COUNTIF($J1631:$Q1631,"x")+1),-$E1631*N(J1631)))</f>
        <v/>
      </c>
      <c r="Y1631" s="34">
        <f>IF(OR($A1631="",$H1631&lt;&gt;"Ausgabe",K1631=""),0,IF(K1631="x",-$E1631/(COUNTIF($J1631:$Q1631,"x")+1),-$E1631*N(K1631)))</f>
        <v/>
      </c>
      <c r="Z1631" s="34">
        <f>IF(OR($A1631="",$H1631&lt;&gt;"Ausgabe",L1631=""),0,IF(L1631="x",-$E1631/(COUNTIF($J1631:$Q1631,"x")+1),-$E1631*N(L1631)))</f>
        <v/>
      </c>
      <c r="AA1631" s="34">
        <f>IF(OR($A1631="",$H1631&lt;&gt;"Ausgabe",M1631=""),0,IF(M1631="x",-$E1631/(COUNTIF($J1631:$Q1631,"x")+1),-$E1631*N(M1631)))</f>
        <v/>
      </c>
      <c r="AB1631" s="34">
        <f>IF(OR($A1631="",$H1631&lt;&gt;"Ausgabe",N1631=""),0,IF(N1631="x",-$E1631/(COUNTIF($J1631:$Q1631,"x")+1),-$E1631*N(N1631)))</f>
        <v/>
      </c>
      <c r="AC1631" s="34">
        <f>IF(OR($A1631="",$H1631&lt;&gt;"Ausgabe",O1631=""),0,IF(O1631="x",-$E1631/(COUNTIF($J1631:$Q1631,"x")+1),-$E1631*N(O1631)))</f>
        <v/>
      </c>
      <c r="AD1631" s="34">
        <f>IF(OR($A1631="",$H1631&lt;&gt;"Ausgabe",P1631=""),0,IF(P1631="x",-$E1631/(COUNTIF($J1631:$Q1631,"x")+1),-$E1631*N(P1631)))</f>
        <v/>
      </c>
      <c r="AE1631" s="34">
        <f>IF(OR($A1631="",$H1631&lt;&gt;"Ausgabe",Q1631=""),0,IF(Q1631="x",-$E1631/(COUNTIF($J1631:$Q1631,"x")+1),-$E1631*N(Q1631)))</f>
        <v/>
      </c>
    </row>
    <row r="1632">
      <c r="A1632" s="30" t="n"/>
      <c r="E1632" s="31" t="n"/>
      <c r="J1632" s="32" t="n"/>
      <c r="K1632" s="32" t="n"/>
      <c r="L1632" s="32" t="n"/>
      <c r="M1632" s="32" t="n"/>
      <c r="N1632" s="32" t="n"/>
      <c r="O1632" s="32" t="n"/>
      <c r="P1632" s="32" t="n"/>
      <c r="Q1632" s="32" t="n"/>
      <c r="U1632" s="31">
        <f>IF($A1632="","",SUM(X1632:AE1632))</f>
        <v/>
      </c>
      <c r="V1632" s="31">
        <f>IF($A1632="","",IF($H1632&lt;&gt;"Ausgabe",0,-$E1632-$U1632))</f>
        <v/>
      </c>
      <c r="W1632" s="33">
        <f>IF($A1632="","",DATE(YEAR($A1632),MONTH($A1632),1))</f>
        <v/>
      </c>
      <c r="X1632" s="34">
        <f>IF(OR($A1632="",$H1632&lt;&gt;"Ausgabe",J1632=""),0,IF(J1632="x",-$E1632/(COUNTIF($J1632:$Q1632,"x")+1),-$E1632*N(J1632)))</f>
        <v/>
      </c>
      <c r="Y1632" s="34">
        <f>IF(OR($A1632="",$H1632&lt;&gt;"Ausgabe",K1632=""),0,IF(K1632="x",-$E1632/(COUNTIF($J1632:$Q1632,"x")+1),-$E1632*N(K1632)))</f>
        <v/>
      </c>
      <c r="Z1632" s="34">
        <f>IF(OR($A1632="",$H1632&lt;&gt;"Ausgabe",L1632=""),0,IF(L1632="x",-$E1632/(COUNTIF($J1632:$Q1632,"x")+1),-$E1632*N(L1632)))</f>
        <v/>
      </c>
      <c r="AA1632" s="34">
        <f>IF(OR($A1632="",$H1632&lt;&gt;"Ausgabe",M1632=""),0,IF(M1632="x",-$E1632/(COUNTIF($J1632:$Q1632,"x")+1),-$E1632*N(M1632)))</f>
        <v/>
      </c>
      <c r="AB1632" s="34">
        <f>IF(OR($A1632="",$H1632&lt;&gt;"Ausgabe",N1632=""),0,IF(N1632="x",-$E1632/(COUNTIF($J1632:$Q1632,"x")+1),-$E1632*N(N1632)))</f>
        <v/>
      </c>
      <c r="AC1632" s="34">
        <f>IF(OR($A1632="",$H1632&lt;&gt;"Ausgabe",O1632=""),0,IF(O1632="x",-$E1632/(COUNTIF($J1632:$Q1632,"x")+1),-$E1632*N(O1632)))</f>
        <v/>
      </c>
      <c r="AD1632" s="34">
        <f>IF(OR($A1632="",$H1632&lt;&gt;"Ausgabe",P1632=""),0,IF(P1632="x",-$E1632/(COUNTIF($J1632:$Q1632,"x")+1),-$E1632*N(P1632)))</f>
        <v/>
      </c>
      <c r="AE1632" s="34">
        <f>IF(OR($A1632="",$H1632&lt;&gt;"Ausgabe",Q1632=""),0,IF(Q1632="x",-$E1632/(COUNTIF($J1632:$Q1632,"x")+1),-$E1632*N(Q1632)))</f>
        <v/>
      </c>
    </row>
    <row r="1633">
      <c r="A1633" s="30" t="n"/>
      <c r="E1633" s="31" t="n"/>
      <c r="J1633" s="32" t="n"/>
      <c r="K1633" s="32" t="n"/>
      <c r="L1633" s="32" t="n"/>
      <c r="M1633" s="32" t="n"/>
      <c r="N1633" s="32" t="n"/>
      <c r="O1633" s="32" t="n"/>
      <c r="P1633" s="32" t="n"/>
      <c r="Q1633" s="32" t="n"/>
      <c r="U1633" s="31">
        <f>IF($A1633="","",SUM(X1633:AE1633))</f>
        <v/>
      </c>
      <c r="V1633" s="31">
        <f>IF($A1633="","",IF($H1633&lt;&gt;"Ausgabe",0,-$E1633-$U1633))</f>
        <v/>
      </c>
      <c r="W1633" s="33">
        <f>IF($A1633="","",DATE(YEAR($A1633),MONTH($A1633),1))</f>
        <v/>
      </c>
      <c r="X1633" s="34">
        <f>IF(OR($A1633="",$H1633&lt;&gt;"Ausgabe",J1633=""),0,IF(J1633="x",-$E1633/(COUNTIF($J1633:$Q1633,"x")+1),-$E1633*N(J1633)))</f>
        <v/>
      </c>
      <c r="Y1633" s="34">
        <f>IF(OR($A1633="",$H1633&lt;&gt;"Ausgabe",K1633=""),0,IF(K1633="x",-$E1633/(COUNTIF($J1633:$Q1633,"x")+1),-$E1633*N(K1633)))</f>
        <v/>
      </c>
      <c r="Z1633" s="34">
        <f>IF(OR($A1633="",$H1633&lt;&gt;"Ausgabe",L1633=""),0,IF(L1633="x",-$E1633/(COUNTIF($J1633:$Q1633,"x")+1),-$E1633*N(L1633)))</f>
        <v/>
      </c>
      <c r="AA1633" s="34">
        <f>IF(OR($A1633="",$H1633&lt;&gt;"Ausgabe",M1633=""),0,IF(M1633="x",-$E1633/(COUNTIF($J1633:$Q1633,"x")+1),-$E1633*N(M1633)))</f>
        <v/>
      </c>
      <c r="AB1633" s="34">
        <f>IF(OR($A1633="",$H1633&lt;&gt;"Ausgabe",N1633=""),0,IF(N1633="x",-$E1633/(COUNTIF($J1633:$Q1633,"x")+1),-$E1633*N(N1633)))</f>
        <v/>
      </c>
      <c r="AC1633" s="34">
        <f>IF(OR($A1633="",$H1633&lt;&gt;"Ausgabe",O1633=""),0,IF(O1633="x",-$E1633/(COUNTIF($J1633:$Q1633,"x")+1),-$E1633*N(O1633)))</f>
        <v/>
      </c>
      <c r="AD1633" s="34">
        <f>IF(OR($A1633="",$H1633&lt;&gt;"Ausgabe",P1633=""),0,IF(P1633="x",-$E1633/(COUNTIF($J1633:$Q1633,"x")+1),-$E1633*N(P1633)))</f>
        <v/>
      </c>
      <c r="AE1633" s="34">
        <f>IF(OR($A1633="",$H1633&lt;&gt;"Ausgabe",Q1633=""),0,IF(Q1633="x",-$E1633/(COUNTIF($J1633:$Q1633,"x")+1),-$E1633*N(Q1633)))</f>
        <v/>
      </c>
    </row>
    <row r="1634">
      <c r="A1634" s="30" t="n"/>
      <c r="E1634" s="31" t="n"/>
      <c r="J1634" s="32" t="n"/>
      <c r="K1634" s="32" t="n"/>
      <c r="L1634" s="32" t="n"/>
      <c r="M1634" s="32" t="n"/>
      <c r="N1634" s="32" t="n"/>
      <c r="O1634" s="32" t="n"/>
      <c r="P1634" s="32" t="n"/>
      <c r="Q1634" s="32" t="n"/>
      <c r="U1634" s="31">
        <f>IF($A1634="","",SUM(X1634:AE1634))</f>
        <v/>
      </c>
      <c r="V1634" s="31">
        <f>IF($A1634="","",IF($H1634&lt;&gt;"Ausgabe",0,-$E1634-$U1634))</f>
        <v/>
      </c>
      <c r="W1634" s="33">
        <f>IF($A1634="","",DATE(YEAR($A1634),MONTH($A1634),1))</f>
        <v/>
      </c>
      <c r="X1634" s="34">
        <f>IF(OR($A1634="",$H1634&lt;&gt;"Ausgabe",J1634=""),0,IF(J1634="x",-$E1634/(COUNTIF($J1634:$Q1634,"x")+1),-$E1634*N(J1634)))</f>
        <v/>
      </c>
      <c r="Y1634" s="34">
        <f>IF(OR($A1634="",$H1634&lt;&gt;"Ausgabe",K1634=""),0,IF(K1634="x",-$E1634/(COUNTIF($J1634:$Q1634,"x")+1),-$E1634*N(K1634)))</f>
        <v/>
      </c>
      <c r="Z1634" s="34">
        <f>IF(OR($A1634="",$H1634&lt;&gt;"Ausgabe",L1634=""),0,IF(L1634="x",-$E1634/(COUNTIF($J1634:$Q1634,"x")+1),-$E1634*N(L1634)))</f>
        <v/>
      </c>
      <c r="AA1634" s="34">
        <f>IF(OR($A1634="",$H1634&lt;&gt;"Ausgabe",M1634=""),0,IF(M1634="x",-$E1634/(COUNTIF($J1634:$Q1634,"x")+1),-$E1634*N(M1634)))</f>
        <v/>
      </c>
      <c r="AB1634" s="34">
        <f>IF(OR($A1634="",$H1634&lt;&gt;"Ausgabe",N1634=""),0,IF(N1634="x",-$E1634/(COUNTIF($J1634:$Q1634,"x")+1),-$E1634*N(N1634)))</f>
        <v/>
      </c>
      <c r="AC1634" s="34">
        <f>IF(OR($A1634="",$H1634&lt;&gt;"Ausgabe",O1634=""),0,IF(O1634="x",-$E1634/(COUNTIF($J1634:$Q1634,"x")+1),-$E1634*N(O1634)))</f>
        <v/>
      </c>
      <c r="AD1634" s="34">
        <f>IF(OR($A1634="",$H1634&lt;&gt;"Ausgabe",P1634=""),0,IF(P1634="x",-$E1634/(COUNTIF($J1634:$Q1634,"x")+1),-$E1634*N(P1634)))</f>
        <v/>
      </c>
      <c r="AE1634" s="34">
        <f>IF(OR($A1634="",$H1634&lt;&gt;"Ausgabe",Q1634=""),0,IF(Q1634="x",-$E1634/(COUNTIF($J1634:$Q1634,"x")+1),-$E1634*N(Q1634)))</f>
        <v/>
      </c>
    </row>
    <row r="1635">
      <c r="A1635" s="30" t="n"/>
      <c r="E1635" s="31" t="n"/>
      <c r="J1635" s="32" t="n"/>
      <c r="K1635" s="32" t="n"/>
      <c r="L1635" s="32" t="n"/>
      <c r="M1635" s="32" t="n"/>
      <c r="N1635" s="32" t="n"/>
      <c r="O1635" s="32" t="n"/>
      <c r="P1635" s="32" t="n"/>
      <c r="Q1635" s="32" t="n"/>
      <c r="U1635" s="31">
        <f>IF($A1635="","",SUM(X1635:AE1635))</f>
        <v/>
      </c>
      <c r="V1635" s="31">
        <f>IF($A1635="","",IF($H1635&lt;&gt;"Ausgabe",0,-$E1635-$U1635))</f>
        <v/>
      </c>
      <c r="W1635" s="33">
        <f>IF($A1635="","",DATE(YEAR($A1635),MONTH($A1635),1))</f>
        <v/>
      </c>
      <c r="X1635" s="34">
        <f>IF(OR($A1635="",$H1635&lt;&gt;"Ausgabe",J1635=""),0,IF(J1635="x",-$E1635/(COUNTIF($J1635:$Q1635,"x")+1),-$E1635*N(J1635)))</f>
        <v/>
      </c>
      <c r="Y1635" s="34">
        <f>IF(OR($A1635="",$H1635&lt;&gt;"Ausgabe",K1635=""),0,IF(K1635="x",-$E1635/(COUNTIF($J1635:$Q1635,"x")+1),-$E1635*N(K1635)))</f>
        <v/>
      </c>
      <c r="Z1635" s="34">
        <f>IF(OR($A1635="",$H1635&lt;&gt;"Ausgabe",L1635=""),0,IF(L1635="x",-$E1635/(COUNTIF($J1635:$Q1635,"x")+1),-$E1635*N(L1635)))</f>
        <v/>
      </c>
      <c r="AA1635" s="34">
        <f>IF(OR($A1635="",$H1635&lt;&gt;"Ausgabe",M1635=""),0,IF(M1635="x",-$E1635/(COUNTIF($J1635:$Q1635,"x")+1),-$E1635*N(M1635)))</f>
        <v/>
      </c>
      <c r="AB1635" s="34">
        <f>IF(OR($A1635="",$H1635&lt;&gt;"Ausgabe",N1635=""),0,IF(N1635="x",-$E1635/(COUNTIF($J1635:$Q1635,"x")+1),-$E1635*N(N1635)))</f>
        <v/>
      </c>
      <c r="AC1635" s="34">
        <f>IF(OR($A1635="",$H1635&lt;&gt;"Ausgabe",O1635=""),0,IF(O1635="x",-$E1635/(COUNTIF($J1635:$Q1635,"x")+1),-$E1635*N(O1635)))</f>
        <v/>
      </c>
      <c r="AD1635" s="34">
        <f>IF(OR($A1635="",$H1635&lt;&gt;"Ausgabe",P1635=""),0,IF(P1635="x",-$E1635/(COUNTIF($J1635:$Q1635,"x")+1),-$E1635*N(P1635)))</f>
        <v/>
      </c>
      <c r="AE1635" s="34">
        <f>IF(OR($A1635="",$H1635&lt;&gt;"Ausgabe",Q1635=""),0,IF(Q1635="x",-$E1635/(COUNTIF($J1635:$Q1635,"x")+1),-$E1635*N(Q1635)))</f>
        <v/>
      </c>
    </row>
    <row r="1636">
      <c r="A1636" s="30" t="n"/>
      <c r="E1636" s="31" t="n"/>
      <c r="J1636" s="32" t="n"/>
      <c r="K1636" s="32" t="n"/>
      <c r="L1636" s="32" t="n"/>
      <c r="M1636" s="32" t="n"/>
      <c r="N1636" s="32" t="n"/>
      <c r="O1636" s="32" t="n"/>
      <c r="P1636" s="32" t="n"/>
      <c r="Q1636" s="32" t="n"/>
      <c r="U1636" s="31">
        <f>IF($A1636="","",SUM(X1636:AE1636))</f>
        <v/>
      </c>
      <c r="V1636" s="31">
        <f>IF($A1636="","",IF($H1636&lt;&gt;"Ausgabe",0,-$E1636-$U1636))</f>
        <v/>
      </c>
      <c r="W1636" s="33">
        <f>IF($A1636="","",DATE(YEAR($A1636),MONTH($A1636),1))</f>
        <v/>
      </c>
      <c r="X1636" s="34">
        <f>IF(OR($A1636="",$H1636&lt;&gt;"Ausgabe",J1636=""),0,IF(J1636="x",-$E1636/(COUNTIF($J1636:$Q1636,"x")+1),-$E1636*N(J1636)))</f>
        <v/>
      </c>
      <c r="Y1636" s="34">
        <f>IF(OR($A1636="",$H1636&lt;&gt;"Ausgabe",K1636=""),0,IF(K1636="x",-$E1636/(COUNTIF($J1636:$Q1636,"x")+1),-$E1636*N(K1636)))</f>
        <v/>
      </c>
      <c r="Z1636" s="34">
        <f>IF(OR($A1636="",$H1636&lt;&gt;"Ausgabe",L1636=""),0,IF(L1636="x",-$E1636/(COUNTIF($J1636:$Q1636,"x")+1),-$E1636*N(L1636)))</f>
        <v/>
      </c>
      <c r="AA1636" s="34">
        <f>IF(OR($A1636="",$H1636&lt;&gt;"Ausgabe",M1636=""),0,IF(M1636="x",-$E1636/(COUNTIF($J1636:$Q1636,"x")+1),-$E1636*N(M1636)))</f>
        <v/>
      </c>
      <c r="AB1636" s="34">
        <f>IF(OR($A1636="",$H1636&lt;&gt;"Ausgabe",N1636=""),0,IF(N1636="x",-$E1636/(COUNTIF($J1636:$Q1636,"x")+1),-$E1636*N(N1636)))</f>
        <v/>
      </c>
      <c r="AC1636" s="34">
        <f>IF(OR($A1636="",$H1636&lt;&gt;"Ausgabe",O1636=""),0,IF(O1636="x",-$E1636/(COUNTIF($J1636:$Q1636,"x")+1),-$E1636*N(O1636)))</f>
        <v/>
      </c>
      <c r="AD1636" s="34">
        <f>IF(OR($A1636="",$H1636&lt;&gt;"Ausgabe",P1636=""),0,IF(P1636="x",-$E1636/(COUNTIF($J1636:$Q1636,"x")+1),-$E1636*N(P1636)))</f>
        <v/>
      </c>
      <c r="AE1636" s="34">
        <f>IF(OR($A1636="",$H1636&lt;&gt;"Ausgabe",Q1636=""),0,IF(Q1636="x",-$E1636/(COUNTIF($J1636:$Q1636,"x")+1),-$E1636*N(Q1636)))</f>
        <v/>
      </c>
    </row>
    <row r="1637">
      <c r="A1637" s="30" t="n"/>
      <c r="E1637" s="31" t="n"/>
      <c r="J1637" s="32" t="n"/>
      <c r="K1637" s="32" t="n"/>
      <c r="L1637" s="32" t="n"/>
      <c r="M1637" s="32" t="n"/>
      <c r="N1637" s="32" t="n"/>
      <c r="O1637" s="32" t="n"/>
      <c r="P1637" s="32" t="n"/>
      <c r="Q1637" s="32" t="n"/>
      <c r="U1637" s="31">
        <f>IF($A1637="","",SUM(X1637:AE1637))</f>
        <v/>
      </c>
      <c r="V1637" s="31">
        <f>IF($A1637="","",IF($H1637&lt;&gt;"Ausgabe",0,-$E1637-$U1637))</f>
        <v/>
      </c>
      <c r="W1637" s="33">
        <f>IF($A1637="","",DATE(YEAR($A1637),MONTH($A1637),1))</f>
        <v/>
      </c>
      <c r="X1637" s="34">
        <f>IF(OR($A1637="",$H1637&lt;&gt;"Ausgabe",J1637=""),0,IF(J1637="x",-$E1637/(COUNTIF($J1637:$Q1637,"x")+1),-$E1637*N(J1637)))</f>
        <v/>
      </c>
      <c r="Y1637" s="34">
        <f>IF(OR($A1637="",$H1637&lt;&gt;"Ausgabe",K1637=""),0,IF(K1637="x",-$E1637/(COUNTIF($J1637:$Q1637,"x")+1),-$E1637*N(K1637)))</f>
        <v/>
      </c>
      <c r="Z1637" s="34">
        <f>IF(OR($A1637="",$H1637&lt;&gt;"Ausgabe",L1637=""),0,IF(L1637="x",-$E1637/(COUNTIF($J1637:$Q1637,"x")+1),-$E1637*N(L1637)))</f>
        <v/>
      </c>
      <c r="AA1637" s="34">
        <f>IF(OR($A1637="",$H1637&lt;&gt;"Ausgabe",M1637=""),0,IF(M1637="x",-$E1637/(COUNTIF($J1637:$Q1637,"x")+1),-$E1637*N(M1637)))</f>
        <v/>
      </c>
      <c r="AB1637" s="34">
        <f>IF(OR($A1637="",$H1637&lt;&gt;"Ausgabe",N1637=""),0,IF(N1637="x",-$E1637/(COUNTIF($J1637:$Q1637,"x")+1),-$E1637*N(N1637)))</f>
        <v/>
      </c>
      <c r="AC1637" s="34">
        <f>IF(OR($A1637="",$H1637&lt;&gt;"Ausgabe",O1637=""),0,IF(O1637="x",-$E1637/(COUNTIF($J1637:$Q1637,"x")+1),-$E1637*N(O1637)))</f>
        <v/>
      </c>
      <c r="AD1637" s="34">
        <f>IF(OR($A1637="",$H1637&lt;&gt;"Ausgabe",P1637=""),0,IF(P1637="x",-$E1637/(COUNTIF($J1637:$Q1637,"x")+1),-$E1637*N(P1637)))</f>
        <v/>
      </c>
      <c r="AE1637" s="34">
        <f>IF(OR($A1637="",$H1637&lt;&gt;"Ausgabe",Q1637=""),0,IF(Q1637="x",-$E1637/(COUNTIF($J1637:$Q1637,"x")+1),-$E1637*N(Q1637)))</f>
        <v/>
      </c>
    </row>
    <row r="1638">
      <c r="A1638" s="30" t="n"/>
      <c r="E1638" s="31" t="n"/>
      <c r="J1638" s="32" t="n"/>
      <c r="K1638" s="32" t="n"/>
      <c r="L1638" s="32" t="n"/>
      <c r="M1638" s="32" t="n"/>
      <c r="N1638" s="32" t="n"/>
      <c r="O1638" s="32" t="n"/>
      <c r="P1638" s="32" t="n"/>
      <c r="Q1638" s="32" t="n"/>
      <c r="U1638" s="31">
        <f>IF($A1638="","",SUM(X1638:AE1638))</f>
        <v/>
      </c>
      <c r="V1638" s="31">
        <f>IF($A1638="","",IF($H1638&lt;&gt;"Ausgabe",0,-$E1638-$U1638))</f>
        <v/>
      </c>
      <c r="W1638" s="33">
        <f>IF($A1638="","",DATE(YEAR($A1638),MONTH($A1638),1))</f>
        <v/>
      </c>
      <c r="X1638" s="34">
        <f>IF(OR($A1638="",$H1638&lt;&gt;"Ausgabe",J1638=""),0,IF(J1638="x",-$E1638/(COUNTIF($J1638:$Q1638,"x")+1),-$E1638*N(J1638)))</f>
        <v/>
      </c>
      <c r="Y1638" s="34">
        <f>IF(OR($A1638="",$H1638&lt;&gt;"Ausgabe",K1638=""),0,IF(K1638="x",-$E1638/(COUNTIF($J1638:$Q1638,"x")+1),-$E1638*N(K1638)))</f>
        <v/>
      </c>
      <c r="Z1638" s="34">
        <f>IF(OR($A1638="",$H1638&lt;&gt;"Ausgabe",L1638=""),0,IF(L1638="x",-$E1638/(COUNTIF($J1638:$Q1638,"x")+1),-$E1638*N(L1638)))</f>
        <v/>
      </c>
      <c r="AA1638" s="34">
        <f>IF(OR($A1638="",$H1638&lt;&gt;"Ausgabe",M1638=""),0,IF(M1638="x",-$E1638/(COUNTIF($J1638:$Q1638,"x")+1),-$E1638*N(M1638)))</f>
        <v/>
      </c>
      <c r="AB1638" s="34">
        <f>IF(OR($A1638="",$H1638&lt;&gt;"Ausgabe",N1638=""),0,IF(N1638="x",-$E1638/(COUNTIF($J1638:$Q1638,"x")+1),-$E1638*N(N1638)))</f>
        <v/>
      </c>
      <c r="AC1638" s="34">
        <f>IF(OR($A1638="",$H1638&lt;&gt;"Ausgabe",O1638=""),0,IF(O1638="x",-$E1638/(COUNTIF($J1638:$Q1638,"x")+1),-$E1638*N(O1638)))</f>
        <v/>
      </c>
      <c r="AD1638" s="34">
        <f>IF(OR($A1638="",$H1638&lt;&gt;"Ausgabe",P1638=""),0,IF(P1638="x",-$E1638/(COUNTIF($J1638:$Q1638,"x")+1),-$E1638*N(P1638)))</f>
        <v/>
      </c>
      <c r="AE1638" s="34">
        <f>IF(OR($A1638="",$H1638&lt;&gt;"Ausgabe",Q1638=""),0,IF(Q1638="x",-$E1638/(COUNTIF($J1638:$Q1638,"x")+1),-$E1638*N(Q1638)))</f>
        <v/>
      </c>
    </row>
    <row r="1639">
      <c r="A1639" s="30" t="n"/>
      <c r="E1639" s="31" t="n"/>
      <c r="J1639" s="32" t="n"/>
      <c r="K1639" s="32" t="n"/>
      <c r="L1639" s="32" t="n"/>
      <c r="M1639" s="32" t="n"/>
      <c r="N1639" s="32" t="n"/>
      <c r="O1639" s="32" t="n"/>
      <c r="P1639" s="32" t="n"/>
      <c r="Q1639" s="32" t="n"/>
      <c r="U1639" s="31">
        <f>IF($A1639="","",SUM(X1639:AE1639))</f>
        <v/>
      </c>
      <c r="V1639" s="31">
        <f>IF($A1639="","",IF($H1639&lt;&gt;"Ausgabe",0,-$E1639-$U1639))</f>
        <v/>
      </c>
      <c r="W1639" s="33">
        <f>IF($A1639="","",DATE(YEAR($A1639),MONTH($A1639),1))</f>
        <v/>
      </c>
      <c r="X1639" s="34">
        <f>IF(OR($A1639="",$H1639&lt;&gt;"Ausgabe",J1639=""),0,IF(J1639="x",-$E1639/(COUNTIF($J1639:$Q1639,"x")+1),-$E1639*N(J1639)))</f>
        <v/>
      </c>
      <c r="Y1639" s="34">
        <f>IF(OR($A1639="",$H1639&lt;&gt;"Ausgabe",K1639=""),0,IF(K1639="x",-$E1639/(COUNTIF($J1639:$Q1639,"x")+1),-$E1639*N(K1639)))</f>
        <v/>
      </c>
      <c r="Z1639" s="34">
        <f>IF(OR($A1639="",$H1639&lt;&gt;"Ausgabe",L1639=""),0,IF(L1639="x",-$E1639/(COUNTIF($J1639:$Q1639,"x")+1),-$E1639*N(L1639)))</f>
        <v/>
      </c>
      <c r="AA1639" s="34">
        <f>IF(OR($A1639="",$H1639&lt;&gt;"Ausgabe",M1639=""),0,IF(M1639="x",-$E1639/(COUNTIF($J1639:$Q1639,"x")+1),-$E1639*N(M1639)))</f>
        <v/>
      </c>
      <c r="AB1639" s="34">
        <f>IF(OR($A1639="",$H1639&lt;&gt;"Ausgabe",N1639=""),0,IF(N1639="x",-$E1639/(COUNTIF($J1639:$Q1639,"x")+1),-$E1639*N(N1639)))</f>
        <v/>
      </c>
      <c r="AC1639" s="34">
        <f>IF(OR($A1639="",$H1639&lt;&gt;"Ausgabe",O1639=""),0,IF(O1639="x",-$E1639/(COUNTIF($J1639:$Q1639,"x")+1),-$E1639*N(O1639)))</f>
        <v/>
      </c>
      <c r="AD1639" s="34">
        <f>IF(OR($A1639="",$H1639&lt;&gt;"Ausgabe",P1639=""),0,IF(P1639="x",-$E1639/(COUNTIF($J1639:$Q1639,"x")+1),-$E1639*N(P1639)))</f>
        <v/>
      </c>
      <c r="AE1639" s="34">
        <f>IF(OR($A1639="",$H1639&lt;&gt;"Ausgabe",Q1639=""),0,IF(Q1639="x",-$E1639/(COUNTIF($J1639:$Q1639,"x")+1),-$E1639*N(Q1639)))</f>
        <v/>
      </c>
    </row>
    <row r="1640">
      <c r="A1640" s="30" t="n"/>
      <c r="E1640" s="31" t="n"/>
      <c r="J1640" s="32" t="n"/>
      <c r="K1640" s="32" t="n"/>
      <c r="L1640" s="32" t="n"/>
      <c r="M1640" s="32" t="n"/>
      <c r="N1640" s="32" t="n"/>
      <c r="O1640" s="32" t="n"/>
      <c r="P1640" s="32" t="n"/>
      <c r="Q1640" s="32" t="n"/>
      <c r="U1640" s="31">
        <f>IF($A1640="","",SUM(X1640:AE1640))</f>
        <v/>
      </c>
      <c r="V1640" s="31">
        <f>IF($A1640="","",IF($H1640&lt;&gt;"Ausgabe",0,-$E1640-$U1640))</f>
        <v/>
      </c>
      <c r="W1640" s="33">
        <f>IF($A1640="","",DATE(YEAR($A1640),MONTH($A1640),1))</f>
        <v/>
      </c>
      <c r="X1640" s="34">
        <f>IF(OR($A1640="",$H1640&lt;&gt;"Ausgabe",J1640=""),0,IF(J1640="x",-$E1640/(COUNTIF($J1640:$Q1640,"x")+1),-$E1640*N(J1640)))</f>
        <v/>
      </c>
      <c r="Y1640" s="34">
        <f>IF(OR($A1640="",$H1640&lt;&gt;"Ausgabe",K1640=""),0,IF(K1640="x",-$E1640/(COUNTIF($J1640:$Q1640,"x")+1),-$E1640*N(K1640)))</f>
        <v/>
      </c>
      <c r="Z1640" s="34">
        <f>IF(OR($A1640="",$H1640&lt;&gt;"Ausgabe",L1640=""),0,IF(L1640="x",-$E1640/(COUNTIF($J1640:$Q1640,"x")+1),-$E1640*N(L1640)))</f>
        <v/>
      </c>
      <c r="AA1640" s="34">
        <f>IF(OR($A1640="",$H1640&lt;&gt;"Ausgabe",M1640=""),0,IF(M1640="x",-$E1640/(COUNTIF($J1640:$Q1640,"x")+1),-$E1640*N(M1640)))</f>
        <v/>
      </c>
      <c r="AB1640" s="34">
        <f>IF(OR($A1640="",$H1640&lt;&gt;"Ausgabe",N1640=""),0,IF(N1640="x",-$E1640/(COUNTIF($J1640:$Q1640,"x")+1),-$E1640*N(N1640)))</f>
        <v/>
      </c>
      <c r="AC1640" s="34">
        <f>IF(OR($A1640="",$H1640&lt;&gt;"Ausgabe",O1640=""),0,IF(O1640="x",-$E1640/(COUNTIF($J1640:$Q1640,"x")+1),-$E1640*N(O1640)))</f>
        <v/>
      </c>
      <c r="AD1640" s="34">
        <f>IF(OR($A1640="",$H1640&lt;&gt;"Ausgabe",P1640=""),0,IF(P1640="x",-$E1640/(COUNTIF($J1640:$Q1640,"x")+1),-$E1640*N(P1640)))</f>
        <v/>
      </c>
      <c r="AE1640" s="34">
        <f>IF(OR($A1640="",$H1640&lt;&gt;"Ausgabe",Q1640=""),0,IF(Q1640="x",-$E1640/(COUNTIF($J1640:$Q1640,"x")+1),-$E1640*N(Q1640)))</f>
        <v/>
      </c>
    </row>
    <row r="1641">
      <c r="A1641" s="30" t="n"/>
      <c r="E1641" s="31" t="n"/>
      <c r="J1641" s="32" t="n"/>
      <c r="K1641" s="32" t="n"/>
      <c r="L1641" s="32" t="n"/>
      <c r="M1641" s="32" t="n"/>
      <c r="N1641" s="32" t="n"/>
      <c r="O1641" s="32" t="n"/>
      <c r="P1641" s="32" t="n"/>
      <c r="Q1641" s="32" t="n"/>
      <c r="U1641" s="31">
        <f>IF($A1641="","",SUM(X1641:AE1641))</f>
        <v/>
      </c>
      <c r="V1641" s="31">
        <f>IF($A1641="","",IF($H1641&lt;&gt;"Ausgabe",0,-$E1641-$U1641))</f>
        <v/>
      </c>
      <c r="W1641" s="33">
        <f>IF($A1641="","",DATE(YEAR($A1641),MONTH($A1641),1))</f>
        <v/>
      </c>
      <c r="X1641" s="34">
        <f>IF(OR($A1641="",$H1641&lt;&gt;"Ausgabe",J1641=""),0,IF(J1641="x",-$E1641/(COUNTIF($J1641:$Q1641,"x")+1),-$E1641*N(J1641)))</f>
        <v/>
      </c>
      <c r="Y1641" s="34">
        <f>IF(OR($A1641="",$H1641&lt;&gt;"Ausgabe",K1641=""),0,IF(K1641="x",-$E1641/(COUNTIF($J1641:$Q1641,"x")+1),-$E1641*N(K1641)))</f>
        <v/>
      </c>
      <c r="Z1641" s="34">
        <f>IF(OR($A1641="",$H1641&lt;&gt;"Ausgabe",L1641=""),0,IF(L1641="x",-$E1641/(COUNTIF($J1641:$Q1641,"x")+1),-$E1641*N(L1641)))</f>
        <v/>
      </c>
      <c r="AA1641" s="34">
        <f>IF(OR($A1641="",$H1641&lt;&gt;"Ausgabe",M1641=""),0,IF(M1641="x",-$E1641/(COUNTIF($J1641:$Q1641,"x")+1),-$E1641*N(M1641)))</f>
        <v/>
      </c>
      <c r="AB1641" s="34">
        <f>IF(OR($A1641="",$H1641&lt;&gt;"Ausgabe",N1641=""),0,IF(N1641="x",-$E1641/(COUNTIF($J1641:$Q1641,"x")+1),-$E1641*N(N1641)))</f>
        <v/>
      </c>
      <c r="AC1641" s="34">
        <f>IF(OR($A1641="",$H1641&lt;&gt;"Ausgabe",O1641=""),0,IF(O1641="x",-$E1641/(COUNTIF($J1641:$Q1641,"x")+1),-$E1641*N(O1641)))</f>
        <v/>
      </c>
      <c r="AD1641" s="34">
        <f>IF(OR($A1641="",$H1641&lt;&gt;"Ausgabe",P1641=""),0,IF(P1641="x",-$E1641/(COUNTIF($J1641:$Q1641,"x")+1),-$E1641*N(P1641)))</f>
        <v/>
      </c>
      <c r="AE1641" s="34">
        <f>IF(OR($A1641="",$H1641&lt;&gt;"Ausgabe",Q1641=""),0,IF(Q1641="x",-$E1641/(COUNTIF($J1641:$Q1641,"x")+1),-$E1641*N(Q1641)))</f>
        <v/>
      </c>
    </row>
    <row r="1642">
      <c r="A1642" s="30" t="n"/>
      <c r="E1642" s="31" t="n"/>
      <c r="J1642" s="32" t="n"/>
      <c r="K1642" s="32" t="n"/>
      <c r="L1642" s="32" t="n"/>
      <c r="M1642" s="32" t="n"/>
      <c r="N1642" s="32" t="n"/>
      <c r="O1642" s="32" t="n"/>
      <c r="P1642" s="32" t="n"/>
      <c r="Q1642" s="32" t="n"/>
      <c r="U1642" s="31">
        <f>IF($A1642="","",SUM(X1642:AE1642))</f>
        <v/>
      </c>
      <c r="V1642" s="31">
        <f>IF($A1642="","",IF($H1642&lt;&gt;"Ausgabe",0,-$E1642-$U1642))</f>
        <v/>
      </c>
      <c r="W1642" s="33">
        <f>IF($A1642="","",DATE(YEAR($A1642),MONTH($A1642),1))</f>
        <v/>
      </c>
      <c r="X1642" s="34">
        <f>IF(OR($A1642="",$H1642&lt;&gt;"Ausgabe",J1642=""),0,IF(J1642="x",-$E1642/(COUNTIF($J1642:$Q1642,"x")+1),-$E1642*N(J1642)))</f>
        <v/>
      </c>
      <c r="Y1642" s="34">
        <f>IF(OR($A1642="",$H1642&lt;&gt;"Ausgabe",K1642=""),0,IF(K1642="x",-$E1642/(COUNTIF($J1642:$Q1642,"x")+1),-$E1642*N(K1642)))</f>
        <v/>
      </c>
      <c r="Z1642" s="34">
        <f>IF(OR($A1642="",$H1642&lt;&gt;"Ausgabe",L1642=""),0,IF(L1642="x",-$E1642/(COUNTIF($J1642:$Q1642,"x")+1),-$E1642*N(L1642)))</f>
        <v/>
      </c>
      <c r="AA1642" s="34">
        <f>IF(OR($A1642="",$H1642&lt;&gt;"Ausgabe",M1642=""),0,IF(M1642="x",-$E1642/(COUNTIF($J1642:$Q1642,"x")+1),-$E1642*N(M1642)))</f>
        <v/>
      </c>
      <c r="AB1642" s="34">
        <f>IF(OR($A1642="",$H1642&lt;&gt;"Ausgabe",N1642=""),0,IF(N1642="x",-$E1642/(COUNTIF($J1642:$Q1642,"x")+1),-$E1642*N(N1642)))</f>
        <v/>
      </c>
      <c r="AC1642" s="34">
        <f>IF(OR($A1642="",$H1642&lt;&gt;"Ausgabe",O1642=""),0,IF(O1642="x",-$E1642/(COUNTIF($J1642:$Q1642,"x")+1),-$E1642*N(O1642)))</f>
        <v/>
      </c>
      <c r="AD1642" s="34">
        <f>IF(OR($A1642="",$H1642&lt;&gt;"Ausgabe",P1642=""),0,IF(P1642="x",-$E1642/(COUNTIF($J1642:$Q1642,"x")+1),-$E1642*N(P1642)))</f>
        <v/>
      </c>
      <c r="AE1642" s="34">
        <f>IF(OR($A1642="",$H1642&lt;&gt;"Ausgabe",Q1642=""),0,IF(Q1642="x",-$E1642/(COUNTIF($J1642:$Q1642,"x")+1),-$E1642*N(Q1642)))</f>
        <v/>
      </c>
    </row>
    <row r="1643">
      <c r="A1643" s="30" t="n"/>
      <c r="E1643" s="31" t="n"/>
      <c r="J1643" s="32" t="n"/>
      <c r="K1643" s="32" t="n"/>
      <c r="L1643" s="32" t="n"/>
      <c r="M1643" s="32" t="n"/>
      <c r="N1643" s="32" t="n"/>
      <c r="O1643" s="32" t="n"/>
      <c r="P1643" s="32" t="n"/>
      <c r="Q1643" s="32" t="n"/>
      <c r="U1643" s="31">
        <f>IF($A1643="","",SUM(X1643:AE1643))</f>
        <v/>
      </c>
      <c r="V1643" s="31">
        <f>IF($A1643="","",IF($H1643&lt;&gt;"Ausgabe",0,-$E1643-$U1643))</f>
        <v/>
      </c>
      <c r="W1643" s="33">
        <f>IF($A1643="","",DATE(YEAR($A1643),MONTH($A1643),1))</f>
        <v/>
      </c>
      <c r="X1643" s="34">
        <f>IF(OR($A1643="",$H1643&lt;&gt;"Ausgabe",J1643=""),0,IF(J1643="x",-$E1643/(COUNTIF($J1643:$Q1643,"x")+1),-$E1643*N(J1643)))</f>
        <v/>
      </c>
      <c r="Y1643" s="34">
        <f>IF(OR($A1643="",$H1643&lt;&gt;"Ausgabe",K1643=""),0,IF(K1643="x",-$E1643/(COUNTIF($J1643:$Q1643,"x")+1),-$E1643*N(K1643)))</f>
        <v/>
      </c>
      <c r="Z1643" s="34">
        <f>IF(OR($A1643="",$H1643&lt;&gt;"Ausgabe",L1643=""),0,IF(L1643="x",-$E1643/(COUNTIF($J1643:$Q1643,"x")+1),-$E1643*N(L1643)))</f>
        <v/>
      </c>
      <c r="AA1643" s="34">
        <f>IF(OR($A1643="",$H1643&lt;&gt;"Ausgabe",M1643=""),0,IF(M1643="x",-$E1643/(COUNTIF($J1643:$Q1643,"x")+1),-$E1643*N(M1643)))</f>
        <v/>
      </c>
      <c r="AB1643" s="34">
        <f>IF(OR($A1643="",$H1643&lt;&gt;"Ausgabe",N1643=""),0,IF(N1643="x",-$E1643/(COUNTIF($J1643:$Q1643,"x")+1),-$E1643*N(N1643)))</f>
        <v/>
      </c>
      <c r="AC1643" s="34">
        <f>IF(OR($A1643="",$H1643&lt;&gt;"Ausgabe",O1643=""),0,IF(O1643="x",-$E1643/(COUNTIF($J1643:$Q1643,"x")+1),-$E1643*N(O1643)))</f>
        <v/>
      </c>
      <c r="AD1643" s="34">
        <f>IF(OR($A1643="",$H1643&lt;&gt;"Ausgabe",P1643=""),0,IF(P1643="x",-$E1643/(COUNTIF($J1643:$Q1643,"x")+1),-$E1643*N(P1643)))</f>
        <v/>
      </c>
      <c r="AE1643" s="34">
        <f>IF(OR($A1643="",$H1643&lt;&gt;"Ausgabe",Q1643=""),0,IF(Q1643="x",-$E1643/(COUNTIF($J1643:$Q1643,"x")+1),-$E1643*N(Q1643)))</f>
        <v/>
      </c>
    </row>
    <row r="1644">
      <c r="A1644" s="30" t="n"/>
      <c r="E1644" s="31" t="n"/>
      <c r="J1644" s="32" t="n"/>
      <c r="K1644" s="32" t="n"/>
      <c r="L1644" s="32" t="n"/>
      <c r="M1644" s="32" t="n"/>
      <c r="N1644" s="32" t="n"/>
      <c r="O1644" s="32" t="n"/>
      <c r="P1644" s="32" t="n"/>
      <c r="Q1644" s="32" t="n"/>
      <c r="U1644" s="31">
        <f>IF($A1644="","",SUM(X1644:AE1644))</f>
        <v/>
      </c>
      <c r="V1644" s="31">
        <f>IF($A1644="","",IF($H1644&lt;&gt;"Ausgabe",0,-$E1644-$U1644))</f>
        <v/>
      </c>
      <c r="W1644" s="33">
        <f>IF($A1644="","",DATE(YEAR($A1644),MONTH($A1644),1))</f>
        <v/>
      </c>
      <c r="X1644" s="34">
        <f>IF(OR($A1644="",$H1644&lt;&gt;"Ausgabe",J1644=""),0,IF(J1644="x",-$E1644/(COUNTIF($J1644:$Q1644,"x")+1),-$E1644*N(J1644)))</f>
        <v/>
      </c>
      <c r="Y1644" s="34">
        <f>IF(OR($A1644="",$H1644&lt;&gt;"Ausgabe",K1644=""),0,IF(K1644="x",-$E1644/(COUNTIF($J1644:$Q1644,"x")+1),-$E1644*N(K1644)))</f>
        <v/>
      </c>
      <c r="Z1644" s="34">
        <f>IF(OR($A1644="",$H1644&lt;&gt;"Ausgabe",L1644=""),0,IF(L1644="x",-$E1644/(COUNTIF($J1644:$Q1644,"x")+1),-$E1644*N(L1644)))</f>
        <v/>
      </c>
      <c r="AA1644" s="34">
        <f>IF(OR($A1644="",$H1644&lt;&gt;"Ausgabe",M1644=""),0,IF(M1644="x",-$E1644/(COUNTIF($J1644:$Q1644,"x")+1),-$E1644*N(M1644)))</f>
        <v/>
      </c>
      <c r="AB1644" s="34">
        <f>IF(OR($A1644="",$H1644&lt;&gt;"Ausgabe",N1644=""),0,IF(N1644="x",-$E1644/(COUNTIF($J1644:$Q1644,"x")+1),-$E1644*N(N1644)))</f>
        <v/>
      </c>
      <c r="AC1644" s="34">
        <f>IF(OR($A1644="",$H1644&lt;&gt;"Ausgabe",O1644=""),0,IF(O1644="x",-$E1644/(COUNTIF($J1644:$Q1644,"x")+1),-$E1644*N(O1644)))</f>
        <v/>
      </c>
      <c r="AD1644" s="34">
        <f>IF(OR($A1644="",$H1644&lt;&gt;"Ausgabe",P1644=""),0,IF(P1644="x",-$E1644/(COUNTIF($J1644:$Q1644,"x")+1),-$E1644*N(P1644)))</f>
        <v/>
      </c>
      <c r="AE1644" s="34">
        <f>IF(OR($A1644="",$H1644&lt;&gt;"Ausgabe",Q1644=""),0,IF(Q1644="x",-$E1644/(COUNTIF($J1644:$Q1644,"x")+1),-$E1644*N(Q1644)))</f>
        <v/>
      </c>
    </row>
    <row r="1645">
      <c r="A1645" s="30" t="n"/>
      <c r="E1645" s="31" t="n"/>
      <c r="J1645" s="32" t="n"/>
      <c r="K1645" s="32" t="n"/>
      <c r="L1645" s="32" t="n"/>
      <c r="M1645" s="32" t="n"/>
      <c r="N1645" s="32" t="n"/>
      <c r="O1645" s="32" t="n"/>
      <c r="P1645" s="32" t="n"/>
      <c r="Q1645" s="32" t="n"/>
      <c r="U1645" s="31">
        <f>IF($A1645="","",SUM(X1645:AE1645))</f>
        <v/>
      </c>
      <c r="V1645" s="31">
        <f>IF($A1645="","",IF($H1645&lt;&gt;"Ausgabe",0,-$E1645-$U1645))</f>
        <v/>
      </c>
      <c r="W1645" s="33">
        <f>IF($A1645="","",DATE(YEAR($A1645),MONTH($A1645),1))</f>
        <v/>
      </c>
      <c r="X1645" s="34">
        <f>IF(OR($A1645="",$H1645&lt;&gt;"Ausgabe",J1645=""),0,IF(J1645="x",-$E1645/(COUNTIF($J1645:$Q1645,"x")+1),-$E1645*N(J1645)))</f>
        <v/>
      </c>
      <c r="Y1645" s="34">
        <f>IF(OR($A1645="",$H1645&lt;&gt;"Ausgabe",K1645=""),0,IF(K1645="x",-$E1645/(COUNTIF($J1645:$Q1645,"x")+1),-$E1645*N(K1645)))</f>
        <v/>
      </c>
      <c r="Z1645" s="34">
        <f>IF(OR($A1645="",$H1645&lt;&gt;"Ausgabe",L1645=""),0,IF(L1645="x",-$E1645/(COUNTIF($J1645:$Q1645,"x")+1),-$E1645*N(L1645)))</f>
        <v/>
      </c>
      <c r="AA1645" s="34">
        <f>IF(OR($A1645="",$H1645&lt;&gt;"Ausgabe",M1645=""),0,IF(M1645="x",-$E1645/(COUNTIF($J1645:$Q1645,"x")+1),-$E1645*N(M1645)))</f>
        <v/>
      </c>
      <c r="AB1645" s="34">
        <f>IF(OR($A1645="",$H1645&lt;&gt;"Ausgabe",N1645=""),0,IF(N1645="x",-$E1645/(COUNTIF($J1645:$Q1645,"x")+1),-$E1645*N(N1645)))</f>
        <v/>
      </c>
      <c r="AC1645" s="34">
        <f>IF(OR($A1645="",$H1645&lt;&gt;"Ausgabe",O1645=""),0,IF(O1645="x",-$E1645/(COUNTIF($J1645:$Q1645,"x")+1),-$E1645*N(O1645)))</f>
        <v/>
      </c>
      <c r="AD1645" s="34">
        <f>IF(OR($A1645="",$H1645&lt;&gt;"Ausgabe",P1645=""),0,IF(P1645="x",-$E1645/(COUNTIF($J1645:$Q1645,"x")+1),-$E1645*N(P1645)))</f>
        <v/>
      </c>
      <c r="AE1645" s="34">
        <f>IF(OR($A1645="",$H1645&lt;&gt;"Ausgabe",Q1645=""),0,IF(Q1645="x",-$E1645/(COUNTIF($J1645:$Q1645,"x")+1),-$E1645*N(Q1645)))</f>
        <v/>
      </c>
    </row>
    <row r="1646">
      <c r="A1646" s="30" t="n"/>
      <c r="E1646" s="31" t="n"/>
      <c r="J1646" s="32" t="n"/>
      <c r="K1646" s="32" t="n"/>
      <c r="L1646" s="32" t="n"/>
      <c r="M1646" s="32" t="n"/>
      <c r="N1646" s="32" t="n"/>
      <c r="O1646" s="32" t="n"/>
      <c r="P1646" s="32" t="n"/>
      <c r="Q1646" s="32" t="n"/>
      <c r="U1646" s="31">
        <f>IF($A1646="","",SUM(X1646:AE1646))</f>
        <v/>
      </c>
      <c r="V1646" s="31">
        <f>IF($A1646="","",IF($H1646&lt;&gt;"Ausgabe",0,-$E1646-$U1646))</f>
        <v/>
      </c>
      <c r="W1646" s="33">
        <f>IF($A1646="","",DATE(YEAR($A1646),MONTH($A1646),1))</f>
        <v/>
      </c>
      <c r="X1646" s="34">
        <f>IF(OR($A1646="",$H1646&lt;&gt;"Ausgabe",J1646=""),0,IF(J1646="x",-$E1646/(COUNTIF($J1646:$Q1646,"x")+1),-$E1646*N(J1646)))</f>
        <v/>
      </c>
      <c r="Y1646" s="34">
        <f>IF(OR($A1646="",$H1646&lt;&gt;"Ausgabe",K1646=""),0,IF(K1646="x",-$E1646/(COUNTIF($J1646:$Q1646,"x")+1),-$E1646*N(K1646)))</f>
        <v/>
      </c>
      <c r="Z1646" s="34">
        <f>IF(OR($A1646="",$H1646&lt;&gt;"Ausgabe",L1646=""),0,IF(L1646="x",-$E1646/(COUNTIF($J1646:$Q1646,"x")+1),-$E1646*N(L1646)))</f>
        <v/>
      </c>
      <c r="AA1646" s="34">
        <f>IF(OR($A1646="",$H1646&lt;&gt;"Ausgabe",M1646=""),0,IF(M1646="x",-$E1646/(COUNTIF($J1646:$Q1646,"x")+1),-$E1646*N(M1646)))</f>
        <v/>
      </c>
      <c r="AB1646" s="34">
        <f>IF(OR($A1646="",$H1646&lt;&gt;"Ausgabe",N1646=""),0,IF(N1646="x",-$E1646/(COUNTIF($J1646:$Q1646,"x")+1),-$E1646*N(N1646)))</f>
        <v/>
      </c>
      <c r="AC1646" s="34">
        <f>IF(OR($A1646="",$H1646&lt;&gt;"Ausgabe",O1646=""),0,IF(O1646="x",-$E1646/(COUNTIF($J1646:$Q1646,"x")+1),-$E1646*N(O1646)))</f>
        <v/>
      </c>
      <c r="AD1646" s="34">
        <f>IF(OR($A1646="",$H1646&lt;&gt;"Ausgabe",P1646=""),0,IF(P1646="x",-$E1646/(COUNTIF($J1646:$Q1646,"x")+1),-$E1646*N(P1646)))</f>
        <v/>
      </c>
      <c r="AE1646" s="34">
        <f>IF(OR($A1646="",$H1646&lt;&gt;"Ausgabe",Q1646=""),0,IF(Q1646="x",-$E1646/(COUNTIF($J1646:$Q1646,"x")+1),-$E1646*N(Q1646)))</f>
        <v/>
      </c>
    </row>
    <row r="1647">
      <c r="A1647" s="30" t="n"/>
      <c r="E1647" s="31" t="n"/>
      <c r="J1647" s="32" t="n"/>
      <c r="K1647" s="32" t="n"/>
      <c r="L1647" s="32" t="n"/>
      <c r="M1647" s="32" t="n"/>
      <c r="N1647" s="32" t="n"/>
      <c r="O1647" s="32" t="n"/>
      <c r="P1647" s="32" t="n"/>
      <c r="Q1647" s="32" t="n"/>
      <c r="U1647" s="31">
        <f>IF($A1647="","",SUM(X1647:AE1647))</f>
        <v/>
      </c>
      <c r="V1647" s="31">
        <f>IF($A1647="","",IF($H1647&lt;&gt;"Ausgabe",0,-$E1647-$U1647))</f>
        <v/>
      </c>
      <c r="W1647" s="33">
        <f>IF($A1647="","",DATE(YEAR($A1647),MONTH($A1647),1))</f>
        <v/>
      </c>
      <c r="X1647" s="34">
        <f>IF(OR($A1647="",$H1647&lt;&gt;"Ausgabe",J1647=""),0,IF(J1647="x",-$E1647/(COUNTIF($J1647:$Q1647,"x")+1),-$E1647*N(J1647)))</f>
        <v/>
      </c>
      <c r="Y1647" s="34">
        <f>IF(OR($A1647="",$H1647&lt;&gt;"Ausgabe",K1647=""),0,IF(K1647="x",-$E1647/(COUNTIF($J1647:$Q1647,"x")+1),-$E1647*N(K1647)))</f>
        <v/>
      </c>
      <c r="Z1647" s="34">
        <f>IF(OR($A1647="",$H1647&lt;&gt;"Ausgabe",L1647=""),0,IF(L1647="x",-$E1647/(COUNTIF($J1647:$Q1647,"x")+1),-$E1647*N(L1647)))</f>
        <v/>
      </c>
      <c r="AA1647" s="34">
        <f>IF(OR($A1647="",$H1647&lt;&gt;"Ausgabe",M1647=""),0,IF(M1647="x",-$E1647/(COUNTIF($J1647:$Q1647,"x")+1),-$E1647*N(M1647)))</f>
        <v/>
      </c>
      <c r="AB1647" s="34">
        <f>IF(OR($A1647="",$H1647&lt;&gt;"Ausgabe",N1647=""),0,IF(N1647="x",-$E1647/(COUNTIF($J1647:$Q1647,"x")+1),-$E1647*N(N1647)))</f>
        <v/>
      </c>
      <c r="AC1647" s="34">
        <f>IF(OR($A1647="",$H1647&lt;&gt;"Ausgabe",O1647=""),0,IF(O1647="x",-$E1647/(COUNTIF($J1647:$Q1647,"x")+1),-$E1647*N(O1647)))</f>
        <v/>
      </c>
      <c r="AD1647" s="34">
        <f>IF(OR($A1647="",$H1647&lt;&gt;"Ausgabe",P1647=""),0,IF(P1647="x",-$E1647/(COUNTIF($J1647:$Q1647,"x")+1),-$E1647*N(P1647)))</f>
        <v/>
      </c>
      <c r="AE1647" s="34">
        <f>IF(OR($A1647="",$H1647&lt;&gt;"Ausgabe",Q1647=""),0,IF(Q1647="x",-$E1647/(COUNTIF($J1647:$Q1647,"x")+1),-$E1647*N(Q1647)))</f>
        <v/>
      </c>
    </row>
    <row r="1648">
      <c r="A1648" s="30" t="n"/>
      <c r="E1648" s="31" t="n"/>
      <c r="J1648" s="32" t="n"/>
      <c r="K1648" s="32" t="n"/>
      <c r="L1648" s="32" t="n"/>
      <c r="M1648" s="32" t="n"/>
      <c r="N1648" s="32" t="n"/>
      <c r="O1648" s="32" t="n"/>
      <c r="P1648" s="32" t="n"/>
      <c r="Q1648" s="32" t="n"/>
      <c r="U1648" s="31">
        <f>IF($A1648="","",SUM(X1648:AE1648))</f>
        <v/>
      </c>
      <c r="V1648" s="31">
        <f>IF($A1648="","",IF($H1648&lt;&gt;"Ausgabe",0,-$E1648-$U1648))</f>
        <v/>
      </c>
      <c r="W1648" s="33">
        <f>IF($A1648="","",DATE(YEAR($A1648),MONTH($A1648),1))</f>
        <v/>
      </c>
      <c r="X1648" s="34">
        <f>IF(OR($A1648="",$H1648&lt;&gt;"Ausgabe",J1648=""),0,IF(J1648="x",-$E1648/(COUNTIF($J1648:$Q1648,"x")+1),-$E1648*N(J1648)))</f>
        <v/>
      </c>
      <c r="Y1648" s="34">
        <f>IF(OR($A1648="",$H1648&lt;&gt;"Ausgabe",K1648=""),0,IF(K1648="x",-$E1648/(COUNTIF($J1648:$Q1648,"x")+1),-$E1648*N(K1648)))</f>
        <v/>
      </c>
      <c r="Z1648" s="34">
        <f>IF(OR($A1648="",$H1648&lt;&gt;"Ausgabe",L1648=""),0,IF(L1648="x",-$E1648/(COUNTIF($J1648:$Q1648,"x")+1),-$E1648*N(L1648)))</f>
        <v/>
      </c>
      <c r="AA1648" s="34">
        <f>IF(OR($A1648="",$H1648&lt;&gt;"Ausgabe",M1648=""),0,IF(M1648="x",-$E1648/(COUNTIF($J1648:$Q1648,"x")+1),-$E1648*N(M1648)))</f>
        <v/>
      </c>
      <c r="AB1648" s="34">
        <f>IF(OR($A1648="",$H1648&lt;&gt;"Ausgabe",N1648=""),0,IF(N1648="x",-$E1648/(COUNTIF($J1648:$Q1648,"x")+1),-$E1648*N(N1648)))</f>
        <v/>
      </c>
      <c r="AC1648" s="34">
        <f>IF(OR($A1648="",$H1648&lt;&gt;"Ausgabe",O1648=""),0,IF(O1648="x",-$E1648/(COUNTIF($J1648:$Q1648,"x")+1),-$E1648*N(O1648)))</f>
        <v/>
      </c>
      <c r="AD1648" s="34">
        <f>IF(OR($A1648="",$H1648&lt;&gt;"Ausgabe",P1648=""),0,IF(P1648="x",-$E1648/(COUNTIF($J1648:$Q1648,"x")+1),-$E1648*N(P1648)))</f>
        <v/>
      </c>
      <c r="AE1648" s="34">
        <f>IF(OR($A1648="",$H1648&lt;&gt;"Ausgabe",Q1648=""),0,IF(Q1648="x",-$E1648/(COUNTIF($J1648:$Q1648,"x")+1),-$E1648*N(Q1648)))</f>
        <v/>
      </c>
    </row>
    <row r="1649">
      <c r="A1649" s="30" t="n"/>
      <c r="E1649" s="31" t="n"/>
      <c r="J1649" s="32" t="n"/>
      <c r="K1649" s="32" t="n"/>
      <c r="L1649" s="32" t="n"/>
      <c r="M1649" s="32" t="n"/>
      <c r="N1649" s="32" t="n"/>
      <c r="O1649" s="32" t="n"/>
      <c r="P1649" s="32" t="n"/>
      <c r="Q1649" s="32" t="n"/>
      <c r="U1649" s="31">
        <f>IF($A1649="","",SUM(X1649:AE1649))</f>
        <v/>
      </c>
      <c r="V1649" s="31">
        <f>IF($A1649="","",IF($H1649&lt;&gt;"Ausgabe",0,-$E1649-$U1649))</f>
        <v/>
      </c>
      <c r="W1649" s="33">
        <f>IF($A1649="","",DATE(YEAR($A1649),MONTH($A1649),1))</f>
        <v/>
      </c>
      <c r="X1649" s="34">
        <f>IF(OR($A1649="",$H1649&lt;&gt;"Ausgabe",J1649=""),0,IF(J1649="x",-$E1649/(COUNTIF($J1649:$Q1649,"x")+1),-$E1649*N(J1649)))</f>
        <v/>
      </c>
      <c r="Y1649" s="34">
        <f>IF(OR($A1649="",$H1649&lt;&gt;"Ausgabe",K1649=""),0,IF(K1649="x",-$E1649/(COUNTIF($J1649:$Q1649,"x")+1),-$E1649*N(K1649)))</f>
        <v/>
      </c>
      <c r="Z1649" s="34">
        <f>IF(OR($A1649="",$H1649&lt;&gt;"Ausgabe",L1649=""),0,IF(L1649="x",-$E1649/(COUNTIF($J1649:$Q1649,"x")+1),-$E1649*N(L1649)))</f>
        <v/>
      </c>
      <c r="AA1649" s="34">
        <f>IF(OR($A1649="",$H1649&lt;&gt;"Ausgabe",M1649=""),0,IF(M1649="x",-$E1649/(COUNTIF($J1649:$Q1649,"x")+1),-$E1649*N(M1649)))</f>
        <v/>
      </c>
      <c r="AB1649" s="34">
        <f>IF(OR($A1649="",$H1649&lt;&gt;"Ausgabe",N1649=""),0,IF(N1649="x",-$E1649/(COUNTIF($J1649:$Q1649,"x")+1),-$E1649*N(N1649)))</f>
        <v/>
      </c>
      <c r="AC1649" s="34">
        <f>IF(OR($A1649="",$H1649&lt;&gt;"Ausgabe",O1649=""),0,IF(O1649="x",-$E1649/(COUNTIF($J1649:$Q1649,"x")+1),-$E1649*N(O1649)))</f>
        <v/>
      </c>
      <c r="AD1649" s="34">
        <f>IF(OR($A1649="",$H1649&lt;&gt;"Ausgabe",P1649=""),0,IF(P1649="x",-$E1649/(COUNTIF($J1649:$Q1649,"x")+1),-$E1649*N(P1649)))</f>
        <v/>
      </c>
      <c r="AE1649" s="34">
        <f>IF(OR($A1649="",$H1649&lt;&gt;"Ausgabe",Q1649=""),0,IF(Q1649="x",-$E1649/(COUNTIF($J1649:$Q1649,"x")+1),-$E1649*N(Q1649)))</f>
        <v/>
      </c>
    </row>
    <row r="1650">
      <c r="A1650" s="30" t="n"/>
      <c r="E1650" s="31" t="n"/>
      <c r="J1650" s="32" t="n"/>
      <c r="K1650" s="32" t="n"/>
      <c r="L1650" s="32" t="n"/>
      <c r="M1650" s="32" t="n"/>
      <c r="N1650" s="32" t="n"/>
      <c r="O1650" s="32" t="n"/>
      <c r="P1650" s="32" t="n"/>
      <c r="Q1650" s="32" t="n"/>
      <c r="U1650" s="31">
        <f>IF($A1650="","",SUM(X1650:AE1650))</f>
        <v/>
      </c>
      <c r="V1650" s="31">
        <f>IF($A1650="","",IF($H1650&lt;&gt;"Ausgabe",0,-$E1650-$U1650))</f>
        <v/>
      </c>
      <c r="W1650" s="33">
        <f>IF($A1650="","",DATE(YEAR($A1650),MONTH($A1650),1))</f>
        <v/>
      </c>
      <c r="X1650" s="34">
        <f>IF(OR($A1650="",$H1650&lt;&gt;"Ausgabe",J1650=""),0,IF(J1650="x",-$E1650/(COUNTIF($J1650:$Q1650,"x")+1),-$E1650*N(J1650)))</f>
        <v/>
      </c>
      <c r="Y1650" s="34">
        <f>IF(OR($A1650="",$H1650&lt;&gt;"Ausgabe",K1650=""),0,IF(K1650="x",-$E1650/(COUNTIF($J1650:$Q1650,"x")+1),-$E1650*N(K1650)))</f>
        <v/>
      </c>
      <c r="Z1650" s="34">
        <f>IF(OR($A1650="",$H1650&lt;&gt;"Ausgabe",L1650=""),0,IF(L1650="x",-$E1650/(COUNTIF($J1650:$Q1650,"x")+1),-$E1650*N(L1650)))</f>
        <v/>
      </c>
      <c r="AA1650" s="34">
        <f>IF(OR($A1650="",$H1650&lt;&gt;"Ausgabe",M1650=""),0,IF(M1650="x",-$E1650/(COUNTIF($J1650:$Q1650,"x")+1),-$E1650*N(M1650)))</f>
        <v/>
      </c>
      <c r="AB1650" s="34">
        <f>IF(OR($A1650="",$H1650&lt;&gt;"Ausgabe",N1650=""),0,IF(N1650="x",-$E1650/(COUNTIF($J1650:$Q1650,"x")+1),-$E1650*N(N1650)))</f>
        <v/>
      </c>
      <c r="AC1650" s="34">
        <f>IF(OR($A1650="",$H1650&lt;&gt;"Ausgabe",O1650=""),0,IF(O1650="x",-$E1650/(COUNTIF($J1650:$Q1650,"x")+1),-$E1650*N(O1650)))</f>
        <v/>
      </c>
      <c r="AD1650" s="34">
        <f>IF(OR($A1650="",$H1650&lt;&gt;"Ausgabe",P1650=""),0,IF(P1650="x",-$E1650/(COUNTIF($J1650:$Q1650,"x")+1),-$E1650*N(P1650)))</f>
        <v/>
      </c>
      <c r="AE1650" s="34">
        <f>IF(OR($A1650="",$H1650&lt;&gt;"Ausgabe",Q1650=""),0,IF(Q1650="x",-$E1650/(COUNTIF($J1650:$Q1650,"x")+1),-$E1650*N(Q1650)))</f>
        <v/>
      </c>
    </row>
    <row r="1651">
      <c r="A1651" s="30" t="n"/>
      <c r="E1651" s="31" t="n"/>
      <c r="J1651" s="32" t="n"/>
      <c r="K1651" s="32" t="n"/>
      <c r="L1651" s="32" t="n"/>
      <c r="M1651" s="32" t="n"/>
      <c r="N1651" s="32" t="n"/>
      <c r="O1651" s="32" t="n"/>
      <c r="P1651" s="32" t="n"/>
      <c r="Q1651" s="32" t="n"/>
      <c r="U1651" s="31">
        <f>IF($A1651="","",SUM(X1651:AE1651))</f>
        <v/>
      </c>
      <c r="V1651" s="31">
        <f>IF($A1651="","",IF($H1651&lt;&gt;"Ausgabe",0,-$E1651-$U1651))</f>
        <v/>
      </c>
      <c r="W1651" s="33">
        <f>IF($A1651="","",DATE(YEAR($A1651),MONTH($A1651),1))</f>
        <v/>
      </c>
      <c r="X1651" s="34">
        <f>IF(OR($A1651="",$H1651&lt;&gt;"Ausgabe",J1651=""),0,IF(J1651="x",-$E1651/(COUNTIF($J1651:$Q1651,"x")+1),-$E1651*N(J1651)))</f>
        <v/>
      </c>
      <c r="Y1651" s="34">
        <f>IF(OR($A1651="",$H1651&lt;&gt;"Ausgabe",K1651=""),0,IF(K1651="x",-$E1651/(COUNTIF($J1651:$Q1651,"x")+1),-$E1651*N(K1651)))</f>
        <v/>
      </c>
      <c r="Z1651" s="34">
        <f>IF(OR($A1651="",$H1651&lt;&gt;"Ausgabe",L1651=""),0,IF(L1651="x",-$E1651/(COUNTIF($J1651:$Q1651,"x")+1),-$E1651*N(L1651)))</f>
        <v/>
      </c>
      <c r="AA1651" s="34">
        <f>IF(OR($A1651="",$H1651&lt;&gt;"Ausgabe",M1651=""),0,IF(M1651="x",-$E1651/(COUNTIF($J1651:$Q1651,"x")+1),-$E1651*N(M1651)))</f>
        <v/>
      </c>
      <c r="AB1651" s="34">
        <f>IF(OR($A1651="",$H1651&lt;&gt;"Ausgabe",N1651=""),0,IF(N1651="x",-$E1651/(COUNTIF($J1651:$Q1651,"x")+1),-$E1651*N(N1651)))</f>
        <v/>
      </c>
      <c r="AC1651" s="34">
        <f>IF(OR($A1651="",$H1651&lt;&gt;"Ausgabe",O1651=""),0,IF(O1651="x",-$E1651/(COUNTIF($J1651:$Q1651,"x")+1),-$E1651*N(O1651)))</f>
        <v/>
      </c>
      <c r="AD1651" s="34">
        <f>IF(OR($A1651="",$H1651&lt;&gt;"Ausgabe",P1651=""),0,IF(P1651="x",-$E1651/(COUNTIF($J1651:$Q1651,"x")+1),-$E1651*N(P1651)))</f>
        <v/>
      </c>
      <c r="AE1651" s="34">
        <f>IF(OR($A1651="",$H1651&lt;&gt;"Ausgabe",Q1651=""),0,IF(Q1651="x",-$E1651/(COUNTIF($J1651:$Q1651,"x")+1),-$E1651*N(Q1651)))</f>
        <v/>
      </c>
    </row>
    <row r="1652">
      <c r="A1652" s="30" t="n"/>
      <c r="E1652" s="31" t="n"/>
      <c r="J1652" s="32" t="n"/>
      <c r="K1652" s="32" t="n"/>
      <c r="L1652" s="32" t="n"/>
      <c r="M1652" s="32" t="n"/>
      <c r="N1652" s="32" t="n"/>
      <c r="O1652" s="32" t="n"/>
      <c r="P1652" s="32" t="n"/>
      <c r="Q1652" s="32" t="n"/>
      <c r="U1652" s="31">
        <f>IF($A1652="","",SUM(X1652:AE1652))</f>
        <v/>
      </c>
      <c r="V1652" s="31">
        <f>IF($A1652="","",IF($H1652&lt;&gt;"Ausgabe",0,-$E1652-$U1652))</f>
        <v/>
      </c>
      <c r="W1652" s="33">
        <f>IF($A1652="","",DATE(YEAR($A1652),MONTH($A1652),1))</f>
        <v/>
      </c>
      <c r="X1652" s="34">
        <f>IF(OR($A1652="",$H1652&lt;&gt;"Ausgabe",J1652=""),0,IF(J1652="x",-$E1652/(COUNTIF($J1652:$Q1652,"x")+1),-$E1652*N(J1652)))</f>
        <v/>
      </c>
      <c r="Y1652" s="34">
        <f>IF(OR($A1652="",$H1652&lt;&gt;"Ausgabe",K1652=""),0,IF(K1652="x",-$E1652/(COUNTIF($J1652:$Q1652,"x")+1),-$E1652*N(K1652)))</f>
        <v/>
      </c>
      <c r="Z1652" s="34">
        <f>IF(OR($A1652="",$H1652&lt;&gt;"Ausgabe",L1652=""),0,IF(L1652="x",-$E1652/(COUNTIF($J1652:$Q1652,"x")+1),-$E1652*N(L1652)))</f>
        <v/>
      </c>
      <c r="AA1652" s="34">
        <f>IF(OR($A1652="",$H1652&lt;&gt;"Ausgabe",M1652=""),0,IF(M1652="x",-$E1652/(COUNTIF($J1652:$Q1652,"x")+1),-$E1652*N(M1652)))</f>
        <v/>
      </c>
      <c r="AB1652" s="34">
        <f>IF(OR($A1652="",$H1652&lt;&gt;"Ausgabe",N1652=""),0,IF(N1652="x",-$E1652/(COUNTIF($J1652:$Q1652,"x")+1),-$E1652*N(N1652)))</f>
        <v/>
      </c>
      <c r="AC1652" s="34">
        <f>IF(OR($A1652="",$H1652&lt;&gt;"Ausgabe",O1652=""),0,IF(O1652="x",-$E1652/(COUNTIF($J1652:$Q1652,"x")+1),-$E1652*N(O1652)))</f>
        <v/>
      </c>
      <c r="AD1652" s="34">
        <f>IF(OR($A1652="",$H1652&lt;&gt;"Ausgabe",P1652=""),0,IF(P1652="x",-$E1652/(COUNTIF($J1652:$Q1652,"x")+1),-$E1652*N(P1652)))</f>
        <v/>
      </c>
      <c r="AE1652" s="34">
        <f>IF(OR($A1652="",$H1652&lt;&gt;"Ausgabe",Q1652=""),0,IF(Q1652="x",-$E1652/(COUNTIF($J1652:$Q1652,"x")+1),-$E1652*N(Q1652)))</f>
        <v/>
      </c>
    </row>
    <row r="1653">
      <c r="A1653" s="30" t="n"/>
      <c r="E1653" s="31" t="n"/>
      <c r="J1653" s="32" t="n"/>
      <c r="K1653" s="32" t="n"/>
      <c r="L1653" s="32" t="n"/>
      <c r="M1653" s="32" t="n"/>
      <c r="N1653" s="32" t="n"/>
      <c r="O1653" s="32" t="n"/>
      <c r="P1653" s="32" t="n"/>
      <c r="Q1653" s="32" t="n"/>
      <c r="U1653" s="31">
        <f>IF($A1653="","",SUM(X1653:AE1653))</f>
        <v/>
      </c>
      <c r="V1653" s="31">
        <f>IF($A1653="","",IF($H1653&lt;&gt;"Ausgabe",0,-$E1653-$U1653))</f>
        <v/>
      </c>
      <c r="W1653" s="33">
        <f>IF($A1653="","",DATE(YEAR($A1653),MONTH($A1653),1))</f>
        <v/>
      </c>
      <c r="X1653" s="34">
        <f>IF(OR($A1653="",$H1653&lt;&gt;"Ausgabe",J1653=""),0,IF(J1653="x",-$E1653/(COUNTIF($J1653:$Q1653,"x")+1),-$E1653*N(J1653)))</f>
        <v/>
      </c>
      <c r="Y1653" s="34">
        <f>IF(OR($A1653="",$H1653&lt;&gt;"Ausgabe",K1653=""),0,IF(K1653="x",-$E1653/(COUNTIF($J1653:$Q1653,"x")+1),-$E1653*N(K1653)))</f>
        <v/>
      </c>
      <c r="Z1653" s="34">
        <f>IF(OR($A1653="",$H1653&lt;&gt;"Ausgabe",L1653=""),0,IF(L1653="x",-$E1653/(COUNTIF($J1653:$Q1653,"x")+1),-$E1653*N(L1653)))</f>
        <v/>
      </c>
      <c r="AA1653" s="34">
        <f>IF(OR($A1653="",$H1653&lt;&gt;"Ausgabe",M1653=""),0,IF(M1653="x",-$E1653/(COUNTIF($J1653:$Q1653,"x")+1),-$E1653*N(M1653)))</f>
        <v/>
      </c>
      <c r="AB1653" s="34">
        <f>IF(OR($A1653="",$H1653&lt;&gt;"Ausgabe",N1653=""),0,IF(N1653="x",-$E1653/(COUNTIF($J1653:$Q1653,"x")+1),-$E1653*N(N1653)))</f>
        <v/>
      </c>
      <c r="AC1653" s="34">
        <f>IF(OR($A1653="",$H1653&lt;&gt;"Ausgabe",O1653=""),0,IF(O1653="x",-$E1653/(COUNTIF($J1653:$Q1653,"x")+1),-$E1653*N(O1653)))</f>
        <v/>
      </c>
      <c r="AD1653" s="34">
        <f>IF(OR($A1653="",$H1653&lt;&gt;"Ausgabe",P1653=""),0,IF(P1653="x",-$E1653/(COUNTIF($J1653:$Q1653,"x")+1),-$E1653*N(P1653)))</f>
        <v/>
      </c>
      <c r="AE1653" s="34">
        <f>IF(OR($A1653="",$H1653&lt;&gt;"Ausgabe",Q1653=""),0,IF(Q1653="x",-$E1653/(COUNTIF($J1653:$Q1653,"x")+1),-$E1653*N(Q1653)))</f>
        <v/>
      </c>
    </row>
    <row r="1654">
      <c r="A1654" s="30" t="n"/>
      <c r="E1654" s="31" t="n"/>
      <c r="J1654" s="32" t="n"/>
      <c r="K1654" s="32" t="n"/>
      <c r="L1654" s="32" t="n"/>
      <c r="M1654" s="32" t="n"/>
      <c r="N1654" s="32" t="n"/>
      <c r="O1654" s="32" t="n"/>
      <c r="P1654" s="32" t="n"/>
      <c r="Q1654" s="32" t="n"/>
      <c r="U1654" s="31">
        <f>IF($A1654="","",SUM(X1654:AE1654))</f>
        <v/>
      </c>
      <c r="V1654" s="31">
        <f>IF($A1654="","",IF($H1654&lt;&gt;"Ausgabe",0,-$E1654-$U1654))</f>
        <v/>
      </c>
      <c r="W1654" s="33">
        <f>IF($A1654="","",DATE(YEAR($A1654),MONTH($A1654),1))</f>
        <v/>
      </c>
      <c r="X1654" s="34">
        <f>IF(OR($A1654="",$H1654&lt;&gt;"Ausgabe",J1654=""),0,IF(J1654="x",-$E1654/(COUNTIF($J1654:$Q1654,"x")+1),-$E1654*N(J1654)))</f>
        <v/>
      </c>
      <c r="Y1654" s="34">
        <f>IF(OR($A1654="",$H1654&lt;&gt;"Ausgabe",K1654=""),0,IF(K1654="x",-$E1654/(COUNTIF($J1654:$Q1654,"x")+1),-$E1654*N(K1654)))</f>
        <v/>
      </c>
      <c r="Z1654" s="34">
        <f>IF(OR($A1654="",$H1654&lt;&gt;"Ausgabe",L1654=""),0,IF(L1654="x",-$E1654/(COUNTIF($J1654:$Q1654,"x")+1),-$E1654*N(L1654)))</f>
        <v/>
      </c>
      <c r="AA1654" s="34">
        <f>IF(OR($A1654="",$H1654&lt;&gt;"Ausgabe",M1654=""),0,IF(M1654="x",-$E1654/(COUNTIF($J1654:$Q1654,"x")+1),-$E1654*N(M1654)))</f>
        <v/>
      </c>
      <c r="AB1654" s="34">
        <f>IF(OR($A1654="",$H1654&lt;&gt;"Ausgabe",N1654=""),0,IF(N1654="x",-$E1654/(COUNTIF($J1654:$Q1654,"x")+1),-$E1654*N(N1654)))</f>
        <v/>
      </c>
      <c r="AC1654" s="34">
        <f>IF(OR($A1654="",$H1654&lt;&gt;"Ausgabe",O1654=""),0,IF(O1654="x",-$E1654/(COUNTIF($J1654:$Q1654,"x")+1),-$E1654*N(O1654)))</f>
        <v/>
      </c>
      <c r="AD1654" s="34">
        <f>IF(OR($A1654="",$H1654&lt;&gt;"Ausgabe",P1654=""),0,IF(P1654="x",-$E1654/(COUNTIF($J1654:$Q1654,"x")+1),-$E1654*N(P1654)))</f>
        <v/>
      </c>
      <c r="AE1654" s="34">
        <f>IF(OR($A1654="",$H1654&lt;&gt;"Ausgabe",Q1654=""),0,IF(Q1654="x",-$E1654/(COUNTIF($J1654:$Q1654,"x")+1),-$E1654*N(Q1654)))</f>
        <v/>
      </c>
    </row>
    <row r="1655">
      <c r="A1655" s="30" t="n"/>
      <c r="E1655" s="31" t="n"/>
      <c r="J1655" s="32" t="n"/>
      <c r="K1655" s="32" t="n"/>
      <c r="L1655" s="32" t="n"/>
      <c r="M1655" s="32" t="n"/>
      <c r="N1655" s="32" t="n"/>
      <c r="O1655" s="32" t="n"/>
      <c r="P1655" s="32" t="n"/>
      <c r="Q1655" s="32" t="n"/>
      <c r="U1655" s="31">
        <f>IF($A1655="","",SUM(X1655:AE1655))</f>
        <v/>
      </c>
      <c r="V1655" s="31">
        <f>IF($A1655="","",IF($H1655&lt;&gt;"Ausgabe",0,-$E1655-$U1655))</f>
        <v/>
      </c>
      <c r="W1655" s="33">
        <f>IF($A1655="","",DATE(YEAR($A1655),MONTH($A1655),1))</f>
        <v/>
      </c>
      <c r="X1655" s="34">
        <f>IF(OR($A1655="",$H1655&lt;&gt;"Ausgabe",J1655=""),0,IF(J1655="x",-$E1655/(COUNTIF($J1655:$Q1655,"x")+1),-$E1655*N(J1655)))</f>
        <v/>
      </c>
      <c r="Y1655" s="34">
        <f>IF(OR($A1655="",$H1655&lt;&gt;"Ausgabe",K1655=""),0,IF(K1655="x",-$E1655/(COUNTIF($J1655:$Q1655,"x")+1),-$E1655*N(K1655)))</f>
        <v/>
      </c>
      <c r="Z1655" s="34">
        <f>IF(OR($A1655="",$H1655&lt;&gt;"Ausgabe",L1655=""),0,IF(L1655="x",-$E1655/(COUNTIF($J1655:$Q1655,"x")+1),-$E1655*N(L1655)))</f>
        <v/>
      </c>
      <c r="AA1655" s="34">
        <f>IF(OR($A1655="",$H1655&lt;&gt;"Ausgabe",M1655=""),0,IF(M1655="x",-$E1655/(COUNTIF($J1655:$Q1655,"x")+1),-$E1655*N(M1655)))</f>
        <v/>
      </c>
      <c r="AB1655" s="34">
        <f>IF(OR($A1655="",$H1655&lt;&gt;"Ausgabe",N1655=""),0,IF(N1655="x",-$E1655/(COUNTIF($J1655:$Q1655,"x")+1),-$E1655*N(N1655)))</f>
        <v/>
      </c>
      <c r="AC1655" s="34">
        <f>IF(OR($A1655="",$H1655&lt;&gt;"Ausgabe",O1655=""),0,IF(O1655="x",-$E1655/(COUNTIF($J1655:$Q1655,"x")+1),-$E1655*N(O1655)))</f>
        <v/>
      </c>
      <c r="AD1655" s="34">
        <f>IF(OR($A1655="",$H1655&lt;&gt;"Ausgabe",P1655=""),0,IF(P1655="x",-$E1655/(COUNTIF($J1655:$Q1655,"x")+1),-$E1655*N(P1655)))</f>
        <v/>
      </c>
      <c r="AE1655" s="34">
        <f>IF(OR($A1655="",$H1655&lt;&gt;"Ausgabe",Q1655=""),0,IF(Q1655="x",-$E1655/(COUNTIF($J1655:$Q1655,"x")+1),-$E1655*N(Q1655)))</f>
        <v/>
      </c>
    </row>
    <row r="1656">
      <c r="A1656" s="30" t="n"/>
      <c r="E1656" s="31" t="n"/>
      <c r="J1656" s="32" t="n"/>
      <c r="K1656" s="32" t="n"/>
      <c r="L1656" s="32" t="n"/>
      <c r="M1656" s="32" t="n"/>
      <c r="N1656" s="32" t="n"/>
      <c r="O1656" s="32" t="n"/>
      <c r="P1656" s="32" t="n"/>
      <c r="Q1656" s="32" t="n"/>
      <c r="U1656" s="31">
        <f>IF($A1656="","",SUM(X1656:AE1656))</f>
        <v/>
      </c>
      <c r="V1656" s="31">
        <f>IF($A1656="","",IF($H1656&lt;&gt;"Ausgabe",0,-$E1656-$U1656))</f>
        <v/>
      </c>
      <c r="W1656" s="33">
        <f>IF($A1656="","",DATE(YEAR($A1656),MONTH($A1656),1))</f>
        <v/>
      </c>
      <c r="X1656" s="34">
        <f>IF(OR($A1656="",$H1656&lt;&gt;"Ausgabe",J1656=""),0,IF(J1656="x",-$E1656/(COUNTIF($J1656:$Q1656,"x")+1),-$E1656*N(J1656)))</f>
        <v/>
      </c>
      <c r="Y1656" s="34">
        <f>IF(OR($A1656="",$H1656&lt;&gt;"Ausgabe",K1656=""),0,IF(K1656="x",-$E1656/(COUNTIF($J1656:$Q1656,"x")+1),-$E1656*N(K1656)))</f>
        <v/>
      </c>
      <c r="Z1656" s="34">
        <f>IF(OR($A1656="",$H1656&lt;&gt;"Ausgabe",L1656=""),0,IF(L1656="x",-$E1656/(COUNTIF($J1656:$Q1656,"x")+1),-$E1656*N(L1656)))</f>
        <v/>
      </c>
      <c r="AA1656" s="34">
        <f>IF(OR($A1656="",$H1656&lt;&gt;"Ausgabe",M1656=""),0,IF(M1656="x",-$E1656/(COUNTIF($J1656:$Q1656,"x")+1),-$E1656*N(M1656)))</f>
        <v/>
      </c>
      <c r="AB1656" s="34">
        <f>IF(OR($A1656="",$H1656&lt;&gt;"Ausgabe",N1656=""),0,IF(N1656="x",-$E1656/(COUNTIF($J1656:$Q1656,"x")+1),-$E1656*N(N1656)))</f>
        <v/>
      </c>
      <c r="AC1656" s="34">
        <f>IF(OR($A1656="",$H1656&lt;&gt;"Ausgabe",O1656=""),0,IF(O1656="x",-$E1656/(COUNTIF($J1656:$Q1656,"x")+1),-$E1656*N(O1656)))</f>
        <v/>
      </c>
      <c r="AD1656" s="34">
        <f>IF(OR($A1656="",$H1656&lt;&gt;"Ausgabe",P1656=""),0,IF(P1656="x",-$E1656/(COUNTIF($J1656:$Q1656,"x")+1),-$E1656*N(P1656)))</f>
        <v/>
      </c>
      <c r="AE1656" s="34">
        <f>IF(OR($A1656="",$H1656&lt;&gt;"Ausgabe",Q1656=""),0,IF(Q1656="x",-$E1656/(COUNTIF($J1656:$Q1656,"x")+1),-$E1656*N(Q1656)))</f>
        <v/>
      </c>
    </row>
    <row r="1657">
      <c r="A1657" s="30" t="n"/>
      <c r="E1657" s="31" t="n"/>
      <c r="J1657" s="32" t="n"/>
      <c r="K1657" s="32" t="n"/>
      <c r="L1657" s="32" t="n"/>
      <c r="M1657" s="32" t="n"/>
      <c r="N1657" s="32" t="n"/>
      <c r="O1657" s="32" t="n"/>
      <c r="P1657" s="32" t="n"/>
      <c r="Q1657" s="32" t="n"/>
      <c r="U1657" s="31">
        <f>IF($A1657="","",SUM(X1657:AE1657))</f>
        <v/>
      </c>
      <c r="V1657" s="31">
        <f>IF($A1657="","",IF($H1657&lt;&gt;"Ausgabe",0,-$E1657-$U1657))</f>
        <v/>
      </c>
      <c r="W1657" s="33">
        <f>IF($A1657="","",DATE(YEAR($A1657),MONTH($A1657),1))</f>
        <v/>
      </c>
      <c r="X1657" s="34">
        <f>IF(OR($A1657="",$H1657&lt;&gt;"Ausgabe",J1657=""),0,IF(J1657="x",-$E1657/(COUNTIF($J1657:$Q1657,"x")+1),-$E1657*N(J1657)))</f>
        <v/>
      </c>
      <c r="Y1657" s="34">
        <f>IF(OR($A1657="",$H1657&lt;&gt;"Ausgabe",K1657=""),0,IF(K1657="x",-$E1657/(COUNTIF($J1657:$Q1657,"x")+1),-$E1657*N(K1657)))</f>
        <v/>
      </c>
      <c r="Z1657" s="34">
        <f>IF(OR($A1657="",$H1657&lt;&gt;"Ausgabe",L1657=""),0,IF(L1657="x",-$E1657/(COUNTIF($J1657:$Q1657,"x")+1),-$E1657*N(L1657)))</f>
        <v/>
      </c>
      <c r="AA1657" s="34">
        <f>IF(OR($A1657="",$H1657&lt;&gt;"Ausgabe",M1657=""),0,IF(M1657="x",-$E1657/(COUNTIF($J1657:$Q1657,"x")+1),-$E1657*N(M1657)))</f>
        <v/>
      </c>
      <c r="AB1657" s="34">
        <f>IF(OR($A1657="",$H1657&lt;&gt;"Ausgabe",N1657=""),0,IF(N1657="x",-$E1657/(COUNTIF($J1657:$Q1657,"x")+1),-$E1657*N(N1657)))</f>
        <v/>
      </c>
      <c r="AC1657" s="34">
        <f>IF(OR($A1657="",$H1657&lt;&gt;"Ausgabe",O1657=""),0,IF(O1657="x",-$E1657/(COUNTIF($J1657:$Q1657,"x")+1),-$E1657*N(O1657)))</f>
        <v/>
      </c>
      <c r="AD1657" s="34">
        <f>IF(OR($A1657="",$H1657&lt;&gt;"Ausgabe",P1657=""),0,IF(P1657="x",-$E1657/(COUNTIF($J1657:$Q1657,"x")+1),-$E1657*N(P1657)))</f>
        <v/>
      </c>
      <c r="AE1657" s="34">
        <f>IF(OR($A1657="",$H1657&lt;&gt;"Ausgabe",Q1657=""),0,IF(Q1657="x",-$E1657/(COUNTIF($J1657:$Q1657,"x")+1),-$E1657*N(Q1657)))</f>
        <v/>
      </c>
    </row>
    <row r="1658">
      <c r="A1658" s="30" t="n"/>
      <c r="E1658" s="31" t="n"/>
      <c r="J1658" s="32" t="n"/>
      <c r="K1658" s="32" t="n"/>
      <c r="L1658" s="32" t="n"/>
      <c r="M1658" s="32" t="n"/>
      <c r="N1658" s="32" t="n"/>
      <c r="O1658" s="32" t="n"/>
      <c r="P1658" s="32" t="n"/>
      <c r="Q1658" s="32" t="n"/>
      <c r="U1658" s="31">
        <f>IF($A1658="","",SUM(X1658:AE1658))</f>
        <v/>
      </c>
      <c r="V1658" s="31">
        <f>IF($A1658="","",IF($H1658&lt;&gt;"Ausgabe",0,-$E1658-$U1658))</f>
        <v/>
      </c>
      <c r="W1658" s="33">
        <f>IF($A1658="","",DATE(YEAR($A1658),MONTH($A1658),1))</f>
        <v/>
      </c>
      <c r="X1658" s="34">
        <f>IF(OR($A1658="",$H1658&lt;&gt;"Ausgabe",J1658=""),0,IF(J1658="x",-$E1658/(COUNTIF($J1658:$Q1658,"x")+1),-$E1658*N(J1658)))</f>
        <v/>
      </c>
      <c r="Y1658" s="34">
        <f>IF(OR($A1658="",$H1658&lt;&gt;"Ausgabe",K1658=""),0,IF(K1658="x",-$E1658/(COUNTIF($J1658:$Q1658,"x")+1),-$E1658*N(K1658)))</f>
        <v/>
      </c>
      <c r="Z1658" s="34">
        <f>IF(OR($A1658="",$H1658&lt;&gt;"Ausgabe",L1658=""),0,IF(L1658="x",-$E1658/(COUNTIF($J1658:$Q1658,"x")+1),-$E1658*N(L1658)))</f>
        <v/>
      </c>
      <c r="AA1658" s="34">
        <f>IF(OR($A1658="",$H1658&lt;&gt;"Ausgabe",M1658=""),0,IF(M1658="x",-$E1658/(COUNTIF($J1658:$Q1658,"x")+1),-$E1658*N(M1658)))</f>
        <v/>
      </c>
      <c r="AB1658" s="34">
        <f>IF(OR($A1658="",$H1658&lt;&gt;"Ausgabe",N1658=""),0,IF(N1658="x",-$E1658/(COUNTIF($J1658:$Q1658,"x")+1),-$E1658*N(N1658)))</f>
        <v/>
      </c>
      <c r="AC1658" s="34">
        <f>IF(OR($A1658="",$H1658&lt;&gt;"Ausgabe",O1658=""),0,IF(O1658="x",-$E1658/(COUNTIF($J1658:$Q1658,"x")+1),-$E1658*N(O1658)))</f>
        <v/>
      </c>
      <c r="AD1658" s="34">
        <f>IF(OR($A1658="",$H1658&lt;&gt;"Ausgabe",P1658=""),0,IF(P1658="x",-$E1658/(COUNTIF($J1658:$Q1658,"x")+1),-$E1658*N(P1658)))</f>
        <v/>
      </c>
      <c r="AE1658" s="34">
        <f>IF(OR($A1658="",$H1658&lt;&gt;"Ausgabe",Q1658=""),0,IF(Q1658="x",-$E1658/(COUNTIF($J1658:$Q1658,"x")+1),-$E1658*N(Q1658)))</f>
        <v/>
      </c>
    </row>
    <row r="1659">
      <c r="A1659" s="30" t="n"/>
      <c r="E1659" s="31" t="n"/>
      <c r="J1659" s="32" t="n"/>
      <c r="K1659" s="32" t="n"/>
      <c r="L1659" s="32" t="n"/>
      <c r="M1659" s="32" t="n"/>
      <c r="N1659" s="32" t="n"/>
      <c r="O1659" s="32" t="n"/>
      <c r="P1659" s="32" t="n"/>
      <c r="Q1659" s="32" t="n"/>
      <c r="U1659" s="31">
        <f>IF($A1659="","",SUM(X1659:AE1659))</f>
        <v/>
      </c>
      <c r="V1659" s="31">
        <f>IF($A1659="","",IF($H1659&lt;&gt;"Ausgabe",0,-$E1659-$U1659))</f>
        <v/>
      </c>
      <c r="W1659" s="33">
        <f>IF($A1659="","",DATE(YEAR($A1659),MONTH($A1659),1))</f>
        <v/>
      </c>
      <c r="X1659" s="34">
        <f>IF(OR($A1659="",$H1659&lt;&gt;"Ausgabe",J1659=""),0,IF(J1659="x",-$E1659/(COUNTIF($J1659:$Q1659,"x")+1),-$E1659*N(J1659)))</f>
        <v/>
      </c>
      <c r="Y1659" s="34">
        <f>IF(OR($A1659="",$H1659&lt;&gt;"Ausgabe",K1659=""),0,IF(K1659="x",-$E1659/(COUNTIF($J1659:$Q1659,"x")+1),-$E1659*N(K1659)))</f>
        <v/>
      </c>
      <c r="Z1659" s="34">
        <f>IF(OR($A1659="",$H1659&lt;&gt;"Ausgabe",L1659=""),0,IF(L1659="x",-$E1659/(COUNTIF($J1659:$Q1659,"x")+1),-$E1659*N(L1659)))</f>
        <v/>
      </c>
      <c r="AA1659" s="34">
        <f>IF(OR($A1659="",$H1659&lt;&gt;"Ausgabe",M1659=""),0,IF(M1659="x",-$E1659/(COUNTIF($J1659:$Q1659,"x")+1),-$E1659*N(M1659)))</f>
        <v/>
      </c>
      <c r="AB1659" s="34">
        <f>IF(OR($A1659="",$H1659&lt;&gt;"Ausgabe",N1659=""),0,IF(N1659="x",-$E1659/(COUNTIF($J1659:$Q1659,"x")+1),-$E1659*N(N1659)))</f>
        <v/>
      </c>
      <c r="AC1659" s="34">
        <f>IF(OR($A1659="",$H1659&lt;&gt;"Ausgabe",O1659=""),0,IF(O1659="x",-$E1659/(COUNTIF($J1659:$Q1659,"x")+1),-$E1659*N(O1659)))</f>
        <v/>
      </c>
      <c r="AD1659" s="34">
        <f>IF(OR($A1659="",$H1659&lt;&gt;"Ausgabe",P1659=""),0,IF(P1659="x",-$E1659/(COUNTIF($J1659:$Q1659,"x")+1),-$E1659*N(P1659)))</f>
        <v/>
      </c>
      <c r="AE1659" s="34">
        <f>IF(OR($A1659="",$H1659&lt;&gt;"Ausgabe",Q1659=""),0,IF(Q1659="x",-$E1659/(COUNTIF($J1659:$Q1659,"x")+1),-$E1659*N(Q1659)))</f>
        <v/>
      </c>
    </row>
    <row r="1660">
      <c r="A1660" s="30" t="n"/>
      <c r="E1660" s="31" t="n"/>
      <c r="J1660" s="32" t="n"/>
      <c r="K1660" s="32" t="n"/>
      <c r="L1660" s="32" t="n"/>
      <c r="M1660" s="32" t="n"/>
      <c r="N1660" s="32" t="n"/>
      <c r="O1660" s="32" t="n"/>
      <c r="P1660" s="32" t="n"/>
      <c r="Q1660" s="32" t="n"/>
      <c r="U1660" s="31">
        <f>IF($A1660="","",SUM(X1660:AE1660))</f>
        <v/>
      </c>
      <c r="V1660" s="31">
        <f>IF($A1660="","",IF($H1660&lt;&gt;"Ausgabe",0,-$E1660-$U1660))</f>
        <v/>
      </c>
      <c r="W1660" s="33">
        <f>IF($A1660="","",DATE(YEAR($A1660),MONTH($A1660),1))</f>
        <v/>
      </c>
      <c r="X1660" s="34">
        <f>IF(OR($A1660="",$H1660&lt;&gt;"Ausgabe",J1660=""),0,IF(J1660="x",-$E1660/(COUNTIF($J1660:$Q1660,"x")+1),-$E1660*N(J1660)))</f>
        <v/>
      </c>
      <c r="Y1660" s="34">
        <f>IF(OR($A1660="",$H1660&lt;&gt;"Ausgabe",K1660=""),0,IF(K1660="x",-$E1660/(COUNTIF($J1660:$Q1660,"x")+1),-$E1660*N(K1660)))</f>
        <v/>
      </c>
      <c r="Z1660" s="34">
        <f>IF(OR($A1660="",$H1660&lt;&gt;"Ausgabe",L1660=""),0,IF(L1660="x",-$E1660/(COUNTIF($J1660:$Q1660,"x")+1),-$E1660*N(L1660)))</f>
        <v/>
      </c>
      <c r="AA1660" s="34">
        <f>IF(OR($A1660="",$H1660&lt;&gt;"Ausgabe",M1660=""),0,IF(M1660="x",-$E1660/(COUNTIF($J1660:$Q1660,"x")+1),-$E1660*N(M1660)))</f>
        <v/>
      </c>
      <c r="AB1660" s="34">
        <f>IF(OR($A1660="",$H1660&lt;&gt;"Ausgabe",N1660=""),0,IF(N1660="x",-$E1660/(COUNTIF($J1660:$Q1660,"x")+1),-$E1660*N(N1660)))</f>
        <v/>
      </c>
      <c r="AC1660" s="34">
        <f>IF(OR($A1660="",$H1660&lt;&gt;"Ausgabe",O1660=""),0,IF(O1660="x",-$E1660/(COUNTIF($J1660:$Q1660,"x")+1),-$E1660*N(O1660)))</f>
        <v/>
      </c>
      <c r="AD1660" s="34">
        <f>IF(OR($A1660="",$H1660&lt;&gt;"Ausgabe",P1660=""),0,IF(P1660="x",-$E1660/(COUNTIF($J1660:$Q1660,"x")+1),-$E1660*N(P1660)))</f>
        <v/>
      </c>
      <c r="AE1660" s="34">
        <f>IF(OR($A1660="",$H1660&lt;&gt;"Ausgabe",Q1660=""),0,IF(Q1660="x",-$E1660/(COUNTIF($J1660:$Q1660,"x")+1),-$E1660*N(Q1660)))</f>
        <v/>
      </c>
    </row>
    <row r="1661">
      <c r="A1661" s="30" t="n"/>
      <c r="E1661" s="31" t="n"/>
      <c r="J1661" s="32" t="n"/>
      <c r="K1661" s="32" t="n"/>
      <c r="L1661" s="32" t="n"/>
      <c r="M1661" s="32" t="n"/>
      <c r="N1661" s="32" t="n"/>
      <c r="O1661" s="32" t="n"/>
      <c r="P1661" s="32" t="n"/>
      <c r="Q1661" s="32" t="n"/>
      <c r="U1661" s="31">
        <f>IF($A1661="","",SUM(X1661:AE1661))</f>
        <v/>
      </c>
      <c r="V1661" s="31">
        <f>IF($A1661="","",IF($H1661&lt;&gt;"Ausgabe",0,-$E1661-$U1661))</f>
        <v/>
      </c>
      <c r="W1661" s="33">
        <f>IF($A1661="","",DATE(YEAR($A1661),MONTH($A1661),1))</f>
        <v/>
      </c>
      <c r="X1661" s="34">
        <f>IF(OR($A1661="",$H1661&lt;&gt;"Ausgabe",J1661=""),0,IF(J1661="x",-$E1661/(COUNTIF($J1661:$Q1661,"x")+1),-$E1661*N(J1661)))</f>
        <v/>
      </c>
      <c r="Y1661" s="34">
        <f>IF(OR($A1661="",$H1661&lt;&gt;"Ausgabe",K1661=""),0,IF(K1661="x",-$E1661/(COUNTIF($J1661:$Q1661,"x")+1),-$E1661*N(K1661)))</f>
        <v/>
      </c>
      <c r="Z1661" s="34">
        <f>IF(OR($A1661="",$H1661&lt;&gt;"Ausgabe",L1661=""),0,IF(L1661="x",-$E1661/(COUNTIF($J1661:$Q1661,"x")+1),-$E1661*N(L1661)))</f>
        <v/>
      </c>
      <c r="AA1661" s="34">
        <f>IF(OR($A1661="",$H1661&lt;&gt;"Ausgabe",M1661=""),0,IF(M1661="x",-$E1661/(COUNTIF($J1661:$Q1661,"x")+1),-$E1661*N(M1661)))</f>
        <v/>
      </c>
      <c r="AB1661" s="34">
        <f>IF(OR($A1661="",$H1661&lt;&gt;"Ausgabe",N1661=""),0,IF(N1661="x",-$E1661/(COUNTIF($J1661:$Q1661,"x")+1),-$E1661*N(N1661)))</f>
        <v/>
      </c>
      <c r="AC1661" s="34">
        <f>IF(OR($A1661="",$H1661&lt;&gt;"Ausgabe",O1661=""),0,IF(O1661="x",-$E1661/(COUNTIF($J1661:$Q1661,"x")+1),-$E1661*N(O1661)))</f>
        <v/>
      </c>
      <c r="AD1661" s="34">
        <f>IF(OR($A1661="",$H1661&lt;&gt;"Ausgabe",P1661=""),0,IF(P1661="x",-$E1661/(COUNTIF($J1661:$Q1661,"x")+1),-$E1661*N(P1661)))</f>
        <v/>
      </c>
      <c r="AE1661" s="34">
        <f>IF(OR($A1661="",$H1661&lt;&gt;"Ausgabe",Q1661=""),0,IF(Q1661="x",-$E1661/(COUNTIF($J1661:$Q1661,"x")+1),-$E1661*N(Q1661)))</f>
        <v/>
      </c>
    </row>
    <row r="1662">
      <c r="A1662" s="30" t="n"/>
      <c r="E1662" s="31" t="n"/>
      <c r="J1662" s="32" t="n"/>
      <c r="K1662" s="32" t="n"/>
      <c r="L1662" s="32" t="n"/>
      <c r="M1662" s="32" t="n"/>
      <c r="N1662" s="32" t="n"/>
      <c r="O1662" s="32" t="n"/>
      <c r="P1662" s="32" t="n"/>
      <c r="Q1662" s="32" t="n"/>
      <c r="U1662" s="31">
        <f>IF($A1662="","",SUM(X1662:AE1662))</f>
        <v/>
      </c>
      <c r="V1662" s="31">
        <f>IF($A1662="","",IF($H1662&lt;&gt;"Ausgabe",0,-$E1662-$U1662))</f>
        <v/>
      </c>
      <c r="W1662" s="33">
        <f>IF($A1662="","",DATE(YEAR($A1662),MONTH($A1662),1))</f>
        <v/>
      </c>
      <c r="X1662" s="34">
        <f>IF(OR($A1662="",$H1662&lt;&gt;"Ausgabe",J1662=""),0,IF(J1662="x",-$E1662/(COUNTIF($J1662:$Q1662,"x")+1),-$E1662*N(J1662)))</f>
        <v/>
      </c>
      <c r="Y1662" s="34">
        <f>IF(OR($A1662="",$H1662&lt;&gt;"Ausgabe",K1662=""),0,IF(K1662="x",-$E1662/(COUNTIF($J1662:$Q1662,"x")+1),-$E1662*N(K1662)))</f>
        <v/>
      </c>
      <c r="Z1662" s="34">
        <f>IF(OR($A1662="",$H1662&lt;&gt;"Ausgabe",L1662=""),0,IF(L1662="x",-$E1662/(COUNTIF($J1662:$Q1662,"x")+1),-$E1662*N(L1662)))</f>
        <v/>
      </c>
      <c r="AA1662" s="34">
        <f>IF(OR($A1662="",$H1662&lt;&gt;"Ausgabe",M1662=""),0,IF(M1662="x",-$E1662/(COUNTIF($J1662:$Q1662,"x")+1),-$E1662*N(M1662)))</f>
        <v/>
      </c>
      <c r="AB1662" s="34">
        <f>IF(OR($A1662="",$H1662&lt;&gt;"Ausgabe",N1662=""),0,IF(N1662="x",-$E1662/(COUNTIF($J1662:$Q1662,"x")+1),-$E1662*N(N1662)))</f>
        <v/>
      </c>
      <c r="AC1662" s="34">
        <f>IF(OR($A1662="",$H1662&lt;&gt;"Ausgabe",O1662=""),0,IF(O1662="x",-$E1662/(COUNTIF($J1662:$Q1662,"x")+1),-$E1662*N(O1662)))</f>
        <v/>
      </c>
      <c r="AD1662" s="34">
        <f>IF(OR($A1662="",$H1662&lt;&gt;"Ausgabe",P1662=""),0,IF(P1662="x",-$E1662/(COUNTIF($J1662:$Q1662,"x")+1),-$E1662*N(P1662)))</f>
        <v/>
      </c>
      <c r="AE1662" s="34">
        <f>IF(OR($A1662="",$H1662&lt;&gt;"Ausgabe",Q1662=""),0,IF(Q1662="x",-$E1662/(COUNTIF($J1662:$Q1662,"x")+1),-$E1662*N(Q1662)))</f>
        <v/>
      </c>
    </row>
    <row r="1663">
      <c r="A1663" s="30" t="n"/>
      <c r="E1663" s="31" t="n"/>
      <c r="J1663" s="32" t="n"/>
      <c r="K1663" s="32" t="n"/>
      <c r="L1663" s="32" t="n"/>
      <c r="M1663" s="32" t="n"/>
      <c r="N1663" s="32" t="n"/>
      <c r="O1663" s="32" t="n"/>
      <c r="P1663" s="32" t="n"/>
      <c r="Q1663" s="32" t="n"/>
      <c r="U1663" s="31">
        <f>IF($A1663="","",SUM(X1663:AE1663))</f>
        <v/>
      </c>
      <c r="V1663" s="31">
        <f>IF($A1663="","",IF($H1663&lt;&gt;"Ausgabe",0,-$E1663-$U1663))</f>
        <v/>
      </c>
      <c r="W1663" s="33">
        <f>IF($A1663="","",DATE(YEAR($A1663),MONTH($A1663),1))</f>
        <v/>
      </c>
      <c r="X1663" s="34">
        <f>IF(OR($A1663="",$H1663&lt;&gt;"Ausgabe",J1663=""),0,IF(J1663="x",-$E1663/(COUNTIF($J1663:$Q1663,"x")+1),-$E1663*N(J1663)))</f>
        <v/>
      </c>
      <c r="Y1663" s="34">
        <f>IF(OR($A1663="",$H1663&lt;&gt;"Ausgabe",K1663=""),0,IF(K1663="x",-$E1663/(COUNTIF($J1663:$Q1663,"x")+1),-$E1663*N(K1663)))</f>
        <v/>
      </c>
      <c r="Z1663" s="34">
        <f>IF(OR($A1663="",$H1663&lt;&gt;"Ausgabe",L1663=""),0,IF(L1663="x",-$E1663/(COUNTIF($J1663:$Q1663,"x")+1),-$E1663*N(L1663)))</f>
        <v/>
      </c>
      <c r="AA1663" s="34">
        <f>IF(OR($A1663="",$H1663&lt;&gt;"Ausgabe",M1663=""),0,IF(M1663="x",-$E1663/(COUNTIF($J1663:$Q1663,"x")+1),-$E1663*N(M1663)))</f>
        <v/>
      </c>
      <c r="AB1663" s="34">
        <f>IF(OR($A1663="",$H1663&lt;&gt;"Ausgabe",N1663=""),0,IF(N1663="x",-$E1663/(COUNTIF($J1663:$Q1663,"x")+1),-$E1663*N(N1663)))</f>
        <v/>
      </c>
      <c r="AC1663" s="34">
        <f>IF(OR($A1663="",$H1663&lt;&gt;"Ausgabe",O1663=""),0,IF(O1663="x",-$E1663/(COUNTIF($J1663:$Q1663,"x")+1),-$E1663*N(O1663)))</f>
        <v/>
      </c>
      <c r="AD1663" s="34">
        <f>IF(OR($A1663="",$H1663&lt;&gt;"Ausgabe",P1663=""),0,IF(P1663="x",-$E1663/(COUNTIF($J1663:$Q1663,"x")+1),-$E1663*N(P1663)))</f>
        <v/>
      </c>
      <c r="AE1663" s="34">
        <f>IF(OR($A1663="",$H1663&lt;&gt;"Ausgabe",Q1663=""),0,IF(Q1663="x",-$E1663/(COUNTIF($J1663:$Q1663,"x")+1),-$E1663*N(Q1663)))</f>
        <v/>
      </c>
    </row>
    <row r="1664">
      <c r="A1664" s="30" t="n"/>
      <c r="E1664" s="31" t="n"/>
      <c r="J1664" s="32" t="n"/>
      <c r="K1664" s="32" t="n"/>
      <c r="L1664" s="32" t="n"/>
      <c r="M1664" s="32" t="n"/>
      <c r="N1664" s="32" t="n"/>
      <c r="O1664" s="32" t="n"/>
      <c r="P1664" s="32" t="n"/>
      <c r="Q1664" s="32" t="n"/>
      <c r="U1664" s="31">
        <f>IF($A1664="","",SUM(X1664:AE1664))</f>
        <v/>
      </c>
      <c r="V1664" s="31">
        <f>IF($A1664="","",IF($H1664&lt;&gt;"Ausgabe",0,-$E1664-$U1664))</f>
        <v/>
      </c>
      <c r="W1664" s="33">
        <f>IF($A1664="","",DATE(YEAR($A1664),MONTH($A1664),1))</f>
        <v/>
      </c>
      <c r="X1664" s="34">
        <f>IF(OR($A1664="",$H1664&lt;&gt;"Ausgabe",J1664=""),0,IF(J1664="x",-$E1664/(COUNTIF($J1664:$Q1664,"x")+1),-$E1664*N(J1664)))</f>
        <v/>
      </c>
      <c r="Y1664" s="34">
        <f>IF(OR($A1664="",$H1664&lt;&gt;"Ausgabe",K1664=""),0,IF(K1664="x",-$E1664/(COUNTIF($J1664:$Q1664,"x")+1),-$E1664*N(K1664)))</f>
        <v/>
      </c>
      <c r="Z1664" s="34">
        <f>IF(OR($A1664="",$H1664&lt;&gt;"Ausgabe",L1664=""),0,IF(L1664="x",-$E1664/(COUNTIF($J1664:$Q1664,"x")+1),-$E1664*N(L1664)))</f>
        <v/>
      </c>
      <c r="AA1664" s="34">
        <f>IF(OR($A1664="",$H1664&lt;&gt;"Ausgabe",M1664=""),0,IF(M1664="x",-$E1664/(COUNTIF($J1664:$Q1664,"x")+1),-$E1664*N(M1664)))</f>
        <v/>
      </c>
      <c r="AB1664" s="34">
        <f>IF(OR($A1664="",$H1664&lt;&gt;"Ausgabe",N1664=""),0,IF(N1664="x",-$E1664/(COUNTIF($J1664:$Q1664,"x")+1),-$E1664*N(N1664)))</f>
        <v/>
      </c>
      <c r="AC1664" s="34">
        <f>IF(OR($A1664="",$H1664&lt;&gt;"Ausgabe",O1664=""),0,IF(O1664="x",-$E1664/(COUNTIF($J1664:$Q1664,"x")+1),-$E1664*N(O1664)))</f>
        <v/>
      </c>
      <c r="AD1664" s="34">
        <f>IF(OR($A1664="",$H1664&lt;&gt;"Ausgabe",P1664=""),0,IF(P1664="x",-$E1664/(COUNTIF($J1664:$Q1664,"x")+1),-$E1664*N(P1664)))</f>
        <v/>
      </c>
      <c r="AE1664" s="34">
        <f>IF(OR($A1664="",$H1664&lt;&gt;"Ausgabe",Q1664=""),0,IF(Q1664="x",-$E1664/(COUNTIF($J1664:$Q1664,"x")+1),-$E1664*N(Q1664)))</f>
        <v/>
      </c>
    </row>
    <row r="1665">
      <c r="A1665" s="30" t="n"/>
      <c r="E1665" s="31" t="n"/>
      <c r="J1665" s="32" t="n"/>
      <c r="K1665" s="32" t="n"/>
      <c r="L1665" s="32" t="n"/>
      <c r="M1665" s="32" t="n"/>
      <c r="N1665" s="32" t="n"/>
      <c r="O1665" s="32" t="n"/>
      <c r="P1665" s="32" t="n"/>
      <c r="Q1665" s="32" t="n"/>
      <c r="U1665" s="31">
        <f>IF($A1665="","",SUM(X1665:AE1665))</f>
        <v/>
      </c>
      <c r="V1665" s="31">
        <f>IF($A1665="","",IF($H1665&lt;&gt;"Ausgabe",0,-$E1665-$U1665))</f>
        <v/>
      </c>
      <c r="W1665" s="33">
        <f>IF($A1665="","",DATE(YEAR($A1665),MONTH($A1665),1))</f>
        <v/>
      </c>
      <c r="X1665" s="34">
        <f>IF(OR($A1665="",$H1665&lt;&gt;"Ausgabe",J1665=""),0,IF(J1665="x",-$E1665/(COUNTIF($J1665:$Q1665,"x")+1),-$E1665*N(J1665)))</f>
        <v/>
      </c>
      <c r="Y1665" s="34">
        <f>IF(OR($A1665="",$H1665&lt;&gt;"Ausgabe",K1665=""),0,IF(K1665="x",-$E1665/(COUNTIF($J1665:$Q1665,"x")+1),-$E1665*N(K1665)))</f>
        <v/>
      </c>
      <c r="Z1665" s="34">
        <f>IF(OR($A1665="",$H1665&lt;&gt;"Ausgabe",L1665=""),0,IF(L1665="x",-$E1665/(COUNTIF($J1665:$Q1665,"x")+1),-$E1665*N(L1665)))</f>
        <v/>
      </c>
      <c r="AA1665" s="34">
        <f>IF(OR($A1665="",$H1665&lt;&gt;"Ausgabe",M1665=""),0,IF(M1665="x",-$E1665/(COUNTIF($J1665:$Q1665,"x")+1),-$E1665*N(M1665)))</f>
        <v/>
      </c>
      <c r="AB1665" s="34">
        <f>IF(OR($A1665="",$H1665&lt;&gt;"Ausgabe",N1665=""),0,IF(N1665="x",-$E1665/(COUNTIF($J1665:$Q1665,"x")+1),-$E1665*N(N1665)))</f>
        <v/>
      </c>
      <c r="AC1665" s="34">
        <f>IF(OR($A1665="",$H1665&lt;&gt;"Ausgabe",O1665=""),0,IF(O1665="x",-$E1665/(COUNTIF($J1665:$Q1665,"x")+1),-$E1665*N(O1665)))</f>
        <v/>
      </c>
      <c r="AD1665" s="34">
        <f>IF(OR($A1665="",$H1665&lt;&gt;"Ausgabe",P1665=""),0,IF(P1665="x",-$E1665/(COUNTIF($J1665:$Q1665,"x")+1),-$E1665*N(P1665)))</f>
        <v/>
      </c>
      <c r="AE1665" s="34">
        <f>IF(OR($A1665="",$H1665&lt;&gt;"Ausgabe",Q1665=""),0,IF(Q1665="x",-$E1665/(COUNTIF($J1665:$Q1665,"x")+1),-$E1665*N(Q1665)))</f>
        <v/>
      </c>
    </row>
    <row r="1666">
      <c r="A1666" s="30" t="n"/>
      <c r="E1666" s="31" t="n"/>
      <c r="J1666" s="32" t="n"/>
      <c r="K1666" s="32" t="n"/>
      <c r="L1666" s="32" t="n"/>
      <c r="M1666" s="32" t="n"/>
      <c r="N1666" s="32" t="n"/>
      <c r="O1666" s="32" t="n"/>
      <c r="P1666" s="32" t="n"/>
      <c r="Q1666" s="32" t="n"/>
      <c r="U1666" s="31">
        <f>IF($A1666="","",SUM(X1666:AE1666))</f>
        <v/>
      </c>
      <c r="V1666" s="31">
        <f>IF($A1666="","",IF($H1666&lt;&gt;"Ausgabe",0,-$E1666-$U1666))</f>
        <v/>
      </c>
      <c r="W1666" s="33">
        <f>IF($A1666="","",DATE(YEAR($A1666),MONTH($A1666),1))</f>
        <v/>
      </c>
      <c r="X1666" s="34">
        <f>IF(OR($A1666="",$H1666&lt;&gt;"Ausgabe",J1666=""),0,IF(J1666="x",-$E1666/(COUNTIF($J1666:$Q1666,"x")+1),-$E1666*N(J1666)))</f>
        <v/>
      </c>
      <c r="Y1666" s="34">
        <f>IF(OR($A1666="",$H1666&lt;&gt;"Ausgabe",K1666=""),0,IF(K1666="x",-$E1666/(COUNTIF($J1666:$Q1666,"x")+1),-$E1666*N(K1666)))</f>
        <v/>
      </c>
      <c r="Z1666" s="34">
        <f>IF(OR($A1666="",$H1666&lt;&gt;"Ausgabe",L1666=""),0,IF(L1666="x",-$E1666/(COUNTIF($J1666:$Q1666,"x")+1),-$E1666*N(L1666)))</f>
        <v/>
      </c>
      <c r="AA1666" s="34">
        <f>IF(OR($A1666="",$H1666&lt;&gt;"Ausgabe",M1666=""),0,IF(M1666="x",-$E1666/(COUNTIF($J1666:$Q1666,"x")+1),-$E1666*N(M1666)))</f>
        <v/>
      </c>
      <c r="AB1666" s="34">
        <f>IF(OR($A1666="",$H1666&lt;&gt;"Ausgabe",N1666=""),0,IF(N1666="x",-$E1666/(COUNTIF($J1666:$Q1666,"x")+1),-$E1666*N(N1666)))</f>
        <v/>
      </c>
      <c r="AC1666" s="34">
        <f>IF(OR($A1666="",$H1666&lt;&gt;"Ausgabe",O1666=""),0,IF(O1666="x",-$E1666/(COUNTIF($J1666:$Q1666,"x")+1),-$E1666*N(O1666)))</f>
        <v/>
      </c>
      <c r="AD1666" s="34">
        <f>IF(OR($A1666="",$H1666&lt;&gt;"Ausgabe",P1666=""),0,IF(P1666="x",-$E1666/(COUNTIF($J1666:$Q1666,"x")+1),-$E1666*N(P1666)))</f>
        <v/>
      </c>
      <c r="AE1666" s="34">
        <f>IF(OR($A1666="",$H1666&lt;&gt;"Ausgabe",Q1666=""),0,IF(Q1666="x",-$E1666/(COUNTIF($J1666:$Q1666,"x")+1),-$E1666*N(Q1666)))</f>
        <v/>
      </c>
    </row>
    <row r="1667">
      <c r="A1667" s="30" t="n"/>
      <c r="E1667" s="31" t="n"/>
      <c r="J1667" s="32" t="n"/>
      <c r="K1667" s="32" t="n"/>
      <c r="L1667" s="32" t="n"/>
      <c r="M1667" s="32" t="n"/>
      <c r="N1667" s="32" t="n"/>
      <c r="O1667" s="32" t="n"/>
      <c r="P1667" s="32" t="n"/>
      <c r="Q1667" s="32" t="n"/>
      <c r="U1667" s="31">
        <f>IF($A1667="","",SUM(X1667:AE1667))</f>
        <v/>
      </c>
      <c r="V1667" s="31">
        <f>IF($A1667="","",IF($H1667&lt;&gt;"Ausgabe",0,-$E1667-$U1667))</f>
        <v/>
      </c>
      <c r="W1667" s="33">
        <f>IF($A1667="","",DATE(YEAR($A1667),MONTH($A1667),1))</f>
        <v/>
      </c>
      <c r="X1667" s="34">
        <f>IF(OR($A1667="",$H1667&lt;&gt;"Ausgabe",J1667=""),0,IF(J1667="x",-$E1667/(COUNTIF($J1667:$Q1667,"x")+1),-$E1667*N(J1667)))</f>
        <v/>
      </c>
      <c r="Y1667" s="34">
        <f>IF(OR($A1667="",$H1667&lt;&gt;"Ausgabe",K1667=""),0,IF(K1667="x",-$E1667/(COUNTIF($J1667:$Q1667,"x")+1),-$E1667*N(K1667)))</f>
        <v/>
      </c>
      <c r="Z1667" s="34">
        <f>IF(OR($A1667="",$H1667&lt;&gt;"Ausgabe",L1667=""),0,IF(L1667="x",-$E1667/(COUNTIF($J1667:$Q1667,"x")+1),-$E1667*N(L1667)))</f>
        <v/>
      </c>
      <c r="AA1667" s="34">
        <f>IF(OR($A1667="",$H1667&lt;&gt;"Ausgabe",M1667=""),0,IF(M1667="x",-$E1667/(COUNTIF($J1667:$Q1667,"x")+1),-$E1667*N(M1667)))</f>
        <v/>
      </c>
      <c r="AB1667" s="34">
        <f>IF(OR($A1667="",$H1667&lt;&gt;"Ausgabe",N1667=""),0,IF(N1667="x",-$E1667/(COUNTIF($J1667:$Q1667,"x")+1),-$E1667*N(N1667)))</f>
        <v/>
      </c>
      <c r="AC1667" s="34">
        <f>IF(OR($A1667="",$H1667&lt;&gt;"Ausgabe",O1667=""),0,IF(O1667="x",-$E1667/(COUNTIF($J1667:$Q1667,"x")+1),-$E1667*N(O1667)))</f>
        <v/>
      </c>
      <c r="AD1667" s="34">
        <f>IF(OR($A1667="",$H1667&lt;&gt;"Ausgabe",P1667=""),0,IF(P1667="x",-$E1667/(COUNTIF($J1667:$Q1667,"x")+1),-$E1667*N(P1667)))</f>
        <v/>
      </c>
      <c r="AE1667" s="34">
        <f>IF(OR($A1667="",$H1667&lt;&gt;"Ausgabe",Q1667=""),0,IF(Q1667="x",-$E1667/(COUNTIF($J1667:$Q1667,"x")+1),-$E1667*N(Q1667)))</f>
        <v/>
      </c>
    </row>
    <row r="1668">
      <c r="A1668" s="30" t="n"/>
      <c r="E1668" s="31" t="n"/>
      <c r="J1668" s="32" t="n"/>
      <c r="K1668" s="32" t="n"/>
      <c r="L1668" s="32" t="n"/>
      <c r="M1668" s="32" t="n"/>
      <c r="N1668" s="32" t="n"/>
      <c r="O1668" s="32" t="n"/>
      <c r="P1668" s="32" t="n"/>
      <c r="Q1668" s="32" t="n"/>
      <c r="U1668" s="31">
        <f>IF($A1668="","",SUM(X1668:AE1668))</f>
        <v/>
      </c>
      <c r="V1668" s="31">
        <f>IF($A1668="","",IF($H1668&lt;&gt;"Ausgabe",0,-$E1668-$U1668))</f>
        <v/>
      </c>
      <c r="W1668" s="33">
        <f>IF($A1668="","",DATE(YEAR($A1668),MONTH($A1668),1))</f>
        <v/>
      </c>
      <c r="X1668" s="34">
        <f>IF(OR($A1668="",$H1668&lt;&gt;"Ausgabe",J1668=""),0,IF(J1668="x",-$E1668/(COUNTIF($J1668:$Q1668,"x")+1),-$E1668*N(J1668)))</f>
        <v/>
      </c>
      <c r="Y1668" s="34">
        <f>IF(OR($A1668="",$H1668&lt;&gt;"Ausgabe",K1668=""),0,IF(K1668="x",-$E1668/(COUNTIF($J1668:$Q1668,"x")+1),-$E1668*N(K1668)))</f>
        <v/>
      </c>
      <c r="Z1668" s="34">
        <f>IF(OR($A1668="",$H1668&lt;&gt;"Ausgabe",L1668=""),0,IF(L1668="x",-$E1668/(COUNTIF($J1668:$Q1668,"x")+1),-$E1668*N(L1668)))</f>
        <v/>
      </c>
      <c r="AA1668" s="34">
        <f>IF(OR($A1668="",$H1668&lt;&gt;"Ausgabe",M1668=""),0,IF(M1668="x",-$E1668/(COUNTIF($J1668:$Q1668,"x")+1),-$E1668*N(M1668)))</f>
        <v/>
      </c>
      <c r="AB1668" s="34">
        <f>IF(OR($A1668="",$H1668&lt;&gt;"Ausgabe",N1668=""),0,IF(N1668="x",-$E1668/(COUNTIF($J1668:$Q1668,"x")+1),-$E1668*N(N1668)))</f>
        <v/>
      </c>
      <c r="AC1668" s="34">
        <f>IF(OR($A1668="",$H1668&lt;&gt;"Ausgabe",O1668=""),0,IF(O1668="x",-$E1668/(COUNTIF($J1668:$Q1668,"x")+1),-$E1668*N(O1668)))</f>
        <v/>
      </c>
      <c r="AD1668" s="34">
        <f>IF(OR($A1668="",$H1668&lt;&gt;"Ausgabe",P1668=""),0,IF(P1668="x",-$E1668/(COUNTIF($J1668:$Q1668,"x")+1),-$E1668*N(P1668)))</f>
        <v/>
      </c>
      <c r="AE1668" s="34">
        <f>IF(OR($A1668="",$H1668&lt;&gt;"Ausgabe",Q1668=""),0,IF(Q1668="x",-$E1668/(COUNTIF($J1668:$Q1668,"x")+1),-$E1668*N(Q1668)))</f>
        <v/>
      </c>
    </row>
    <row r="1669">
      <c r="A1669" s="30" t="n"/>
      <c r="E1669" s="31" t="n"/>
      <c r="J1669" s="32" t="n"/>
      <c r="K1669" s="32" t="n"/>
      <c r="L1669" s="32" t="n"/>
      <c r="M1669" s="32" t="n"/>
      <c r="N1669" s="32" t="n"/>
      <c r="O1669" s="32" t="n"/>
      <c r="P1669" s="32" t="n"/>
      <c r="Q1669" s="32" t="n"/>
      <c r="U1669" s="31">
        <f>IF($A1669="","",SUM(X1669:AE1669))</f>
        <v/>
      </c>
      <c r="V1669" s="31">
        <f>IF($A1669="","",IF($H1669&lt;&gt;"Ausgabe",0,-$E1669-$U1669))</f>
        <v/>
      </c>
      <c r="W1669" s="33">
        <f>IF($A1669="","",DATE(YEAR($A1669),MONTH($A1669),1))</f>
        <v/>
      </c>
      <c r="X1669" s="34">
        <f>IF(OR($A1669="",$H1669&lt;&gt;"Ausgabe",J1669=""),0,IF(J1669="x",-$E1669/(COUNTIF($J1669:$Q1669,"x")+1),-$E1669*N(J1669)))</f>
        <v/>
      </c>
      <c r="Y1669" s="34">
        <f>IF(OR($A1669="",$H1669&lt;&gt;"Ausgabe",K1669=""),0,IF(K1669="x",-$E1669/(COUNTIF($J1669:$Q1669,"x")+1),-$E1669*N(K1669)))</f>
        <v/>
      </c>
      <c r="Z1669" s="34">
        <f>IF(OR($A1669="",$H1669&lt;&gt;"Ausgabe",L1669=""),0,IF(L1669="x",-$E1669/(COUNTIF($J1669:$Q1669,"x")+1),-$E1669*N(L1669)))</f>
        <v/>
      </c>
      <c r="AA1669" s="34">
        <f>IF(OR($A1669="",$H1669&lt;&gt;"Ausgabe",M1669=""),0,IF(M1669="x",-$E1669/(COUNTIF($J1669:$Q1669,"x")+1),-$E1669*N(M1669)))</f>
        <v/>
      </c>
      <c r="AB1669" s="34">
        <f>IF(OR($A1669="",$H1669&lt;&gt;"Ausgabe",N1669=""),0,IF(N1669="x",-$E1669/(COUNTIF($J1669:$Q1669,"x")+1),-$E1669*N(N1669)))</f>
        <v/>
      </c>
      <c r="AC1669" s="34">
        <f>IF(OR($A1669="",$H1669&lt;&gt;"Ausgabe",O1669=""),0,IF(O1669="x",-$E1669/(COUNTIF($J1669:$Q1669,"x")+1),-$E1669*N(O1669)))</f>
        <v/>
      </c>
      <c r="AD1669" s="34">
        <f>IF(OR($A1669="",$H1669&lt;&gt;"Ausgabe",P1669=""),0,IF(P1669="x",-$E1669/(COUNTIF($J1669:$Q1669,"x")+1),-$E1669*N(P1669)))</f>
        <v/>
      </c>
      <c r="AE1669" s="34">
        <f>IF(OR($A1669="",$H1669&lt;&gt;"Ausgabe",Q1669=""),0,IF(Q1669="x",-$E1669/(COUNTIF($J1669:$Q1669,"x")+1),-$E1669*N(Q1669)))</f>
        <v/>
      </c>
    </row>
    <row r="1670">
      <c r="A1670" s="30" t="n"/>
      <c r="E1670" s="31" t="n"/>
      <c r="J1670" s="32" t="n"/>
      <c r="K1670" s="32" t="n"/>
      <c r="L1670" s="32" t="n"/>
      <c r="M1670" s="32" t="n"/>
      <c r="N1670" s="32" t="n"/>
      <c r="O1670" s="32" t="n"/>
      <c r="P1670" s="32" t="n"/>
      <c r="Q1670" s="32" t="n"/>
      <c r="U1670" s="31">
        <f>IF($A1670="","",SUM(X1670:AE1670))</f>
        <v/>
      </c>
      <c r="V1670" s="31">
        <f>IF($A1670="","",IF($H1670&lt;&gt;"Ausgabe",0,-$E1670-$U1670))</f>
        <v/>
      </c>
      <c r="W1670" s="33">
        <f>IF($A1670="","",DATE(YEAR($A1670),MONTH($A1670),1))</f>
        <v/>
      </c>
      <c r="X1670" s="34">
        <f>IF(OR($A1670="",$H1670&lt;&gt;"Ausgabe",J1670=""),0,IF(J1670="x",-$E1670/(COUNTIF($J1670:$Q1670,"x")+1),-$E1670*N(J1670)))</f>
        <v/>
      </c>
      <c r="Y1670" s="34">
        <f>IF(OR($A1670="",$H1670&lt;&gt;"Ausgabe",K1670=""),0,IF(K1670="x",-$E1670/(COUNTIF($J1670:$Q1670,"x")+1),-$E1670*N(K1670)))</f>
        <v/>
      </c>
      <c r="Z1670" s="34">
        <f>IF(OR($A1670="",$H1670&lt;&gt;"Ausgabe",L1670=""),0,IF(L1670="x",-$E1670/(COUNTIF($J1670:$Q1670,"x")+1),-$E1670*N(L1670)))</f>
        <v/>
      </c>
      <c r="AA1670" s="34">
        <f>IF(OR($A1670="",$H1670&lt;&gt;"Ausgabe",M1670=""),0,IF(M1670="x",-$E1670/(COUNTIF($J1670:$Q1670,"x")+1),-$E1670*N(M1670)))</f>
        <v/>
      </c>
      <c r="AB1670" s="34">
        <f>IF(OR($A1670="",$H1670&lt;&gt;"Ausgabe",N1670=""),0,IF(N1670="x",-$E1670/(COUNTIF($J1670:$Q1670,"x")+1),-$E1670*N(N1670)))</f>
        <v/>
      </c>
      <c r="AC1670" s="34">
        <f>IF(OR($A1670="",$H1670&lt;&gt;"Ausgabe",O1670=""),0,IF(O1670="x",-$E1670/(COUNTIF($J1670:$Q1670,"x")+1),-$E1670*N(O1670)))</f>
        <v/>
      </c>
      <c r="AD1670" s="34">
        <f>IF(OR($A1670="",$H1670&lt;&gt;"Ausgabe",P1670=""),0,IF(P1670="x",-$E1670/(COUNTIF($J1670:$Q1670,"x")+1),-$E1670*N(P1670)))</f>
        <v/>
      </c>
      <c r="AE1670" s="34">
        <f>IF(OR($A1670="",$H1670&lt;&gt;"Ausgabe",Q1670=""),0,IF(Q1670="x",-$E1670/(COUNTIF($J1670:$Q1670,"x")+1),-$E1670*N(Q1670)))</f>
        <v/>
      </c>
    </row>
    <row r="1671">
      <c r="A1671" s="30" t="n"/>
      <c r="E1671" s="31" t="n"/>
      <c r="J1671" s="32" t="n"/>
      <c r="K1671" s="32" t="n"/>
      <c r="L1671" s="32" t="n"/>
      <c r="M1671" s="32" t="n"/>
      <c r="N1671" s="32" t="n"/>
      <c r="O1671" s="32" t="n"/>
      <c r="P1671" s="32" t="n"/>
      <c r="Q1671" s="32" t="n"/>
      <c r="U1671" s="31">
        <f>IF($A1671="","",SUM(X1671:AE1671))</f>
        <v/>
      </c>
      <c r="V1671" s="31">
        <f>IF($A1671="","",IF($H1671&lt;&gt;"Ausgabe",0,-$E1671-$U1671))</f>
        <v/>
      </c>
      <c r="W1671" s="33">
        <f>IF($A1671="","",DATE(YEAR($A1671),MONTH($A1671),1))</f>
        <v/>
      </c>
      <c r="X1671" s="34">
        <f>IF(OR($A1671="",$H1671&lt;&gt;"Ausgabe",J1671=""),0,IF(J1671="x",-$E1671/(COUNTIF($J1671:$Q1671,"x")+1),-$E1671*N(J1671)))</f>
        <v/>
      </c>
      <c r="Y1671" s="34">
        <f>IF(OR($A1671="",$H1671&lt;&gt;"Ausgabe",K1671=""),0,IF(K1671="x",-$E1671/(COUNTIF($J1671:$Q1671,"x")+1),-$E1671*N(K1671)))</f>
        <v/>
      </c>
      <c r="Z1671" s="34">
        <f>IF(OR($A1671="",$H1671&lt;&gt;"Ausgabe",L1671=""),0,IF(L1671="x",-$E1671/(COUNTIF($J1671:$Q1671,"x")+1),-$E1671*N(L1671)))</f>
        <v/>
      </c>
      <c r="AA1671" s="34">
        <f>IF(OR($A1671="",$H1671&lt;&gt;"Ausgabe",M1671=""),0,IF(M1671="x",-$E1671/(COUNTIF($J1671:$Q1671,"x")+1),-$E1671*N(M1671)))</f>
        <v/>
      </c>
      <c r="AB1671" s="34">
        <f>IF(OR($A1671="",$H1671&lt;&gt;"Ausgabe",N1671=""),0,IF(N1671="x",-$E1671/(COUNTIF($J1671:$Q1671,"x")+1),-$E1671*N(N1671)))</f>
        <v/>
      </c>
      <c r="AC1671" s="34">
        <f>IF(OR($A1671="",$H1671&lt;&gt;"Ausgabe",O1671=""),0,IF(O1671="x",-$E1671/(COUNTIF($J1671:$Q1671,"x")+1),-$E1671*N(O1671)))</f>
        <v/>
      </c>
      <c r="AD1671" s="34">
        <f>IF(OR($A1671="",$H1671&lt;&gt;"Ausgabe",P1671=""),0,IF(P1671="x",-$E1671/(COUNTIF($J1671:$Q1671,"x")+1),-$E1671*N(P1671)))</f>
        <v/>
      </c>
      <c r="AE1671" s="34">
        <f>IF(OR($A1671="",$H1671&lt;&gt;"Ausgabe",Q1671=""),0,IF(Q1671="x",-$E1671/(COUNTIF($J1671:$Q1671,"x")+1),-$E1671*N(Q1671)))</f>
        <v/>
      </c>
    </row>
    <row r="1672">
      <c r="A1672" s="30" t="n"/>
      <c r="E1672" s="31" t="n"/>
      <c r="J1672" s="32" t="n"/>
      <c r="K1672" s="32" t="n"/>
      <c r="L1672" s="32" t="n"/>
      <c r="M1672" s="32" t="n"/>
      <c r="N1672" s="32" t="n"/>
      <c r="O1672" s="32" t="n"/>
      <c r="P1672" s="32" t="n"/>
      <c r="Q1672" s="32" t="n"/>
      <c r="U1672" s="31">
        <f>IF($A1672="","",SUM(X1672:AE1672))</f>
        <v/>
      </c>
      <c r="V1672" s="31">
        <f>IF($A1672="","",IF($H1672&lt;&gt;"Ausgabe",0,-$E1672-$U1672))</f>
        <v/>
      </c>
      <c r="W1672" s="33">
        <f>IF($A1672="","",DATE(YEAR($A1672),MONTH($A1672),1))</f>
        <v/>
      </c>
      <c r="X1672" s="34">
        <f>IF(OR($A1672="",$H1672&lt;&gt;"Ausgabe",J1672=""),0,IF(J1672="x",-$E1672/(COUNTIF($J1672:$Q1672,"x")+1),-$E1672*N(J1672)))</f>
        <v/>
      </c>
      <c r="Y1672" s="34">
        <f>IF(OR($A1672="",$H1672&lt;&gt;"Ausgabe",K1672=""),0,IF(K1672="x",-$E1672/(COUNTIF($J1672:$Q1672,"x")+1),-$E1672*N(K1672)))</f>
        <v/>
      </c>
      <c r="Z1672" s="34">
        <f>IF(OR($A1672="",$H1672&lt;&gt;"Ausgabe",L1672=""),0,IF(L1672="x",-$E1672/(COUNTIF($J1672:$Q1672,"x")+1),-$E1672*N(L1672)))</f>
        <v/>
      </c>
      <c r="AA1672" s="34">
        <f>IF(OR($A1672="",$H1672&lt;&gt;"Ausgabe",M1672=""),0,IF(M1672="x",-$E1672/(COUNTIF($J1672:$Q1672,"x")+1),-$E1672*N(M1672)))</f>
        <v/>
      </c>
      <c r="AB1672" s="34">
        <f>IF(OR($A1672="",$H1672&lt;&gt;"Ausgabe",N1672=""),0,IF(N1672="x",-$E1672/(COUNTIF($J1672:$Q1672,"x")+1),-$E1672*N(N1672)))</f>
        <v/>
      </c>
      <c r="AC1672" s="34">
        <f>IF(OR($A1672="",$H1672&lt;&gt;"Ausgabe",O1672=""),0,IF(O1672="x",-$E1672/(COUNTIF($J1672:$Q1672,"x")+1),-$E1672*N(O1672)))</f>
        <v/>
      </c>
      <c r="AD1672" s="34">
        <f>IF(OR($A1672="",$H1672&lt;&gt;"Ausgabe",P1672=""),0,IF(P1672="x",-$E1672/(COUNTIF($J1672:$Q1672,"x")+1),-$E1672*N(P1672)))</f>
        <v/>
      </c>
      <c r="AE1672" s="34">
        <f>IF(OR($A1672="",$H1672&lt;&gt;"Ausgabe",Q1672=""),0,IF(Q1672="x",-$E1672/(COUNTIF($J1672:$Q1672,"x")+1),-$E1672*N(Q1672)))</f>
        <v/>
      </c>
    </row>
    <row r="1673">
      <c r="A1673" s="30" t="n"/>
      <c r="E1673" s="31" t="n"/>
      <c r="J1673" s="32" t="n"/>
      <c r="K1673" s="32" t="n"/>
      <c r="L1673" s="32" t="n"/>
      <c r="M1673" s="32" t="n"/>
      <c r="N1673" s="32" t="n"/>
      <c r="O1673" s="32" t="n"/>
      <c r="P1673" s="32" t="n"/>
      <c r="Q1673" s="32" t="n"/>
      <c r="U1673" s="31">
        <f>IF($A1673="","",SUM(X1673:AE1673))</f>
        <v/>
      </c>
      <c r="V1673" s="31">
        <f>IF($A1673="","",IF($H1673&lt;&gt;"Ausgabe",0,-$E1673-$U1673))</f>
        <v/>
      </c>
      <c r="W1673" s="33">
        <f>IF($A1673="","",DATE(YEAR($A1673),MONTH($A1673),1))</f>
        <v/>
      </c>
      <c r="X1673" s="34">
        <f>IF(OR($A1673="",$H1673&lt;&gt;"Ausgabe",J1673=""),0,IF(J1673="x",-$E1673/(COUNTIF($J1673:$Q1673,"x")+1),-$E1673*N(J1673)))</f>
        <v/>
      </c>
      <c r="Y1673" s="34">
        <f>IF(OR($A1673="",$H1673&lt;&gt;"Ausgabe",K1673=""),0,IF(K1673="x",-$E1673/(COUNTIF($J1673:$Q1673,"x")+1),-$E1673*N(K1673)))</f>
        <v/>
      </c>
      <c r="Z1673" s="34">
        <f>IF(OR($A1673="",$H1673&lt;&gt;"Ausgabe",L1673=""),0,IF(L1673="x",-$E1673/(COUNTIF($J1673:$Q1673,"x")+1),-$E1673*N(L1673)))</f>
        <v/>
      </c>
      <c r="AA1673" s="34">
        <f>IF(OR($A1673="",$H1673&lt;&gt;"Ausgabe",M1673=""),0,IF(M1673="x",-$E1673/(COUNTIF($J1673:$Q1673,"x")+1),-$E1673*N(M1673)))</f>
        <v/>
      </c>
      <c r="AB1673" s="34">
        <f>IF(OR($A1673="",$H1673&lt;&gt;"Ausgabe",N1673=""),0,IF(N1673="x",-$E1673/(COUNTIF($J1673:$Q1673,"x")+1),-$E1673*N(N1673)))</f>
        <v/>
      </c>
      <c r="AC1673" s="34">
        <f>IF(OR($A1673="",$H1673&lt;&gt;"Ausgabe",O1673=""),0,IF(O1673="x",-$E1673/(COUNTIF($J1673:$Q1673,"x")+1),-$E1673*N(O1673)))</f>
        <v/>
      </c>
      <c r="AD1673" s="34">
        <f>IF(OR($A1673="",$H1673&lt;&gt;"Ausgabe",P1673=""),0,IF(P1673="x",-$E1673/(COUNTIF($J1673:$Q1673,"x")+1),-$E1673*N(P1673)))</f>
        <v/>
      </c>
      <c r="AE1673" s="34">
        <f>IF(OR($A1673="",$H1673&lt;&gt;"Ausgabe",Q1673=""),0,IF(Q1673="x",-$E1673/(COUNTIF($J1673:$Q1673,"x")+1),-$E1673*N(Q1673)))</f>
        <v/>
      </c>
    </row>
    <row r="1674">
      <c r="A1674" s="30" t="n"/>
      <c r="E1674" s="31" t="n"/>
      <c r="J1674" s="32" t="n"/>
      <c r="K1674" s="32" t="n"/>
      <c r="L1674" s="32" t="n"/>
      <c r="M1674" s="32" t="n"/>
      <c r="N1674" s="32" t="n"/>
      <c r="O1674" s="32" t="n"/>
      <c r="P1674" s="32" t="n"/>
      <c r="Q1674" s="32" t="n"/>
      <c r="U1674" s="31">
        <f>IF($A1674="","",SUM(X1674:AE1674))</f>
        <v/>
      </c>
      <c r="V1674" s="31">
        <f>IF($A1674="","",IF($H1674&lt;&gt;"Ausgabe",0,-$E1674-$U1674))</f>
        <v/>
      </c>
      <c r="W1674" s="33">
        <f>IF($A1674="","",DATE(YEAR($A1674),MONTH($A1674),1))</f>
        <v/>
      </c>
      <c r="X1674" s="34">
        <f>IF(OR($A1674="",$H1674&lt;&gt;"Ausgabe",J1674=""),0,IF(J1674="x",-$E1674/(COUNTIF($J1674:$Q1674,"x")+1),-$E1674*N(J1674)))</f>
        <v/>
      </c>
      <c r="Y1674" s="34">
        <f>IF(OR($A1674="",$H1674&lt;&gt;"Ausgabe",K1674=""),0,IF(K1674="x",-$E1674/(COUNTIF($J1674:$Q1674,"x")+1),-$E1674*N(K1674)))</f>
        <v/>
      </c>
      <c r="Z1674" s="34">
        <f>IF(OR($A1674="",$H1674&lt;&gt;"Ausgabe",L1674=""),0,IF(L1674="x",-$E1674/(COUNTIF($J1674:$Q1674,"x")+1),-$E1674*N(L1674)))</f>
        <v/>
      </c>
      <c r="AA1674" s="34">
        <f>IF(OR($A1674="",$H1674&lt;&gt;"Ausgabe",M1674=""),0,IF(M1674="x",-$E1674/(COUNTIF($J1674:$Q1674,"x")+1),-$E1674*N(M1674)))</f>
        <v/>
      </c>
      <c r="AB1674" s="34">
        <f>IF(OR($A1674="",$H1674&lt;&gt;"Ausgabe",N1674=""),0,IF(N1674="x",-$E1674/(COUNTIF($J1674:$Q1674,"x")+1),-$E1674*N(N1674)))</f>
        <v/>
      </c>
      <c r="AC1674" s="34">
        <f>IF(OR($A1674="",$H1674&lt;&gt;"Ausgabe",O1674=""),0,IF(O1674="x",-$E1674/(COUNTIF($J1674:$Q1674,"x")+1),-$E1674*N(O1674)))</f>
        <v/>
      </c>
      <c r="AD1674" s="34">
        <f>IF(OR($A1674="",$H1674&lt;&gt;"Ausgabe",P1674=""),0,IF(P1674="x",-$E1674/(COUNTIF($J1674:$Q1674,"x")+1),-$E1674*N(P1674)))</f>
        <v/>
      </c>
      <c r="AE1674" s="34">
        <f>IF(OR($A1674="",$H1674&lt;&gt;"Ausgabe",Q1674=""),0,IF(Q1674="x",-$E1674/(COUNTIF($J1674:$Q1674,"x")+1),-$E1674*N(Q1674)))</f>
        <v/>
      </c>
    </row>
    <row r="1675">
      <c r="A1675" s="30" t="n"/>
      <c r="E1675" s="31" t="n"/>
      <c r="J1675" s="32" t="n"/>
      <c r="K1675" s="32" t="n"/>
      <c r="L1675" s="32" t="n"/>
      <c r="M1675" s="32" t="n"/>
      <c r="N1675" s="32" t="n"/>
      <c r="O1675" s="32" t="n"/>
      <c r="P1675" s="32" t="n"/>
      <c r="Q1675" s="32" t="n"/>
      <c r="U1675" s="31">
        <f>IF($A1675="","",SUM(X1675:AE1675))</f>
        <v/>
      </c>
      <c r="V1675" s="31">
        <f>IF($A1675="","",IF($H1675&lt;&gt;"Ausgabe",0,-$E1675-$U1675))</f>
        <v/>
      </c>
      <c r="W1675" s="33">
        <f>IF($A1675="","",DATE(YEAR($A1675),MONTH($A1675),1))</f>
        <v/>
      </c>
      <c r="X1675" s="34">
        <f>IF(OR($A1675="",$H1675&lt;&gt;"Ausgabe",J1675=""),0,IF(J1675="x",-$E1675/(COUNTIF($J1675:$Q1675,"x")+1),-$E1675*N(J1675)))</f>
        <v/>
      </c>
      <c r="Y1675" s="34">
        <f>IF(OR($A1675="",$H1675&lt;&gt;"Ausgabe",K1675=""),0,IF(K1675="x",-$E1675/(COUNTIF($J1675:$Q1675,"x")+1),-$E1675*N(K1675)))</f>
        <v/>
      </c>
      <c r="Z1675" s="34">
        <f>IF(OR($A1675="",$H1675&lt;&gt;"Ausgabe",L1675=""),0,IF(L1675="x",-$E1675/(COUNTIF($J1675:$Q1675,"x")+1),-$E1675*N(L1675)))</f>
        <v/>
      </c>
      <c r="AA1675" s="34">
        <f>IF(OR($A1675="",$H1675&lt;&gt;"Ausgabe",M1675=""),0,IF(M1675="x",-$E1675/(COUNTIF($J1675:$Q1675,"x")+1),-$E1675*N(M1675)))</f>
        <v/>
      </c>
      <c r="AB1675" s="34">
        <f>IF(OR($A1675="",$H1675&lt;&gt;"Ausgabe",N1675=""),0,IF(N1675="x",-$E1675/(COUNTIF($J1675:$Q1675,"x")+1),-$E1675*N(N1675)))</f>
        <v/>
      </c>
      <c r="AC1675" s="34">
        <f>IF(OR($A1675="",$H1675&lt;&gt;"Ausgabe",O1675=""),0,IF(O1675="x",-$E1675/(COUNTIF($J1675:$Q1675,"x")+1),-$E1675*N(O1675)))</f>
        <v/>
      </c>
      <c r="AD1675" s="34">
        <f>IF(OR($A1675="",$H1675&lt;&gt;"Ausgabe",P1675=""),0,IF(P1675="x",-$E1675/(COUNTIF($J1675:$Q1675,"x")+1),-$E1675*N(P1675)))</f>
        <v/>
      </c>
      <c r="AE1675" s="34">
        <f>IF(OR($A1675="",$H1675&lt;&gt;"Ausgabe",Q1675=""),0,IF(Q1675="x",-$E1675/(COUNTIF($J1675:$Q1675,"x")+1),-$E1675*N(Q1675)))</f>
        <v/>
      </c>
    </row>
    <row r="1676">
      <c r="A1676" s="30" t="n"/>
      <c r="E1676" s="31" t="n"/>
      <c r="J1676" s="32" t="n"/>
      <c r="K1676" s="32" t="n"/>
      <c r="L1676" s="32" t="n"/>
      <c r="M1676" s="32" t="n"/>
      <c r="N1676" s="32" t="n"/>
      <c r="O1676" s="32" t="n"/>
      <c r="P1676" s="32" t="n"/>
      <c r="Q1676" s="32" t="n"/>
      <c r="U1676" s="31">
        <f>IF($A1676="","",SUM(X1676:AE1676))</f>
        <v/>
      </c>
      <c r="V1676" s="31">
        <f>IF($A1676="","",IF($H1676&lt;&gt;"Ausgabe",0,-$E1676-$U1676))</f>
        <v/>
      </c>
      <c r="W1676" s="33">
        <f>IF($A1676="","",DATE(YEAR($A1676),MONTH($A1676),1))</f>
        <v/>
      </c>
      <c r="X1676" s="34">
        <f>IF(OR($A1676="",$H1676&lt;&gt;"Ausgabe",J1676=""),0,IF(J1676="x",-$E1676/(COUNTIF($J1676:$Q1676,"x")+1),-$E1676*N(J1676)))</f>
        <v/>
      </c>
      <c r="Y1676" s="34">
        <f>IF(OR($A1676="",$H1676&lt;&gt;"Ausgabe",K1676=""),0,IF(K1676="x",-$E1676/(COUNTIF($J1676:$Q1676,"x")+1),-$E1676*N(K1676)))</f>
        <v/>
      </c>
      <c r="Z1676" s="34">
        <f>IF(OR($A1676="",$H1676&lt;&gt;"Ausgabe",L1676=""),0,IF(L1676="x",-$E1676/(COUNTIF($J1676:$Q1676,"x")+1),-$E1676*N(L1676)))</f>
        <v/>
      </c>
      <c r="AA1676" s="34">
        <f>IF(OR($A1676="",$H1676&lt;&gt;"Ausgabe",M1676=""),0,IF(M1676="x",-$E1676/(COUNTIF($J1676:$Q1676,"x")+1),-$E1676*N(M1676)))</f>
        <v/>
      </c>
      <c r="AB1676" s="34">
        <f>IF(OR($A1676="",$H1676&lt;&gt;"Ausgabe",N1676=""),0,IF(N1676="x",-$E1676/(COUNTIF($J1676:$Q1676,"x")+1),-$E1676*N(N1676)))</f>
        <v/>
      </c>
      <c r="AC1676" s="34">
        <f>IF(OR($A1676="",$H1676&lt;&gt;"Ausgabe",O1676=""),0,IF(O1676="x",-$E1676/(COUNTIF($J1676:$Q1676,"x")+1),-$E1676*N(O1676)))</f>
        <v/>
      </c>
      <c r="AD1676" s="34">
        <f>IF(OR($A1676="",$H1676&lt;&gt;"Ausgabe",P1676=""),0,IF(P1676="x",-$E1676/(COUNTIF($J1676:$Q1676,"x")+1),-$E1676*N(P1676)))</f>
        <v/>
      </c>
      <c r="AE1676" s="34">
        <f>IF(OR($A1676="",$H1676&lt;&gt;"Ausgabe",Q1676=""),0,IF(Q1676="x",-$E1676/(COUNTIF($J1676:$Q1676,"x")+1),-$E1676*N(Q1676)))</f>
        <v/>
      </c>
    </row>
    <row r="1677">
      <c r="A1677" s="30" t="n"/>
      <c r="E1677" s="31" t="n"/>
      <c r="J1677" s="32" t="n"/>
      <c r="K1677" s="32" t="n"/>
      <c r="L1677" s="32" t="n"/>
      <c r="M1677" s="32" t="n"/>
      <c r="N1677" s="32" t="n"/>
      <c r="O1677" s="32" t="n"/>
      <c r="P1677" s="32" t="n"/>
      <c r="Q1677" s="32" t="n"/>
      <c r="U1677" s="31">
        <f>IF($A1677="","",SUM(X1677:AE1677))</f>
        <v/>
      </c>
      <c r="V1677" s="31">
        <f>IF($A1677="","",IF($H1677&lt;&gt;"Ausgabe",0,-$E1677-$U1677))</f>
        <v/>
      </c>
      <c r="W1677" s="33">
        <f>IF($A1677="","",DATE(YEAR($A1677),MONTH($A1677),1))</f>
        <v/>
      </c>
      <c r="X1677" s="34">
        <f>IF(OR($A1677="",$H1677&lt;&gt;"Ausgabe",J1677=""),0,IF(J1677="x",-$E1677/(COUNTIF($J1677:$Q1677,"x")+1),-$E1677*N(J1677)))</f>
        <v/>
      </c>
      <c r="Y1677" s="34">
        <f>IF(OR($A1677="",$H1677&lt;&gt;"Ausgabe",K1677=""),0,IF(K1677="x",-$E1677/(COUNTIF($J1677:$Q1677,"x")+1),-$E1677*N(K1677)))</f>
        <v/>
      </c>
      <c r="Z1677" s="34">
        <f>IF(OR($A1677="",$H1677&lt;&gt;"Ausgabe",L1677=""),0,IF(L1677="x",-$E1677/(COUNTIF($J1677:$Q1677,"x")+1),-$E1677*N(L1677)))</f>
        <v/>
      </c>
      <c r="AA1677" s="34">
        <f>IF(OR($A1677="",$H1677&lt;&gt;"Ausgabe",M1677=""),0,IF(M1677="x",-$E1677/(COUNTIF($J1677:$Q1677,"x")+1),-$E1677*N(M1677)))</f>
        <v/>
      </c>
      <c r="AB1677" s="34">
        <f>IF(OR($A1677="",$H1677&lt;&gt;"Ausgabe",N1677=""),0,IF(N1677="x",-$E1677/(COUNTIF($J1677:$Q1677,"x")+1),-$E1677*N(N1677)))</f>
        <v/>
      </c>
      <c r="AC1677" s="34">
        <f>IF(OR($A1677="",$H1677&lt;&gt;"Ausgabe",O1677=""),0,IF(O1677="x",-$E1677/(COUNTIF($J1677:$Q1677,"x")+1),-$E1677*N(O1677)))</f>
        <v/>
      </c>
      <c r="AD1677" s="34">
        <f>IF(OR($A1677="",$H1677&lt;&gt;"Ausgabe",P1677=""),0,IF(P1677="x",-$E1677/(COUNTIF($J1677:$Q1677,"x")+1),-$E1677*N(P1677)))</f>
        <v/>
      </c>
      <c r="AE1677" s="34">
        <f>IF(OR($A1677="",$H1677&lt;&gt;"Ausgabe",Q1677=""),0,IF(Q1677="x",-$E1677/(COUNTIF($J1677:$Q1677,"x")+1),-$E1677*N(Q1677)))</f>
        <v/>
      </c>
    </row>
    <row r="1678">
      <c r="A1678" s="30" t="n"/>
      <c r="E1678" s="31" t="n"/>
      <c r="J1678" s="32" t="n"/>
      <c r="K1678" s="32" t="n"/>
      <c r="L1678" s="32" t="n"/>
      <c r="M1678" s="32" t="n"/>
      <c r="N1678" s="32" t="n"/>
      <c r="O1678" s="32" t="n"/>
      <c r="P1678" s="32" t="n"/>
      <c r="Q1678" s="32" t="n"/>
      <c r="U1678" s="31">
        <f>IF($A1678="","",SUM(X1678:AE1678))</f>
        <v/>
      </c>
      <c r="V1678" s="31">
        <f>IF($A1678="","",IF($H1678&lt;&gt;"Ausgabe",0,-$E1678-$U1678))</f>
        <v/>
      </c>
      <c r="W1678" s="33">
        <f>IF($A1678="","",DATE(YEAR($A1678),MONTH($A1678),1))</f>
        <v/>
      </c>
      <c r="X1678" s="34">
        <f>IF(OR($A1678="",$H1678&lt;&gt;"Ausgabe",J1678=""),0,IF(J1678="x",-$E1678/(COUNTIF($J1678:$Q1678,"x")+1),-$E1678*N(J1678)))</f>
        <v/>
      </c>
      <c r="Y1678" s="34">
        <f>IF(OR($A1678="",$H1678&lt;&gt;"Ausgabe",K1678=""),0,IF(K1678="x",-$E1678/(COUNTIF($J1678:$Q1678,"x")+1),-$E1678*N(K1678)))</f>
        <v/>
      </c>
      <c r="Z1678" s="34">
        <f>IF(OR($A1678="",$H1678&lt;&gt;"Ausgabe",L1678=""),0,IF(L1678="x",-$E1678/(COUNTIF($J1678:$Q1678,"x")+1),-$E1678*N(L1678)))</f>
        <v/>
      </c>
      <c r="AA1678" s="34">
        <f>IF(OR($A1678="",$H1678&lt;&gt;"Ausgabe",M1678=""),0,IF(M1678="x",-$E1678/(COUNTIF($J1678:$Q1678,"x")+1),-$E1678*N(M1678)))</f>
        <v/>
      </c>
      <c r="AB1678" s="34">
        <f>IF(OR($A1678="",$H1678&lt;&gt;"Ausgabe",N1678=""),0,IF(N1678="x",-$E1678/(COUNTIF($J1678:$Q1678,"x")+1),-$E1678*N(N1678)))</f>
        <v/>
      </c>
      <c r="AC1678" s="34">
        <f>IF(OR($A1678="",$H1678&lt;&gt;"Ausgabe",O1678=""),0,IF(O1678="x",-$E1678/(COUNTIF($J1678:$Q1678,"x")+1),-$E1678*N(O1678)))</f>
        <v/>
      </c>
      <c r="AD1678" s="34">
        <f>IF(OR($A1678="",$H1678&lt;&gt;"Ausgabe",P1678=""),0,IF(P1678="x",-$E1678/(COUNTIF($J1678:$Q1678,"x")+1),-$E1678*N(P1678)))</f>
        <v/>
      </c>
      <c r="AE1678" s="34">
        <f>IF(OR($A1678="",$H1678&lt;&gt;"Ausgabe",Q1678=""),0,IF(Q1678="x",-$E1678/(COUNTIF($J1678:$Q1678,"x")+1),-$E1678*N(Q1678)))</f>
        <v/>
      </c>
    </row>
    <row r="1679">
      <c r="A1679" s="30" t="n"/>
      <c r="E1679" s="31" t="n"/>
      <c r="J1679" s="32" t="n"/>
      <c r="K1679" s="32" t="n"/>
      <c r="L1679" s="32" t="n"/>
      <c r="M1679" s="32" t="n"/>
      <c r="N1679" s="32" t="n"/>
      <c r="O1679" s="32" t="n"/>
      <c r="P1679" s="32" t="n"/>
      <c r="Q1679" s="32" t="n"/>
      <c r="U1679" s="31">
        <f>IF($A1679="","",SUM(X1679:AE1679))</f>
        <v/>
      </c>
      <c r="V1679" s="31">
        <f>IF($A1679="","",IF($H1679&lt;&gt;"Ausgabe",0,-$E1679-$U1679))</f>
        <v/>
      </c>
      <c r="W1679" s="33">
        <f>IF($A1679="","",DATE(YEAR($A1679),MONTH($A1679),1))</f>
        <v/>
      </c>
      <c r="X1679" s="34">
        <f>IF(OR($A1679="",$H1679&lt;&gt;"Ausgabe",J1679=""),0,IF(J1679="x",-$E1679/(COUNTIF($J1679:$Q1679,"x")+1),-$E1679*N(J1679)))</f>
        <v/>
      </c>
      <c r="Y1679" s="34">
        <f>IF(OR($A1679="",$H1679&lt;&gt;"Ausgabe",K1679=""),0,IF(K1679="x",-$E1679/(COUNTIF($J1679:$Q1679,"x")+1),-$E1679*N(K1679)))</f>
        <v/>
      </c>
      <c r="Z1679" s="34">
        <f>IF(OR($A1679="",$H1679&lt;&gt;"Ausgabe",L1679=""),0,IF(L1679="x",-$E1679/(COUNTIF($J1679:$Q1679,"x")+1),-$E1679*N(L1679)))</f>
        <v/>
      </c>
      <c r="AA1679" s="34">
        <f>IF(OR($A1679="",$H1679&lt;&gt;"Ausgabe",M1679=""),0,IF(M1679="x",-$E1679/(COUNTIF($J1679:$Q1679,"x")+1),-$E1679*N(M1679)))</f>
        <v/>
      </c>
      <c r="AB1679" s="34">
        <f>IF(OR($A1679="",$H1679&lt;&gt;"Ausgabe",N1679=""),0,IF(N1679="x",-$E1679/(COUNTIF($J1679:$Q1679,"x")+1),-$E1679*N(N1679)))</f>
        <v/>
      </c>
      <c r="AC1679" s="34">
        <f>IF(OR($A1679="",$H1679&lt;&gt;"Ausgabe",O1679=""),0,IF(O1679="x",-$E1679/(COUNTIF($J1679:$Q1679,"x")+1),-$E1679*N(O1679)))</f>
        <v/>
      </c>
      <c r="AD1679" s="34">
        <f>IF(OR($A1679="",$H1679&lt;&gt;"Ausgabe",P1679=""),0,IF(P1679="x",-$E1679/(COUNTIF($J1679:$Q1679,"x")+1),-$E1679*N(P1679)))</f>
        <v/>
      </c>
      <c r="AE1679" s="34">
        <f>IF(OR($A1679="",$H1679&lt;&gt;"Ausgabe",Q1679=""),0,IF(Q1679="x",-$E1679/(COUNTIF($J1679:$Q1679,"x")+1),-$E1679*N(Q1679)))</f>
        <v/>
      </c>
    </row>
    <row r="1680">
      <c r="A1680" s="30" t="n"/>
      <c r="E1680" s="31" t="n"/>
      <c r="J1680" s="32" t="n"/>
      <c r="K1680" s="32" t="n"/>
      <c r="L1680" s="32" t="n"/>
      <c r="M1680" s="32" t="n"/>
      <c r="N1680" s="32" t="n"/>
      <c r="O1680" s="32" t="n"/>
      <c r="P1680" s="32" t="n"/>
      <c r="Q1680" s="32" t="n"/>
      <c r="U1680" s="31">
        <f>IF($A1680="","",SUM(X1680:AE1680))</f>
        <v/>
      </c>
      <c r="V1680" s="31">
        <f>IF($A1680="","",IF($H1680&lt;&gt;"Ausgabe",0,-$E1680-$U1680))</f>
        <v/>
      </c>
      <c r="W1680" s="33">
        <f>IF($A1680="","",DATE(YEAR($A1680),MONTH($A1680),1))</f>
        <v/>
      </c>
      <c r="X1680" s="34">
        <f>IF(OR($A1680="",$H1680&lt;&gt;"Ausgabe",J1680=""),0,IF(J1680="x",-$E1680/(COUNTIF($J1680:$Q1680,"x")+1),-$E1680*N(J1680)))</f>
        <v/>
      </c>
      <c r="Y1680" s="34">
        <f>IF(OR($A1680="",$H1680&lt;&gt;"Ausgabe",K1680=""),0,IF(K1680="x",-$E1680/(COUNTIF($J1680:$Q1680,"x")+1),-$E1680*N(K1680)))</f>
        <v/>
      </c>
      <c r="Z1680" s="34">
        <f>IF(OR($A1680="",$H1680&lt;&gt;"Ausgabe",L1680=""),0,IF(L1680="x",-$E1680/(COUNTIF($J1680:$Q1680,"x")+1),-$E1680*N(L1680)))</f>
        <v/>
      </c>
      <c r="AA1680" s="34">
        <f>IF(OR($A1680="",$H1680&lt;&gt;"Ausgabe",M1680=""),0,IF(M1680="x",-$E1680/(COUNTIF($J1680:$Q1680,"x")+1),-$E1680*N(M1680)))</f>
        <v/>
      </c>
      <c r="AB1680" s="34">
        <f>IF(OR($A1680="",$H1680&lt;&gt;"Ausgabe",N1680=""),0,IF(N1680="x",-$E1680/(COUNTIF($J1680:$Q1680,"x")+1),-$E1680*N(N1680)))</f>
        <v/>
      </c>
      <c r="AC1680" s="34">
        <f>IF(OR($A1680="",$H1680&lt;&gt;"Ausgabe",O1680=""),0,IF(O1680="x",-$E1680/(COUNTIF($J1680:$Q1680,"x")+1),-$E1680*N(O1680)))</f>
        <v/>
      </c>
      <c r="AD1680" s="34">
        <f>IF(OR($A1680="",$H1680&lt;&gt;"Ausgabe",P1680=""),0,IF(P1680="x",-$E1680/(COUNTIF($J1680:$Q1680,"x")+1),-$E1680*N(P1680)))</f>
        <v/>
      </c>
      <c r="AE1680" s="34">
        <f>IF(OR($A1680="",$H1680&lt;&gt;"Ausgabe",Q1680=""),0,IF(Q1680="x",-$E1680/(COUNTIF($J1680:$Q1680,"x")+1),-$E1680*N(Q1680)))</f>
        <v/>
      </c>
    </row>
    <row r="1681">
      <c r="A1681" s="30" t="n"/>
      <c r="E1681" s="31" t="n"/>
      <c r="J1681" s="32" t="n"/>
      <c r="K1681" s="32" t="n"/>
      <c r="L1681" s="32" t="n"/>
      <c r="M1681" s="32" t="n"/>
      <c r="N1681" s="32" t="n"/>
      <c r="O1681" s="32" t="n"/>
      <c r="P1681" s="32" t="n"/>
      <c r="Q1681" s="32" t="n"/>
      <c r="U1681" s="31">
        <f>IF($A1681="","",SUM(X1681:AE1681))</f>
        <v/>
      </c>
      <c r="V1681" s="31">
        <f>IF($A1681="","",IF($H1681&lt;&gt;"Ausgabe",0,-$E1681-$U1681))</f>
        <v/>
      </c>
      <c r="W1681" s="33">
        <f>IF($A1681="","",DATE(YEAR($A1681),MONTH($A1681),1))</f>
        <v/>
      </c>
      <c r="X1681" s="34">
        <f>IF(OR($A1681="",$H1681&lt;&gt;"Ausgabe",J1681=""),0,IF(J1681="x",-$E1681/(COUNTIF($J1681:$Q1681,"x")+1),-$E1681*N(J1681)))</f>
        <v/>
      </c>
      <c r="Y1681" s="34">
        <f>IF(OR($A1681="",$H1681&lt;&gt;"Ausgabe",K1681=""),0,IF(K1681="x",-$E1681/(COUNTIF($J1681:$Q1681,"x")+1),-$E1681*N(K1681)))</f>
        <v/>
      </c>
      <c r="Z1681" s="34">
        <f>IF(OR($A1681="",$H1681&lt;&gt;"Ausgabe",L1681=""),0,IF(L1681="x",-$E1681/(COUNTIF($J1681:$Q1681,"x")+1),-$E1681*N(L1681)))</f>
        <v/>
      </c>
      <c r="AA1681" s="34">
        <f>IF(OR($A1681="",$H1681&lt;&gt;"Ausgabe",M1681=""),0,IF(M1681="x",-$E1681/(COUNTIF($J1681:$Q1681,"x")+1),-$E1681*N(M1681)))</f>
        <v/>
      </c>
      <c r="AB1681" s="34">
        <f>IF(OR($A1681="",$H1681&lt;&gt;"Ausgabe",N1681=""),0,IF(N1681="x",-$E1681/(COUNTIF($J1681:$Q1681,"x")+1),-$E1681*N(N1681)))</f>
        <v/>
      </c>
      <c r="AC1681" s="34">
        <f>IF(OR($A1681="",$H1681&lt;&gt;"Ausgabe",O1681=""),0,IF(O1681="x",-$E1681/(COUNTIF($J1681:$Q1681,"x")+1),-$E1681*N(O1681)))</f>
        <v/>
      </c>
      <c r="AD1681" s="34">
        <f>IF(OR($A1681="",$H1681&lt;&gt;"Ausgabe",P1681=""),0,IF(P1681="x",-$E1681/(COUNTIF($J1681:$Q1681,"x")+1),-$E1681*N(P1681)))</f>
        <v/>
      </c>
      <c r="AE1681" s="34">
        <f>IF(OR($A1681="",$H1681&lt;&gt;"Ausgabe",Q1681=""),0,IF(Q1681="x",-$E1681/(COUNTIF($J1681:$Q1681,"x")+1),-$E1681*N(Q1681)))</f>
        <v/>
      </c>
    </row>
    <row r="1682">
      <c r="A1682" s="30" t="n"/>
      <c r="E1682" s="31" t="n"/>
      <c r="J1682" s="32" t="n"/>
      <c r="K1682" s="32" t="n"/>
      <c r="L1682" s="32" t="n"/>
      <c r="M1682" s="32" t="n"/>
      <c r="N1682" s="32" t="n"/>
      <c r="O1682" s="32" t="n"/>
      <c r="P1682" s="32" t="n"/>
      <c r="Q1682" s="32" t="n"/>
      <c r="U1682" s="31">
        <f>IF($A1682="","",SUM(X1682:AE1682))</f>
        <v/>
      </c>
      <c r="V1682" s="31">
        <f>IF($A1682="","",IF($H1682&lt;&gt;"Ausgabe",0,-$E1682-$U1682))</f>
        <v/>
      </c>
      <c r="W1682" s="33">
        <f>IF($A1682="","",DATE(YEAR($A1682),MONTH($A1682),1))</f>
        <v/>
      </c>
      <c r="X1682" s="34">
        <f>IF(OR($A1682="",$H1682&lt;&gt;"Ausgabe",J1682=""),0,IF(J1682="x",-$E1682/(COUNTIF($J1682:$Q1682,"x")+1),-$E1682*N(J1682)))</f>
        <v/>
      </c>
      <c r="Y1682" s="34">
        <f>IF(OR($A1682="",$H1682&lt;&gt;"Ausgabe",K1682=""),0,IF(K1682="x",-$E1682/(COUNTIF($J1682:$Q1682,"x")+1),-$E1682*N(K1682)))</f>
        <v/>
      </c>
      <c r="Z1682" s="34">
        <f>IF(OR($A1682="",$H1682&lt;&gt;"Ausgabe",L1682=""),0,IF(L1682="x",-$E1682/(COUNTIF($J1682:$Q1682,"x")+1),-$E1682*N(L1682)))</f>
        <v/>
      </c>
      <c r="AA1682" s="34">
        <f>IF(OR($A1682="",$H1682&lt;&gt;"Ausgabe",M1682=""),0,IF(M1682="x",-$E1682/(COUNTIF($J1682:$Q1682,"x")+1),-$E1682*N(M1682)))</f>
        <v/>
      </c>
      <c r="AB1682" s="34">
        <f>IF(OR($A1682="",$H1682&lt;&gt;"Ausgabe",N1682=""),0,IF(N1682="x",-$E1682/(COUNTIF($J1682:$Q1682,"x")+1),-$E1682*N(N1682)))</f>
        <v/>
      </c>
      <c r="AC1682" s="34">
        <f>IF(OR($A1682="",$H1682&lt;&gt;"Ausgabe",O1682=""),0,IF(O1682="x",-$E1682/(COUNTIF($J1682:$Q1682,"x")+1),-$E1682*N(O1682)))</f>
        <v/>
      </c>
      <c r="AD1682" s="34">
        <f>IF(OR($A1682="",$H1682&lt;&gt;"Ausgabe",P1682=""),0,IF(P1682="x",-$E1682/(COUNTIF($J1682:$Q1682,"x")+1),-$E1682*N(P1682)))</f>
        <v/>
      </c>
      <c r="AE1682" s="34">
        <f>IF(OR($A1682="",$H1682&lt;&gt;"Ausgabe",Q1682=""),0,IF(Q1682="x",-$E1682/(COUNTIF($J1682:$Q1682,"x")+1),-$E1682*N(Q1682)))</f>
        <v/>
      </c>
    </row>
    <row r="1683">
      <c r="A1683" s="30" t="n"/>
      <c r="E1683" s="31" t="n"/>
      <c r="J1683" s="32" t="n"/>
      <c r="K1683" s="32" t="n"/>
      <c r="L1683" s="32" t="n"/>
      <c r="M1683" s="32" t="n"/>
      <c r="N1683" s="32" t="n"/>
      <c r="O1683" s="32" t="n"/>
      <c r="P1683" s="32" t="n"/>
      <c r="Q1683" s="32" t="n"/>
      <c r="U1683" s="31">
        <f>IF($A1683="","",SUM(X1683:AE1683))</f>
        <v/>
      </c>
      <c r="V1683" s="31">
        <f>IF($A1683="","",IF($H1683&lt;&gt;"Ausgabe",0,-$E1683-$U1683))</f>
        <v/>
      </c>
      <c r="W1683" s="33">
        <f>IF($A1683="","",DATE(YEAR($A1683),MONTH($A1683),1))</f>
        <v/>
      </c>
      <c r="X1683" s="34">
        <f>IF(OR($A1683="",$H1683&lt;&gt;"Ausgabe",J1683=""),0,IF(J1683="x",-$E1683/(COUNTIF($J1683:$Q1683,"x")+1),-$E1683*N(J1683)))</f>
        <v/>
      </c>
      <c r="Y1683" s="34">
        <f>IF(OR($A1683="",$H1683&lt;&gt;"Ausgabe",K1683=""),0,IF(K1683="x",-$E1683/(COUNTIF($J1683:$Q1683,"x")+1),-$E1683*N(K1683)))</f>
        <v/>
      </c>
      <c r="Z1683" s="34">
        <f>IF(OR($A1683="",$H1683&lt;&gt;"Ausgabe",L1683=""),0,IF(L1683="x",-$E1683/(COUNTIF($J1683:$Q1683,"x")+1),-$E1683*N(L1683)))</f>
        <v/>
      </c>
      <c r="AA1683" s="34">
        <f>IF(OR($A1683="",$H1683&lt;&gt;"Ausgabe",M1683=""),0,IF(M1683="x",-$E1683/(COUNTIF($J1683:$Q1683,"x")+1),-$E1683*N(M1683)))</f>
        <v/>
      </c>
      <c r="AB1683" s="34">
        <f>IF(OR($A1683="",$H1683&lt;&gt;"Ausgabe",N1683=""),0,IF(N1683="x",-$E1683/(COUNTIF($J1683:$Q1683,"x")+1),-$E1683*N(N1683)))</f>
        <v/>
      </c>
      <c r="AC1683" s="34">
        <f>IF(OR($A1683="",$H1683&lt;&gt;"Ausgabe",O1683=""),0,IF(O1683="x",-$E1683/(COUNTIF($J1683:$Q1683,"x")+1),-$E1683*N(O1683)))</f>
        <v/>
      </c>
      <c r="AD1683" s="34">
        <f>IF(OR($A1683="",$H1683&lt;&gt;"Ausgabe",P1683=""),0,IF(P1683="x",-$E1683/(COUNTIF($J1683:$Q1683,"x")+1),-$E1683*N(P1683)))</f>
        <v/>
      </c>
      <c r="AE1683" s="34">
        <f>IF(OR($A1683="",$H1683&lt;&gt;"Ausgabe",Q1683=""),0,IF(Q1683="x",-$E1683/(COUNTIF($J1683:$Q1683,"x")+1),-$E1683*N(Q1683)))</f>
        <v/>
      </c>
    </row>
    <row r="1684">
      <c r="A1684" s="30" t="n"/>
      <c r="E1684" s="31" t="n"/>
      <c r="J1684" s="32" t="n"/>
      <c r="K1684" s="32" t="n"/>
      <c r="L1684" s="32" t="n"/>
      <c r="M1684" s="32" t="n"/>
      <c r="N1684" s="32" t="n"/>
      <c r="O1684" s="32" t="n"/>
      <c r="P1684" s="32" t="n"/>
      <c r="Q1684" s="32" t="n"/>
      <c r="U1684" s="31">
        <f>IF($A1684="","",SUM(X1684:AE1684))</f>
        <v/>
      </c>
      <c r="V1684" s="31">
        <f>IF($A1684="","",IF($H1684&lt;&gt;"Ausgabe",0,-$E1684-$U1684))</f>
        <v/>
      </c>
      <c r="W1684" s="33">
        <f>IF($A1684="","",DATE(YEAR($A1684),MONTH($A1684),1))</f>
        <v/>
      </c>
      <c r="X1684" s="34">
        <f>IF(OR($A1684="",$H1684&lt;&gt;"Ausgabe",J1684=""),0,IF(J1684="x",-$E1684/(COUNTIF($J1684:$Q1684,"x")+1),-$E1684*N(J1684)))</f>
        <v/>
      </c>
      <c r="Y1684" s="34">
        <f>IF(OR($A1684="",$H1684&lt;&gt;"Ausgabe",K1684=""),0,IF(K1684="x",-$E1684/(COUNTIF($J1684:$Q1684,"x")+1),-$E1684*N(K1684)))</f>
        <v/>
      </c>
      <c r="Z1684" s="34">
        <f>IF(OR($A1684="",$H1684&lt;&gt;"Ausgabe",L1684=""),0,IF(L1684="x",-$E1684/(COUNTIF($J1684:$Q1684,"x")+1),-$E1684*N(L1684)))</f>
        <v/>
      </c>
      <c r="AA1684" s="34">
        <f>IF(OR($A1684="",$H1684&lt;&gt;"Ausgabe",M1684=""),0,IF(M1684="x",-$E1684/(COUNTIF($J1684:$Q1684,"x")+1),-$E1684*N(M1684)))</f>
        <v/>
      </c>
      <c r="AB1684" s="34">
        <f>IF(OR($A1684="",$H1684&lt;&gt;"Ausgabe",N1684=""),0,IF(N1684="x",-$E1684/(COUNTIF($J1684:$Q1684,"x")+1),-$E1684*N(N1684)))</f>
        <v/>
      </c>
      <c r="AC1684" s="34">
        <f>IF(OR($A1684="",$H1684&lt;&gt;"Ausgabe",O1684=""),0,IF(O1684="x",-$E1684/(COUNTIF($J1684:$Q1684,"x")+1),-$E1684*N(O1684)))</f>
        <v/>
      </c>
      <c r="AD1684" s="34">
        <f>IF(OR($A1684="",$H1684&lt;&gt;"Ausgabe",P1684=""),0,IF(P1684="x",-$E1684/(COUNTIF($J1684:$Q1684,"x")+1),-$E1684*N(P1684)))</f>
        <v/>
      </c>
      <c r="AE1684" s="34">
        <f>IF(OR($A1684="",$H1684&lt;&gt;"Ausgabe",Q1684=""),0,IF(Q1684="x",-$E1684/(COUNTIF($J1684:$Q1684,"x")+1),-$E1684*N(Q1684)))</f>
        <v/>
      </c>
    </row>
    <row r="1685">
      <c r="A1685" s="30" t="n"/>
      <c r="E1685" s="31" t="n"/>
      <c r="J1685" s="32" t="n"/>
      <c r="K1685" s="32" t="n"/>
      <c r="L1685" s="32" t="n"/>
      <c r="M1685" s="32" t="n"/>
      <c r="N1685" s="32" t="n"/>
      <c r="O1685" s="32" t="n"/>
      <c r="P1685" s="32" t="n"/>
      <c r="Q1685" s="32" t="n"/>
      <c r="U1685" s="31">
        <f>IF($A1685="","",SUM(X1685:AE1685))</f>
        <v/>
      </c>
      <c r="V1685" s="31">
        <f>IF($A1685="","",IF($H1685&lt;&gt;"Ausgabe",0,-$E1685-$U1685))</f>
        <v/>
      </c>
      <c r="W1685" s="33">
        <f>IF($A1685="","",DATE(YEAR($A1685),MONTH($A1685),1))</f>
        <v/>
      </c>
      <c r="X1685" s="34">
        <f>IF(OR($A1685="",$H1685&lt;&gt;"Ausgabe",J1685=""),0,IF(J1685="x",-$E1685/(COUNTIF($J1685:$Q1685,"x")+1),-$E1685*N(J1685)))</f>
        <v/>
      </c>
      <c r="Y1685" s="34">
        <f>IF(OR($A1685="",$H1685&lt;&gt;"Ausgabe",K1685=""),0,IF(K1685="x",-$E1685/(COUNTIF($J1685:$Q1685,"x")+1),-$E1685*N(K1685)))</f>
        <v/>
      </c>
      <c r="Z1685" s="34">
        <f>IF(OR($A1685="",$H1685&lt;&gt;"Ausgabe",L1685=""),0,IF(L1685="x",-$E1685/(COUNTIF($J1685:$Q1685,"x")+1),-$E1685*N(L1685)))</f>
        <v/>
      </c>
      <c r="AA1685" s="34">
        <f>IF(OR($A1685="",$H1685&lt;&gt;"Ausgabe",M1685=""),0,IF(M1685="x",-$E1685/(COUNTIF($J1685:$Q1685,"x")+1),-$E1685*N(M1685)))</f>
        <v/>
      </c>
      <c r="AB1685" s="34">
        <f>IF(OR($A1685="",$H1685&lt;&gt;"Ausgabe",N1685=""),0,IF(N1685="x",-$E1685/(COUNTIF($J1685:$Q1685,"x")+1),-$E1685*N(N1685)))</f>
        <v/>
      </c>
      <c r="AC1685" s="34">
        <f>IF(OR($A1685="",$H1685&lt;&gt;"Ausgabe",O1685=""),0,IF(O1685="x",-$E1685/(COUNTIF($J1685:$Q1685,"x")+1),-$E1685*N(O1685)))</f>
        <v/>
      </c>
      <c r="AD1685" s="34">
        <f>IF(OR($A1685="",$H1685&lt;&gt;"Ausgabe",P1685=""),0,IF(P1685="x",-$E1685/(COUNTIF($J1685:$Q1685,"x")+1),-$E1685*N(P1685)))</f>
        <v/>
      </c>
      <c r="AE1685" s="34">
        <f>IF(OR($A1685="",$H1685&lt;&gt;"Ausgabe",Q1685=""),0,IF(Q1685="x",-$E1685/(COUNTIF($J1685:$Q1685,"x")+1),-$E1685*N(Q1685)))</f>
        <v/>
      </c>
    </row>
    <row r="1686">
      <c r="A1686" s="30" t="n"/>
      <c r="E1686" s="31" t="n"/>
      <c r="J1686" s="32" t="n"/>
      <c r="K1686" s="32" t="n"/>
      <c r="L1686" s="32" t="n"/>
      <c r="M1686" s="32" t="n"/>
      <c r="N1686" s="32" t="n"/>
      <c r="O1686" s="32" t="n"/>
      <c r="P1686" s="32" t="n"/>
      <c r="Q1686" s="32" t="n"/>
      <c r="U1686" s="31">
        <f>IF($A1686="","",SUM(X1686:AE1686))</f>
        <v/>
      </c>
      <c r="V1686" s="31">
        <f>IF($A1686="","",IF($H1686&lt;&gt;"Ausgabe",0,-$E1686-$U1686))</f>
        <v/>
      </c>
      <c r="W1686" s="33">
        <f>IF($A1686="","",DATE(YEAR($A1686),MONTH($A1686),1))</f>
        <v/>
      </c>
      <c r="X1686" s="34">
        <f>IF(OR($A1686="",$H1686&lt;&gt;"Ausgabe",J1686=""),0,IF(J1686="x",-$E1686/(COUNTIF($J1686:$Q1686,"x")+1),-$E1686*N(J1686)))</f>
        <v/>
      </c>
      <c r="Y1686" s="34">
        <f>IF(OR($A1686="",$H1686&lt;&gt;"Ausgabe",K1686=""),0,IF(K1686="x",-$E1686/(COUNTIF($J1686:$Q1686,"x")+1),-$E1686*N(K1686)))</f>
        <v/>
      </c>
      <c r="Z1686" s="34">
        <f>IF(OR($A1686="",$H1686&lt;&gt;"Ausgabe",L1686=""),0,IF(L1686="x",-$E1686/(COUNTIF($J1686:$Q1686,"x")+1),-$E1686*N(L1686)))</f>
        <v/>
      </c>
      <c r="AA1686" s="34">
        <f>IF(OR($A1686="",$H1686&lt;&gt;"Ausgabe",M1686=""),0,IF(M1686="x",-$E1686/(COUNTIF($J1686:$Q1686,"x")+1),-$E1686*N(M1686)))</f>
        <v/>
      </c>
      <c r="AB1686" s="34">
        <f>IF(OR($A1686="",$H1686&lt;&gt;"Ausgabe",N1686=""),0,IF(N1686="x",-$E1686/(COUNTIF($J1686:$Q1686,"x")+1),-$E1686*N(N1686)))</f>
        <v/>
      </c>
      <c r="AC1686" s="34">
        <f>IF(OR($A1686="",$H1686&lt;&gt;"Ausgabe",O1686=""),0,IF(O1686="x",-$E1686/(COUNTIF($J1686:$Q1686,"x")+1),-$E1686*N(O1686)))</f>
        <v/>
      </c>
      <c r="AD1686" s="34">
        <f>IF(OR($A1686="",$H1686&lt;&gt;"Ausgabe",P1686=""),0,IF(P1686="x",-$E1686/(COUNTIF($J1686:$Q1686,"x")+1),-$E1686*N(P1686)))</f>
        <v/>
      </c>
      <c r="AE1686" s="34">
        <f>IF(OR($A1686="",$H1686&lt;&gt;"Ausgabe",Q1686=""),0,IF(Q1686="x",-$E1686/(COUNTIF($J1686:$Q1686,"x")+1),-$E1686*N(Q1686)))</f>
        <v/>
      </c>
    </row>
    <row r="1687">
      <c r="A1687" s="30" t="n"/>
      <c r="E1687" s="31" t="n"/>
      <c r="J1687" s="32" t="n"/>
      <c r="K1687" s="32" t="n"/>
      <c r="L1687" s="32" t="n"/>
      <c r="M1687" s="32" t="n"/>
      <c r="N1687" s="32" t="n"/>
      <c r="O1687" s="32" t="n"/>
      <c r="P1687" s="32" t="n"/>
      <c r="Q1687" s="32" t="n"/>
      <c r="U1687" s="31">
        <f>IF($A1687="","",SUM(X1687:AE1687))</f>
        <v/>
      </c>
      <c r="V1687" s="31">
        <f>IF($A1687="","",IF($H1687&lt;&gt;"Ausgabe",0,-$E1687-$U1687))</f>
        <v/>
      </c>
      <c r="W1687" s="33">
        <f>IF($A1687="","",DATE(YEAR($A1687),MONTH($A1687),1))</f>
        <v/>
      </c>
      <c r="X1687" s="34">
        <f>IF(OR($A1687="",$H1687&lt;&gt;"Ausgabe",J1687=""),0,IF(J1687="x",-$E1687/(COUNTIF($J1687:$Q1687,"x")+1),-$E1687*N(J1687)))</f>
        <v/>
      </c>
      <c r="Y1687" s="34">
        <f>IF(OR($A1687="",$H1687&lt;&gt;"Ausgabe",K1687=""),0,IF(K1687="x",-$E1687/(COUNTIF($J1687:$Q1687,"x")+1),-$E1687*N(K1687)))</f>
        <v/>
      </c>
      <c r="Z1687" s="34">
        <f>IF(OR($A1687="",$H1687&lt;&gt;"Ausgabe",L1687=""),0,IF(L1687="x",-$E1687/(COUNTIF($J1687:$Q1687,"x")+1),-$E1687*N(L1687)))</f>
        <v/>
      </c>
      <c r="AA1687" s="34">
        <f>IF(OR($A1687="",$H1687&lt;&gt;"Ausgabe",M1687=""),0,IF(M1687="x",-$E1687/(COUNTIF($J1687:$Q1687,"x")+1),-$E1687*N(M1687)))</f>
        <v/>
      </c>
      <c r="AB1687" s="34">
        <f>IF(OR($A1687="",$H1687&lt;&gt;"Ausgabe",N1687=""),0,IF(N1687="x",-$E1687/(COUNTIF($J1687:$Q1687,"x")+1),-$E1687*N(N1687)))</f>
        <v/>
      </c>
      <c r="AC1687" s="34">
        <f>IF(OR($A1687="",$H1687&lt;&gt;"Ausgabe",O1687=""),0,IF(O1687="x",-$E1687/(COUNTIF($J1687:$Q1687,"x")+1),-$E1687*N(O1687)))</f>
        <v/>
      </c>
      <c r="AD1687" s="34">
        <f>IF(OR($A1687="",$H1687&lt;&gt;"Ausgabe",P1687=""),0,IF(P1687="x",-$E1687/(COUNTIF($J1687:$Q1687,"x")+1),-$E1687*N(P1687)))</f>
        <v/>
      </c>
      <c r="AE1687" s="34">
        <f>IF(OR($A1687="",$H1687&lt;&gt;"Ausgabe",Q1687=""),0,IF(Q1687="x",-$E1687/(COUNTIF($J1687:$Q1687,"x")+1),-$E1687*N(Q1687)))</f>
        <v/>
      </c>
    </row>
    <row r="1688">
      <c r="A1688" s="30" t="n"/>
      <c r="E1688" s="31" t="n"/>
      <c r="J1688" s="32" t="n"/>
      <c r="K1688" s="32" t="n"/>
      <c r="L1688" s="32" t="n"/>
      <c r="M1688" s="32" t="n"/>
      <c r="N1688" s="32" t="n"/>
      <c r="O1688" s="32" t="n"/>
      <c r="P1688" s="32" t="n"/>
      <c r="Q1688" s="32" t="n"/>
      <c r="U1688" s="31">
        <f>IF($A1688="","",SUM(X1688:AE1688))</f>
        <v/>
      </c>
      <c r="V1688" s="31">
        <f>IF($A1688="","",IF($H1688&lt;&gt;"Ausgabe",0,-$E1688-$U1688))</f>
        <v/>
      </c>
      <c r="W1688" s="33">
        <f>IF($A1688="","",DATE(YEAR($A1688),MONTH($A1688),1))</f>
        <v/>
      </c>
      <c r="X1688" s="34">
        <f>IF(OR($A1688="",$H1688&lt;&gt;"Ausgabe",J1688=""),0,IF(J1688="x",-$E1688/(COUNTIF($J1688:$Q1688,"x")+1),-$E1688*N(J1688)))</f>
        <v/>
      </c>
      <c r="Y1688" s="34">
        <f>IF(OR($A1688="",$H1688&lt;&gt;"Ausgabe",K1688=""),0,IF(K1688="x",-$E1688/(COUNTIF($J1688:$Q1688,"x")+1),-$E1688*N(K1688)))</f>
        <v/>
      </c>
      <c r="Z1688" s="34">
        <f>IF(OR($A1688="",$H1688&lt;&gt;"Ausgabe",L1688=""),0,IF(L1688="x",-$E1688/(COUNTIF($J1688:$Q1688,"x")+1),-$E1688*N(L1688)))</f>
        <v/>
      </c>
      <c r="AA1688" s="34">
        <f>IF(OR($A1688="",$H1688&lt;&gt;"Ausgabe",M1688=""),0,IF(M1688="x",-$E1688/(COUNTIF($J1688:$Q1688,"x")+1),-$E1688*N(M1688)))</f>
        <v/>
      </c>
      <c r="AB1688" s="34">
        <f>IF(OR($A1688="",$H1688&lt;&gt;"Ausgabe",N1688=""),0,IF(N1688="x",-$E1688/(COUNTIF($J1688:$Q1688,"x")+1),-$E1688*N(N1688)))</f>
        <v/>
      </c>
      <c r="AC1688" s="34">
        <f>IF(OR($A1688="",$H1688&lt;&gt;"Ausgabe",O1688=""),0,IF(O1688="x",-$E1688/(COUNTIF($J1688:$Q1688,"x")+1),-$E1688*N(O1688)))</f>
        <v/>
      </c>
      <c r="AD1688" s="34">
        <f>IF(OR($A1688="",$H1688&lt;&gt;"Ausgabe",P1688=""),0,IF(P1688="x",-$E1688/(COUNTIF($J1688:$Q1688,"x")+1),-$E1688*N(P1688)))</f>
        <v/>
      </c>
      <c r="AE1688" s="34">
        <f>IF(OR($A1688="",$H1688&lt;&gt;"Ausgabe",Q1688=""),0,IF(Q1688="x",-$E1688/(COUNTIF($J1688:$Q1688,"x")+1),-$E1688*N(Q1688)))</f>
        <v/>
      </c>
    </row>
    <row r="1689">
      <c r="A1689" s="30" t="n"/>
      <c r="E1689" s="31" t="n"/>
      <c r="J1689" s="32" t="n"/>
      <c r="K1689" s="32" t="n"/>
      <c r="L1689" s="32" t="n"/>
      <c r="M1689" s="32" t="n"/>
      <c r="N1689" s="32" t="n"/>
      <c r="O1689" s="32" t="n"/>
      <c r="P1689" s="32" t="n"/>
      <c r="Q1689" s="32" t="n"/>
      <c r="U1689" s="31">
        <f>IF($A1689="","",SUM(X1689:AE1689))</f>
        <v/>
      </c>
      <c r="V1689" s="31">
        <f>IF($A1689="","",IF($H1689&lt;&gt;"Ausgabe",0,-$E1689-$U1689))</f>
        <v/>
      </c>
      <c r="W1689" s="33">
        <f>IF($A1689="","",DATE(YEAR($A1689),MONTH($A1689),1))</f>
        <v/>
      </c>
      <c r="X1689" s="34">
        <f>IF(OR($A1689="",$H1689&lt;&gt;"Ausgabe",J1689=""),0,IF(J1689="x",-$E1689/(COUNTIF($J1689:$Q1689,"x")+1),-$E1689*N(J1689)))</f>
        <v/>
      </c>
      <c r="Y1689" s="34">
        <f>IF(OR($A1689="",$H1689&lt;&gt;"Ausgabe",K1689=""),0,IF(K1689="x",-$E1689/(COUNTIF($J1689:$Q1689,"x")+1),-$E1689*N(K1689)))</f>
        <v/>
      </c>
      <c r="Z1689" s="34">
        <f>IF(OR($A1689="",$H1689&lt;&gt;"Ausgabe",L1689=""),0,IF(L1689="x",-$E1689/(COUNTIF($J1689:$Q1689,"x")+1),-$E1689*N(L1689)))</f>
        <v/>
      </c>
      <c r="AA1689" s="34">
        <f>IF(OR($A1689="",$H1689&lt;&gt;"Ausgabe",M1689=""),0,IF(M1689="x",-$E1689/(COUNTIF($J1689:$Q1689,"x")+1),-$E1689*N(M1689)))</f>
        <v/>
      </c>
      <c r="AB1689" s="34">
        <f>IF(OR($A1689="",$H1689&lt;&gt;"Ausgabe",N1689=""),0,IF(N1689="x",-$E1689/(COUNTIF($J1689:$Q1689,"x")+1),-$E1689*N(N1689)))</f>
        <v/>
      </c>
      <c r="AC1689" s="34">
        <f>IF(OR($A1689="",$H1689&lt;&gt;"Ausgabe",O1689=""),0,IF(O1689="x",-$E1689/(COUNTIF($J1689:$Q1689,"x")+1),-$E1689*N(O1689)))</f>
        <v/>
      </c>
      <c r="AD1689" s="34">
        <f>IF(OR($A1689="",$H1689&lt;&gt;"Ausgabe",P1689=""),0,IF(P1689="x",-$E1689/(COUNTIF($J1689:$Q1689,"x")+1),-$E1689*N(P1689)))</f>
        <v/>
      </c>
      <c r="AE1689" s="34">
        <f>IF(OR($A1689="",$H1689&lt;&gt;"Ausgabe",Q1689=""),0,IF(Q1689="x",-$E1689/(COUNTIF($J1689:$Q1689,"x")+1),-$E1689*N(Q1689)))</f>
        <v/>
      </c>
    </row>
    <row r="1690">
      <c r="A1690" s="30" t="n"/>
      <c r="E1690" s="31" t="n"/>
      <c r="J1690" s="32" t="n"/>
      <c r="K1690" s="32" t="n"/>
      <c r="L1690" s="32" t="n"/>
      <c r="M1690" s="32" t="n"/>
      <c r="N1690" s="32" t="n"/>
      <c r="O1690" s="32" t="n"/>
      <c r="P1690" s="32" t="n"/>
      <c r="Q1690" s="32" t="n"/>
      <c r="U1690" s="31">
        <f>IF($A1690="","",SUM(X1690:AE1690))</f>
        <v/>
      </c>
      <c r="V1690" s="31">
        <f>IF($A1690="","",IF($H1690&lt;&gt;"Ausgabe",0,-$E1690-$U1690))</f>
        <v/>
      </c>
      <c r="W1690" s="33">
        <f>IF($A1690="","",DATE(YEAR($A1690),MONTH($A1690),1))</f>
        <v/>
      </c>
      <c r="X1690" s="34">
        <f>IF(OR($A1690="",$H1690&lt;&gt;"Ausgabe",J1690=""),0,IF(J1690="x",-$E1690/(COUNTIF($J1690:$Q1690,"x")+1),-$E1690*N(J1690)))</f>
        <v/>
      </c>
      <c r="Y1690" s="34">
        <f>IF(OR($A1690="",$H1690&lt;&gt;"Ausgabe",K1690=""),0,IF(K1690="x",-$E1690/(COUNTIF($J1690:$Q1690,"x")+1),-$E1690*N(K1690)))</f>
        <v/>
      </c>
      <c r="Z1690" s="34">
        <f>IF(OR($A1690="",$H1690&lt;&gt;"Ausgabe",L1690=""),0,IF(L1690="x",-$E1690/(COUNTIF($J1690:$Q1690,"x")+1),-$E1690*N(L1690)))</f>
        <v/>
      </c>
      <c r="AA1690" s="34">
        <f>IF(OR($A1690="",$H1690&lt;&gt;"Ausgabe",M1690=""),0,IF(M1690="x",-$E1690/(COUNTIF($J1690:$Q1690,"x")+1),-$E1690*N(M1690)))</f>
        <v/>
      </c>
      <c r="AB1690" s="34">
        <f>IF(OR($A1690="",$H1690&lt;&gt;"Ausgabe",N1690=""),0,IF(N1690="x",-$E1690/(COUNTIF($J1690:$Q1690,"x")+1),-$E1690*N(N1690)))</f>
        <v/>
      </c>
      <c r="AC1690" s="34">
        <f>IF(OR($A1690="",$H1690&lt;&gt;"Ausgabe",O1690=""),0,IF(O1690="x",-$E1690/(COUNTIF($J1690:$Q1690,"x")+1),-$E1690*N(O1690)))</f>
        <v/>
      </c>
      <c r="AD1690" s="34">
        <f>IF(OR($A1690="",$H1690&lt;&gt;"Ausgabe",P1690=""),0,IF(P1690="x",-$E1690/(COUNTIF($J1690:$Q1690,"x")+1),-$E1690*N(P1690)))</f>
        <v/>
      </c>
      <c r="AE1690" s="34">
        <f>IF(OR($A1690="",$H1690&lt;&gt;"Ausgabe",Q1690=""),0,IF(Q1690="x",-$E1690/(COUNTIF($J1690:$Q1690,"x")+1),-$E1690*N(Q1690)))</f>
        <v/>
      </c>
    </row>
    <row r="1691">
      <c r="A1691" s="30" t="n"/>
      <c r="E1691" s="31" t="n"/>
      <c r="J1691" s="32" t="n"/>
      <c r="K1691" s="32" t="n"/>
      <c r="L1691" s="32" t="n"/>
      <c r="M1691" s="32" t="n"/>
      <c r="N1691" s="32" t="n"/>
      <c r="O1691" s="32" t="n"/>
      <c r="P1691" s="32" t="n"/>
      <c r="Q1691" s="32" t="n"/>
      <c r="U1691" s="31">
        <f>IF($A1691="","",SUM(X1691:AE1691))</f>
        <v/>
      </c>
      <c r="V1691" s="31">
        <f>IF($A1691="","",IF($H1691&lt;&gt;"Ausgabe",0,-$E1691-$U1691))</f>
        <v/>
      </c>
      <c r="W1691" s="33">
        <f>IF($A1691="","",DATE(YEAR($A1691),MONTH($A1691),1))</f>
        <v/>
      </c>
      <c r="X1691" s="34">
        <f>IF(OR($A1691="",$H1691&lt;&gt;"Ausgabe",J1691=""),0,IF(J1691="x",-$E1691/(COUNTIF($J1691:$Q1691,"x")+1),-$E1691*N(J1691)))</f>
        <v/>
      </c>
      <c r="Y1691" s="34">
        <f>IF(OR($A1691="",$H1691&lt;&gt;"Ausgabe",K1691=""),0,IF(K1691="x",-$E1691/(COUNTIF($J1691:$Q1691,"x")+1),-$E1691*N(K1691)))</f>
        <v/>
      </c>
      <c r="Z1691" s="34">
        <f>IF(OR($A1691="",$H1691&lt;&gt;"Ausgabe",L1691=""),0,IF(L1691="x",-$E1691/(COUNTIF($J1691:$Q1691,"x")+1),-$E1691*N(L1691)))</f>
        <v/>
      </c>
      <c r="AA1691" s="34">
        <f>IF(OR($A1691="",$H1691&lt;&gt;"Ausgabe",M1691=""),0,IF(M1691="x",-$E1691/(COUNTIF($J1691:$Q1691,"x")+1),-$E1691*N(M1691)))</f>
        <v/>
      </c>
      <c r="AB1691" s="34">
        <f>IF(OR($A1691="",$H1691&lt;&gt;"Ausgabe",N1691=""),0,IF(N1691="x",-$E1691/(COUNTIF($J1691:$Q1691,"x")+1),-$E1691*N(N1691)))</f>
        <v/>
      </c>
      <c r="AC1691" s="34">
        <f>IF(OR($A1691="",$H1691&lt;&gt;"Ausgabe",O1691=""),0,IF(O1691="x",-$E1691/(COUNTIF($J1691:$Q1691,"x")+1),-$E1691*N(O1691)))</f>
        <v/>
      </c>
      <c r="AD1691" s="34">
        <f>IF(OR($A1691="",$H1691&lt;&gt;"Ausgabe",P1691=""),0,IF(P1691="x",-$E1691/(COUNTIF($J1691:$Q1691,"x")+1),-$E1691*N(P1691)))</f>
        <v/>
      </c>
      <c r="AE1691" s="34">
        <f>IF(OR($A1691="",$H1691&lt;&gt;"Ausgabe",Q1691=""),0,IF(Q1691="x",-$E1691/(COUNTIF($J1691:$Q1691,"x")+1),-$E1691*N(Q1691)))</f>
        <v/>
      </c>
    </row>
    <row r="1692">
      <c r="A1692" s="30" t="n"/>
      <c r="E1692" s="31" t="n"/>
      <c r="J1692" s="32" t="n"/>
      <c r="K1692" s="32" t="n"/>
      <c r="L1692" s="32" t="n"/>
      <c r="M1692" s="32" t="n"/>
      <c r="N1692" s="32" t="n"/>
      <c r="O1692" s="32" t="n"/>
      <c r="P1692" s="32" t="n"/>
      <c r="Q1692" s="32" t="n"/>
      <c r="U1692" s="31">
        <f>IF($A1692="","",SUM(X1692:AE1692))</f>
        <v/>
      </c>
      <c r="V1692" s="31">
        <f>IF($A1692="","",IF($H1692&lt;&gt;"Ausgabe",0,-$E1692-$U1692))</f>
        <v/>
      </c>
      <c r="W1692" s="33">
        <f>IF($A1692="","",DATE(YEAR($A1692),MONTH($A1692),1))</f>
        <v/>
      </c>
      <c r="X1692" s="34">
        <f>IF(OR($A1692="",$H1692&lt;&gt;"Ausgabe",J1692=""),0,IF(J1692="x",-$E1692/(COUNTIF($J1692:$Q1692,"x")+1),-$E1692*N(J1692)))</f>
        <v/>
      </c>
      <c r="Y1692" s="34">
        <f>IF(OR($A1692="",$H1692&lt;&gt;"Ausgabe",K1692=""),0,IF(K1692="x",-$E1692/(COUNTIF($J1692:$Q1692,"x")+1),-$E1692*N(K1692)))</f>
        <v/>
      </c>
      <c r="Z1692" s="34">
        <f>IF(OR($A1692="",$H1692&lt;&gt;"Ausgabe",L1692=""),0,IF(L1692="x",-$E1692/(COUNTIF($J1692:$Q1692,"x")+1),-$E1692*N(L1692)))</f>
        <v/>
      </c>
      <c r="AA1692" s="34">
        <f>IF(OR($A1692="",$H1692&lt;&gt;"Ausgabe",M1692=""),0,IF(M1692="x",-$E1692/(COUNTIF($J1692:$Q1692,"x")+1),-$E1692*N(M1692)))</f>
        <v/>
      </c>
      <c r="AB1692" s="34">
        <f>IF(OR($A1692="",$H1692&lt;&gt;"Ausgabe",N1692=""),0,IF(N1692="x",-$E1692/(COUNTIF($J1692:$Q1692,"x")+1),-$E1692*N(N1692)))</f>
        <v/>
      </c>
      <c r="AC1692" s="34">
        <f>IF(OR($A1692="",$H1692&lt;&gt;"Ausgabe",O1692=""),0,IF(O1692="x",-$E1692/(COUNTIF($J1692:$Q1692,"x")+1),-$E1692*N(O1692)))</f>
        <v/>
      </c>
      <c r="AD1692" s="34">
        <f>IF(OR($A1692="",$H1692&lt;&gt;"Ausgabe",P1692=""),0,IF(P1692="x",-$E1692/(COUNTIF($J1692:$Q1692,"x")+1),-$E1692*N(P1692)))</f>
        <v/>
      </c>
      <c r="AE1692" s="34">
        <f>IF(OR($A1692="",$H1692&lt;&gt;"Ausgabe",Q1692=""),0,IF(Q1692="x",-$E1692/(COUNTIF($J1692:$Q1692,"x")+1),-$E1692*N(Q1692)))</f>
        <v/>
      </c>
    </row>
    <row r="1693">
      <c r="A1693" s="30" t="n"/>
      <c r="E1693" s="31" t="n"/>
      <c r="J1693" s="32" t="n"/>
      <c r="K1693" s="32" t="n"/>
      <c r="L1693" s="32" t="n"/>
      <c r="M1693" s="32" t="n"/>
      <c r="N1693" s="32" t="n"/>
      <c r="O1693" s="32" t="n"/>
      <c r="P1693" s="32" t="n"/>
      <c r="Q1693" s="32" t="n"/>
      <c r="U1693" s="31">
        <f>IF($A1693="","",SUM(X1693:AE1693))</f>
        <v/>
      </c>
      <c r="V1693" s="31">
        <f>IF($A1693="","",IF($H1693&lt;&gt;"Ausgabe",0,-$E1693-$U1693))</f>
        <v/>
      </c>
      <c r="W1693" s="33">
        <f>IF($A1693="","",DATE(YEAR($A1693),MONTH($A1693),1))</f>
        <v/>
      </c>
      <c r="X1693" s="34">
        <f>IF(OR($A1693="",$H1693&lt;&gt;"Ausgabe",J1693=""),0,IF(J1693="x",-$E1693/(COUNTIF($J1693:$Q1693,"x")+1),-$E1693*N(J1693)))</f>
        <v/>
      </c>
      <c r="Y1693" s="34">
        <f>IF(OR($A1693="",$H1693&lt;&gt;"Ausgabe",K1693=""),0,IF(K1693="x",-$E1693/(COUNTIF($J1693:$Q1693,"x")+1),-$E1693*N(K1693)))</f>
        <v/>
      </c>
      <c r="Z1693" s="34">
        <f>IF(OR($A1693="",$H1693&lt;&gt;"Ausgabe",L1693=""),0,IF(L1693="x",-$E1693/(COUNTIF($J1693:$Q1693,"x")+1),-$E1693*N(L1693)))</f>
        <v/>
      </c>
      <c r="AA1693" s="34">
        <f>IF(OR($A1693="",$H1693&lt;&gt;"Ausgabe",M1693=""),0,IF(M1693="x",-$E1693/(COUNTIF($J1693:$Q1693,"x")+1),-$E1693*N(M1693)))</f>
        <v/>
      </c>
      <c r="AB1693" s="34">
        <f>IF(OR($A1693="",$H1693&lt;&gt;"Ausgabe",N1693=""),0,IF(N1693="x",-$E1693/(COUNTIF($J1693:$Q1693,"x")+1),-$E1693*N(N1693)))</f>
        <v/>
      </c>
      <c r="AC1693" s="34">
        <f>IF(OR($A1693="",$H1693&lt;&gt;"Ausgabe",O1693=""),0,IF(O1693="x",-$E1693/(COUNTIF($J1693:$Q1693,"x")+1),-$E1693*N(O1693)))</f>
        <v/>
      </c>
      <c r="AD1693" s="34">
        <f>IF(OR($A1693="",$H1693&lt;&gt;"Ausgabe",P1693=""),0,IF(P1693="x",-$E1693/(COUNTIF($J1693:$Q1693,"x")+1),-$E1693*N(P1693)))</f>
        <v/>
      </c>
      <c r="AE1693" s="34">
        <f>IF(OR($A1693="",$H1693&lt;&gt;"Ausgabe",Q1693=""),0,IF(Q1693="x",-$E1693/(COUNTIF($J1693:$Q1693,"x")+1),-$E1693*N(Q1693)))</f>
        <v/>
      </c>
    </row>
    <row r="1694">
      <c r="A1694" s="30" t="n"/>
      <c r="E1694" s="31" t="n"/>
      <c r="J1694" s="32" t="n"/>
      <c r="K1694" s="32" t="n"/>
      <c r="L1694" s="32" t="n"/>
      <c r="M1694" s="32" t="n"/>
      <c r="N1694" s="32" t="n"/>
      <c r="O1694" s="32" t="n"/>
      <c r="P1694" s="32" t="n"/>
      <c r="Q1694" s="32" t="n"/>
      <c r="U1694" s="31">
        <f>IF($A1694="","",SUM(X1694:AE1694))</f>
        <v/>
      </c>
      <c r="V1694" s="31">
        <f>IF($A1694="","",IF($H1694&lt;&gt;"Ausgabe",0,-$E1694-$U1694))</f>
        <v/>
      </c>
      <c r="W1694" s="33">
        <f>IF($A1694="","",DATE(YEAR($A1694),MONTH($A1694),1))</f>
        <v/>
      </c>
      <c r="X1694" s="34">
        <f>IF(OR($A1694="",$H1694&lt;&gt;"Ausgabe",J1694=""),0,IF(J1694="x",-$E1694/(COUNTIF($J1694:$Q1694,"x")+1),-$E1694*N(J1694)))</f>
        <v/>
      </c>
      <c r="Y1694" s="34">
        <f>IF(OR($A1694="",$H1694&lt;&gt;"Ausgabe",K1694=""),0,IF(K1694="x",-$E1694/(COUNTIF($J1694:$Q1694,"x")+1),-$E1694*N(K1694)))</f>
        <v/>
      </c>
      <c r="Z1694" s="34">
        <f>IF(OR($A1694="",$H1694&lt;&gt;"Ausgabe",L1694=""),0,IF(L1694="x",-$E1694/(COUNTIF($J1694:$Q1694,"x")+1),-$E1694*N(L1694)))</f>
        <v/>
      </c>
      <c r="AA1694" s="34">
        <f>IF(OR($A1694="",$H1694&lt;&gt;"Ausgabe",M1694=""),0,IF(M1694="x",-$E1694/(COUNTIF($J1694:$Q1694,"x")+1),-$E1694*N(M1694)))</f>
        <v/>
      </c>
      <c r="AB1694" s="34">
        <f>IF(OR($A1694="",$H1694&lt;&gt;"Ausgabe",N1694=""),0,IF(N1694="x",-$E1694/(COUNTIF($J1694:$Q1694,"x")+1),-$E1694*N(N1694)))</f>
        <v/>
      </c>
      <c r="AC1694" s="34">
        <f>IF(OR($A1694="",$H1694&lt;&gt;"Ausgabe",O1694=""),0,IF(O1694="x",-$E1694/(COUNTIF($J1694:$Q1694,"x")+1),-$E1694*N(O1694)))</f>
        <v/>
      </c>
      <c r="AD1694" s="34">
        <f>IF(OR($A1694="",$H1694&lt;&gt;"Ausgabe",P1694=""),0,IF(P1694="x",-$E1694/(COUNTIF($J1694:$Q1694,"x")+1),-$E1694*N(P1694)))</f>
        <v/>
      </c>
      <c r="AE1694" s="34">
        <f>IF(OR($A1694="",$H1694&lt;&gt;"Ausgabe",Q1694=""),0,IF(Q1694="x",-$E1694/(COUNTIF($J1694:$Q1694,"x")+1),-$E1694*N(Q1694)))</f>
        <v/>
      </c>
    </row>
    <row r="1695">
      <c r="A1695" s="30" t="n"/>
      <c r="E1695" s="31" t="n"/>
      <c r="J1695" s="32" t="n"/>
      <c r="K1695" s="32" t="n"/>
      <c r="L1695" s="32" t="n"/>
      <c r="M1695" s="32" t="n"/>
      <c r="N1695" s="32" t="n"/>
      <c r="O1695" s="32" t="n"/>
      <c r="P1695" s="32" t="n"/>
      <c r="Q1695" s="32" t="n"/>
      <c r="U1695" s="31">
        <f>IF($A1695="","",SUM(X1695:AE1695))</f>
        <v/>
      </c>
      <c r="V1695" s="31">
        <f>IF($A1695="","",IF($H1695&lt;&gt;"Ausgabe",0,-$E1695-$U1695))</f>
        <v/>
      </c>
      <c r="W1695" s="33">
        <f>IF($A1695="","",DATE(YEAR($A1695),MONTH($A1695),1))</f>
        <v/>
      </c>
      <c r="X1695" s="34">
        <f>IF(OR($A1695="",$H1695&lt;&gt;"Ausgabe",J1695=""),0,IF(J1695="x",-$E1695/(COUNTIF($J1695:$Q1695,"x")+1),-$E1695*N(J1695)))</f>
        <v/>
      </c>
      <c r="Y1695" s="34">
        <f>IF(OR($A1695="",$H1695&lt;&gt;"Ausgabe",K1695=""),0,IF(K1695="x",-$E1695/(COUNTIF($J1695:$Q1695,"x")+1),-$E1695*N(K1695)))</f>
        <v/>
      </c>
      <c r="Z1695" s="34">
        <f>IF(OR($A1695="",$H1695&lt;&gt;"Ausgabe",L1695=""),0,IF(L1695="x",-$E1695/(COUNTIF($J1695:$Q1695,"x")+1),-$E1695*N(L1695)))</f>
        <v/>
      </c>
      <c r="AA1695" s="34">
        <f>IF(OR($A1695="",$H1695&lt;&gt;"Ausgabe",M1695=""),0,IF(M1695="x",-$E1695/(COUNTIF($J1695:$Q1695,"x")+1),-$E1695*N(M1695)))</f>
        <v/>
      </c>
      <c r="AB1695" s="34">
        <f>IF(OR($A1695="",$H1695&lt;&gt;"Ausgabe",N1695=""),0,IF(N1695="x",-$E1695/(COUNTIF($J1695:$Q1695,"x")+1),-$E1695*N(N1695)))</f>
        <v/>
      </c>
      <c r="AC1695" s="34">
        <f>IF(OR($A1695="",$H1695&lt;&gt;"Ausgabe",O1695=""),0,IF(O1695="x",-$E1695/(COUNTIF($J1695:$Q1695,"x")+1),-$E1695*N(O1695)))</f>
        <v/>
      </c>
      <c r="AD1695" s="34">
        <f>IF(OR($A1695="",$H1695&lt;&gt;"Ausgabe",P1695=""),0,IF(P1695="x",-$E1695/(COUNTIF($J1695:$Q1695,"x")+1),-$E1695*N(P1695)))</f>
        <v/>
      </c>
      <c r="AE1695" s="34">
        <f>IF(OR($A1695="",$H1695&lt;&gt;"Ausgabe",Q1695=""),0,IF(Q1695="x",-$E1695/(COUNTIF($J1695:$Q1695,"x")+1),-$E1695*N(Q1695)))</f>
        <v/>
      </c>
    </row>
    <row r="1696">
      <c r="A1696" s="30" t="n"/>
      <c r="E1696" s="31" t="n"/>
      <c r="J1696" s="32" t="n"/>
      <c r="K1696" s="32" t="n"/>
      <c r="L1696" s="32" t="n"/>
      <c r="M1696" s="32" t="n"/>
      <c r="N1696" s="32" t="n"/>
      <c r="O1696" s="32" t="n"/>
      <c r="P1696" s="32" t="n"/>
      <c r="Q1696" s="32" t="n"/>
      <c r="U1696" s="31">
        <f>IF($A1696="","",SUM(X1696:AE1696))</f>
        <v/>
      </c>
      <c r="V1696" s="31">
        <f>IF($A1696="","",IF($H1696&lt;&gt;"Ausgabe",0,-$E1696-$U1696))</f>
        <v/>
      </c>
      <c r="W1696" s="33">
        <f>IF($A1696="","",DATE(YEAR($A1696),MONTH($A1696),1))</f>
        <v/>
      </c>
      <c r="X1696" s="34">
        <f>IF(OR($A1696="",$H1696&lt;&gt;"Ausgabe",J1696=""),0,IF(J1696="x",-$E1696/(COUNTIF($J1696:$Q1696,"x")+1),-$E1696*N(J1696)))</f>
        <v/>
      </c>
      <c r="Y1696" s="34">
        <f>IF(OR($A1696="",$H1696&lt;&gt;"Ausgabe",K1696=""),0,IF(K1696="x",-$E1696/(COUNTIF($J1696:$Q1696,"x")+1),-$E1696*N(K1696)))</f>
        <v/>
      </c>
      <c r="Z1696" s="34">
        <f>IF(OR($A1696="",$H1696&lt;&gt;"Ausgabe",L1696=""),0,IF(L1696="x",-$E1696/(COUNTIF($J1696:$Q1696,"x")+1),-$E1696*N(L1696)))</f>
        <v/>
      </c>
      <c r="AA1696" s="34">
        <f>IF(OR($A1696="",$H1696&lt;&gt;"Ausgabe",M1696=""),0,IF(M1696="x",-$E1696/(COUNTIF($J1696:$Q1696,"x")+1),-$E1696*N(M1696)))</f>
        <v/>
      </c>
      <c r="AB1696" s="34">
        <f>IF(OR($A1696="",$H1696&lt;&gt;"Ausgabe",N1696=""),0,IF(N1696="x",-$E1696/(COUNTIF($J1696:$Q1696,"x")+1),-$E1696*N(N1696)))</f>
        <v/>
      </c>
      <c r="AC1696" s="34">
        <f>IF(OR($A1696="",$H1696&lt;&gt;"Ausgabe",O1696=""),0,IF(O1696="x",-$E1696/(COUNTIF($J1696:$Q1696,"x")+1),-$E1696*N(O1696)))</f>
        <v/>
      </c>
      <c r="AD1696" s="34">
        <f>IF(OR($A1696="",$H1696&lt;&gt;"Ausgabe",P1696=""),0,IF(P1696="x",-$E1696/(COUNTIF($J1696:$Q1696,"x")+1),-$E1696*N(P1696)))</f>
        <v/>
      </c>
      <c r="AE1696" s="34">
        <f>IF(OR($A1696="",$H1696&lt;&gt;"Ausgabe",Q1696=""),0,IF(Q1696="x",-$E1696/(COUNTIF($J1696:$Q1696,"x")+1),-$E1696*N(Q1696)))</f>
        <v/>
      </c>
    </row>
    <row r="1697">
      <c r="A1697" s="30" t="n"/>
      <c r="E1697" s="31" t="n"/>
      <c r="J1697" s="32" t="n"/>
      <c r="K1697" s="32" t="n"/>
      <c r="L1697" s="32" t="n"/>
      <c r="M1697" s="32" t="n"/>
      <c r="N1697" s="32" t="n"/>
      <c r="O1697" s="32" t="n"/>
      <c r="P1697" s="32" t="n"/>
      <c r="Q1697" s="32" t="n"/>
      <c r="U1697" s="31">
        <f>IF($A1697="","",SUM(X1697:AE1697))</f>
        <v/>
      </c>
      <c r="V1697" s="31">
        <f>IF($A1697="","",IF($H1697&lt;&gt;"Ausgabe",0,-$E1697-$U1697))</f>
        <v/>
      </c>
      <c r="W1697" s="33">
        <f>IF($A1697="","",DATE(YEAR($A1697),MONTH($A1697),1))</f>
        <v/>
      </c>
      <c r="X1697" s="34">
        <f>IF(OR($A1697="",$H1697&lt;&gt;"Ausgabe",J1697=""),0,IF(J1697="x",-$E1697/(COUNTIF($J1697:$Q1697,"x")+1),-$E1697*N(J1697)))</f>
        <v/>
      </c>
      <c r="Y1697" s="34">
        <f>IF(OR($A1697="",$H1697&lt;&gt;"Ausgabe",K1697=""),0,IF(K1697="x",-$E1697/(COUNTIF($J1697:$Q1697,"x")+1),-$E1697*N(K1697)))</f>
        <v/>
      </c>
      <c r="Z1697" s="34">
        <f>IF(OR($A1697="",$H1697&lt;&gt;"Ausgabe",L1697=""),0,IF(L1697="x",-$E1697/(COUNTIF($J1697:$Q1697,"x")+1),-$E1697*N(L1697)))</f>
        <v/>
      </c>
      <c r="AA1697" s="34">
        <f>IF(OR($A1697="",$H1697&lt;&gt;"Ausgabe",M1697=""),0,IF(M1697="x",-$E1697/(COUNTIF($J1697:$Q1697,"x")+1),-$E1697*N(M1697)))</f>
        <v/>
      </c>
      <c r="AB1697" s="34">
        <f>IF(OR($A1697="",$H1697&lt;&gt;"Ausgabe",N1697=""),0,IF(N1697="x",-$E1697/(COUNTIF($J1697:$Q1697,"x")+1),-$E1697*N(N1697)))</f>
        <v/>
      </c>
      <c r="AC1697" s="34">
        <f>IF(OR($A1697="",$H1697&lt;&gt;"Ausgabe",O1697=""),0,IF(O1697="x",-$E1697/(COUNTIF($J1697:$Q1697,"x")+1),-$E1697*N(O1697)))</f>
        <v/>
      </c>
      <c r="AD1697" s="34">
        <f>IF(OR($A1697="",$H1697&lt;&gt;"Ausgabe",P1697=""),0,IF(P1697="x",-$E1697/(COUNTIF($J1697:$Q1697,"x")+1),-$E1697*N(P1697)))</f>
        <v/>
      </c>
      <c r="AE1697" s="34">
        <f>IF(OR($A1697="",$H1697&lt;&gt;"Ausgabe",Q1697=""),0,IF(Q1697="x",-$E1697/(COUNTIF($J1697:$Q1697,"x")+1),-$E1697*N(Q1697)))</f>
        <v/>
      </c>
    </row>
    <row r="1698">
      <c r="A1698" s="30" t="n"/>
      <c r="E1698" s="31" t="n"/>
      <c r="J1698" s="32" t="n"/>
      <c r="K1698" s="32" t="n"/>
      <c r="L1698" s="32" t="n"/>
      <c r="M1698" s="32" t="n"/>
      <c r="N1698" s="32" t="n"/>
      <c r="O1698" s="32" t="n"/>
      <c r="P1698" s="32" t="n"/>
      <c r="Q1698" s="32" t="n"/>
      <c r="U1698" s="31">
        <f>IF($A1698="","",SUM(X1698:AE1698))</f>
        <v/>
      </c>
      <c r="V1698" s="31">
        <f>IF($A1698="","",IF($H1698&lt;&gt;"Ausgabe",0,-$E1698-$U1698))</f>
        <v/>
      </c>
      <c r="W1698" s="33">
        <f>IF($A1698="","",DATE(YEAR($A1698),MONTH($A1698),1))</f>
        <v/>
      </c>
      <c r="X1698" s="34">
        <f>IF(OR($A1698="",$H1698&lt;&gt;"Ausgabe",J1698=""),0,IF(J1698="x",-$E1698/(COUNTIF($J1698:$Q1698,"x")+1),-$E1698*N(J1698)))</f>
        <v/>
      </c>
      <c r="Y1698" s="34">
        <f>IF(OR($A1698="",$H1698&lt;&gt;"Ausgabe",K1698=""),0,IF(K1698="x",-$E1698/(COUNTIF($J1698:$Q1698,"x")+1),-$E1698*N(K1698)))</f>
        <v/>
      </c>
      <c r="Z1698" s="34">
        <f>IF(OR($A1698="",$H1698&lt;&gt;"Ausgabe",L1698=""),0,IF(L1698="x",-$E1698/(COUNTIF($J1698:$Q1698,"x")+1),-$E1698*N(L1698)))</f>
        <v/>
      </c>
      <c r="AA1698" s="34">
        <f>IF(OR($A1698="",$H1698&lt;&gt;"Ausgabe",M1698=""),0,IF(M1698="x",-$E1698/(COUNTIF($J1698:$Q1698,"x")+1),-$E1698*N(M1698)))</f>
        <v/>
      </c>
      <c r="AB1698" s="34">
        <f>IF(OR($A1698="",$H1698&lt;&gt;"Ausgabe",N1698=""),0,IF(N1698="x",-$E1698/(COUNTIF($J1698:$Q1698,"x")+1),-$E1698*N(N1698)))</f>
        <v/>
      </c>
      <c r="AC1698" s="34">
        <f>IF(OR($A1698="",$H1698&lt;&gt;"Ausgabe",O1698=""),0,IF(O1698="x",-$E1698/(COUNTIF($J1698:$Q1698,"x")+1),-$E1698*N(O1698)))</f>
        <v/>
      </c>
      <c r="AD1698" s="34">
        <f>IF(OR($A1698="",$H1698&lt;&gt;"Ausgabe",P1698=""),0,IF(P1698="x",-$E1698/(COUNTIF($J1698:$Q1698,"x")+1),-$E1698*N(P1698)))</f>
        <v/>
      </c>
      <c r="AE1698" s="34">
        <f>IF(OR($A1698="",$H1698&lt;&gt;"Ausgabe",Q1698=""),0,IF(Q1698="x",-$E1698/(COUNTIF($J1698:$Q1698,"x")+1),-$E1698*N(Q1698)))</f>
        <v/>
      </c>
    </row>
    <row r="1699">
      <c r="A1699" s="30" t="n"/>
      <c r="E1699" s="31" t="n"/>
      <c r="J1699" s="32" t="n"/>
      <c r="K1699" s="32" t="n"/>
      <c r="L1699" s="32" t="n"/>
      <c r="M1699" s="32" t="n"/>
      <c r="N1699" s="32" t="n"/>
      <c r="O1699" s="32" t="n"/>
      <c r="P1699" s="32" t="n"/>
      <c r="Q1699" s="32" t="n"/>
      <c r="U1699" s="31">
        <f>IF($A1699="","",SUM(X1699:AE1699))</f>
        <v/>
      </c>
      <c r="V1699" s="31">
        <f>IF($A1699="","",IF($H1699&lt;&gt;"Ausgabe",0,-$E1699-$U1699))</f>
        <v/>
      </c>
      <c r="W1699" s="33">
        <f>IF($A1699="","",DATE(YEAR($A1699),MONTH($A1699),1))</f>
        <v/>
      </c>
      <c r="X1699" s="34">
        <f>IF(OR($A1699="",$H1699&lt;&gt;"Ausgabe",J1699=""),0,IF(J1699="x",-$E1699/(COUNTIF($J1699:$Q1699,"x")+1),-$E1699*N(J1699)))</f>
        <v/>
      </c>
      <c r="Y1699" s="34">
        <f>IF(OR($A1699="",$H1699&lt;&gt;"Ausgabe",K1699=""),0,IF(K1699="x",-$E1699/(COUNTIF($J1699:$Q1699,"x")+1),-$E1699*N(K1699)))</f>
        <v/>
      </c>
      <c r="Z1699" s="34">
        <f>IF(OR($A1699="",$H1699&lt;&gt;"Ausgabe",L1699=""),0,IF(L1699="x",-$E1699/(COUNTIF($J1699:$Q1699,"x")+1),-$E1699*N(L1699)))</f>
        <v/>
      </c>
      <c r="AA1699" s="34">
        <f>IF(OR($A1699="",$H1699&lt;&gt;"Ausgabe",M1699=""),0,IF(M1699="x",-$E1699/(COUNTIF($J1699:$Q1699,"x")+1),-$E1699*N(M1699)))</f>
        <v/>
      </c>
      <c r="AB1699" s="34">
        <f>IF(OR($A1699="",$H1699&lt;&gt;"Ausgabe",N1699=""),0,IF(N1699="x",-$E1699/(COUNTIF($J1699:$Q1699,"x")+1),-$E1699*N(N1699)))</f>
        <v/>
      </c>
      <c r="AC1699" s="34">
        <f>IF(OR($A1699="",$H1699&lt;&gt;"Ausgabe",O1699=""),0,IF(O1699="x",-$E1699/(COUNTIF($J1699:$Q1699,"x")+1),-$E1699*N(O1699)))</f>
        <v/>
      </c>
      <c r="AD1699" s="34">
        <f>IF(OR($A1699="",$H1699&lt;&gt;"Ausgabe",P1699=""),0,IF(P1699="x",-$E1699/(COUNTIF($J1699:$Q1699,"x")+1),-$E1699*N(P1699)))</f>
        <v/>
      </c>
      <c r="AE1699" s="34">
        <f>IF(OR($A1699="",$H1699&lt;&gt;"Ausgabe",Q1699=""),0,IF(Q1699="x",-$E1699/(COUNTIF($J1699:$Q1699,"x")+1),-$E1699*N(Q1699)))</f>
        <v/>
      </c>
    </row>
    <row r="1700">
      <c r="A1700" s="30" t="n"/>
      <c r="E1700" s="31" t="n"/>
      <c r="J1700" s="32" t="n"/>
      <c r="K1700" s="32" t="n"/>
      <c r="L1700" s="32" t="n"/>
      <c r="M1700" s="32" t="n"/>
      <c r="N1700" s="32" t="n"/>
      <c r="O1700" s="32" t="n"/>
      <c r="P1700" s="32" t="n"/>
      <c r="Q1700" s="32" t="n"/>
      <c r="U1700" s="31">
        <f>IF($A1700="","",SUM(X1700:AE1700))</f>
        <v/>
      </c>
      <c r="V1700" s="31">
        <f>IF($A1700="","",IF($H1700&lt;&gt;"Ausgabe",0,-$E1700-$U1700))</f>
        <v/>
      </c>
      <c r="W1700" s="33">
        <f>IF($A1700="","",DATE(YEAR($A1700),MONTH($A1700),1))</f>
        <v/>
      </c>
      <c r="X1700" s="34">
        <f>IF(OR($A1700="",$H1700&lt;&gt;"Ausgabe",J1700=""),0,IF(J1700="x",-$E1700/(COUNTIF($J1700:$Q1700,"x")+1),-$E1700*N(J1700)))</f>
        <v/>
      </c>
      <c r="Y1700" s="34">
        <f>IF(OR($A1700="",$H1700&lt;&gt;"Ausgabe",K1700=""),0,IF(K1700="x",-$E1700/(COUNTIF($J1700:$Q1700,"x")+1),-$E1700*N(K1700)))</f>
        <v/>
      </c>
      <c r="Z1700" s="34">
        <f>IF(OR($A1700="",$H1700&lt;&gt;"Ausgabe",L1700=""),0,IF(L1700="x",-$E1700/(COUNTIF($J1700:$Q1700,"x")+1),-$E1700*N(L1700)))</f>
        <v/>
      </c>
      <c r="AA1700" s="34">
        <f>IF(OR($A1700="",$H1700&lt;&gt;"Ausgabe",M1700=""),0,IF(M1700="x",-$E1700/(COUNTIF($J1700:$Q1700,"x")+1),-$E1700*N(M1700)))</f>
        <v/>
      </c>
      <c r="AB1700" s="34">
        <f>IF(OR($A1700="",$H1700&lt;&gt;"Ausgabe",N1700=""),0,IF(N1700="x",-$E1700/(COUNTIF($J1700:$Q1700,"x")+1),-$E1700*N(N1700)))</f>
        <v/>
      </c>
      <c r="AC1700" s="34">
        <f>IF(OR($A1700="",$H1700&lt;&gt;"Ausgabe",O1700=""),0,IF(O1700="x",-$E1700/(COUNTIF($J1700:$Q1700,"x")+1),-$E1700*N(O1700)))</f>
        <v/>
      </c>
      <c r="AD1700" s="34">
        <f>IF(OR($A1700="",$H1700&lt;&gt;"Ausgabe",P1700=""),0,IF(P1700="x",-$E1700/(COUNTIF($J1700:$Q1700,"x")+1),-$E1700*N(P1700)))</f>
        <v/>
      </c>
      <c r="AE1700" s="34">
        <f>IF(OR($A1700="",$H1700&lt;&gt;"Ausgabe",Q1700=""),0,IF(Q1700="x",-$E1700/(COUNTIF($J1700:$Q1700,"x")+1),-$E1700*N(Q1700)))</f>
        <v/>
      </c>
    </row>
    <row r="1701">
      <c r="A1701" s="30" t="n"/>
      <c r="E1701" s="31" t="n"/>
      <c r="J1701" s="32" t="n"/>
      <c r="K1701" s="32" t="n"/>
      <c r="L1701" s="32" t="n"/>
      <c r="M1701" s="32" t="n"/>
      <c r="N1701" s="32" t="n"/>
      <c r="O1701" s="32" t="n"/>
      <c r="P1701" s="32" t="n"/>
      <c r="Q1701" s="32" t="n"/>
      <c r="U1701" s="31">
        <f>IF($A1701="","",SUM(X1701:AE1701))</f>
        <v/>
      </c>
      <c r="V1701" s="31">
        <f>IF($A1701="","",IF($H1701&lt;&gt;"Ausgabe",0,-$E1701-$U1701))</f>
        <v/>
      </c>
      <c r="W1701" s="33">
        <f>IF($A1701="","",DATE(YEAR($A1701),MONTH($A1701),1))</f>
        <v/>
      </c>
      <c r="X1701" s="34">
        <f>IF(OR($A1701="",$H1701&lt;&gt;"Ausgabe",J1701=""),0,IF(J1701="x",-$E1701/(COUNTIF($J1701:$Q1701,"x")+1),-$E1701*N(J1701)))</f>
        <v/>
      </c>
      <c r="Y1701" s="34">
        <f>IF(OR($A1701="",$H1701&lt;&gt;"Ausgabe",K1701=""),0,IF(K1701="x",-$E1701/(COUNTIF($J1701:$Q1701,"x")+1),-$E1701*N(K1701)))</f>
        <v/>
      </c>
      <c r="Z1701" s="34">
        <f>IF(OR($A1701="",$H1701&lt;&gt;"Ausgabe",L1701=""),0,IF(L1701="x",-$E1701/(COUNTIF($J1701:$Q1701,"x")+1),-$E1701*N(L1701)))</f>
        <v/>
      </c>
      <c r="AA1701" s="34">
        <f>IF(OR($A1701="",$H1701&lt;&gt;"Ausgabe",M1701=""),0,IF(M1701="x",-$E1701/(COUNTIF($J1701:$Q1701,"x")+1),-$E1701*N(M1701)))</f>
        <v/>
      </c>
      <c r="AB1701" s="34">
        <f>IF(OR($A1701="",$H1701&lt;&gt;"Ausgabe",N1701=""),0,IF(N1701="x",-$E1701/(COUNTIF($J1701:$Q1701,"x")+1),-$E1701*N(N1701)))</f>
        <v/>
      </c>
      <c r="AC1701" s="34">
        <f>IF(OR($A1701="",$H1701&lt;&gt;"Ausgabe",O1701=""),0,IF(O1701="x",-$E1701/(COUNTIF($J1701:$Q1701,"x")+1),-$E1701*N(O1701)))</f>
        <v/>
      </c>
      <c r="AD1701" s="34">
        <f>IF(OR($A1701="",$H1701&lt;&gt;"Ausgabe",P1701=""),0,IF(P1701="x",-$E1701/(COUNTIF($J1701:$Q1701,"x")+1),-$E1701*N(P1701)))</f>
        <v/>
      </c>
      <c r="AE1701" s="34">
        <f>IF(OR($A1701="",$H1701&lt;&gt;"Ausgabe",Q1701=""),0,IF(Q1701="x",-$E1701/(COUNTIF($J1701:$Q1701,"x")+1),-$E1701*N(Q1701)))</f>
        <v/>
      </c>
    </row>
    <row r="1702">
      <c r="A1702" s="30" t="n"/>
      <c r="E1702" s="31" t="n"/>
      <c r="J1702" s="32" t="n"/>
      <c r="K1702" s="32" t="n"/>
      <c r="L1702" s="32" t="n"/>
      <c r="M1702" s="32" t="n"/>
      <c r="N1702" s="32" t="n"/>
      <c r="O1702" s="32" t="n"/>
      <c r="P1702" s="32" t="n"/>
      <c r="Q1702" s="32" t="n"/>
      <c r="U1702" s="31">
        <f>IF($A1702="","",SUM(X1702:AE1702))</f>
        <v/>
      </c>
      <c r="V1702" s="31">
        <f>IF($A1702="","",IF($H1702&lt;&gt;"Ausgabe",0,-$E1702-$U1702))</f>
        <v/>
      </c>
      <c r="W1702" s="33">
        <f>IF($A1702="","",DATE(YEAR($A1702),MONTH($A1702),1))</f>
        <v/>
      </c>
      <c r="X1702" s="34">
        <f>IF(OR($A1702="",$H1702&lt;&gt;"Ausgabe",J1702=""),0,IF(J1702="x",-$E1702/(COUNTIF($J1702:$Q1702,"x")+1),-$E1702*N(J1702)))</f>
        <v/>
      </c>
      <c r="Y1702" s="34">
        <f>IF(OR($A1702="",$H1702&lt;&gt;"Ausgabe",K1702=""),0,IF(K1702="x",-$E1702/(COUNTIF($J1702:$Q1702,"x")+1),-$E1702*N(K1702)))</f>
        <v/>
      </c>
      <c r="Z1702" s="34">
        <f>IF(OR($A1702="",$H1702&lt;&gt;"Ausgabe",L1702=""),0,IF(L1702="x",-$E1702/(COUNTIF($J1702:$Q1702,"x")+1),-$E1702*N(L1702)))</f>
        <v/>
      </c>
      <c r="AA1702" s="34">
        <f>IF(OR($A1702="",$H1702&lt;&gt;"Ausgabe",M1702=""),0,IF(M1702="x",-$E1702/(COUNTIF($J1702:$Q1702,"x")+1),-$E1702*N(M1702)))</f>
        <v/>
      </c>
      <c r="AB1702" s="34">
        <f>IF(OR($A1702="",$H1702&lt;&gt;"Ausgabe",N1702=""),0,IF(N1702="x",-$E1702/(COUNTIF($J1702:$Q1702,"x")+1),-$E1702*N(N1702)))</f>
        <v/>
      </c>
      <c r="AC1702" s="34">
        <f>IF(OR($A1702="",$H1702&lt;&gt;"Ausgabe",O1702=""),0,IF(O1702="x",-$E1702/(COUNTIF($J1702:$Q1702,"x")+1),-$E1702*N(O1702)))</f>
        <v/>
      </c>
      <c r="AD1702" s="34">
        <f>IF(OR($A1702="",$H1702&lt;&gt;"Ausgabe",P1702=""),0,IF(P1702="x",-$E1702/(COUNTIF($J1702:$Q1702,"x")+1),-$E1702*N(P1702)))</f>
        <v/>
      </c>
      <c r="AE1702" s="34">
        <f>IF(OR($A1702="",$H1702&lt;&gt;"Ausgabe",Q1702=""),0,IF(Q1702="x",-$E1702/(COUNTIF($J1702:$Q1702,"x")+1),-$E1702*N(Q1702)))</f>
        <v/>
      </c>
    </row>
    <row r="1703">
      <c r="A1703" s="30" t="n"/>
      <c r="E1703" s="31" t="n"/>
      <c r="J1703" s="32" t="n"/>
      <c r="K1703" s="32" t="n"/>
      <c r="L1703" s="32" t="n"/>
      <c r="M1703" s="32" t="n"/>
      <c r="N1703" s="32" t="n"/>
      <c r="O1703" s="32" t="n"/>
      <c r="P1703" s="32" t="n"/>
      <c r="Q1703" s="32" t="n"/>
      <c r="U1703" s="31">
        <f>IF($A1703="","",SUM(X1703:AE1703))</f>
        <v/>
      </c>
      <c r="V1703" s="31">
        <f>IF($A1703="","",IF($H1703&lt;&gt;"Ausgabe",0,-$E1703-$U1703))</f>
        <v/>
      </c>
      <c r="W1703" s="33">
        <f>IF($A1703="","",DATE(YEAR($A1703),MONTH($A1703),1))</f>
        <v/>
      </c>
      <c r="X1703" s="34">
        <f>IF(OR($A1703="",$H1703&lt;&gt;"Ausgabe",J1703=""),0,IF(J1703="x",-$E1703/(COUNTIF($J1703:$Q1703,"x")+1),-$E1703*N(J1703)))</f>
        <v/>
      </c>
      <c r="Y1703" s="34">
        <f>IF(OR($A1703="",$H1703&lt;&gt;"Ausgabe",K1703=""),0,IF(K1703="x",-$E1703/(COUNTIF($J1703:$Q1703,"x")+1),-$E1703*N(K1703)))</f>
        <v/>
      </c>
      <c r="Z1703" s="34">
        <f>IF(OR($A1703="",$H1703&lt;&gt;"Ausgabe",L1703=""),0,IF(L1703="x",-$E1703/(COUNTIF($J1703:$Q1703,"x")+1),-$E1703*N(L1703)))</f>
        <v/>
      </c>
      <c r="AA1703" s="34">
        <f>IF(OR($A1703="",$H1703&lt;&gt;"Ausgabe",M1703=""),0,IF(M1703="x",-$E1703/(COUNTIF($J1703:$Q1703,"x")+1),-$E1703*N(M1703)))</f>
        <v/>
      </c>
      <c r="AB1703" s="34">
        <f>IF(OR($A1703="",$H1703&lt;&gt;"Ausgabe",N1703=""),0,IF(N1703="x",-$E1703/(COUNTIF($J1703:$Q1703,"x")+1),-$E1703*N(N1703)))</f>
        <v/>
      </c>
      <c r="AC1703" s="34">
        <f>IF(OR($A1703="",$H1703&lt;&gt;"Ausgabe",O1703=""),0,IF(O1703="x",-$E1703/(COUNTIF($J1703:$Q1703,"x")+1),-$E1703*N(O1703)))</f>
        <v/>
      </c>
      <c r="AD1703" s="34">
        <f>IF(OR($A1703="",$H1703&lt;&gt;"Ausgabe",P1703=""),0,IF(P1703="x",-$E1703/(COUNTIF($J1703:$Q1703,"x")+1),-$E1703*N(P1703)))</f>
        <v/>
      </c>
      <c r="AE1703" s="34">
        <f>IF(OR($A1703="",$H1703&lt;&gt;"Ausgabe",Q1703=""),0,IF(Q1703="x",-$E1703/(COUNTIF($J1703:$Q1703,"x")+1),-$E1703*N(Q1703)))</f>
        <v/>
      </c>
    </row>
    <row r="1704">
      <c r="A1704" s="30" t="n"/>
      <c r="E1704" s="31" t="n"/>
      <c r="J1704" s="32" t="n"/>
      <c r="K1704" s="32" t="n"/>
      <c r="L1704" s="32" t="n"/>
      <c r="M1704" s="32" t="n"/>
      <c r="N1704" s="32" t="n"/>
      <c r="O1704" s="32" t="n"/>
      <c r="P1704" s="32" t="n"/>
      <c r="Q1704" s="32" t="n"/>
      <c r="U1704" s="31">
        <f>IF($A1704="","",SUM(X1704:AE1704))</f>
        <v/>
      </c>
      <c r="V1704" s="31">
        <f>IF($A1704="","",IF($H1704&lt;&gt;"Ausgabe",0,-$E1704-$U1704))</f>
        <v/>
      </c>
      <c r="W1704" s="33">
        <f>IF($A1704="","",DATE(YEAR($A1704),MONTH($A1704),1))</f>
        <v/>
      </c>
      <c r="X1704" s="34">
        <f>IF(OR($A1704="",$H1704&lt;&gt;"Ausgabe",J1704=""),0,IF(J1704="x",-$E1704/(COUNTIF($J1704:$Q1704,"x")+1),-$E1704*N(J1704)))</f>
        <v/>
      </c>
      <c r="Y1704" s="34">
        <f>IF(OR($A1704="",$H1704&lt;&gt;"Ausgabe",K1704=""),0,IF(K1704="x",-$E1704/(COUNTIF($J1704:$Q1704,"x")+1),-$E1704*N(K1704)))</f>
        <v/>
      </c>
      <c r="Z1704" s="34">
        <f>IF(OR($A1704="",$H1704&lt;&gt;"Ausgabe",L1704=""),0,IF(L1704="x",-$E1704/(COUNTIF($J1704:$Q1704,"x")+1),-$E1704*N(L1704)))</f>
        <v/>
      </c>
      <c r="AA1704" s="34">
        <f>IF(OR($A1704="",$H1704&lt;&gt;"Ausgabe",M1704=""),0,IF(M1704="x",-$E1704/(COUNTIF($J1704:$Q1704,"x")+1),-$E1704*N(M1704)))</f>
        <v/>
      </c>
      <c r="AB1704" s="34">
        <f>IF(OR($A1704="",$H1704&lt;&gt;"Ausgabe",N1704=""),0,IF(N1704="x",-$E1704/(COUNTIF($J1704:$Q1704,"x")+1),-$E1704*N(N1704)))</f>
        <v/>
      </c>
      <c r="AC1704" s="34">
        <f>IF(OR($A1704="",$H1704&lt;&gt;"Ausgabe",O1704=""),0,IF(O1704="x",-$E1704/(COUNTIF($J1704:$Q1704,"x")+1),-$E1704*N(O1704)))</f>
        <v/>
      </c>
      <c r="AD1704" s="34">
        <f>IF(OR($A1704="",$H1704&lt;&gt;"Ausgabe",P1704=""),0,IF(P1704="x",-$E1704/(COUNTIF($J1704:$Q1704,"x")+1),-$E1704*N(P1704)))</f>
        <v/>
      </c>
      <c r="AE1704" s="34">
        <f>IF(OR($A1704="",$H1704&lt;&gt;"Ausgabe",Q1704=""),0,IF(Q1704="x",-$E1704/(COUNTIF($J1704:$Q1704,"x")+1),-$E1704*N(Q1704)))</f>
        <v/>
      </c>
    </row>
    <row r="1705">
      <c r="A1705" s="30" t="n"/>
      <c r="E1705" s="31" t="n"/>
      <c r="J1705" s="32" t="n"/>
      <c r="K1705" s="32" t="n"/>
      <c r="L1705" s="32" t="n"/>
      <c r="M1705" s="32" t="n"/>
      <c r="N1705" s="32" t="n"/>
      <c r="O1705" s="32" t="n"/>
      <c r="P1705" s="32" t="n"/>
      <c r="Q1705" s="32" t="n"/>
      <c r="U1705" s="31">
        <f>IF($A1705="","",SUM(X1705:AE1705))</f>
        <v/>
      </c>
      <c r="V1705" s="31">
        <f>IF($A1705="","",IF($H1705&lt;&gt;"Ausgabe",0,-$E1705-$U1705))</f>
        <v/>
      </c>
      <c r="W1705" s="33">
        <f>IF($A1705="","",DATE(YEAR($A1705),MONTH($A1705),1))</f>
        <v/>
      </c>
      <c r="X1705" s="34">
        <f>IF(OR($A1705="",$H1705&lt;&gt;"Ausgabe",J1705=""),0,IF(J1705="x",-$E1705/(COUNTIF($J1705:$Q1705,"x")+1),-$E1705*N(J1705)))</f>
        <v/>
      </c>
      <c r="Y1705" s="34">
        <f>IF(OR($A1705="",$H1705&lt;&gt;"Ausgabe",K1705=""),0,IF(K1705="x",-$E1705/(COUNTIF($J1705:$Q1705,"x")+1),-$E1705*N(K1705)))</f>
        <v/>
      </c>
      <c r="Z1705" s="34">
        <f>IF(OR($A1705="",$H1705&lt;&gt;"Ausgabe",L1705=""),0,IF(L1705="x",-$E1705/(COUNTIF($J1705:$Q1705,"x")+1),-$E1705*N(L1705)))</f>
        <v/>
      </c>
      <c r="AA1705" s="34">
        <f>IF(OR($A1705="",$H1705&lt;&gt;"Ausgabe",M1705=""),0,IF(M1705="x",-$E1705/(COUNTIF($J1705:$Q1705,"x")+1),-$E1705*N(M1705)))</f>
        <v/>
      </c>
      <c r="AB1705" s="34">
        <f>IF(OR($A1705="",$H1705&lt;&gt;"Ausgabe",N1705=""),0,IF(N1705="x",-$E1705/(COUNTIF($J1705:$Q1705,"x")+1),-$E1705*N(N1705)))</f>
        <v/>
      </c>
      <c r="AC1705" s="34">
        <f>IF(OR($A1705="",$H1705&lt;&gt;"Ausgabe",O1705=""),0,IF(O1705="x",-$E1705/(COUNTIF($J1705:$Q1705,"x")+1),-$E1705*N(O1705)))</f>
        <v/>
      </c>
      <c r="AD1705" s="34">
        <f>IF(OR($A1705="",$H1705&lt;&gt;"Ausgabe",P1705=""),0,IF(P1705="x",-$E1705/(COUNTIF($J1705:$Q1705,"x")+1),-$E1705*N(P1705)))</f>
        <v/>
      </c>
      <c r="AE1705" s="34">
        <f>IF(OR($A1705="",$H1705&lt;&gt;"Ausgabe",Q1705=""),0,IF(Q1705="x",-$E1705/(COUNTIF($J1705:$Q1705,"x")+1),-$E1705*N(Q1705)))</f>
        <v/>
      </c>
    </row>
    <row r="1706">
      <c r="A1706" s="30" t="n"/>
      <c r="E1706" s="31" t="n"/>
      <c r="J1706" s="32" t="n"/>
      <c r="K1706" s="32" t="n"/>
      <c r="L1706" s="32" t="n"/>
      <c r="M1706" s="32" t="n"/>
      <c r="N1706" s="32" t="n"/>
      <c r="O1706" s="32" t="n"/>
      <c r="P1706" s="32" t="n"/>
      <c r="Q1706" s="32" t="n"/>
      <c r="U1706" s="31">
        <f>IF($A1706="","",SUM(X1706:AE1706))</f>
        <v/>
      </c>
      <c r="V1706" s="31">
        <f>IF($A1706="","",IF($H1706&lt;&gt;"Ausgabe",0,-$E1706-$U1706))</f>
        <v/>
      </c>
      <c r="W1706" s="33">
        <f>IF($A1706="","",DATE(YEAR($A1706),MONTH($A1706),1))</f>
        <v/>
      </c>
      <c r="X1706" s="34">
        <f>IF(OR($A1706="",$H1706&lt;&gt;"Ausgabe",J1706=""),0,IF(J1706="x",-$E1706/(COUNTIF($J1706:$Q1706,"x")+1),-$E1706*N(J1706)))</f>
        <v/>
      </c>
      <c r="Y1706" s="34">
        <f>IF(OR($A1706="",$H1706&lt;&gt;"Ausgabe",K1706=""),0,IF(K1706="x",-$E1706/(COUNTIF($J1706:$Q1706,"x")+1),-$E1706*N(K1706)))</f>
        <v/>
      </c>
      <c r="Z1706" s="34">
        <f>IF(OR($A1706="",$H1706&lt;&gt;"Ausgabe",L1706=""),0,IF(L1706="x",-$E1706/(COUNTIF($J1706:$Q1706,"x")+1),-$E1706*N(L1706)))</f>
        <v/>
      </c>
      <c r="AA1706" s="34">
        <f>IF(OR($A1706="",$H1706&lt;&gt;"Ausgabe",M1706=""),0,IF(M1706="x",-$E1706/(COUNTIF($J1706:$Q1706,"x")+1),-$E1706*N(M1706)))</f>
        <v/>
      </c>
      <c r="AB1706" s="34">
        <f>IF(OR($A1706="",$H1706&lt;&gt;"Ausgabe",N1706=""),0,IF(N1706="x",-$E1706/(COUNTIF($J1706:$Q1706,"x")+1),-$E1706*N(N1706)))</f>
        <v/>
      </c>
      <c r="AC1706" s="34">
        <f>IF(OR($A1706="",$H1706&lt;&gt;"Ausgabe",O1706=""),0,IF(O1706="x",-$E1706/(COUNTIF($J1706:$Q1706,"x")+1),-$E1706*N(O1706)))</f>
        <v/>
      </c>
      <c r="AD1706" s="34">
        <f>IF(OR($A1706="",$H1706&lt;&gt;"Ausgabe",P1706=""),0,IF(P1706="x",-$E1706/(COUNTIF($J1706:$Q1706,"x")+1),-$E1706*N(P1706)))</f>
        <v/>
      </c>
      <c r="AE1706" s="34">
        <f>IF(OR($A1706="",$H1706&lt;&gt;"Ausgabe",Q1706=""),0,IF(Q1706="x",-$E1706/(COUNTIF($J1706:$Q1706,"x")+1),-$E1706*N(Q1706)))</f>
        <v/>
      </c>
    </row>
    <row r="1707">
      <c r="A1707" s="30" t="n"/>
      <c r="E1707" s="31" t="n"/>
      <c r="J1707" s="32" t="n"/>
      <c r="K1707" s="32" t="n"/>
      <c r="L1707" s="32" t="n"/>
      <c r="M1707" s="32" t="n"/>
      <c r="N1707" s="32" t="n"/>
      <c r="O1707" s="32" t="n"/>
      <c r="P1707" s="32" t="n"/>
      <c r="Q1707" s="32" t="n"/>
      <c r="U1707" s="31">
        <f>IF($A1707="","",SUM(X1707:AE1707))</f>
        <v/>
      </c>
      <c r="V1707" s="31">
        <f>IF($A1707="","",IF($H1707&lt;&gt;"Ausgabe",0,-$E1707-$U1707))</f>
        <v/>
      </c>
      <c r="W1707" s="33">
        <f>IF($A1707="","",DATE(YEAR($A1707),MONTH($A1707),1))</f>
        <v/>
      </c>
      <c r="X1707" s="34">
        <f>IF(OR($A1707="",$H1707&lt;&gt;"Ausgabe",J1707=""),0,IF(J1707="x",-$E1707/(COUNTIF($J1707:$Q1707,"x")+1),-$E1707*N(J1707)))</f>
        <v/>
      </c>
      <c r="Y1707" s="34">
        <f>IF(OR($A1707="",$H1707&lt;&gt;"Ausgabe",K1707=""),0,IF(K1707="x",-$E1707/(COUNTIF($J1707:$Q1707,"x")+1),-$E1707*N(K1707)))</f>
        <v/>
      </c>
      <c r="Z1707" s="34">
        <f>IF(OR($A1707="",$H1707&lt;&gt;"Ausgabe",L1707=""),0,IF(L1707="x",-$E1707/(COUNTIF($J1707:$Q1707,"x")+1),-$E1707*N(L1707)))</f>
        <v/>
      </c>
      <c r="AA1707" s="34">
        <f>IF(OR($A1707="",$H1707&lt;&gt;"Ausgabe",M1707=""),0,IF(M1707="x",-$E1707/(COUNTIF($J1707:$Q1707,"x")+1),-$E1707*N(M1707)))</f>
        <v/>
      </c>
      <c r="AB1707" s="34">
        <f>IF(OR($A1707="",$H1707&lt;&gt;"Ausgabe",N1707=""),0,IF(N1707="x",-$E1707/(COUNTIF($J1707:$Q1707,"x")+1),-$E1707*N(N1707)))</f>
        <v/>
      </c>
      <c r="AC1707" s="34">
        <f>IF(OR($A1707="",$H1707&lt;&gt;"Ausgabe",O1707=""),0,IF(O1707="x",-$E1707/(COUNTIF($J1707:$Q1707,"x")+1),-$E1707*N(O1707)))</f>
        <v/>
      </c>
      <c r="AD1707" s="34">
        <f>IF(OR($A1707="",$H1707&lt;&gt;"Ausgabe",P1707=""),0,IF(P1707="x",-$E1707/(COUNTIF($J1707:$Q1707,"x")+1),-$E1707*N(P1707)))</f>
        <v/>
      </c>
      <c r="AE1707" s="34">
        <f>IF(OR($A1707="",$H1707&lt;&gt;"Ausgabe",Q1707=""),0,IF(Q1707="x",-$E1707/(COUNTIF($J1707:$Q1707,"x")+1),-$E1707*N(Q1707)))</f>
        <v/>
      </c>
    </row>
    <row r="1708">
      <c r="A1708" s="30" t="n"/>
      <c r="E1708" s="31" t="n"/>
      <c r="J1708" s="32" t="n"/>
      <c r="K1708" s="32" t="n"/>
      <c r="L1708" s="32" t="n"/>
      <c r="M1708" s="32" t="n"/>
      <c r="N1708" s="32" t="n"/>
      <c r="O1708" s="32" t="n"/>
      <c r="P1708" s="32" t="n"/>
      <c r="Q1708" s="32" t="n"/>
      <c r="U1708" s="31">
        <f>IF($A1708="","",SUM(X1708:AE1708))</f>
        <v/>
      </c>
      <c r="V1708" s="31">
        <f>IF($A1708="","",IF($H1708&lt;&gt;"Ausgabe",0,-$E1708-$U1708))</f>
        <v/>
      </c>
      <c r="W1708" s="33">
        <f>IF($A1708="","",DATE(YEAR($A1708),MONTH($A1708),1))</f>
        <v/>
      </c>
      <c r="X1708" s="34">
        <f>IF(OR($A1708="",$H1708&lt;&gt;"Ausgabe",J1708=""),0,IF(J1708="x",-$E1708/(COUNTIF($J1708:$Q1708,"x")+1),-$E1708*N(J1708)))</f>
        <v/>
      </c>
      <c r="Y1708" s="34">
        <f>IF(OR($A1708="",$H1708&lt;&gt;"Ausgabe",K1708=""),0,IF(K1708="x",-$E1708/(COUNTIF($J1708:$Q1708,"x")+1),-$E1708*N(K1708)))</f>
        <v/>
      </c>
      <c r="Z1708" s="34">
        <f>IF(OR($A1708="",$H1708&lt;&gt;"Ausgabe",L1708=""),0,IF(L1708="x",-$E1708/(COUNTIF($J1708:$Q1708,"x")+1),-$E1708*N(L1708)))</f>
        <v/>
      </c>
      <c r="AA1708" s="34">
        <f>IF(OR($A1708="",$H1708&lt;&gt;"Ausgabe",M1708=""),0,IF(M1708="x",-$E1708/(COUNTIF($J1708:$Q1708,"x")+1),-$E1708*N(M1708)))</f>
        <v/>
      </c>
      <c r="AB1708" s="34">
        <f>IF(OR($A1708="",$H1708&lt;&gt;"Ausgabe",N1708=""),0,IF(N1708="x",-$E1708/(COUNTIF($J1708:$Q1708,"x")+1),-$E1708*N(N1708)))</f>
        <v/>
      </c>
      <c r="AC1708" s="34">
        <f>IF(OR($A1708="",$H1708&lt;&gt;"Ausgabe",O1708=""),0,IF(O1708="x",-$E1708/(COUNTIF($J1708:$Q1708,"x")+1),-$E1708*N(O1708)))</f>
        <v/>
      </c>
      <c r="AD1708" s="34">
        <f>IF(OR($A1708="",$H1708&lt;&gt;"Ausgabe",P1708=""),0,IF(P1708="x",-$E1708/(COUNTIF($J1708:$Q1708,"x")+1),-$E1708*N(P1708)))</f>
        <v/>
      </c>
      <c r="AE1708" s="34">
        <f>IF(OR($A1708="",$H1708&lt;&gt;"Ausgabe",Q1708=""),0,IF(Q1708="x",-$E1708/(COUNTIF($J1708:$Q1708,"x")+1),-$E1708*N(Q1708)))</f>
        <v/>
      </c>
    </row>
    <row r="1709">
      <c r="A1709" s="30" t="n"/>
      <c r="E1709" s="31" t="n"/>
      <c r="J1709" s="32" t="n"/>
      <c r="K1709" s="32" t="n"/>
      <c r="L1709" s="32" t="n"/>
      <c r="M1709" s="32" t="n"/>
      <c r="N1709" s="32" t="n"/>
      <c r="O1709" s="32" t="n"/>
      <c r="P1709" s="32" t="n"/>
      <c r="Q1709" s="32" t="n"/>
      <c r="U1709" s="31">
        <f>IF($A1709="","",SUM(X1709:AE1709))</f>
        <v/>
      </c>
      <c r="V1709" s="31">
        <f>IF($A1709="","",IF($H1709&lt;&gt;"Ausgabe",0,-$E1709-$U1709))</f>
        <v/>
      </c>
      <c r="W1709" s="33">
        <f>IF($A1709="","",DATE(YEAR($A1709),MONTH($A1709),1))</f>
        <v/>
      </c>
      <c r="X1709" s="34">
        <f>IF(OR($A1709="",$H1709&lt;&gt;"Ausgabe",J1709=""),0,IF(J1709="x",-$E1709/(COUNTIF($J1709:$Q1709,"x")+1),-$E1709*N(J1709)))</f>
        <v/>
      </c>
      <c r="Y1709" s="34">
        <f>IF(OR($A1709="",$H1709&lt;&gt;"Ausgabe",K1709=""),0,IF(K1709="x",-$E1709/(COUNTIF($J1709:$Q1709,"x")+1),-$E1709*N(K1709)))</f>
        <v/>
      </c>
      <c r="Z1709" s="34">
        <f>IF(OR($A1709="",$H1709&lt;&gt;"Ausgabe",L1709=""),0,IF(L1709="x",-$E1709/(COUNTIF($J1709:$Q1709,"x")+1),-$E1709*N(L1709)))</f>
        <v/>
      </c>
      <c r="AA1709" s="34">
        <f>IF(OR($A1709="",$H1709&lt;&gt;"Ausgabe",M1709=""),0,IF(M1709="x",-$E1709/(COUNTIF($J1709:$Q1709,"x")+1),-$E1709*N(M1709)))</f>
        <v/>
      </c>
      <c r="AB1709" s="34">
        <f>IF(OR($A1709="",$H1709&lt;&gt;"Ausgabe",N1709=""),0,IF(N1709="x",-$E1709/(COUNTIF($J1709:$Q1709,"x")+1),-$E1709*N(N1709)))</f>
        <v/>
      </c>
      <c r="AC1709" s="34">
        <f>IF(OR($A1709="",$H1709&lt;&gt;"Ausgabe",O1709=""),0,IF(O1709="x",-$E1709/(COUNTIF($J1709:$Q1709,"x")+1),-$E1709*N(O1709)))</f>
        <v/>
      </c>
      <c r="AD1709" s="34">
        <f>IF(OR($A1709="",$H1709&lt;&gt;"Ausgabe",P1709=""),0,IF(P1709="x",-$E1709/(COUNTIF($J1709:$Q1709,"x")+1),-$E1709*N(P1709)))</f>
        <v/>
      </c>
      <c r="AE1709" s="34">
        <f>IF(OR($A1709="",$H1709&lt;&gt;"Ausgabe",Q1709=""),0,IF(Q1709="x",-$E1709/(COUNTIF($J1709:$Q1709,"x")+1),-$E1709*N(Q1709)))</f>
        <v/>
      </c>
    </row>
    <row r="1710">
      <c r="A1710" s="30" t="n"/>
      <c r="E1710" s="31" t="n"/>
      <c r="J1710" s="32" t="n"/>
      <c r="K1710" s="32" t="n"/>
      <c r="L1710" s="32" t="n"/>
      <c r="M1710" s="32" t="n"/>
      <c r="N1710" s="32" t="n"/>
      <c r="O1710" s="32" t="n"/>
      <c r="P1710" s="32" t="n"/>
      <c r="Q1710" s="32" t="n"/>
      <c r="U1710" s="31">
        <f>IF($A1710="","",SUM(X1710:AE1710))</f>
        <v/>
      </c>
      <c r="V1710" s="31">
        <f>IF($A1710="","",IF($H1710&lt;&gt;"Ausgabe",0,-$E1710-$U1710))</f>
        <v/>
      </c>
      <c r="W1710" s="33">
        <f>IF($A1710="","",DATE(YEAR($A1710),MONTH($A1710),1))</f>
        <v/>
      </c>
      <c r="X1710" s="34">
        <f>IF(OR($A1710="",$H1710&lt;&gt;"Ausgabe",J1710=""),0,IF(J1710="x",-$E1710/(COUNTIF($J1710:$Q1710,"x")+1),-$E1710*N(J1710)))</f>
        <v/>
      </c>
      <c r="Y1710" s="34">
        <f>IF(OR($A1710="",$H1710&lt;&gt;"Ausgabe",K1710=""),0,IF(K1710="x",-$E1710/(COUNTIF($J1710:$Q1710,"x")+1),-$E1710*N(K1710)))</f>
        <v/>
      </c>
      <c r="Z1710" s="34">
        <f>IF(OR($A1710="",$H1710&lt;&gt;"Ausgabe",L1710=""),0,IF(L1710="x",-$E1710/(COUNTIF($J1710:$Q1710,"x")+1),-$E1710*N(L1710)))</f>
        <v/>
      </c>
      <c r="AA1710" s="34">
        <f>IF(OR($A1710="",$H1710&lt;&gt;"Ausgabe",M1710=""),0,IF(M1710="x",-$E1710/(COUNTIF($J1710:$Q1710,"x")+1),-$E1710*N(M1710)))</f>
        <v/>
      </c>
      <c r="AB1710" s="34">
        <f>IF(OR($A1710="",$H1710&lt;&gt;"Ausgabe",N1710=""),0,IF(N1710="x",-$E1710/(COUNTIF($J1710:$Q1710,"x")+1),-$E1710*N(N1710)))</f>
        <v/>
      </c>
      <c r="AC1710" s="34">
        <f>IF(OR($A1710="",$H1710&lt;&gt;"Ausgabe",O1710=""),0,IF(O1710="x",-$E1710/(COUNTIF($J1710:$Q1710,"x")+1),-$E1710*N(O1710)))</f>
        <v/>
      </c>
      <c r="AD1710" s="34">
        <f>IF(OR($A1710="",$H1710&lt;&gt;"Ausgabe",P1710=""),0,IF(P1710="x",-$E1710/(COUNTIF($J1710:$Q1710,"x")+1),-$E1710*N(P1710)))</f>
        <v/>
      </c>
      <c r="AE1710" s="34">
        <f>IF(OR($A1710="",$H1710&lt;&gt;"Ausgabe",Q1710=""),0,IF(Q1710="x",-$E1710/(COUNTIF($J1710:$Q1710,"x")+1),-$E1710*N(Q1710)))</f>
        <v/>
      </c>
    </row>
    <row r="1711">
      <c r="A1711" s="30" t="n"/>
      <c r="E1711" s="31" t="n"/>
      <c r="J1711" s="32" t="n"/>
      <c r="K1711" s="32" t="n"/>
      <c r="L1711" s="32" t="n"/>
      <c r="M1711" s="32" t="n"/>
      <c r="N1711" s="32" t="n"/>
      <c r="O1711" s="32" t="n"/>
      <c r="P1711" s="32" t="n"/>
      <c r="Q1711" s="32" t="n"/>
      <c r="U1711" s="31">
        <f>IF($A1711="","",SUM(X1711:AE1711))</f>
        <v/>
      </c>
      <c r="V1711" s="31">
        <f>IF($A1711="","",IF($H1711&lt;&gt;"Ausgabe",0,-$E1711-$U1711))</f>
        <v/>
      </c>
      <c r="W1711" s="33">
        <f>IF($A1711="","",DATE(YEAR($A1711),MONTH($A1711),1))</f>
        <v/>
      </c>
      <c r="X1711" s="34">
        <f>IF(OR($A1711="",$H1711&lt;&gt;"Ausgabe",J1711=""),0,IF(J1711="x",-$E1711/(COUNTIF($J1711:$Q1711,"x")+1),-$E1711*N(J1711)))</f>
        <v/>
      </c>
      <c r="Y1711" s="34">
        <f>IF(OR($A1711="",$H1711&lt;&gt;"Ausgabe",K1711=""),0,IF(K1711="x",-$E1711/(COUNTIF($J1711:$Q1711,"x")+1),-$E1711*N(K1711)))</f>
        <v/>
      </c>
      <c r="Z1711" s="34">
        <f>IF(OR($A1711="",$H1711&lt;&gt;"Ausgabe",L1711=""),0,IF(L1711="x",-$E1711/(COUNTIF($J1711:$Q1711,"x")+1),-$E1711*N(L1711)))</f>
        <v/>
      </c>
      <c r="AA1711" s="34">
        <f>IF(OR($A1711="",$H1711&lt;&gt;"Ausgabe",M1711=""),0,IF(M1711="x",-$E1711/(COUNTIF($J1711:$Q1711,"x")+1),-$E1711*N(M1711)))</f>
        <v/>
      </c>
      <c r="AB1711" s="34">
        <f>IF(OR($A1711="",$H1711&lt;&gt;"Ausgabe",N1711=""),0,IF(N1711="x",-$E1711/(COUNTIF($J1711:$Q1711,"x")+1),-$E1711*N(N1711)))</f>
        <v/>
      </c>
      <c r="AC1711" s="34">
        <f>IF(OR($A1711="",$H1711&lt;&gt;"Ausgabe",O1711=""),0,IF(O1711="x",-$E1711/(COUNTIF($J1711:$Q1711,"x")+1),-$E1711*N(O1711)))</f>
        <v/>
      </c>
      <c r="AD1711" s="34">
        <f>IF(OR($A1711="",$H1711&lt;&gt;"Ausgabe",P1711=""),0,IF(P1711="x",-$E1711/(COUNTIF($J1711:$Q1711,"x")+1),-$E1711*N(P1711)))</f>
        <v/>
      </c>
      <c r="AE1711" s="34">
        <f>IF(OR($A1711="",$H1711&lt;&gt;"Ausgabe",Q1711=""),0,IF(Q1711="x",-$E1711/(COUNTIF($J1711:$Q1711,"x")+1),-$E1711*N(Q1711)))</f>
        <v/>
      </c>
    </row>
    <row r="1712">
      <c r="A1712" s="30" t="n"/>
      <c r="E1712" s="31" t="n"/>
      <c r="J1712" s="32" t="n"/>
      <c r="K1712" s="32" t="n"/>
      <c r="L1712" s="32" t="n"/>
      <c r="M1712" s="32" t="n"/>
      <c r="N1712" s="32" t="n"/>
      <c r="O1712" s="32" t="n"/>
      <c r="P1712" s="32" t="n"/>
      <c r="Q1712" s="32" t="n"/>
      <c r="U1712" s="31">
        <f>IF($A1712="","",SUM(X1712:AE1712))</f>
        <v/>
      </c>
      <c r="V1712" s="31">
        <f>IF($A1712="","",IF($H1712&lt;&gt;"Ausgabe",0,-$E1712-$U1712))</f>
        <v/>
      </c>
      <c r="W1712" s="33">
        <f>IF($A1712="","",DATE(YEAR($A1712),MONTH($A1712),1))</f>
        <v/>
      </c>
      <c r="X1712" s="34">
        <f>IF(OR($A1712="",$H1712&lt;&gt;"Ausgabe",J1712=""),0,IF(J1712="x",-$E1712/(COUNTIF($J1712:$Q1712,"x")+1),-$E1712*N(J1712)))</f>
        <v/>
      </c>
      <c r="Y1712" s="34">
        <f>IF(OR($A1712="",$H1712&lt;&gt;"Ausgabe",K1712=""),0,IF(K1712="x",-$E1712/(COUNTIF($J1712:$Q1712,"x")+1),-$E1712*N(K1712)))</f>
        <v/>
      </c>
      <c r="Z1712" s="34">
        <f>IF(OR($A1712="",$H1712&lt;&gt;"Ausgabe",L1712=""),0,IF(L1712="x",-$E1712/(COUNTIF($J1712:$Q1712,"x")+1),-$E1712*N(L1712)))</f>
        <v/>
      </c>
      <c r="AA1712" s="34">
        <f>IF(OR($A1712="",$H1712&lt;&gt;"Ausgabe",M1712=""),0,IF(M1712="x",-$E1712/(COUNTIF($J1712:$Q1712,"x")+1),-$E1712*N(M1712)))</f>
        <v/>
      </c>
      <c r="AB1712" s="34">
        <f>IF(OR($A1712="",$H1712&lt;&gt;"Ausgabe",N1712=""),0,IF(N1712="x",-$E1712/(COUNTIF($J1712:$Q1712,"x")+1),-$E1712*N(N1712)))</f>
        <v/>
      </c>
      <c r="AC1712" s="34">
        <f>IF(OR($A1712="",$H1712&lt;&gt;"Ausgabe",O1712=""),0,IF(O1712="x",-$E1712/(COUNTIF($J1712:$Q1712,"x")+1),-$E1712*N(O1712)))</f>
        <v/>
      </c>
      <c r="AD1712" s="34">
        <f>IF(OR($A1712="",$H1712&lt;&gt;"Ausgabe",P1712=""),0,IF(P1712="x",-$E1712/(COUNTIF($J1712:$Q1712,"x")+1),-$E1712*N(P1712)))</f>
        <v/>
      </c>
      <c r="AE1712" s="34">
        <f>IF(OR($A1712="",$H1712&lt;&gt;"Ausgabe",Q1712=""),0,IF(Q1712="x",-$E1712/(COUNTIF($J1712:$Q1712,"x")+1),-$E1712*N(Q1712)))</f>
        <v/>
      </c>
    </row>
    <row r="1713">
      <c r="A1713" s="30" t="n"/>
      <c r="E1713" s="31" t="n"/>
      <c r="J1713" s="32" t="n"/>
      <c r="K1713" s="32" t="n"/>
      <c r="L1713" s="32" t="n"/>
      <c r="M1713" s="32" t="n"/>
      <c r="N1713" s="32" t="n"/>
      <c r="O1713" s="32" t="n"/>
      <c r="P1713" s="32" t="n"/>
      <c r="Q1713" s="32" t="n"/>
      <c r="U1713" s="31">
        <f>IF($A1713="","",SUM(X1713:AE1713))</f>
        <v/>
      </c>
      <c r="V1713" s="31">
        <f>IF($A1713="","",IF($H1713&lt;&gt;"Ausgabe",0,-$E1713-$U1713))</f>
        <v/>
      </c>
      <c r="W1713" s="33">
        <f>IF($A1713="","",DATE(YEAR($A1713),MONTH($A1713),1))</f>
        <v/>
      </c>
      <c r="X1713" s="34">
        <f>IF(OR($A1713="",$H1713&lt;&gt;"Ausgabe",J1713=""),0,IF(J1713="x",-$E1713/(COUNTIF($J1713:$Q1713,"x")+1),-$E1713*N(J1713)))</f>
        <v/>
      </c>
      <c r="Y1713" s="34">
        <f>IF(OR($A1713="",$H1713&lt;&gt;"Ausgabe",K1713=""),0,IF(K1713="x",-$E1713/(COUNTIF($J1713:$Q1713,"x")+1),-$E1713*N(K1713)))</f>
        <v/>
      </c>
      <c r="Z1713" s="34">
        <f>IF(OR($A1713="",$H1713&lt;&gt;"Ausgabe",L1713=""),0,IF(L1713="x",-$E1713/(COUNTIF($J1713:$Q1713,"x")+1),-$E1713*N(L1713)))</f>
        <v/>
      </c>
      <c r="AA1713" s="34">
        <f>IF(OR($A1713="",$H1713&lt;&gt;"Ausgabe",M1713=""),0,IF(M1713="x",-$E1713/(COUNTIF($J1713:$Q1713,"x")+1),-$E1713*N(M1713)))</f>
        <v/>
      </c>
      <c r="AB1713" s="34">
        <f>IF(OR($A1713="",$H1713&lt;&gt;"Ausgabe",N1713=""),0,IF(N1713="x",-$E1713/(COUNTIF($J1713:$Q1713,"x")+1),-$E1713*N(N1713)))</f>
        <v/>
      </c>
      <c r="AC1713" s="34">
        <f>IF(OR($A1713="",$H1713&lt;&gt;"Ausgabe",O1713=""),0,IF(O1713="x",-$E1713/(COUNTIF($J1713:$Q1713,"x")+1),-$E1713*N(O1713)))</f>
        <v/>
      </c>
      <c r="AD1713" s="34">
        <f>IF(OR($A1713="",$H1713&lt;&gt;"Ausgabe",P1713=""),0,IF(P1713="x",-$E1713/(COUNTIF($J1713:$Q1713,"x")+1),-$E1713*N(P1713)))</f>
        <v/>
      </c>
      <c r="AE1713" s="34">
        <f>IF(OR($A1713="",$H1713&lt;&gt;"Ausgabe",Q1713=""),0,IF(Q1713="x",-$E1713/(COUNTIF($J1713:$Q1713,"x")+1),-$E1713*N(Q1713)))</f>
        <v/>
      </c>
    </row>
    <row r="1714">
      <c r="A1714" s="30" t="n"/>
      <c r="E1714" s="31" t="n"/>
      <c r="J1714" s="32" t="n"/>
      <c r="K1714" s="32" t="n"/>
      <c r="L1714" s="32" t="n"/>
      <c r="M1714" s="32" t="n"/>
      <c r="N1714" s="32" t="n"/>
      <c r="O1714" s="32" t="n"/>
      <c r="P1714" s="32" t="n"/>
      <c r="Q1714" s="32" t="n"/>
      <c r="U1714" s="31">
        <f>IF($A1714="","",SUM(X1714:AE1714))</f>
        <v/>
      </c>
      <c r="V1714" s="31">
        <f>IF($A1714="","",IF($H1714&lt;&gt;"Ausgabe",0,-$E1714-$U1714))</f>
        <v/>
      </c>
      <c r="W1714" s="33">
        <f>IF($A1714="","",DATE(YEAR($A1714),MONTH($A1714),1))</f>
        <v/>
      </c>
      <c r="X1714" s="34">
        <f>IF(OR($A1714="",$H1714&lt;&gt;"Ausgabe",J1714=""),0,IF(J1714="x",-$E1714/(COUNTIF($J1714:$Q1714,"x")+1),-$E1714*N(J1714)))</f>
        <v/>
      </c>
      <c r="Y1714" s="34">
        <f>IF(OR($A1714="",$H1714&lt;&gt;"Ausgabe",K1714=""),0,IF(K1714="x",-$E1714/(COUNTIF($J1714:$Q1714,"x")+1),-$E1714*N(K1714)))</f>
        <v/>
      </c>
      <c r="Z1714" s="34">
        <f>IF(OR($A1714="",$H1714&lt;&gt;"Ausgabe",L1714=""),0,IF(L1714="x",-$E1714/(COUNTIF($J1714:$Q1714,"x")+1),-$E1714*N(L1714)))</f>
        <v/>
      </c>
      <c r="AA1714" s="34">
        <f>IF(OR($A1714="",$H1714&lt;&gt;"Ausgabe",M1714=""),0,IF(M1714="x",-$E1714/(COUNTIF($J1714:$Q1714,"x")+1),-$E1714*N(M1714)))</f>
        <v/>
      </c>
      <c r="AB1714" s="34">
        <f>IF(OR($A1714="",$H1714&lt;&gt;"Ausgabe",N1714=""),0,IF(N1714="x",-$E1714/(COUNTIF($J1714:$Q1714,"x")+1),-$E1714*N(N1714)))</f>
        <v/>
      </c>
      <c r="AC1714" s="34">
        <f>IF(OR($A1714="",$H1714&lt;&gt;"Ausgabe",O1714=""),0,IF(O1714="x",-$E1714/(COUNTIF($J1714:$Q1714,"x")+1),-$E1714*N(O1714)))</f>
        <v/>
      </c>
      <c r="AD1714" s="34">
        <f>IF(OR($A1714="",$H1714&lt;&gt;"Ausgabe",P1714=""),0,IF(P1714="x",-$E1714/(COUNTIF($J1714:$Q1714,"x")+1),-$E1714*N(P1714)))</f>
        <v/>
      </c>
      <c r="AE1714" s="34">
        <f>IF(OR($A1714="",$H1714&lt;&gt;"Ausgabe",Q1714=""),0,IF(Q1714="x",-$E1714/(COUNTIF($J1714:$Q1714,"x")+1),-$E1714*N(Q1714)))</f>
        <v/>
      </c>
    </row>
    <row r="1715">
      <c r="A1715" s="30" t="n"/>
      <c r="E1715" s="31" t="n"/>
      <c r="J1715" s="32" t="n"/>
      <c r="K1715" s="32" t="n"/>
      <c r="L1715" s="32" t="n"/>
      <c r="M1715" s="32" t="n"/>
      <c r="N1715" s="32" t="n"/>
      <c r="O1715" s="32" t="n"/>
      <c r="P1715" s="32" t="n"/>
      <c r="Q1715" s="32" t="n"/>
      <c r="U1715" s="31">
        <f>IF($A1715="","",SUM(X1715:AE1715))</f>
        <v/>
      </c>
      <c r="V1715" s="31">
        <f>IF($A1715="","",IF($H1715&lt;&gt;"Ausgabe",0,-$E1715-$U1715))</f>
        <v/>
      </c>
      <c r="W1715" s="33">
        <f>IF($A1715="","",DATE(YEAR($A1715),MONTH($A1715),1))</f>
        <v/>
      </c>
      <c r="X1715" s="34">
        <f>IF(OR($A1715="",$H1715&lt;&gt;"Ausgabe",J1715=""),0,IF(J1715="x",-$E1715/(COUNTIF($J1715:$Q1715,"x")+1),-$E1715*N(J1715)))</f>
        <v/>
      </c>
      <c r="Y1715" s="34">
        <f>IF(OR($A1715="",$H1715&lt;&gt;"Ausgabe",K1715=""),0,IF(K1715="x",-$E1715/(COUNTIF($J1715:$Q1715,"x")+1),-$E1715*N(K1715)))</f>
        <v/>
      </c>
      <c r="Z1715" s="34">
        <f>IF(OR($A1715="",$H1715&lt;&gt;"Ausgabe",L1715=""),0,IF(L1715="x",-$E1715/(COUNTIF($J1715:$Q1715,"x")+1),-$E1715*N(L1715)))</f>
        <v/>
      </c>
      <c r="AA1715" s="34">
        <f>IF(OR($A1715="",$H1715&lt;&gt;"Ausgabe",M1715=""),0,IF(M1715="x",-$E1715/(COUNTIF($J1715:$Q1715,"x")+1),-$E1715*N(M1715)))</f>
        <v/>
      </c>
      <c r="AB1715" s="34">
        <f>IF(OR($A1715="",$H1715&lt;&gt;"Ausgabe",N1715=""),0,IF(N1715="x",-$E1715/(COUNTIF($J1715:$Q1715,"x")+1),-$E1715*N(N1715)))</f>
        <v/>
      </c>
      <c r="AC1715" s="34">
        <f>IF(OR($A1715="",$H1715&lt;&gt;"Ausgabe",O1715=""),0,IF(O1715="x",-$E1715/(COUNTIF($J1715:$Q1715,"x")+1),-$E1715*N(O1715)))</f>
        <v/>
      </c>
      <c r="AD1715" s="34">
        <f>IF(OR($A1715="",$H1715&lt;&gt;"Ausgabe",P1715=""),0,IF(P1715="x",-$E1715/(COUNTIF($J1715:$Q1715,"x")+1),-$E1715*N(P1715)))</f>
        <v/>
      </c>
      <c r="AE1715" s="34">
        <f>IF(OR($A1715="",$H1715&lt;&gt;"Ausgabe",Q1715=""),0,IF(Q1715="x",-$E1715/(COUNTIF($J1715:$Q1715,"x")+1),-$E1715*N(Q1715)))</f>
        <v/>
      </c>
    </row>
    <row r="1716">
      <c r="A1716" s="30" t="n"/>
      <c r="E1716" s="31" t="n"/>
      <c r="J1716" s="32" t="n"/>
      <c r="K1716" s="32" t="n"/>
      <c r="L1716" s="32" t="n"/>
      <c r="M1716" s="32" t="n"/>
      <c r="N1716" s="32" t="n"/>
      <c r="O1716" s="32" t="n"/>
      <c r="P1716" s="32" t="n"/>
      <c r="Q1716" s="32" t="n"/>
      <c r="U1716" s="31">
        <f>IF($A1716="","",SUM(X1716:AE1716))</f>
        <v/>
      </c>
      <c r="V1716" s="31">
        <f>IF($A1716="","",IF($H1716&lt;&gt;"Ausgabe",0,-$E1716-$U1716))</f>
        <v/>
      </c>
      <c r="W1716" s="33">
        <f>IF($A1716="","",DATE(YEAR($A1716),MONTH($A1716),1))</f>
        <v/>
      </c>
      <c r="X1716" s="34">
        <f>IF(OR($A1716="",$H1716&lt;&gt;"Ausgabe",J1716=""),0,IF(J1716="x",-$E1716/(COUNTIF($J1716:$Q1716,"x")+1),-$E1716*N(J1716)))</f>
        <v/>
      </c>
      <c r="Y1716" s="34">
        <f>IF(OR($A1716="",$H1716&lt;&gt;"Ausgabe",K1716=""),0,IF(K1716="x",-$E1716/(COUNTIF($J1716:$Q1716,"x")+1),-$E1716*N(K1716)))</f>
        <v/>
      </c>
      <c r="Z1716" s="34">
        <f>IF(OR($A1716="",$H1716&lt;&gt;"Ausgabe",L1716=""),0,IF(L1716="x",-$E1716/(COUNTIF($J1716:$Q1716,"x")+1),-$E1716*N(L1716)))</f>
        <v/>
      </c>
      <c r="AA1716" s="34">
        <f>IF(OR($A1716="",$H1716&lt;&gt;"Ausgabe",M1716=""),0,IF(M1716="x",-$E1716/(COUNTIF($J1716:$Q1716,"x")+1),-$E1716*N(M1716)))</f>
        <v/>
      </c>
      <c r="AB1716" s="34">
        <f>IF(OR($A1716="",$H1716&lt;&gt;"Ausgabe",N1716=""),0,IF(N1716="x",-$E1716/(COUNTIF($J1716:$Q1716,"x")+1),-$E1716*N(N1716)))</f>
        <v/>
      </c>
      <c r="AC1716" s="34">
        <f>IF(OR($A1716="",$H1716&lt;&gt;"Ausgabe",O1716=""),0,IF(O1716="x",-$E1716/(COUNTIF($J1716:$Q1716,"x")+1),-$E1716*N(O1716)))</f>
        <v/>
      </c>
      <c r="AD1716" s="34">
        <f>IF(OR($A1716="",$H1716&lt;&gt;"Ausgabe",P1716=""),0,IF(P1716="x",-$E1716/(COUNTIF($J1716:$Q1716,"x")+1),-$E1716*N(P1716)))</f>
        <v/>
      </c>
      <c r="AE1716" s="34">
        <f>IF(OR($A1716="",$H1716&lt;&gt;"Ausgabe",Q1716=""),0,IF(Q1716="x",-$E1716/(COUNTIF($J1716:$Q1716,"x")+1),-$E1716*N(Q1716)))</f>
        <v/>
      </c>
    </row>
    <row r="1717">
      <c r="A1717" s="30" t="n"/>
      <c r="E1717" s="31" t="n"/>
      <c r="J1717" s="32" t="n"/>
      <c r="K1717" s="32" t="n"/>
      <c r="L1717" s="32" t="n"/>
      <c r="M1717" s="32" t="n"/>
      <c r="N1717" s="32" t="n"/>
      <c r="O1717" s="32" t="n"/>
      <c r="P1717" s="32" t="n"/>
      <c r="Q1717" s="32" t="n"/>
      <c r="U1717" s="31">
        <f>IF($A1717="","",SUM(X1717:AE1717))</f>
        <v/>
      </c>
      <c r="V1717" s="31">
        <f>IF($A1717="","",IF($H1717&lt;&gt;"Ausgabe",0,-$E1717-$U1717))</f>
        <v/>
      </c>
      <c r="W1717" s="33">
        <f>IF($A1717="","",DATE(YEAR($A1717),MONTH($A1717),1))</f>
        <v/>
      </c>
      <c r="X1717" s="34">
        <f>IF(OR($A1717="",$H1717&lt;&gt;"Ausgabe",J1717=""),0,IF(J1717="x",-$E1717/(COUNTIF($J1717:$Q1717,"x")+1),-$E1717*N(J1717)))</f>
        <v/>
      </c>
      <c r="Y1717" s="34">
        <f>IF(OR($A1717="",$H1717&lt;&gt;"Ausgabe",K1717=""),0,IF(K1717="x",-$E1717/(COUNTIF($J1717:$Q1717,"x")+1),-$E1717*N(K1717)))</f>
        <v/>
      </c>
      <c r="Z1717" s="34">
        <f>IF(OR($A1717="",$H1717&lt;&gt;"Ausgabe",L1717=""),0,IF(L1717="x",-$E1717/(COUNTIF($J1717:$Q1717,"x")+1),-$E1717*N(L1717)))</f>
        <v/>
      </c>
      <c r="AA1717" s="34">
        <f>IF(OR($A1717="",$H1717&lt;&gt;"Ausgabe",M1717=""),0,IF(M1717="x",-$E1717/(COUNTIF($J1717:$Q1717,"x")+1),-$E1717*N(M1717)))</f>
        <v/>
      </c>
      <c r="AB1717" s="34">
        <f>IF(OR($A1717="",$H1717&lt;&gt;"Ausgabe",N1717=""),0,IF(N1717="x",-$E1717/(COUNTIF($J1717:$Q1717,"x")+1),-$E1717*N(N1717)))</f>
        <v/>
      </c>
      <c r="AC1717" s="34">
        <f>IF(OR($A1717="",$H1717&lt;&gt;"Ausgabe",O1717=""),0,IF(O1717="x",-$E1717/(COUNTIF($J1717:$Q1717,"x")+1),-$E1717*N(O1717)))</f>
        <v/>
      </c>
      <c r="AD1717" s="34">
        <f>IF(OR($A1717="",$H1717&lt;&gt;"Ausgabe",P1717=""),0,IF(P1717="x",-$E1717/(COUNTIF($J1717:$Q1717,"x")+1),-$E1717*N(P1717)))</f>
        <v/>
      </c>
      <c r="AE1717" s="34">
        <f>IF(OR($A1717="",$H1717&lt;&gt;"Ausgabe",Q1717=""),0,IF(Q1717="x",-$E1717/(COUNTIF($J1717:$Q1717,"x")+1),-$E1717*N(Q1717)))</f>
        <v/>
      </c>
    </row>
    <row r="1718">
      <c r="A1718" s="30" t="n"/>
      <c r="E1718" s="31" t="n"/>
      <c r="J1718" s="32" t="n"/>
      <c r="K1718" s="32" t="n"/>
      <c r="L1718" s="32" t="n"/>
      <c r="M1718" s="32" t="n"/>
      <c r="N1718" s="32" t="n"/>
      <c r="O1718" s="32" t="n"/>
      <c r="P1718" s="32" t="n"/>
      <c r="Q1718" s="32" t="n"/>
      <c r="U1718" s="31">
        <f>IF($A1718="","",SUM(X1718:AE1718))</f>
        <v/>
      </c>
      <c r="V1718" s="31">
        <f>IF($A1718="","",IF($H1718&lt;&gt;"Ausgabe",0,-$E1718-$U1718))</f>
        <v/>
      </c>
      <c r="W1718" s="33">
        <f>IF($A1718="","",DATE(YEAR($A1718),MONTH($A1718),1))</f>
        <v/>
      </c>
      <c r="X1718" s="34">
        <f>IF(OR($A1718="",$H1718&lt;&gt;"Ausgabe",J1718=""),0,IF(J1718="x",-$E1718/(COUNTIF($J1718:$Q1718,"x")+1),-$E1718*N(J1718)))</f>
        <v/>
      </c>
      <c r="Y1718" s="34">
        <f>IF(OR($A1718="",$H1718&lt;&gt;"Ausgabe",K1718=""),0,IF(K1718="x",-$E1718/(COUNTIF($J1718:$Q1718,"x")+1),-$E1718*N(K1718)))</f>
        <v/>
      </c>
      <c r="Z1718" s="34">
        <f>IF(OR($A1718="",$H1718&lt;&gt;"Ausgabe",L1718=""),0,IF(L1718="x",-$E1718/(COUNTIF($J1718:$Q1718,"x")+1),-$E1718*N(L1718)))</f>
        <v/>
      </c>
      <c r="AA1718" s="34">
        <f>IF(OR($A1718="",$H1718&lt;&gt;"Ausgabe",M1718=""),0,IF(M1718="x",-$E1718/(COUNTIF($J1718:$Q1718,"x")+1),-$E1718*N(M1718)))</f>
        <v/>
      </c>
      <c r="AB1718" s="34">
        <f>IF(OR($A1718="",$H1718&lt;&gt;"Ausgabe",N1718=""),0,IF(N1718="x",-$E1718/(COUNTIF($J1718:$Q1718,"x")+1),-$E1718*N(N1718)))</f>
        <v/>
      </c>
      <c r="AC1718" s="34">
        <f>IF(OR($A1718="",$H1718&lt;&gt;"Ausgabe",O1718=""),0,IF(O1718="x",-$E1718/(COUNTIF($J1718:$Q1718,"x")+1),-$E1718*N(O1718)))</f>
        <v/>
      </c>
      <c r="AD1718" s="34">
        <f>IF(OR($A1718="",$H1718&lt;&gt;"Ausgabe",P1718=""),0,IF(P1718="x",-$E1718/(COUNTIF($J1718:$Q1718,"x")+1),-$E1718*N(P1718)))</f>
        <v/>
      </c>
      <c r="AE1718" s="34">
        <f>IF(OR($A1718="",$H1718&lt;&gt;"Ausgabe",Q1718=""),0,IF(Q1718="x",-$E1718/(COUNTIF($J1718:$Q1718,"x")+1),-$E1718*N(Q1718)))</f>
        <v/>
      </c>
    </row>
    <row r="1719">
      <c r="A1719" s="30" t="n"/>
      <c r="E1719" s="31" t="n"/>
      <c r="J1719" s="32" t="n"/>
      <c r="K1719" s="32" t="n"/>
      <c r="L1719" s="32" t="n"/>
      <c r="M1719" s="32" t="n"/>
      <c r="N1719" s="32" t="n"/>
      <c r="O1719" s="32" t="n"/>
      <c r="P1719" s="32" t="n"/>
      <c r="Q1719" s="32" t="n"/>
      <c r="U1719" s="31">
        <f>IF($A1719="","",SUM(X1719:AE1719))</f>
        <v/>
      </c>
      <c r="V1719" s="31">
        <f>IF($A1719="","",IF($H1719&lt;&gt;"Ausgabe",0,-$E1719-$U1719))</f>
        <v/>
      </c>
      <c r="W1719" s="33">
        <f>IF($A1719="","",DATE(YEAR($A1719),MONTH($A1719),1))</f>
        <v/>
      </c>
      <c r="X1719" s="34">
        <f>IF(OR($A1719="",$H1719&lt;&gt;"Ausgabe",J1719=""),0,IF(J1719="x",-$E1719/(COUNTIF($J1719:$Q1719,"x")+1),-$E1719*N(J1719)))</f>
        <v/>
      </c>
      <c r="Y1719" s="34">
        <f>IF(OR($A1719="",$H1719&lt;&gt;"Ausgabe",K1719=""),0,IF(K1719="x",-$E1719/(COUNTIF($J1719:$Q1719,"x")+1),-$E1719*N(K1719)))</f>
        <v/>
      </c>
      <c r="Z1719" s="34">
        <f>IF(OR($A1719="",$H1719&lt;&gt;"Ausgabe",L1719=""),0,IF(L1719="x",-$E1719/(COUNTIF($J1719:$Q1719,"x")+1),-$E1719*N(L1719)))</f>
        <v/>
      </c>
      <c r="AA1719" s="34">
        <f>IF(OR($A1719="",$H1719&lt;&gt;"Ausgabe",M1719=""),0,IF(M1719="x",-$E1719/(COUNTIF($J1719:$Q1719,"x")+1),-$E1719*N(M1719)))</f>
        <v/>
      </c>
      <c r="AB1719" s="34">
        <f>IF(OR($A1719="",$H1719&lt;&gt;"Ausgabe",N1719=""),0,IF(N1719="x",-$E1719/(COUNTIF($J1719:$Q1719,"x")+1),-$E1719*N(N1719)))</f>
        <v/>
      </c>
      <c r="AC1719" s="34">
        <f>IF(OR($A1719="",$H1719&lt;&gt;"Ausgabe",O1719=""),0,IF(O1719="x",-$E1719/(COUNTIF($J1719:$Q1719,"x")+1),-$E1719*N(O1719)))</f>
        <v/>
      </c>
      <c r="AD1719" s="34">
        <f>IF(OR($A1719="",$H1719&lt;&gt;"Ausgabe",P1719=""),0,IF(P1719="x",-$E1719/(COUNTIF($J1719:$Q1719,"x")+1),-$E1719*N(P1719)))</f>
        <v/>
      </c>
      <c r="AE1719" s="34">
        <f>IF(OR($A1719="",$H1719&lt;&gt;"Ausgabe",Q1719=""),0,IF(Q1719="x",-$E1719/(COUNTIF($J1719:$Q1719,"x")+1),-$E1719*N(Q1719)))</f>
        <v/>
      </c>
    </row>
    <row r="1720">
      <c r="A1720" s="30" t="n"/>
      <c r="E1720" s="31" t="n"/>
      <c r="J1720" s="32" t="n"/>
      <c r="K1720" s="32" t="n"/>
      <c r="L1720" s="32" t="n"/>
      <c r="M1720" s="32" t="n"/>
      <c r="N1720" s="32" t="n"/>
      <c r="O1720" s="32" t="n"/>
      <c r="P1720" s="32" t="n"/>
      <c r="Q1720" s="32" t="n"/>
      <c r="U1720" s="31">
        <f>IF($A1720="","",SUM(X1720:AE1720))</f>
        <v/>
      </c>
      <c r="V1720" s="31">
        <f>IF($A1720="","",IF($H1720&lt;&gt;"Ausgabe",0,-$E1720-$U1720))</f>
        <v/>
      </c>
      <c r="W1720" s="33">
        <f>IF($A1720="","",DATE(YEAR($A1720),MONTH($A1720),1))</f>
        <v/>
      </c>
      <c r="X1720" s="34">
        <f>IF(OR($A1720="",$H1720&lt;&gt;"Ausgabe",J1720=""),0,IF(J1720="x",-$E1720/(COUNTIF($J1720:$Q1720,"x")+1),-$E1720*N(J1720)))</f>
        <v/>
      </c>
      <c r="Y1720" s="34">
        <f>IF(OR($A1720="",$H1720&lt;&gt;"Ausgabe",K1720=""),0,IF(K1720="x",-$E1720/(COUNTIF($J1720:$Q1720,"x")+1),-$E1720*N(K1720)))</f>
        <v/>
      </c>
      <c r="Z1720" s="34">
        <f>IF(OR($A1720="",$H1720&lt;&gt;"Ausgabe",L1720=""),0,IF(L1720="x",-$E1720/(COUNTIF($J1720:$Q1720,"x")+1),-$E1720*N(L1720)))</f>
        <v/>
      </c>
      <c r="AA1720" s="34">
        <f>IF(OR($A1720="",$H1720&lt;&gt;"Ausgabe",M1720=""),0,IF(M1720="x",-$E1720/(COUNTIF($J1720:$Q1720,"x")+1),-$E1720*N(M1720)))</f>
        <v/>
      </c>
      <c r="AB1720" s="34">
        <f>IF(OR($A1720="",$H1720&lt;&gt;"Ausgabe",N1720=""),0,IF(N1720="x",-$E1720/(COUNTIF($J1720:$Q1720,"x")+1),-$E1720*N(N1720)))</f>
        <v/>
      </c>
      <c r="AC1720" s="34">
        <f>IF(OR($A1720="",$H1720&lt;&gt;"Ausgabe",O1720=""),0,IF(O1720="x",-$E1720/(COUNTIF($J1720:$Q1720,"x")+1),-$E1720*N(O1720)))</f>
        <v/>
      </c>
      <c r="AD1720" s="34">
        <f>IF(OR($A1720="",$H1720&lt;&gt;"Ausgabe",P1720=""),0,IF(P1720="x",-$E1720/(COUNTIF($J1720:$Q1720,"x")+1),-$E1720*N(P1720)))</f>
        <v/>
      </c>
      <c r="AE1720" s="34">
        <f>IF(OR($A1720="",$H1720&lt;&gt;"Ausgabe",Q1720=""),0,IF(Q1720="x",-$E1720/(COUNTIF($J1720:$Q1720,"x")+1),-$E1720*N(Q1720)))</f>
        <v/>
      </c>
    </row>
    <row r="1721">
      <c r="A1721" s="30" t="n"/>
      <c r="E1721" s="31" t="n"/>
      <c r="J1721" s="32" t="n"/>
      <c r="K1721" s="32" t="n"/>
      <c r="L1721" s="32" t="n"/>
      <c r="M1721" s="32" t="n"/>
      <c r="N1721" s="32" t="n"/>
      <c r="O1721" s="32" t="n"/>
      <c r="P1721" s="32" t="n"/>
      <c r="Q1721" s="32" t="n"/>
      <c r="U1721" s="31">
        <f>IF($A1721="","",SUM(X1721:AE1721))</f>
        <v/>
      </c>
      <c r="V1721" s="31">
        <f>IF($A1721="","",IF($H1721&lt;&gt;"Ausgabe",0,-$E1721-$U1721))</f>
        <v/>
      </c>
      <c r="W1721" s="33">
        <f>IF($A1721="","",DATE(YEAR($A1721),MONTH($A1721),1))</f>
        <v/>
      </c>
      <c r="X1721" s="34">
        <f>IF(OR($A1721="",$H1721&lt;&gt;"Ausgabe",J1721=""),0,IF(J1721="x",-$E1721/(COUNTIF($J1721:$Q1721,"x")+1),-$E1721*N(J1721)))</f>
        <v/>
      </c>
      <c r="Y1721" s="34">
        <f>IF(OR($A1721="",$H1721&lt;&gt;"Ausgabe",K1721=""),0,IF(K1721="x",-$E1721/(COUNTIF($J1721:$Q1721,"x")+1),-$E1721*N(K1721)))</f>
        <v/>
      </c>
      <c r="Z1721" s="34">
        <f>IF(OR($A1721="",$H1721&lt;&gt;"Ausgabe",L1721=""),0,IF(L1721="x",-$E1721/(COUNTIF($J1721:$Q1721,"x")+1),-$E1721*N(L1721)))</f>
        <v/>
      </c>
      <c r="AA1721" s="34">
        <f>IF(OR($A1721="",$H1721&lt;&gt;"Ausgabe",M1721=""),0,IF(M1721="x",-$E1721/(COUNTIF($J1721:$Q1721,"x")+1),-$E1721*N(M1721)))</f>
        <v/>
      </c>
      <c r="AB1721" s="34">
        <f>IF(OR($A1721="",$H1721&lt;&gt;"Ausgabe",N1721=""),0,IF(N1721="x",-$E1721/(COUNTIF($J1721:$Q1721,"x")+1),-$E1721*N(N1721)))</f>
        <v/>
      </c>
      <c r="AC1721" s="34">
        <f>IF(OR($A1721="",$H1721&lt;&gt;"Ausgabe",O1721=""),0,IF(O1721="x",-$E1721/(COUNTIF($J1721:$Q1721,"x")+1),-$E1721*N(O1721)))</f>
        <v/>
      </c>
      <c r="AD1721" s="34">
        <f>IF(OR($A1721="",$H1721&lt;&gt;"Ausgabe",P1721=""),0,IF(P1721="x",-$E1721/(COUNTIF($J1721:$Q1721,"x")+1),-$E1721*N(P1721)))</f>
        <v/>
      </c>
      <c r="AE1721" s="34">
        <f>IF(OR($A1721="",$H1721&lt;&gt;"Ausgabe",Q1721=""),0,IF(Q1721="x",-$E1721/(COUNTIF($J1721:$Q1721,"x")+1),-$E1721*N(Q1721)))</f>
        <v/>
      </c>
    </row>
    <row r="1722">
      <c r="A1722" s="30" t="n"/>
      <c r="E1722" s="31" t="n"/>
      <c r="J1722" s="32" t="n"/>
      <c r="K1722" s="32" t="n"/>
      <c r="L1722" s="32" t="n"/>
      <c r="M1722" s="32" t="n"/>
      <c r="N1722" s="32" t="n"/>
      <c r="O1722" s="32" t="n"/>
      <c r="P1722" s="32" t="n"/>
      <c r="Q1722" s="32" t="n"/>
      <c r="U1722" s="31">
        <f>IF($A1722="","",SUM(X1722:AE1722))</f>
        <v/>
      </c>
      <c r="V1722" s="31">
        <f>IF($A1722="","",IF($H1722&lt;&gt;"Ausgabe",0,-$E1722-$U1722))</f>
        <v/>
      </c>
      <c r="W1722" s="33">
        <f>IF($A1722="","",DATE(YEAR($A1722),MONTH($A1722),1))</f>
        <v/>
      </c>
      <c r="X1722" s="34">
        <f>IF(OR($A1722="",$H1722&lt;&gt;"Ausgabe",J1722=""),0,IF(J1722="x",-$E1722/(COUNTIF($J1722:$Q1722,"x")+1),-$E1722*N(J1722)))</f>
        <v/>
      </c>
      <c r="Y1722" s="34">
        <f>IF(OR($A1722="",$H1722&lt;&gt;"Ausgabe",K1722=""),0,IF(K1722="x",-$E1722/(COUNTIF($J1722:$Q1722,"x")+1),-$E1722*N(K1722)))</f>
        <v/>
      </c>
      <c r="Z1722" s="34">
        <f>IF(OR($A1722="",$H1722&lt;&gt;"Ausgabe",L1722=""),0,IF(L1722="x",-$E1722/(COUNTIF($J1722:$Q1722,"x")+1),-$E1722*N(L1722)))</f>
        <v/>
      </c>
      <c r="AA1722" s="34">
        <f>IF(OR($A1722="",$H1722&lt;&gt;"Ausgabe",M1722=""),0,IF(M1722="x",-$E1722/(COUNTIF($J1722:$Q1722,"x")+1),-$E1722*N(M1722)))</f>
        <v/>
      </c>
      <c r="AB1722" s="34">
        <f>IF(OR($A1722="",$H1722&lt;&gt;"Ausgabe",N1722=""),0,IF(N1722="x",-$E1722/(COUNTIF($J1722:$Q1722,"x")+1),-$E1722*N(N1722)))</f>
        <v/>
      </c>
      <c r="AC1722" s="34">
        <f>IF(OR($A1722="",$H1722&lt;&gt;"Ausgabe",O1722=""),0,IF(O1722="x",-$E1722/(COUNTIF($J1722:$Q1722,"x")+1),-$E1722*N(O1722)))</f>
        <v/>
      </c>
      <c r="AD1722" s="34">
        <f>IF(OR($A1722="",$H1722&lt;&gt;"Ausgabe",P1722=""),0,IF(P1722="x",-$E1722/(COUNTIF($J1722:$Q1722,"x")+1),-$E1722*N(P1722)))</f>
        <v/>
      </c>
      <c r="AE1722" s="34">
        <f>IF(OR($A1722="",$H1722&lt;&gt;"Ausgabe",Q1722=""),0,IF(Q1722="x",-$E1722/(COUNTIF($J1722:$Q1722,"x")+1),-$E1722*N(Q1722)))</f>
        <v/>
      </c>
    </row>
    <row r="1723">
      <c r="A1723" s="30" t="n"/>
      <c r="E1723" s="31" t="n"/>
      <c r="J1723" s="32" t="n"/>
      <c r="K1723" s="32" t="n"/>
      <c r="L1723" s="32" t="n"/>
      <c r="M1723" s="32" t="n"/>
      <c r="N1723" s="32" t="n"/>
      <c r="O1723" s="32" t="n"/>
      <c r="P1723" s="32" t="n"/>
      <c r="Q1723" s="32" t="n"/>
      <c r="U1723" s="31">
        <f>IF($A1723="","",SUM(X1723:AE1723))</f>
        <v/>
      </c>
      <c r="V1723" s="31">
        <f>IF($A1723="","",IF($H1723&lt;&gt;"Ausgabe",0,-$E1723-$U1723))</f>
        <v/>
      </c>
      <c r="W1723" s="33">
        <f>IF($A1723="","",DATE(YEAR($A1723),MONTH($A1723),1))</f>
        <v/>
      </c>
      <c r="X1723" s="34">
        <f>IF(OR($A1723="",$H1723&lt;&gt;"Ausgabe",J1723=""),0,IF(J1723="x",-$E1723/(COUNTIF($J1723:$Q1723,"x")+1),-$E1723*N(J1723)))</f>
        <v/>
      </c>
      <c r="Y1723" s="34">
        <f>IF(OR($A1723="",$H1723&lt;&gt;"Ausgabe",K1723=""),0,IF(K1723="x",-$E1723/(COUNTIF($J1723:$Q1723,"x")+1),-$E1723*N(K1723)))</f>
        <v/>
      </c>
      <c r="Z1723" s="34">
        <f>IF(OR($A1723="",$H1723&lt;&gt;"Ausgabe",L1723=""),0,IF(L1723="x",-$E1723/(COUNTIF($J1723:$Q1723,"x")+1),-$E1723*N(L1723)))</f>
        <v/>
      </c>
      <c r="AA1723" s="34">
        <f>IF(OR($A1723="",$H1723&lt;&gt;"Ausgabe",M1723=""),0,IF(M1723="x",-$E1723/(COUNTIF($J1723:$Q1723,"x")+1),-$E1723*N(M1723)))</f>
        <v/>
      </c>
      <c r="AB1723" s="34">
        <f>IF(OR($A1723="",$H1723&lt;&gt;"Ausgabe",N1723=""),0,IF(N1723="x",-$E1723/(COUNTIF($J1723:$Q1723,"x")+1),-$E1723*N(N1723)))</f>
        <v/>
      </c>
      <c r="AC1723" s="34">
        <f>IF(OR($A1723="",$H1723&lt;&gt;"Ausgabe",O1723=""),0,IF(O1723="x",-$E1723/(COUNTIF($J1723:$Q1723,"x")+1),-$E1723*N(O1723)))</f>
        <v/>
      </c>
      <c r="AD1723" s="34">
        <f>IF(OR($A1723="",$H1723&lt;&gt;"Ausgabe",P1723=""),0,IF(P1723="x",-$E1723/(COUNTIF($J1723:$Q1723,"x")+1),-$E1723*N(P1723)))</f>
        <v/>
      </c>
      <c r="AE1723" s="34">
        <f>IF(OR($A1723="",$H1723&lt;&gt;"Ausgabe",Q1723=""),0,IF(Q1723="x",-$E1723/(COUNTIF($J1723:$Q1723,"x")+1),-$E1723*N(Q1723)))</f>
        <v/>
      </c>
    </row>
    <row r="1724">
      <c r="A1724" s="30" t="n"/>
      <c r="E1724" s="31" t="n"/>
      <c r="J1724" s="32" t="n"/>
      <c r="K1724" s="32" t="n"/>
      <c r="L1724" s="32" t="n"/>
      <c r="M1724" s="32" t="n"/>
      <c r="N1724" s="32" t="n"/>
      <c r="O1724" s="32" t="n"/>
      <c r="P1724" s="32" t="n"/>
      <c r="Q1724" s="32" t="n"/>
      <c r="U1724" s="31">
        <f>IF($A1724="","",SUM(X1724:AE1724))</f>
        <v/>
      </c>
      <c r="V1724" s="31">
        <f>IF($A1724="","",IF($H1724&lt;&gt;"Ausgabe",0,-$E1724-$U1724))</f>
        <v/>
      </c>
      <c r="W1724" s="33">
        <f>IF($A1724="","",DATE(YEAR($A1724),MONTH($A1724),1))</f>
        <v/>
      </c>
      <c r="X1724" s="34">
        <f>IF(OR($A1724="",$H1724&lt;&gt;"Ausgabe",J1724=""),0,IF(J1724="x",-$E1724/(COUNTIF($J1724:$Q1724,"x")+1),-$E1724*N(J1724)))</f>
        <v/>
      </c>
      <c r="Y1724" s="34">
        <f>IF(OR($A1724="",$H1724&lt;&gt;"Ausgabe",K1724=""),0,IF(K1724="x",-$E1724/(COUNTIF($J1724:$Q1724,"x")+1),-$E1724*N(K1724)))</f>
        <v/>
      </c>
      <c r="Z1724" s="34">
        <f>IF(OR($A1724="",$H1724&lt;&gt;"Ausgabe",L1724=""),0,IF(L1724="x",-$E1724/(COUNTIF($J1724:$Q1724,"x")+1),-$E1724*N(L1724)))</f>
        <v/>
      </c>
      <c r="AA1724" s="34">
        <f>IF(OR($A1724="",$H1724&lt;&gt;"Ausgabe",M1724=""),0,IF(M1724="x",-$E1724/(COUNTIF($J1724:$Q1724,"x")+1),-$E1724*N(M1724)))</f>
        <v/>
      </c>
      <c r="AB1724" s="34">
        <f>IF(OR($A1724="",$H1724&lt;&gt;"Ausgabe",N1724=""),0,IF(N1724="x",-$E1724/(COUNTIF($J1724:$Q1724,"x")+1),-$E1724*N(N1724)))</f>
        <v/>
      </c>
      <c r="AC1724" s="34">
        <f>IF(OR($A1724="",$H1724&lt;&gt;"Ausgabe",O1724=""),0,IF(O1724="x",-$E1724/(COUNTIF($J1724:$Q1724,"x")+1),-$E1724*N(O1724)))</f>
        <v/>
      </c>
      <c r="AD1724" s="34">
        <f>IF(OR($A1724="",$H1724&lt;&gt;"Ausgabe",P1724=""),0,IF(P1724="x",-$E1724/(COUNTIF($J1724:$Q1724,"x")+1),-$E1724*N(P1724)))</f>
        <v/>
      </c>
      <c r="AE1724" s="34">
        <f>IF(OR($A1724="",$H1724&lt;&gt;"Ausgabe",Q1724=""),0,IF(Q1724="x",-$E1724/(COUNTIF($J1724:$Q1724,"x")+1),-$E1724*N(Q1724)))</f>
        <v/>
      </c>
    </row>
    <row r="1725">
      <c r="A1725" s="30" t="n"/>
      <c r="E1725" s="31" t="n"/>
      <c r="J1725" s="32" t="n"/>
      <c r="K1725" s="32" t="n"/>
      <c r="L1725" s="32" t="n"/>
      <c r="M1725" s="32" t="n"/>
      <c r="N1725" s="32" t="n"/>
      <c r="O1725" s="32" t="n"/>
      <c r="P1725" s="32" t="n"/>
      <c r="Q1725" s="32" t="n"/>
      <c r="U1725" s="31">
        <f>IF($A1725="","",SUM(X1725:AE1725))</f>
        <v/>
      </c>
      <c r="V1725" s="31">
        <f>IF($A1725="","",IF($H1725&lt;&gt;"Ausgabe",0,-$E1725-$U1725))</f>
        <v/>
      </c>
      <c r="W1725" s="33">
        <f>IF($A1725="","",DATE(YEAR($A1725),MONTH($A1725),1))</f>
        <v/>
      </c>
      <c r="X1725" s="34">
        <f>IF(OR($A1725="",$H1725&lt;&gt;"Ausgabe",J1725=""),0,IF(J1725="x",-$E1725/(COUNTIF($J1725:$Q1725,"x")+1),-$E1725*N(J1725)))</f>
        <v/>
      </c>
      <c r="Y1725" s="34">
        <f>IF(OR($A1725="",$H1725&lt;&gt;"Ausgabe",K1725=""),0,IF(K1725="x",-$E1725/(COUNTIF($J1725:$Q1725,"x")+1),-$E1725*N(K1725)))</f>
        <v/>
      </c>
      <c r="Z1725" s="34">
        <f>IF(OR($A1725="",$H1725&lt;&gt;"Ausgabe",L1725=""),0,IF(L1725="x",-$E1725/(COUNTIF($J1725:$Q1725,"x")+1),-$E1725*N(L1725)))</f>
        <v/>
      </c>
      <c r="AA1725" s="34">
        <f>IF(OR($A1725="",$H1725&lt;&gt;"Ausgabe",M1725=""),0,IF(M1725="x",-$E1725/(COUNTIF($J1725:$Q1725,"x")+1),-$E1725*N(M1725)))</f>
        <v/>
      </c>
      <c r="AB1725" s="34">
        <f>IF(OR($A1725="",$H1725&lt;&gt;"Ausgabe",N1725=""),0,IF(N1725="x",-$E1725/(COUNTIF($J1725:$Q1725,"x")+1),-$E1725*N(N1725)))</f>
        <v/>
      </c>
      <c r="AC1725" s="34">
        <f>IF(OR($A1725="",$H1725&lt;&gt;"Ausgabe",O1725=""),0,IF(O1725="x",-$E1725/(COUNTIF($J1725:$Q1725,"x")+1),-$E1725*N(O1725)))</f>
        <v/>
      </c>
      <c r="AD1725" s="34">
        <f>IF(OR($A1725="",$H1725&lt;&gt;"Ausgabe",P1725=""),0,IF(P1725="x",-$E1725/(COUNTIF($J1725:$Q1725,"x")+1),-$E1725*N(P1725)))</f>
        <v/>
      </c>
      <c r="AE1725" s="34">
        <f>IF(OR($A1725="",$H1725&lt;&gt;"Ausgabe",Q1725=""),0,IF(Q1725="x",-$E1725/(COUNTIF($J1725:$Q1725,"x")+1),-$E1725*N(Q1725)))</f>
        <v/>
      </c>
    </row>
    <row r="1726">
      <c r="A1726" s="30" t="n"/>
      <c r="E1726" s="31" t="n"/>
      <c r="J1726" s="32" t="n"/>
      <c r="K1726" s="32" t="n"/>
      <c r="L1726" s="32" t="n"/>
      <c r="M1726" s="32" t="n"/>
      <c r="N1726" s="32" t="n"/>
      <c r="O1726" s="32" t="n"/>
      <c r="P1726" s="32" t="n"/>
      <c r="Q1726" s="32" t="n"/>
      <c r="U1726" s="31">
        <f>IF($A1726="","",SUM(X1726:AE1726))</f>
        <v/>
      </c>
      <c r="V1726" s="31">
        <f>IF($A1726="","",IF($H1726&lt;&gt;"Ausgabe",0,-$E1726-$U1726))</f>
        <v/>
      </c>
      <c r="W1726" s="33">
        <f>IF($A1726="","",DATE(YEAR($A1726),MONTH($A1726),1))</f>
        <v/>
      </c>
      <c r="X1726" s="34">
        <f>IF(OR($A1726="",$H1726&lt;&gt;"Ausgabe",J1726=""),0,IF(J1726="x",-$E1726/(COUNTIF($J1726:$Q1726,"x")+1),-$E1726*N(J1726)))</f>
        <v/>
      </c>
      <c r="Y1726" s="34">
        <f>IF(OR($A1726="",$H1726&lt;&gt;"Ausgabe",K1726=""),0,IF(K1726="x",-$E1726/(COUNTIF($J1726:$Q1726,"x")+1),-$E1726*N(K1726)))</f>
        <v/>
      </c>
      <c r="Z1726" s="34">
        <f>IF(OR($A1726="",$H1726&lt;&gt;"Ausgabe",L1726=""),0,IF(L1726="x",-$E1726/(COUNTIF($J1726:$Q1726,"x")+1),-$E1726*N(L1726)))</f>
        <v/>
      </c>
      <c r="AA1726" s="34">
        <f>IF(OR($A1726="",$H1726&lt;&gt;"Ausgabe",M1726=""),0,IF(M1726="x",-$E1726/(COUNTIF($J1726:$Q1726,"x")+1),-$E1726*N(M1726)))</f>
        <v/>
      </c>
      <c r="AB1726" s="34">
        <f>IF(OR($A1726="",$H1726&lt;&gt;"Ausgabe",N1726=""),0,IF(N1726="x",-$E1726/(COUNTIF($J1726:$Q1726,"x")+1),-$E1726*N(N1726)))</f>
        <v/>
      </c>
      <c r="AC1726" s="34">
        <f>IF(OR($A1726="",$H1726&lt;&gt;"Ausgabe",O1726=""),0,IF(O1726="x",-$E1726/(COUNTIF($J1726:$Q1726,"x")+1),-$E1726*N(O1726)))</f>
        <v/>
      </c>
      <c r="AD1726" s="34">
        <f>IF(OR($A1726="",$H1726&lt;&gt;"Ausgabe",P1726=""),0,IF(P1726="x",-$E1726/(COUNTIF($J1726:$Q1726,"x")+1),-$E1726*N(P1726)))</f>
        <v/>
      </c>
      <c r="AE1726" s="34">
        <f>IF(OR($A1726="",$H1726&lt;&gt;"Ausgabe",Q1726=""),0,IF(Q1726="x",-$E1726/(COUNTIF($J1726:$Q1726,"x")+1),-$E1726*N(Q1726)))</f>
        <v/>
      </c>
    </row>
    <row r="1727">
      <c r="A1727" s="30" t="n"/>
      <c r="E1727" s="31" t="n"/>
      <c r="J1727" s="32" t="n"/>
      <c r="K1727" s="32" t="n"/>
      <c r="L1727" s="32" t="n"/>
      <c r="M1727" s="32" t="n"/>
      <c r="N1727" s="32" t="n"/>
      <c r="O1727" s="32" t="n"/>
      <c r="P1727" s="32" t="n"/>
      <c r="Q1727" s="32" t="n"/>
      <c r="U1727" s="31">
        <f>IF($A1727="","",SUM(X1727:AE1727))</f>
        <v/>
      </c>
      <c r="V1727" s="31">
        <f>IF($A1727="","",IF($H1727&lt;&gt;"Ausgabe",0,-$E1727-$U1727))</f>
        <v/>
      </c>
      <c r="W1727" s="33">
        <f>IF($A1727="","",DATE(YEAR($A1727),MONTH($A1727),1))</f>
        <v/>
      </c>
      <c r="X1727" s="34">
        <f>IF(OR($A1727="",$H1727&lt;&gt;"Ausgabe",J1727=""),0,IF(J1727="x",-$E1727/(COUNTIF($J1727:$Q1727,"x")+1),-$E1727*N(J1727)))</f>
        <v/>
      </c>
      <c r="Y1727" s="34">
        <f>IF(OR($A1727="",$H1727&lt;&gt;"Ausgabe",K1727=""),0,IF(K1727="x",-$E1727/(COUNTIF($J1727:$Q1727,"x")+1),-$E1727*N(K1727)))</f>
        <v/>
      </c>
      <c r="Z1727" s="34">
        <f>IF(OR($A1727="",$H1727&lt;&gt;"Ausgabe",L1727=""),0,IF(L1727="x",-$E1727/(COUNTIF($J1727:$Q1727,"x")+1),-$E1727*N(L1727)))</f>
        <v/>
      </c>
      <c r="AA1727" s="34">
        <f>IF(OR($A1727="",$H1727&lt;&gt;"Ausgabe",M1727=""),0,IF(M1727="x",-$E1727/(COUNTIF($J1727:$Q1727,"x")+1),-$E1727*N(M1727)))</f>
        <v/>
      </c>
      <c r="AB1727" s="34">
        <f>IF(OR($A1727="",$H1727&lt;&gt;"Ausgabe",N1727=""),0,IF(N1727="x",-$E1727/(COUNTIF($J1727:$Q1727,"x")+1),-$E1727*N(N1727)))</f>
        <v/>
      </c>
      <c r="AC1727" s="34">
        <f>IF(OR($A1727="",$H1727&lt;&gt;"Ausgabe",O1727=""),0,IF(O1727="x",-$E1727/(COUNTIF($J1727:$Q1727,"x")+1),-$E1727*N(O1727)))</f>
        <v/>
      </c>
      <c r="AD1727" s="34">
        <f>IF(OR($A1727="",$H1727&lt;&gt;"Ausgabe",P1727=""),0,IF(P1727="x",-$E1727/(COUNTIF($J1727:$Q1727,"x")+1),-$E1727*N(P1727)))</f>
        <v/>
      </c>
      <c r="AE1727" s="34">
        <f>IF(OR($A1727="",$H1727&lt;&gt;"Ausgabe",Q1727=""),0,IF(Q1727="x",-$E1727/(COUNTIF($J1727:$Q1727,"x")+1),-$E1727*N(Q1727)))</f>
        <v/>
      </c>
    </row>
    <row r="1728">
      <c r="A1728" s="30" t="n"/>
      <c r="E1728" s="31" t="n"/>
      <c r="J1728" s="32" t="n"/>
      <c r="K1728" s="32" t="n"/>
      <c r="L1728" s="32" t="n"/>
      <c r="M1728" s="32" t="n"/>
      <c r="N1728" s="32" t="n"/>
      <c r="O1728" s="32" t="n"/>
      <c r="P1728" s="32" t="n"/>
      <c r="Q1728" s="32" t="n"/>
      <c r="U1728" s="31">
        <f>IF($A1728="","",SUM(X1728:AE1728))</f>
        <v/>
      </c>
      <c r="V1728" s="31">
        <f>IF($A1728="","",IF($H1728&lt;&gt;"Ausgabe",0,-$E1728-$U1728))</f>
        <v/>
      </c>
      <c r="W1728" s="33">
        <f>IF($A1728="","",DATE(YEAR($A1728),MONTH($A1728),1))</f>
        <v/>
      </c>
      <c r="X1728" s="34">
        <f>IF(OR($A1728="",$H1728&lt;&gt;"Ausgabe",J1728=""),0,IF(J1728="x",-$E1728/(COUNTIF($J1728:$Q1728,"x")+1),-$E1728*N(J1728)))</f>
        <v/>
      </c>
      <c r="Y1728" s="34">
        <f>IF(OR($A1728="",$H1728&lt;&gt;"Ausgabe",K1728=""),0,IF(K1728="x",-$E1728/(COUNTIF($J1728:$Q1728,"x")+1),-$E1728*N(K1728)))</f>
        <v/>
      </c>
      <c r="Z1728" s="34">
        <f>IF(OR($A1728="",$H1728&lt;&gt;"Ausgabe",L1728=""),0,IF(L1728="x",-$E1728/(COUNTIF($J1728:$Q1728,"x")+1),-$E1728*N(L1728)))</f>
        <v/>
      </c>
      <c r="AA1728" s="34">
        <f>IF(OR($A1728="",$H1728&lt;&gt;"Ausgabe",M1728=""),0,IF(M1728="x",-$E1728/(COUNTIF($J1728:$Q1728,"x")+1),-$E1728*N(M1728)))</f>
        <v/>
      </c>
      <c r="AB1728" s="34">
        <f>IF(OR($A1728="",$H1728&lt;&gt;"Ausgabe",N1728=""),0,IF(N1728="x",-$E1728/(COUNTIF($J1728:$Q1728,"x")+1),-$E1728*N(N1728)))</f>
        <v/>
      </c>
      <c r="AC1728" s="34">
        <f>IF(OR($A1728="",$H1728&lt;&gt;"Ausgabe",O1728=""),0,IF(O1728="x",-$E1728/(COUNTIF($J1728:$Q1728,"x")+1),-$E1728*N(O1728)))</f>
        <v/>
      </c>
      <c r="AD1728" s="34">
        <f>IF(OR($A1728="",$H1728&lt;&gt;"Ausgabe",P1728=""),0,IF(P1728="x",-$E1728/(COUNTIF($J1728:$Q1728,"x")+1),-$E1728*N(P1728)))</f>
        <v/>
      </c>
      <c r="AE1728" s="34">
        <f>IF(OR($A1728="",$H1728&lt;&gt;"Ausgabe",Q1728=""),0,IF(Q1728="x",-$E1728/(COUNTIF($J1728:$Q1728,"x")+1),-$E1728*N(Q1728)))</f>
        <v/>
      </c>
    </row>
    <row r="1729">
      <c r="A1729" s="30" t="n"/>
      <c r="E1729" s="31" t="n"/>
      <c r="J1729" s="32" t="n"/>
      <c r="K1729" s="32" t="n"/>
      <c r="L1729" s="32" t="n"/>
      <c r="M1729" s="32" t="n"/>
      <c r="N1729" s="32" t="n"/>
      <c r="O1729" s="32" t="n"/>
      <c r="P1729" s="32" t="n"/>
      <c r="Q1729" s="32" t="n"/>
      <c r="U1729" s="31">
        <f>IF($A1729="","",SUM(X1729:AE1729))</f>
        <v/>
      </c>
      <c r="V1729" s="31">
        <f>IF($A1729="","",IF($H1729&lt;&gt;"Ausgabe",0,-$E1729-$U1729))</f>
        <v/>
      </c>
      <c r="W1729" s="33">
        <f>IF($A1729="","",DATE(YEAR($A1729),MONTH($A1729),1))</f>
        <v/>
      </c>
      <c r="X1729" s="34">
        <f>IF(OR($A1729="",$H1729&lt;&gt;"Ausgabe",J1729=""),0,IF(J1729="x",-$E1729/(COUNTIF($J1729:$Q1729,"x")+1),-$E1729*N(J1729)))</f>
        <v/>
      </c>
      <c r="Y1729" s="34">
        <f>IF(OR($A1729="",$H1729&lt;&gt;"Ausgabe",K1729=""),0,IF(K1729="x",-$E1729/(COUNTIF($J1729:$Q1729,"x")+1),-$E1729*N(K1729)))</f>
        <v/>
      </c>
      <c r="Z1729" s="34">
        <f>IF(OR($A1729="",$H1729&lt;&gt;"Ausgabe",L1729=""),0,IF(L1729="x",-$E1729/(COUNTIF($J1729:$Q1729,"x")+1),-$E1729*N(L1729)))</f>
        <v/>
      </c>
      <c r="AA1729" s="34">
        <f>IF(OR($A1729="",$H1729&lt;&gt;"Ausgabe",M1729=""),0,IF(M1729="x",-$E1729/(COUNTIF($J1729:$Q1729,"x")+1),-$E1729*N(M1729)))</f>
        <v/>
      </c>
      <c r="AB1729" s="34">
        <f>IF(OR($A1729="",$H1729&lt;&gt;"Ausgabe",N1729=""),0,IF(N1729="x",-$E1729/(COUNTIF($J1729:$Q1729,"x")+1),-$E1729*N(N1729)))</f>
        <v/>
      </c>
      <c r="AC1729" s="34">
        <f>IF(OR($A1729="",$H1729&lt;&gt;"Ausgabe",O1729=""),0,IF(O1729="x",-$E1729/(COUNTIF($J1729:$Q1729,"x")+1),-$E1729*N(O1729)))</f>
        <v/>
      </c>
      <c r="AD1729" s="34">
        <f>IF(OR($A1729="",$H1729&lt;&gt;"Ausgabe",P1729=""),0,IF(P1729="x",-$E1729/(COUNTIF($J1729:$Q1729,"x")+1),-$E1729*N(P1729)))</f>
        <v/>
      </c>
      <c r="AE1729" s="34">
        <f>IF(OR($A1729="",$H1729&lt;&gt;"Ausgabe",Q1729=""),0,IF(Q1729="x",-$E1729/(COUNTIF($J1729:$Q1729,"x")+1),-$E1729*N(Q1729)))</f>
        <v/>
      </c>
    </row>
    <row r="1730">
      <c r="A1730" s="30" t="n"/>
      <c r="E1730" s="31" t="n"/>
      <c r="J1730" s="32" t="n"/>
      <c r="K1730" s="32" t="n"/>
      <c r="L1730" s="32" t="n"/>
      <c r="M1730" s="32" t="n"/>
      <c r="N1730" s="32" t="n"/>
      <c r="O1730" s="32" t="n"/>
      <c r="P1730" s="32" t="n"/>
      <c r="Q1730" s="32" t="n"/>
      <c r="U1730" s="31">
        <f>IF($A1730="","",SUM(X1730:AE1730))</f>
        <v/>
      </c>
      <c r="V1730" s="31">
        <f>IF($A1730="","",IF($H1730&lt;&gt;"Ausgabe",0,-$E1730-$U1730))</f>
        <v/>
      </c>
      <c r="W1730" s="33">
        <f>IF($A1730="","",DATE(YEAR($A1730),MONTH($A1730),1))</f>
        <v/>
      </c>
      <c r="X1730" s="34">
        <f>IF(OR($A1730="",$H1730&lt;&gt;"Ausgabe",J1730=""),0,IF(J1730="x",-$E1730/(COUNTIF($J1730:$Q1730,"x")+1),-$E1730*N(J1730)))</f>
        <v/>
      </c>
      <c r="Y1730" s="34">
        <f>IF(OR($A1730="",$H1730&lt;&gt;"Ausgabe",K1730=""),0,IF(K1730="x",-$E1730/(COUNTIF($J1730:$Q1730,"x")+1),-$E1730*N(K1730)))</f>
        <v/>
      </c>
      <c r="Z1730" s="34">
        <f>IF(OR($A1730="",$H1730&lt;&gt;"Ausgabe",L1730=""),0,IF(L1730="x",-$E1730/(COUNTIF($J1730:$Q1730,"x")+1),-$E1730*N(L1730)))</f>
        <v/>
      </c>
      <c r="AA1730" s="34">
        <f>IF(OR($A1730="",$H1730&lt;&gt;"Ausgabe",M1730=""),0,IF(M1730="x",-$E1730/(COUNTIF($J1730:$Q1730,"x")+1),-$E1730*N(M1730)))</f>
        <v/>
      </c>
      <c r="AB1730" s="34">
        <f>IF(OR($A1730="",$H1730&lt;&gt;"Ausgabe",N1730=""),0,IF(N1730="x",-$E1730/(COUNTIF($J1730:$Q1730,"x")+1),-$E1730*N(N1730)))</f>
        <v/>
      </c>
      <c r="AC1730" s="34">
        <f>IF(OR($A1730="",$H1730&lt;&gt;"Ausgabe",O1730=""),0,IF(O1730="x",-$E1730/(COUNTIF($J1730:$Q1730,"x")+1),-$E1730*N(O1730)))</f>
        <v/>
      </c>
      <c r="AD1730" s="34">
        <f>IF(OR($A1730="",$H1730&lt;&gt;"Ausgabe",P1730=""),0,IF(P1730="x",-$E1730/(COUNTIF($J1730:$Q1730,"x")+1),-$E1730*N(P1730)))</f>
        <v/>
      </c>
      <c r="AE1730" s="34">
        <f>IF(OR($A1730="",$H1730&lt;&gt;"Ausgabe",Q1730=""),0,IF(Q1730="x",-$E1730/(COUNTIF($J1730:$Q1730,"x")+1),-$E1730*N(Q1730)))</f>
        <v/>
      </c>
    </row>
    <row r="1731">
      <c r="A1731" s="30" t="n"/>
      <c r="E1731" s="31" t="n"/>
      <c r="J1731" s="32" t="n"/>
      <c r="K1731" s="32" t="n"/>
      <c r="L1731" s="32" t="n"/>
      <c r="M1731" s="32" t="n"/>
      <c r="N1731" s="32" t="n"/>
      <c r="O1731" s="32" t="n"/>
      <c r="P1731" s="32" t="n"/>
      <c r="Q1731" s="32" t="n"/>
      <c r="U1731" s="31">
        <f>IF($A1731="","",SUM(X1731:AE1731))</f>
        <v/>
      </c>
      <c r="V1731" s="31">
        <f>IF($A1731="","",IF($H1731&lt;&gt;"Ausgabe",0,-$E1731-$U1731))</f>
        <v/>
      </c>
      <c r="W1731" s="33">
        <f>IF($A1731="","",DATE(YEAR($A1731),MONTH($A1731),1))</f>
        <v/>
      </c>
      <c r="X1731" s="34">
        <f>IF(OR($A1731="",$H1731&lt;&gt;"Ausgabe",J1731=""),0,IF(J1731="x",-$E1731/(COUNTIF($J1731:$Q1731,"x")+1),-$E1731*N(J1731)))</f>
        <v/>
      </c>
      <c r="Y1731" s="34">
        <f>IF(OR($A1731="",$H1731&lt;&gt;"Ausgabe",K1731=""),0,IF(K1731="x",-$E1731/(COUNTIF($J1731:$Q1731,"x")+1),-$E1731*N(K1731)))</f>
        <v/>
      </c>
      <c r="Z1731" s="34">
        <f>IF(OR($A1731="",$H1731&lt;&gt;"Ausgabe",L1731=""),0,IF(L1731="x",-$E1731/(COUNTIF($J1731:$Q1731,"x")+1),-$E1731*N(L1731)))</f>
        <v/>
      </c>
      <c r="AA1731" s="34">
        <f>IF(OR($A1731="",$H1731&lt;&gt;"Ausgabe",M1731=""),0,IF(M1731="x",-$E1731/(COUNTIF($J1731:$Q1731,"x")+1),-$E1731*N(M1731)))</f>
        <v/>
      </c>
      <c r="AB1731" s="34">
        <f>IF(OR($A1731="",$H1731&lt;&gt;"Ausgabe",N1731=""),0,IF(N1731="x",-$E1731/(COUNTIF($J1731:$Q1731,"x")+1),-$E1731*N(N1731)))</f>
        <v/>
      </c>
      <c r="AC1731" s="34">
        <f>IF(OR($A1731="",$H1731&lt;&gt;"Ausgabe",O1731=""),0,IF(O1731="x",-$E1731/(COUNTIF($J1731:$Q1731,"x")+1),-$E1731*N(O1731)))</f>
        <v/>
      </c>
      <c r="AD1731" s="34">
        <f>IF(OR($A1731="",$H1731&lt;&gt;"Ausgabe",P1731=""),0,IF(P1731="x",-$E1731/(COUNTIF($J1731:$Q1731,"x")+1),-$E1731*N(P1731)))</f>
        <v/>
      </c>
      <c r="AE1731" s="34">
        <f>IF(OR($A1731="",$H1731&lt;&gt;"Ausgabe",Q1731=""),0,IF(Q1731="x",-$E1731/(COUNTIF($J1731:$Q1731,"x")+1),-$E1731*N(Q1731)))</f>
        <v/>
      </c>
    </row>
    <row r="1732">
      <c r="A1732" s="30" t="n"/>
      <c r="E1732" s="31" t="n"/>
      <c r="J1732" s="32" t="n"/>
      <c r="K1732" s="32" t="n"/>
      <c r="L1732" s="32" t="n"/>
      <c r="M1732" s="32" t="n"/>
      <c r="N1732" s="32" t="n"/>
      <c r="O1732" s="32" t="n"/>
      <c r="P1732" s="32" t="n"/>
      <c r="Q1732" s="32" t="n"/>
      <c r="U1732" s="31">
        <f>IF($A1732="","",SUM(X1732:AE1732))</f>
        <v/>
      </c>
      <c r="V1732" s="31">
        <f>IF($A1732="","",IF($H1732&lt;&gt;"Ausgabe",0,-$E1732-$U1732))</f>
        <v/>
      </c>
      <c r="W1732" s="33">
        <f>IF($A1732="","",DATE(YEAR($A1732),MONTH($A1732),1))</f>
        <v/>
      </c>
      <c r="X1732" s="34">
        <f>IF(OR($A1732="",$H1732&lt;&gt;"Ausgabe",J1732=""),0,IF(J1732="x",-$E1732/(COUNTIF($J1732:$Q1732,"x")+1),-$E1732*N(J1732)))</f>
        <v/>
      </c>
      <c r="Y1732" s="34">
        <f>IF(OR($A1732="",$H1732&lt;&gt;"Ausgabe",K1732=""),0,IF(K1732="x",-$E1732/(COUNTIF($J1732:$Q1732,"x")+1),-$E1732*N(K1732)))</f>
        <v/>
      </c>
      <c r="Z1732" s="34">
        <f>IF(OR($A1732="",$H1732&lt;&gt;"Ausgabe",L1732=""),0,IF(L1732="x",-$E1732/(COUNTIF($J1732:$Q1732,"x")+1),-$E1732*N(L1732)))</f>
        <v/>
      </c>
      <c r="AA1732" s="34">
        <f>IF(OR($A1732="",$H1732&lt;&gt;"Ausgabe",M1732=""),0,IF(M1732="x",-$E1732/(COUNTIF($J1732:$Q1732,"x")+1),-$E1732*N(M1732)))</f>
        <v/>
      </c>
      <c r="AB1732" s="34">
        <f>IF(OR($A1732="",$H1732&lt;&gt;"Ausgabe",N1732=""),0,IF(N1732="x",-$E1732/(COUNTIF($J1732:$Q1732,"x")+1),-$E1732*N(N1732)))</f>
        <v/>
      </c>
      <c r="AC1732" s="34">
        <f>IF(OR($A1732="",$H1732&lt;&gt;"Ausgabe",O1732=""),0,IF(O1732="x",-$E1732/(COUNTIF($J1732:$Q1732,"x")+1),-$E1732*N(O1732)))</f>
        <v/>
      </c>
      <c r="AD1732" s="34">
        <f>IF(OR($A1732="",$H1732&lt;&gt;"Ausgabe",P1732=""),0,IF(P1732="x",-$E1732/(COUNTIF($J1732:$Q1732,"x")+1),-$E1732*N(P1732)))</f>
        <v/>
      </c>
      <c r="AE1732" s="34">
        <f>IF(OR($A1732="",$H1732&lt;&gt;"Ausgabe",Q1732=""),0,IF(Q1732="x",-$E1732/(COUNTIF($J1732:$Q1732,"x")+1),-$E1732*N(Q1732)))</f>
        <v/>
      </c>
    </row>
    <row r="1733">
      <c r="A1733" s="30" t="n"/>
      <c r="E1733" s="31" t="n"/>
      <c r="J1733" s="32" t="n"/>
      <c r="K1733" s="32" t="n"/>
      <c r="L1733" s="32" t="n"/>
      <c r="M1733" s="32" t="n"/>
      <c r="N1733" s="32" t="n"/>
      <c r="O1733" s="32" t="n"/>
      <c r="P1733" s="32" t="n"/>
      <c r="Q1733" s="32" t="n"/>
      <c r="U1733" s="31">
        <f>IF($A1733="","",SUM(X1733:AE1733))</f>
        <v/>
      </c>
      <c r="V1733" s="31">
        <f>IF($A1733="","",IF($H1733&lt;&gt;"Ausgabe",0,-$E1733-$U1733))</f>
        <v/>
      </c>
      <c r="W1733" s="33">
        <f>IF($A1733="","",DATE(YEAR($A1733),MONTH($A1733),1))</f>
        <v/>
      </c>
      <c r="X1733" s="34">
        <f>IF(OR($A1733="",$H1733&lt;&gt;"Ausgabe",J1733=""),0,IF(J1733="x",-$E1733/(COUNTIF($J1733:$Q1733,"x")+1),-$E1733*N(J1733)))</f>
        <v/>
      </c>
      <c r="Y1733" s="34">
        <f>IF(OR($A1733="",$H1733&lt;&gt;"Ausgabe",K1733=""),0,IF(K1733="x",-$E1733/(COUNTIF($J1733:$Q1733,"x")+1),-$E1733*N(K1733)))</f>
        <v/>
      </c>
      <c r="Z1733" s="34">
        <f>IF(OR($A1733="",$H1733&lt;&gt;"Ausgabe",L1733=""),0,IF(L1733="x",-$E1733/(COUNTIF($J1733:$Q1733,"x")+1),-$E1733*N(L1733)))</f>
        <v/>
      </c>
      <c r="AA1733" s="34">
        <f>IF(OR($A1733="",$H1733&lt;&gt;"Ausgabe",M1733=""),0,IF(M1733="x",-$E1733/(COUNTIF($J1733:$Q1733,"x")+1),-$E1733*N(M1733)))</f>
        <v/>
      </c>
      <c r="AB1733" s="34">
        <f>IF(OR($A1733="",$H1733&lt;&gt;"Ausgabe",N1733=""),0,IF(N1733="x",-$E1733/(COUNTIF($J1733:$Q1733,"x")+1),-$E1733*N(N1733)))</f>
        <v/>
      </c>
      <c r="AC1733" s="34">
        <f>IF(OR($A1733="",$H1733&lt;&gt;"Ausgabe",O1733=""),0,IF(O1733="x",-$E1733/(COUNTIF($J1733:$Q1733,"x")+1),-$E1733*N(O1733)))</f>
        <v/>
      </c>
      <c r="AD1733" s="34">
        <f>IF(OR($A1733="",$H1733&lt;&gt;"Ausgabe",P1733=""),0,IF(P1733="x",-$E1733/(COUNTIF($J1733:$Q1733,"x")+1),-$E1733*N(P1733)))</f>
        <v/>
      </c>
      <c r="AE1733" s="34">
        <f>IF(OR($A1733="",$H1733&lt;&gt;"Ausgabe",Q1733=""),0,IF(Q1733="x",-$E1733/(COUNTIF($J1733:$Q1733,"x")+1),-$E1733*N(Q1733)))</f>
        <v/>
      </c>
    </row>
    <row r="1734">
      <c r="A1734" s="30" t="n"/>
      <c r="E1734" s="31" t="n"/>
      <c r="J1734" s="32" t="n"/>
      <c r="K1734" s="32" t="n"/>
      <c r="L1734" s="32" t="n"/>
      <c r="M1734" s="32" t="n"/>
      <c r="N1734" s="32" t="n"/>
      <c r="O1734" s="32" t="n"/>
      <c r="P1734" s="32" t="n"/>
      <c r="Q1734" s="32" t="n"/>
      <c r="U1734" s="31">
        <f>IF($A1734="","",SUM(X1734:AE1734))</f>
        <v/>
      </c>
      <c r="V1734" s="31">
        <f>IF($A1734="","",IF($H1734&lt;&gt;"Ausgabe",0,-$E1734-$U1734))</f>
        <v/>
      </c>
      <c r="W1734" s="33">
        <f>IF($A1734="","",DATE(YEAR($A1734),MONTH($A1734),1))</f>
        <v/>
      </c>
      <c r="X1734" s="34">
        <f>IF(OR($A1734="",$H1734&lt;&gt;"Ausgabe",J1734=""),0,IF(J1734="x",-$E1734/(COUNTIF($J1734:$Q1734,"x")+1),-$E1734*N(J1734)))</f>
        <v/>
      </c>
      <c r="Y1734" s="34">
        <f>IF(OR($A1734="",$H1734&lt;&gt;"Ausgabe",K1734=""),0,IF(K1734="x",-$E1734/(COUNTIF($J1734:$Q1734,"x")+1),-$E1734*N(K1734)))</f>
        <v/>
      </c>
      <c r="Z1734" s="34">
        <f>IF(OR($A1734="",$H1734&lt;&gt;"Ausgabe",L1734=""),0,IF(L1734="x",-$E1734/(COUNTIF($J1734:$Q1734,"x")+1),-$E1734*N(L1734)))</f>
        <v/>
      </c>
      <c r="AA1734" s="34">
        <f>IF(OR($A1734="",$H1734&lt;&gt;"Ausgabe",M1734=""),0,IF(M1734="x",-$E1734/(COUNTIF($J1734:$Q1734,"x")+1),-$E1734*N(M1734)))</f>
        <v/>
      </c>
      <c r="AB1734" s="34">
        <f>IF(OR($A1734="",$H1734&lt;&gt;"Ausgabe",N1734=""),0,IF(N1734="x",-$E1734/(COUNTIF($J1734:$Q1734,"x")+1),-$E1734*N(N1734)))</f>
        <v/>
      </c>
      <c r="AC1734" s="34">
        <f>IF(OR($A1734="",$H1734&lt;&gt;"Ausgabe",O1734=""),0,IF(O1734="x",-$E1734/(COUNTIF($J1734:$Q1734,"x")+1),-$E1734*N(O1734)))</f>
        <v/>
      </c>
      <c r="AD1734" s="34">
        <f>IF(OR($A1734="",$H1734&lt;&gt;"Ausgabe",P1734=""),0,IF(P1734="x",-$E1734/(COUNTIF($J1734:$Q1734,"x")+1),-$E1734*N(P1734)))</f>
        <v/>
      </c>
      <c r="AE1734" s="34">
        <f>IF(OR($A1734="",$H1734&lt;&gt;"Ausgabe",Q1734=""),0,IF(Q1734="x",-$E1734/(COUNTIF($J1734:$Q1734,"x")+1),-$E1734*N(Q1734)))</f>
        <v/>
      </c>
    </row>
    <row r="1735">
      <c r="A1735" s="30" t="n"/>
      <c r="E1735" s="31" t="n"/>
      <c r="J1735" s="32" t="n"/>
      <c r="K1735" s="32" t="n"/>
      <c r="L1735" s="32" t="n"/>
      <c r="M1735" s="32" t="n"/>
      <c r="N1735" s="32" t="n"/>
      <c r="O1735" s="32" t="n"/>
      <c r="P1735" s="32" t="n"/>
      <c r="Q1735" s="32" t="n"/>
      <c r="U1735" s="31">
        <f>IF($A1735="","",SUM(X1735:AE1735))</f>
        <v/>
      </c>
      <c r="V1735" s="31">
        <f>IF($A1735="","",IF($H1735&lt;&gt;"Ausgabe",0,-$E1735-$U1735))</f>
        <v/>
      </c>
      <c r="W1735" s="33">
        <f>IF($A1735="","",DATE(YEAR($A1735),MONTH($A1735),1))</f>
        <v/>
      </c>
      <c r="X1735" s="34">
        <f>IF(OR($A1735="",$H1735&lt;&gt;"Ausgabe",J1735=""),0,IF(J1735="x",-$E1735/(COUNTIF($J1735:$Q1735,"x")+1),-$E1735*N(J1735)))</f>
        <v/>
      </c>
      <c r="Y1735" s="34">
        <f>IF(OR($A1735="",$H1735&lt;&gt;"Ausgabe",K1735=""),0,IF(K1735="x",-$E1735/(COUNTIF($J1735:$Q1735,"x")+1),-$E1735*N(K1735)))</f>
        <v/>
      </c>
      <c r="Z1735" s="34">
        <f>IF(OR($A1735="",$H1735&lt;&gt;"Ausgabe",L1735=""),0,IF(L1735="x",-$E1735/(COUNTIF($J1735:$Q1735,"x")+1),-$E1735*N(L1735)))</f>
        <v/>
      </c>
      <c r="AA1735" s="34">
        <f>IF(OR($A1735="",$H1735&lt;&gt;"Ausgabe",M1735=""),0,IF(M1735="x",-$E1735/(COUNTIF($J1735:$Q1735,"x")+1),-$E1735*N(M1735)))</f>
        <v/>
      </c>
      <c r="AB1735" s="34">
        <f>IF(OR($A1735="",$H1735&lt;&gt;"Ausgabe",N1735=""),0,IF(N1735="x",-$E1735/(COUNTIF($J1735:$Q1735,"x")+1),-$E1735*N(N1735)))</f>
        <v/>
      </c>
      <c r="AC1735" s="34">
        <f>IF(OR($A1735="",$H1735&lt;&gt;"Ausgabe",O1735=""),0,IF(O1735="x",-$E1735/(COUNTIF($J1735:$Q1735,"x")+1),-$E1735*N(O1735)))</f>
        <v/>
      </c>
      <c r="AD1735" s="34">
        <f>IF(OR($A1735="",$H1735&lt;&gt;"Ausgabe",P1735=""),0,IF(P1735="x",-$E1735/(COUNTIF($J1735:$Q1735,"x")+1),-$E1735*N(P1735)))</f>
        <v/>
      </c>
      <c r="AE1735" s="34">
        <f>IF(OR($A1735="",$H1735&lt;&gt;"Ausgabe",Q1735=""),0,IF(Q1735="x",-$E1735/(COUNTIF($J1735:$Q1735,"x")+1),-$E1735*N(Q1735)))</f>
        <v/>
      </c>
    </row>
    <row r="1736">
      <c r="A1736" s="30" t="n"/>
      <c r="E1736" s="31" t="n"/>
      <c r="J1736" s="32" t="n"/>
      <c r="K1736" s="32" t="n"/>
      <c r="L1736" s="32" t="n"/>
      <c r="M1736" s="32" t="n"/>
      <c r="N1736" s="32" t="n"/>
      <c r="O1736" s="32" t="n"/>
      <c r="P1736" s="32" t="n"/>
      <c r="Q1736" s="32" t="n"/>
      <c r="U1736" s="31">
        <f>IF($A1736="","",SUM(X1736:AE1736))</f>
        <v/>
      </c>
      <c r="V1736" s="31">
        <f>IF($A1736="","",IF($H1736&lt;&gt;"Ausgabe",0,-$E1736-$U1736))</f>
        <v/>
      </c>
      <c r="W1736" s="33">
        <f>IF($A1736="","",DATE(YEAR($A1736),MONTH($A1736),1))</f>
        <v/>
      </c>
      <c r="X1736" s="34">
        <f>IF(OR($A1736="",$H1736&lt;&gt;"Ausgabe",J1736=""),0,IF(J1736="x",-$E1736/(COUNTIF($J1736:$Q1736,"x")+1),-$E1736*N(J1736)))</f>
        <v/>
      </c>
      <c r="Y1736" s="34">
        <f>IF(OR($A1736="",$H1736&lt;&gt;"Ausgabe",K1736=""),0,IF(K1736="x",-$E1736/(COUNTIF($J1736:$Q1736,"x")+1),-$E1736*N(K1736)))</f>
        <v/>
      </c>
      <c r="Z1736" s="34">
        <f>IF(OR($A1736="",$H1736&lt;&gt;"Ausgabe",L1736=""),0,IF(L1736="x",-$E1736/(COUNTIF($J1736:$Q1736,"x")+1),-$E1736*N(L1736)))</f>
        <v/>
      </c>
      <c r="AA1736" s="34">
        <f>IF(OR($A1736="",$H1736&lt;&gt;"Ausgabe",M1736=""),0,IF(M1736="x",-$E1736/(COUNTIF($J1736:$Q1736,"x")+1),-$E1736*N(M1736)))</f>
        <v/>
      </c>
      <c r="AB1736" s="34">
        <f>IF(OR($A1736="",$H1736&lt;&gt;"Ausgabe",N1736=""),0,IF(N1736="x",-$E1736/(COUNTIF($J1736:$Q1736,"x")+1),-$E1736*N(N1736)))</f>
        <v/>
      </c>
      <c r="AC1736" s="34">
        <f>IF(OR($A1736="",$H1736&lt;&gt;"Ausgabe",O1736=""),0,IF(O1736="x",-$E1736/(COUNTIF($J1736:$Q1736,"x")+1),-$E1736*N(O1736)))</f>
        <v/>
      </c>
      <c r="AD1736" s="34">
        <f>IF(OR($A1736="",$H1736&lt;&gt;"Ausgabe",P1736=""),0,IF(P1736="x",-$E1736/(COUNTIF($J1736:$Q1736,"x")+1),-$E1736*N(P1736)))</f>
        <v/>
      </c>
      <c r="AE1736" s="34">
        <f>IF(OR($A1736="",$H1736&lt;&gt;"Ausgabe",Q1736=""),0,IF(Q1736="x",-$E1736/(COUNTIF($J1736:$Q1736,"x")+1),-$E1736*N(Q1736)))</f>
        <v/>
      </c>
    </row>
    <row r="1737">
      <c r="A1737" s="30" t="n"/>
      <c r="E1737" s="31" t="n"/>
      <c r="J1737" s="32" t="n"/>
      <c r="K1737" s="32" t="n"/>
      <c r="L1737" s="32" t="n"/>
      <c r="M1737" s="32" t="n"/>
      <c r="N1737" s="32" t="n"/>
      <c r="O1737" s="32" t="n"/>
      <c r="P1737" s="32" t="n"/>
      <c r="Q1737" s="32" t="n"/>
      <c r="U1737" s="31">
        <f>IF($A1737="","",SUM(X1737:AE1737))</f>
        <v/>
      </c>
      <c r="V1737" s="31">
        <f>IF($A1737="","",IF($H1737&lt;&gt;"Ausgabe",0,-$E1737-$U1737))</f>
        <v/>
      </c>
      <c r="W1737" s="33">
        <f>IF($A1737="","",DATE(YEAR($A1737),MONTH($A1737),1))</f>
        <v/>
      </c>
      <c r="X1737" s="34">
        <f>IF(OR($A1737="",$H1737&lt;&gt;"Ausgabe",J1737=""),0,IF(J1737="x",-$E1737/(COUNTIF($J1737:$Q1737,"x")+1),-$E1737*N(J1737)))</f>
        <v/>
      </c>
      <c r="Y1737" s="34">
        <f>IF(OR($A1737="",$H1737&lt;&gt;"Ausgabe",K1737=""),0,IF(K1737="x",-$E1737/(COUNTIF($J1737:$Q1737,"x")+1),-$E1737*N(K1737)))</f>
        <v/>
      </c>
      <c r="Z1737" s="34">
        <f>IF(OR($A1737="",$H1737&lt;&gt;"Ausgabe",L1737=""),0,IF(L1737="x",-$E1737/(COUNTIF($J1737:$Q1737,"x")+1),-$E1737*N(L1737)))</f>
        <v/>
      </c>
      <c r="AA1737" s="34">
        <f>IF(OR($A1737="",$H1737&lt;&gt;"Ausgabe",M1737=""),0,IF(M1737="x",-$E1737/(COUNTIF($J1737:$Q1737,"x")+1),-$E1737*N(M1737)))</f>
        <v/>
      </c>
      <c r="AB1737" s="34">
        <f>IF(OR($A1737="",$H1737&lt;&gt;"Ausgabe",N1737=""),0,IF(N1737="x",-$E1737/(COUNTIF($J1737:$Q1737,"x")+1),-$E1737*N(N1737)))</f>
        <v/>
      </c>
      <c r="AC1737" s="34">
        <f>IF(OR($A1737="",$H1737&lt;&gt;"Ausgabe",O1737=""),0,IF(O1737="x",-$E1737/(COUNTIF($J1737:$Q1737,"x")+1),-$E1737*N(O1737)))</f>
        <v/>
      </c>
      <c r="AD1737" s="34">
        <f>IF(OR($A1737="",$H1737&lt;&gt;"Ausgabe",P1737=""),0,IF(P1737="x",-$E1737/(COUNTIF($J1737:$Q1737,"x")+1),-$E1737*N(P1737)))</f>
        <v/>
      </c>
      <c r="AE1737" s="34">
        <f>IF(OR($A1737="",$H1737&lt;&gt;"Ausgabe",Q1737=""),0,IF(Q1737="x",-$E1737/(COUNTIF($J1737:$Q1737,"x")+1),-$E1737*N(Q1737)))</f>
        <v/>
      </c>
    </row>
    <row r="1738">
      <c r="A1738" s="30" t="n"/>
      <c r="E1738" s="31" t="n"/>
      <c r="J1738" s="32" t="n"/>
      <c r="K1738" s="32" t="n"/>
      <c r="L1738" s="32" t="n"/>
      <c r="M1738" s="32" t="n"/>
      <c r="N1738" s="32" t="n"/>
      <c r="O1738" s="32" t="n"/>
      <c r="P1738" s="32" t="n"/>
      <c r="Q1738" s="32" t="n"/>
      <c r="U1738" s="31">
        <f>IF($A1738="","",SUM(X1738:AE1738))</f>
        <v/>
      </c>
      <c r="V1738" s="31">
        <f>IF($A1738="","",IF($H1738&lt;&gt;"Ausgabe",0,-$E1738-$U1738))</f>
        <v/>
      </c>
      <c r="W1738" s="33">
        <f>IF($A1738="","",DATE(YEAR($A1738),MONTH($A1738),1))</f>
        <v/>
      </c>
      <c r="X1738" s="34">
        <f>IF(OR($A1738="",$H1738&lt;&gt;"Ausgabe",J1738=""),0,IF(J1738="x",-$E1738/(COUNTIF($J1738:$Q1738,"x")+1),-$E1738*N(J1738)))</f>
        <v/>
      </c>
      <c r="Y1738" s="34">
        <f>IF(OR($A1738="",$H1738&lt;&gt;"Ausgabe",K1738=""),0,IF(K1738="x",-$E1738/(COUNTIF($J1738:$Q1738,"x")+1),-$E1738*N(K1738)))</f>
        <v/>
      </c>
      <c r="Z1738" s="34">
        <f>IF(OR($A1738="",$H1738&lt;&gt;"Ausgabe",L1738=""),0,IF(L1738="x",-$E1738/(COUNTIF($J1738:$Q1738,"x")+1),-$E1738*N(L1738)))</f>
        <v/>
      </c>
      <c r="AA1738" s="34">
        <f>IF(OR($A1738="",$H1738&lt;&gt;"Ausgabe",M1738=""),0,IF(M1738="x",-$E1738/(COUNTIF($J1738:$Q1738,"x")+1),-$E1738*N(M1738)))</f>
        <v/>
      </c>
      <c r="AB1738" s="34">
        <f>IF(OR($A1738="",$H1738&lt;&gt;"Ausgabe",N1738=""),0,IF(N1738="x",-$E1738/(COUNTIF($J1738:$Q1738,"x")+1),-$E1738*N(N1738)))</f>
        <v/>
      </c>
      <c r="AC1738" s="34">
        <f>IF(OR($A1738="",$H1738&lt;&gt;"Ausgabe",O1738=""),0,IF(O1738="x",-$E1738/(COUNTIF($J1738:$Q1738,"x")+1),-$E1738*N(O1738)))</f>
        <v/>
      </c>
      <c r="AD1738" s="34">
        <f>IF(OR($A1738="",$H1738&lt;&gt;"Ausgabe",P1738=""),0,IF(P1738="x",-$E1738/(COUNTIF($J1738:$Q1738,"x")+1),-$E1738*N(P1738)))</f>
        <v/>
      </c>
      <c r="AE1738" s="34">
        <f>IF(OR($A1738="",$H1738&lt;&gt;"Ausgabe",Q1738=""),0,IF(Q1738="x",-$E1738/(COUNTIF($J1738:$Q1738,"x")+1),-$E1738*N(Q1738)))</f>
        <v/>
      </c>
    </row>
    <row r="1739">
      <c r="A1739" s="30" t="n"/>
      <c r="E1739" s="31" t="n"/>
      <c r="J1739" s="32" t="n"/>
      <c r="K1739" s="32" t="n"/>
      <c r="L1739" s="32" t="n"/>
      <c r="M1739" s="32" t="n"/>
      <c r="N1739" s="32" t="n"/>
      <c r="O1739" s="32" t="n"/>
      <c r="P1739" s="32" t="n"/>
      <c r="Q1739" s="32" t="n"/>
      <c r="U1739" s="31">
        <f>IF($A1739="","",SUM(X1739:AE1739))</f>
        <v/>
      </c>
      <c r="V1739" s="31">
        <f>IF($A1739="","",IF($H1739&lt;&gt;"Ausgabe",0,-$E1739-$U1739))</f>
        <v/>
      </c>
      <c r="W1739" s="33">
        <f>IF($A1739="","",DATE(YEAR($A1739),MONTH($A1739),1))</f>
        <v/>
      </c>
      <c r="X1739" s="34">
        <f>IF(OR($A1739="",$H1739&lt;&gt;"Ausgabe",J1739=""),0,IF(J1739="x",-$E1739/(COUNTIF($J1739:$Q1739,"x")+1),-$E1739*N(J1739)))</f>
        <v/>
      </c>
      <c r="Y1739" s="34">
        <f>IF(OR($A1739="",$H1739&lt;&gt;"Ausgabe",K1739=""),0,IF(K1739="x",-$E1739/(COUNTIF($J1739:$Q1739,"x")+1),-$E1739*N(K1739)))</f>
        <v/>
      </c>
      <c r="Z1739" s="34">
        <f>IF(OR($A1739="",$H1739&lt;&gt;"Ausgabe",L1739=""),0,IF(L1739="x",-$E1739/(COUNTIF($J1739:$Q1739,"x")+1),-$E1739*N(L1739)))</f>
        <v/>
      </c>
      <c r="AA1739" s="34">
        <f>IF(OR($A1739="",$H1739&lt;&gt;"Ausgabe",M1739=""),0,IF(M1739="x",-$E1739/(COUNTIF($J1739:$Q1739,"x")+1),-$E1739*N(M1739)))</f>
        <v/>
      </c>
      <c r="AB1739" s="34">
        <f>IF(OR($A1739="",$H1739&lt;&gt;"Ausgabe",N1739=""),0,IF(N1739="x",-$E1739/(COUNTIF($J1739:$Q1739,"x")+1),-$E1739*N(N1739)))</f>
        <v/>
      </c>
      <c r="AC1739" s="34">
        <f>IF(OR($A1739="",$H1739&lt;&gt;"Ausgabe",O1739=""),0,IF(O1739="x",-$E1739/(COUNTIF($J1739:$Q1739,"x")+1),-$E1739*N(O1739)))</f>
        <v/>
      </c>
      <c r="AD1739" s="34">
        <f>IF(OR($A1739="",$H1739&lt;&gt;"Ausgabe",P1739=""),0,IF(P1739="x",-$E1739/(COUNTIF($J1739:$Q1739,"x")+1),-$E1739*N(P1739)))</f>
        <v/>
      </c>
      <c r="AE1739" s="34">
        <f>IF(OR($A1739="",$H1739&lt;&gt;"Ausgabe",Q1739=""),0,IF(Q1739="x",-$E1739/(COUNTIF($J1739:$Q1739,"x")+1),-$E1739*N(Q1739)))</f>
        <v/>
      </c>
    </row>
    <row r="1740">
      <c r="A1740" s="30" t="n"/>
      <c r="E1740" s="31" t="n"/>
      <c r="J1740" s="32" t="n"/>
      <c r="K1740" s="32" t="n"/>
      <c r="L1740" s="32" t="n"/>
      <c r="M1740" s="32" t="n"/>
      <c r="N1740" s="32" t="n"/>
      <c r="O1740" s="32" t="n"/>
      <c r="P1740" s="32" t="n"/>
      <c r="Q1740" s="32" t="n"/>
      <c r="U1740" s="31">
        <f>IF($A1740="","",SUM(X1740:AE1740))</f>
        <v/>
      </c>
      <c r="V1740" s="31">
        <f>IF($A1740="","",IF($H1740&lt;&gt;"Ausgabe",0,-$E1740-$U1740))</f>
        <v/>
      </c>
      <c r="W1740" s="33">
        <f>IF($A1740="","",DATE(YEAR($A1740),MONTH($A1740),1))</f>
        <v/>
      </c>
      <c r="X1740" s="34">
        <f>IF(OR($A1740="",$H1740&lt;&gt;"Ausgabe",J1740=""),0,IF(J1740="x",-$E1740/(COUNTIF($J1740:$Q1740,"x")+1),-$E1740*N(J1740)))</f>
        <v/>
      </c>
      <c r="Y1740" s="34">
        <f>IF(OR($A1740="",$H1740&lt;&gt;"Ausgabe",K1740=""),0,IF(K1740="x",-$E1740/(COUNTIF($J1740:$Q1740,"x")+1),-$E1740*N(K1740)))</f>
        <v/>
      </c>
      <c r="Z1740" s="34">
        <f>IF(OR($A1740="",$H1740&lt;&gt;"Ausgabe",L1740=""),0,IF(L1740="x",-$E1740/(COUNTIF($J1740:$Q1740,"x")+1),-$E1740*N(L1740)))</f>
        <v/>
      </c>
      <c r="AA1740" s="34">
        <f>IF(OR($A1740="",$H1740&lt;&gt;"Ausgabe",M1740=""),0,IF(M1740="x",-$E1740/(COUNTIF($J1740:$Q1740,"x")+1),-$E1740*N(M1740)))</f>
        <v/>
      </c>
      <c r="AB1740" s="34">
        <f>IF(OR($A1740="",$H1740&lt;&gt;"Ausgabe",N1740=""),0,IF(N1740="x",-$E1740/(COUNTIF($J1740:$Q1740,"x")+1),-$E1740*N(N1740)))</f>
        <v/>
      </c>
      <c r="AC1740" s="34">
        <f>IF(OR($A1740="",$H1740&lt;&gt;"Ausgabe",O1740=""),0,IF(O1740="x",-$E1740/(COUNTIF($J1740:$Q1740,"x")+1),-$E1740*N(O1740)))</f>
        <v/>
      </c>
      <c r="AD1740" s="34">
        <f>IF(OR($A1740="",$H1740&lt;&gt;"Ausgabe",P1740=""),0,IF(P1740="x",-$E1740/(COUNTIF($J1740:$Q1740,"x")+1),-$E1740*N(P1740)))</f>
        <v/>
      </c>
      <c r="AE1740" s="34">
        <f>IF(OR($A1740="",$H1740&lt;&gt;"Ausgabe",Q1740=""),0,IF(Q1740="x",-$E1740/(COUNTIF($J1740:$Q1740,"x")+1),-$E1740*N(Q1740)))</f>
        <v/>
      </c>
    </row>
    <row r="1741">
      <c r="A1741" s="30" t="n"/>
      <c r="E1741" s="31" t="n"/>
      <c r="J1741" s="32" t="n"/>
      <c r="K1741" s="32" t="n"/>
      <c r="L1741" s="32" t="n"/>
      <c r="M1741" s="32" t="n"/>
      <c r="N1741" s="32" t="n"/>
      <c r="O1741" s="32" t="n"/>
      <c r="P1741" s="32" t="n"/>
      <c r="Q1741" s="32" t="n"/>
      <c r="U1741" s="31">
        <f>IF($A1741="","",SUM(X1741:AE1741))</f>
        <v/>
      </c>
      <c r="V1741" s="31">
        <f>IF($A1741="","",IF($H1741&lt;&gt;"Ausgabe",0,-$E1741-$U1741))</f>
        <v/>
      </c>
      <c r="W1741" s="33">
        <f>IF($A1741="","",DATE(YEAR($A1741),MONTH($A1741),1))</f>
        <v/>
      </c>
      <c r="X1741" s="34">
        <f>IF(OR($A1741="",$H1741&lt;&gt;"Ausgabe",J1741=""),0,IF(J1741="x",-$E1741/(COUNTIF($J1741:$Q1741,"x")+1),-$E1741*N(J1741)))</f>
        <v/>
      </c>
      <c r="Y1741" s="34">
        <f>IF(OR($A1741="",$H1741&lt;&gt;"Ausgabe",K1741=""),0,IF(K1741="x",-$E1741/(COUNTIF($J1741:$Q1741,"x")+1),-$E1741*N(K1741)))</f>
        <v/>
      </c>
      <c r="Z1741" s="34">
        <f>IF(OR($A1741="",$H1741&lt;&gt;"Ausgabe",L1741=""),0,IF(L1741="x",-$E1741/(COUNTIF($J1741:$Q1741,"x")+1),-$E1741*N(L1741)))</f>
        <v/>
      </c>
      <c r="AA1741" s="34">
        <f>IF(OR($A1741="",$H1741&lt;&gt;"Ausgabe",M1741=""),0,IF(M1741="x",-$E1741/(COUNTIF($J1741:$Q1741,"x")+1),-$E1741*N(M1741)))</f>
        <v/>
      </c>
      <c r="AB1741" s="34">
        <f>IF(OR($A1741="",$H1741&lt;&gt;"Ausgabe",N1741=""),0,IF(N1741="x",-$E1741/(COUNTIF($J1741:$Q1741,"x")+1),-$E1741*N(N1741)))</f>
        <v/>
      </c>
      <c r="AC1741" s="34">
        <f>IF(OR($A1741="",$H1741&lt;&gt;"Ausgabe",O1741=""),0,IF(O1741="x",-$E1741/(COUNTIF($J1741:$Q1741,"x")+1),-$E1741*N(O1741)))</f>
        <v/>
      </c>
      <c r="AD1741" s="34">
        <f>IF(OR($A1741="",$H1741&lt;&gt;"Ausgabe",P1741=""),0,IF(P1741="x",-$E1741/(COUNTIF($J1741:$Q1741,"x")+1),-$E1741*N(P1741)))</f>
        <v/>
      </c>
      <c r="AE1741" s="34">
        <f>IF(OR($A1741="",$H1741&lt;&gt;"Ausgabe",Q1741=""),0,IF(Q1741="x",-$E1741/(COUNTIF($J1741:$Q1741,"x")+1),-$E1741*N(Q1741)))</f>
        <v/>
      </c>
    </row>
    <row r="1742">
      <c r="A1742" s="30" t="n"/>
      <c r="E1742" s="31" t="n"/>
      <c r="J1742" s="32" t="n"/>
      <c r="K1742" s="32" t="n"/>
      <c r="L1742" s="32" t="n"/>
      <c r="M1742" s="32" t="n"/>
      <c r="N1742" s="32" t="n"/>
      <c r="O1742" s="32" t="n"/>
      <c r="P1742" s="32" t="n"/>
      <c r="Q1742" s="32" t="n"/>
      <c r="U1742" s="31">
        <f>IF($A1742="","",SUM(X1742:AE1742))</f>
        <v/>
      </c>
      <c r="V1742" s="31">
        <f>IF($A1742="","",IF($H1742&lt;&gt;"Ausgabe",0,-$E1742-$U1742))</f>
        <v/>
      </c>
      <c r="W1742" s="33">
        <f>IF($A1742="","",DATE(YEAR($A1742),MONTH($A1742),1))</f>
        <v/>
      </c>
      <c r="X1742" s="34">
        <f>IF(OR($A1742="",$H1742&lt;&gt;"Ausgabe",J1742=""),0,IF(J1742="x",-$E1742/(COUNTIF($J1742:$Q1742,"x")+1),-$E1742*N(J1742)))</f>
        <v/>
      </c>
      <c r="Y1742" s="34">
        <f>IF(OR($A1742="",$H1742&lt;&gt;"Ausgabe",K1742=""),0,IF(K1742="x",-$E1742/(COUNTIF($J1742:$Q1742,"x")+1),-$E1742*N(K1742)))</f>
        <v/>
      </c>
      <c r="Z1742" s="34">
        <f>IF(OR($A1742="",$H1742&lt;&gt;"Ausgabe",L1742=""),0,IF(L1742="x",-$E1742/(COUNTIF($J1742:$Q1742,"x")+1),-$E1742*N(L1742)))</f>
        <v/>
      </c>
      <c r="AA1742" s="34">
        <f>IF(OR($A1742="",$H1742&lt;&gt;"Ausgabe",M1742=""),0,IF(M1742="x",-$E1742/(COUNTIF($J1742:$Q1742,"x")+1),-$E1742*N(M1742)))</f>
        <v/>
      </c>
      <c r="AB1742" s="34">
        <f>IF(OR($A1742="",$H1742&lt;&gt;"Ausgabe",N1742=""),0,IF(N1742="x",-$E1742/(COUNTIF($J1742:$Q1742,"x")+1),-$E1742*N(N1742)))</f>
        <v/>
      </c>
      <c r="AC1742" s="34">
        <f>IF(OR($A1742="",$H1742&lt;&gt;"Ausgabe",O1742=""),0,IF(O1742="x",-$E1742/(COUNTIF($J1742:$Q1742,"x")+1),-$E1742*N(O1742)))</f>
        <v/>
      </c>
      <c r="AD1742" s="34">
        <f>IF(OR($A1742="",$H1742&lt;&gt;"Ausgabe",P1742=""),0,IF(P1742="x",-$E1742/(COUNTIF($J1742:$Q1742,"x")+1),-$E1742*N(P1742)))</f>
        <v/>
      </c>
      <c r="AE1742" s="34">
        <f>IF(OR($A1742="",$H1742&lt;&gt;"Ausgabe",Q1742=""),0,IF(Q1742="x",-$E1742/(COUNTIF($J1742:$Q1742,"x")+1),-$E1742*N(Q1742)))</f>
        <v/>
      </c>
    </row>
    <row r="1743">
      <c r="A1743" s="30" t="n"/>
      <c r="E1743" s="31" t="n"/>
      <c r="J1743" s="32" t="n"/>
      <c r="K1743" s="32" t="n"/>
      <c r="L1743" s="32" t="n"/>
      <c r="M1743" s="32" t="n"/>
      <c r="N1743" s="32" t="n"/>
      <c r="O1743" s="32" t="n"/>
      <c r="P1743" s="32" t="n"/>
      <c r="Q1743" s="32" t="n"/>
      <c r="U1743" s="31">
        <f>IF($A1743="","",SUM(X1743:AE1743))</f>
        <v/>
      </c>
      <c r="V1743" s="31">
        <f>IF($A1743="","",IF($H1743&lt;&gt;"Ausgabe",0,-$E1743-$U1743))</f>
        <v/>
      </c>
      <c r="W1743" s="33">
        <f>IF($A1743="","",DATE(YEAR($A1743),MONTH($A1743),1))</f>
        <v/>
      </c>
      <c r="X1743" s="34">
        <f>IF(OR($A1743="",$H1743&lt;&gt;"Ausgabe",J1743=""),0,IF(J1743="x",-$E1743/(COUNTIF($J1743:$Q1743,"x")+1),-$E1743*N(J1743)))</f>
        <v/>
      </c>
      <c r="Y1743" s="34">
        <f>IF(OR($A1743="",$H1743&lt;&gt;"Ausgabe",K1743=""),0,IF(K1743="x",-$E1743/(COUNTIF($J1743:$Q1743,"x")+1),-$E1743*N(K1743)))</f>
        <v/>
      </c>
      <c r="Z1743" s="34">
        <f>IF(OR($A1743="",$H1743&lt;&gt;"Ausgabe",L1743=""),0,IF(L1743="x",-$E1743/(COUNTIF($J1743:$Q1743,"x")+1),-$E1743*N(L1743)))</f>
        <v/>
      </c>
      <c r="AA1743" s="34">
        <f>IF(OR($A1743="",$H1743&lt;&gt;"Ausgabe",M1743=""),0,IF(M1743="x",-$E1743/(COUNTIF($J1743:$Q1743,"x")+1),-$E1743*N(M1743)))</f>
        <v/>
      </c>
      <c r="AB1743" s="34">
        <f>IF(OR($A1743="",$H1743&lt;&gt;"Ausgabe",N1743=""),0,IF(N1743="x",-$E1743/(COUNTIF($J1743:$Q1743,"x")+1),-$E1743*N(N1743)))</f>
        <v/>
      </c>
      <c r="AC1743" s="34">
        <f>IF(OR($A1743="",$H1743&lt;&gt;"Ausgabe",O1743=""),0,IF(O1743="x",-$E1743/(COUNTIF($J1743:$Q1743,"x")+1),-$E1743*N(O1743)))</f>
        <v/>
      </c>
      <c r="AD1743" s="34">
        <f>IF(OR($A1743="",$H1743&lt;&gt;"Ausgabe",P1743=""),0,IF(P1743="x",-$E1743/(COUNTIF($J1743:$Q1743,"x")+1),-$E1743*N(P1743)))</f>
        <v/>
      </c>
      <c r="AE1743" s="34">
        <f>IF(OR($A1743="",$H1743&lt;&gt;"Ausgabe",Q1743=""),0,IF(Q1743="x",-$E1743/(COUNTIF($J1743:$Q1743,"x")+1),-$E1743*N(Q1743)))</f>
        <v/>
      </c>
    </row>
    <row r="1744">
      <c r="A1744" s="30" t="n"/>
      <c r="E1744" s="31" t="n"/>
      <c r="J1744" s="32" t="n"/>
      <c r="K1744" s="32" t="n"/>
      <c r="L1744" s="32" t="n"/>
      <c r="M1744" s="32" t="n"/>
      <c r="N1744" s="32" t="n"/>
      <c r="O1744" s="32" t="n"/>
      <c r="P1744" s="32" t="n"/>
      <c r="Q1744" s="32" t="n"/>
      <c r="U1744" s="31">
        <f>IF($A1744="","",SUM(X1744:AE1744))</f>
        <v/>
      </c>
      <c r="V1744" s="31">
        <f>IF($A1744="","",IF($H1744&lt;&gt;"Ausgabe",0,-$E1744-$U1744))</f>
        <v/>
      </c>
      <c r="W1744" s="33">
        <f>IF($A1744="","",DATE(YEAR($A1744),MONTH($A1744),1))</f>
        <v/>
      </c>
      <c r="X1744" s="34">
        <f>IF(OR($A1744="",$H1744&lt;&gt;"Ausgabe",J1744=""),0,IF(J1744="x",-$E1744/(COUNTIF($J1744:$Q1744,"x")+1),-$E1744*N(J1744)))</f>
        <v/>
      </c>
      <c r="Y1744" s="34">
        <f>IF(OR($A1744="",$H1744&lt;&gt;"Ausgabe",K1744=""),0,IF(K1744="x",-$E1744/(COUNTIF($J1744:$Q1744,"x")+1),-$E1744*N(K1744)))</f>
        <v/>
      </c>
      <c r="Z1744" s="34">
        <f>IF(OR($A1744="",$H1744&lt;&gt;"Ausgabe",L1744=""),0,IF(L1744="x",-$E1744/(COUNTIF($J1744:$Q1744,"x")+1),-$E1744*N(L1744)))</f>
        <v/>
      </c>
      <c r="AA1744" s="34">
        <f>IF(OR($A1744="",$H1744&lt;&gt;"Ausgabe",M1744=""),0,IF(M1744="x",-$E1744/(COUNTIF($J1744:$Q1744,"x")+1),-$E1744*N(M1744)))</f>
        <v/>
      </c>
      <c r="AB1744" s="34">
        <f>IF(OR($A1744="",$H1744&lt;&gt;"Ausgabe",N1744=""),0,IF(N1744="x",-$E1744/(COUNTIF($J1744:$Q1744,"x")+1),-$E1744*N(N1744)))</f>
        <v/>
      </c>
      <c r="AC1744" s="34">
        <f>IF(OR($A1744="",$H1744&lt;&gt;"Ausgabe",O1744=""),0,IF(O1744="x",-$E1744/(COUNTIF($J1744:$Q1744,"x")+1),-$E1744*N(O1744)))</f>
        <v/>
      </c>
      <c r="AD1744" s="34">
        <f>IF(OR($A1744="",$H1744&lt;&gt;"Ausgabe",P1744=""),0,IF(P1744="x",-$E1744/(COUNTIF($J1744:$Q1744,"x")+1),-$E1744*N(P1744)))</f>
        <v/>
      </c>
      <c r="AE1744" s="34">
        <f>IF(OR($A1744="",$H1744&lt;&gt;"Ausgabe",Q1744=""),0,IF(Q1744="x",-$E1744/(COUNTIF($J1744:$Q1744,"x")+1),-$E1744*N(Q1744)))</f>
        <v/>
      </c>
    </row>
    <row r="1745">
      <c r="A1745" s="30" t="n"/>
      <c r="E1745" s="31" t="n"/>
      <c r="J1745" s="32" t="n"/>
      <c r="K1745" s="32" t="n"/>
      <c r="L1745" s="32" t="n"/>
      <c r="M1745" s="32" t="n"/>
      <c r="N1745" s="32" t="n"/>
      <c r="O1745" s="32" t="n"/>
      <c r="P1745" s="32" t="n"/>
      <c r="Q1745" s="32" t="n"/>
      <c r="U1745" s="31">
        <f>IF($A1745="","",SUM(X1745:AE1745))</f>
        <v/>
      </c>
      <c r="V1745" s="31">
        <f>IF($A1745="","",IF($H1745&lt;&gt;"Ausgabe",0,-$E1745-$U1745))</f>
        <v/>
      </c>
      <c r="W1745" s="33">
        <f>IF($A1745="","",DATE(YEAR($A1745),MONTH($A1745),1))</f>
        <v/>
      </c>
      <c r="X1745" s="34">
        <f>IF(OR($A1745="",$H1745&lt;&gt;"Ausgabe",J1745=""),0,IF(J1745="x",-$E1745/(COUNTIF($J1745:$Q1745,"x")+1),-$E1745*N(J1745)))</f>
        <v/>
      </c>
      <c r="Y1745" s="34">
        <f>IF(OR($A1745="",$H1745&lt;&gt;"Ausgabe",K1745=""),0,IF(K1745="x",-$E1745/(COUNTIF($J1745:$Q1745,"x")+1),-$E1745*N(K1745)))</f>
        <v/>
      </c>
      <c r="Z1745" s="34">
        <f>IF(OR($A1745="",$H1745&lt;&gt;"Ausgabe",L1745=""),0,IF(L1745="x",-$E1745/(COUNTIF($J1745:$Q1745,"x")+1),-$E1745*N(L1745)))</f>
        <v/>
      </c>
      <c r="AA1745" s="34">
        <f>IF(OR($A1745="",$H1745&lt;&gt;"Ausgabe",M1745=""),0,IF(M1745="x",-$E1745/(COUNTIF($J1745:$Q1745,"x")+1),-$E1745*N(M1745)))</f>
        <v/>
      </c>
      <c r="AB1745" s="34">
        <f>IF(OR($A1745="",$H1745&lt;&gt;"Ausgabe",N1745=""),0,IF(N1745="x",-$E1745/(COUNTIF($J1745:$Q1745,"x")+1),-$E1745*N(N1745)))</f>
        <v/>
      </c>
      <c r="AC1745" s="34">
        <f>IF(OR($A1745="",$H1745&lt;&gt;"Ausgabe",O1745=""),0,IF(O1745="x",-$E1745/(COUNTIF($J1745:$Q1745,"x")+1),-$E1745*N(O1745)))</f>
        <v/>
      </c>
      <c r="AD1745" s="34">
        <f>IF(OR($A1745="",$H1745&lt;&gt;"Ausgabe",P1745=""),0,IF(P1745="x",-$E1745/(COUNTIF($J1745:$Q1745,"x")+1),-$E1745*N(P1745)))</f>
        <v/>
      </c>
      <c r="AE1745" s="34">
        <f>IF(OR($A1745="",$H1745&lt;&gt;"Ausgabe",Q1745=""),0,IF(Q1745="x",-$E1745/(COUNTIF($J1745:$Q1745,"x")+1),-$E1745*N(Q1745)))</f>
        <v/>
      </c>
    </row>
    <row r="1746">
      <c r="A1746" s="30" t="n"/>
      <c r="E1746" s="31" t="n"/>
      <c r="J1746" s="32" t="n"/>
      <c r="K1746" s="32" t="n"/>
      <c r="L1746" s="32" t="n"/>
      <c r="M1746" s="32" t="n"/>
      <c r="N1746" s="32" t="n"/>
      <c r="O1746" s="32" t="n"/>
      <c r="P1746" s="32" t="n"/>
      <c r="Q1746" s="32" t="n"/>
      <c r="U1746" s="31">
        <f>IF($A1746="","",SUM(X1746:AE1746))</f>
        <v/>
      </c>
      <c r="V1746" s="31">
        <f>IF($A1746="","",IF($H1746&lt;&gt;"Ausgabe",0,-$E1746-$U1746))</f>
        <v/>
      </c>
      <c r="W1746" s="33">
        <f>IF($A1746="","",DATE(YEAR($A1746),MONTH($A1746),1))</f>
        <v/>
      </c>
      <c r="X1746" s="34">
        <f>IF(OR($A1746="",$H1746&lt;&gt;"Ausgabe",J1746=""),0,IF(J1746="x",-$E1746/(COUNTIF($J1746:$Q1746,"x")+1),-$E1746*N(J1746)))</f>
        <v/>
      </c>
      <c r="Y1746" s="34">
        <f>IF(OR($A1746="",$H1746&lt;&gt;"Ausgabe",K1746=""),0,IF(K1746="x",-$E1746/(COUNTIF($J1746:$Q1746,"x")+1),-$E1746*N(K1746)))</f>
        <v/>
      </c>
      <c r="Z1746" s="34">
        <f>IF(OR($A1746="",$H1746&lt;&gt;"Ausgabe",L1746=""),0,IF(L1746="x",-$E1746/(COUNTIF($J1746:$Q1746,"x")+1),-$E1746*N(L1746)))</f>
        <v/>
      </c>
      <c r="AA1746" s="34">
        <f>IF(OR($A1746="",$H1746&lt;&gt;"Ausgabe",M1746=""),0,IF(M1746="x",-$E1746/(COUNTIF($J1746:$Q1746,"x")+1),-$E1746*N(M1746)))</f>
        <v/>
      </c>
      <c r="AB1746" s="34">
        <f>IF(OR($A1746="",$H1746&lt;&gt;"Ausgabe",N1746=""),0,IF(N1746="x",-$E1746/(COUNTIF($J1746:$Q1746,"x")+1),-$E1746*N(N1746)))</f>
        <v/>
      </c>
      <c r="AC1746" s="34">
        <f>IF(OR($A1746="",$H1746&lt;&gt;"Ausgabe",O1746=""),0,IF(O1746="x",-$E1746/(COUNTIF($J1746:$Q1746,"x")+1),-$E1746*N(O1746)))</f>
        <v/>
      </c>
      <c r="AD1746" s="34">
        <f>IF(OR($A1746="",$H1746&lt;&gt;"Ausgabe",P1746=""),0,IF(P1746="x",-$E1746/(COUNTIF($J1746:$Q1746,"x")+1),-$E1746*N(P1746)))</f>
        <v/>
      </c>
      <c r="AE1746" s="34">
        <f>IF(OR($A1746="",$H1746&lt;&gt;"Ausgabe",Q1746=""),0,IF(Q1746="x",-$E1746/(COUNTIF($J1746:$Q1746,"x")+1),-$E1746*N(Q1746)))</f>
        <v/>
      </c>
    </row>
    <row r="1747">
      <c r="A1747" s="30" t="n"/>
      <c r="E1747" s="31" t="n"/>
      <c r="J1747" s="32" t="n"/>
      <c r="K1747" s="32" t="n"/>
      <c r="L1747" s="32" t="n"/>
      <c r="M1747" s="32" t="n"/>
      <c r="N1747" s="32" t="n"/>
      <c r="O1747" s="32" t="n"/>
      <c r="P1747" s="32" t="n"/>
      <c r="Q1747" s="32" t="n"/>
      <c r="U1747" s="31">
        <f>IF($A1747="","",SUM(X1747:AE1747))</f>
        <v/>
      </c>
      <c r="V1747" s="31">
        <f>IF($A1747="","",IF($H1747&lt;&gt;"Ausgabe",0,-$E1747-$U1747))</f>
        <v/>
      </c>
      <c r="W1747" s="33">
        <f>IF($A1747="","",DATE(YEAR($A1747),MONTH($A1747),1))</f>
        <v/>
      </c>
      <c r="X1747" s="34">
        <f>IF(OR($A1747="",$H1747&lt;&gt;"Ausgabe",J1747=""),0,IF(J1747="x",-$E1747/(COUNTIF($J1747:$Q1747,"x")+1),-$E1747*N(J1747)))</f>
        <v/>
      </c>
      <c r="Y1747" s="34">
        <f>IF(OR($A1747="",$H1747&lt;&gt;"Ausgabe",K1747=""),0,IF(K1747="x",-$E1747/(COUNTIF($J1747:$Q1747,"x")+1),-$E1747*N(K1747)))</f>
        <v/>
      </c>
      <c r="Z1747" s="34">
        <f>IF(OR($A1747="",$H1747&lt;&gt;"Ausgabe",L1747=""),0,IF(L1747="x",-$E1747/(COUNTIF($J1747:$Q1747,"x")+1),-$E1747*N(L1747)))</f>
        <v/>
      </c>
      <c r="AA1747" s="34">
        <f>IF(OR($A1747="",$H1747&lt;&gt;"Ausgabe",M1747=""),0,IF(M1747="x",-$E1747/(COUNTIF($J1747:$Q1747,"x")+1),-$E1747*N(M1747)))</f>
        <v/>
      </c>
      <c r="AB1747" s="34">
        <f>IF(OR($A1747="",$H1747&lt;&gt;"Ausgabe",N1747=""),0,IF(N1747="x",-$E1747/(COUNTIF($J1747:$Q1747,"x")+1),-$E1747*N(N1747)))</f>
        <v/>
      </c>
      <c r="AC1747" s="34">
        <f>IF(OR($A1747="",$H1747&lt;&gt;"Ausgabe",O1747=""),0,IF(O1747="x",-$E1747/(COUNTIF($J1747:$Q1747,"x")+1),-$E1747*N(O1747)))</f>
        <v/>
      </c>
      <c r="AD1747" s="34">
        <f>IF(OR($A1747="",$H1747&lt;&gt;"Ausgabe",P1747=""),0,IF(P1747="x",-$E1747/(COUNTIF($J1747:$Q1747,"x")+1),-$E1747*N(P1747)))</f>
        <v/>
      </c>
      <c r="AE1747" s="34">
        <f>IF(OR($A1747="",$H1747&lt;&gt;"Ausgabe",Q1747=""),0,IF(Q1747="x",-$E1747/(COUNTIF($J1747:$Q1747,"x")+1),-$E1747*N(Q1747)))</f>
        <v/>
      </c>
    </row>
    <row r="1748">
      <c r="A1748" s="30" t="n"/>
      <c r="E1748" s="31" t="n"/>
      <c r="J1748" s="32" t="n"/>
      <c r="K1748" s="32" t="n"/>
      <c r="L1748" s="32" t="n"/>
      <c r="M1748" s="32" t="n"/>
      <c r="N1748" s="32" t="n"/>
      <c r="O1748" s="32" t="n"/>
      <c r="P1748" s="32" t="n"/>
      <c r="Q1748" s="32" t="n"/>
      <c r="U1748" s="31">
        <f>IF($A1748="","",SUM(X1748:AE1748))</f>
        <v/>
      </c>
      <c r="V1748" s="31">
        <f>IF($A1748="","",IF($H1748&lt;&gt;"Ausgabe",0,-$E1748-$U1748))</f>
        <v/>
      </c>
      <c r="W1748" s="33">
        <f>IF($A1748="","",DATE(YEAR($A1748),MONTH($A1748),1))</f>
        <v/>
      </c>
      <c r="X1748" s="34">
        <f>IF(OR($A1748="",$H1748&lt;&gt;"Ausgabe",J1748=""),0,IF(J1748="x",-$E1748/(COUNTIF($J1748:$Q1748,"x")+1),-$E1748*N(J1748)))</f>
        <v/>
      </c>
      <c r="Y1748" s="34">
        <f>IF(OR($A1748="",$H1748&lt;&gt;"Ausgabe",K1748=""),0,IF(K1748="x",-$E1748/(COUNTIF($J1748:$Q1748,"x")+1),-$E1748*N(K1748)))</f>
        <v/>
      </c>
      <c r="Z1748" s="34">
        <f>IF(OR($A1748="",$H1748&lt;&gt;"Ausgabe",L1748=""),0,IF(L1748="x",-$E1748/(COUNTIF($J1748:$Q1748,"x")+1),-$E1748*N(L1748)))</f>
        <v/>
      </c>
      <c r="AA1748" s="34">
        <f>IF(OR($A1748="",$H1748&lt;&gt;"Ausgabe",M1748=""),0,IF(M1748="x",-$E1748/(COUNTIF($J1748:$Q1748,"x")+1),-$E1748*N(M1748)))</f>
        <v/>
      </c>
      <c r="AB1748" s="34">
        <f>IF(OR($A1748="",$H1748&lt;&gt;"Ausgabe",N1748=""),0,IF(N1748="x",-$E1748/(COUNTIF($J1748:$Q1748,"x")+1),-$E1748*N(N1748)))</f>
        <v/>
      </c>
      <c r="AC1748" s="34">
        <f>IF(OR($A1748="",$H1748&lt;&gt;"Ausgabe",O1748=""),0,IF(O1748="x",-$E1748/(COUNTIF($J1748:$Q1748,"x")+1),-$E1748*N(O1748)))</f>
        <v/>
      </c>
      <c r="AD1748" s="34">
        <f>IF(OR($A1748="",$H1748&lt;&gt;"Ausgabe",P1748=""),0,IF(P1748="x",-$E1748/(COUNTIF($J1748:$Q1748,"x")+1),-$E1748*N(P1748)))</f>
        <v/>
      </c>
      <c r="AE1748" s="34">
        <f>IF(OR($A1748="",$H1748&lt;&gt;"Ausgabe",Q1748=""),0,IF(Q1748="x",-$E1748/(COUNTIF($J1748:$Q1748,"x")+1),-$E1748*N(Q1748)))</f>
        <v/>
      </c>
    </row>
    <row r="1749">
      <c r="A1749" s="30" t="n"/>
      <c r="E1749" s="31" t="n"/>
      <c r="J1749" s="32" t="n"/>
      <c r="K1749" s="32" t="n"/>
      <c r="L1749" s="32" t="n"/>
      <c r="M1749" s="32" t="n"/>
      <c r="N1749" s="32" t="n"/>
      <c r="O1749" s="32" t="n"/>
      <c r="P1749" s="32" t="n"/>
      <c r="Q1749" s="32" t="n"/>
      <c r="U1749" s="31">
        <f>IF($A1749="","",SUM(X1749:AE1749))</f>
        <v/>
      </c>
      <c r="V1749" s="31">
        <f>IF($A1749="","",IF($H1749&lt;&gt;"Ausgabe",0,-$E1749-$U1749))</f>
        <v/>
      </c>
      <c r="W1749" s="33">
        <f>IF($A1749="","",DATE(YEAR($A1749),MONTH($A1749),1))</f>
        <v/>
      </c>
      <c r="X1749" s="34">
        <f>IF(OR($A1749="",$H1749&lt;&gt;"Ausgabe",J1749=""),0,IF(J1749="x",-$E1749/(COUNTIF($J1749:$Q1749,"x")+1),-$E1749*N(J1749)))</f>
        <v/>
      </c>
      <c r="Y1749" s="34">
        <f>IF(OR($A1749="",$H1749&lt;&gt;"Ausgabe",K1749=""),0,IF(K1749="x",-$E1749/(COUNTIF($J1749:$Q1749,"x")+1),-$E1749*N(K1749)))</f>
        <v/>
      </c>
      <c r="Z1749" s="34">
        <f>IF(OR($A1749="",$H1749&lt;&gt;"Ausgabe",L1749=""),0,IF(L1749="x",-$E1749/(COUNTIF($J1749:$Q1749,"x")+1),-$E1749*N(L1749)))</f>
        <v/>
      </c>
      <c r="AA1749" s="34">
        <f>IF(OR($A1749="",$H1749&lt;&gt;"Ausgabe",M1749=""),0,IF(M1749="x",-$E1749/(COUNTIF($J1749:$Q1749,"x")+1),-$E1749*N(M1749)))</f>
        <v/>
      </c>
      <c r="AB1749" s="34">
        <f>IF(OR($A1749="",$H1749&lt;&gt;"Ausgabe",N1749=""),0,IF(N1749="x",-$E1749/(COUNTIF($J1749:$Q1749,"x")+1),-$E1749*N(N1749)))</f>
        <v/>
      </c>
      <c r="AC1749" s="34">
        <f>IF(OR($A1749="",$H1749&lt;&gt;"Ausgabe",O1749=""),0,IF(O1749="x",-$E1749/(COUNTIF($J1749:$Q1749,"x")+1),-$E1749*N(O1749)))</f>
        <v/>
      </c>
      <c r="AD1749" s="34">
        <f>IF(OR($A1749="",$H1749&lt;&gt;"Ausgabe",P1749=""),0,IF(P1749="x",-$E1749/(COUNTIF($J1749:$Q1749,"x")+1),-$E1749*N(P1749)))</f>
        <v/>
      </c>
      <c r="AE1749" s="34">
        <f>IF(OR($A1749="",$H1749&lt;&gt;"Ausgabe",Q1749=""),0,IF(Q1749="x",-$E1749/(COUNTIF($J1749:$Q1749,"x")+1),-$E1749*N(Q1749)))</f>
        <v/>
      </c>
    </row>
    <row r="1750">
      <c r="A1750" s="30" t="n"/>
      <c r="E1750" s="31" t="n"/>
      <c r="J1750" s="32" t="n"/>
      <c r="K1750" s="32" t="n"/>
      <c r="L1750" s="32" t="n"/>
      <c r="M1750" s="32" t="n"/>
      <c r="N1750" s="32" t="n"/>
      <c r="O1750" s="32" t="n"/>
      <c r="P1750" s="32" t="n"/>
      <c r="Q1750" s="32" t="n"/>
      <c r="U1750" s="31">
        <f>IF($A1750="","",SUM(X1750:AE1750))</f>
        <v/>
      </c>
      <c r="V1750" s="31">
        <f>IF($A1750="","",IF($H1750&lt;&gt;"Ausgabe",0,-$E1750-$U1750))</f>
        <v/>
      </c>
      <c r="W1750" s="33">
        <f>IF($A1750="","",DATE(YEAR($A1750),MONTH($A1750),1))</f>
        <v/>
      </c>
      <c r="X1750" s="34">
        <f>IF(OR($A1750="",$H1750&lt;&gt;"Ausgabe",J1750=""),0,IF(J1750="x",-$E1750/(COUNTIF($J1750:$Q1750,"x")+1),-$E1750*N(J1750)))</f>
        <v/>
      </c>
      <c r="Y1750" s="34">
        <f>IF(OR($A1750="",$H1750&lt;&gt;"Ausgabe",K1750=""),0,IF(K1750="x",-$E1750/(COUNTIF($J1750:$Q1750,"x")+1),-$E1750*N(K1750)))</f>
        <v/>
      </c>
      <c r="Z1750" s="34">
        <f>IF(OR($A1750="",$H1750&lt;&gt;"Ausgabe",L1750=""),0,IF(L1750="x",-$E1750/(COUNTIF($J1750:$Q1750,"x")+1),-$E1750*N(L1750)))</f>
        <v/>
      </c>
      <c r="AA1750" s="34">
        <f>IF(OR($A1750="",$H1750&lt;&gt;"Ausgabe",M1750=""),0,IF(M1750="x",-$E1750/(COUNTIF($J1750:$Q1750,"x")+1),-$E1750*N(M1750)))</f>
        <v/>
      </c>
      <c r="AB1750" s="34">
        <f>IF(OR($A1750="",$H1750&lt;&gt;"Ausgabe",N1750=""),0,IF(N1750="x",-$E1750/(COUNTIF($J1750:$Q1750,"x")+1),-$E1750*N(N1750)))</f>
        <v/>
      </c>
      <c r="AC1750" s="34">
        <f>IF(OR($A1750="",$H1750&lt;&gt;"Ausgabe",O1750=""),0,IF(O1750="x",-$E1750/(COUNTIF($J1750:$Q1750,"x")+1),-$E1750*N(O1750)))</f>
        <v/>
      </c>
      <c r="AD1750" s="34">
        <f>IF(OR($A1750="",$H1750&lt;&gt;"Ausgabe",P1750=""),0,IF(P1750="x",-$E1750/(COUNTIF($J1750:$Q1750,"x")+1),-$E1750*N(P1750)))</f>
        <v/>
      </c>
      <c r="AE1750" s="34">
        <f>IF(OR($A1750="",$H1750&lt;&gt;"Ausgabe",Q1750=""),0,IF(Q1750="x",-$E1750/(COUNTIF($J1750:$Q1750,"x")+1),-$E1750*N(Q1750)))</f>
        <v/>
      </c>
    </row>
    <row r="1751">
      <c r="A1751" s="30" t="n"/>
      <c r="E1751" s="31" t="n"/>
      <c r="J1751" s="32" t="n"/>
      <c r="K1751" s="32" t="n"/>
      <c r="L1751" s="32" t="n"/>
      <c r="M1751" s="32" t="n"/>
      <c r="N1751" s="32" t="n"/>
      <c r="O1751" s="32" t="n"/>
      <c r="P1751" s="32" t="n"/>
      <c r="Q1751" s="32" t="n"/>
      <c r="U1751" s="31">
        <f>IF($A1751="","",SUM(X1751:AE1751))</f>
        <v/>
      </c>
      <c r="V1751" s="31">
        <f>IF($A1751="","",IF($H1751&lt;&gt;"Ausgabe",0,-$E1751-$U1751))</f>
        <v/>
      </c>
      <c r="W1751" s="33">
        <f>IF($A1751="","",DATE(YEAR($A1751),MONTH($A1751),1))</f>
        <v/>
      </c>
      <c r="X1751" s="34">
        <f>IF(OR($A1751="",$H1751&lt;&gt;"Ausgabe",J1751=""),0,IF(J1751="x",-$E1751/(COUNTIF($J1751:$Q1751,"x")+1),-$E1751*N(J1751)))</f>
        <v/>
      </c>
      <c r="Y1751" s="34">
        <f>IF(OR($A1751="",$H1751&lt;&gt;"Ausgabe",K1751=""),0,IF(K1751="x",-$E1751/(COUNTIF($J1751:$Q1751,"x")+1),-$E1751*N(K1751)))</f>
        <v/>
      </c>
      <c r="Z1751" s="34">
        <f>IF(OR($A1751="",$H1751&lt;&gt;"Ausgabe",L1751=""),0,IF(L1751="x",-$E1751/(COUNTIF($J1751:$Q1751,"x")+1),-$E1751*N(L1751)))</f>
        <v/>
      </c>
      <c r="AA1751" s="34">
        <f>IF(OR($A1751="",$H1751&lt;&gt;"Ausgabe",M1751=""),0,IF(M1751="x",-$E1751/(COUNTIF($J1751:$Q1751,"x")+1),-$E1751*N(M1751)))</f>
        <v/>
      </c>
      <c r="AB1751" s="34">
        <f>IF(OR($A1751="",$H1751&lt;&gt;"Ausgabe",N1751=""),0,IF(N1751="x",-$E1751/(COUNTIF($J1751:$Q1751,"x")+1),-$E1751*N(N1751)))</f>
        <v/>
      </c>
      <c r="AC1751" s="34">
        <f>IF(OR($A1751="",$H1751&lt;&gt;"Ausgabe",O1751=""),0,IF(O1751="x",-$E1751/(COUNTIF($J1751:$Q1751,"x")+1),-$E1751*N(O1751)))</f>
        <v/>
      </c>
      <c r="AD1751" s="34">
        <f>IF(OR($A1751="",$H1751&lt;&gt;"Ausgabe",P1751=""),0,IF(P1751="x",-$E1751/(COUNTIF($J1751:$Q1751,"x")+1),-$E1751*N(P1751)))</f>
        <v/>
      </c>
      <c r="AE1751" s="34">
        <f>IF(OR($A1751="",$H1751&lt;&gt;"Ausgabe",Q1751=""),0,IF(Q1751="x",-$E1751/(COUNTIF($J1751:$Q1751,"x")+1),-$E1751*N(Q1751)))</f>
        <v/>
      </c>
    </row>
    <row r="1752">
      <c r="A1752" s="30" t="n"/>
      <c r="E1752" s="31" t="n"/>
      <c r="J1752" s="32" t="n"/>
      <c r="K1752" s="32" t="n"/>
      <c r="L1752" s="32" t="n"/>
      <c r="M1752" s="32" t="n"/>
      <c r="N1752" s="32" t="n"/>
      <c r="O1752" s="32" t="n"/>
      <c r="P1752" s="32" t="n"/>
      <c r="Q1752" s="32" t="n"/>
      <c r="U1752" s="31">
        <f>IF($A1752="","",SUM(X1752:AE1752))</f>
        <v/>
      </c>
      <c r="V1752" s="31">
        <f>IF($A1752="","",IF($H1752&lt;&gt;"Ausgabe",0,-$E1752-$U1752))</f>
        <v/>
      </c>
      <c r="W1752" s="33">
        <f>IF($A1752="","",DATE(YEAR($A1752),MONTH($A1752),1))</f>
        <v/>
      </c>
      <c r="X1752" s="34">
        <f>IF(OR($A1752="",$H1752&lt;&gt;"Ausgabe",J1752=""),0,IF(J1752="x",-$E1752/(COUNTIF($J1752:$Q1752,"x")+1),-$E1752*N(J1752)))</f>
        <v/>
      </c>
      <c r="Y1752" s="34">
        <f>IF(OR($A1752="",$H1752&lt;&gt;"Ausgabe",K1752=""),0,IF(K1752="x",-$E1752/(COUNTIF($J1752:$Q1752,"x")+1),-$E1752*N(K1752)))</f>
        <v/>
      </c>
      <c r="Z1752" s="34">
        <f>IF(OR($A1752="",$H1752&lt;&gt;"Ausgabe",L1752=""),0,IF(L1752="x",-$E1752/(COUNTIF($J1752:$Q1752,"x")+1),-$E1752*N(L1752)))</f>
        <v/>
      </c>
      <c r="AA1752" s="34">
        <f>IF(OR($A1752="",$H1752&lt;&gt;"Ausgabe",M1752=""),0,IF(M1752="x",-$E1752/(COUNTIF($J1752:$Q1752,"x")+1),-$E1752*N(M1752)))</f>
        <v/>
      </c>
      <c r="AB1752" s="34">
        <f>IF(OR($A1752="",$H1752&lt;&gt;"Ausgabe",N1752=""),0,IF(N1752="x",-$E1752/(COUNTIF($J1752:$Q1752,"x")+1),-$E1752*N(N1752)))</f>
        <v/>
      </c>
      <c r="AC1752" s="34">
        <f>IF(OR($A1752="",$H1752&lt;&gt;"Ausgabe",O1752=""),0,IF(O1752="x",-$E1752/(COUNTIF($J1752:$Q1752,"x")+1),-$E1752*N(O1752)))</f>
        <v/>
      </c>
      <c r="AD1752" s="34">
        <f>IF(OR($A1752="",$H1752&lt;&gt;"Ausgabe",P1752=""),0,IF(P1752="x",-$E1752/(COUNTIF($J1752:$Q1752,"x")+1),-$E1752*N(P1752)))</f>
        <v/>
      </c>
      <c r="AE1752" s="34">
        <f>IF(OR($A1752="",$H1752&lt;&gt;"Ausgabe",Q1752=""),0,IF(Q1752="x",-$E1752/(COUNTIF($J1752:$Q1752,"x")+1),-$E1752*N(Q1752)))</f>
        <v/>
      </c>
    </row>
    <row r="1753">
      <c r="A1753" s="30" t="n"/>
      <c r="E1753" s="31" t="n"/>
      <c r="J1753" s="32" t="n"/>
      <c r="K1753" s="32" t="n"/>
      <c r="L1753" s="32" t="n"/>
      <c r="M1753" s="32" t="n"/>
      <c r="N1753" s="32" t="n"/>
      <c r="O1753" s="32" t="n"/>
      <c r="P1753" s="32" t="n"/>
      <c r="Q1753" s="32" t="n"/>
      <c r="U1753" s="31">
        <f>IF($A1753="","",SUM(X1753:AE1753))</f>
        <v/>
      </c>
      <c r="V1753" s="31">
        <f>IF($A1753="","",IF($H1753&lt;&gt;"Ausgabe",0,-$E1753-$U1753))</f>
        <v/>
      </c>
      <c r="W1753" s="33">
        <f>IF($A1753="","",DATE(YEAR($A1753),MONTH($A1753),1))</f>
        <v/>
      </c>
      <c r="X1753" s="34">
        <f>IF(OR($A1753="",$H1753&lt;&gt;"Ausgabe",J1753=""),0,IF(J1753="x",-$E1753/(COUNTIF($J1753:$Q1753,"x")+1),-$E1753*N(J1753)))</f>
        <v/>
      </c>
      <c r="Y1753" s="34">
        <f>IF(OR($A1753="",$H1753&lt;&gt;"Ausgabe",K1753=""),0,IF(K1753="x",-$E1753/(COUNTIF($J1753:$Q1753,"x")+1),-$E1753*N(K1753)))</f>
        <v/>
      </c>
      <c r="Z1753" s="34">
        <f>IF(OR($A1753="",$H1753&lt;&gt;"Ausgabe",L1753=""),0,IF(L1753="x",-$E1753/(COUNTIF($J1753:$Q1753,"x")+1),-$E1753*N(L1753)))</f>
        <v/>
      </c>
      <c r="AA1753" s="34">
        <f>IF(OR($A1753="",$H1753&lt;&gt;"Ausgabe",M1753=""),0,IF(M1753="x",-$E1753/(COUNTIF($J1753:$Q1753,"x")+1),-$E1753*N(M1753)))</f>
        <v/>
      </c>
      <c r="AB1753" s="34">
        <f>IF(OR($A1753="",$H1753&lt;&gt;"Ausgabe",N1753=""),0,IF(N1753="x",-$E1753/(COUNTIF($J1753:$Q1753,"x")+1),-$E1753*N(N1753)))</f>
        <v/>
      </c>
      <c r="AC1753" s="34">
        <f>IF(OR($A1753="",$H1753&lt;&gt;"Ausgabe",O1753=""),0,IF(O1753="x",-$E1753/(COUNTIF($J1753:$Q1753,"x")+1),-$E1753*N(O1753)))</f>
        <v/>
      </c>
      <c r="AD1753" s="34">
        <f>IF(OR($A1753="",$H1753&lt;&gt;"Ausgabe",P1753=""),0,IF(P1753="x",-$E1753/(COUNTIF($J1753:$Q1753,"x")+1),-$E1753*N(P1753)))</f>
        <v/>
      </c>
      <c r="AE1753" s="34">
        <f>IF(OR($A1753="",$H1753&lt;&gt;"Ausgabe",Q1753=""),0,IF(Q1753="x",-$E1753/(COUNTIF($J1753:$Q1753,"x")+1),-$E1753*N(Q1753)))</f>
        <v/>
      </c>
    </row>
    <row r="1754">
      <c r="A1754" s="30" t="n"/>
      <c r="E1754" s="31" t="n"/>
      <c r="J1754" s="32" t="n"/>
      <c r="K1754" s="32" t="n"/>
      <c r="L1754" s="32" t="n"/>
      <c r="M1754" s="32" t="n"/>
      <c r="N1754" s="32" t="n"/>
      <c r="O1754" s="32" t="n"/>
      <c r="P1754" s="32" t="n"/>
      <c r="Q1754" s="32" t="n"/>
      <c r="U1754" s="31">
        <f>IF($A1754="","",SUM(X1754:AE1754))</f>
        <v/>
      </c>
      <c r="V1754" s="31">
        <f>IF($A1754="","",IF($H1754&lt;&gt;"Ausgabe",0,-$E1754-$U1754))</f>
        <v/>
      </c>
      <c r="W1754" s="33">
        <f>IF($A1754="","",DATE(YEAR($A1754),MONTH($A1754),1))</f>
        <v/>
      </c>
      <c r="X1754" s="34">
        <f>IF(OR($A1754="",$H1754&lt;&gt;"Ausgabe",J1754=""),0,IF(J1754="x",-$E1754/(COUNTIF($J1754:$Q1754,"x")+1),-$E1754*N(J1754)))</f>
        <v/>
      </c>
      <c r="Y1754" s="34">
        <f>IF(OR($A1754="",$H1754&lt;&gt;"Ausgabe",K1754=""),0,IF(K1754="x",-$E1754/(COUNTIF($J1754:$Q1754,"x")+1),-$E1754*N(K1754)))</f>
        <v/>
      </c>
      <c r="Z1754" s="34">
        <f>IF(OR($A1754="",$H1754&lt;&gt;"Ausgabe",L1754=""),0,IF(L1754="x",-$E1754/(COUNTIF($J1754:$Q1754,"x")+1),-$E1754*N(L1754)))</f>
        <v/>
      </c>
      <c r="AA1754" s="34">
        <f>IF(OR($A1754="",$H1754&lt;&gt;"Ausgabe",M1754=""),0,IF(M1754="x",-$E1754/(COUNTIF($J1754:$Q1754,"x")+1),-$E1754*N(M1754)))</f>
        <v/>
      </c>
      <c r="AB1754" s="34">
        <f>IF(OR($A1754="",$H1754&lt;&gt;"Ausgabe",N1754=""),0,IF(N1754="x",-$E1754/(COUNTIF($J1754:$Q1754,"x")+1),-$E1754*N(N1754)))</f>
        <v/>
      </c>
      <c r="AC1754" s="34">
        <f>IF(OR($A1754="",$H1754&lt;&gt;"Ausgabe",O1754=""),0,IF(O1754="x",-$E1754/(COUNTIF($J1754:$Q1754,"x")+1),-$E1754*N(O1754)))</f>
        <v/>
      </c>
      <c r="AD1754" s="34">
        <f>IF(OR($A1754="",$H1754&lt;&gt;"Ausgabe",P1754=""),0,IF(P1754="x",-$E1754/(COUNTIF($J1754:$Q1754,"x")+1),-$E1754*N(P1754)))</f>
        <v/>
      </c>
      <c r="AE1754" s="34">
        <f>IF(OR($A1754="",$H1754&lt;&gt;"Ausgabe",Q1754=""),0,IF(Q1754="x",-$E1754/(COUNTIF($J1754:$Q1754,"x")+1),-$E1754*N(Q1754)))</f>
        <v/>
      </c>
    </row>
    <row r="1755">
      <c r="A1755" s="30" t="n"/>
      <c r="E1755" s="31" t="n"/>
      <c r="J1755" s="32" t="n"/>
      <c r="K1755" s="32" t="n"/>
      <c r="L1755" s="32" t="n"/>
      <c r="M1755" s="32" t="n"/>
      <c r="N1755" s="32" t="n"/>
      <c r="O1755" s="32" t="n"/>
      <c r="P1755" s="32" t="n"/>
      <c r="Q1755" s="32" t="n"/>
      <c r="U1755" s="31">
        <f>IF($A1755="","",SUM(X1755:AE1755))</f>
        <v/>
      </c>
      <c r="V1755" s="31">
        <f>IF($A1755="","",IF($H1755&lt;&gt;"Ausgabe",0,-$E1755-$U1755))</f>
        <v/>
      </c>
      <c r="W1755" s="33">
        <f>IF($A1755="","",DATE(YEAR($A1755),MONTH($A1755),1))</f>
        <v/>
      </c>
      <c r="X1755" s="34">
        <f>IF(OR($A1755="",$H1755&lt;&gt;"Ausgabe",J1755=""),0,IF(J1755="x",-$E1755/(COUNTIF($J1755:$Q1755,"x")+1),-$E1755*N(J1755)))</f>
        <v/>
      </c>
      <c r="Y1755" s="34">
        <f>IF(OR($A1755="",$H1755&lt;&gt;"Ausgabe",K1755=""),0,IF(K1755="x",-$E1755/(COUNTIF($J1755:$Q1755,"x")+1),-$E1755*N(K1755)))</f>
        <v/>
      </c>
      <c r="Z1755" s="34">
        <f>IF(OR($A1755="",$H1755&lt;&gt;"Ausgabe",L1755=""),0,IF(L1755="x",-$E1755/(COUNTIF($J1755:$Q1755,"x")+1),-$E1755*N(L1755)))</f>
        <v/>
      </c>
      <c r="AA1755" s="34">
        <f>IF(OR($A1755="",$H1755&lt;&gt;"Ausgabe",M1755=""),0,IF(M1755="x",-$E1755/(COUNTIF($J1755:$Q1755,"x")+1),-$E1755*N(M1755)))</f>
        <v/>
      </c>
      <c r="AB1755" s="34">
        <f>IF(OR($A1755="",$H1755&lt;&gt;"Ausgabe",N1755=""),0,IF(N1755="x",-$E1755/(COUNTIF($J1755:$Q1755,"x")+1),-$E1755*N(N1755)))</f>
        <v/>
      </c>
      <c r="AC1755" s="34">
        <f>IF(OR($A1755="",$H1755&lt;&gt;"Ausgabe",O1755=""),0,IF(O1755="x",-$E1755/(COUNTIF($J1755:$Q1755,"x")+1),-$E1755*N(O1755)))</f>
        <v/>
      </c>
      <c r="AD1755" s="34">
        <f>IF(OR($A1755="",$H1755&lt;&gt;"Ausgabe",P1755=""),0,IF(P1755="x",-$E1755/(COUNTIF($J1755:$Q1755,"x")+1),-$E1755*N(P1755)))</f>
        <v/>
      </c>
      <c r="AE1755" s="34">
        <f>IF(OR($A1755="",$H1755&lt;&gt;"Ausgabe",Q1755=""),0,IF(Q1755="x",-$E1755/(COUNTIF($J1755:$Q1755,"x")+1),-$E1755*N(Q1755)))</f>
        <v/>
      </c>
    </row>
    <row r="1756">
      <c r="A1756" s="30" t="n"/>
      <c r="E1756" s="31" t="n"/>
      <c r="J1756" s="32" t="n"/>
      <c r="K1756" s="32" t="n"/>
      <c r="L1756" s="32" t="n"/>
      <c r="M1756" s="32" t="n"/>
      <c r="N1756" s="32" t="n"/>
      <c r="O1756" s="32" t="n"/>
      <c r="P1756" s="32" t="n"/>
      <c r="Q1756" s="32" t="n"/>
      <c r="U1756" s="31">
        <f>IF($A1756="","",SUM(X1756:AE1756))</f>
        <v/>
      </c>
      <c r="V1756" s="31">
        <f>IF($A1756="","",IF($H1756&lt;&gt;"Ausgabe",0,-$E1756-$U1756))</f>
        <v/>
      </c>
      <c r="W1756" s="33">
        <f>IF($A1756="","",DATE(YEAR($A1756),MONTH($A1756),1))</f>
        <v/>
      </c>
      <c r="X1756" s="34">
        <f>IF(OR($A1756="",$H1756&lt;&gt;"Ausgabe",J1756=""),0,IF(J1756="x",-$E1756/(COUNTIF($J1756:$Q1756,"x")+1),-$E1756*N(J1756)))</f>
        <v/>
      </c>
      <c r="Y1756" s="34">
        <f>IF(OR($A1756="",$H1756&lt;&gt;"Ausgabe",K1756=""),0,IF(K1756="x",-$E1756/(COUNTIF($J1756:$Q1756,"x")+1),-$E1756*N(K1756)))</f>
        <v/>
      </c>
      <c r="Z1756" s="34">
        <f>IF(OR($A1756="",$H1756&lt;&gt;"Ausgabe",L1756=""),0,IF(L1756="x",-$E1756/(COUNTIF($J1756:$Q1756,"x")+1),-$E1756*N(L1756)))</f>
        <v/>
      </c>
      <c r="AA1756" s="34">
        <f>IF(OR($A1756="",$H1756&lt;&gt;"Ausgabe",M1756=""),0,IF(M1756="x",-$E1756/(COUNTIF($J1756:$Q1756,"x")+1),-$E1756*N(M1756)))</f>
        <v/>
      </c>
      <c r="AB1756" s="34">
        <f>IF(OR($A1756="",$H1756&lt;&gt;"Ausgabe",N1756=""),0,IF(N1756="x",-$E1756/(COUNTIF($J1756:$Q1756,"x")+1),-$E1756*N(N1756)))</f>
        <v/>
      </c>
      <c r="AC1756" s="34">
        <f>IF(OR($A1756="",$H1756&lt;&gt;"Ausgabe",O1756=""),0,IF(O1756="x",-$E1756/(COUNTIF($J1756:$Q1756,"x")+1),-$E1756*N(O1756)))</f>
        <v/>
      </c>
      <c r="AD1756" s="34">
        <f>IF(OR($A1756="",$H1756&lt;&gt;"Ausgabe",P1756=""),0,IF(P1756="x",-$E1756/(COUNTIF($J1756:$Q1756,"x")+1),-$E1756*N(P1756)))</f>
        <v/>
      </c>
      <c r="AE1756" s="34">
        <f>IF(OR($A1756="",$H1756&lt;&gt;"Ausgabe",Q1756=""),0,IF(Q1756="x",-$E1756/(COUNTIF($J1756:$Q1756,"x")+1),-$E1756*N(Q1756)))</f>
        <v/>
      </c>
    </row>
    <row r="1757">
      <c r="A1757" s="30" t="n"/>
      <c r="E1757" s="31" t="n"/>
      <c r="J1757" s="32" t="n"/>
      <c r="K1757" s="32" t="n"/>
      <c r="L1757" s="32" t="n"/>
      <c r="M1757" s="32" t="n"/>
      <c r="N1757" s="32" t="n"/>
      <c r="O1757" s="32" t="n"/>
      <c r="P1757" s="32" t="n"/>
      <c r="Q1757" s="32" t="n"/>
      <c r="U1757" s="31">
        <f>IF($A1757="","",SUM(X1757:AE1757))</f>
        <v/>
      </c>
      <c r="V1757" s="31">
        <f>IF($A1757="","",IF($H1757&lt;&gt;"Ausgabe",0,-$E1757-$U1757))</f>
        <v/>
      </c>
      <c r="W1757" s="33">
        <f>IF($A1757="","",DATE(YEAR($A1757),MONTH($A1757),1))</f>
        <v/>
      </c>
      <c r="X1757" s="34">
        <f>IF(OR($A1757="",$H1757&lt;&gt;"Ausgabe",J1757=""),0,IF(J1757="x",-$E1757/(COUNTIF($J1757:$Q1757,"x")+1),-$E1757*N(J1757)))</f>
        <v/>
      </c>
      <c r="Y1757" s="34">
        <f>IF(OR($A1757="",$H1757&lt;&gt;"Ausgabe",K1757=""),0,IF(K1757="x",-$E1757/(COUNTIF($J1757:$Q1757,"x")+1),-$E1757*N(K1757)))</f>
        <v/>
      </c>
      <c r="Z1757" s="34">
        <f>IF(OR($A1757="",$H1757&lt;&gt;"Ausgabe",L1757=""),0,IF(L1757="x",-$E1757/(COUNTIF($J1757:$Q1757,"x")+1),-$E1757*N(L1757)))</f>
        <v/>
      </c>
      <c r="AA1757" s="34">
        <f>IF(OR($A1757="",$H1757&lt;&gt;"Ausgabe",M1757=""),0,IF(M1757="x",-$E1757/(COUNTIF($J1757:$Q1757,"x")+1),-$E1757*N(M1757)))</f>
        <v/>
      </c>
      <c r="AB1757" s="34">
        <f>IF(OR($A1757="",$H1757&lt;&gt;"Ausgabe",N1757=""),0,IF(N1757="x",-$E1757/(COUNTIF($J1757:$Q1757,"x")+1),-$E1757*N(N1757)))</f>
        <v/>
      </c>
      <c r="AC1757" s="34">
        <f>IF(OR($A1757="",$H1757&lt;&gt;"Ausgabe",O1757=""),0,IF(O1757="x",-$E1757/(COUNTIF($J1757:$Q1757,"x")+1),-$E1757*N(O1757)))</f>
        <v/>
      </c>
      <c r="AD1757" s="34">
        <f>IF(OR($A1757="",$H1757&lt;&gt;"Ausgabe",P1757=""),0,IF(P1757="x",-$E1757/(COUNTIF($J1757:$Q1757,"x")+1),-$E1757*N(P1757)))</f>
        <v/>
      </c>
      <c r="AE1757" s="34">
        <f>IF(OR($A1757="",$H1757&lt;&gt;"Ausgabe",Q1757=""),0,IF(Q1757="x",-$E1757/(COUNTIF($J1757:$Q1757,"x")+1),-$E1757*N(Q1757)))</f>
        <v/>
      </c>
    </row>
    <row r="1758">
      <c r="A1758" s="30" t="n"/>
      <c r="E1758" s="31" t="n"/>
      <c r="J1758" s="32" t="n"/>
      <c r="K1758" s="32" t="n"/>
      <c r="L1758" s="32" t="n"/>
      <c r="M1758" s="32" t="n"/>
      <c r="N1758" s="32" t="n"/>
      <c r="O1758" s="32" t="n"/>
      <c r="P1758" s="32" t="n"/>
      <c r="Q1758" s="32" t="n"/>
      <c r="U1758" s="31">
        <f>IF($A1758="","",SUM(X1758:AE1758))</f>
        <v/>
      </c>
      <c r="V1758" s="31">
        <f>IF($A1758="","",IF($H1758&lt;&gt;"Ausgabe",0,-$E1758-$U1758))</f>
        <v/>
      </c>
      <c r="W1758" s="33">
        <f>IF($A1758="","",DATE(YEAR($A1758),MONTH($A1758),1))</f>
        <v/>
      </c>
      <c r="X1758" s="34">
        <f>IF(OR($A1758="",$H1758&lt;&gt;"Ausgabe",J1758=""),0,IF(J1758="x",-$E1758/(COUNTIF($J1758:$Q1758,"x")+1),-$E1758*N(J1758)))</f>
        <v/>
      </c>
      <c r="Y1758" s="34">
        <f>IF(OR($A1758="",$H1758&lt;&gt;"Ausgabe",K1758=""),0,IF(K1758="x",-$E1758/(COUNTIF($J1758:$Q1758,"x")+1),-$E1758*N(K1758)))</f>
        <v/>
      </c>
      <c r="Z1758" s="34">
        <f>IF(OR($A1758="",$H1758&lt;&gt;"Ausgabe",L1758=""),0,IF(L1758="x",-$E1758/(COUNTIF($J1758:$Q1758,"x")+1),-$E1758*N(L1758)))</f>
        <v/>
      </c>
      <c r="AA1758" s="34">
        <f>IF(OR($A1758="",$H1758&lt;&gt;"Ausgabe",M1758=""),0,IF(M1758="x",-$E1758/(COUNTIF($J1758:$Q1758,"x")+1),-$E1758*N(M1758)))</f>
        <v/>
      </c>
      <c r="AB1758" s="34">
        <f>IF(OR($A1758="",$H1758&lt;&gt;"Ausgabe",N1758=""),0,IF(N1758="x",-$E1758/(COUNTIF($J1758:$Q1758,"x")+1),-$E1758*N(N1758)))</f>
        <v/>
      </c>
      <c r="AC1758" s="34">
        <f>IF(OR($A1758="",$H1758&lt;&gt;"Ausgabe",O1758=""),0,IF(O1758="x",-$E1758/(COUNTIF($J1758:$Q1758,"x")+1),-$E1758*N(O1758)))</f>
        <v/>
      </c>
      <c r="AD1758" s="34">
        <f>IF(OR($A1758="",$H1758&lt;&gt;"Ausgabe",P1758=""),0,IF(P1758="x",-$E1758/(COUNTIF($J1758:$Q1758,"x")+1),-$E1758*N(P1758)))</f>
        <v/>
      </c>
      <c r="AE1758" s="34">
        <f>IF(OR($A1758="",$H1758&lt;&gt;"Ausgabe",Q1758=""),0,IF(Q1758="x",-$E1758/(COUNTIF($J1758:$Q1758,"x")+1),-$E1758*N(Q1758)))</f>
        <v/>
      </c>
    </row>
    <row r="1759">
      <c r="A1759" s="30" t="n"/>
      <c r="E1759" s="31" t="n"/>
      <c r="J1759" s="32" t="n"/>
      <c r="K1759" s="32" t="n"/>
      <c r="L1759" s="32" t="n"/>
      <c r="M1759" s="32" t="n"/>
      <c r="N1759" s="32" t="n"/>
      <c r="O1759" s="32" t="n"/>
      <c r="P1759" s="32" t="n"/>
      <c r="Q1759" s="32" t="n"/>
      <c r="U1759" s="31">
        <f>IF($A1759="","",SUM(X1759:AE1759))</f>
        <v/>
      </c>
      <c r="V1759" s="31">
        <f>IF($A1759="","",IF($H1759&lt;&gt;"Ausgabe",0,-$E1759-$U1759))</f>
        <v/>
      </c>
      <c r="W1759" s="33">
        <f>IF($A1759="","",DATE(YEAR($A1759),MONTH($A1759),1))</f>
        <v/>
      </c>
      <c r="X1759" s="34">
        <f>IF(OR($A1759="",$H1759&lt;&gt;"Ausgabe",J1759=""),0,IF(J1759="x",-$E1759/(COUNTIF($J1759:$Q1759,"x")+1),-$E1759*N(J1759)))</f>
        <v/>
      </c>
      <c r="Y1759" s="34">
        <f>IF(OR($A1759="",$H1759&lt;&gt;"Ausgabe",K1759=""),0,IF(K1759="x",-$E1759/(COUNTIF($J1759:$Q1759,"x")+1),-$E1759*N(K1759)))</f>
        <v/>
      </c>
      <c r="Z1759" s="34">
        <f>IF(OR($A1759="",$H1759&lt;&gt;"Ausgabe",L1759=""),0,IF(L1759="x",-$E1759/(COUNTIF($J1759:$Q1759,"x")+1),-$E1759*N(L1759)))</f>
        <v/>
      </c>
      <c r="AA1759" s="34">
        <f>IF(OR($A1759="",$H1759&lt;&gt;"Ausgabe",M1759=""),0,IF(M1759="x",-$E1759/(COUNTIF($J1759:$Q1759,"x")+1),-$E1759*N(M1759)))</f>
        <v/>
      </c>
      <c r="AB1759" s="34">
        <f>IF(OR($A1759="",$H1759&lt;&gt;"Ausgabe",N1759=""),0,IF(N1759="x",-$E1759/(COUNTIF($J1759:$Q1759,"x")+1),-$E1759*N(N1759)))</f>
        <v/>
      </c>
      <c r="AC1759" s="34">
        <f>IF(OR($A1759="",$H1759&lt;&gt;"Ausgabe",O1759=""),0,IF(O1759="x",-$E1759/(COUNTIF($J1759:$Q1759,"x")+1),-$E1759*N(O1759)))</f>
        <v/>
      </c>
      <c r="AD1759" s="34">
        <f>IF(OR($A1759="",$H1759&lt;&gt;"Ausgabe",P1759=""),0,IF(P1759="x",-$E1759/(COUNTIF($J1759:$Q1759,"x")+1),-$E1759*N(P1759)))</f>
        <v/>
      </c>
      <c r="AE1759" s="34">
        <f>IF(OR($A1759="",$H1759&lt;&gt;"Ausgabe",Q1759=""),0,IF(Q1759="x",-$E1759/(COUNTIF($J1759:$Q1759,"x")+1),-$E1759*N(Q1759)))</f>
        <v/>
      </c>
    </row>
    <row r="1760">
      <c r="A1760" s="30" t="n"/>
      <c r="E1760" s="31" t="n"/>
      <c r="J1760" s="32" t="n"/>
      <c r="K1760" s="32" t="n"/>
      <c r="L1760" s="32" t="n"/>
      <c r="M1760" s="32" t="n"/>
      <c r="N1760" s="32" t="n"/>
      <c r="O1760" s="32" t="n"/>
      <c r="P1760" s="32" t="n"/>
      <c r="Q1760" s="32" t="n"/>
      <c r="U1760" s="31">
        <f>IF($A1760="","",SUM(X1760:AE1760))</f>
        <v/>
      </c>
      <c r="V1760" s="31">
        <f>IF($A1760="","",IF($H1760&lt;&gt;"Ausgabe",0,-$E1760-$U1760))</f>
        <v/>
      </c>
      <c r="W1760" s="33">
        <f>IF($A1760="","",DATE(YEAR($A1760),MONTH($A1760),1))</f>
        <v/>
      </c>
      <c r="X1760" s="34">
        <f>IF(OR($A1760="",$H1760&lt;&gt;"Ausgabe",J1760=""),0,IF(J1760="x",-$E1760/(COUNTIF($J1760:$Q1760,"x")+1),-$E1760*N(J1760)))</f>
        <v/>
      </c>
      <c r="Y1760" s="34">
        <f>IF(OR($A1760="",$H1760&lt;&gt;"Ausgabe",K1760=""),0,IF(K1760="x",-$E1760/(COUNTIF($J1760:$Q1760,"x")+1),-$E1760*N(K1760)))</f>
        <v/>
      </c>
      <c r="Z1760" s="34">
        <f>IF(OR($A1760="",$H1760&lt;&gt;"Ausgabe",L1760=""),0,IF(L1760="x",-$E1760/(COUNTIF($J1760:$Q1760,"x")+1),-$E1760*N(L1760)))</f>
        <v/>
      </c>
      <c r="AA1760" s="34">
        <f>IF(OR($A1760="",$H1760&lt;&gt;"Ausgabe",M1760=""),0,IF(M1760="x",-$E1760/(COUNTIF($J1760:$Q1760,"x")+1),-$E1760*N(M1760)))</f>
        <v/>
      </c>
      <c r="AB1760" s="34">
        <f>IF(OR($A1760="",$H1760&lt;&gt;"Ausgabe",N1760=""),0,IF(N1760="x",-$E1760/(COUNTIF($J1760:$Q1760,"x")+1),-$E1760*N(N1760)))</f>
        <v/>
      </c>
      <c r="AC1760" s="34">
        <f>IF(OR($A1760="",$H1760&lt;&gt;"Ausgabe",O1760=""),0,IF(O1760="x",-$E1760/(COUNTIF($J1760:$Q1760,"x")+1),-$E1760*N(O1760)))</f>
        <v/>
      </c>
      <c r="AD1760" s="34">
        <f>IF(OR($A1760="",$H1760&lt;&gt;"Ausgabe",P1760=""),0,IF(P1760="x",-$E1760/(COUNTIF($J1760:$Q1760,"x")+1),-$E1760*N(P1760)))</f>
        <v/>
      </c>
      <c r="AE1760" s="34">
        <f>IF(OR($A1760="",$H1760&lt;&gt;"Ausgabe",Q1760=""),0,IF(Q1760="x",-$E1760/(COUNTIF($J1760:$Q1760,"x")+1),-$E1760*N(Q1760)))</f>
        <v/>
      </c>
    </row>
    <row r="1761">
      <c r="A1761" s="30" t="n"/>
      <c r="E1761" s="31" t="n"/>
      <c r="J1761" s="32" t="n"/>
      <c r="K1761" s="32" t="n"/>
      <c r="L1761" s="32" t="n"/>
      <c r="M1761" s="32" t="n"/>
      <c r="N1761" s="32" t="n"/>
      <c r="O1761" s="32" t="n"/>
      <c r="P1761" s="32" t="n"/>
      <c r="Q1761" s="32" t="n"/>
      <c r="U1761" s="31">
        <f>IF($A1761="","",SUM(X1761:AE1761))</f>
        <v/>
      </c>
      <c r="V1761" s="31">
        <f>IF($A1761="","",IF($H1761&lt;&gt;"Ausgabe",0,-$E1761-$U1761))</f>
        <v/>
      </c>
      <c r="W1761" s="33">
        <f>IF($A1761="","",DATE(YEAR($A1761),MONTH($A1761),1))</f>
        <v/>
      </c>
      <c r="X1761" s="34">
        <f>IF(OR($A1761="",$H1761&lt;&gt;"Ausgabe",J1761=""),0,IF(J1761="x",-$E1761/(COUNTIF($J1761:$Q1761,"x")+1),-$E1761*N(J1761)))</f>
        <v/>
      </c>
      <c r="Y1761" s="34">
        <f>IF(OR($A1761="",$H1761&lt;&gt;"Ausgabe",K1761=""),0,IF(K1761="x",-$E1761/(COUNTIF($J1761:$Q1761,"x")+1),-$E1761*N(K1761)))</f>
        <v/>
      </c>
      <c r="Z1761" s="34">
        <f>IF(OR($A1761="",$H1761&lt;&gt;"Ausgabe",L1761=""),0,IF(L1761="x",-$E1761/(COUNTIF($J1761:$Q1761,"x")+1),-$E1761*N(L1761)))</f>
        <v/>
      </c>
      <c r="AA1761" s="34">
        <f>IF(OR($A1761="",$H1761&lt;&gt;"Ausgabe",M1761=""),0,IF(M1761="x",-$E1761/(COUNTIF($J1761:$Q1761,"x")+1),-$E1761*N(M1761)))</f>
        <v/>
      </c>
      <c r="AB1761" s="34">
        <f>IF(OR($A1761="",$H1761&lt;&gt;"Ausgabe",N1761=""),0,IF(N1761="x",-$E1761/(COUNTIF($J1761:$Q1761,"x")+1),-$E1761*N(N1761)))</f>
        <v/>
      </c>
      <c r="AC1761" s="34">
        <f>IF(OR($A1761="",$H1761&lt;&gt;"Ausgabe",O1761=""),0,IF(O1761="x",-$E1761/(COUNTIF($J1761:$Q1761,"x")+1),-$E1761*N(O1761)))</f>
        <v/>
      </c>
      <c r="AD1761" s="34">
        <f>IF(OR($A1761="",$H1761&lt;&gt;"Ausgabe",P1761=""),0,IF(P1761="x",-$E1761/(COUNTIF($J1761:$Q1761,"x")+1),-$E1761*N(P1761)))</f>
        <v/>
      </c>
      <c r="AE1761" s="34">
        <f>IF(OR($A1761="",$H1761&lt;&gt;"Ausgabe",Q1761=""),0,IF(Q1761="x",-$E1761/(COUNTIF($J1761:$Q1761,"x")+1),-$E1761*N(Q1761)))</f>
        <v/>
      </c>
    </row>
    <row r="1762">
      <c r="A1762" s="30" t="n"/>
      <c r="E1762" s="31" t="n"/>
      <c r="J1762" s="32" t="n"/>
      <c r="K1762" s="32" t="n"/>
      <c r="L1762" s="32" t="n"/>
      <c r="M1762" s="32" t="n"/>
      <c r="N1762" s="32" t="n"/>
      <c r="O1762" s="32" t="n"/>
      <c r="P1762" s="32" t="n"/>
      <c r="Q1762" s="32" t="n"/>
      <c r="U1762" s="31">
        <f>IF($A1762="","",SUM(X1762:AE1762))</f>
        <v/>
      </c>
      <c r="V1762" s="31">
        <f>IF($A1762="","",IF($H1762&lt;&gt;"Ausgabe",0,-$E1762-$U1762))</f>
        <v/>
      </c>
      <c r="W1762" s="33">
        <f>IF($A1762="","",DATE(YEAR($A1762),MONTH($A1762),1))</f>
        <v/>
      </c>
      <c r="X1762" s="34">
        <f>IF(OR($A1762="",$H1762&lt;&gt;"Ausgabe",J1762=""),0,IF(J1762="x",-$E1762/(COUNTIF($J1762:$Q1762,"x")+1),-$E1762*N(J1762)))</f>
        <v/>
      </c>
      <c r="Y1762" s="34">
        <f>IF(OR($A1762="",$H1762&lt;&gt;"Ausgabe",K1762=""),0,IF(K1762="x",-$E1762/(COUNTIF($J1762:$Q1762,"x")+1),-$E1762*N(K1762)))</f>
        <v/>
      </c>
      <c r="Z1762" s="34">
        <f>IF(OR($A1762="",$H1762&lt;&gt;"Ausgabe",L1762=""),0,IF(L1762="x",-$E1762/(COUNTIF($J1762:$Q1762,"x")+1),-$E1762*N(L1762)))</f>
        <v/>
      </c>
      <c r="AA1762" s="34">
        <f>IF(OR($A1762="",$H1762&lt;&gt;"Ausgabe",M1762=""),0,IF(M1762="x",-$E1762/(COUNTIF($J1762:$Q1762,"x")+1),-$E1762*N(M1762)))</f>
        <v/>
      </c>
      <c r="AB1762" s="34">
        <f>IF(OR($A1762="",$H1762&lt;&gt;"Ausgabe",N1762=""),0,IF(N1762="x",-$E1762/(COUNTIF($J1762:$Q1762,"x")+1),-$E1762*N(N1762)))</f>
        <v/>
      </c>
      <c r="AC1762" s="34">
        <f>IF(OR($A1762="",$H1762&lt;&gt;"Ausgabe",O1762=""),0,IF(O1762="x",-$E1762/(COUNTIF($J1762:$Q1762,"x")+1),-$E1762*N(O1762)))</f>
        <v/>
      </c>
      <c r="AD1762" s="34">
        <f>IF(OR($A1762="",$H1762&lt;&gt;"Ausgabe",P1762=""),0,IF(P1762="x",-$E1762/(COUNTIF($J1762:$Q1762,"x")+1),-$E1762*N(P1762)))</f>
        <v/>
      </c>
      <c r="AE1762" s="34">
        <f>IF(OR($A1762="",$H1762&lt;&gt;"Ausgabe",Q1762=""),0,IF(Q1762="x",-$E1762/(COUNTIF($J1762:$Q1762,"x")+1),-$E1762*N(Q1762)))</f>
        <v/>
      </c>
    </row>
    <row r="1763">
      <c r="A1763" s="30" t="n"/>
      <c r="E1763" s="31" t="n"/>
      <c r="J1763" s="32" t="n"/>
      <c r="K1763" s="32" t="n"/>
      <c r="L1763" s="32" t="n"/>
      <c r="M1763" s="32" t="n"/>
      <c r="N1763" s="32" t="n"/>
      <c r="O1763" s="32" t="n"/>
      <c r="P1763" s="32" t="n"/>
      <c r="Q1763" s="32" t="n"/>
      <c r="U1763" s="31">
        <f>IF($A1763="","",SUM(X1763:AE1763))</f>
        <v/>
      </c>
      <c r="V1763" s="31">
        <f>IF($A1763="","",IF($H1763&lt;&gt;"Ausgabe",0,-$E1763-$U1763))</f>
        <v/>
      </c>
      <c r="W1763" s="33">
        <f>IF($A1763="","",DATE(YEAR($A1763),MONTH($A1763),1))</f>
        <v/>
      </c>
      <c r="X1763" s="34">
        <f>IF(OR($A1763="",$H1763&lt;&gt;"Ausgabe",J1763=""),0,IF(J1763="x",-$E1763/(COUNTIF($J1763:$Q1763,"x")+1),-$E1763*N(J1763)))</f>
        <v/>
      </c>
      <c r="Y1763" s="34">
        <f>IF(OR($A1763="",$H1763&lt;&gt;"Ausgabe",K1763=""),0,IF(K1763="x",-$E1763/(COUNTIF($J1763:$Q1763,"x")+1),-$E1763*N(K1763)))</f>
        <v/>
      </c>
      <c r="Z1763" s="34">
        <f>IF(OR($A1763="",$H1763&lt;&gt;"Ausgabe",L1763=""),0,IF(L1763="x",-$E1763/(COUNTIF($J1763:$Q1763,"x")+1),-$E1763*N(L1763)))</f>
        <v/>
      </c>
      <c r="AA1763" s="34">
        <f>IF(OR($A1763="",$H1763&lt;&gt;"Ausgabe",M1763=""),0,IF(M1763="x",-$E1763/(COUNTIF($J1763:$Q1763,"x")+1),-$E1763*N(M1763)))</f>
        <v/>
      </c>
      <c r="AB1763" s="34">
        <f>IF(OR($A1763="",$H1763&lt;&gt;"Ausgabe",N1763=""),0,IF(N1763="x",-$E1763/(COUNTIF($J1763:$Q1763,"x")+1),-$E1763*N(N1763)))</f>
        <v/>
      </c>
      <c r="AC1763" s="34">
        <f>IF(OR($A1763="",$H1763&lt;&gt;"Ausgabe",O1763=""),0,IF(O1763="x",-$E1763/(COUNTIF($J1763:$Q1763,"x")+1),-$E1763*N(O1763)))</f>
        <v/>
      </c>
      <c r="AD1763" s="34">
        <f>IF(OR($A1763="",$H1763&lt;&gt;"Ausgabe",P1763=""),0,IF(P1763="x",-$E1763/(COUNTIF($J1763:$Q1763,"x")+1),-$E1763*N(P1763)))</f>
        <v/>
      </c>
      <c r="AE1763" s="34">
        <f>IF(OR($A1763="",$H1763&lt;&gt;"Ausgabe",Q1763=""),0,IF(Q1763="x",-$E1763/(COUNTIF($J1763:$Q1763,"x")+1),-$E1763*N(Q1763)))</f>
        <v/>
      </c>
    </row>
    <row r="1764">
      <c r="A1764" s="30" t="n"/>
      <c r="E1764" s="31" t="n"/>
      <c r="J1764" s="32" t="n"/>
      <c r="K1764" s="32" t="n"/>
      <c r="L1764" s="32" t="n"/>
      <c r="M1764" s="32" t="n"/>
      <c r="N1764" s="32" t="n"/>
      <c r="O1764" s="32" t="n"/>
      <c r="P1764" s="32" t="n"/>
      <c r="Q1764" s="32" t="n"/>
      <c r="U1764" s="31">
        <f>IF($A1764="","",SUM(X1764:AE1764))</f>
        <v/>
      </c>
      <c r="V1764" s="31">
        <f>IF($A1764="","",IF($H1764&lt;&gt;"Ausgabe",0,-$E1764-$U1764))</f>
        <v/>
      </c>
      <c r="W1764" s="33">
        <f>IF($A1764="","",DATE(YEAR($A1764),MONTH($A1764),1))</f>
        <v/>
      </c>
      <c r="X1764" s="34">
        <f>IF(OR($A1764="",$H1764&lt;&gt;"Ausgabe",J1764=""),0,IF(J1764="x",-$E1764/(COUNTIF($J1764:$Q1764,"x")+1),-$E1764*N(J1764)))</f>
        <v/>
      </c>
      <c r="Y1764" s="34">
        <f>IF(OR($A1764="",$H1764&lt;&gt;"Ausgabe",K1764=""),0,IF(K1764="x",-$E1764/(COUNTIF($J1764:$Q1764,"x")+1),-$E1764*N(K1764)))</f>
        <v/>
      </c>
      <c r="Z1764" s="34">
        <f>IF(OR($A1764="",$H1764&lt;&gt;"Ausgabe",L1764=""),0,IF(L1764="x",-$E1764/(COUNTIF($J1764:$Q1764,"x")+1),-$E1764*N(L1764)))</f>
        <v/>
      </c>
      <c r="AA1764" s="34">
        <f>IF(OR($A1764="",$H1764&lt;&gt;"Ausgabe",M1764=""),0,IF(M1764="x",-$E1764/(COUNTIF($J1764:$Q1764,"x")+1),-$E1764*N(M1764)))</f>
        <v/>
      </c>
      <c r="AB1764" s="34">
        <f>IF(OR($A1764="",$H1764&lt;&gt;"Ausgabe",N1764=""),0,IF(N1764="x",-$E1764/(COUNTIF($J1764:$Q1764,"x")+1),-$E1764*N(N1764)))</f>
        <v/>
      </c>
      <c r="AC1764" s="34">
        <f>IF(OR($A1764="",$H1764&lt;&gt;"Ausgabe",O1764=""),0,IF(O1764="x",-$E1764/(COUNTIF($J1764:$Q1764,"x")+1),-$E1764*N(O1764)))</f>
        <v/>
      </c>
      <c r="AD1764" s="34">
        <f>IF(OR($A1764="",$H1764&lt;&gt;"Ausgabe",P1764=""),0,IF(P1764="x",-$E1764/(COUNTIF($J1764:$Q1764,"x")+1),-$E1764*N(P1764)))</f>
        <v/>
      </c>
      <c r="AE1764" s="34">
        <f>IF(OR($A1764="",$H1764&lt;&gt;"Ausgabe",Q1764=""),0,IF(Q1764="x",-$E1764/(COUNTIF($J1764:$Q1764,"x")+1),-$E1764*N(Q1764)))</f>
        <v/>
      </c>
    </row>
    <row r="1765">
      <c r="A1765" s="30" t="n"/>
      <c r="E1765" s="31" t="n"/>
      <c r="J1765" s="32" t="n"/>
      <c r="K1765" s="32" t="n"/>
      <c r="L1765" s="32" t="n"/>
      <c r="M1765" s="32" t="n"/>
      <c r="N1765" s="32" t="n"/>
      <c r="O1765" s="32" t="n"/>
      <c r="P1765" s="32" t="n"/>
      <c r="Q1765" s="32" t="n"/>
      <c r="U1765" s="31">
        <f>IF($A1765="","",SUM(X1765:AE1765))</f>
        <v/>
      </c>
      <c r="V1765" s="31">
        <f>IF($A1765="","",IF($H1765&lt;&gt;"Ausgabe",0,-$E1765-$U1765))</f>
        <v/>
      </c>
      <c r="W1765" s="33">
        <f>IF($A1765="","",DATE(YEAR($A1765),MONTH($A1765),1))</f>
        <v/>
      </c>
      <c r="X1765" s="34">
        <f>IF(OR($A1765="",$H1765&lt;&gt;"Ausgabe",J1765=""),0,IF(J1765="x",-$E1765/(COUNTIF($J1765:$Q1765,"x")+1),-$E1765*N(J1765)))</f>
        <v/>
      </c>
      <c r="Y1765" s="34">
        <f>IF(OR($A1765="",$H1765&lt;&gt;"Ausgabe",K1765=""),0,IF(K1765="x",-$E1765/(COUNTIF($J1765:$Q1765,"x")+1),-$E1765*N(K1765)))</f>
        <v/>
      </c>
      <c r="Z1765" s="34">
        <f>IF(OR($A1765="",$H1765&lt;&gt;"Ausgabe",L1765=""),0,IF(L1765="x",-$E1765/(COUNTIF($J1765:$Q1765,"x")+1),-$E1765*N(L1765)))</f>
        <v/>
      </c>
      <c r="AA1765" s="34">
        <f>IF(OR($A1765="",$H1765&lt;&gt;"Ausgabe",M1765=""),0,IF(M1765="x",-$E1765/(COUNTIF($J1765:$Q1765,"x")+1),-$E1765*N(M1765)))</f>
        <v/>
      </c>
      <c r="AB1765" s="34">
        <f>IF(OR($A1765="",$H1765&lt;&gt;"Ausgabe",N1765=""),0,IF(N1765="x",-$E1765/(COUNTIF($J1765:$Q1765,"x")+1),-$E1765*N(N1765)))</f>
        <v/>
      </c>
      <c r="AC1765" s="34">
        <f>IF(OR($A1765="",$H1765&lt;&gt;"Ausgabe",O1765=""),0,IF(O1765="x",-$E1765/(COUNTIF($J1765:$Q1765,"x")+1),-$E1765*N(O1765)))</f>
        <v/>
      </c>
      <c r="AD1765" s="34">
        <f>IF(OR($A1765="",$H1765&lt;&gt;"Ausgabe",P1765=""),0,IF(P1765="x",-$E1765/(COUNTIF($J1765:$Q1765,"x")+1),-$E1765*N(P1765)))</f>
        <v/>
      </c>
      <c r="AE1765" s="34">
        <f>IF(OR($A1765="",$H1765&lt;&gt;"Ausgabe",Q1765=""),0,IF(Q1765="x",-$E1765/(COUNTIF($J1765:$Q1765,"x")+1),-$E1765*N(Q1765)))</f>
        <v/>
      </c>
    </row>
    <row r="1766">
      <c r="A1766" s="30" t="n"/>
      <c r="E1766" s="31" t="n"/>
      <c r="J1766" s="32" t="n"/>
      <c r="K1766" s="32" t="n"/>
      <c r="L1766" s="32" t="n"/>
      <c r="M1766" s="32" t="n"/>
      <c r="N1766" s="32" t="n"/>
      <c r="O1766" s="32" t="n"/>
      <c r="P1766" s="32" t="n"/>
      <c r="Q1766" s="32" t="n"/>
      <c r="U1766" s="31">
        <f>IF($A1766="","",SUM(X1766:AE1766))</f>
        <v/>
      </c>
      <c r="V1766" s="31">
        <f>IF($A1766="","",IF($H1766&lt;&gt;"Ausgabe",0,-$E1766-$U1766))</f>
        <v/>
      </c>
      <c r="W1766" s="33">
        <f>IF($A1766="","",DATE(YEAR($A1766),MONTH($A1766),1))</f>
        <v/>
      </c>
      <c r="X1766" s="34">
        <f>IF(OR($A1766="",$H1766&lt;&gt;"Ausgabe",J1766=""),0,IF(J1766="x",-$E1766/(COUNTIF($J1766:$Q1766,"x")+1),-$E1766*N(J1766)))</f>
        <v/>
      </c>
      <c r="Y1766" s="34">
        <f>IF(OR($A1766="",$H1766&lt;&gt;"Ausgabe",K1766=""),0,IF(K1766="x",-$E1766/(COUNTIF($J1766:$Q1766,"x")+1),-$E1766*N(K1766)))</f>
        <v/>
      </c>
      <c r="Z1766" s="34">
        <f>IF(OR($A1766="",$H1766&lt;&gt;"Ausgabe",L1766=""),0,IF(L1766="x",-$E1766/(COUNTIF($J1766:$Q1766,"x")+1),-$E1766*N(L1766)))</f>
        <v/>
      </c>
      <c r="AA1766" s="34">
        <f>IF(OR($A1766="",$H1766&lt;&gt;"Ausgabe",M1766=""),0,IF(M1766="x",-$E1766/(COUNTIF($J1766:$Q1766,"x")+1),-$E1766*N(M1766)))</f>
        <v/>
      </c>
      <c r="AB1766" s="34">
        <f>IF(OR($A1766="",$H1766&lt;&gt;"Ausgabe",N1766=""),0,IF(N1766="x",-$E1766/(COUNTIF($J1766:$Q1766,"x")+1),-$E1766*N(N1766)))</f>
        <v/>
      </c>
      <c r="AC1766" s="34">
        <f>IF(OR($A1766="",$H1766&lt;&gt;"Ausgabe",O1766=""),0,IF(O1766="x",-$E1766/(COUNTIF($J1766:$Q1766,"x")+1),-$E1766*N(O1766)))</f>
        <v/>
      </c>
      <c r="AD1766" s="34">
        <f>IF(OR($A1766="",$H1766&lt;&gt;"Ausgabe",P1766=""),0,IF(P1766="x",-$E1766/(COUNTIF($J1766:$Q1766,"x")+1),-$E1766*N(P1766)))</f>
        <v/>
      </c>
      <c r="AE1766" s="34">
        <f>IF(OR($A1766="",$H1766&lt;&gt;"Ausgabe",Q1766=""),0,IF(Q1766="x",-$E1766/(COUNTIF($J1766:$Q1766,"x")+1),-$E1766*N(Q1766)))</f>
        <v/>
      </c>
    </row>
    <row r="1767">
      <c r="A1767" s="30" t="n"/>
      <c r="E1767" s="31" t="n"/>
      <c r="J1767" s="32" t="n"/>
      <c r="K1767" s="32" t="n"/>
      <c r="L1767" s="32" t="n"/>
      <c r="M1767" s="32" t="n"/>
      <c r="N1767" s="32" t="n"/>
      <c r="O1767" s="32" t="n"/>
      <c r="P1767" s="32" t="n"/>
      <c r="Q1767" s="32" t="n"/>
      <c r="U1767" s="31">
        <f>IF($A1767="","",SUM(X1767:AE1767))</f>
        <v/>
      </c>
      <c r="V1767" s="31">
        <f>IF($A1767="","",IF($H1767&lt;&gt;"Ausgabe",0,-$E1767-$U1767))</f>
        <v/>
      </c>
      <c r="W1767" s="33">
        <f>IF($A1767="","",DATE(YEAR($A1767),MONTH($A1767),1))</f>
        <v/>
      </c>
      <c r="X1767" s="34">
        <f>IF(OR($A1767="",$H1767&lt;&gt;"Ausgabe",J1767=""),0,IF(J1767="x",-$E1767/(COUNTIF($J1767:$Q1767,"x")+1),-$E1767*N(J1767)))</f>
        <v/>
      </c>
      <c r="Y1767" s="34">
        <f>IF(OR($A1767="",$H1767&lt;&gt;"Ausgabe",K1767=""),0,IF(K1767="x",-$E1767/(COUNTIF($J1767:$Q1767,"x")+1),-$E1767*N(K1767)))</f>
        <v/>
      </c>
      <c r="Z1767" s="34">
        <f>IF(OR($A1767="",$H1767&lt;&gt;"Ausgabe",L1767=""),0,IF(L1767="x",-$E1767/(COUNTIF($J1767:$Q1767,"x")+1),-$E1767*N(L1767)))</f>
        <v/>
      </c>
      <c r="AA1767" s="34">
        <f>IF(OR($A1767="",$H1767&lt;&gt;"Ausgabe",M1767=""),0,IF(M1767="x",-$E1767/(COUNTIF($J1767:$Q1767,"x")+1),-$E1767*N(M1767)))</f>
        <v/>
      </c>
      <c r="AB1767" s="34">
        <f>IF(OR($A1767="",$H1767&lt;&gt;"Ausgabe",N1767=""),0,IF(N1767="x",-$E1767/(COUNTIF($J1767:$Q1767,"x")+1),-$E1767*N(N1767)))</f>
        <v/>
      </c>
      <c r="AC1767" s="34">
        <f>IF(OR($A1767="",$H1767&lt;&gt;"Ausgabe",O1767=""),0,IF(O1767="x",-$E1767/(COUNTIF($J1767:$Q1767,"x")+1),-$E1767*N(O1767)))</f>
        <v/>
      </c>
      <c r="AD1767" s="34">
        <f>IF(OR($A1767="",$H1767&lt;&gt;"Ausgabe",P1767=""),0,IF(P1767="x",-$E1767/(COUNTIF($J1767:$Q1767,"x")+1),-$E1767*N(P1767)))</f>
        <v/>
      </c>
      <c r="AE1767" s="34">
        <f>IF(OR($A1767="",$H1767&lt;&gt;"Ausgabe",Q1767=""),0,IF(Q1767="x",-$E1767/(COUNTIF($J1767:$Q1767,"x")+1),-$E1767*N(Q1767)))</f>
        <v/>
      </c>
    </row>
    <row r="1768">
      <c r="A1768" s="30" t="n"/>
      <c r="E1768" s="31" t="n"/>
      <c r="J1768" s="32" t="n"/>
      <c r="K1768" s="32" t="n"/>
      <c r="L1768" s="32" t="n"/>
      <c r="M1768" s="32" t="n"/>
      <c r="N1768" s="32" t="n"/>
      <c r="O1768" s="32" t="n"/>
      <c r="P1768" s="32" t="n"/>
      <c r="Q1768" s="32" t="n"/>
      <c r="U1768" s="31">
        <f>IF($A1768="","",SUM(X1768:AE1768))</f>
        <v/>
      </c>
      <c r="V1768" s="31">
        <f>IF($A1768="","",IF($H1768&lt;&gt;"Ausgabe",0,-$E1768-$U1768))</f>
        <v/>
      </c>
      <c r="W1768" s="33">
        <f>IF($A1768="","",DATE(YEAR($A1768),MONTH($A1768),1))</f>
        <v/>
      </c>
      <c r="X1768" s="34">
        <f>IF(OR($A1768="",$H1768&lt;&gt;"Ausgabe",J1768=""),0,IF(J1768="x",-$E1768/(COUNTIF($J1768:$Q1768,"x")+1),-$E1768*N(J1768)))</f>
        <v/>
      </c>
      <c r="Y1768" s="34">
        <f>IF(OR($A1768="",$H1768&lt;&gt;"Ausgabe",K1768=""),0,IF(K1768="x",-$E1768/(COUNTIF($J1768:$Q1768,"x")+1),-$E1768*N(K1768)))</f>
        <v/>
      </c>
      <c r="Z1768" s="34">
        <f>IF(OR($A1768="",$H1768&lt;&gt;"Ausgabe",L1768=""),0,IF(L1768="x",-$E1768/(COUNTIF($J1768:$Q1768,"x")+1),-$E1768*N(L1768)))</f>
        <v/>
      </c>
      <c r="AA1768" s="34">
        <f>IF(OR($A1768="",$H1768&lt;&gt;"Ausgabe",M1768=""),0,IF(M1768="x",-$E1768/(COUNTIF($J1768:$Q1768,"x")+1),-$E1768*N(M1768)))</f>
        <v/>
      </c>
      <c r="AB1768" s="34">
        <f>IF(OR($A1768="",$H1768&lt;&gt;"Ausgabe",N1768=""),0,IF(N1768="x",-$E1768/(COUNTIF($J1768:$Q1768,"x")+1),-$E1768*N(N1768)))</f>
        <v/>
      </c>
      <c r="AC1768" s="34">
        <f>IF(OR($A1768="",$H1768&lt;&gt;"Ausgabe",O1768=""),0,IF(O1768="x",-$E1768/(COUNTIF($J1768:$Q1768,"x")+1),-$E1768*N(O1768)))</f>
        <v/>
      </c>
      <c r="AD1768" s="34">
        <f>IF(OR($A1768="",$H1768&lt;&gt;"Ausgabe",P1768=""),0,IF(P1768="x",-$E1768/(COUNTIF($J1768:$Q1768,"x")+1),-$E1768*N(P1768)))</f>
        <v/>
      </c>
      <c r="AE1768" s="34">
        <f>IF(OR($A1768="",$H1768&lt;&gt;"Ausgabe",Q1768=""),0,IF(Q1768="x",-$E1768/(COUNTIF($J1768:$Q1768,"x")+1),-$E1768*N(Q1768)))</f>
        <v/>
      </c>
    </row>
    <row r="1769">
      <c r="A1769" s="30" t="n"/>
      <c r="E1769" s="31" t="n"/>
      <c r="J1769" s="32" t="n"/>
      <c r="K1769" s="32" t="n"/>
      <c r="L1769" s="32" t="n"/>
      <c r="M1769" s="32" t="n"/>
      <c r="N1769" s="32" t="n"/>
      <c r="O1769" s="32" t="n"/>
      <c r="P1769" s="32" t="n"/>
      <c r="Q1769" s="32" t="n"/>
      <c r="U1769" s="31">
        <f>IF($A1769="","",SUM(X1769:AE1769))</f>
        <v/>
      </c>
      <c r="V1769" s="31">
        <f>IF($A1769="","",IF($H1769&lt;&gt;"Ausgabe",0,-$E1769-$U1769))</f>
        <v/>
      </c>
      <c r="W1769" s="33">
        <f>IF($A1769="","",DATE(YEAR($A1769),MONTH($A1769),1))</f>
        <v/>
      </c>
      <c r="X1769" s="34">
        <f>IF(OR($A1769="",$H1769&lt;&gt;"Ausgabe",J1769=""),0,IF(J1769="x",-$E1769/(COUNTIF($J1769:$Q1769,"x")+1),-$E1769*N(J1769)))</f>
        <v/>
      </c>
      <c r="Y1769" s="34">
        <f>IF(OR($A1769="",$H1769&lt;&gt;"Ausgabe",K1769=""),0,IF(K1769="x",-$E1769/(COUNTIF($J1769:$Q1769,"x")+1),-$E1769*N(K1769)))</f>
        <v/>
      </c>
      <c r="Z1769" s="34">
        <f>IF(OR($A1769="",$H1769&lt;&gt;"Ausgabe",L1769=""),0,IF(L1769="x",-$E1769/(COUNTIF($J1769:$Q1769,"x")+1),-$E1769*N(L1769)))</f>
        <v/>
      </c>
      <c r="AA1769" s="34">
        <f>IF(OR($A1769="",$H1769&lt;&gt;"Ausgabe",M1769=""),0,IF(M1769="x",-$E1769/(COUNTIF($J1769:$Q1769,"x")+1),-$E1769*N(M1769)))</f>
        <v/>
      </c>
      <c r="AB1769" s="34">
        <f>IF(OR($A1769="",$H1769&lt;&gt;"Ausgabe",N1769=""),0,IF(N1769="x",-$E1769/(COUNTIF($J1769:$Q1769,"x")+1),-$E1769*N(N1769)))</f>
        <v/>
      </c>
      <c r="AC1769" s="34">
        <f>IF(OR($A1769="",$H1769&lt;&gt;"Ausgabe",O1769=""),0,IF(O1769="x",-$E1769/(COUNTIF($J1769:$Q1769,"x")+1),-$E1769*N(O1769)))</f>
        <v/>
      </c>
      <c r="AD1769" s="34">
        <f>IF(OR($A1769="",$H1769&lt;&gt;"Ausgabe",P1769=""),0,IF(P1769="x",-$E1769/(COUNTIF($J1769:$Q1769,"x")+1),-$E1769*N(P1769)))</f>
        <v/>
      </c>
      <c r="AE1769" s="34">
        <f>IF(OR($A1769="",$H1769&lt;&gt;"Ausgabe",Q1769=""),0,IF(Q1769="x",-$E1769/(COUNTIF($J1769:$Q1769,"x")+1),-$E1769*N(Q1769)))</f>
        <v/>
      </c>
    </row>
    <row r="1770">
      <c r="A1770" s="30" t="n"/>
      <c r="E1770" s="31" t="n"/>
      <c r="J1770" s="32" t="n"/>
      <c r="K1770" s="32" t="n"/>
      <c r="L1770" s="32" t="n"/>
      <c r="M1770" s="32" t="n"/>
      <c r="N1770" s="32" t="n"/>
      <c r="O1770" s="32" t="n"/>
      <c r="P1770" s="32" t="n"/>
      <c r="Q1770" s="32" t="n"/>
      <c r="U1770" s="31">
        <f>IF($A1770="","",SUM(X1770:AE1770))</f>
        <v/>
      </c>
      <c r="V1770" s="31">
        <f>IF($A1770="","",IF($H1770&lt;&gt;"Ausgabe",0,-$E1770-$U1770))</f>
        <v/>
      </c>
      <c r="W1770" s="33">
        <f>IF($A1770="","",DATE(YEAR($A1770),MONTH($A1770),1))</f>
        <v/>
      </c>
      <c r="X1770" s="34">
        <f>IF(OR($A1770="",$H1770&lt;&gt;"Ausgabe",J1770=""),0,IF(J1770="x",-$E1770/(COUNTIF($J1770:$Q1770,"x")+1),-$E1770*N(J1770)))</f>
        <v/>
      </c>
      <c r="Y1770" s="34">
        <f>IF(OR($A1770="",$H1770&lt;&gt;"Ausgabe",K1770=""),0,IF(K1770="x",-$E1770/(COUNTIF($J1770:$Q1770,"x")+1),-$E1770*N(K1770)))</f>
        <v/>
      </c>
      <c r="Z1770" s="34">
        <f>IF(OR($A1770="",$H1770&lt;&gt;"Ausgabe",L1770=""),0,IF(L1770="x",-$E1770/(COUNTIF($J1770:$Q1770,"x")+1),-$E1770*N(L1770)))</f>
        <v/>
      </c>
      <c r="AA1770" s="34">
        <f>IF(OR($A1770="",$H1770&lt;&gt;"Ausgabe",M1770=""),0,IF(M1770="x",-$E1770/(COUNTIF($J1770:$Q1770,"x")+1),-$E1770*N(M1770)))</f>
        <v/>
      </c>
      <c r="AB1770" s="34">
        <f>IF(OR($A1770="",$H1770&lt;&gt;"Ausgabe",N1770=""),0,IF(N1770="x",-$E1770/(COUNTIF($J1770:$Q1770,"x")+1),-$E1770*N(N1770)))</f>
        <v/>
      </c>
      <c r="AC1770" s="34">
        <f>IF(OR($A1770="",$H1770&lt;&gt;"Ausgabe",O1770=""),0,IF(O1770="x",-$E1770/(COUNTIF($J1770:$Q1770,"x")+1),-$E1770*N(O1770)))</f>
        <v/>
      </c>
      <c r="AD1770" s="34">
        <f>IF(OR($A1770="",$H1770&lt;&gt;"Ausgabe",P1770=""),0,IF(P1770="x",-$E1770/(COUNTIF($J1770:$Q1770,"x")+1),-$E1770*N(P1770)))</f>
        <v/>
      </c>
      <c r="AE1770" s="34">
        <f>IF(OR($A1770="",$H1770&lt;&gt;"Ausgabe",Q1770=""),0,IF(Q1770="x",-$E1770/(COUNTIF($J1770:$Q1770,"x")+1),-$E1770*N(Q1770)))</f>
        <v/>
      </c>
    </row>
    <row r="1771">
      <c r="A1771" s="30" t="n"/>
      <c r="E1771" s="31" t="n"/>
      <c r="J1771" s="32" t="n"/>
      <c r="K1771" s="32" t="n"/>
      <c r="L1771" s="32" t="n"/>
      <c r="M1771" s="32" t="n"/>
      <c r="N1771" s="32" t="n"/>
      <c r="O1771" s="32" t="n"/>
      <c r="P1771" s="32" t="n"/>
      <c r="Q1771" s="32" t="n"/>
      <c r="U1771" s="31">
        <f>IF($A1771="","",SUM(X1771:AE1771))</f>
        <v/>
      </c>
      <c r="V1771" s="31">
        <f>IF($A1771="","",IF($H1771&lt;&gt;"Ausgabe",0,-$E1771-$U1771))</f>
        <v/>
      </c>
      <c r="W1771" s="33">
        <f>IF($A1771="","",DATE(YEAR($A1771),MONTH($A1771),1))</f>
        <v/>
      </c>
      <c r="X1771" s="34">
        <f>IF(OR($A1771="",$H1771&lt;&gt;"Ausgabe",J1771=""),0,IF(J1771="x",-$E1771/(COUNTIF($J1771:$Q1771,"x")+1),-$E1771*N(J1771)))</f>
        <v/>
      </c>
      <c r="Y1771" s="34">
        <f>IF(OR($A1771="",$H1771&lt;&gt;"Ausgabe",K1771=""),0,IF(K1771="x",-$E1771/(COUNTIF($J1771:$Q1771,"x")+1),-$E1771*N(K1771)))</f>
        <v/>
      </c>
      <c r="Z1771" s="34">
        <f>IF(OR($A1771="",$H1771&lt;&gt;"Ausgabe",L1771=""),0,IF(L1771="x",-$E1771/(COUNTIF($J1771:$Q1771,"x")+1),-$E1771*N(L1771)))</f>
        <v/>
      </c>
      <c r="AA1771" s="34">
        <f>IF(OR($A1771="",$H1771&lt;&gt;"Ausgabe",M1771=""),0,IF(M1771="x",-$E1771/(COUNTIF($J1771:$Q1771,"x")+1),-$E1771*N(M1771)))</f>
        <v/>
      </c>
      <c r="AB1771" s="34">
        <f>IF(OR($A1771="",$H1771&lt;&gt;"Ausgabe",N1771=""),0,IF(N1771="x",-$E1771/(COUNTIF($J1771:$Q1771,"x")+1),-$E1771*N(N1771)))</f>
        <v/>
      </c>
      <c r="AC1771" s="34">
        <f>IF(OR($A1771="",$H1771&lt;&gt;"Ausgabe",O1771=""),0,IF(O1771="x",-$E1771/(COUNTIF($J1771:$Q1771,"x")+1),-$E1771*N(O1771)))</f>
        <v/>
      </c>
      <c r="AD1771" s="34">
        <f>IF(OR($A1771="",$H1771&lt;&gt;"Ausgabe",P1771=""),0,IF(P1771="x",-$E1771/(COUNTIF($J1771:$Q1771,"x")+1),-$E1771*N(P1771)))</f>
        <v/>
      </c>
      <c r="AE1771" s="34">
        <f>IF(OR($A1771="",$H1771&lt;&gt;"Ausgabe",Q1771=""),0,IF(Q1771="x",-$E1771/(COUNTIF($J1771:$Q1771,"x")+1),-$E1771*N(Q1771)))</f>
        <v/>
      </c>
    </row>
    <row r="1772">
      <c r="A1772" s="30" t="n"/>
      <c r="E1772" s="31" t="n"/>
      <c r="J1772" s="32" t="n"/>
      <c r="K1772" s="32" t="n"/>
      <c r="L1772" s="32" t="n"/>
      <c r="M1772" s="32" t="n"/>
      <c r="N1772" s="32" t="n"/>
      <c r="O1772" s="32" t="n"/>
      <c r="P1772" s="32" t="n"/>
      <c r="Q1772" s="32" t="n"/>
      <c r="U1772" s="31">
        <f>IF($A1772="","",SUM(X1772:AE1772))</f>
        <v/>
      </c>
      <c r="V1772" s="31">
        <f>IF($A1772="","",IF($H1772&lt;&gt;"Ausgabe",0,-$E1772-$U1772))</f>
        <v/>
      </c>
      <c r="W1772" s="33">
        <f>IF($A1772="","",DATE(YEAR($A1772),MONTH($A1772),1))</f>
        <v/>
      </c>
      <c r="X1772" s="34">
        <f>IF(OR($A1772="",$H1772&lt;&gt;"Ausgabe",J1772=""),0,IF(J1772="x",-$E1772/(COUNTIF($J1772:$Q1772,"x")+1),-$E1772*N(J1772)))</f>
        <v/>
      </c>
      <c r="Y1772" s="34">
        <f>IF(OR($A1772="",$H1772&lt;&gt;"Ausgabe",K1772=""),0,IF(K1772="x",-$E1772/(COUNTIF($J1772:$Q1772,"x")+1),-$E1772*N(K1772)))</f>
        <v/>
      </c>
      <c r="Z1772" s="34">
        <f>IF(OR($A1772="",$H1772&lt;&gt;"Ausgabe",L1772=""),0,IF(L1772="x",-$E1772/(COUNTIF($J1772:$Q1772,"x")+1),-$E1772*N(L1772)))</f>
        <v/>
      </c>
      <c r="AA1772" s="34">
        <f>IF(OR($A1772="",$H1772&lt;&gt;"Ausgabe",M1772=""),0,IF(M1772="x",-$E1772/(COUNTIF($J1772:$Q1772,"x")+1),-$E1772*N(M1772)))</f>
        <v/>
      </c>
      <c r="AB1772" s="34">
        <f>IF(OR($A1772="",$H1772&lt;&gt;"Ausgabe",N1772=""),0,IF(N1772="x",-$E1772/(COUNTIF($J1772:$Q1772,"x")+1),-$E1772*N(N1772)))</f>
        <v/>
      </c>
      <c r="AC1772" s="34">
        <f>IF(OR($A1772="",$H1772&lt;&gt;"Ausgabe",O1772=""),0,IF(O1772="x",-$E1772/(COUNTIF($J1772:$Q1772,"x")+1),-$E1772*N(O1772)))</f>
        <v/>
      </c>
      <c r="AD1772" s="34">
        <f>IF(OR($A1772="",$H1772&lt;&gt;"Ausgabe",P1772=""),0,IF(P1772="x",-$E1772/(COUNTIF($J1772:$Q1772,"x")+1),-$E1772*N(P1772)))</f>
        <v/>
      </c>
      <c r="AE1772" s="34">
        <f>IF(OR($A1772="",$H1772&lt;&gt;"Ausgabe",Q1772=""),0,IF(Q1772="x",-$E1772/(COUNTIF($J1772:$Q1772,"x")+1),-$E1772*N(Q1772)))</f>
        <v/>
      </c>
    </row>
    <row r="1773">
      <c r="A1773" s="30" t="n"/>
      <c r="E1773" s="31" t="n"/>
      <c r="J1773" s="32" t="n"/>
      <c r="K1773" s="32" t="n"/>
      <c r="L1773" s="32" t="n"/>
      <c r="M1773" s="32" t="n"/>
      <c r="N1773" s="32" t="n"/>
      <c r="O1773" s="32" t="n"/>
      <c r="P1773" s="32" t="n"/>
      <c r="Q1773" s="32" t="n"/>
      <c r="U1773" s="31">
        <f>IF($A1773="","",SUM(X1773:AE1773))</f>
        <v/>
      </c>
      <c r="V1773" s="31">
        <f>IF($A1773="","",IF($H1773&lt;&gt;"Ausgabe",0,-$E1773-$U1773))</f>
        <v/>
      </c>
      <c r="W1773" s="33">
        <f>IF($A1773="","",DATE(YEAR($A1773),MONTH($A1773),1))</f>
        <v/>
      </c>
      <c r="X1773" s="34">
        <f>IF(OR($A1773="",$H1773&lt;&gt;"Ausgabe",J1773=""),0,IF(J1773="x",-$E1773/(COUNTIF($J1773:$Q1773,"x")+1),-$E1773*N(J1773)))</f>
        <v/>
      </c>
      <c r="Y1773" s="34">
        <f>IF(OR($A1773="",$H1773&lt;&gt;"Ausgabe",K1773=""),0,IF(K1773="x",-$E1773/(COUNTIF($J1773:$Q1773,"x")+1),-$E1773*N(K1773)))</f>
        <v/>
      </c>
      <c r="Z1773" s="34">
        <f>IF(OR($A1773="",$H1773&lt;&gt;"Ausgabe",L1773=""),0,IF(L1773="x",-$E1773/(COUNTIF($J1773:$Q1773,"x")+1),-$E1773*N(L1773)))</f>
        <v/>
      </c>
      <c r="AA1773" s="34">
        <f>IF(OR($A1773="",$H1773&lt;&gt;"Ausgabe",M1773=""),0,IF(M1773="x",-$E1773/(COUNTIF($J1773:$Q1773,"x")+1),-$E1773*N(M1773)))</f>
        <v/>
      </c>
      <c r="AB1773" s="34">
        <f>IF(OR($A1773="",$H1773&lt;&gt;"Ausgabe",N1773=""),0,IF(N1773="x",-$E1773/(COUNTIF($J1773:$Q1773,"x")+1),-$E1773*N(N1773)))</f>
        <v/>
      </c>
      <c r="AC1773" s="34">
        <f>IF(OR($A1773="",$H1773&lt;&gt;"Ausgabe",O1773=""),0,IF(O1773="x",-$E1773/(COUNTIF($J1773:$Q1773,"x")+1),-$E1773*N(O1773)))</f>
        <v/>
      </c>
      <c r="AD1773" s="34">
        <f>IF(OR($A1773="",$H1773&lt;&gt;"Ausgabe",P1773=""),0,IF(P1773="x",-$E1773/(COUNTIF($J1773:$Q1773,"x")+1),-$E1773*N(P1773)))</f>
        <v/>
      </c>
      <c r="AE1773" s="34">
        <f>IF(OR($A1773="",$H1773&lt;&gt;"Ausgabe",Q1773=""),0,IF(Q1773="x",-$E1773/(COUNTIF($J1773:$Q1773,"x")+1),-$E1773*N(Q1773)))</f>
        <v/>
      </c>
    </row>
    <row r="1774">
      <c r="A1774" s="30" t="n"/>
      <c r="E1774" s="31" t="n"/>
      <c r="J1774" s="32" t="n"/>
      <c r="K1774" s="32" t="n"/>
      <c r="L1774" s="32" t="n"/>
      <c r="M1774" s="32" t="n"/>
      <c r="N1774" s="32" t="n"/>
      <c r="O1774" s="32" t="n"/>
      <c r="P1774" s="32" t="n"/>
      <c r="Q1774" s="32" t="n"/>
      <c r="U1774" s="31">
        <f>IF($A1774="","",SUM(X1774:AE1774))</f>
        <v/>
      </c>
      <c r="V1774" s="31">
        <f>IF($A1774="","",IF($H1774&lt;&gt;"Ausgabe",0,-$E1774-$U1774))</f>
        <v/>
      </c>
      <c r="W1774" s="33">
        <f>IF($A1774="","",DATE(YEAR($A1774),MONTH($A1774),1))</f>
        <v/>
      </c>
      <c r="X1774" s="34">
        <f>IF(OR($A1774="",$H1774&lt;&gt;"Ausgabe",J1774=""),0,IF(J1774="x",-$E1774/(COUNTIF($J1774:$Q1774,"x")+1),-$E1774*N(J1774)))</f>
        <v/>
      </c>
      <c r="Y1774" s="34">
        <f>IF(OR($A1774="",$H1774&lt;&gt;"Ausgabe",K1774=""),0,IF(K1774="x",-$E1774/(COUNTIF($J1774:$Q1774,"x")+1),-$E1774*N(K1774)))</f>
        <v/>
      </c>
      <c r="Z1774" s="34">
        <f>IF(OR($A1774="",$H1774&lt;&gt;"Ausgabe",L1774=""),0,IF(L1774="x",-$E1774/(COUNTIF($J1774:$Q1774,"x")+1),-$E1774*N(L1774)))</f>
        <v/>
      </c>
      <c r="AA1774" s="34">
        <f>IF(OR($A1774="",$H1774&lt;&gt;"Ausgabe",M1774=""),0,IF(M1774="x",-$E1774/(COUNTIF($J1774:$Q1774,"x")+1),-$E1774*N(M1774)))</f>
        <v/>
      </c>
      <c r="AB1774" s="34">
        <f>IF(OR($A1774="",$H1774&lt;&gt;"Ausgabe",N1774=""),0,IF(N1774="x",-$E1774/(COUNTIF($J1774:$Q1774,"x")+1),-$E1774*N(N1774)))</f>
        <v/>
      </c>
      <c r="AC1774" s="34">
        <f>IF(OR($A1774="",$H1774&lt;&gt;"Ausgabe",O1774=""),0,IF(O1774="x",-$E1774/(COUNTIF($J1774:$Q1774,"x")+1),-$E1774*N(O1774)))</f>
        <v/>
      </c>
      <c r="AD1774" s="34">
        <f>IF(OR($A1774="",$H1774&lt;&gt;"Ausgabe",P1774=""),0,IF(P1774="x",-$E1774/(COUNTIF($J1774:$Q1774,"x")+1),-$E1774*N(P1774)))</f>
        <v/>
      </c>
      <c r="AE1774" s="34">
        <f>IF(OR($A1774="",$H1774&lt;&gt;"Ausgabe",Q1774=""),0,IF(Q1774="x",-$E1774/(COUNTIF($J1774:$Q1774,"x")+1),-$E1774*N(Q1774)))</f>
        <v/>
      </c>
    </row>
    <row r="1775">
      <c r="A1775" s="30" t="n"/>
      <c r="E1775" s="31" t="n"/>
      <c r="J1775" s="32" t="n"/>
      <c r="K1775" s="32" t="n"/>
      <c r="L1775" s="32" t="n"/>
      <c r="M1775" s="32" t="n"/>
      <c r="N1775" s="32" t="n"/>
      <c r="O1775" s="32" t="n"/>
      <c r="P1775" s="32" t="n"/>
      <c r="Q1775" s="32" t="n"/>
      <c r="U1775" s="31">
        <f>IF($A1775="","",SUM(X1775:AE1775))</f>
        <v/>
      </c>
      <c r="V1775" s="31">
        <f>IF($A1775="","",IF($H1775&lt;&gt;"Ausgabe",0,-$E1775-$U1775))</f>
        <v/>
      </c>
      <c r="W1775" s="33">
        <f>IF($A1775="","",DATE(YEAR($A1775),MONTH($A1775),1))</f>
        <v/>
      </c>
      <c r="X1775" s="34">
        <f>IF(OR($A1775="",$H1775&lt;&gt;"Ausgabe",J1775=""),0,IF(J1775="x",-$E1775/(COUNTIF($J1775:$Q1775,"x")+1),-$E1775*N(J1775)))</f>
        <v/>
      </c>
      <c r="Y1775" s="34">
        <f>IF(OR($A1775="",$H1775&lt;&gt;"Ausgabe",K1775=""),0,IF(K1775="x",-$E1775/(COUNTIF($J1775:$Q1775,"x")+1),-$E1775*N(K1775)))</f>
        <v/>
      </c>
      <c r="Z1775" s="34">
        <f>IF(OR($A1775="",$H1775&lt;&gt;"Ausgabe",L1775=""),0,IF(L1775="x",-$E1775/(COUNTIF($J1775:$Q1775,"x")+1),-$E1775*N(L1775)))</f>
        <v/>
      </c>
      <c r="AA1775" s="34">
        <f>IF(OR($A1775="",$H1775&lt;&gt;"Ausgabe",M1775=""),0,IF(M1775="x",-$E1775/(COUNTIF($J1775:$Q1775,"x")+1),-$E1775*N(M1775)))</f>
        <v/>
      </c>
      <c r="AB1775" s="34">
        <f>IF(OR($A1775="",$H1775&lt;&gt;"Ausgabe",N1775=""),0,IF(N1775="x",-$E1775/(COUNTIF($J1775:$Q1775,"x")+1),-$E1775*N(N1775)))</f>
        <v/>
      </c>
      <c r="AC1775" s="34">
        <f>IF(OR($A1775="",$H1775&lt;&gt;"Ausgabe",O1775=""),0,IF(O1775="x",-$E1775/(COUNTIF($J1775:$Q1775,"x")+1),-$E1775*N(O1775)))</f>
        <v/>
      </c>
      <c r="AD1775" s="34">
        <f>IF(OR($A1775="",$H1775&lt;&gt;"Ausgabe",P1775=""),0,IF(P1775="x",-$E1775/(COUNTIF($J1775:$Q1775,"x")+1),-$E1775*N(P1775)))</f>
        <v/>
      </c>
      <c r="AE1775" s="34">
        <f>IF(OR($A1775="",$H1775&lt;&gt;"Ausgabe",Q1775=""),0,IF(Q1775="x",-$E1775/(COUNTIF($J1775:$Q1775,"x")+1),-$E1775*N(Q1775)))</f>
        <v/>
      </c>
    </row>
    <row r="1776">
      <c r="A1776" s="30" t="n"/>
      <c r="E1776" s="31" t="n"/>
      <c r="J1776" s="32" t="n"/>
      <c r="K1776" s="32" t="n"/>
      <c r="L1776" s="32" t="n"/>
      <c r="M1776" s="32" t="n"/>
      <c r="N1776" s="32" t="n"/>
      <c r="O1776" s="32" t="n"/>
      <c r="P1776" s="32" t="n"/>
      <c r="Q1776" s="32" t="n"/>
      <c r="U1776" s="31">
        <f>IF($A1776="","",SUM(X1776:AE1776))</f>
        <v/>
      </c>
      <c r="V1776" s="31">
        <f>IF($A1776="","",IF($H1776&lt;&gt;"Ausgabe",0,-$E1776-$U1776))</f>
        <v/>
      </c>
      <c r="W1776" s="33">
        <f>IF($A1776="","",DATE(YEAR($A1776),MONTH($A1776),1))</f>
        <v/>
      </c>
      <c r="X1776" s="34">
        <f>IF(OR($A1776="",$H1776&lt;&gt;"Ausgabe",J1776=""),0,IF(J1776="x",-$E1776/(COUNTIF($J1776:$Q1776,"x")+1),-$E1776*N(J1776)))</f>
        <v/>
      </c>
      <c r="Y1776" s="34">
        <f>IF(OR($A1776="",$H1776&lt;&gt;"Ausgabe",K1776=""),0,IF(K1776="x",-$E1776/(COUNTIF($J1776:$Q1776,"x")+1),-$E1776*N(K1776)))</f>
        <v/>
      </c>
      <c r="Z1776" s="34">
        <f>IF(OR($A1776="",$H1776&lt;&gt;"Ausgabe",L1776=""),0,IF(L1776="x",-$E1776/(COUNTIF($J1776:$Q1776,"x")+1),-$E1776*N(L1776)))</f>
        <v/>
      </c>
      <c r="AA1776" s="34">
        <f>IF(OR($A1776="",$H1776&lt;&gt;"Ausgabe",M1776=""),0,IF(M1776="x",-$E1776/(COUNTIF($J1776:$Q1776,"x")+1),-$E1776*N(M1776)))</f>
        <v/>
      </c>
      <c r="AB1776" s="34">
        <f>IF(OR($A1776="",$H1776&lt;&gt;"Ausgabe",N1776=""),0,IF(N1776="x",-$E1776/(COUNTIF($J1776:$Q1776,"x")+1),-$E1776*N(N1776)))</f>
        <v/>
      </c>
      <c r="AC1776" s="34">
        <f>IF(OR($A1776="",$H1776&lt;&gt;"Ausgabe",O1776=""),0,IF(O1776="x",-$E1776/(COUNTIF($J1776:$Q1776,"x")+1),-$E1776*N(O1776)))</f>
        <v/>
      </c>
      <c r="AD1776" s="34">
        <f>IF(OR($A1776="",$H1776&lt;&gt;"Ausgabe",P1776=""),0,IF(P1776="x",-$E1776/(COUNTIF($J1776:$Q1776,"x")+1),-$E1776*N(P1776)))</f>
        <v/>
      </c>
      <c r="AE1776" s="34">
        <f>IF(OR($A1776="",$H1776&lt;&gt;"Ausgabe",Q1776=""),0,IF(Q1776="x",-$E1776/(COUNTIF($J1776:$Q1776,"x")+1),-$E1776*N(Q1776)))</f>
        <v/>
      </c>
    </row>
    <row r="1777">
      <c r="A1777" s="30" t="n"/>
      <c r="E1777" s="31" t="n"/>
      <c r="J1777" s="32" t="n"/>
      <c r="K1777" s="32" t="n"/>
      <c r="L1777" s="32" t="n"/>
      <c r="M1777" s="32" t="n"/>
      <c r="N1777" s="32" t="n"/>
      <c r="O1777" s="32" t="n"/>
      <c r="P1777" s="32" t="n"/>
      <c r="Q1777" s="32" t="n"/>
      <c r="U1777" s="31">
        <f>IF($A1777="","",SUM(X1777:AE1777))</f>
        <v/>
      </c>
      <c r="V1777" s="31">
        <f>IF($A1777="","",IF($H1777&lt;&gt;"Ausgabe",0,-$E1777-$U1777))</f>
        <v/>
      </c>
      <c r="W1777" s="33">
        <f>IF($A1777="","",DATE(YEAR($A1777),MONTH($A1777),1))</f>
        <v/>
      </c>
      <c r="X1777" s="34">
        <f>IF(OR($A1777="",$H1777&lt;&gt;"Ausgabe",J1777=""),0,IF(J1777="x",-$E1777/(COUNTIF($J1777:$Q1777,"x")+1),-$E1777*N(J1777)))</f>
        <v/>
      </c>
      <c r="Y1777" s="34">
        <f>IF(OR($A1777="",$H1777&lt;&gt;"Ausgabe",K1777=""),0,IF(K1777="x",-$E1777/(COUNTIF($J1777:$Q1777,"x")+1),-$E1777*N(K1777)))</f>
        <v/>
      </c>
      <c r="Z1777" s="34">
        <f>IF(OR($A1777="",$H1777&lt;&gt;"Ausgabe",L1777=""),0,IF(L1777="x",-$E1777/(COUNTIF($J1777:$Q1777,"x")+1),-$E1777*N(L1777)))</f>
        <v/>
      </c>
      <c r="AA1777" s="34">
        <f>IF(OR($A1777="",$H1777&lt;&gt;"Ausgabe",M1777=""),0,IF(M1777="x",-$E1777/(COUNTIF($J1777:$Q1777,"x")+1),-$E1777*N(M1777)))</f>
        <v/>
      </c>
      <c r="AB1777" s="34">
        <f>IF(OR($A1777="",$H1777&lt;&gt;"Ausgabe",N1777=""),0,IF(N1777="x",-$E1777/(COUNTIF($J1777:$Q1777,"x")+1),-$E1777*N(N1777)))</f>
        <v/>
      </c>
      <c r="AC1777" s="34">
        <f>IF(OR($A1777="",$H1777&lt;&gt;"Ausgabe",O1777=""),0,IF(O1777="x",-$E1777/(COUNTIF($J1777:$Q1777,"x")+1),-$E1777*N(O1777)))</f>
        <v/>
      </c>
      <c r="AD1777" s="34">
        <f>IF(OR($A1777="",$H1777&lt;&gt;"Ausgabe",P1777=""),0,IF(P1777="x",-$E1777/(COUNTIF($J1777:$Q1777,"x")+1),-$E1777*N(P1777)))</f>
        <v/>
      </c>
      <c r="AE1777" s="34">
        <f>IF(OR($A1777="",$H1777&lt;&gt;"Ausgabe",Q1777=""),0,IF(Q1777="x",-$E1777/(COUNTIF($J1777:$Q1777,"x")+1),-$E1777*N(Q1777)))</f>
        <v/>
      </c>
    </row>
    <row r="1778">
      <c r="A1778" s="30" t="n"/>
      <c r="E1778" s="31" t="n"/>
      <c r="J1778" s="32" t="n"/>
      <c r="K1778" s="32" t="n"/>
      <c r="L1778" s="32" t="n"/>
      <c r="M1778" s="32" t="n"/>
      <c r="N1778" s="32" t="n"/>
      <c r="O1778" s="32" t="n"/>
      <c r="P1778" s="32" t="n"/>
      <c r="Q1778" s="32" t="n"/>
      <c r="U1778" s="31">
        <f>IF($A1778="","",SUM(X1778:AE1778))</f>
        <v/>
      </c>
      <c r="V1778" s="31">
        <f>IF($A1778="","",IF($H1778&lt;&gt;"Ausgabe",0,-$E1778-$U1778))</f>
        <v/>
      </c>
      <c r="W1778" s="33">
        <f>IF($A1778="","",DATE(YEAR($A1778),MONTH($A1778),1))</f>
        <v/>
      </c>
      <c r="X1778" s="34">
        <f>IF(OR($A1778="",$H1778&lt;&gt;"Ausgabe",J1778=""),0,IF(J1778="x",-$E1778/(COUNTIF($J1778:$Q1778,"x")+1),-$E1778*N(J1778)))</f>
        <v/>
      </c>
      <c r="Y1778" s="34">
        <f>IF(OR($A1778="",$H1778&lt;&gt;"Ausgabe",K1778=""),0,IF(K1778="x",-$E1778/(COUNTIF($J1778:$Q1778,"x")+1),-$E1778*N(K1778)))</f>
        <v/>
      </c>
      <c r="Z1778" s="34">
        <f>IF(OR($A1778="",$H1778&lt;&gt;"Ausgabe",L1778=""),0,IF(L1778="x",-$E1778/(COUNTIF($J1778:$Q1778,"x")+1),-$E1778*N(L1778)))</f>
        <v/>
      </c>
      <c r="AA1778" s="34">
        <f>IF(OR($A1778="",$H1778&lt;&gt;"Ausgabe",M1778=""),0,IF(M1778="x",-$E1778/(COUNTIF($J1778:$Q1778,"x")+1),-$E1778*N(M1778)))</f>
        <v/>
      </c>
      <c r="AB1778" s="34">
        <f>IF(OR($A1778="",$H1778&lt;&gt;"Ausgabe",N1778=""),0,IF(N1778="x",-$E1778/(COUNTIF($J1778:$Q1778,"x")+1),-$E1778*N(N1778)))</f>
        <v/>
      </c>
      <c r="AC1778" s="34">
        <f>IF(OR($A1778="",$H1778&lt;&gt;"Ausgabe",O1778=""),0,IF(O1778="x",-$E1778/(COUNTIF($J1778:$Q1778,"x")+1),-$E1778*N(O1778)))</f>
        <v/>
      </c>
      <c r="AD1778" s="34">
        <f>IF(OR($A1778="",$H1778&lt;&gt;"Ausgabe",P1778=""),0,IF(P1778="x",-$E1778/(COUNTIF($J1778:$Q1778,"x")+1),-$E1778*N(P1778)))</f>
        <v/>
      </c>
      <c r="AE1778" s="34">
        <f>IF(OR($A1778="",$H1778&lt;&gt;"Ausgabe",Q1778=""),0,IF(Q1778="x",-$E1778/(COUNTIF($J1778:$Q1778,"x")+1),-$E1778*N(Q1778)))</f>
        <v/>
      </c>
    </row>
    <row r="1779">
      <c r="A1779" s="30" t="n"/>
      <c r="E1779" s="31" t="n"/>
      <c r="J1779" s="32" t="n"/>
      <c r="K1779" s="32" t="n"/>
      <c r="L1779" s="32" t="n"/>
      <c r="M1779" s="32" t="n"/>
      <c r="N1779" s="32" t="n"/>
      <c r="O1779" s="32" t="n"/>
      <c r="P1779" s="32" t="n"/>
      <c r="Q1779" s="32" t="n"/>
      <c r="U1779" s="31">
        <f>IF($A1779="","",SUM(X1779:AE1779))</f>
        <v/>
      </c>
      <c r="V1779" s="31">
        <f>IF($A1779="","",IF($H1779&lt;&gt;"Ausgabe",0,-$E1779-$U1779))</f>
        <v/>
      </c>
      <c r="W1779" s="33">
        <f>IF($A1779="","",DATE(YEAR($A1779),MONTH($A1779),1))</f>
        <v/>
      </c>
      <c r="X1779" s="34">
        <f>IF(OR($A1779="",$H1779&lt;&gt;"Ausgabe",J1779=""),0,IF(J1779="x",-$E1779/(COUNTIF($J1779:$Q1779,"x")+1),-$E1779*N(J1779)))</f>
        <v/>
      </c>
      <c r="Y1779" s="34">
        <f>IF(OR($A1779="",$H1779&lt;&gt;"Ausgabe",K1779=""),0,IF(K1779="x",-$E1779/(COUNTIF($J1779:$Q1779,"x")+1),-$E1779*N(K1779)))</f>
        <v/>
      </c>
      <c r="Z1779" s="34">
        <f>IF(OR($A1779="",$H1779&lt;&gt;"Ausgabe",L1779=""),0,IF(L1779="x",-$E1779/(COUNTIF($J1779:$Q1779,"x")+1),-$E1779*N(L1779)))</f>
        <v/>
      </c>
      <c r="AA1779" s="34">
        <f>IF(OR($A1779="",$H1779&lt;&gt;"Ausgabe",M1779=""),0,IF(M1779="x",-$E1779/(COUNTIF($J1779:$Q1779,"x")+1),-$E1779*N(M1779)))</f>
        <v/>
      </c>
      <c r="AB1779" s="34">
        <f>IF(OR($A1779="",$H1779&lt;&gt;"Ausgabe",N1779=""),0,IF(N1779="x",-$E1779/(COUNTIF($J1779:$Q1779,"x")+1),-$E1779*N(N1779)))</f>
        <v/>
      </c>
      <c r="AC1779" s="34">
        <f>IF(OR($A1779="",$H1779&lt;&gt;"Ausgabe",O1779=""),0,IF(O1779="x",-$E1779/(COUNTIF($J1779:$Q1779,"x")+1),-$E1779*N(O1779)))</f>
        <v/>
      </c>
      <c r="AD1779" s="34">
        <f>IF(OR($A1779="",$H1779&lt;&gt;"Ausgabe",P1779=""),0,IF(P1779="x",-$E1779/(COUNTIF($J1779:$Q1779,"x")+1),-$E1779*N(P1779)))</f>
        <v/>
      </c>
      <c r="AE1779" s="34">
        <f>IF(OR($A1779="",$H1779&lt;&gt;"Ausgabe",Q1779=""),0,IF(Q1779="x",-$E1779/(COUNTIF($J1779:$Q1779,"x")+1),-$E1779*N(Q1779)))</f>
        <v/>
      </c>
    </row>
    <row r="1780">
      <c r="A1780" s="30" t="n"/>
      <c r="E1780" s="31" t="n"/>
      <c r="J1780" s="32" t="n"/>
      <c r="K1780" s="32" t="n"/>
      <c r="L1780" s="32" t="n"/>
      <c r="M1780" s="32" t="n"/>
      <c r="N1780" s="32" t="n"/>
      <c r="O1780" s="32" t="n"/>
      <c r="P1780" s="32" t="n"/>
      <c r="Q1780" s="32" t="n"/>
      <c r="U1780" s="31">
        <f>IF($A1780="","",SUM(X1780:AE1780))</f>
        <v/>
      </c>
      <c r="V1780" s="31">
        <f>IF($A1780="","",IF($H1780&lt;&gt;"Ausgabe",0,-$E1780-$U1780))</f>
        <v/>
      </c>
      <c r="W1780" s="33">
        <f>IF($A1780="","",DATE(YEAR($A1780),MONTH($A1780),1))</f>
        <v/>
      </c>
      <c r="X1780" s="34">
        <f>IF(OR($A1780="",$H1780&lt;&gt;"Ausgabe",J1780=""),0,IF(J1780="x",-$E1780/(COUNTIF($J1780:$Q1780,"x")+1),-$E1780*N(J1780)))</f>
        <v/>
      </c>
      <c r="Y1780" s="34">
        <f>IF(OR($A1780="",$H1780&lt;&gt;"Ausgabe",K1780=""),0,IF(K1780="x",-$E1780/(COUNTIF($J1780:$Q1780,"x")+1),-$E1780*N(K1780)))</f>
        <v/>
      </c>
      <c r="Z1780" s="34">
        <f>IF(OR($A1780="",$H1780&lt;&gt;"Ausgabe",L1780=""),0,IF(L1780="x",-$E1780/(COUNTIF($J1780:$Q1780,"x")+1),-$E1780*N(L1780)))</f>
        <v/>
      </c>
      <c r="AA1780" s="34">
        <f>IF(OR($A1780="",$H1780&lt;&gt;"Ausgabe",M1780=""),0,IF(M1780="x",-$E1780/(COUNTIF($J1780:$Q1780,"x")+1),-$E1780*N(M1780)))</f>
        <v/>
      </c>
      <c r="AB1780" s="34">
        <f>IF(OR($A1780="",$H1780&lt;&gt;"Ausgabe",N1780=""),0,IF(N1780="x",-$E1780/(COUNTIF($J1780:$Q1780,"x")+1),-$E1780*N(N1780)))</f>
        <v/>
      </c>
      <c r="AC1780" s="34">
        <f>IF(OR($A1780="",$H1780&lt;&gt;"Ausgabe",O1780=""),0,IF(O1780="x",-$E1780/(COUNTIF($J1780:$Q1780,"x")+1),-$E1780*N(O1780)))</f>
        <v/>
      </c>
      <c r="AD1780" s="34">
        <f>IF(OR($A1780="",$H1780&lt;&gt;"Ausgabe",P1780=""),0,IF(P1780="x",-$E1780/(COUNTIF($J1780:$Q1780,"x")+1),-$E1780*N(P1780)))</f>
        <v/>
      </c>
      <c r="AE1780" s="34">
        <f>IF(OR($A1780="",$H1780&lt;&gt;"Ausgabe",Q1780=""),0,IF(Q1780="x",-$E1780/(COUNTIF($J1780:$Q1780,"x")+1),-$E1780*N(Q1780)))</f>
        <v/>
      </c>
    </row>
    <row r="1781">
      <c r="A1781" s="30" t="n"/>
      <c r="E1781" s="31" t="n"/>
      <c r="J1781" s="32" t="n"/>
      <c r="K1781" s="32" t="n"/>
      <c r="L1781" s="32" t="n"/>
      <c r="M1781" s="32" t="n"/>
      <c r="N1781" s="32" t="n"/>
      <c r="O1781" s="32" t="n"/>
      <c r="P1781" s="32" t="n"/>
      <c r="Q1781" s="32" t="n"/>
      <c r="U1781" s="31">
        <f>IF($A1781="","",SUM(X1781:AE1781))</f>
        <v/>
      </c>
      <c r="V1781" s="31">
        <f>IF($A1781="","",IF($H1781&lt;&gt;"Ausgabe",0,-$E1781-$U1781))</f>
        <v/>
      </c>
      <c r="W1781" s="33">
        <f>IF($A1781="","",DATE(YEAR($A1781),MONTH($A1781),1))</f>
        <v/>
      </c>
      <c r="X1781" s="34">
        <f>IF(OR($A1781="",$H1781&lt;&gt;"Ausgabe",J1781=""),0,IF(J1781="x",-$E1781/(COUNTIF($J1781:$Q1781,"x")+1),-$E1781*N(J1781)))</f>
        <v/>
      </c>
      <c r="Y1781" s="34">
        <f>IF(OR($A1781="",$H1781&lt;&gt;"Ausgabe",K1781=""),0,IF(K1781="x",-$E1781/(COUNTIF($J1781:$Q1781,"x")+1),-$E1781*N(K1781)))</f>
        <v/>
      </c>
      <c r="Z1781" s="34">
        <f>IF(OR($A1781="",$H1781&lt;&gt;"Ausgabe",L1781=""),0,IF(L1781="x",-$E1781/(COUNTIF($J1781:$Q1781,"x")+1),-$E1781*N(L1781)))</f>
        <v/>
      </c>
      <c r="AA1781" s="34">
        <f>IF(OR($A1781="",$H1781&lt;&gt;"Ausgabe",M1781=""),0,IF(M1781="x",-$E1781/(COUNTIF($J1781:$Q1781,"x")+1),-$E1781*N(M1781)))</f>
        <v/>
      </c>
      <c r="AB1781" s="34">
        <f>IF(OR($A1781="",$H1781&lt;&gt;"Ausgabe",N1781=""),0,IF(N1781="x",-$E1781/(COUNTIF($J1781:$Q1781,"x")+1),-$E1781*N(N1781)))</f>
        <v/>
      </c>
      <c r="AC1781" s="34">
        <f>IF(OR($A1781="",$H1781&lt;&gt;"Ausgabe",O1781=""),0,IF(O1781="x",-$E1781/(COUNTIF($J1781:$Q1781,"x")+1),-$E1781*N(O1781)))</f>
        <v/>
      </c>
      <c r="AD1781" s="34">
        <f>IF(OR($A1781="",$H1781&lt;&gt;"Ausgabe",P1781=""),0,IF(P1781="x",-$E1781/(COUNTIF($J1781:$Q1781,"x")+1),-$E1781*N(P1781)))</f>
        <v/>
      </c>
      <c r="AE1781" s="34">
        <f>IF(OR($A1781="",$H1781&lt;&gt;"Ausgabe",Q1781=""),0,IF(Q1781="x",-$E1781/(COUNTIF($J1781:$Q1781,"x")+1),-$E1781*N(Q1781)))</f>
        <v/>
      </c>
    </row>
    <row r="1782">
      <c r="A1782" s="30" t="n"/>
      <c r="E1782" s="31" t="n"/>
      <c r="J1782" s="32" t="n"/>
      <c r="K1782" s="32" t="n"/>
      <c r="L1782" s="32" t="n"/>
      <c r="M1782" s="32" t="n"/>
      <c r="N1782" s="32" t="n"/>
      <c r="O1782" s="32" t="n"/>
      <c r="P1782" s="32" t="n"/>
      <c r="Q1782" s="32" t="n"/>
      <c r="U1782" s="31">
        <f>IF($A1782="","",SUM(X1782:AE1782))</f>
        <v/>
      </c>
      <c r="V1782" s="31">
        <f>IF($A1782="","",IF($H1782&lt;&gt;"Ausgabe",0,-$E1782-$U1782))</f>
        <v/>
      </c>
      <c r="W1782" s="33">
        <f>IF($A1782="","",DATE(YEAR($A1782),MONTH($A1782),1))</f>
        <v/>
      </c>
      <c r="X1782" s="34">
        <f>IF(OR($A1782="",$H1782&lt;&gt;"Ausgabe",J1782=""),0,IF(J1782="x",-$E1782/(COUNTIF($J1782:$Q1782,"x")+1),-$E1782*N(J1782)))</f>
        <v/>
      </c>
      <c r="Y1782" s="34">
        <f>IF(OR($A1782="",$H1782&lt;&gt;"Ausgabe",K1782=""),0,IF(K1782="x",-$E1782/(COUNTIF($J1782:$Q1782,"x")+1),-$E1782*N(K1782)))</f>
        <v/>
      </c>
      <c r="Z1782" s="34">
        <f>IF(OR($A1782="",$H1782&lt;&gt;"Ausgabe",L1782=""),0,IF(L1782="x",-$E1782/(COUNTIF($J1782:$Q1782,"x")+1),-$E1782*N(L1782)))</f>
        <v/>
      </c>
      <c r="AA1782" s="34">
        <f>IF(OR($A1782="",$H1782&lt;&gt;"Ausgabe",M1782=""),0,IF(M1782="x",-$E1782/(COUNTIF($J1782:$Q1782,"x")+1),-$E1782*N(M1782)))</f>
        <v/>
      </c>
      <c r="AB1782" s="34">
        <f>IF(OR($A1782="",$H1782&lt;&gt;"Ausgabe",N1782=""),0,IF(N1782="x",-$E1782/(COUNTIF($J1782:$Q1782,"x")+1),-$E1782*N(N1782)))</f>
        <v/>
      </c>
      <c r="AC1782" s="34">
        <f>IF(OR($A1782="",$H1782&lt;&gt;"Ausgabe",O1782=""),0,IF(O1782="x",-$E1782/(COUNTIF($J1782:$Q1782,"x")+1),-$E1782*N(O1782)))</f>
        <v/>
      </c>
      <c r="AD1782" s="34">
        <f>IF(OR($A1782="",$H1782&lt;&gt;"Ausgabe",P1782=""),0,IF(P1782="x",-$E1782/(COUNTIF($J1782:$Q1782,"x")+1),-$E1782*N(P1782)))</f>
        <v/>
      </c>
      <c r="AE1782" s="34">
        <f>IF(OR($A1782="",$H1782&lt;&gt;"Ausgabe",Q1782=""),0,IF(Q1782="x",-$E1782/(COUNTIF($J1782:$Q1782,"x")+1),-$E1782*N(Q1782)))</f>
        <v/>
      </c>
    </row>
    <row r="1783">
      <c r="A1783" s="30" t="n"/>
      <c r="E1783" s="31" t="n"/>
      <c r="J1783" s="32" t="n"/>
      <c r="K1783" s="32" t="n"/>
      <c r="L1783" s="32" t="n"/>
      <c r="M1783" s="32" t="n"/>
      <c r="N1783" s="32" t="n"/>
      <c r="O1783" s="32" t="n"/>
      <c r="P1783" s="32" t="n"/>
      <c r="Q1783" s="32" t="n"/>
      <c r="U1783" s="31">
        <f>IF($A1783="","",SUM(X1783:AE1783))</f>
        <v/>
      </c>
      <c r="V1783" s="31">
        <f>IF($A1783="","",IF($H1783&lt;&gt;"Ausgabe",0,-$E1783-$U1783))</f>
        <v/>
      </c>
      <c r="W1783" s="33">
        <f>IF($A1783="","",DATE(YEAR($A1783),MONTH($A1783),1))</f>
        <v/>
      </c>
      <c r="X1783" s="34">
        <f>IF(OR($A1783="",$H1783&lt;&gt;"Ausgabe",J1783=""),0,IF(J1783="x",-$E1783/(COUNTIF($J1783:$Q1783,"x")+1),-$E1783*N(J1783)))</f>
        <v/>
      </c>
      <c r="Y1783" s="34">
        <f>IF(OR($A1783="",$H1783&lt;&gt;"Ausgabe",K1783=""),0,IF(K1783="x",-$E1783/(COUNTIF($J1783:$Q1783,"x")+1),-$E1783*N(K1783)))</f>
        <v/>
      </c>
      <c r="Z1783" s="34">
        <f>IF(OR($A1783="",$H1783&lt;&gt;"Ausgabe",L1783=""),0,IF(L1783="x",-$E1783/(COUNTIF($J1783:$Q1783,"x")+1),-$E1783*N(L1783)))</f>
        <v/>
      </c>
      <c r="AA1783" s="34">
        <f>IF(OR($A1783="",$H1783&lt;&gt;"Ausgabe",M1783=""),0,IF(M1783="x",-$E1783/(COUNTIF($J1783:$Q1783,"x")+1),-$E1783*N(M1783)))</f>
        <v/>
      </c>
      <c r="AB1783" s="34">
        <f>IF(OR($A1783="",$H1783&lt;&gt;"Ausgabe",N1783=""),0,IF(N1783="x",-$E1783/(COUNTIF($J1783:$Q1783,"x")+1),-$E1783*N(N1783)))</f>
        <v/>
      </c>
      <c r="AC1783" s="34">
        <f>IF(OR($A1783="",$H1783&lt;&gt;"Ausgabe",O1783=""),0,IF(O1783="x",-$E1783/(COUNTIF($J1783:$Q1783,"x")+1),-$E1783*N(O1783)))</f>
        <v/>
      </c>
      <c r="AD1783" s="34">
        <f>IF(OR($A1783="",$H1783&lt;&gt;"Ausgabe",P1783=""),0,IF(P1783="x",-$E1783/(COUNTIF($J1783:$Q1783,"x")+1),-$E1783*N(P1783)))</f>
        <v/>
      </c>
      <c r="AE1783" s="34">
        <f>IF(OR($A1783="",$H1783&lt;&gt;"Ausgabe",Q1783=""),0,IF(Q1783="x",-$E1783/(COUNTIF($J1783:$Q1783,"x")+1),-$E1783*N(Q1783)))</f>
        <v/>
      </c>
    </row>
    <row r="1784">
      <c r="A1784" s="30" t="n"/>
      <c r="E1784" s="31" t="n"/>
      <c r="J1784" s="32" t="n"/>
      <c r="K1784" s="32" t="n"/>
      <c r="L1784" s="32" t="n"/>
      <c r="M1784" s="32" t="n"/>
      <c r="N1784" s="32" t="n"/>
      <c r="O1784" s="32" t="n"/>
      <c r="P1784" s="32" t="n"/>
      <c r="Q1784" s="32" t="n"/>
      <c r="U1784" s="31">
        <f>IF($A1784="","",SUM(X1784:AE1784))</f>
        <v/>
      </c>
      <c r="V1784" s="31">
        <f>IF($A1784="","",IF($H1784&lt;&gt;"Ausgabe",0,-$E1784-$U1784))</f>
        <v/>
      </c>
      <c r="W1784" s="33">
        <f>IF($A1784="","",DATE(YEAR($A1784),MONTH($A1784),1))</f>
        <v/>
      </c>
      <c r="X1784" s="34">
        <f>IF(OR($A1784="",$H1784&lt;&gt;"Ausgabe",J1784=""),0,IF(J1784="x",-$E1784/(COUNTIF($J1784:$Q1784,"x")+1),-$E1784*N(J1784)))</f>
        <v/>
      </c>
      <c r="Y1784" s="34">
        <f>IF(OR($A1784="",$H1784&lt;&gt;"Ausgabe",K1784=""),0,IF(K1784="x",-$E1784/(COUNTIF($J1784:$Q1784,"x")+1),-$E1784*N(K1784)))</f>
        <v/>
      </c>
      <c r="Z1784" s="34">
        <f>IF(OR($A1784="",$H1784&lt;&gt;"Ausgabe",L1784=""),0,IF(L1784="x",-$E1784/(COUNTIF($J1784:$Q1784,"x")+1),-$E1784*N(L1784)))</f>
        <v/>
      </c>
      <c r="AA1784" s="34">
        <f>IF(OR($A1784="",$H1784&lt;&gt;"Ausgabe",M1784=""),0,IF(M1784="x",-$E1784/(COUNTIF($J1784:$Q1784,"x")+1),-$E1784*N(M1784)))</f>
        <v/>
      </c>
      <c r="AB1784" s="34">
        <f>IF(OR($A1784="",$H1784&lt;&gt;"Ausgabe",N1784=""),0,IF(N1784="x",-$E1784/(COUNTIF($J1784:$Q1784,"x")+1),-$E1784*N(N1784)))</f>
        <v/>
      </c>
      <c r="AC1784" s="34">
        <f>IF(OR($A1784="",$H1784&lt;&gt;"Ausgabe",O1784=""),0,IF(O1784="x",-$E1784/(COUNTIF($J1784:$Q1784,"x")+1),-$E1784*N(O1784)))</f>
        <v/>
      </c>
      <c r="AD1784" s="34">
        <f>IF(OR($A1784="",$H1784&lt;&gt;"Ausgabe",P1784=""),0,IF(P1784="x",-$E1784/(COUNTIF($J1784:$Q1784,"x")+1),-$E1784*N(P1784)))</f>
        <v/>
      </c>
      <c r="AE1784" s="34">
        <f>IF(OR($A1784="",$H1784&lt;&gt;"Ausgabe",Q1784=""),0,IF(Q1784="x",-$E1784/(COUNTIF($J1784:$Q1784,"x")+1),-$E1784*N(Q1784)))</f>
        <v/>
      </c>
    </row>
    <row r="1785">
      <c r="A1785" s="30" t="n"/>
      <c r="E1785" s="31" t="n"/>
      <c r="J1785" s="32" t="n"/>
      <c r="K1785" s="32" t="n"/>
      <c r="L1785" s="32" t="n"/>
      <c r="M1785" s="32" t="n"/>
      <c r="N1785" s="32" t="n"/>
      <c r="O1785" s="32" t="n"/>
      <c r="P1785" s="32" t="n"/>
      <c r="Q1785" s="32" t="n"/>
      <c r="U1785" s="31">
        <f>IF($A1785="","",SUM(X1785:AE1785))</f>
        <v/>
      </c>
      <c r="V1785" s="31">
        <f>IF($A1785="","",IF($H1785&lt;&gt;"Ausgabe",0,-$E1785-$U1785))</f>
        <v/>
      </c>
      <c r="W1785" s="33">
        <f>IF($A1785="","",DATE(YEAR($A1785),MONTH($A1785),1))</f>
        <v/>
      </c>
      <c r="X1785" s="34">
        <f>IF(OR($A1785="",$H1785&lt;&gt;"Ausgabe",J1785=""),0,IF(J1785="x",-$E1785/(COUNTIF($J1785:$Q1785,"x")+1),-$E1785*N(J1785)))</f>
        <v/>
      </c>
      <c r="Y1785" s="34">
        <f>IF(OR($A1785="",$H1785&lt;&gt;"Ausgabe",K1785=""),0,IF(K1785="x",-$E1785/(COUNTIF($J1785:$Q1785,"x")+1),-$E1785*N(K1785)))</f>
        <v/>
      </c>
      <c r="Z1785" s="34">
        <f>IF(OR($A1785="",$H1785&lt;&gt;"Ausgabe",L1785=""),0,IF(L1785="x",-$E1785/(COUNTIF($J1785:$Q1785,"x")+1),-$E1785*N(L1785)))</f>
        <v/>
      </c>
      <c r="AA1785" s="34">
        <f>IF(OR($A1785="",$H1785&lt;&gt;"Ausgabe",M1785=""),0,IF(M1785="x",-$E1785/(COUNTIF($J1785:$Q1785,"x")+1),-$E1785*N(M1785)))</f>
        <v/>
      </c>
      <c r="AB1785" s="34">
        <f>IF(OR($A1785="",$H1785&lt;&gt;"Ausgabe",N1785=""),0,IF(N1785="x",-$E1785/(COUNTIF($J1785:$Q1785,"x")+1),-$E1785*N(N1785)))</f>
        <v/>
      </c>
      <c r="AC1785" s="34">
        <f>IF(OR($A1785="",$H1785&lt;&gt;"Ausgabe",O1785=""),0,IF(O1785="x",-$E1785/(COUNTIF($J1785:$Q1785,"x")+1),-$E1785*N(O1785)))</f>
        <v/>
      </c>
      <c r="AD1785" s="34">
        <f>IF(OR($A1785="",$H1785&lt;&gt;"Ausgabe",P1785=""),0,IF(P1785="x",-$E1785/(COUNTIF($J1785:$Q1785,"x")+1),-$E1785*N(P1785)))</f>
        <v/>
      </c>
      <c r="AE1785" s="34">
        <f>IF(OR($A1785="",$H1785&lt;&gt;"Ausgabe",Q1785=""),0,IF(Q1785="x",-$E1785/(COUNTIF($J1785:$Q1785,"x")+1),-$E1785*N(Q1785)))</f>
        <v/>
      </c>
    </row>
    <row r="1786">
      <c r="A1786" s="30" t="n"/>
      <c r="E1786" s="31" t="n"/>
      <c r="J1786" s="32" t="n"/>
      <c r="K1786" s="32" t="n"/>
      <c r="L1786" s="32" t="n"/>
      <c r="M1786" s="32" t="n"/>
      <c r="N1786" s="32" t="n"/>
      <c r="O1786" s="32" t="n"/>
      <c r="P1786" s="32" t="n"/>
      <c r="Q1786" s="32" t="n"/>
      <c r="U1786" s="31">
        <f>IF($A1786="","",SUM(X1786:AE1786))</f>
        <v/>
      </c>
      <c r="V1786" s="31">
        <f>IF($A1786="","",IF($H1786&lt;&gt;"Ausgabe",0,-$E1786-$U1786))</f>
        <v/>
      </c>
      <c r="W1786" s="33">
        <f>IF($A1786="","",DATE(YEAR($A1786),MONTH($A1786),1))</f>
        <v/>
      </c>
      <c r="X1786" s="34">
        <f>IF(OR($A1786="",$H1786&lt;&gt;"Ausgabe",J1786=""),0,IF(J1786="x",-$E1786/(COUNTIF($J1786:$Q1786,"x")+1),-$E1786*N(J1786)))</f>
        <v/>
      </c>
      <c r="Y1786" s="34">
        <f>IF(OR($A1786="",$H1786&lt;&gt;"Ausgabe",K1786=""),0,IF(K1786="x",-$E1786/(COUNTIF($J1786:$Q1786,"x")+1),-$E1786*N(K1786)))</f>
        <v/>
      </c>
      <c r="Z1786" s="34">
        <f>IF(OR($A1786="",$H1786&lt;&gt;"Ausgabe",L1786=""),0,IF(L1786="x",-$E1786/(COUNTIF($J1786:$Q1786,"x")+1),-$E1786*N(L1786)))</f>
        <v/>
      </c>
      <c r="AA1786" s="34">
        <f>IF(OR($A1786="",$H1786&lt;&gt;"Ausgabe",M1786=""),0,IF(M1786="x",-$E1786/(COUNTIF($J1786:$Q1786,"x")+1),-$E1786*N(M1786)))</f>
        <v/>
      </c>
      <c r="AB1786" s="34">
        <f>IF(OR($A1786="",$H1786&lt;&gt;"Ausgabe",N1786=""),0,IF(N1786="x",-$E1786/(COUNTIF($J1786:$Q1786,"x")+1),-$E1786*N(N1786)))</f>
        <v/>
      </c>
      <c r="AC1786" s="34">
        <f>IF(OR($A1786="",$H1786&lt;&gt;"Ausgabe",O1786=""),0,IF(O1786="x",-$E1786/(COUNTIF($J1786:$Q1786,"x")+1),-$E1786*N(O1786)))</f>
        <v/>
      </c>
      <c r="AD1786" s="34">
        <f>IF(OR($A1786="",$H1786&lt;&gt;"Ausgabe",P1786=""),0,IF(P1786="x",-$E1786/(COUNTIF($J1786:$Q1786,"x")+1),-$E1786*N(P1786)))</f>
        <v/>
      </c>
      <c r="AE1786" s="34">
        <f>IF(OR($A1786="",$H1786&lt;&gt;"Ausgabe",Q1786=""),0,IF(Q1786="x",-$E1786/(COUNTIF($J1786:$Q1786,"x")+1),-$E1786*N(Q1786)))</f>
        <v/>
      </c>
    </row>
    <row r="1787">
      <c r="A1787" s="30" t="n"/>
      <c r="E1787" s="31" t="n"/>
      <c r="J1787" s="32" t="n"/>
      <c r="K1787" s="32" t="n"/>
      <c r="L1787" s="32" t="n"/>
      <c r="M1787" s="32" t="n"/>
      <c r="N1787" s="32" t="n"/>
      <c r="O1787" s="32" t="n"/>
      <c r="P1787" s="32" t="n"/>
      <c r="Q1787" s="32" t="n"/>
      <c r="U1787" s="31">
        <f>IF($A1787="","",SUM(X1787:AE1787))</f>
        <v/>
      </c>
      <c r="V1787" s="31">
        <f>IF($A1787="","",IF($H1787&lt;&gt;"Ausgabe",0,-$E1787-$U1787))</f>
        <v/>
      </c>
      <c r="W1787" s="33">
        <f>IF($A1787="","",DATE(YEAR($A1787),MONTH($A1787),1))</f>
        <v/>
      </c>
      <c r="X1787" s="34">
        <f>IF(OR($A1787="",$H1787&lt;&gt;"Ausgabe",J1787=""),0,IF(J1787="x",-$E1787/(COUNTIF($J1787:$Q1787,"x")+1),-$E1787*N(J1787)))</f>
        <v/>
      </c>
      <c r="Y1787" s="34">
        <f>IF(OR($A1787="",$H1787&lt;&gt;"Ausgabe",K1787=""),0,IF(K1787="x",-$E1787/(COUNTIF($J1787:$Q1787,"x")+1),-$E1787*N(K1787)))</f>
        <v/>
      </c>
      <c r="Z1787" s="34">
        <f>IF(OR($A1787="",$H1787&lt;&gt;"Ausgabe",L1787=""),0,IF(L1787="x",-$E1787/(COUNTIF($J1787:$Q1787,"x")+1),-$E1787*N(L1787)))</f>
        <v/>
      </c>
      <c r="AA1787" s="34">
        <f>IF(OR($A1787="",$H1787&lt;&gt;"Ausgabe",M1787=""),0,IF(M1787="x",-$E1787/(COUNTIF($J1787:$Q1787,"x")+1),-$E1787*N(M1787)))</f>
        <v/>
      </c>
      <c r="AB1787" s="34">
        <f>IF(OR($A1787="",$H1787&lt;&gt;"Ausgabe",N1787=""),0,IF(N1787="x",-$E1787/(COUNTIF($J1787:$Q1787,"x")+1),-$E1787*N(N1787)))</f>
        <v/>
      </c>
      <c r="AC1787" s="34">
        <f>IF(OR($A1787="",$H1787&lt;&gt;"Ausgabe",O1787=""),0,IF(O1787="x",-$E1787/(COUNTIF($J1787:$Q1787,"x")+1),-$E1787*N(O1787)))</f>
        <v/>
      </c>
      <c r="AD1787" s="34">
        <f>IF(OR($A1787="",$H1787&lt;&gt;"Ausgabe",P1787=""),0,IF(P1787="x",-$E1787/(COUNTIF($J1787:$Q1787,"x")+1),-$E1787*N(P1787)))</f>
        <v/>
      </c>
      <c r="AE1787" s="34">
        <f>IF(OR($A1787="",$H1787&lt;&gt;"Ausgabe",Q1787=""),0,IF(Q1787="x",-$E1787/(COUNTIF($J1787:$Q1787,"x")+1),-$E1787*N(Q1787)))</f>
        <v/>
      </c>
    </row>
    <row r="1788">
      <c r="A1788" s="30" t="n"/>
      <c r="E1788" s="31" t="n"/>
      <c r="J1788" s="32" t="n"/>
      <c r="K1788" s="32" t="n"/>
      <c r="L1788" s="32" t="n"/>
      <c r="M1788" s="32" t="n"/>
      <c r="N1788" s="32" t="n"/>
      <c r="O1788" s="32" t="n"/>
      <c r="P1788" s="32" t="n"/>
      <c r="Q1788" s="32" t="n"/>
      <c r="U1788" s="31">
        <f>IF($A1788="","",SUM(X1788:AE1788))</f>
        <v/>
      </c>
      <c r="V1788" s="31">
        <f>IF($A1788="","",IF($H1788&lt;&gt;"Ausgabe",0,-$E1788-$U1788))</f>
        <v/>
      </c>
      <c r="W1788" s="33">
        <f>IF($A1788="","",DATE(YEAR($A1788),MONTH($A1788),1))</f>
        <v/>
      </c>
      <c r="X1788" s="34">
        <f>IF(OR($A1788="",$H1788&lt;&gt;"Ausgabe",J1788=""),0,IF(J1788="x",-$E1788/(COUNTIF($J1788:$Q1788,"x")+1),-$E1788*N(J1788)))</f>
        <v/>
      </c>
      <c r="Y1788" s="34">
        <f>IF(OR($A1788="",$H1788&lt;&gt;"Ausgabe",K1788=""),0,IF(K1788="x",-$E1788/(COUNTIF($J1788:$Q1788,"x")+1),-$E1788*N(K1788)))</f>
        <v/>
      </c>
      <c r="Z1788" s="34">
        <f>IF(OR($A1788="",$H1788&lt;&gt;"Ausgabe",L1788=""),0,IF(L1788="x",-$E1788/(COUNTIF($J1788:$Q1788,"x")+1),-$E1788*N(L1788)))</f>
        <v/>
      </c>
      <c r="AA1788" s="34">
        <f>IF(OR($A1788="",$H1788&lt;&gt;"Ausgabe",M1788=""),0,IF(M1788="x",-$E1788/(COUNTIF($J1788:$Q1788,"x")+1),-$E1788*N(M1788)))</f>
        <v/>
      </c>
      <c r="AB1788" s="34">
        <f>IF(OR($A1788="",$H1788&lt;&gt;"Ausgabe",N1788=""),0,IF(N1788="x",-$E1788/(COUNTIF($J1788:$Q1788,"x")+1),-$E1788*N(N1788)))</f>
        <v/>
      </c>
      <c r="AC1788" s="34">
        <f>IF(OR($A1788="",$H1788&lt;&gt;"Ausgabe",O1788=""),0,IF(O1788="x",-$E1788/(COUNTIF($J1788:$Q1788,"x")+1),-$E1788*N(O1788)))</f>
        <v/>
      </c>
      <c r="AD1788" s="34">
        <f>IF(OR($A1788="",$H1788&lt;&gt;"Ausgabe",P1788=""),0,IF(P1788="x",-$E1788/(COUNTIF($J1788:$Q1788,"x")+1),-$E1788*N(P1788)))</f>
        <v/>
      </c>
      <c r="AE1788" s="34">
        <f>IF(OR($A1788="",$H1788&lt;&gt;"Ausgabe",Q1788=""),0,IF(Q1788="x",-$E1788/(COUNTIF($J1788:$Q1788,"x")+1),-$E1788*N(Q1788)))</f>
        <v/>
      </c>
    </row>
    <row r="1789">
      <c r="A1789" s="30" t="n"/>
      <c r="E1789" s="31" t="n"/>
      <c r="J1789" s="32" t="n"/>
      <c r="K1789" s="32" t="n"/>
      <c r="L1789" s="32" t="n"/>
      <c r="M1789" s="32" t="n"/>
      <c r="N1789" s="32" t="n"/>
      <c r="O1789" s="32" t="n"/>
      <c r="P1789" s="32" t="n"/>
      <c r="Q1789" s="32" t="n"/>
      <c r="U1789" s="31">
        <f>IF($A1789="","",SUM(X1789:AE1789))</f>
        <v/>
      </c>
      <c r="V1789" s="31">
        <f>IF($A1789="","",IF($H1789&lt;&gt;"Ausgabe",0,-$E1789-$U1789))</f>
        <v/>
      </c>
      <c r="W1789" s="33">
        <f>IF($A1789="","",DATE(YEAR($A1789),MONTH($A1789),1))</f>
        <v/>
      </c>
      <c r="X1789" s="34">
        <f>IF(OR($A1789="",$H1789&lt;&gt;"Ausgabe",J1789=""),0,IF(J1789="x",-$E1789/(COUNTIF($J1789:$Q1789,"x")+1),-$E1789*N(J1789)))</f>
        <v/>
      </c>
      <c r="Y1789" s="34">
        <f>IF(OR($A1789="",$H1789&lt;&gt;"Ausgabe",K1789=""),0,IF(K1789="x",-$E1789/(COUNTIF($J1789:$Q1789,"x")+1),-$E1789*N(K1789)))</f>
        <v/>
      </c>
      <c r="Z1789" s="34">
        <f>IF(OR($A1789="",$H1789&lt;&gt;"Ausgabe",L1789=""),0,IF(L1789="x",-$E1789/(COUNTIF($J1789:$Q1789,"x")+1),-$E1789*N(L1789)))</f>
        <v/>
      </c>
      <c r="AA1789" s="34">
        <f>IF(OR($A1789="",$H1789&lt;&gt;"Ausgabe",M1789=""),0,IF(M1789="x",-$E1789/(COUNTIF($J1789:$Q1789,"x")+1),-$E1789*N(M1789)))</f>
        <v/>
      </c>
      <c r="AB1789" s="34">
        <f>IF(OR($A1789="",$H1789&lt;&gt;"Ausgabe",N1789=""),0,IF(N1789="x",-$E1789/(COUNTIF($J1789:$Q1789,"x")+1),-$E1789*N(N1789)))</f>
        <v/>
      </c>
      <c r="AC1789" s="34">
        <f>IF(OR($A1789="",$H1789&lt;&gt;"Ausgabe",O1789=""),0,IF(O1789="x",-$E1789/(COUNTIF($J1789:$Q1789,"x")+1),-$E1789*N(O1789)))</f>
        <v/>
      </c>
      <c r="AD1789" s="34">
        <f>IF(OR($A1789="",$H1789&lt;&gt;"Ausgabe",P1789=""),0,IF(P1789="x",-$E1789/(COUNTIF($J1789:$Q1789,"x")+1),-$E1789*N(P1789)))</f>
        <v/>
      </c>
      <c r="AE1789" s="34">
        <f>IF(OR($A1789="",$H1789&lt;&gt;"Ausgabe",Q1789=""),0,IF(Q1789="x",-$E1789/(COUNTIF($J1789:$Q1789,"x")+1),-$E1789*N(Q1789)))</f>
        <v/>
      </c>
    </row>
    <row r="1790">
      <c r="A1790" s="30" t="n"/>
      <c r="E1790" s="31" t="n"/>
      <c r="J1790" s="32" t="n"/>
      <c r="K1790" s="32" t="n"/>
      <c r="L1790" s="32" t="n"/>
      <c r="M1790" s="32" t="n"/>
      <c r="N1790" s="32" t="n"/>
      <c r="O1790" s="32" t="n"/>
      <c r="P1790" s="32" t="n"/>
      <c r="Q1790" s="32" t="n"/>
      <c r="U1790" s="31">
        <f>IF($A1790="","",SUM(X1790:AE1790))</f>
        <v/>
      </c>
      <c r="V1790" s="31">
        <f>IF($A1790="","",IF($H1790&lt;&gt;"Ausgabe",0,-$E1790-$U1790))</f>
        <v/>
      </c>
      <c r="W1790" s="33">
        <f>IF($A1790="","",DATE(YEAR($A1790),MONTH($A1790),1))</f>
        <v/>
      </c>
      <c r="X1790" s="34">
        <f>IF(OR($A1790="",$H1790&lt;&gt;"Ausgabe",J1790=""),0,IF(J1790="x",-$E1790/(COUNTIF($J1790:$Q1790,"x")+1),-$E1790*N(J1790)))</f>
        <v/>
      </c>
      <c r="Y1790" s="34">
        <f>IF(OR($A1790="",$H1790&lt;&gt;"Ausgabe",K1790=""),0,IF(K1790="x",-$E1790/(COUNTIF($J1790:$Q1790,"x")+1),-$E1790*N(K1790)))</f>
        <v/>
      </c>
      <c r="Z1790" s="34">
        <f>IF(OR($A1790="",$H1790&lt;&gt;"Ausgabe",L1790=""),0,IF(L1790="x",-$E1790/(COUNTIF($J1790:$Q1790,"x")+1),-$E1790*N(L1790)))</f>
        <v/>
      </c>
      <c r="AA1790" s="34">
        <f>IF(OR($A1790="",$H1790&lt;&gt;"Ausgabe",M1790=""),0,IF(M1790="x",-$E1790/(COUNTIF($J1790:$Q1790,"x")+1),-$E1790*N(M1790)))</f>
        <v/>
      </c>
      <c r="AB1790" s="34">
        <f>IF(OR($A1790="",$H1790&lt;&gt;"Ausgabe",N1790=""),0,IF(N1790="x",-$E1790/(COUNTIF($J1790:$Q1790,"x")+1),-$E1790*N(N1790)))</f>
        <v/>
      </c>
      <c r="AC1790" s="34">
        <f>IF(OR($A1790="",$H1790&lt;&gt;"Ausgabe",O1790=""),0,IF(O1790="x",-$E1790/(COUNTIF($J1790:$Q1790,"x")+1),-$E1790*N(O1790)))</f>
        <v/>
      </c>
      <c r="AD1790" s="34">
        <f>IF(OR($A1790="",$H1790&lt;&gt;"Ausgabe",P1790=""),0,IF(P1790="x",-$E1790/(COUNTIF($J1790:$Q1790,"x")+1),-$E1790*N(P1790)))</f>
        <v/>
      </c>
      <c r="AE1790" s="34">
        <f>IF(OR($A1790="",$H1790&lt;&gt;"Ausgabe",Q1790=""),0,IF(Q1790="x",-$E1790/(COUNTIF($J1790:$Q1790,"x")+1),-$E1790*N(Q1790)))</f>
        <v/>
      </c>
    </row>
    <row r="1791">
      <c r="A1791" s="30" t="n"/>
      <c r="E1791" s="31" t="n"/>
      <c r="J1791" s="32" t="n"/>
      <c r="K1791" s="32" t="n"/>
      <c r="L1791" s="32" t="n"/>
      <c r="M1791" s="32" t="n"/>
      <c r="N1791" s="32" t="n"/>
      <c r="O1791" s="32" t="n"/>
      <c r="P1791" s="32" t="n"/>
      <c r="Q1791" s="32" t="n"/>
      <c r="U1791" s="31">
        <f>IF($A1791="","",SUM(X1791:AE1791))</f>
        <v/>
      </c>
      <c r="V1791" s="31">
        <f>IF($A1791="","",IF($H1791&lt;&gt;"Ausgabe",0,-$E1791-$U1791))</f>
        <v/>
      </c>
      <c r="W1791" s="33">
        <f>IF($A1791="","",DATE(YEAR($A1791),MONTH($A1791),1))</f>
        <v/>
      </c>
      <c r="X1791" s="34">
        <f>IF(OR($A1791="",$H1791&lt;&gt;"Ausgabe",J1791=""),0,IF(J1791="x",-$E1791/(COUNTIF($J1791:$Q1791,"x")+1),-$E1791*N(J1791)))</f>
        <v/>
      </c>
      <c r="Y1791" s="34">
        <f>IF(OR($A1791="",$H1791&lt;&gt;"Ausgabe",K1791=""),0,IF(K1791="x",-$E1791/(COUNTIF($J1791:$Q1791,"x")+1),-$E1791*N(K1791)))</f>
        <v/>
      </c>
      <c r="Z1791" s="34">
        <f>IF(OR($A1791="",$H1791&lt;&gt;"Ausgabe",L1791=""),0,IF(L1791="x",-$E1791/(COUNTIF($J1791:$Q1791,"x")+1),-$E1791*N(L1791)))</f>
        <v/>
      </c>
      <c r="AA1791" s="34">
        <f>IF(OR($A1791="",$H1791&lt;&gt;"Ausgabe",M1791=""),0,IF(M1791="x",-$E1791/(COUNTIF($J1791:$Q1791,"x")+1),-$E1791*N(M1791)))</f>
        <v/>
      </c>
      <c r="AB1791" s="34">
        <f>IF(OR($A1791="",$H1791&lt;&gt;"Ausgabe",N1791=""),0,IF(N1791="x",-$E1791/(COUNTIF($J1791:$Q1791,"x")+1),-$E1791*N(N1791)))</f>
        <v/>
      </c>
      <c r="AC1791" s="34">
        <f>IF(OR($A1791="",$H1791&lt;&gt;"Ausgabe",O1791=""),0,IF(O1791="x",-$E1791/(COUNTIF($J1791:$Q1791,"x")+1),-$E1791*N(O1791)))</f>
        <v/>
      </c>
      <c r="AD1791" s="34">
        <f>IF(OR($A1791="",$H1791&lt;&gt;"Ausgabe",P1791=""),0,IF(P1791="x",-$E1791/(COUNTIF($J1791:$Q1791,"x")+1),-$E1791*N(P1791)))</f>
        <v/>
      </c>
      <c r="AE1791" s="34">
        <f>IF(OR($A1791="",$H1791&lt;&gt;"Ausgabe",Q1791=""),0,IF(Q1791="x",-$E1791/(COUNTIF($J1791:$Q1791,"x")+1),-$E1791*N(Q1791)))</f>
        <v/>
      </c>
    </row>
    <row r="1792">
      <c r="A1792" s="30" t="n"/>
      <c r="E1792" s="31" t="n"/>
      <c r="J1792" s="32" t="n"/>
      <c r="K1792" s="32" t="n"/>
      <c r="L1792" s="32" t="n"/>
      <c r="M1792" s="32" t="n"/>
      <c r="N1792" s="32" t="n"/>
      <c r="O1792" s="32" t="n"/>
      <c r="P1792" s="32" t="n"/>
      <c r="Q1792" s="32" t="n"/>
      <c r="U1792" s="31">
        <f>IF($A1792="","",SUM(X1792:AE1792))</f>
        <v/>
      </c>
      <c r="V1792" s="31">
        <f>IF($A1792="","",IF($H1792&lt;&gt;"Ausgabe",0,-$E1792-$U1792))</f>
        <v/>
      </c>
      <c r="W1792" s="33">
        <f>IF($A1792="","",DATE(YEAR($A1792),MONTH($A1792),1))</f>
        <v/>
      </c>
      <c r="X1792" s="34">
        <f>IF(OR($A1792="",$H1792&lt;&gt;"Ausgabe",J1792=""),0,IF(J1792="x",-$E1792/(COUNTIF($J1792:$Q1792,"x")+1),-$E1792*N(J1792)))</f>
        <v/>
      </c>
      <c r="Y1792" s="34">
        <f>IF(OR($A1792="",$H1792&lt;&gt;"Ausgabe",K1792=""),0,IF(K1792="x",-$E1792/(COUNTIF($J1792:$Q1792,"x")+1),-$E1792*N(K1792)))</f>
        <v/>
      </c>
      <c r="Z1792" s="34">
        <f>IF(OR($A1792="",$H1792&lt;&gt;"Ausgabe",L1792=""),0,IF(L1792="x",-$E1792/(COUNTIF($J1792:$Q1792,"x")+1),-$E1792*N(L1792)))</f>
        <v/>
      </c>
      <c r="AA1792" s="34">
        <f>IF(OR($A1792="",$H1792&lt;&gt;"Ausgabe",M1792=""),0,IF(M1792="x",-$E1792/(COUNTIF($J1792:$Q1792,"x")+1),-$E1792*N(M1792)))</f>
        <v/>
      </c>
      <c r="AB1792" s="34">
        <f>IF(OR($A1792="",$H1792&lt;&gt;"Ausgabe",N1792=""),0,IF(N1792="x",-$E1792/(COUNTIF($J1792:$Q1792,"x")+1),-$E1792*N(N1792)))</f>
        <v/>
      </c>
      <c r="AC1792" s="34">
        <f>IF(OR($A1792="",$H1792&lt;&gt;"Ausgabe",O1792=""),0,IF(O1792="x",-$E1792/(COUNTIF($J1792:$Q1792,"x")+1),-$E1792*N(O1792)))</f>
        <v/>
      </c>
      <c r="AD1792" s="34">
        <f>IF(OR($A1792="",$H1792&lt;&gt;"Ausgabe",P1792=""),0,IF(P1792="x",-$E1792/(COUNTIF($J1792:$Q1792,"x")+1),-$E1792*N(P1792)))</f>
        <v/>
      </c>
      <c r="AE1792" s="34">
        <f>IF(OR($A1792="",$H1792&lt;&gt;"Ausgabe",Q1792=""),0,IF(Q1792="x",-$E1792/(COUNTIF($J1792:$Q1792,"x")+1),-$E1792*N(Q1792)))</f>
        <v/>
      </c>
    </row>
    <row r="1793">
      <c r="A1793" s="30" t="n"/>
      <c r="E1793" s="31" t="n"/>
      <c r="J1793" s="32" t="n"/>
      <c r="K1793" s="32" t="n"/>
      <c r="L1793" s="32" t="n"/>
      <c r="M1793" s="32" t="n"/>
      <c r="N1793" s="32" t="n"/>
      <c r="O1793" s="32" t="n"/>
      <c r="P1793" s="32" t="n"/>
      <c r="Q1793" s="32" t="n"/>
      <c r="U1793" s="31">
        <f>IF($A1793="","",SUM(X1793:AE1793))</f>
        <v/>
      </c>
      <c r="V1793" s="31">
        <f>IF($A1793="","",IF($H1793&lt;&gt;"Ausgabe",0,-$E1793-$U1793))</f>
        <v/>
      </c>
      <c r="W1793" s="33">
        <f>IF($A1793="","",DATE(YEAR($A1793),MONTH($A1793),1))</f>
        <v/>
      </c>
      <c r="X1793" s="34">
        <f>IF(OR($A1793="",$H1793&lt;&gt;"Ausgabe",J1793=""),0,IF(J1793="x",-$E1793/(COUNTIF($J1793:$Q1793,"x")+1),-$E1793*N(J1793)))</f>
        <v/>
      </c>
      <c r="Y1793" s="34">
        <f>IF(OR($A1793="",$H1793&lt;&gt;"Ausgabe",K1793=""),0,IF(K1793="x",-$E1793/(COUNTIF($J1793:$Q1793,"x")+1),-$E1793*N(K1793)))</f>
        <v/>
      </c>
      <c r="Z1793" s="34">
        <f>IF(OR($A1793="",$H1793&lt;&gt;"Ausgabe",L1793=""),0,IF(L1793="x",-$E1793/(COUNTIF($J1793:$Q1793,"x")+1),-$E1793*N(L1793)))</f>
        <v/>
      </c>
      <c r="AA1793" s="34">
        <f>IF(OR($A1793="",$H1793&lt;&gt;"Ausgabe",M1793=""),0,IF(M1793="x",-$E1793/(COUNTIF($J1793:$Q1793,"x")+1),-$E1793*N(M1793)))</f>
        <v/>
      </c>
      <c r="AB1793" s="34">
        <f>IF(OR($A1793="",$H1793&lt;&gt;"Ausgabe",N1793=""),0,IF(N1793="x",-$E1793/(COUNTIF($J1793:$Q1793,"x")+1),-$E1793*N(N1793)))</f>
        <v/>
      </c>
      <c r="AC1793" s="34">
        <f>IF(OR($A1793="",$H1793&lt;&gt;"Ausgabe",O1793=""),0,IF(O1793="x",-$E1793/(COUNTIF($J1793:$Q1793,"x")+1),-$E1793*N(O1793)))</f>
        <v/>
      </c>
      <c r="AD1793" s="34">
        <f>IF(OR($A1793="",$H1793&lt;&gt;"Ausgabe",P1793=""),0,IF(P1793="x",-$E1793/(COUNTIF($J1793:$Q1793,"x")+1),-$E1793*N(P1793)))</f>
        <v/>
      </c>
      <c r="AE1793" s="34">
        <f>IF(OR($A1793="",$H1793&lt;&gt;"Ausgabe",Q1793=""),0,IF(Q1793="x",-$E1793/(COUNTIF($J1793:$Q1793,"x")+1),-$E1793*N(Q1793)))</f>
        <v/>
      </c>
    </row>
    <row r="1794">
      <c r="A1794" s="30" t="n"/>
      <c r="E1794" s="31" t="n"/>
      <c r="J1794" s="32" t="n"/>
      <c r="K1794" s="32" t="n"/>
      <c r="L1794" s="32" t="n"/>
      <c r="M1794" s="32" t="n"/>
      <c r="N1794" s="32" t="n"/>
      <c r="O1794" s="32" t="n"/>
      <c r="P1794" s="32" t="n"/>
      <c r="Q1794" s="32" t="n"/>
      <c r="U1794" s="31">
        <f>IF($A1794="","",SUM(X1794:AE1794))</f>
        <v/>
      </c>
      <c r="V1794" s="31">
        <f>IF($A1794="","",IF($H1794&lt;&gt;"Ausgabe",0,-$E1794-$U1794))</f>
        <v/>
      </c>
      <c r="W1794" s="33">
        <f>IF($A1794="","",DATE(YEAR($A1794),MONTH($A1794),1))</f>
        <v/>
      </c>
      <c r="X1794" s="34">
        <f>IF(OR($A1794="",$H1794&lt;&gt;"Ausgabe",J1794=""),0,IF(J1794="x",-$E1794/(COUNTIF($J1794:$Q1794,"x")+1),-$E1794*N(J1794)))</f>
        <v/>
      </c>
      <c r="Y1794" s="34">
        <f>IF(OR($A1794="",$H1794&lt;&gt;"Ausgabe",K1794=""),0,IF(K1794="x",-$E1794/(COUNTIF($J1794:$Q1794,"x")+1),-$E1794*N(K1794)))</f>
        <v/>
      </c>
      <c r="Z1794" s="34">
        <f>IF(OR($A1794="",$H1794&lt;&gt;"Ausgabe",L1794=""),0,IF(L1794="x",-$E1794/(COUNTIF($J1794:$Q1794,"x")+1),-$E1794*N(L1794)))</f>
        <v/>
      </c>
      <c r="AA1794" s="34">
        <f>IF(OR($A1794="",$H1794&lt;&gt;"Ausgabe",M1794=""),0,IF(M1794="x",-$E1794/(COUNTIF($J1794:$Q1794,"x")+1),-$E1794*N(M1794)))</f>
        <v/>
      </c>
      <c r="AB1794" s="34">
        <f>IF(OR($A1794="",$H1794&lt;&gt;"Ausgabe",N1794=""),0,IF(N1794="x",-$E1794/(COUNTIF($J1794:$Q1794,"x")+1),-$E1794*N(N1794)))</f>
        <v/>
      </c>
      <c r="AC1794" s="34">
        <f>IF(OR($A1794="",$H1794&lt;&gt;"Ausgabe",O1794=""),0,IF(O1794="x",-$E1794/(COUNTIF($J1794:$Q1794,"x")+1),-$E1794*N(O1794)))</f>
        <v/>
      </c>
      <c r="AD1794" s="34">
        <f>IF(OR($A1794="",$H1794&lt;&gt;"Ausgabe",P1794=""),0,IF(P1794="x",-$E1794/(COUNTIF($J1794:$Q1794,"x")+1),-$E1794*N(P1794)))</f>
        <v/>
      </c>
      <c r="AE1794" s="34">
        <f>IF(OR($A1794="",$H1794&lt;&gt;"Ausgabe",Q1794=""),0,IF(Q1794="x",-$E1794/(COUNTIF($J1794:$Q1794,"x")+1),-$E1794*N(Q1794)))</f>
        <v/>
      </c>
    </row>
    <row r="1795">
      <c r="A1795" s="30" t="n"/>
      <c r="E1795" s="31" t="n"/>
      <c r="J1795" s="32" t="n"/>
      <c r="K1795" s="32" t="n"/>
      <c r="L1795" s="32" t="n"/>
      <c r="M1795" s="32" t="n"/>
      <c r="N1795" s="32" t="n"/>
      <c r="O1795" s="32" t="n"/>
      <c r="P1795" s="32" t="n"/>
      <c r="Q1795" s="32" t="n"/>
      <c r="U1795" s="31">
        <f>IF($A1795="","",SUM(X1795:AE1795))</f>
        <v/>
      </c>
      <c r="V1795" s="31">
        <f>IF($A1795="","",IF($H1795&lt;&gt;"Ausgabe",0,-$E1795-$U1795))</f>
        <v/>
      </c>
      <c r="W1795" s="33">
        <f>IF($A1795="","",DATE(YEAR($A1795),MONTH($A1795),1))</f>
        <v/>
      </c>
      <c r="X1795" s="34">
        <f>IF(OR($A1795="",$H1795&lt;&gt;"Ausgabe",J1795=""),0,IF(J1795="x",-$E1795/(COUNTIF($J1795:$Q1795,"x")+1),-$E1795*N(J1795)))</f>
        <v/>
      </c>
      <c r="Y1795" s="34">
        <f>IF(OR($A1795="",$H1795&lt;&gt;"Ausgabe",K1795=""),0,IF(K1795="x",-$E1795/(COUNTIF($J1795:$Q1795,"x")+1),-$E1795*N(K1795)))</f>
        <v/>
      </c>
      <c r="Z1795" s="34">
        <f>IF(OR($A1795="",$H1795&lt;&gt;"Ausgabe",L1795=""),0,IF(L1795="x",-$E1795/(COUNTIF($J1795:$Q1795,"x")+1),-$E1795*N(L1795)))</f>
        <v/>
      </c>
      <c r="AA1795" s="34">
        <f>IF(OR($A1795="",$H1795&lt;&gt;"Ausgabe",M1795=""),0,IF(M1795="x",-$E1795/(COUNTIF($J1795:$Q1795,"x")+1),-$E1795*N(M1795)))</f>
        <v/>
      </c>
      <c r="AB1795" s="34">
        <f>IF(OR($A1795="",$H1795&lt;&gt;"Ausgabe",N1795=""),0,IF(N1795="x",-$E1795/(COUNTIF($J1795:$Q1795,"x")+1),-$E1795*N(N1795)))</f>
        <v/>
      </c>
      <c r="AC1795" s="34">
        <f>IF(OR($A1795="",$H1795&lt;&gt;"Ausgabe",O1795=""),0,IF(O1795="x",-$E1795/(COUNTIF($J1795:$Q1795,"x")+1),-$E1795*N(O1795)))</f>
        <v/>
      </c>
      <c r="AD1795" s="34">
        <f>IF(OR($A1795="",$H1795&lt;&gt;"Ausgabe",P1795=""),0,IF(P1795="x",-$E1795/(COUNTIF($J1795:$Q1795,"x")+1),-$E1795*N(P1795)))</f>
        <v/>
      </c>
      <c r="AE1795" s="34">
        <f>IF(OR($A1795="",$H1795&lt;&gt;"Ausgabe",Q1795=""),0,IF(Q1795="x",-$E1795/(COUNTIF($J1795:$Q1795,"x")+1),-$E1795*N(Q1795)))</f>
        <v/>
      </c>
    </row>
    <row r="1796">
      <c r="A1796" s="30" t="n"/>
      <c r="E1796" s="31" t="n"/>
      <c r="J1796" s="32" t="n"/>
      <c r="K1796" s="32" t="n"/>
      <c r="L1796" s="32" t="n"/>
      <c r="M1796" s="32" t="n"/>
      <c r="N1796" s="32" t="n"/>
      <c r="O1796" s="32" t="n"/>
      <c r="P1796" s="32" t="n"/>
      <c r="Q1796" s="32" t="n"/>
      <c r="U1796" s="31">
        <f>IF($A1796="","",SUM(X1796:AE1796))</f>
        <v/>
      </c>
      <c r="V1796" s="31">
        <f>IF($A1796="","",IF($H1796&lt;&gt;"Ausgabe",0,-$E1796-$U1796))</f>
        <v/>
      </c>
      <c r="W1796" s="33">
        <f>IF($A1796="","",DATE(YEAR($A1796),MONTH($A1796),1))</f>
        <v/>
      </c>
      <c r="X1796" s="34">
        <f>IF(OR($A1796="",$H1796&lt;&gt;"Ausgabe",J1796=""),0,IF(J1796="x",-$E1796/(COUNTIF($J1796:$Q1796,"x")+1),-$E1796*N(J1796)))</f>
        <v/>
      </c>
      <c r="Y1796" s="34">
        <f>IF(OR($A1796="",$H1796&lt;&gt;"Ausgabe",K1796=""),0,IF(K1796="x",-$E1796/(COUNTIF($J1796:$Q1796,"x")+1),-$E1796*N(K1796)))</f>
        <v/>
      </c>
      <c r="Z1796" s="34">
        <f>IF(OR($A1796="",$H1796&lt;&gt;"Ausgabe",L1796=""),0,IF(L1796="x",-$E1796/(COUNTIF($J1796:$Q1796,"x")+1),-$E1796*N(L1796)))</f>
        <v/>
      </c>
      <c r="AA1796" s="34">
        <f>IF(OR($A1796="",$H1796&lt;&gt;"Ausgabe",M1796=""),0,IF(M1796="x",-$E1796/(COUNTIF($J1796:$Q1796,"x")+1),-$E1796*N(M1796)))</f>
        <v/>
      </c>
      <c r="AB1796" s="34">
        <f>IF(OR($A1796="",$H1796&lt;&gt;"Ausgabe",N1796=""),0,IF(N1796="x",-$E1796/(COUNTIF($J1796:$Q1796,"x")+1),-$E1796*N(N1796)))</f>
        <v/>
      </c>
      <c r="AC1796" s="34">
        <f>IF(OR($A1796="",$H1796&lt;&gt;"Ausgabe",O1796=""),0,IF(O1796="x",-$E1796/(COUNTIF($J1796:$Q1796,"x")+1),-$E1796*N(O1796)))</f>
        <v/>
      </c>
      <c r="AD1796" s="34">
        <f>IF(OR($A1796="",$H1796&lt;&gt;"Ausgabe",P1796=""),0,IF(P1796="x",-$E1796/(COUNTIF($J1796:$Q1796,"x")+1),-$E1796*N(P1796)))</f>
        <v/>
      </c>
      <c r="AE1796" s="34">
        <f>IF(OR($A1796="",$H1796&lt;&gt;"Ausgabe",Q1796=""),0,IF(Q1796="x",-$E1796/(COUNTIF($J1796:$Q1796,"x")+1),-$E1796*N(Q1796)))</f>
        <v/>
      </c>
    </row>
    <row r="1797">
      <c r="A1797" s="30" t="n"/>
      <c r="E1797" s="31" t="n"/>
      <c r="J1797" s="32" t="n"/>
      <c r="K1797" s="32" t="n"/>
      <c r="L1797" s="32" t="n"/>
      <c r="M1797" s="32" t="n"/>
      <c r="N1797" s="32" t="n"/>
      <c r="O1797" s="32" t="n"/>
      <c r="P1797" s="32" t="n"/>
      <c r="Q1797" s="32" t="n"/>
      <c r="U1797" s="31">
        <f>IF($A1797="","",SUM(X1797:AE1797))</f>
        <v/>
      </c>
      <c r="V1797" s="31">
        <f>IF($A1797="","",IF($H1797&lt;&gt;"Ausgabe",0,-$E1797-$U1797))</f>
        <v/>
      </c>
      <c r="W1797" s="33">
        <f>IF($A1797="","",DATE(YEAR($A1797),MONTH($A1797),1))</f>
        <v/>
      </c>
      <c r="X1797" s="34">
        <f>IF(OR($A1797="",$H1797&lt;&gt;"Ausgabe",J1797=""),0,IF(J1797="x",-$E1797/(COUNTIF($J1797:$Q1797,"x")+1),-$E1797*N(J1797)))</f>
        <v/>
      </c>
      <c r="Y1797" s="34">
        <f>IF(OR($A1797="",$H1797&lt;&gt;"Ausgabe",K1797=""),0,IF(K1797="x",-$E1797/(COUNTIF($J1797:$Q1797,"x")+1),-$E1797*N(K1797)))</f>
        <v/>
      </c>
      <c r="Z1797" s="34">
        <f>IF(OR($A1797="",$H1797&lt;&gt;"Ausgabe",L1797=""),0,IF(L1797="x",-$E1797/(COUNTIF($J1797:$Q1797,"x")+1),-$E1797*N(L1797)))</f>
        <v/>
      </c>
      <c r="AA1797" s="34">
        <f>IF(OR($A1797="",$H1797&lt;&gt;"Ausgabe",M1797=""),0,IF(M1797="x",-$E1797/(COUNTIF($J1797:$Q1797,"x")+1),-$E1797*N(M1797)))</f>
        <v/>
      </c>
      <c r="AB1797" s="34">
        <f>IF(OR($A1797="",$H1797&lt;&gt;"Ausgabe",N1797=""),0,IF(N1797="x",-$E1797/(COUNTIF($J1797:$Q1797,"x")+1),-$E1797*N(N1797)))</f>
        <v/>
      </c>
      <c r="AC1797" s="34">
        <f>IF(OR($A1797="",$H1797&lt;&gt;"Ausgabe",O1797=""),0,IF(O1797="x",-$E1797/(COUNTIF($J1797:$Q1797,"x")+1),-$E1797*N(O1797)))</f>
        <v/>
      </c>
      <c r="AD1797" s="34">
        <f>IF(OR($A1797="",$H1797&lt;&gt;"Ausgabe",P1797=""),0,IF(P1797="x",-$E1797/(COUNTIF($J1797:$Q1797,"x")+1),-$E1797*N(P1797)))</f>
        <v/>
      </c>
      <c r="AE1797" s="34">
        <f>IF(OR($A1797="",$H1797&lt;&gt;"Ausgabe",Q1797=""),0,IF(Q1797="x",-$E1797/(COUNTIF($J1797:$Q1797,"x")+1),-$E1797*N(Q1797)))</f>
        <v/>
      </c>
    </row>
    <row r="1798">
      <c r="A1798" s="30" t="n"/>
      <c r="E1798" s="31" t="n"/>
      <c r="J1798" s="32" t="n"/>
      <c r="K1798" s="32" t="n"/>
      <c r="L1798" s="32" t="n"/>
      <c r="M1798" s="32" t="n"/>
      <c r="N1798" s="32" t="n"/>
      <c r="O1798" s="32" t="n"/>
      <c r="P1798" s="32" t="n"/>
      <c r="Q1798" s="32" t="n"/>
      <c r="U1798" s="31">
        <f>IF($A1798="","",SUM(X1798:AE1798))</f>
        <v/>
      </c>
      <c r="V1798" s="31">
        <f>IF($A1798="","",IF($H1798&lt;&gt;"Ausgabe",0,-$E1798-$U1798))</f>
        <v/>
      </c>
      <c r="W1798" s="33">
        <f>IF($A1798="","",DATE(YEAR($A1798),MONTH($A1798),1))</f>
        <v/>
      </c>
      <c r="X1798" s="34">
        <f>IF(OR($A1798="",$H1798&lt;&gt;"Ausgabe",J1798=""),0,IF(J1798="x",-$E1798/(COUNTIF($J1798:$Q1798,"x")+1),-$E1798*N(J1798)))</f>
        <v/>
      </c>
      <c r="Y1798" s="34">
        <f>IF(OR($A1798="",$H1798&lt;&gt;"Ausgabe",K1798=""),0,IF(K1798="x",-$E1798/(COUNTIF($J1798:$Q1798,"x")+1),-$E1798*N(K1798)))</f>
        <v/>
      </c>
      <c r="Z1798" s="34">
        <f>IF(OR($A1798="",$H1798&lt;&gt;"Ausgabe",L1798=""),0,IF(L1798="x",-$E1798/(COUNTIF($J1798:$Q1798,"x")+1),-$E1798*N(L1798)))</f>
        <v/>
      </c>
      <c r="AA1798" s="34">
        <f>IF(OR($A1798="",$H1798&lt;&gt;"Ausgabe",M1798=""),0,IF(M1798="x",-$E1798/(COUNTIF($J1798:$Q1798,"x")+1),-$E1798*N(M1798)))</f>
        <v/>
      </c>
      <c r="AB1798" s="34">
        <f>IF(OR($A1798="",$H1798&lt;&gt;"Ausgabe",N1798=""),0,IF(N1798="x",-$E1798/(COUNTIF($J1798:$Q1798,"x")+1),-$E1798*N(N1798)))</f>
        <v/>
      </c>
      <c r="AC1798" s="34">
        <f>IF(OR($A1798="",$H1798&lt;&gt;"Ausgabe",O1798=""),0,IF(O1798="x",-$E1798/(COUNTIF($J1798:$Q1798,"x")+1),-$E1798*N(O1798)))</f>
        <v/>
      </c>
      <c r="AD1798" s="34">
        <f>IF(OR($A1798="",$H1798&lt;&gt;"Ausgabe",P1798=""),0,IF(P1798="x",-$E1798/(COUNTIF($J1798:$Q1798,"x")+1),-$E1798*N(P1798)))</f>
        <v/>
      </c>
      <c r="AE1798" s="34">
        <f>IF(OR($A1798="",$H1798&lt;&gt;"Ausgabe",Q1798=""),0,IF(Q1798="x",-$E1798/(COUNTIF($J1798:$Q1798,"x")+1),-$E1798*N(Q1798)))</f>
        <v/>
      </c>
    </row>
    <row r="1799">
      <c r="A1799" s="30" t="n"/>
      <c r="E1799" s="31" t="n"/>
      <c r="J1799" s="32" t="n"/>
      <c r="K1799" s="32" t="n"/>
      <c r="L1799" s="32" t="n"/>
      <c r="M1799" s="32" t="n"/>
      <c r="N1799" s="32" t="n"/>
      <c r="O1799" s="32" t="n"/>
      <c r="P1799" s="32" t="n"/>
      <c r="Q1799" s="32" t="n"/>
      <c r="U1799" s="31">
        <f>IF($A1799="","",SUM(X1799:AE1799))</f>
        <v/>
      </c>
      <c r="V1799" s="31">
        <f>IF($A1799="","",IF($H1799&lt;&gt;"Ausgabe",0,-$E1799-$U1799))</f>
        <v/>
      </c>
      <c r="W1799" s="33">
        <f>IF($A1799="","",DATE(YEAR($A1799),MONTH($A1799),1))</f>
        <v/>
      </c>
      <c r="X1799" s="34">
        <f>IF(OR($A1799="",$H1799&lt;&gt;"Ausgabe",J1799=""),0,IF(J1799="x",-$E1799/(COUNTIF($J1799:$Q1799,"x")+1),-$E1799*N(J1799)))</f>
        <v/>
      </c>
      <c r="Y1799" s="34">
        <f>IF(OR($A1799="",$H1799&lt;&gt;"Ausgabe",K1799=""),0,IF(K1799="x",-$E1799/(COUNTIF($J1799:$Q1799,"x")+1),-$E1799*N(K1799)))</f>
        <v/>
      </c>
      <c r="Z1799" s="34">
        <f>IF(OR($A1799="",$H1799&lt;&gt;"Ausgabe",L1799=""),0,IF(L1799="x",-$E1799/(COUNTIF($J1799:$Q1799,"x")+1),-$E1799*N(L1799)))</f>
        <v/>
      </c>
      <c r="AA1799" s="34">
        <f>IF(OR($A1799="",$H1799&lt;&gt;"Ausgabe",M1799=""),0,IF(M1799="x",-$E1799/(COUNTIF($J1799:$Q1799,"x")+1),-$E1799*N(M1799)))</f>
        <v/>
      </c>
      <c r="AB1799" s="34">
        <f>IF(OR($A1799="",$H1799&lt;&gt;"Ausgabe",N1799=""),0,IF(N1799="x",-$E1799/(COUNTIF($J1799:$Q1799,"x")+1),-$E1799*N(N1799)))</f>
        <v/>
      </c>
      <c r="AC1799" s="34">
        <f>IF(OR($A1799="",$H1799&lt;&gt;"Ausgabe",O1799=""),0,IF(O1799="x",-$E1799/(COUNTIF($J1799:$Q1799,"x")+1),-$E1799*N(O1799)))</f>
        <v/>
      </c>
      <c r="AD1799" s="34">
        <f>IF(OR($A1799="",$H1799&lt;&gt;"Ausgabe",P1799=""),0,IF(P1799="x",-$E1799/(COUNTIF($J1799:$Q1799,"x")+1),-$E1799*N(P1799)))</f>
        <v/>
      </c>
      <c r="AE1799" s="34">
        <f>IF(OR($A1799="",$H1799&lt;&gt;"Ausgabe",Q1799=""),0,IF(Q1799="x",-$E1799/(COUNTIF($J1799:$Q1799,"x")+1),-$E1799*N(Q1799)))</f>
        <v/>
      </c>
    </row>
    <row r="1800">
      <c r="A1800" s="30" t="n"/>
      <c r="E1800" s="31" t="n"/>
      <c r="J1800" s="32" t="n"/>
      <c r="K1800" s="32" t="n"/>
      <c r="L1800" s="32" t="n"/>
      <c r="M1800" s="32" t="n"/>
      <c r="N1800" s="32" t="n"/>
      <c r="O1800" s="32" t="n"/>
      <c r="P1800" s="32" t="n"/>
      <c r="Q1800" s="32" t="n"/>
      <c r="U1800" s="31">
        <f>IF($A1800="","",SUM(X1800:AE1800))</f>
        <v/>
      </c>
      <c r="V1800" s="31">
        <f>IF($A1800="","",IF($H1800&lt;&gt;"Ausgabe",0,-$E1800-$U1800))</f>
        <v/>
      </c>
      <c r="W1800" s="33">
        <f>IF($A1800="","",DATE(YEAR($A1800),MONTH($A1800),1))</f>
        <v/>
      </c>
      <c r="X1800" s="34">
        <f>IF(OR($A1800="",$H1800&lt;&gt;"Ausgabe",J1800=""),0,IF(J1800="x",-$E1800/(COUNTIF($J1800:$Q1800,"x")+1),-$E1800*N(J1800)))</f>
        <v/>
      </c>
      <c r="Y1800" s="34">
        <f>IF(OR($A1800="",$H1800&lt;&gt;"Ausgabe",K1800=""),0,IF(K1800="x",-$E1800/(COUNTIF($J1800:$Q1800,"x")+1),-$E1800*N(K1800)))</f>
        <v/>
      </c>
      <c r="Z1800" s="34">
        <f>IF(OR($A1800="",$H1800&lt;&gt;"Ausgabe",L1800=""),0,IF(L1800="x",-$E1800/(COUNTIF($J1800:$Q1800,"x")+1),-$E1800*N(L1800)))</f>
        <v/>
      </c>
      <c r="AA1800" s="34">
        <f>IF(OR($A1800="",$H1800&lt;&gt;"Ausgabe",M1800=""),0,IF(M1800="x",-$E1800/(COUNTIF($J1800:$Q1800,"x")+1),-$E1800*N(M1800)))</f>
        <v/>
      </c>
      <c r="AB1800" s="34">
        <f>IF(OR($A1800="",$H1800&lt;&gt;"Ausgabe",N1800=""),0,IF(N1800="x",-$E1800/(COUNTIF($J1800:$Q1800,"x")+1),-$E1800*N(N1800)))</f>
        <v/>
      </c>
      <c r="AC1800" s="34">
        <f>IF(OR($A1800="",$H1800&lt;&gt;"Ausgabe",O1800=""),0,IF(O1800="x",-$E1800/(COUNTIF($J1800:$Q1800,"x")+1),-$E1800*N(O1800)))</f>
        <v/>
      </c>
      <c r="AD1800" s="34">
        <f>IF(OR($A1800="",$H1800&lt;&gt;"Ausgabe",P1800=""),0,IF(P1800="x",-$E1800/(COUNTIF($J1800:$Q1800,"x")+1),-$E1800*N(P1800)))</f>
        <v/>
      </c>
      <c r="AE1800" s="34">
        <f>IF(OR($A1800="",$H1800&lt;&gt;"Ausgabe",Q1800=""),0,IF(Q1800="x",-$E1800/(COUNTIF($J1800:$Q1800,"x")+1),-$E1800*N(Q1800)))</f>
        <v/>
      </c>
    </row>
    <row r="1801">
      <c r="A1801" s="30" t="n"/>
      <c r="E1801" s="31" t="n"/>
      <c r="J1801" s="32" t="n"/>
      <c r="K1801" s="32" t="n"/>
      <c r="L1801" s="32" t="n"/>
      <c r="M1801" s="32" t="n"/>
      <c r="N1801" s="32" t="n"/>
      <c r="O1801" s="32" t="n"/>
      <c r="P1801" s="32" t="n"/>
      <c r="Q1801" s="32" t="n"/>
      <c r="U1801" s="31">
        <f>IF($A1801="","",SUM(X1801:AE1801))</f>
        <v/>
      </c>
      <c r="V1801" s="31">
        <f>IF($A1801="","",IF($H1801&lt;&gt;"Ausgabe",0,-$E1801-$U1801))</f>
        <v/>
      </c>
      <c r="W1801" s="33">
        <f>IF($A1801="","",DATE(YEAR($A1801),MONTH($A1801),1))</f>
        <v/>
      </c>
      <c r="X1801" s="34">
        <f>IF(OR($A1801="",$H1801&lt;&gt;"Ausgabe",J1801=""),0,IF(J1801="x",-$E1801/(COUNTIF($J1801:$Q1801,"x")+1),-$E1801*N(J1801)))</f>
        <v/>
      </c>
      <c r="Y1801" s="34">
        <f>IF(OR($A1801="",$H1801&lt;&gt;"Ausgabe",K1801=""),0,IF(K1801="x",-$E1801/(COUNTIF($J1801:$Q1801,"x")+1),-$E1801*N(K1801)))</f>
        <v/>
      </c>
      <c r="Z1801" s="34">
        <f>IF(OR($A1801="",$H1801&lt;&gt;"Ausgabe",L1801=""),0,IF(L1801="x",-$E1801/(COUNTIF($J1801:$Q1801,"x")+1),-$E1801*N(L1801)))</f>
        <v/>
      </c>
      <c r="AA1801" s="34">
        <f>IF(OR($A1801="",$H1801&lt;&gt;"Ausgabe",M1801=""),0,IF(M1801="x",-$E1801/(COUNTIF($J1801:$Q1801,"x")+1),-$E1801*N(M1801)))</f>
        <v/>
      </c>
      <c r="AB1801" s="34">
        <f>IF(OR($A1801="",$H1801&lt;&gt;"Ausgabe",N1801=""),0,IF(N1801="x",-$E1801/(COUNTIF($J1801:$Q1801,"x")+1),-$E1801*N(N1801)))</f>
        <v/>
      </c>
      <c r="AC1801" s="34">
        <f>IF(OR($A1801="",$H1801&lt;&gt;"Ausgabe",O1801=""),0,IF(O1801="x",-$E1801/(COUNTIF($J1801:$Q1801,"x")+1),-$E1801*N(O1801)))</f>
        <v/>
      </c>
      <c r="AD1801" s="34">
        <f>IF(OR($A1801="",$H1801&lt;&gt;"Ausgabe",P1801=""),0,IF(P1801="x",-$E1801/(COUNTIF($J1801:$Q1801,"x")+1),-$E1801*N(P1801)))</f>
        <v/>
      </c>
      <c r="AE1801" s="34">
        <f>IF(OR($A1801="",$H1801&lt;&gt;"Ausgabe",Q1801=""),0,IF(Q1801="x",-$E1801/(COUNTIF($J1801:$Q1801,"x")+1),-$E1801*N(Q1801)))</f>
        <v/>
      </c>
    </row>
    <row r="1802">
      <c r="A1802" s="30" t="n"/>
      <c r="E1802" s="31" t="n"/>
      <c r="J1802" s="32" t="n"/>
      <c r="K1802" s="32" t="n"/>
      <c r="L1802" s="32" t="n"/>
      <c r="M1802" s="32" t="n"/>
      <c r="N1802" s="32" t="n"/>
      <c r="O1802" s="32" t="n"/>
      <c r="P1802" s="32" t="n"/>
      <c r="Q1802" s="32" t="n"/>
      <c r="U1802" s="31">
        <f>IF($A1802="","",SUM(X1802:AE1802))</f>
        <v/>
      </c>
      <c r="V1802" s="31">
        <f>IF($A1802="","",IF($H1802&lt;&gt;"Ausgabe",0,-$E1802-$U1802))</f>
        <v/>
      </c>
      <c r="W1802" s="33">
        <f>IF($A1802="","",DATE(YEAR($A1802),MONTH($A1802),1))</f>
        <v/>
      </c>
      <c r="X1802" s="34">
        <f>IF(OR($A1802="",$H1802&lt;&gt;"Ausgabe",J1802=""),0,IF(J1802="x",-$E1802/(COUNTIF($J1802:$Q1802,"x")+1),-$E1802*N(J1802)))</f>
        <v/>
      </c>
      <c r="Y1802" s="34">
        <f>IF(OR($A1802="",$H1802&lt;&gt;"Ausgabe",K1802=""),0,IF(K1802="x",-$E1802/(COUNTIF($J1802:$Q1802,"x")+1),-$E1802*N(K1802)))</f>
        <v/>
      </c>
      <c r="Z1802" s="34">
        <f>IF(OR($A1802="",$H1802&lt;&gt;"Ausgabe",L1802=""),0,IF(L1802="x",-$E1802/(COUNTIF($J1802:$Q1802,"x")+1),-$E1802*N(L1802)))</f>
        <v/>
      </c>
      <c r="AA1802" s="34">
        <f>IF(OR($A1802="",$H1802&lt;&gt;"Ausgabe",M1802=""),0,IF(M1802="x",-$E1802/(COUNTIF($J1802:$Q1802,"x")+1),-$E1802*N(M1802)))</f>
        <v/>
      </c>
      <c r="AB1802" s="34">
        <f>IF(OR($A1802="",$H1802&lt;&gt;"Ausgabe",N1802=""),0,IF(N1802="x",-$E1802/(COUNTIF($J1802:$Q1802,"x")+1),-$E1802*N(N1802)))</f>
        <v/>
      </c>
      <c r="AC1802" s="34">
        <f>IF(OR($A1802="",$H1802&lt;&gt;"Ausgabe",O1802=""),0,IF(O1802="x",-$E1802/(COUNTIF($J1802:$Q1802,"x")+1),-$E1802*N(O1802)))</f>
        <v/>
      </c>
      <c r="AD1802" s="34">
        <f>IF(OR($A1802="",$H1802&lt;&gt;"Ausgabe",P1802=""),0,IF(P1802="x",-$E1802/(COUNTIF($J1802:$Q1802,"x")+1),-$E1802*N(P1802)))</f>
        <v/>
      </c>
      <c r="AE1802" s="34">
        <f>IF(OR($A1802="",$H1802&lt;&gt;"Ausgabe",Q1802=""),0,IF(Q1802="x",-$E1802/(COUNTIF($J1802:$Q1802,"x")+1),-$E1802*N(Q1802)))</f>
        <v/>
      </c>
    </row>
    <row r="1803">
      <c r="A1803" s="30" t="n"/>
      <c r="E1803" s="31" t="n"/>
      <c r="J1803" s="32" t="n"/>
      <c r="K1803" s="32" t="n"/>
      <c r="L1803" s="32" t="n"/>
      <c r="M1803" s="32" t="n"/>
      <c r="N1803" s="32" t="n"/>
      <c r="O1803" s="32" t="n"/>
      <c r="P1803" s="32" t="n"/>
      <c r="Q1803" s="32" t="n"/>
      <c r="U1803" s="31">
        <f>IF($A1803="","",SUM(X1803:AE1803))</f>
        <v/>
      </c>
      <c r="V1803" s="31">
        <f>IF($A1803="","",IF($H1803&lt;&gt;"Ausgabe",0,-$E1803-$U1803))</f>
        <v/>
      </c>
      <c r="W1803" s="33">
        <f>IF($A1803="","",DATE(YEAR($A1803),MONTH($A1803),1))</f>
        <v/>
      </c>
      <c r="X1803" s="34">
        <f>IF(OR($A1803="",$H1803&lt;&gt;"Ausgabe",J1803=""),0,IF(J1803="x",-$E1803/(COUNTIF($J1803:$Q1803,"x")+1),-$E1803*N(J1803)))</f>
        <v/>
      </c>
      <c r="Y1803" s="34">
        <f>IF(OR($A1803="",$H1803&lt;&gt;"Ausgabe",K1803=""),0,IF(K1803="x",-$E1803/(COUNTIF($J1803:$Q1803,"x")+1),-$E1803*N(K1803)))</f>
        <v/>
      </c>
      <c r="Z1803" s="34">
        <f>IF(OR($A1803="",$H1803&lt;&gt;"Ausgabe",L1803=""),0,IF(L1803="x",-$E1803/(COUNTIF($J1803:$Q1803,"x")+1),-$E1803*N(L1803)))</f>
        <v/>
      </c>
      <c r="AA1803" s="34">
        <f>IF(OR($A1803="",$H1803&lt;&gt;"Ausgabe",M1803=""),0,IF(M1803="x",-$E1803/(COUNTIF($J1803:$Q1803,"x")+1),-$E1803*N(M1803)))</f>
        <v/>
      </c>
      <c r="AB1803" s="34">
        <f>IF(OR($A1803="",$H1803&lt;&gt;"Ausgabe",N1803=""),0,IF(N1803="x",-$E1803/(COUNTIF($J1803:$Q1803,"x")+1),-$E1803*N(N1803)))</f>
        <v/>
      </c>
      <c r="AC1803" s="34">
        <f>IF(OR($A1803="",$H1803&lt;&gt;"Ausgabe",O1803=""),0,IF(O1803="x",-$E1803/(COUNTIF($J1803:$Q1803,"x")+1),-$E1803*N(O1803)))</f>
        <v/>
      </c>
      <c r="AD1803" s="34">
        <f>IF(OR($A1803="",$H1803&lt;&gt;"Ausgabe",P1803=""),0,IF(P1803="x",-$E1803/(COUNTIF($J1803:$Q1803,"x")+1),-$E1803*N(P1803)))</f>
        <v/>
      </c>
      <c r="AE1803" s="34">
        <f>IF(OR($A1803="",$H1803&lt;&gt;"Ausgabe",Q1803=""),0,IF(Q1803="x",-$E1803/(COUNTIF($J1803:$Q1803,"x")+1),-$E1803*N(Q1803)))</f>
        <v/>
      </c>
    </row>
    <row r="1804">
      <c r="A1804" s="30" t="n"/>
      <c r="E1804" s="31" t="n"/>
      <c r="J1804" s="32" t="n"/>
      <c r="K1804" s="32" t="n"/>
      <c r="L1804" s="32" t="n"/>
      <c r="M1804" s="32" t="n"/>
      <c r="N1804" s="32" t="n"/>
      <c r="O1804" s="32" t="n"/>
      <c r="P1804" s="32" t="n"/>
      <c r="Q1804" s="32" t="n"/>
      <c r="U1804" s="31">
        <f>IF($A1804="","",SUM(X1804:AE1804))</f>
        <v/>
      </c>
      <c r="V1804" s="31">
        <f>IF($A1804="","",IF($H1804&lt;&gt;"Ausgabe",0,-$E1804-$U1804))</f>
        <v/>
      </c>
      <c r="W1804" s="33">
        <f>IF($A1804="","",DATE(YEAR($A1804),MONTH($A1804),1))</f>
        <v/>
      </c>
      <c r="X1804" s="34">
        <f>IF(OR($A1804="",$H1804&lt;&gt;"Ausgabe",J1804=""),0,IF(J1804="x",-$E1804/(COUNTIF($J1804:$Q1804,"x")+1),-$E1804*N(J1804)))</f>
        <v/>
      </c>
      <c r="Y1804" s="34">
        <f>IF(OR($A1804="",$H1804&lt;&gt;"Ausgabe",K1804=""),0,IF(K1804="x",-$E1804/(COUNTIF($J1804:$Q1804,"x")+1),-$E1804*N(K1804)))</f>
        <v/>
      </c>
      <c r="Z1804" s="34">
        <f>IF(OR($A1804="",$H1804&lt;&gt;"Ausgabe",L1804=""),0,IF(L1804="x",-$E1804/(COUNTIF($J1804:$Q1804,"x")+1),-$E1804*N(L1804)))</f>
        <v/>
      </c>
      <c r="AA1804" s="34">
        <f>IF(OR($A1804="",$H1804&lt;&gt;"Ausgabe",M1804=""),0,IF(M1804="x",-$E1804/(COUNTIF($J1804:$Q1804,"x")+1),-$E1804*N(M1804)))</f>
        <v/>
      </c>
      <c r="AB1804" s="34">
        <f>IF(OR($A1804="",$H1804&lt;&gt;"Ausgabe",N1804=""),0,IF(N1804="x",-$E1804/(COUNTIF($J1804:$Q1804,"x")+1),-$E1804*N(N1804)))</f>
        <v/>
      </c>
      <c r="AC1804" s="34">
        <f>IF(OR($A1804="",$H1804&lt;&gt;"Ausgabe",O1804=""),0,IF(O1804="x",-$E1804/(COUNTIF($J1804:$Q1804,"x")+1),-$E1804*N(O1804)))</f>
        <v/>
      </c>
      <c r="AD1804" s="34">
        <f>IF(OR($A1804="",$H1804&lt;&gt;"Ausgabe",P1804=""),0,IF(P1804="x",-$E1804/(COUNTIF($J1804:$Q1804,"x")+1),-$E1804*N(P1804)))</f>
        <v/>
      </c>
      <c r="AE1804" s="34">
        <f>IF(OR($A1804="",$H1804&lt;&gt;"Ausgabe",Q1804=""),0,IF(Q1804="x",-$E1804/(COUNTIF($J1804:$Q1804,"x")+1),-$E1804*N(Q1804)))</f>
        <v/>
      </c>
    </row>
    <row r="1805">
      <c r="A1805" s="30" t="n"/>
      <c r="E1805" s="31" t="n"/>
      <c r="J1805" s="32" t="n"/>
      <c r="K1805" s="32" t="n"/>
      <c r="L1805" s="32" t="n"/>
      <c r="M1805" s="32" t="n"/>
      <c r="N1805" s="32" t="n"/>
      <c r="O1805" s="32" t="n"/>
      <c r="P1805" s="32" t="n"/>
      <c r="Q1805" s="32" t="n"/>
      <c r="U1805" s="31">
        <f>IF($A1805="","",SUM(X1805:AE1805))</f>
        <v/>
      </c>
      <c r="V1805" s="31">
        <f>IF($A1805="","",IF($H1805&lt;&gt;"Ausgabe",0,-$E1805-$U1805))</f>
        <v/>
      </c>
      <c r="W1805" s="33">
        <f>IF($A1805="","",DATE(YEAR($A1805),MONTH($A1805),1))</f>
        <v/>
      </c>
      <c r="X1805" s="34">
        <f>IF(OR($A1805="",$H1805&lt;&gt;"Ausgabe",J1805=""),0,IF(J1805="x",-$E1805/(COUNTIF($J1805:$Q1805,"x")+1),-$E1805*N(J1805)))</f>
        <v/>
      </c>
      <c r="Y1805" s="34">
        <f>IF(OR($A1805="",$H1805&lt;&gt;"Ausgabe",K1805=""),0,IF(K1805="x",-$E1805/(COUNTIF($J1805:$Q1805,"x")+1),-$E1805*N(K1805)))</f>
        <v/>
      </c>
      <c r="Z1805" s="34">
        <f>IF(OR($A1805="",$H1805&lt;&gt;"Ausgabe",L1805=""),0,IF(L1805="x",-$E1805/(COUNTIF($J1805:$Q1805,"x")+1),-$E1805*N(L1805)))</f>
        <v/>
      </c>
      <c r="AA1805" s="34">
        <f>IF(OR($A1805="",$H1805&lt;&gt;"Ausgabe",M1805=""),0,IF(M1805="x",-$E1805/(COUNTIF($J1805:$Q1805,"x")+1),-$E1805*N(M1805)))</f>
        <v/>
      </c>
      <c r="AB1805" s="34">
        <f>IF(OR($A1805="",$H1805&lt;&gt;"Ausgabe",N1805=""),0,IF(N1805="x",-$E1805/(COUNTIF($J1805:$Q1805,"x")+1),-$E1805*N(N1805)))</f>
        <v/>
      </c>
      <c r="AC1805" s="34">
        <f>IF(OR($A1805="",$H1805&lt;&gt;"Ausgabe",O1805=""),0,IF(O1805="x",-$E1805/(COUNTIF($J1805:$Q1805,"x")+1),-$E1805*N(O1805)))</f>
        <v/>
      </c>
      <c r="AD1805" s="34">
        <f>IF(OR($A1805="",$H1805&lt;&gt;"Ausgabe",P1805=""),0,IF(P1805="x",-$E1805/(COUNTIF($J1805:$Q1805,"x")+1),-$E1805*N(P1805)))</f>
        <v/>
      </c>
      <c r="AE1805" s="34">
        <f>IF(OR($A1805="",$H1805&lt;&gt;"Ausgabe",Q1805=""),0,IF(Q1805="x",-$E1805/(COUNTIF($J1805:$Q1805,"x")+1),-$E1805*N(Q1805)))</f>
        <v/>
      </c>
    </row>
    <row r="1806">
      <c r="A1806" s="30" t="n"/>
      <c r="E1806" s="31" t="n"/>
      <c r="J1806" s="32" t="n"/>
      <c r="K1806" s="32" t="n"/>
      <c r="L1806" s="32" t="n"/>
      <c r="M1806" s="32" t="n"/>
      <c r="N1806" s="32" t="n"/>
      <c r="O1806" s="32" t="n"/>
      <c r="P1806" s="32" t="n"/>
      <c r="Q1806" s="32" t="n"/>
      <c r="U1806" s="31">
        <f>IF($A1806="","",SUM(X1806:AE1806))</f>
        <v/>
      </c>
      <c r="V1806" s="31">
        <f>IF($A1806="","",IF($H1806&lt;&gt;"Ausgabe",0,-$E1806-$U1806))</f>
        <v/>
      </c>
      <c r="W1806" s="33">
        <f>IF($A1806="","",DATE(YEAR($A1806),MONTH($A1806),1))</f>
        <v/>
      </c>
      <c r="X1806" s="34">
        <f>IF(OR($A1806="",$H1806&lt;&gt;"Ausgabe",J1806=""),0,IF(J1806="x",-$E1806/(COUNTIF($J1806:$Q1806,"x")+1),-$E1806*N(J1806)))</f>
        <v/>
      </c>
      <c r="Y1806" s="34">
        <f>IF(OR($A1806="",$H1806&lt;&gt;"Ausgabe",K1806=""),0,IF(K1806="x",-$E1806/(COUNTIF($J1806:$Q1806,"x")+1),-$E1806*N(K1806)))</f>
        <v/>
      </c>
      <c r="Z1806" s="34">
        <f>IF(OR($A1806="",$H1806&lt;&gt;"Ausgabe",L1806=""),0,IF(L1806="x",-$E1806/(COUNTIF($J1806:$Q1806,"x")+1),-$E1806*N(L1806)))</f>
        <v/>
      </c>
      <c r="AA1806" s="34">
        <f>IF(OR($A1806="",$H1806&lt;&gt;"Ausgabe",M1806=""),0,IF(M1806="x",-$E1806/(COUNTIF($J1806:$Q1806,"x")+1),-$E1806*N(M1806)))</f>
        <v/>
      </c>
      <c r="AB1806" s="34">
        <f>IF(OR($A1806="",$H1806&lt;&gt;"Ausgabe",N1806=""),0,IF(N1806="x",-$E1806/(COUNTIF($J1806:$Q1806,"x")+1),-$E1806*N(N1806)))</f>
        <v/>
      </c>
      <c r="AC1806" s="34">
        <f>IF(OR($A1806="",$H1806&lt;&gt;"Ausgabe",O1806=""),0,IF(O1806="x",-$E1806/(COUNTIF($J1806:$Q1806,"x")+1),-$E1806*N(O1806)))</f>
        <v/>
      </c>
      <c r="AD1806" s="34">
        <f>IF(OR($A1806="",$H1806&lt;&gt;"Ausgabe",P1806=""),0,IF(P1806="x",-$E1806/(COUNTIF($J1806:$Q1806,"x")+1),-$E1806*N(P1806)))</f>
        <v/>
      </c>
      <c r="AE1806" s="34">
        <f>IF(OR($A1806="",$H1806&lt;&gt;"Ausgabe",Q1806=""),0,IF(Q1806="x",-$E1806/(COUNTIF($J1806:$Q1806,"x")+1),-$E1806*N(Q1806)))</f>
        <v/>
      </c>
    </row>
    <row r="1807">
      <c r="A1807" s="30" t="n"/>
      <c r="E1807" s="31" t="n"/>
      <c r="J1807" s="32" t="n"/>
      <c r="K1807" s="32" t="n"/>
      <c r="L1807" s="32" t="n"/>
      <c r="M1807" s="32" t="n"/>
      <c r="N1807" s="32" t="n"/>
      <c r="O1807" s="32" t="n"/>
      <c r="P1807" s="32" t="n"/>
      <c r="Q1807" s="32" t="n"/>
      <c r="U1807" s="31">
        <f>IF($A1807="","",SUM(X1807:AE1807))</f>
        <v/>
      </c>
      <c r="V1807" s="31">
        <f>IF($A1807="","",IF($H1807&lt;&gt;"Ausgabe",0,-$E1807-$U1807))</f>
        <v/>
      </c>
      <c r="W1807" s="33">
        <f>IF($A1807="","",DATE(YEAR($A1807),MONTH($A1807),1))</f>
        <v/>
      </c>
      <c r="X1807" s="34">
        <f>IF(OR($A1807="",$H1807&lt;&gt;"Ausgabe",J1807=""),0,IF(J1807="x",-$E1807/(COUNTIF($J1807:$Q1807,"x")+1),-$E1807*N(J1807)))</f>
        <v/>
      </c>
      <c r="Y1807" s="34">
        <f>IF(OR($A1807="",$H1807&lt;&gt;"Ausgabe",K1807=""),0,IF(K1807="x",-$E1807/(COUNTIF($J1807:$Q1807,"x")+1),-$E1807*N(K1807)))</f>
        <v/>
      </c>
      <c r="Z1807" s="34">
        <f>IF(OR($A1807="",$H1807&lt;&gt;"Ausgabe",L1807=""),0,IF(L1807="x",-$E1807/(COUNTIF($J1807:$Q1807,"x")+1),-$E1807*N(L1807)))</f>
        <v/>
      </c>
      <c r="AA1807" s="34">
        <f>IF(OR($A1807="",$H1807&lt;&gt;"Ausgabe",M1807=""),0,IF(M1807="x",-$E1807/(COUNTIF($J1807:$Q1807,"x")+1),-$E1807*N(M1807)))</f>
        <v/>
      </c>
      <c r="AB1807" s="34">
        <f>IF(OR($A1807="",$H1807&lt;&gt;"Ausgabe",N1807=""),0,IF(N1807="x",-$E1807/(COUNTIF($J1807:$Q1807,"x")+1),-$E1807*N(N1807)))</f>
        <v/>
      </c>
      <c r="AC1807" s="34">
        <f>IF(OR($A1807="",$H1807&lt;&gt;"Ausgabe",O1807=""),0,IF(O1807="x",-$E1807/(COUNTIF($J1807:$Q1807,"x")+1),-$E1807*N(O1807)))</f>
        <v/>
      </c>
      <c r="AD1807" s="34">
        <f>IF(OR($A1807="",$H1807&lt;&gt;"Ausgabe",P1807=""),0,IF(P1807="x",-$E1807/(COUNTIF($J1807:$Q1807,"x")+1),-$E1807*N(P1807)))</f>
        <v/>
      </c>
      <c r="AE1807" s="34">
        <f>IF(OR($A1807="",$H1807&lt;&gt;"Ausgabe",Q1807=""),0,IF(Q1807="x",-$E1807/(COUNTIF($J1807:$Q1807,"x")+1),-$E1807*N(Q1807)))</f>
        <v/>
      </c>
    </row>
    <row r="1808">
      <c r="A1808" s="30" t="n"/>
      <c r="E1808" s="31" t="n"/>
      <c r="J1808" s="32" t="n"/>
      <c r="K1808" s="32" t="n"/>
      <c r="L1808" s="32" t="n"/>
      <c r="M1808" s="32" t="n"/>
      <c r="N1808" s="32" t="n"/>
      <c r="O1808" s="32" t="n"/>
      <c r="P1808" s="32" t="n"/>
      <c r="Q1808" s="32" t="n"/>
      <c r="U1808" s="31">
        <f>IF($A1808="","",SUM(X1808:AE1808))</f>
        <v/>
      </c>
      <c r="V1808" s="31">
        <f>IF($A1808="","",IF($H1808&lt;&gt;"Ausgabe",0,-$E1808-$U1808))</f>
        <v/>
      </c>
      <c r="W1808" s="33">
        <f>IF($A1808="","",DATE(YEAR($A1808),MONTH($A1808),1))</f>
        <v/>
      </c>
      <c r="X1808" s="34">
        <f>IF(OR($A1808="",$H1808&lt;&gt;"Ausgabe",J1808=""),0,IF(J1808="x",-$E1808/(COUNTIF($J1808:$Q1808,"x")+1),-$E1808*N(J1808)))</f>
        <v/>
      </c>
      <c r="Y1808" s="34">
        <f>IF(OR($A1808="",$H1808&lt;&gt;"Ausgabe",K1808=""),0,IF(K1808="x",-$E1808/(COUNTIF($J1808:$Q1808,"x")+1),-$E1808*N(K1808)))</f>
        <v/>
      </c>
      <c r="Z1808" s="34">
        <f>IF(OR($A1808="",$H1808&lt;&gt;"Ausgabe",L1808=""),0,IF(L1808="x",-$E1808/(COUNTIF($J1808:$Q1808,"x")+1),-$E1808*N(L1808)))</f>
        <v/>
      </c>
      <c r="AA1808" s="34">
        <f>IF(OR($A1808="",$H1808&lt;&gt;"Ausgabe",M1808=""),0,IF(M1808="x",-$E1808/(COUNTIF($J1808:$Q1808,"x")+1),-$E1808*N(M1808)))</f>
        <v/>
      </c>
      <c r="AB1808" s="34">
        <f>IF(OR($A1808="",$H1808&lt;&gt;"Ausgabe",N1808=""),0,IF(N1808="x",-$E1808/(COUNTIF($J1808:$Q1808,"x")+1),-$E1808*N(N1808)))</f>
        <v/>
      </c>
      <c r="AC1808" s="34">
        <f>IF(OR($A1808="",$H1808&lt;&gt;"Ausgabe",O1808=""),0,IF(O1808="x",-$E1808/(COUNTIF($J1808:$Q1808,"x")+1),-$E1808*N(O1808)))</f>
        <v/>
      </c>
      <c r="AD1808" s="34">
        <f>IF(OR($A1808="",$H1808&lt;&gt;"Ausgabe",P1808=""),0,IF(P1808="x",-$E1808/(COUNTIF($J1808:$Q1808,"x")+1),-$E1808*N(P1808)))</f>
        <v/>
      </c>
      <c r="AE1808" s="34">
        <f>IF(OR($A1808="",$H1808&lt;&gt;"Ausgabe",Q1808=""),0,IF(Q1808="x",-$E1808/(COUNTIF($J1808:$Q1808,"x")+1),-$E1808*N(Q1808)))</f>
        <v/>
      </c>
    </row>
    <row r="1809">
      <c r="A1809" s="30" t="n"/>
      <c r="E1809" s="31" t="n"/>
      <c r="J1809" s="32" t="n"/>
      <c r="K1809" s="32" t="n"/>
      <c r="L1809" s="32" t="n"/>
      <c r="M1809" s="32" t="n"/>
      <c r="N1809" s="32" t="n"/>
      <c r="O1809" s="32" t="n"/>
      <c r="P1809" s="32" t="n"/>
      <c r="Q1809" s="32" t="n"/>
      <c r="U1809" s="31">
        <f>IF($A1809="","",SUM(X1809:AE1809))</f>
        <v/>
      </c>
      <c r="V1809" s="31">
        <f>IF($A1809="","",IF($H1809&lt;&gt;"Ausgabe",0,-$E1809-$U1809))</f>
        <v/>
      </c>
      <c r="W1809" s="33">
        <f>IF($A1809="","",DATE(YEAR($A1809),MONTH($A1809),1))</f>
        <v/>
      </c>
      <c r="X1809" s="34">
        <f>IF(OR($A1809="",$H1809&lt;&gt;"Ausgabe",J1809=""),0,IF(J1809="x",-$E1809/(COUNTIF($J1809:$Q1809,"x")+1),-$E1809*N(J1809)))</f>
        <v/>
      </c>
      <c r="Y1809" s="34">
        <f>IF(OR($A1809="",$H1809&lt;&gt;"Ausgabe",K1809=""),0,IF(K1809="x",-$E1809/(COUNTIF($J1809:$Q1809,"x")+1),-$E1809*N(K1809)))</f>
        <v/>
      </c>
      <c r="Z1809" s="34">
        <f>IF(OR($A1809="",$H1809&lt;&gt;"Ausgabe",L1809=""),0,IF(L1809="x",-$E1809/(COUNTIF($J1809:$Q1809,"x")+1),-$E1809*N(L1809)))</f>
        <v/>
      </c>
      <c r="AA1809" s="34">
        <f>IF(OR($A1809="",$H1809&lt;&gt;"Ausgabe",M1809=""),0,IF(M1809="x",-$E1809/(COUNTIF($J1809:$Q1809,"x")+1),-$E1809*N(M1809)))</f>
        <v/>
      </c>
      <c r="AB1809" s="34">
        <f>IF(OR($A1809="",$H1809&lt;&gt;"Ausgabe",N1809=""),0,IF(N1809="x",-$E1809/(COUNTIF($J1809:$Q1809,"x")+1),-$E1809*N(N1809)))</f>
        <v/>
      </c>
      <c r="AC1809" s="34">
        <f>IF(OR($A1809="",$H1809&lt;&gt;"Ausgabe",O1809=""),0,IF(O1809="x",-$E1809/(COUNTIF($J1809:$Q1809,"x")+1),-$E1809*N(O1809)))</f>
        <v/>
      </c>
      <c r="AD1809" s="34">
        <f>IF(OR($A1809="",$H1809&lt;&gt;"Ausgabe",P1809=""),0,IF(P1809="x",-$E1809/(COUNTIF($J1809:$Q1809,"x")+1),-$E1809*N(P1809)))</f>
        <v/>
      </c>
      <c r="AE1809" s="34">
        <f>IF(OR($A1809="",$H1809&lt;&gt;"Ausgabe",Q1809=""),0,IF(Q1809="x",-$E1809/(COUNTIF($J1809:$Q1809,"x")+1),-$E1809*N(Q1809)))</f>
        <v/>
      </c>
    </row>
    <row r="1810">
      <c r="A1810" s="30" t="n"/>
      <c r="E1810" s="31" t="n"/>
      <c r="J1810" s="32" t="n"/>
      <c r="K1810" s="32" t="n"/>
      <c r="L1810" s="32" t="n"/>
      <c r="M1810" s="32" t="n"/>
      <c r="N1810" s="32" t="n"/>
      <c r="O1810" s="32" t="n"/>
      <c r="P1810" s="32" t="n"/>
      <c r="Q1810" s="32" t="n"/>
      <c r="U1810" s="31">
        <f>IF($A1810="","",SUM(X1810:AE1810))</f>
        <v/>
      </c>
      <c r="V1810" s="31">
        <f>IF($A1810="","",IF($H1810&lt;&gt;"Ausgabe",0,-$E1810-$U1810))</f>
        <v/>
      </c>
      <c r="W1810" s="33">
        <f>IF($A1810="","",DATE(YEAR($A1810),MONTH($A1810),1))</f>
        <v/>
      </c>
      <c r="X1810" s="34">
        <f>IF(OR($A1810="",$H1810&lt;&gt;"Ausgabe",J1810=""),0,IF(J1810="x",-$E1810/(COUNTIF($J1810:$Q1810,"x")+1),-$E1810*N(J1810)))</f>
        <v/>
      </c>
      <c r="Y1810" s="34">
        <f>IF(OR($A1810="",$H1810&lt;&gt;"Ausgabe",K1810=""),0,IF(K1810="x",-$E1810/(COUNTIF($J1810:$Q1810,"x")+1),-$E1810*N(K1810)))</f>
        <v/>
      </c>
      <c r="Z1810" s="34">
        <f>IF(OR($A1810="",$H1810&lt;&gt;"Ausgabe",L1810=""),0,IF(L1810="x",-$E1810/(COUNTIF($J1810:$Q1810,"x")+1),-$E1810*N(L1810)))</f>
        <v/>
      </c>
      <c r="AA1810" s="34">
        <f>IF(OR($A1810="",$H1810&lt;&gt;"Ausgabe",M1810=""),0,IF(M1810="x",-$E1810/(COUNTIF($J1810:$Q1810,"x")+1),-$E1810*N(M1810)))</f>
        <v/>
      </c>
      <c r="AB1810" s="34">
        <f>IF(OR($A1810="",$H1810&lt;&gt;"Ausgabe",N1810=""),0,IF(N1810="x",-$E1810/(COUNTIF($J1810:$Q1810,"x")+1),-$E1810*N(N1810)))</f>
        <v/>
      </c>
      <c r="AC1810" s="34">
        <f>IF(OR($A1810="",$H1810&lt;&gt;"Ausgabe",O1810=""),0,IF(O1810="x",-$E1810/(COUNTIF($J1810:$Q1810,"x")+1),-$E1810*N(O1810)))</f>
        <v/>
      </c>
      <c r="AD1810" s="34">
        <f>IF(OR($A1810="",$H1810&lt;&gt;"Ausgabe",P1810=""),0,IF(P1810="x",-$E1810/(COUNTIF($J1810:$Q1810,"x")+1),-$E1810*N(P1810)))</f>
        <v/>
      </c>
      <c r="AE1810" s="34">
        <f>IF(OR($A1810="",$H1810&lt;&gt;"Ausgabe",Q1810=""),0,IF(Q1810="x",-$E1810/(COUNTIF($J1810:$Q1810,"x")+1),-$E1810*N(Q1810)))</f>
        <v/>
      </c>
    </row>
    <row r="1811">
      <c r="A1811" s="30" t="n"/>
      <c r="E1811" s="31" t="n"/>
      <c r="J1811" s="32" t="n"/>
      <c r="K1811" s="32" t="n"/>
      <c r="L1811" s="32" t="n"/>
      <c r="M1811" s="32" t="n"/>
      <c r="N1811" s="32" t="n"/>
      <c r="O1811" s="32" t="n"/>
      <c r="P1811" s="32" t="n"/>
      <c r="Q1811" s="32" t="n"/>
      <c r="U1811" s="31">
        <f>IF($A1811="","",SUM(X1811:AE1811))</f>
        <v/>
      </c>
      <c r="V1811" s="31">
        <f>IF($A1811="","",IF($H1811&lt;&gt;"Ausgabe",0,-$E1811-$U1811))</f>
        <v/>
      </c>
      <c r="W1811" s="33">
        <f>IF($A1811="","",DATE(YEAR($A1811),MONTH($A1811),1))</f>
        <v/>
      </c>
      <c r="X1811" s="34">
        <f>IF(OR($A1811="",$H1811&lt;&gt;"Ausgabe",J1811=""),0,IF(J1811="x",-$E1811/(COUNTIF($J1811:$Q1811,"x")+1),-$E1811*N(J1811)))</f>
        <v/>
      </c>
      <c r="Y1811" s="34">
        <f>IF(OR($A1811="",$H1811&lt;&gt;"Ausgabe",K1811=""),0,IF(K1811="x",-$E1811/(COUNTIF($J1811:$Q1811,"x")+1),-$E1811*N(K1811)))</f>
        <v/>
      </c>
      <c r="Z1811" s="34">
        <f>IF(OR($A1811="",$H1811&lt;&gt;"Ausgabe",L1811=""),0,IF(L1811="x",-$E1811/(COUNTIF($J1811:$Q1811,"x")+1),-$E1811*N(L1811)))</f>
        <v/>
      </c>
      <c r="AA1811" s="34">
        <f>IF(OR($A1811="",$H1811&lt;&gt;"Ausgabe",M1811=""),0,IF(M1811="x",-$E1811/(COUNTIF($J1811:$Q1811,"x")+1),-$E1811*N(M1811)))</f>
        <v/>
      </c>
      <c r="AB1811" s="34">
        <f>IF(OR($A1811="",$H1811&lt;&gt;"Ausgabe",N1811=""),0,IF(N1811="x",-$E1811/(COUNTIF($J1811:$Q1811,"x")+1),-$E1811*N(N1811)))</f>
        <v/>
      </c>
      <c r="AC1811" s="34">
        <f>IF(OR($A1811="",$H1811&lt;&gt;"Ausgabe",O1811=""),0,IF(O1811="x",-$E1811/(COUNTIF($J1811:$Q1811,"x")+1),-$E1811*N(O1811)))</f>
        <v/>
      </c>
      <c r="AD1811" s="34">
        <f>IF(OR($A1811="",$H1811&lt;&gt;"Ausgabe",P1811=""),0,IF(P1811="x",-$E1811/(COUNTIF($J1811:$Q1811,"x")+1),-$E1811*N(P1811)))</f>
        <v/>
      </c>
      <c r="AE1811" s="34">
        <f>IF(OR($A1811="",$H1811&lt;&gt;"Ausgabe",Q1811=""),0,IF(Q1811="x",-$E1811/(COUNTIF($J1811:$Q1811,"x")+1),-$E1811*N(Q1811)))</f>
        <v/>
      </c>
    </row>
    <row r="1812">
      <c r="A1812" s="30" t="n"/>
      <c r="E1812" s="31" t="n"/>
      <c r="J1812" s="32" t="n"/>
      <c r="K1812" s="32" t="n"/>
      <c r="L1812" s="32" t="n"/>
      <c r="M1812" s="32" t="n"/>
      <c r="N1812" s="32" t="n"/>
      <c r="O1812" s="32" t="n"/>
      <c r="P1812" s="32" t="n"/>
      <c r="Q1812" s="32" t="n"/>
      <c r="U1812" s="31">
        <f>IF($A1812="","",SUM(X1812:AE1812))</f>
        <v/>
      </c>
      <c r="V1812" s="31">
        <f>IF($A1812="","",IF($H1812&lt;&gt;"Ausgabe",0,-$E1812-$U1812))</f>
        <v/>
      </c>
      <c r="W1812" s="33">
        <f>IF($A1812="","",DATE(YEAR($A1812),MONTH($A1812),1))</f>
        <v/>
      </c>
      <c r="X1812" s="34">
        <f>IF(OR($A1812="",$H1812&lt;&gt;"Ausgabe",J1812=""),0,IF(J1812="x",-$E1812/(COUNTIF($J1812:$Q1812,"x")+1),-$E1812*N(J1812)))</f>
        <v/>
      </c>
      <c r="Y1812" s="34">
        <f>IF(OR($A1812="",$H1812&lt;&gt;"Ausgabe",K1812=""),0,IF(K1812="x",-$E1812/(COUNTIF($J1812:$Q1812,"x")+1),-$E1812*N(K1812)))</f>
        <v/>
      </c>
      <c r="Z1812" s="34">
        <f>IF(OR($A1812="",$H1812&lt;&gt;"Ausgabe",L1812=""),0,IF(L1812="x",-$E1812/(COUNTIF($J1812:$Q1812,"x")+1),-$E1812*N(L1812)))</f>
        <v/>
      </c>
      <c r="AA1812" s="34">
        <f>IF(OR($A1812="",$H1812&lt;&gt;"Ausgabe",M1812=""),0,IF(M1812="x",-$E1812/(COUNTIF($J1812:$Q1812,"x")+1),-$E1812*N(M1812)))</f>
        <v/>
      </c>
      <c r="AB1812" s="34">
        <f>IF(OR($A1812="",$H1812&lt;&gt;"Ausgabe",N1812=""),0,IF(N1812="x",-$E1812/(COUNTIF($J1812:$Q1812,"x")+1),-$E1812*N(N1812)))</f>
        <v/>
      </c>
      <c r="AC1812" s="34">
        <f>IF(OR($A1812="",$H1812&lt;&gt;"Ausgabe",O1812=""),0,IF(O1812="x",-$E1812/(COUNTIF($J1812:$Q1812,"x")+1),-$E1812*N(O1812)))</f>
        <v/>
      </c>
      <c r="AD1812" s="34">
        <f>IF(OR($A1812="",$H1812&lt;&gt;"Ausgabe",P1812=""),0,IF(P1812="x",-$E1812/(COUNTIF($J1812:$Q1812,"x")+1),-$E1812*N(P1812)))</f>
        <v/>
      </c>
      <c r="AE1812" s="34">
        <f>IF(OR($A1812="",$H1812&lt;&gt;"Ausgabe",Q1812=""),0,IF(Q1812="x",-$E1812/(COUNTIF($J1812:$Q1812,"x")+1),-$E1812*N(Q1812)))</f>
        <v/>
      </c>
    </row>
    <row r="1813">
      <c r="A1813" s="30" t="n"/>
      <c r="E1813" s="31" t="n"/>
      <c r="J1813" s="32" t="n"/>
      <c r="K1813" s="32" t="n"/>
      <c r="L1813" s="32" t="n"/>
      <c r="M1813" s="32" t="n"/>
      <c r="N1813" s="32" t="n"/>
      <c r="O1813" s="32" t="n"/>
      <c r="P1813" s="32" t="n"/>
      <c r="Q1813" s="32" t="n"/>
      <c r="U1813" s="31">
        <f>IF($A1813="","",SUM(X1813:AE1813))</f>
        <v/>
      </c>
      <c r="V1813" s="31">
        <f>IF($A1813="","",IF($H1813&lt;&gt;"Ausgabe",0,-$E1813-$U1813))</f>
        <v/>
      </c>
      <c r="W1813" s="33">
        <f>IF($A1813="","",DATE(YEAR($A1813),MONTH($A1813),1))</f>
        <v/>
      </c>
      <c r="X1813" s="34">
        <f>IF(OR($A1813="",$H1813&lt;&gt;"Ausgabe",J1813=""),0,IF(J1813="x",-$E1813/(COUNTIF($J1813:$Q1813,"x")+1),-$E1813*N(J1813)))</f>
        <v/>
      </c>
      <c r="Y1813" s="34">
        <f>IF(OR($A1813="",$H1813&lt;&gt;"Ausgabe",K1813=""),0,IF(K1813="x",-$E1813/(COUNTIF($J1813:$Q1813,"x")+1),-$E1813*N(K1813)))</f>
        <v/>
      </c>
      <c r="Z1813" s="34">
        <f>IF(OR($A1813="",$H1813&lt;&gt;"Ausgabe",L1813=""),0,IF(L1813="x",-$E1813/(COUNTIF($J1813:$Q1813,"x")+1),-$E1813*N(L1813)))</f>
        <v/>
      </c>
      <c r="AA1813" s="34">
        <f>IF(OR($A1813="",$H1813&lt;&gt;"Ausgabe",M1813=""),0,IF(M1813="x",-$E1813/(COUNTIF($J1813:$Q1813,"x")+1),-$E1813*N(M1813)))</f>
        <v/>
      </c>
      <c r="AB1813" s="34">
        <f>IF(OR($A1813="",$H1813&lt;&gt;"Ausgabe",N1813=""),0,IF(N1813="x",-$E1813/(COUNTIF($J1813:$Q1813,"x")+1),-$E1813*N(N1813)))</f>
        <v/>
      </c>
      <c r="AC1813" s="34">
        <f>IF(OR($A1813="",$H1813&lt;&gt;"Ausgabe",O1813=""),0,IF(O1813="x",-$E1813/(COUNTIF($J1813:$Q1813,"x")+1),-$E1813*N(O1813)))</f>
        <v/>
      </c>
      <c r="AD1813" s="34">
        <f>IF(OR($A1813="",$H1813&lt;&gt;"Ausgabe",P1813=""),0,IF(P1813="x",-$E1813/(COUNTIF($J1813:$Q1813,"x")+1),-$E1813*N(P1813)))</f>
        <v/>
      </c>
      <c r="AE1813" s="34">
        <f>IF(OR($A1813="",$H1813&lt;&gt;"Ausgabe",Q1813=""),0,IF(Q1813="x",-$E1813/(COUNTIF($J1813:$Q1813,"x")+1),-$E1813*N(Q1813)))</f>
        <v/>
      </c>
    </row>
    <row r="1814">
      <c r="A1814" s="30" t="n"/>
      <c r="E1814" s="31" t="n"/>
      <c r="J1814" s="32" t="n"/>
      <c r="K1814" s="32" t="n"/>
      <c r="L1814" s="32" t="n"/>
      <c r="M1814" s="32" t="n"/>
      <c r="N1814" s="32" t="n"/>
      <c r="O1814" s="32" t="n"/>
      <c r="P1814" s="32" t="n"/>
      <c r="Q1814" s="32" t="n"/>
      <c r="U1814" s="31">
        <f>IF($A1814="","",SUM(X1814:AE1814))</f>
        <v/>
      </c>
      <c r="V1814" s="31">
        <f>IF($A1814="","",IF($H1814&lt;&gt;"Ausgabe",0,-$E1814-$U1814))</f>
        <v/>
      </c>
      <c r="W1814" s="33">
        <f>IF($A1814="","",DATE(YEAR($A1814),MONTH($A1814),1))</f>
        <v/>
      </c>
      <c r="X1814" s="34">
        <f>IF(OR($A1814="",$H1814&lt;&gt;"Ausgabe",J1814=""),0,IF(J1814="x",-$E1814/(COUNTIF($J1814:$Q1814,"x")+1),-$E1814*N(J1814)))</f>
        <v/>
      </c>
      <c r="Y1814" s="34">
        <f>IF(OR($A1814="",$H1814&lt;&gt;"Ausgabe",K1814=""),0,IF(K1814="x",-$E1814/(COUNTIF($J1814:$Q1814,"x")+1),-$E1814*N(K1814)))</f>
        <v/>
      </c>
      <c r="Z1814" s="34">
        <f>IF(OR($A1814="",$H1814&lt;&gt;"Ausgabe",L1814=""),0,IF(L1814="x",-$E1814/(COUNTIF($J1814:$Q1814,"x")+1),-$E1814*N(L1814)))</f>
        <v/>
      </c>
      <c r="AA1814" s="34">
        <f>IF(OR($A1814="",$H1814&lt;&gt;"Ausgabe",M1814=""),0,IF(M1814="x",-$E1814/(COUNTIF($J1814:$Q1814,"x")+1),-$E1814*N(M1814)))</f>
        <v/>
      </c>
      <c r="AB1814" s="34">
        <f>IF(OR($A1814="",$H1814&lt;&gt;"Ausgabe",N1814=""),0,IF(N1814="x",-$E1814/(COUNTIF($J1814:$Q1814,"x")+1),-$E1814*N(N1814)))</f>
        <v/>
      </c>
      <c r="AC1814" s="34">
        <f>IF(OR($A1814="",$H1814&lt;&gt;"Ausgabe",O1814=""),0,IF(O1814="x",-$E1814/(COUNTIF($J1814:$Q1814,"x")+1),-$E1814*N(O1814)))</f>
        <v/>
      </c>
      <c r="AD1814" s="34">
        <f>IF(OR($A1814="",$H1814&lt;&gt;"Ausgabe",P1814=""),0,IF(P1814="x",-$E1814/(COUNTIF($J1814:$Q1814,"x")+1),-$E1814*N(P1814)))</f>
        <v/>
      </c>
      <c r="AE1814" s="34">
        <f>IF(OR($A1814="",$H1814&lt;&gt;"Ausgabe",Q1814=""),0,IF(Q1814="x",-$E1814/(COUNTIF($J1814:$Q1814,"x")+1),-$E1814*N(Q1814)))</f>
        <v/>
      </c>
    </row>
    <row r="1815">
      <c r="A1815" s="30" t="n"/>
      <c r="E1815" s="31" t="n"/>
      <c r="J1815" s="32" t="n"/>
      <c r="K1815" s="32" t="n"/>
      <c r="L1815" s="32" t="n"/>
      <c r="M1815" s="32" t="n"/>
      <c r="N1815" s="32" t="n"/>
      <c r="O1815" s="32" t="n"/>
      <c r="P1815" s="32" t="n"/>
      <c r="Q1815" s="32" t="n"/>
      <c r="U1815" s="31">
        <f>IF($A1815="","",SUM(X1815:AE1815))</f>
        <v/>
      </c>
      <c r="V1815" s="31">
        <f>IF($A1815="","",IF($H1815&lt;&gt;"Ausgabe",0,-$E1815-$U1815))</f>
        <v/>
      </c>
      <c r="W1815" s="33">
        <f>IF($A1815="","",DATE(YEAR($A1815),MONTH($A1815),1))</f>
        <v/>
      </c>
      <c r="X1815" s="34">
        <f>IF(OR($A1815="",$H1815&lt;&gt;"Ausgabe",J1815=""),0,IF(J1815="x",-$E1815/(COUNTIF($J1815:$Q1815,"x")+1),-$E1815*N(J1815)))</f>
        <v/>
      </c>
      <c r="Y1815" s="34">
        <f>IF(OR($A1815="",$H1815&lt;&gt;"Ausgabe",K1815=""),0,IF(K1815="x",-$E1815/(COUNTIF($J1815:$Q1815,"x")+1),-$E1815*N(K1815)))</f>
        <v/>
      </c>
      <c r="Z1815" s="34">
        <f>IF(OR($A1815="",$H1815&lt;&gt;"Ausgabe",L1815=""),0,IF(L1815="x",-$E1815/(COUNTIF($J1815:$Q1815,"x")+1),-$E1815*N(L1815)))</f>
        <v/>
      </c>
      <c r="AA1815" s="34">
        <f>IF(OR($A1815="",$H1815&lt;&gt;"Ausgabe",M1815=""),0,IF(M1815="x",-$E1815/(COUNTIF($J1815:$Q1815,"x")+1),-$E1815*N(M1815)))</f>
        <v/>
      </c>
      <c r="AB1815" s="34">
        <f>IF(OR($A1815="",$H1815&lt;&gt;"Ausgabe",N1815=""),0,IF(N1815="x",-$E1815/(COUNTIF($J1815:$Q1815,"x")+1),-$E1815*N(N1815)))</f>
        <v/>
      </c>
      <c r="AC1815" s="34">
        <f>IF(OR($A1815="",$H1815&lt;&gt;"Ausgabe",O1815=""),0,IF(O1815="x",-$E1815/(COUNTIF($J1815:$Q1815,"x")+1),-$E1815*N(O1815)))</f>
        <v/>
      </c>
      <c r="AD1815" s="34">
        <f>IF(OR($A1815="",$H1815&lt;&gt;"Ausgabe",P1815=""),0,IF(P1815="x",-$E1815/(COUNTIF($J1815:$Q1815,"x")+1),-$E1815*N(P1815)))</f>
        <v/>
      </c>
      <c r="AE1815" s="34">
        <f>IF(OR($A1815="",$H1815&lt;&gt;"Ausgabe",Q1815=""),0,IF(Q1815="x",-$E1815/(COUNTIF($J1815:$Q1815,"x")+1),-$E1815*N(Q1815)))</f>
        <v/>
      </c>
    </row>
    <row r="1816">
      <c r="A1816" s="30" t="n"/>
      <c r="E1816" s="31" t="n"/>
      <c r="J1816" s="32" t="n"/>
      <c r="K1816" s="32" t="n"/>
      <c r="L1816" s="32" t="n"/>
      <c r="M1816" s="32" t="n"/>
      <c r="N1816" s="32" t="n"/>
      <c r="O1816" s="32" t="n"/>
      <c r="P1816" s="32" t="n"/>
      <c r="Q1816" s="32" t="n"/>
      <c r="U1816" s="31">
        <f>IF($A1816="","",SUM(X1816:AE1816))</f>
        <v/>
      </c>
      <c r="V1816" s="31">
        <f>IF($A1816="","",IF($H1816&lt;&gt;"Ausgabe",0,-$E1816-$U1816))</f>
        <v/>
      </c>
      <c r="W1816" s="33">
        <f>IF($A1816="","",DATE(YEAR($A1816),MONTH($A1816),1))</f>
        <v/>
      </c>
      <c r="X1816" s="34">
        <f>IF(OR($A1816="",$H1816&lt;&gt;"Ausgabe",J1816=""),0,IF(J1816="x",-$E1816/(COUNTIF($J1816:$Q1816,"x")+1),-$E1816*N(J1816)))</f>
        <v/>
      </c>
      <c r="Y1816" s="34">
        <f>IF(OR($A1816="",$H1816&lt;&gt;"Ausgabe",K1816=""),0,IF(K1816="x",-$E1816/(COUNTIF($J1816:$Q1816,"x")+1),-$E1816*N(K1816)))</f>
        <v/>
      </c>
      <c r="Z1816" s="34">
        <f>IF(OR($A1816="",$H1816&lt;&gt;"Ausgabe",L1816=""),0,IF(L1816="x",-$E1816/(COUNTIF($J1816:$Q1816,"x")+1),-$E1816*N(L1816)))</f>
        <v/>
      </c>
      <c r="AA1816" s="34">
        <f>IF(OR($A1816="",$H1816&lt;&gt;"Ausgabe",M1816=""),0,IF(M1816="x",-$E1816/(COUNTIF($J1816:$Q1816,"x")+1),-$E1816*N(M1816)))</f>
        <v/>
      </c>
      <c r="AB1816" s="34">
        <f>IF(OR($A1816="",$H1816&lt;&gt;"Ausgabe",N1816=""),0,IF(N1816="x",-$E1816/(COUNTIF($J1816:$Q1816,"x")+1),-$E1816*N(N1816)))</f>
        <v/>
      </c>
      <c r="AC1816" s="34">
        <f>IF(OR($A1816="",$H1816&lt;&gt;"Ausgabe",O1816=""),0,IF(O1816="x",-$E1816/(COUNTIF($J1816:$Q1816,"x")+1),-$E1816*N(O1816)))</f>
        <v/>
      </c>
      <c r="AD1816" s="34">
        <f>IF(OR($A1816="",$H1816&lt;&gt;"Ausgabe",P1816=""),0,IF(P1816="x",-$E1816/(COUNTIF($J1816:$Q1816,"x")+1),-$E1816*N(P1816)))</f>
        <v/>
      </c>
      <c r="AE1816" s="34">
        <f>IF(OR($A1816="",$H1816&lt;&gt;"Ausgabe",Q1816=""),0,IF(Q1816="x",-$E1816/(COUNTIF($J1816:$Q1816,"x")+1),-$E1816*N(Q1816)))</f>
        <v/>
      </c>
    </row>
    <row r="1817">
      <c r="A1817" s="30" t="n"/>
      <c r="E1817" s="31" t="n"/>
      <c r="J1817" s="32" t="n"/>
      <c r="K1817" s="32" t="n"/>
      <c r="L1817" s="32" t="n"/>
      <c r="M1817" s="32" t="n"/>
      <c r="N1817" s="32" t="n"/>
      <c r="O1817" s="32" t="n"/>
      <c r="P1817" s="32" t="n"/>
      <c r="Q1817" s="32" t="n"/>
      <c r="U1817" s="31">
        <f>IF($A1817="","",SUM(X1817:AE1817))</f>
        <v/>
      </c>
      <c r="V1817" s="31">
        <f>IF($A1817="","",IF($H1817&lt;&gt;"Ausgabe",0,-$E1817-$U1817))</f>
        <v/>
      </c>
      <c r="W1817" s="33">
        <f>IF($A1817="","",DATE(YEAR($A1817),MONTH($A1817),1))</f>
        <v/>
      </c>
      <c r="X1817" s="34">
        <f>IF(OR($A1817="",$H1817&lt;&gt;"Ausgabe",J1817=""),0,IF(J1817="x",-$E1817/(COUNTIF($J1817:$Q1817,"x")+1),-$E1817*N(J1817)))</f>
        <v/>
      </c>
      <c r="Y1817" s="34">
        <f>IF(OR($A1817="",$H1817&lt;&gt;"Ausgabe",K1817=""),0,IF(K1817="x",-$E1817/(COUNTIF($J1817:$Q1817,"x")+1),-$E1817*N(K1817)))</f>
        <v/>
      </c>
      <c r="Z1817" s="34">
        <f>IF(OR($A1817="",$H1817&lt;&gt;"Ausgabe",L1817=""),0,IF(L1817="x",-$E1817/(COUNTIF($J1817:$Q1817,"x")+1),-$E1817*N(L1817)))</f>
        <v/>
      </c>
      <c r="AA1817" s="34">
        <f>IF(OR($A1817="",$H1817&lt;&gt;"Ausgabe",M1817=""),0,IF(M1817="x",-$E1817/(COUNTIF($J1817:$Q1817,"x")+1),-$E1817*N(M1817)))</f>
        <v/>
      </c>
      <c r="AB1817" s="34">
        <f>IF(OR($A1817="",$H1817&lt;&gt;"Ausgabe",N1817=""),0,IF(N1817="x",-$E1817/(COUNTIF($J1817:$Q1817,"x")+1),-$E1817*N(N1817)))</f>
        <v/>
      </c>
      <c r="AC1817" s="34">
        <f>IF(OR($A1817="",$H1817&lt;&gt;"Ausgabe",O1817=""),0,IF(O1817="x",-$E1817/(COUNTIF($J1817:$Q1817,"x")+1),-$E1817*N(O1817)))</f>
        <v/>
      </c>
      <c r="AD1817" s="34">
        <f>IF(OR($A1817="",$H1817&lt;&gt;"Ausgabe",P1817=""),0,IF(P1817="x",-$E1817/(COUNTIF($J1817:$Q1817,"x")+1),-$E1817*N(P1817)))</f>
        <v/>
      </c>
      <c r="AE1817" s="34">
        <f>IF(OR($A1817="",$H1817&lt;&gt;"Ausgabe",Q1817=""),0,IF(Q1817="x",-$E1817/(COUNTIF($J1817:$Q1817,"x")+1),-$E1817*N(Q1817)))</f>
        <v/>
      </c>
    </row>
    <row r="1818">
      <c r="A1818" s="30" t="n"/>
      <c r="E1818" s="31" t="n"/>
      <c r="J1818" s="32" t="n"/>
      <c r="K1818" s="32" t="n"/>
      <c r="L1818" s="32" t="n"/>
      <c r="M1818" s="32" t="n"/>
      <c r="N1818" s="32" t="n"/>
      <c r="O1818" s="32" t="n"/>
      <c r="P1818" s="32" t="n"/>
      <c r="Q1818" s="32" t="n"/>
      <c r="U1818" s="31">
        <f>IF($A1818="","",SUM(X1818:AE1818))</f>
        <v/>
      </c>
      <c r="V1818" s="31">
        <f>IF($A1818="","",IF($H1818&lt;&gt;"Ausgabe",0,-$E1818-$U1818))</f>
        <v/>
      </c>
      <c r="W1818" s="33">
        <f>IF($A1818="","",DATE(YEAR($A1818),MONTH($A1818),1))</f>
        <v/>
      </c>
      <c r="X1818" s="34">
        <f>IF(OR($A1818="",$H1818&lt;&gt;"Ausgabe",J1818=""),0,IF(J1818="x",-$E1818/(COUNTIF($J1818:$Q1818,"x")+1),-$E1818*N(J1818)))</f>
        <v/>
      </c>
      <c r="Y1818" s="34">
        <f>IF(OR($A1818="",$H1818&lt;&gt;"Ausgabe",K1818=""),0,IF(K1818="x",-$E1818/(COUNTIF($J1818:$Q1818,"x")+1),-$E1818*N(K1818)))</f>
        <v/>
      </c>
      <c r="Z1818" s="34">
        <f>IF(OR($A1818="",$H1818&lt;&gt;"Ausgabe",L1818=""),0,IF(L1818="x",-$E1818/(COUNTIF($J1818:$Q1818,"x")+1),-$E1818*N(L1818)))</f>
        <v/>
      </c>
      <c r="AA1818" s="34">
        <f>IF(OR($A1818="",$H1818&lt;&gt;"Ausgabe",M1818=""),0,IF(M1818="x",-$E1818/(COUNTIF($J1818:$Q1818,"x")+1),-$E1818*N(M1818)))</f>
        <v/>
      </c>
      <c r="AB1818" s="34">
        <f>IF(OR($A1818="",$H1818&lt;&gt;"Ausgabe",N1818=""),0,IF(N1818="x",-$E1818/(COUNTIF($J1818:$Q1818,"x")+1),-$E1818*N(N1818)))</f>
        <v/>
      </c>
      <c r="AC1818" s="34">
        <f>IF(OR($A1818="",$H1818&lt;&gt;"Ausgabe",O1818=""),0,IF(O1818="x",-$E1818/(COUNTIF($J1818:$Q1818,"x")+1),-$E1818*N(O1818)))</f>
        <v/>
      </c>
      <c r="AD1818" s="34">
        <f>IF(OR($A1818="",$H1818&lt;&gt;"Ausgabe",P1818=""),0,IF(P1818="x",-$E1818/(COUNTIF($J1818:$Q1818,"x")+1),-$E1818*N(P1818)))</f>
        <v/>
      </c>
      <c r="AE1818" s="34">
        <f>IF(OR($A1818="",$H1818&lt;&gt;"Ausgabe",Q1818=""),0,IF(Q1818="x",-$E1818/(COUNTIF($J1818:$Q1818,"x")+1),-$E1818*N(Q1818)))</f>
        <v/>
      </c>
    </row>
    <row r="1819">
      <c r="A1819" s="30" t="n"/>
      <c r="E1819" s="31" t="n"/>
      <c r="J1819" s="32" t="n"/>
      <c r="K1819" s="32" t="n"/>
      <c r="L1819" s="32" t="n"/>
      <c r="M1819" s="32" t="n"/>
      <c r="N1819" s="32" t="n"/>
      <c r="O1819" s="32" t="n"/>
      <c r="P1819" s="32" t="n"/>
      <c r="Q1819" s="32" t="n"/>
      <c r="U1819" s="31">
        <f>IF($A1819="","",SUM(X1819:AE1819))</f>
        <v/>
      </c>
      <c r="V1819" s="31">
        <f>IF($A1819="","",IF($H1819&lt;&gt;"Ausgabe",0,-$E1819-$U1819))</f>
        <v/>
      </c>
      <c r="W1819" s="33">
        <f>IF($A1819="","",DATE(YEAR($A1819),MONTH($A1819),1))</f>
        <v/>
      </c>
      <c r="X1819" s="34">
        <f>IF(OR($A1819="",$H1819&lt;&gt;"Ausgabe",J1819=""),0,IF(J1819="x",-$E1819/(COUNTIF($J1819:$Q1819,"x")+1),-$E1819*N(J1819)))</f>
        <v/>
      </c>
      <c r="Y1819" s="34">
        <f>IF(OR($A1819="",$H1819&lt;&gt;"Ausgabe",K1819=""),0,IF(K1819="x",-$E1819/(COUNTIF($J1819:$Q1819,"x")+1),-$E1819*N(K1819)))</f>
        <v/>
      </c>
      <c r="Z1819" s="34">
        <f>IF(OR($A1819="",$H1819&lt;&gt;"Ausgabe",L1819=""),0,IF(L1819="x",-$E1819/(COUNTIF($J1819:$Q1819,"x")+1),-$E1819*N(L1819)))</f>
        <v/>
      </c>
      <c r="AA1819" s="34">
        <f>IF(OR($A1819="",$H1819&lt;&gt;"Ausgabe",M1819=""),0,IF(M1819="x",-$E1819/(COUNTIF($J1819:$Q1819,"x")+1),-$E1819*N(M1819)))</f>
        <v/>
      </c>
      <c r="AB1819" s="34">
        <f>IF(OR($A1819="",$H1819&lt;&gt;"Ausgabe",N1819=""),0,IF(N1819="x",-$E1819/(COUNTIF($J1819:$Q1819,"x")+1),-$E1819*N(N1819)))</f>
        <v/>
      </c>
      <c r="AC1819" s="34">
        <f>IF(OR($A1819="",$H1819&lt;&gt;"Ausgabe",O1819=""),0,IF(O1819="x",-$E1819/(COUNTIF($J1819:$Q1819,"x")+1),-$E1819*N(O1819)))</f>
        <v/>
      </c>
      <c r="AD1819" s="34">
        <f>IF(OR($A1819="",$H1819&lt;&gt;"Ausgabe",P1819=""),0,IF(P1819="x",-$E1819/(COUNTIF($J1819:$Q1819,"x")+1),-$E1819*N(P1819)))</f>
        <v/>
      </c>
      <c r="AE1819" s="34">
        <f>IF(OR($A1819="",$H1819&lt;&gt;"Ausgabe",Q1819=""),0,IF(Q1819="x",-$E1819/(COUNTIF($J1819:$Q1819,"x")+1),-$E1819*N(Q1819)))</f>
        <v/>
      </c>
    </row>
    <row r="1820">
      <c r="A1820" s="30" t="n"/>
      <c r="E1820" s="31" t="n"/>
      <c r="J1820" s="32" t="n"/>
      <c r="K1820" s="32" t="n"/>
      <c r="L1820" s="32" t="n"/>
      <c r="M1820" s="32" t="n"/>
      <c r="N1820" s="32" t="n"/>
      <c r="O1820" s="32" t="n"/>
      <c r="P1820" s="32" t="n"/>
      <c r="Q1820" s="32" t="n"/>
      <c r="U1820" s="31">
        <f>IF($A1820="","",SUM(X1820:AE1820))</f>
        <v/>
      </c>
      <c r="V1820" s="31">
        <f>IF($A1820="","",IF($H1820&lt;&gt;"Ausgabe",0,-$E1820-$U1820))</f>
        <v/>
      </c>
      <c r="W1820" s="33">
        <f>IF($A1820="","",DATE(YEAR($A1820),MONTH($A1820),1))</f>
        <v/>
      </c>
      <c r="X1820" s="34">
        <f>IF(OR($A1820="",$H1820&lt;&gt;"Ausgabe",J1820=""),0,IF(J1820="x",-$E1820/(COUNTIF($J1820:$Q1820,"x")+1),-$E1820*N(J1820)))</f>
        <v/>
      </c>
      <c r="Y1820" s="34">
        <f>IF(OR($A1820="",$H1820&lt;&gt;"Ausgabe",K1820=""),0,IF(K1820="x",-$E1820/(COUNTIF($J1820:$Q1820,"x")+1),-$E1820*N(K1820)))</f>
        <v/>
      </c>
      <c r="Z1820" s="34">
        <f>IF(OR($A1820="",$H1820&lt;&gt;"Ausgabe",L1820=""),0,IF(L1820="x",-$E1820/(COUNTIF($J1820:$Q1820,"x")+1),-$E1820*N(L1820)))</f>
        <v/>
      </c>
      <c r="AA1820" s="34">
        <f>IF(OR($A1820="",$H1820&lt;&gt;"Ausgabe",M1820=""),0,IF(M1820="x",-$E1820/(COUNTIF($J1820:$Q1820,"x")+1),-$E1820*N(M1820)))</f>
        <v/>
      </c>
      <c r="AB1820" s="34">
        <f>IF(OR($A1820="",$H1820&lt;&gt;"Ausgabe",N1820=""),0,IF(N1820="x",-$E1820/(COUNTIF($J1820:$Q1820,"x")+1),-$E1820*N(N1820)))</f>
        <v/>
      </c>
      <c r="AC1820" s="34">
        <f>IF(OR($A1820="",$H1820&lt;&gt;"Ausgabe",O1820=""),0,IF(O1820="x",-$E1820/(COUNTIF($J1820:$Q1820,"x")+1),-$E1820*N(O1820)))</f>
        <v/>
      </c>
      <c r="AD1820" s="34">
        <f>IF(OR($A1820="",$H1820&lt;&gt;"Ausgabe",P1820=""),0,IF(P1820="x",-$E1820/(COUNTIF($J1820:$Q1820,"x")+1),-$E1820*N(P1820)))</f>
        <v/>
      </c>
      <c r="AE1820" s="34">
        <f>IF(OR($A1820="",$H1820&lt;&gt;"Ausgabe",Q1820=""),0,IF(Q1820="x",-$E1820/(COUNTIF($J1820:$Q1820,"x")+1),-$E1820*N(Q1820)))</f>
        <v/>
      </c>
    </row>
    <row r="1821">
      <c r="A1821" s="30" t="n"/>
      <c r="E1821" s="31" t="n"/>
      <c r="J1821" s="32" t="n"/>
      <c r="K1821" s="32" t="n"/>
      <c r="L1821" s="32" t="n"/>
      <c r="M1821" s="32" t="n"/>
      <c r="N1821" s="32" t="n"/>
      <c r="O1821" s="32" t="n"/>
      <c r="P1821" s="32" t="n"/>
      <c r="Q1821" s="32" t="n"/>
      <c r="U1821" s="31">
        <f>IF($A1821="","",SUM(X1821:AE1821))</f>
        <v/>
      </c>
      <c r="V1821" s="31">
        <f>IF($A1821="","",IF($H1821&lt;&gt;"Ausgabe",0,-$E1821-$U1821))</f>
        <v/>
      </c>
      <c r="W1821" s="33">
        <f>IF($A1821="","",DATE(YEAR($A1821),MONTH($A1821),1))</f>
        <v/>
      </c>
      <c r="X1821" s="34">
        <f>IF(OR($A1821="",$H1821&lt;&gt;"Ausgabe",J1821=""),0,IF(J1821="x",-$E1821/(COUNTIF($J1821:$Q1821,"x")+1),-$E1821*N(J1821)))</f>
        <v/>
      </c>
      <c r="Y1821" s="34">
        <f>IF(OR($A1821="",$H1821&lt;&gt;"Ausgabe",K1821=""),0,IF(K1821="x",-$E1821/(COUNTIF($J1821:$Q1821,"x")+1),-$E1821*N(K1821)))</f>
        <v/>
      </c>
      <c r="Z1821" s="34">
        <f>IF(OR($A1821="",$H1821&lt;&gt;"Ausgabe",L1821=""),0,IF(L1821="x",-$E1821/(COUNTIF($J1821:$Q1821,"x")+1),-$E1821*N(L1821)))</f>
        <v/>
      </c>
      <c r="AA1821" s="34">
        <f>IF(OR($A1821="",$H1821&lt;&gt;"Ausgabe",M1821=""),0,IF(M1821="x",-$E1821/(COUNTIF($J1821:$Q1821,"x")+1),-$E1821*N(M1821)))</f>
        <v/>
      </c>
      <c r="AB1821" s="34">
        <f>IF(OR($A1821="",$H1821&lt;&gt;"Ausgabe",N1821=""),0,IF(N1821="x",-$E1821/(COUNTIF($J1821:$Q1821,"x")+1),-$E1821*N(N1821)))</f>
        <v/>
      </c>
      <c r="AC1821" s="34">
        <f>IF(OR($A1821="",$H1821&lt;&gt;"Ausgabe",O1821=""),0,IF(O1821="x",-$E1821/(COUNTIF($J1821:$Q1821,"x")+1),-$E1821*N(O1821)))</f>
        <v/>
      </c>
      <c r="AD1821" s="34">
        <f>IF(OR($A1821="",$H1821&lt;&gt;"Ausgabe",P1821=""),0,IF(P1821="x",-$E1821/(COUNTIF($J1821:$Q1821,"x")+1),-$E1821*N(P1821)))</f>
        <v/>
      </c>
      <c r="AE1821" s="34">
        <f>IF(OR($A1821="",$H1821&lt;&gt;"Ausgabe",Q1821=""),0,IF(Q1821="x",-$E1821/(COUNTIF($J1821:$Q1821,"x")+1),-$E1821*N(Q1821)))</f>
        <v/>
      </c>
    </row>
    <row r="1822">
      <c r="A1822" s="30" t="n"/>
      <c r="E1822" s="31" t="n"/>
      <c r="J1822" s="32" t="n"/>
      <c r="K1822" s="32" t="n"/>
      <c r="L1822" s="32" t="n"/>
      <c r="M1822" s="32" t="n"/>
      <c r="N1822" s="32" t="n"/>
      <c r="O1822" s="32" t="n"/>
      <c r="P1822" s="32" t="n"/>
      <c r="Q1822" s="32" t="n"/>
      <c r="U1822" s="31">
        <f>IF($A1822="","",SUM(X1822:AE1822))</f>
        <v/>
      </c>
      <c r="V1822" s="31">
        <f>IF($A1822="","",IF($H1822&lt;&gt;"Ausgabe",0,-$E1822-$U1822))</f>
        <v/>
      </c>
      <c r="W1822" s="33">
        <f>IF($A1822="","",DATE(YEAR($A1822),MONTH($A1822),1))</f>
        <v/>
      </c>
      <c r="X1822" s="34">
        <f>IF(OR($A1822="",$H1822&lt;&gt;"Ausgabe",J1822=""),0,IF(J1822="x",-$E1822/(COUNTIF($J1822:$Q1822,"x")+1),-$E1822*N(J1822)))</f>
        <v/>
      </c>
      <c r="Y1822" s="34">
        <f>IF(OR($A1822="",$H1822&lt;&gt;"Ausgabe",K1822=""),0,IF(K1822="x",-$E1822/(COUNTIF($J1822:$Q1822,"x")+1),-$E1822*N(K1822)))</f>
        <v/>
      </c>
      <c r="Z1822" s="34">
        <f>IF(OR($A1822="",$H1822&lt;&gt;"Ausgabe",L1822=""),0,IF(L1822="x",-$E1822/(COUNTIF($J1822:$Q1822,"x")+1),-$E1822*N(L1822)))</f>
        <v/>
      </c>
      <c r="AA1822" s="34">
        <f>IF(OR($A1822="",$H1822&lt;&gt;"Ausgabe",M1822=""),0,IF(M1822="x",-$E1822/(COUNTIF($J1822:$Q1822,"x")+1),-$E1822*N(M1822)))</f>
        <v/>
      </c>
      <c r="AB1822" s="34">
        <f>IF(OR($A1822="",$H1822&lt;&gt;"Ausgabe",N1822=""),0,IF(N1822="x",-$E1822/(COUNTIF($J1822:$Q1822,"x")+1),-$E1822*N(N1822)))</f>
        <v/>
      </c>
      <c r="AC1822" s="34">
        <f>IF(OR($A1822="",$H1822&lt;&gt;"Ausgabe",O1822=""),0,IF(O1822="x",-$E1822/(COUNTIF($J1822:$Q1822,"x")+1),-$E1822*N(O1822)))</f>
        <v/>
      </c>
      <c r="AD1822" s="34">
        <f>IF(OR($A1822="",$H1822&lt;&gt;"Ausgabe",P1822=""),0,IF(P1822="x",-$E1822/(COUNTIF($J1822:$Q1822,"x")+1),-$E1822*N(P1822)))</f>
        <v/>
      </c>
      <c r="AE1822" s="34">
        <f>IF(OR($A1822="",$H1822&lt;&gt;"Ausgabe",Q1822=""),0,IF(Q1822="x",-$E1822/(COUNTIF($J1822:$Q1822,"x")+1),-$E1822*N(Q1822)))</f>
        <v/>
      </c>
    </row>
    <row r="1823">
      <c r="A1823" s="30" t="n"/>
      <c r="E1823" s="31" t="n"/>
      <c r="J1823" s="32" t="n"/>
      <c r="K1823" s="32" t="n"/>
      <c r="L1823" s="32" t="n"/>
      <c r="M1823" s="32" t="n"/>
      <c r="N1823" s="32" t="n"/>
      <c r="O1823" s="32" t="n"/>
      <c r="P1823" s="32" t="n"/>
      <c r="Q1823" s="32" t="n"/>
      <c r="U1823" s="31">
        <f>IF($A1823="","",SUM(X1823:AE1823))</f>
        <v/>
      </c>
      <c r="V1823" s="31">
        <f>IF($A1823="","",IF($H1823&lt;&gt;"Ausgabe",0,-$E1823-$U1823))</f>
        <v/>
      </c>
      <c r="W1823" s="33">
        <f>IF($A1823="","",DATE(YEAR($A1823),MONTH($A1823),1))</f>
        <v/>
      </c>
      <c r="X1823" s="34">
        <f>IF(OR($A1823="",$H1823&lt;&gt;"Ausgabe",J1823=""),0,IF(J1823="x",-$E1823/(COUNTIF($J1823:$Q1823,"x")+1),-$E1823*N(J1823)))</f>
        <v/>
      </c>
      <c r="Y1823" s="34">
        <f>IF(OR($A1823="",$H1823&lt;&gt;"Ausgabe",K1823=""),0,IF(K1823="x",-$E1823/(COUNTIF($J1823:$Q1823,"x")+1),-$E1823*N(K1823)))</f>
        <v/>
      </c>
      <c r="Z1823" s="34">
        <f>IF(OR($A1823="",$H1823&lt;&gt;"Ausgabe",L1823=""),0,IF(L1823="x",-$E1823/(COUNTIF($J1823:$Q1823,"x")+1),-$E1823*N(L1823)))</f>
        <v/>
      </c>
      <c r="AA1823" s="34">
        <f>IF(OR($A1823="",$H1823&lt;&gt;"Ausgabe",M1823=""),0,IF(M1823="x",-$E1823/(COUNTIF($J1823:$Q1823,"x")+1),-$E1823*N(M1823)))</f>
        <v/>
      </c>
      <c r="AB1823" s="34">
        <f>IF(OR($A1823="",$H1823&lt;&gt;"Ausgabe",N1823=""),0,IF(N1823="x",-$E1823/(COUNTIF($J1823:$Q1823,"x")+1),-$E1823*N(N1823)))</f>
        <v/>
      </c>
      <c r="AC1823" s="34">
        <f>IF(OR($A1823="",$H1823&lt;&gt;"Ausgabe",O1823=""),0,IF(O1823="x",-$E1823/(COUNTIF($J1823:$Q1823,"x")+1),-$E1823*N(O1823)))</f>
        <v/>
      </c>
      <c r="AD1823" s="34">
        <f>IF(OR($A1823="",$H1823&lt;&gt;"Ausgabe",P1823=""),0,IF(P1823="x",-$E1823/(COUNTIF($J1823:$Q1823,"x")+1),-$E1823*N(P1823)))</f>
        <v/>
      </c>
      <c r="AE1823" s="34">
        <f>IF(OR($A1823="",$H1823&lt;&gt;"Ausgabe",Q1823=""),0,IF(Q1823="x",-$E1823/(COUNTIF($J1823:$Q1823,"x")+1),-$E1823*N(Q1823)))</f>
        <v/>
      </c>
    </row>
    <row r="1824">
      <c r="A1824" s="30" t="n"/>
      <c r="E1824" s="31" t="n"/>
      <c r="J1824" s="32" t="n"/>
      <c r="K1824" s="32" t="n"/>
      <c r="L1824" s="32" t="n"/>
      <c r="M1824" s="32" t="n"/>
      <c r="N1824" s="32" t="n"/>
      <c r="O1824" s="32" t="n"/>
      <c r="P1824" s="32" t="n"/>
      <c r="Q1824" s="32" t="n"/>
      <c r="U1824" s="31">
        <f>IF($A1824="","",SUM(X1824:AE1824))</f>
        <v/>
      </c>
      <c r="V1824" s="31">
        <f>IF($A1824="","",IF($H1824&lt;&gt;"Ausgabe",0,-$E1824-$U1824))</f>
        <v/>
      </c>
      <c r="W1824" s="33">
        <f>IF($A1824="","",DATE(YEAR($A1824),MONTH($A1824),1))</f>
        <v/>
      </c>
      <c r="X1824" s="34">
        <f>IF(OR($A1824="",$H1824&lt;&gt;"Ausgabe",J1824=""),0,IF(J1824="x",-$E1824/(COUNTIF($J1824:$Q1824,"x")+1),-$E1824*N(J1824)))</f>
        <v/>
      </c>
      <c r="Y1824" s="34">
        <f>IF(OR($A1824="",$H1824&lt;&gt;"Ausgabe",K1824=""),0,IF(K1824="x",-$E1824/(COUNTIF($J1824:$Q1824,"x")+1),-$E1824*N(K1824)))</f>
        <v/>
      </c>
      <c r="Z1824" s="34">
        <f>IF(OR($A1824="",$H1824&lt;&gt;"Ausgabe",L1824=""),0,IF(L1824="x",-$E1824/(COUNTIF($J1824:$Q1824,"x")+1),-$E1824*N(L1824)))</f>
        <v/>
      </c>
      <c r="AA1824" s="34">
        <f>IF(OR($A1824="",$H1824&lt;&gt;"Ausgabe",M1824=""),0,IF(M1824="x",-$E1824/(COUNTIF($J1824:$Q1824,"x")+1),-$E1824*N(M1824)))</f>
        <v/>
      </c>
      <c r="AB1824" s="34">
        <f>IF(OR($A1824="",$H1824&lt;&gt;"Ausgabe",N1824=""),0,IF(N1824="x",-$E1824/(COUNTIF($J1824:$Q1824,"x")+1),-$E1824*N(N1824)))</f>
        <v/>
      </c>
      <c r="AC1824" s="34">
        <f>IF(OR($A1824="",$H1824&lt;&gt;"Ausgabe",O1824=""),0,IF(O1824="x",-$E1824/(COUNTIF($J1824:$Q1824,"x")+1),-$E1824*N(O1824)))</f>
        <v/>
      </c>
      <c r="AD1824" s="34">
        <f>IF(OR($A1824="",$H1824&lt;&gt;"Ausgabe",P1824=""),0,IF(P1824="x",-$E1824/(COUNTIF($J1824:$Q1824,"x")+1),-$E1824*N(P1824)))</f>
        <v/>
      </c>
      <c r="AE1824" s="34">
        <f>IF(OR($A1824="",$H1824&lt;&gt;"Ausgabe",Q1824=""),0,IF(Q1824="x",-$E1824/(COUNTIF($J1824:$Q1824,"x")+1),-$E1824*N(Q1824)))</f>
        <v/>
      </c>
    </row>
    <row r="1825">
      <c r="A1825" s="30" t="n"/>
      <c r="E1825" s="31" t="n"/>
      <c r="J1825" s="32" t="n"/>
      <c r="K1825" s="32" t="n"/>
      <c r="L1825" s="32" t="n"/>
      <c r="M1825" s="32" t="n"/>
      <c r="N1825" s="32" t="n"/>
      <c r="O1825" s="32" t="n"/>
      <c r="P1825" s="32" t="n"/>
      <c r="Q1825" s="32" t="n"/>
      <c r="U1825" s="31">
        <f>IF($A1825="","",SUM(X1825:AE1825))</f>
        <v/>
      </c>
      <c r="V1825" s="31">
        <f>IF($A1825="","",IF($H1825&lt;&gt;"Ausgabe",0,-$E1825-$U1825))</f>
        <v/>
      </c>
      <c r="W1825" s="33">
        <f>IF($A1825="","",DATE(YEAR($A1825),MONTH($A1825),1))</f>
        <v/>
      </c>
      <c r="X1825" s="34">
        <f>IF(OR($A1825="",$H1825&lt;&gt;"Ausgabe",J1825=""),0,IF(J1825="x",-$E1825/(COUNTIF($J1825:$Q1825,"x")+1),-$E1825*N(J1825)))</f>
        <v/>
      </c>
      <c r="Y1825" s="34">
        <f>IF(OR($A1825="",$H1825&lt;&gt;"Ausgabe",K1825=""),0,IF(K1825="x",-$E1825/(COUNTIF($J1825:$Q1825,"x")+1),-$E1825*N(K1825)))</f>
        <v/>
      </c>
      <c r="Z1825" s="34">
        <f>IF(OR($A1825="",$H1825&lt;&gt;"Ausgabe",L1825=""),0,IF(L1825="x",-$E1825/(COUNTIF($J1825:$Q1825,"x")+1),-$E1825*N(L1825)))</f>
        <v/>
      </c>
      <c r="AA1825" s="34">
        <f>IF(OR($A1825="",$H1825&lt;&gt;"Ausgabe",M1825=""),0,IF(M1825="x",-$E1825/(COUNTIF($J1825:$Q1825,"x")+1),-$E1825*N(M1825)))</f>
        <v/>
      </c>
      <c r="AB1825" s="34">
        <f>IF(OR($A1825="",$H1825&lt;&gt;"Ausgabe",N1825=""),0,IF(N1825="x",-$E1825/(COUNTIF($J1825:$Q1825,"x")+1),-$E1825*N(N1825)))</f>
        <v/>
      </c>
      <c r="AC1825" s="34">
        <f>IF(OR($A1825="",$H1825&lt;&gt;"Ausgabe",O1825=""),0,IF(O1825="x",-$E1825/(COUNTIF($J1825:$Q1825,"x")+1),-$E1825*N(O1825)))</f>
        <v/>
      </c>
      <c r="AD1825" s="34">
        <f>IF(OR($A1825="",$H1825&lt;&gt;"Ausgabe",P1825=""),0,IF(P1825="x",-$E1825/(COUNTIF($J1825:$Q1825,"x")+1),-$E1825*N(P1825)))</f>
        <v/>
      </c>
      <c r="AE1825" s="34">
        <f>IF(OR($A1825="",$H1825&lt;&gt;"Ausgabe",Q1825=""),0,IF(Q1825="x",-$E1825/(COUNTIF($J1825:$Q1825,"x")+1),-$E1825*N(Q1825)))</f>
        <v/>
      </c>
    </row>
    <row r="1826">
      <c r="A1826" s="30" t="n"/>
      <c r="E1826" s="31" t="n"/>
      <c r="J1826" s="32" t="n"/>
      <c r="K1826" s="32" t="n"/>
      <c r="L1826" s="32" t="n"/>
      <c r="M1826" s="32" t="n"/>
      <c r="N1826" s="32" t="n"/>
      <c r="O1826" s="32" t="n"/>
      <c r="P1826" s="32" t="n"/>
      <c r="Q1826" s="32" t="n"/>
      <c r="U1826" s="31">
        <f>IF($A1826="","",SUM(X1826:AE1826))</f>
        <v/>
      </c>
      <c r="V1826" s="31">
        <f>IF($A1826="","",IF($H1826&lt;&gt;"Ausgabe",0,-$E1826-$U1826))</f>
        <v/>
      </c>
      <c r="W1826" s="33">
        <f>IF($A1826="","",DATE(YEAR($A1826),MONTH($A1826),1))</f>
        <v/>
      </c>
      <c r="X1826" s="34">
        <f>IF(OR($A1826="",$H1826&lt;&gt;"Ausgabe",J1826=""),0,IF(J1826="x",-$E1826/(COUNTIF($J1826:$Q1826,"x")+1),-$E1826*N(J1826)))</f>
        <v/>
      </c>
      <c r="Y1826" s="34">
        <f>IF(OR($A1826="",$H1826&lt;&gt;"Ausgabe",K1826=""),0,IF(K1826="x",-$E1826/(COUNTIF($J1826:$Q1826,"x")+1),-$E1826*N(K1826)))</f>
        <v/>
      </c>
      <c r="Z1826" s="34">
        <f>IF(OR($A1826="",$H1826&lt;&gt;"Ausgabe",L1826=""),0,IF(L1826="x",-$E1826/(COUNTIF($J1826:$Q1826,"x")+1),-$E1826*N(L1826)))</f>
        <v/>
      </c>
      <c r="AA1826" s="34">
        <f>IF(OR($A1826="",$H1826&lt;&gt;"Ausgabe",M1826=""),0,IF(M1826="x",-$E1826/(COUNTIF($J1826:$Q1826,"x")+1),-$E1826*N(M1826)))</f>
        <v/>
      </c>
      <c r="AB1826" s="34">
        <f>IF(OR($A1826="",$H1826&lt;&gt;"Ausgabe",N1826=""),0,IF(N1826="x",-$E1826/(COUNTIF($J1826:$Q1826,"x")+1),-$E1826*N(N1826)))</f>
        <v/>
      </c>
      <c r="AC1826" s="34">
        <f>IF(OR($A1826="",$H1826&lt;&gt;"Ausgabe",O1826=""),0,IF(O1826="x",-$E1826/(COUNTIF($J1826:$Q1826,"x")+1),-$E1826*N(O1826)))</f>
        <v/>
      </c>
      <c r="AD1826" s="34">
        <f>IF(OR($A1826="",$H1826&lt;&gt;"Ausgabe",P1826=""),0,IF(P1826="x",-$E1826/(COUNTIF($J1826:$Q1826,"x")+1),-$E1826*N(P1826)))</f>
        <v/>
      </c>
      <c r="AE1826" s="34">
        <f>IF(OR($A1826="",$H1826&lt;&gt;"Ausgabe",Q1826=""),0,IF(Q1826="x",-$E1826/(COUNTIF($J1826:$Q1826,"x")+1),-$E1826*N(Q1826)))</f>
        <v/>
      </c>
    </row>
    <row r="1827">
      <c r="A1827" s="30" t="n"/>
      <c r="E1827" s="31" t="n"/>
      <c r="J1827" s="32" t="n"/>
      <c r="K1827" s="32" t="n"/>
      <c r="L1827" s="32" t="n"/>
      <c r="M1827" s="32" t="n"/>
      <c r="N1827" s="32" t="n"/>
      <c r="O1827" s="32" t="n"/>
      <c r="P1827" s="32" t="n"/>
      <c r="Q1827" s="32" t="n"/>
      <c r="U1827" s="31">
        <f>IF($A1827="","",SUM(X1827:AE1827))</f>
        <v/>
      </c>
      <c r="V1827" s="31">
        <f>IF($A1827="","",IF($H1827&lt;&gt;"Ausgabe",0,-$E1827-$U1827))</f>
        <v/>
      </c>
      <c r="W1827" s="33">
        <f>IF($A1827="","",DATE(YEAR($A1827),MONTH($A1827),1))</f>
        <v/>
      </c>
      <c r="X1827" s="34">
        <f>IF(OR($A1827="",$H1827&lt;&gt;"Ausgabe",J1827=""),0,IF(J1827="x",-$E1827/(COUNTIF($J1827:$Q1827,"x")+1),-$E1827*N(J1827)))</f>
        <v/>
      </c>
      <c r="Y1827" s="34">
        <f>IF(OR($A1827="",$H1827&lt;&gt;"Ausgabe",K1827=""),0,IF(K1827="x",-$E1827/(COUNTIF($J1827:$Q1827,"x")+1),-$E1827*N(K1827)))</f>
        <v/>
      </c>
      <c r="Z1827" s="34">
        <f>IF(OR($A1827="",$H1827&lt;&gt;"Ausgabe",L1827=""),0,IF(L1827="x",-$E1827/(COUNTIF($J1827:$Q1827,"x")+1),-$E1827*N(L1827)))</f>
        <v/>
      </c>
      <c r="AA1827" s="34">
        <f>IF(OR($A1827="",$H1827&lt;&gt;"Ausgabe",M1827=""),0,IF(M1827="x",-$E1827/(COUNTIF($J1827:$Q1827,"x")+1),-$E1827*N(M1827)))</f>
        <v/>
      </c>
      <c r="AB1827" s="34">
        <f>IF(OR($A1827="",$H1827&lt;&gt;"Ausgabe",N1827=""),0,IF(N1827="x",-$E1827/(COUNTIF($J1827:$Q1827,"x")+1),-$E1827*N(N1827)))</f>
        <v/>
      </c>
      <c r="AC1827" s="34">
        <f>IF(OR($A1827="",$H1827&lt;&gt;"Ausgabe",O1827=""),0,IF(O1827="x",-$E1827/(COUNTIF($J1827:$Q1827,"x")+1),-$E1827*N(O1827)))</f>
        <v/>
      </c>
      <c r="AD1827" s="34">
        <f>IF(OR($A1827="",$H1827&lt;&gt;"Ausgabe",P1827=""),0,IF(P1827="x",-$E1827/(COUNTIF($J1827:$Q1827,"x")+1),-$E1827*N(P1827)))</f>
        <v/>
      </c>
      <c r="AE1827" s="34">
        <f>IF(OR($A1827="",$H1827&lt;&gt;"Ausgabe",Q1827=""),0,IF(Q1827="x",-$E1827/(COUNTIF($J1827:$Q1827,"x")+1),-$E1827*N(Q1827)))</f>
        <v/>
      </c>
    </row>
    <row r="1828">
      <c r="A1828" s="30" t="n"/>
      <c r="E1828" s="31" t="n"/>
      <c r="J1828" s="32" t="n"/>
      <c r="K1828" s="32" t="n"/>
      <c r="L1828" s="32" t="n"/>
      <c r="M1828" s="32" t="n"/>
      <c r="N1828" s="32" t="n"/>
      <c r="O1828" s="32" t="n"/>
      <c r="P1828" s="32" t="n"/>
      <c r="Q1828" s="32" t="n"/>
      <c r="U1828" s="31">
        <f>IF($A1828="","",SUM(X1828:AE1828))</f>
        <v/>
      </c>
      <c r="V1828" s="31">
        <f>IF($A1828="","",IF($H1828&lt;&gt;"Ausgabe",0,-$E1828-$U1828))</f>
        <v/>
      </c>
      <c r="W1828" s="33">
        <f>IF($A1828="","",DATE(YEAR($A1828),MONTH($A1828),1))</f>
        <v/>
      </c>
      <c r="X1828" s="34">
        <f>IF(OR($A1828="",$H1828&lt;&gt;"Ausgabe",J1828=""),0,IF(J1828="x",-$E1828/(COUNTIF($J1828:$Q1828,"x")+1),-$E1828*N(J1828)))</f>
        <v/>
      </c>
      <c r="Y1828" s="34">
        <f>IF(OR($A1828="",$H1828&lt;&gt;"Ausgabe",K1828=""),0,IF(K1828="x",-$E1828/(COUNTIF($J1828:$Q1828,"x")+1),-$E1828*N(K1828)))</f>
        <v/>
      </c>
      <c r="Z1828" s="34">
        <f>IF(OR($A1828="",$H1828&lt;&gt;"Ausgabe",L1828=""),0,IF(L1828="x",-$E1828/(COUNTIF($J1828:$Q1828,"x")+1),-$E1828*N(L1828)))</f>
        <v/>
      </c>
      <c r="AA1828" s="34">
        <f>IF(OR($A1828="",$H1828&lt;&gt;"Ausgabe",M1828=""),0,IF(M1828="x",-$E1828/(COUNTIF($J1828:$Q1828,"x")+1),-$E1828*N(M1828)))</f>
        <v/>
      </c>
      <c r="AB1828" s="34">
        <f>IF(OR($A1828="",$H1828&lt;&gt;"Ausgabe",N1828=""),0,IF(N1828="x",-$E1828/(COUNTIF($J1828:$Q1828,"x")+1),-$E1828*N(N1828)))</f>
        <v/>
      </c>
      <c r="AC1828" s="34">
        <f>IF(OR($A1828="",$H1828&lt;&gt;"Ausgabe",O1828=""),0,IF(O1828="x",-$E1828/(COUNTIF($J1828:$Q1828,"x")+1),-$E1828*N(O1828)))</f>
        <v/>
      </c>
      <c r="AD1828" s="34">
        <f>IF(OR($A1828="",$H1828&lt;&gt;"Ausgabe",P1828=""),0,IF(P1828="x",-$E1828/(COUNTIF($J1828:$Q1828,"x")+1),-$E1828*N(P1828)))</f>
        <v/>
      </c>
      <c r="AE1828" s="34">
        <f>IF(OR($A1828="",$H1828&lt;&gt;"Ausgabe",Q1828=""),0,IF(Q1828="x",-$E1828/(COUNTIF($J1828:$Q1828,"x")+1),-$E1828*N(Q1828)))</f>
        <v/>
      </c>
    </row>
    <row r="1829">
      <c r="A1829" s="30" t="n"/>
      <c r="E1829" s="31" t="n"/>
      <c r="J1829" s="32" t="n"/>
      <c r="K1829" s="32" t="n"/>
      <c r="L1829" s="32" t="n"/>
      <c r="M1829" s="32" t="n"/>
      <c r="N1829" s="32" t="n"/>
      <c r="O1829" s="32" t="n"/>
      <c r="P1829" s="32" t="n"/>
      <c r="Q1829" s="32" t="n"/>
      <c r="U1829" s="31">
        <f>IF($A1829="","",SUM(X1829:AE1829))</f>
        <v/>
      </c>
      <c r="V1829" s="31">
        <f>IF($A1829="","",IF($H1829&lt;&gt;"Ausgabe",0,-$E1829-$U1829))</f>
        <v/>
      </c>
      <c r="W1829" s="33">
        <f>IF($A1829="","",DATE(YEAR($A1829),MONTH($A1829),1))</f>
        <v/>
      </c>
      <c r="X1829" s="34">
        <f>IF(OR($A1829="",$H1829&lt;&gt;"Ausgabe",J1829=""),0,IF(J1829="x",-$E1829/(COUNTIF($J1829:$Q1829,"x")+1),-$E1829*N(J1829)))</f>
        <v/>
      </c>
      <c r="Y1829" s="34">
        <f>IF(OR($A1829="",$H1829&lt;&gt;"Ausgabe",K1829=""),0,IF(K1829="x",-$E1829/(COUNTIF($J1829:$Q1829,"x")+1),-$E1829*N(K1829)))</f>
        <v/>
      </c>
      <c r="Z1829" s="34">
        <f>IF(OR($A1829="",$H1829&lt;&gt;"Ausgabe",L1829=""),0,IF(L1829="x",-$E1829/(COUNTIF($J1829:$Q1829,"x")+1),-$E1829*N(L1829)))</f>
        <v/>
      </c>
      <c r="AA1829" s="34">
        <f>IF(OR($A1829="",$H1829&lt;&gt;"Ausgabe",M1829=""),0,IF(M1829="x",-$E1829/(COUNTIF($J1829:$Q1829,"x")+1),-$E1829*N(M1829)))</f>
        <v/>
      </c>
      <c r="AB1829" s="34">
        <f>IF(OR($A1829="",$H1829&lt;&gt;"Ausgabe",N1829=""),0,IF(N1829="x",-$E1829/(COUNTIF($J1829:$Q1829,"x")+1),-$E1829*N(N1829)))</f>
        <v/>
      </c>
      <c r="AC1829" s="34">
        <f>IF(OR($A1829="",$H1829&lt;&gt;"Ausgabe",O1829=""),0,IF(O1829="x",-$E1829/(COUNTIF($J1829:$Q1829,"x")+1),-$E1829*N(O1829)))</f>
        <v/>
      </c>
      <c r="AD1829" s="34">
        <f>IF(OR($A1829="",$H1829&lt;&gt;"Ausgabe",P1829=""),0,IF(P1829="x",-$E1829/(COUNTIF($J1829:$Q1829,"x")+1),-$E1829*N(P1829)))</f>
        <v/>
      </c>
      <c r="AE1829" s="34">
        <f>IF(OR($A1829="",$H1829&lt;&gt;"Ausgabe",Q1829=""),0,IF(Q1829="x",-$E1829/(COUNTIF($J1829:$Q1829,"x")+1),-$E1829*N(Q1829)))</f>
        <v/>
      </c>
    </row>
    <row r="1830">
      <c r="A1830" s="30" t="n"/>
      <c r="E1830" s="31" t="n"/>
      <c r="J1830" s="32" t="n"/>
      <c r="K1830" s="32" t="n"/>
      <c r="L1830" s="32" t="n"/>
      <c r="M1830" s="32" t="n"/>
      <c r="N1830" s="32" t="n"/>
      <c r="O1830" s="32" t="n"/>
      <c r="P1830" s="32" t="n"/>
      <c r="Q1830" s="32" t="n"/>
      <c r="U1830" s="31">
        <f>IF($A1830="","",SUM(X1830:AE1830))</f>
        <v/>
      </c>
      <c r="V1830" s="31">
        <f>IF($A1830="","",IF($H1830&lt;&gt;"Ausgabe",0,-$E1830-$U1830))</f>
        <v/>
      </c>
      <c r="W1830" s="33">
        <f>IF($A1830="","",DATE(YEAR($A1830),MONTH($A1830),1))</f>
        <v/>
      </c>
      <c r="X1830" s="34">
        <f>IF(OR($A1830="",$H1830&lt;&gt;"Ausgabe",J1830=""),0,IF(J1830="x",-$E1830/(COUNTIF($J1830:$Q1830,"x")+1),-$E1830*N(J1830)))</f>
        <v/>
      </c>
      <c r="Y1830" s="34">
        <f>IF(OR($A1830="",$H1830&lt;&gt;"Ausgabe",K1830=""),0,IF(K1830="x",-$E1830/(COUNTIF($J1830:$Q1830,"x")+1),-$E1830*N(K1830)))</f>
        <v/>
      </c>
      <c r="Z1830" s="34">
        <f>IF(OR($A1830="",$H1830&lt;&gt;"Ausgabe",L1830=""),0,IF(L1830="x",-$E1830/(COUNTIF($J1830:$Q1830,"x")+1),-$E1830*N(L1830)))</f>
        <v/>
      </c>
      <c r="AA1830" s="34">
        <f>IF(OR($A1830="",$H1830&lt;&gt;"Ausgabe",M1830=""),0,IF(M1830="x",-$E1830/(COUNTIF($J1830:$Q1830,"x")+1),-$E1830*N(M1830)))</f>
        <v/>
      </c>
      <c r="AB1830" s="34">
        <f>IF(OR($A1830="",$H1830&lt;&gt;"Ausgabe",N1830=""),0,IF(N1830="x",-$E1830/(COUNTIF($J1830:$Q1830,"x")+1),-$E1830*N(N1830)))</f>
        <v/>
      </c>
      <c r="AC1830" s="34">
        <f>IF(OR($A1830="",$H1830&lt;&gt;"Ausgabe",O1830=""),0,IF(O1830="x",-$E1830/(COUNTIF($J1830:$Q1830,"x")+1),-$E1830*N(O1830)))</f>
        <v/>
      </c>
      <c r="AD1830" s="34">
        <f>IF(OR($A1830="",$H1830&lt;&gt;"Ausgabe",P1830=""),0,IF(P1830="x",-$E1830/(COUNTIF($J1830:$Q1830,"x")+1),-$E1830*N(P1830)))</f>
        <v/>
      </c>
      <c r="AE1830" s="34">
        <f>IF(OR($A1830="",$H1830&lt;&gt;"Ausgabe",Q1830=""),0,IF(Q1830="x",-$E1830/(COUNTIF($J1830:$Q1830,"x")+1),-$E1830*N(Q1830)))</f>
        <v/>
      </c>
    </row>
    <row r="1831">
      <c r="A1831" s="30" t="n"/>
      <c r="E1831" s="31" t="n"/>
      <c r="J1831" s="32" t="n"/>
      <c r="K1831" s="32" t="n"/>
      <c r="L1831" s="32" t="n"/>
      <c r="M1831" s="32" t="n"/>
      <c r="N1831" s="32" t="n"/>
      <c r="O1831" s="32" t="n"/>
      <c r="P1831" s="32" t="n"/>
      <c r="Q1831" s="32" t="n"/>
      <c r="U1831" s="31">
        <f>IF($A1831="","",SUM(X1831:AE1831))</f>
        <v/>
      </c>
      <c r="V1831" s="31">
        <f>IF($A1831="","",IF($H1831&lt;&gt;"Ausgabe",0,-$E1831-$U1831))</f>
        <v/>
      </c>
      <c r="W1831" s="33">
        <f>IF($A1831="","",DATE(YEAR($A1831),MONTH($A1831),1))</f>
        <v/>
      </c>
      <c r="X1831" s="34">
        <f>IF(OR($A1831="",$H1831&lt;&gt;"Ausgabe",J1831=""),0,IF(J1831="x",-$E1831/(COUNTIF($J1831:$Q1831,"x")+1),-$E1831*N(J1831)))</f>
        <v/>
      </c>
      <c r="Y1831" s="34">
        <f>IF(OR($A1831="",$H1831&lt;&gt;"Ausgabe",K1831=""),0,IF(K1831="x",-$E1831/(COUNTIF($J1831:$Q1831,"x")+1),-$E1831*N(K1831)))</f>
        <v/>
      </c>
      <c r="Z1831" s="34">
        <f>IF(OR($A1831="",$H1831&lt;&gt;"Ausgabe",L1831=""),0,IF(L1831="x",-$E1831/(COUNTIF($J1831:$Q1831,"x")+1),-$E1831*N(L1831)))</f>
        <v/>
      </c>
      <c r="AA1831" s="34">
        <f>IF(OR($A1831="",$H1831&lt;&gt;"Ausgabe",M1831=""),0,IF(M1831="x",-$E1831/(COUNTIF($J1831:$Q1831,"x")+1),-$E1831*N(M1831)))</f>
        <v/>
      </c>
      <c r="AB1831" s="34">
        <f>IF(OR($A1831="",$H1831&lt;&gt;"Ausgabe",N1831=""),0,IF(N1831="x",-$E1831/(COUNTIF($J1831:$Q1831,"x")+1),-$E1831*N(N1831)))</f>
        <v/>
      </c>
      <c r="AC1831" s="34">
        <f>IF(OR($A1831="",$H1831&lt;&gt;"Ausgabe",O1831=""),0,IF(O1831="x",-$E1831/(COUNTIF($J1831:$Q1831,"x")+1),-$E1831*N(O1831)))</f>
        <v/>
      </c>
      <c r="AD1831" s="34">
        <f>IF(OR($A1831="",$H1831&lt;&gt;"Ausgabe",P1831=""),0,IF(P1831="x",-$E1831/(COUNTIF($J1831:$Q1831,"x")+1),-$E1831*N(P1831)))</f>
        <v/>
      </c>
      <c r="AE1831" s="34">
        <f>IF(OR($A1831="",$H1831&lt;&gt;"Ausgabe",Q1831=""),0,IF(Q1831="x",-$E1831/(COUNTIF($J1831:$Q1831,"x")+1),-$E1831*N(Q1831)))</f>
        <v/>
      </c>
    </row>
    <row r="1832">
      <c r="A1832" s="30" t="n"/>
      <c r="E1832" s="31" t="n"/>
      <c r="J1832" s="32" t="n"/>
      <c r="K1832" s="32" t="n"/>
      <c r="L1832" s="32" t="n"/>
      <c r="M1832" s="32" t="n"/>
      <c r="N1832" s="32" t="n"/>
      <c r="O1832" s="32" t="n"/>
      <c r="P1832" s="32" t="n"/>
      <c r="Q1832" s="32" t="n"/>
      <c r="U1832" s="31">
        <f>IF($A1832="","",SUM(X1832:AE1832))</f>
        <v/>
      </c>
      <c r="V1832" s="31">
        <f>IF($A1832="","",IF($H1832&lt;&gt;"Ausgabe",0,-$E1832-$U1832))</f>
        <v/>
      </c>
      <c r="W1832" s="33">
        <f>IF($A1832="","",DATE(YEAR($A1832),MONTH($A1832),1))</f>
        <v/>
      </c>
      <c r="X1832" s="34">
        <f>IF(OR($A1832="",$H1832&lt;&gt;"Ausgabe",J1832=""),0,IF(J1832="x",-$E1832/(COUNTIF($J1832:$Q1832,"x")+1),-$E1832*N(J1832)))</f>
        <v/>
      </c>
      <c r="Y1832" s="34">
        <f>IF(OR($A1832="",$H1832&lt;&gt;"Ausgabe",K1832=""),0,IF(K1832="x",-$E1832/(COUNTIF($J1832:$Q1832,"x")+1),-$E1832*N(K1832)))</f>
        <v/>
      </c>
      <c r="Z1832" s="34">
        <f>IF(OR($A1832="",$H1832&lt;&gt;"Ausgabe",L1832=""),0,IF(L1832="x",-$E1832/(COUNTIF($J1832:$Q1832,"x")+1),-$E1832*N(L1832)))</f>
        <v/>
      </c>
      <c r="AA1832" s="34">
        <f>IF(OR($A1832="",$H1832&lt;&gt;"Ausgabe",M1832=""),0,IF(M1832="x",-$E1832/(COUNTIF($J1832:$Q1832,"x")+1),-$E1832*N(M1832)))</f>
        <v/>
      </c>
      <c r="AB1832" s="34">
        <f>IF(OR($A1832="",$H1832&lt;&gt;"Ausgabe",N1832=""),0,IF(N1832="x",-$E1832/(COUNTIF($J1832:$Q1832,"x")+1),-$E1832*N(N1832)))</f>
        <v/>
      </c>
      <c r="AC1832" s="34">
        <f>IF(OR($A1832="",$H1832&lt;&gt;"Ausgabe",O1832=""),0,IF(O1832="x",-$E1832/(COUNTIF($J1832:$Q1832,"x")+1),-$E1832*N(O1832)))</f>
        <v/>
      </c>
      <c r="AD1832" s="34">
        <f>IF(OR($A1832="",$H1832&lt;&gt;"Ausgabe",P1832=""),0,IF(P1832="x",-$E1832/(COUNTIF($J1832:$Q1832,"x")+1),-$E1832*N(P1832)))</f>
        <v/>
      </c>
      <c r="AE1832" s="34">
        <f>IF(OR($A1832="",$H1832&lt;&gt;"Ausgabe",Q1832=""),0,IF(Q1832="x",-$E1832/(COUNTIF($J1832:$Q1832,"x")+1),-$E1832*N(Q1832)))</f>
        <v/>
      </c>
    </row>
    <row r="1833">
      <c r="A1833" s="30" t="n"/>
      <c r="E1833" s="31" t="n"/>
      <c r="J1833" s="32" t="n"/>
      <c r="K1833" s="32" t="n"/>
      <c r="L1833" s="32" t="n"/>
      <c r="M1833" s="32" t="n"/>
      <c r="N1833" s="32" t="n"/>
      <c r="O1833" s="32" t="n"/>
      <c r="P1833" s="32" t="n"/>
      <c r="Q1833" s="32" t="n"/>
      <c r="U1833" s="31">
        <f>IF($A1833="","",SUM(X1833:AE1833))</f>
        <v/>
      </c>
      <c r="V1833" s="31">
        <f>IF($A1833="","",IF($H1833&lt;&gt;"Ausgabe",0,-$E1833-$U1833))</f>
        <v/>
      </c>
      <c r="W1833" s="33">
        <f>IF($A1833="","",DATE(YEAR($A1833),MONTH($A1833),1))</f>
        <v/>
      </c>
      <c r="X1833" s="34">
        <f>IF(OR($A1833="",$H1833&lt;&gt;"Ausgabe",J1833=""),0,IF(J1833="x",-$E1833/(COUNTIF($J1833:$Q1833,"x")+1),-$E1833*N(J1833)))</f>
        <v/>
      </c>
      <c r="Y1833" s="34">
        <f>IF(OR($A1833="",$H1833&lt;&gt;"Ausgabe",K1833=""),0,IF(K1833="x",-$E1833/(COUNTIF($J1833:$Q1833,"x")+1),-$E1833*N(K1833)))</f>
        <v/>
      </c>
      <c r="Z1833" s="34">
        <f>IF(OR($A1833="",$H1833&lt;&gt;"Ausgabe",L1833=""),0,IF(L1833="x",-$E1833/(COUNTIF($J1833:$Q1833,"x")+1),-$E1833*N(L1833)))</f>
        <v/>
      </c>
      <c r="AA1833" s="34">
        <f>IF(OR($A1833="",$H1833&lt;&gt;"Ausgabe",M1833=""),0,IF(M1833="x",-$E1833/(COUNTIF($J1833:$Q1833,"x")+1),-$E1833*N(M1833)))</f>
        <v/>
      </c>
      <c r="AB1833" s="34">
        <f>IF(OR($A1833="",$H1833&lt;&gt;"Ausgabe",N1833=""),0,IF(N1833="x",-$E1833/(COUNTIF($J1833:$Q1833,"x")+1),-$E1833*N(N1833)))</f>
        <v/>
      </c>
      <c r="AC1833" s="34">
        <f>IF(OR($A1833="",$H1833&lt;&gt;"Ausgabe",O1833=""),0,IF(O1833="x",-$E1833/(COUNTIF($J1833:$Q1833,"x")+1),-$E1833*N(O1833)))</f>
        <v/>
      </c>
      <c r="AD1833" s="34">
        <f>IF(OR($A1833="",$H1833&lt;&gt;"Ausgabe",P1833=""),0,IF(P1833="x",-$E1833/(COUNTIF($J1833:$Q1833,"x")+1),-$E1833*N(P1833)))</f>
        <v/>
      </c>
      <c r="AE1833" s="34">
        <f>IF(OR($A1833="",$H1833&lt;&gt;"Ausgabe",Q1833=""),0,IF(Q1833="x",-$E1833/(COUNTIF($J1833:$Q1833,"x")+1),-$E1833*N(Q1833)))</f>
        <v/>
      </c>
    </row>
    <row r="1834">
      <c r="A1834" s="30" t="n"/>
      <c r="E1834" s="31" t="n"/>
      <c r="J1834" s="32" t="n"/>
      <c r="K1834" s="32" t="n"/>
      <c r="L1834" s="32" t="n"/>
      <c r="M1834" s="32" t="n"/>
      <c r="N1834" s="32" t="n"/>
      <c r="O1834" s="32" t="n"/>
      <c r="P1834" s="32" t="n"/>
      <c r="Q1834" s="32" t="n"/>
      <c r="U1834" s="31">
        <f>IF($A1834="","",SUM(X1834:AE1834))</f>
        <v/>
      </c>
      <c r="V1834" s="31">
        <f>IF($A1834="","",IF($H1834&lt;&gt;"Ausgabe",0,-$E1834-$U1834))</f>
        <v/>
      </c>
      <c r="W1834" s="33">
        <f>IF($A1834="","",DATE(YEAR($A1834),MONTH($A1834),1))</f>
        <v/>
      </c>
      <c r="X1834" s="34">
        <f>IF(OR($A1834="",$H1834&lt;&gt;"Ausgabe",J1834=""),0,IF(J1834="x",-$E1834/(COUNTIF($J1834:$Q1834,"x")+1),-$E1834*N(J1834)))</f>
        <v/>
      </c>
      <c r="Y1834" s="34">
        <f>IF(OR($A1834="",$H1834&lt;&gt;"Ausgabe",K1834=""),0,IF(K1834="x",-$E1834/(COUNTIF($J1834:$Q1834,"x")+1),-$E1834*N(K1834)))</f>
        <v/>
      </c>
      <c r="Z1834" s="34">
        <f>IF(OR($A1834="",$H1834&lt;&gt;"Ausgabe",L1834=""),0,IF(L1834="x",-$E1834/(COUNTIF($J1834:$Q1834,"x")+1),-$E1834*N(L1834)))</f>
        <v/>
      </c>
      <c r="AA1834" s="34">
        <f>IF(OR($A1834="",$H1834&lt;&gt;"Ausgabe",M1834=""),0,IF(M1834="x",-$E1834/(COUNTIF($J1834:$Q1834,"x")+1),-$E1834*N(M1834)))</f>
        <v/>
      </c>
      <c r="AB1834" s="34">
        <f>IF(OR($A1834="",$H1834&lt;&gt;"Ausgabe",N1834=""),0,IF(N1834="x",-$E1834/(COUNTIF($J1834:$Q1834,"x")+1),-$E1834*N(N1834)))</f>
        <v/>
      </c>
      <c r="AC1834" s="34">
        <f>IF(OR($A1834="",$H1834&lt;&gt;"Ausgabe",O1834=""),0,IF(O1834="x",-$E1834/(COUNTIF($J1834:$Q1834,"x")+1),-$E1834*N(O1834)))</f>
        <v/>
      </c>
      <c r="AD1834" s="34">
        <f>IF(OR($A1834="",$H1834&lt;&gt;"Ausgabe",P1834=""),0,IF(P1834="x",-$E1834/(COUNTIF($J1834:$Q1834,"x")+1),-$E1834*N(P1834)))</f>
        <v/>
      </c>
      <c r="AE1834" s="34">
        <f>IF(OR($A1834="",$H1834&lt;&gt;"Ausgabe",Q1834=""),0,IF(Q1834="x",-$E1834/(COUNTIF($J1834:$Q1834,"x")+1),-$E1834*N(Q1834)))</f>
        <v/>
      </c>
    </row>
    <row r="1835">
      <c r="A1835" s="30" t="n"/>
      <c r="E1835" s="31" t="n"/>
      <c r="J1835" s="32" t="n"/>
      <c r="K1835" s="32" t="n"/>
      <c r="L1835" s="32" t="n"/>
      <c r="M1835" s="32" t="n"/>
      <c r="N1835" s="32" t="n"/>
      <c r="O1835" s="32" t="n"/>
      <c r="P1835" s="32" t="n"/>
      <c r="Q1835" s="32" t="n"/>
      <c r="U1835" s="31">
        <f>IF($A1835="","",SUM(X1835:AE1835))</f>
        <v/>
      </c>
      <c r="V1835" s="31">
        <f>IF($A1835="","",IF($H1835&lt;&gt;"Ausgabe",0,-$E1835-$U1835))</f>
        <v/>
      </c>
      <c r="W1835" s="33">
        <f>IF($A1835="","",DATE(YEAR($A1835),MONTH($A1835),1))</f>
        <v/>
      </c>
      <c r="X1835" s="34">
        <f>IF(OR($A1835="",$H1835&lt;&gt;"Ausgabe",J1835=""),0,IF(J1835="x",-$E1835/(COUNTIF($J1835:$Q1835,"x")+1),-$E1835*N(J1835)))</f>
        <v/>
      </c>
      <c r="Y1835" s="34">
        <f>IF(OR($A1835="",$H1835&lt;&gt;"Ausgabe",K1835=""),0,IF(K1835="x",-$E1835/(COUNTIF($J1835:$Q1835,"x")+1),-$E1835*N(K1835)))</f>
        <v/>
      </c>
      <c r="Z1835" s="34">
        <f>IF(OR($A1835="",$H1835&lt;&gt;"Ausgabe",L1835=""),0,IF(L1835="x",-$E1835/(COUNTIF($J1835:$Q1835,"x")+1),-$E1835*N(L1835)))</f>
        <v/>
      </c>
      <c r="AA1835" s="34">
        <f>IF(OR($A1835="",$H1835&lt;&gt;"Ausgabe",M1835=""),0,IF(M1835="x",-$E1835/(COUNTIF($J1835:$Q1835,"x")+1),-$E1835*N(M1835)))</f>
        <v/>
      </c>
      <c r="AB1835" s="34">
        <f>IF(OR($A1835="",$H1835&lt;&gt;"Ausgabe",N1835=""),0,IF(N1835="x",-$E1835/(COUNTIF($J1835:$Q1835,"x")+1),-$E1835*N(N1835)))</f>
        <v/>
      </c>
      <c r="AC1835" s="34">
        <f>IF(OR($A1835="",$H1835&lt;&gt;"Ausgabe",O1835=""),0,IF(O1835="x",-$E1835/(COUNTIF($J1835:$Q1835,"x")+1),-$E1835*N(O1835)))</f>
        <v/>
      </c>
      <c r="AD1835" s="34">
        <f>IF(OR($A1835="",$H1835&lt;&gt;"Ausgabe",P1835=""),0,IF(P1835="x",-$E1835/(COUNTIF($J1835:$Q1835,"x")+1),-$E1835*N(P1835)))</f>
        <v/>
      </c>
      <c r="AE1835" s="34">
        <f>IF(OR($A1835="",$H1835&lt;&gt;"Ausgabe",Q1835=""),0,IF(Q1835="x",-$E1835/(COUNTIF($J1835:$Q1835,"x")+1),-$E1835*N(Q1835)))</f>
        <v/>
      </c>
    </row>
    <row r="1836">
      <c r="A1836" s="30" t="n"/>
      <c r="E1836" s="31" t="n"/>
      <c r="J1836" s="32" t="n"/>
      <c r="K1836" s="32" t="n"/>
      <c r="L1836" s="32" t="n"/>
      <c r="M1836" s="32" t="n"/>
      <c r="N1836" s="32" t="n"/>
      <c r="O1836" s="32" t="n"/>
      <c r="P1836" s="32" t="n"/>
      <c r="Q1836" s="32" t="n"/>
      <c r="U1836" s="31">
        <f>IF($A1836="","",SUM(X1836:AE1836))</f>
        <v/>
      </c>
      <c r="V1836" s="31">
        <f>IF($A1836="","",IF($H1836&lt;&gt;"Ausgabe",0,-$E1836-$U1836))</f>
        <v/>
      </c>
      <c r="W1836" s="33">
        <f>IF($A1836="","",DATE(YEAR($A1836),MONTH($A1836),1))</f>
        <v/>
      </c>
      <c r="X1836" s="34">
        <f>IF(OR($A1836="",$H1836&lt;&gt;"Ausgabe",J1836=""),0,IF(J1836="x",-$E1836/(COUNTIF($J1836:$Q1836,"x")+1),-$E1836*N(J1836)))</f>
        <v/>
      </c>
      <c r="Y1836" s="34">
        <f>IF(OR($A1836="",$H1836&lt;&gt;"Ausgabe",K1836=""),0,IF(K1836="x",-$E1836/(COUNTIF($J1836:$Q1836,"x")+1),-$E1836*N(K1836)))</f>
        <v/>
      </c>
      <c r="Z1836" s="34">
        <f>IF(OR($A1836="",$H1836&lt;&gt;"Ausgabe",L1836=""),0,IF(L1836="x",-$E1836/(COUNTIF($J1836:$Q1836,"x")+1),-$E1836*N(L1836)))</f>
        <v/>
      </c>
      <c r="AA1836" s="34">
        <f>IF(OR($A1836="",$H1836&lt;&gt;"Ausgabe",M1836=""),0,IF(M1836="x",-$E1836/(COUNTIF($J1836:$Q1836,"x")+1),-$E1836*N(M1836)))</f>
        <v/>
      </c>
      <c r="AB1836" s="34">
        <f>IF(OR($A1836="",$H1836&lt;&gt;"Ausgabe",N1836=""),0,IF(N1836="x",-$E1836/(COUNTIF($J1836:$Q1836,"x")+1),-$E1836*N(N1836)))</f>
        <v/>
      </c>
      <c r="AC1836" s="34">
        <f>IF(OR($A1836="",$H1836&lt;&gt;"Ausgabe",O1836=""),0,IF(O1836="x",-$E1836/(COUNTIF($J1836:$Q1836,"x")+1),-$E1836*N(O1836)))</f>
        <v/>
      </c>
      <c r="AD1836" s="34">
        <f>IF(OR($A1836="",$H1836&lt;&gt;"Ausgabe",P1836=""),0,IF(P1836="x",-$E1836/(COUNTIF($J1836:$Q1836,"x")+1),-$E1836*N(P1836)))</f>
        <v/>
      </c>
      <c r="AE1836" s="34">
        <f>IF(OR($A1836="",$H1836&lt;&gt;"Ausgabe",Q1836=""),0,IF(Q1836="x",-$E1836/(COUNTIF($J1836:$Q1836,"x")+1),-$E1836*N(Q1836)))</f>
        <v/>
      </c>
    </row>
    <row r="1837">
      <c r="A1837" s="30" t="n"/>
      <c r="E1837" s="31" t="n"/>
      <c r="J1837" s="32" t="n"/>
      <c r="K1837" s="32" t="n"/>
      <c r="L1837" s="32" t="n"/>
      <c r="M1837" s="32" t="n"/>
      <c r="N1837" s="32" t="n"/>
      <c r="O1837" s="32" t="n"/>
      <c r="P1837" s="32" t="n"/>
      <c r="Q1837" s="32" t="n"/>
      <c r="U1837" s="31">
        <f>IF($A1837="","",SUM(X1837:AE1837))</f>
        <v/>
      </c>
      <c r="V1837" s="31">
        <f>IF($A1837="","",IF($H1837&lt;&gt;"Ausgabe",0,-$E1837-$U1837))</f>
        <v/>
      </c>
      <c r="W1837" s="33">
        <f>IF($A1837="","",DATE(YEAR($A1837),MONTH($A1837),1))</f>
        <v/>
      </c>
      <c r="X1837" s="34">
        <f>IF(OR($A1837="",$H1837&lt;&gt;"Ausgabe",J1837=""),0,IF(J1837="x",-$E1837/(COUNTIF($J1837:$Q1837,"x")+1),-$E1837*N(J1837)))</f>
        <v/>
      </c>
      <c r="Y1837" s="34">
        <f>IF(OR($A1837="",$H1837&lt;&gt;"Ausgabe",K1837=""),0,IF(K1837="x",-$E1837/(COUNTIF($J1837:$Q1837,"x")+1),-$E1837*N(K1837)))</f>
        <v/>
      </c>
      <c r="Z1837" s="34">
        <f>IF(OR($A1837="",$H1837&lt;&gt;"Ausgabe",L1837=""),0,IF(L1837="x",-$E1837/(COUNTIF($J1837:$Q1837,"x")+1),-$E1837*N(L1837)))</f>
        <v/>
      </c>
      <c r="AA1837" s="34">
        <f>IF(OR($A1837="",$H1837&lt;&gt;"Ausgabe",M1837=""),0,IF(M1837="x",-$E1837/(COUNTIF($J1837:$Q1837,"x")+1),-$E1837*N(M1837)))</f>
        <v/>
      </c>
      <c r="AB1837" s="34">
        <f>IF(OR($A1837="",$H1837&lt;&gt;"Ausgabe",N1837=""),0,IF(N1837="x",-$E1837/(COUNTIF($J1837:$Q1837,"x")+1),-$E1837*N(N1837)))</f>
        <v/>
      </c>
      <c r="AC1837" s="34">
        <f>IF(OR($A1837="",$H1837&lt;&gt;"Ausgabe",O1837=""),0,IF(O1837="x",-$E1837/(COUNTIF($J1837:$Q1837,"x")+1),-$E1837*N(O1837)))</f>
        <v/>
      </c>
      <c r="AD1837" s="34">
        <f>IF(OR($A1837="",$H1837&lt;&gt;"Ausgabe",P1837=""),0,IF(P1837="x",-$E1837/(COUNTIF($J1837:$Q1837,"x")+1),-$E1837*N(P1837)))</f>
        <v/>
      </c>
      <c r="AE1837" s="34">
        <f>IF(OR($A1837="",$H1837&lt;&gt;"Ausgabe",Q1837=""),0,IF(Q1837="x",-$E1837/(COUNTIF($J1837:$Q1837,"x")+1),-$E1837*N(Q1837)))</f>
        <v/>
      </c>
    </row>
    <row r="1838">
      <c r="A1838" s="30" t="n"/>
      <c r="E1838" s="31" t="n"/>
      <c r="J1838" s="32" t="n"/>
      <c r="K1838" s="32" t="n"/>
      <c r="L1838" s="32" t="n"/>
      <c r="M1838" s="32" t="n"/>
      <c r="N1838" s="32" t="n"/>
      <c r="O1838" s="32" t="n"/>
      <c r="P1838" s="32" t="n"/>
      <c r="Q1838" s="32" t="n"/>
      <c r="U1838" s="31">
        <f>IF($A1838="","",SUM(X1838:AE1838))</f>
        <v/>
      </c>
      <c r="V1838" s="31">
        <f>IF($A1838="","",IF($H1838&lt;&gt;"Ausgabe",0,-$E1838-$U1838))</f>
        <v/>
      </c>
      <c r="W1838" s="33">
        <f>IF($A1838="","",DATE(YEAR($A1838),MONTH($A1838),1))</f>
        <v/>
      </c>
      <c r="X1838" s="34">
        <f>IF(OR($A1838="",$H1838&lt;&gt;"Ausgabe",J1838=""),0,IF(J1838="x",-$E1838/(COUNTIF($J1838:$Q1838,"x")+1),-$E1838*N(J1838)))</f>
        <v/>
      </c>
      <c r="Y1838" s="34">
        <f>IF(OR($A1838="",$H1838&lt;&gt;"Ausgabe",K1838=""),0,IF(K1838="x",-$E1838/(COUNTIF($J1838:$Q1838,"x")+1),-$E1838*N(K1838)))</f>
        <v/>
      </c>
      <c r="Z1838" s="34">
        <f>IF(OR($A1838="",$H1838&lt;&gt;"Ausgabe",L1838=""),0,IF(L1838="x",-$E1838/(COUNTIF($J1838:$Q1838,"x")+1),-$E1838*N(L1838)))</f>
        <v/>
      </c>
      <c r="AA1838" s="34">
        <f>IF(OR($A1838="",$H1838&lt;&gt;"Ausgabe",M1838=""),0,IF(M1838="x",-$E1838/(COUNTIF($J1838:$Q1838,"x")+1),-$E1838*N(M1838)))</f>
        <v/>
      </c>
      <c r="AB1838" s="34">
        <f>IF(OR($A1838="",$H1838&lt;&gt;"Ausgabe",N1838=""),0,IF(N1838="x",-$E1838/(COUNTIF($J1838:$Q1838,"x")+1),-$E1838*N(N1838)))</f>
        <v/>
      </c>
      <c r="AC1838" s="34">
        <f>IF(OR($A1838="",$H1838&lt;&gt;"Ausgabe",O1838=""),0,IF(O1838="x",-$E1838/(COUNTIF($J1838:$Q1838,"x")+1),-$E1838*N(O1838)))</f>
        <v/>
      </c>
      <c r="AD1838" s="34">
        <f>IF(OR($A1838="",$H1838&lt;&gt;"Ausgabe",P1838=""),0,IF(P1838="x",-$E1838/(COUNTIF($J1838:$Q1838,"x")+1),-$E1838*N(P1838)))</f>
        <v/>
      </c>
      <c r="AE1838" s="34">
        <f>IF(OR($A1838="",$H1838&lt;&gt;"Ausgabe",Q1838=""),0,IF(Q1838="x",-$E1838/(COUNTIF($J1838:$Q1838,"x")+1),-$E1838*N(Q1838)))</f>
        <v/>
      </c>
    </row>
    <row r="1839">
      <c r="A1839" s="30" t="n"/>
      <c r="E1839" s="31" t="n"/>
      <c r="J1839" s="32" t="n"/>
      <c r="K1839" s="32" t="n"/>
      <c r="L1839" s="32" t="n"/>
      <c r="M1839" s="32" t="n"/>
      <c r="N1839" s="32" t="n"/>
      <c r="O1839" s="32" t="n"/>
      <c r="P1839" s="32" t="n"/>
      <c r="Q1839" s="32" t="n"/>
      <c r="U1839" s="31">
        <f>IF($A1839="","",SUM(X1839:AE1839))</f>
        <v/>
      </c>
      <c r="V1839" s="31">
        <f>IF($A1839="","",IF($H1839&lt;&gt;"Ausgabe",0,-$E1839-$U1839))</f>
        <v/>
      </c>
      <c r="W1839" s="33">
        <f>IF($A1839="","",DATE(YEAR($A1839),MONTH($A1839),1))</f>
        <v/>
      </c>
      <c r="X1839" s="34">
        <f>IF(OR($A1839="",$H1839&lt;&gt;"Ausgabe",J1839=""),0,IF(J1839="x",-$E1839/(COUNTIF($J1839:$Q1839,"x")+1),-$E1839*N(J1839)))</f>
        <v/>
      </c>
      <c r="Y1839" s="34">
        <f>IF(OR($A1839="",$H1839&lt;&gt;"Ausgabe",K1839=""),0,IF(K1839="x",-$E1839/(COUNTIF($J1839:$Q1839,"x")+1),-$E1839*N(K1839)))</f>
        <v/>
      </c>
      <c r="Z1839" s="34">
        <f>IF(OR($A1839="",$H1839&lt;&gt;"Ausgabe",L1839=""),0,IF(L1839="x",-$E1839/(COUNTIF($J1839:$Q1839,"x")+1),-$E1839*N(L1839)))</f>
        <v/>
      </c>
      <c r="AA1839" s="34">
        <f>IF(OR($A1839="",$H1839&lt;&gt;"Ausgabe",M1839=""),0,IF(M1839="x",-$E1839/(COUNTIF($J1839:$Q1839,"x")+1),-$E1839*N(M1839)))</f>
        <v/>
      </c>
      <c r="AB1839" s="34">
        <f>IF(OR($A1839="",$H1839&lt;&gt;"Ausgabe",N1839=""),0,IF(N1839="x",-$E1839/(COUNTIF($J1839:$Q1839,"x")+1),-$E1839*N(N1839)))</f>
        <v/>
      </c>
      <c r="AC1839" s="34">
        <f>IF(OR($A1839="",$H1839&lt;&gt;"Ausgabe",O1839=""),0,IF(O1839="x",-$E1839/(COUNTIF($J1839:$Q1839,"x")+1),-$E1839*N(O1839)))</f>
        <v/>
      </c>
      <c r="AD1839" s="34">
        <f>IF(OR($A1839="",$H1839&lt;&gt;"Ausgabe",P1839=""),0,IF(P1839="x",-$E1839/(COUNTIF($J1839:$Q1839,"x")+1),-$E1839*N(P1839)))</f>
        <v/>
      </c>
      <c r="AE1839" s="34">
        <f>IF(OR($A1839="",$H1839&lt;&gt;"Ausgabe",Q1839=""),0,IF(Q1839="x",-$E1839/(COUNTIF($J1839:$Q1839,"x")+1),-$E1839*N(Q1839)))</f>
        <v/>
      </c>
    </row>
    <row r="1840">
      <c r="A1840" s="30" t="n"/>
      <c r="E1840" s="31" t="n"/>
      <c r="J1840" s="32" t="n"/>
      <c r="K1840" s="32" t="n"/>
      <c r="L1840" s="32" t="n"/>
      <c r="M1840" s="32" t="n"/>
      <c r="N1840" s="32" t="n"/>
      <c r="O1840" s="32" t="n"/>
      <c r="P1840" s="32" t="n"/>
      <c r="Q1840" s="32" t="n"/>
      <c r="U1840" s="31">
        <f>IF($A1840="","",SUM(X1840:AE1840))</f>
        <v/>
      </c>
      <c r="V1840" s="31">
        <f>IF($A1840="","",IF($H1840&lt;&gt;"Ausgabe",0,-$E1840-$U1840))</f>
        <v/>
      </c>
      <c r="W1840" s="33">
        <f>IF($A1840="","",DATE(YEAR($A1840),MONTH($A1840),1))</f>
        <v/>
      </c>
      <c r="X1840" s="34">
        <f>IF(OR($A1840="",$H1840&lt;&gt;"Ausgabe",J1840=""),0,IF(J1840="x",-$E1840/(COUNTIF($J1840:$Q1840,"x")+1),-$E1840*N(J1840)))</f>
        <v/>
      </c>
      <c r="Y1840" s="34">
        <f>IF(OR($A1840="",$H1840&lt;&gt;"Ausgabe",K1840=""),0,IF(K1840="x",-$E1840/(COUNTIF($J1840:$Q1840,"x")+1),-$E1840*N(K1840)))</f>
        <v/>
      </c>
      <c r="Z1840" s="34">
        <f>IF(OR($A1840="",$H1840&lt;&gt;"Ausgabe",L1840=""),0,IF(L1840="x",-$E1840/(COUNTIF($J1840:$Q1840,"x")+1),-$E1840*N(L1840)))</f>
        <v/>
      </c>
      <c r="AA1840" s="34">
        <f>IF(OR($A1840="",$H1840&lt;&gt;"Ausgabe",M1840=""),0,IF(M1840="x",-$E1840/(COUNTIF($J1840:$Q1840,"x")+1),-$E1840*N(M1840)))</f>
        <v/>
      </c>
      <c r="AB1840" s="34">
        <f>IF(OR($A1840="",$H1840&lt;&gt;"Ausgabe",N1840=""),0,IF(N1840="x",-$E1840/(COUNTIF($J1840:$Q1840,"x")+1),-$E1840*N(N1840)))</f>
        <v/>
      </c>
      <c r="AC1840" s="34">
        <f>IF(OR($A1840="",$H1840&lt;&gt;"Ausgabe",O1840=""),0,IF(O1840="x",-$E1840/(COUNTIF($J1840:$Q1840,"x")+1),-$E1840*N(O1840)))</f>
        <v/>
      </c>
      <c r="AD1840" s="34">
        <f>IF(OR($A1840="",$H1840&lt;&gt;"Ausgabe",P1840=""),0,IF(P1840="x",-$E1840/(COUNTIF($J1840:$Q1840,"x")+1),-$E1840*N(P1840)))</f>
        <v/>
      </c>
      <c r="AE1840" s="34">
        <f>IF(OR($A1840="",$H1840&lt;&gt;"Ausgabe",Q1840=""),0,IF(Q1840="x",-$E1840/(COUNTIF($J1840:$Q1840,"x")+1),-$E1840*N(Q1840)))</f>
        <v/>
      </c>
    </row>
    <row r="1841">
      <c r="A1841" s="30" t="n"/>
      <c r="E1841" s="31" t="n"/>
      <c r="J1841" s="32" t="n"/>
      <c r="K1841" s="32" t="n"/>
      <c r="L1841" s="32" t="n"/>
      <c r="M1841" s="32" t="n"/>
      <c r="N1841" s="32" t="n"/>
      <c r="O1841" s="32" t="n"/>
      <c r="P1841" s="32" t="n"/>
      <c r="Q1841" s="32" t="n"/>
      <c r="U1841" s="31">
        <f>IF($A1841="","",SUM(X1841:AE1841))</f>
        <v/>
      </c>
      <c r="V1841" s="31">
        <f>IF($A1841="","",IF($H1841&lt;&gt;"Ausgabe",0,-$E1841-$U1841))</f>
        <v/>
      </c>
      <c r="W1841" s="33">
        <f>IF($A1841="","",DATE(YEAR($A1841),MONTH($A1841),1))</f>
        <v/>
      </c>
      <c r="X1841" s="34">
        <f>IF(OR($A1841="",$H1841&lt;&gt;"Ausgabe",J1841=""),0,IF(J1841="x",-$E1841/(COUNTIF($J1841:$Q1841,"x")+1),-$E1841*N(J1841)))</f>
        <v/>
      </c>
      <c r="Y1841" s="34">
        <f>IF(OR($A1841="",$H1841&lt;&gt;"Ausgabe",K1841=""),0,IF(K1841="x",-$E1841/(COUNTIF($J1841:$Q1841,"x")+1),-$E1841*N(K1841)))</f>
        <v/>
      </c>
      <c r="Z1841" s="34">
        <f>IF(OR($A1841="",$H1841&lt;&gt;"Ausgabe",L1841=""),0,IF(L1841="x",-$E1841/(COUNTIF($J1841:$Q1841,"x")+1),-$E1841*N(L1841)))</f>
        <v/>
      </c>
      <c r="AA1841" s="34">
        <f>IF(OR($A1841="",$H1841&lt;&gt;"Ausgabe",M1841=""),0,IF(M1841="x",-$E1841/(COUNTIF($J1841:$Q1841,"x")+1),-$E1841*N(M1841)))</f>
        <v/>
      </c>
      <c r="AB1841" s="34">
        <f>IF(OR($A1841="",$H1841&lt;&gt;"Ausgabe",N1841=""),0,IF(N1841="x",-$E1841/(COUNTIF($J1841:$Q1841,"x")+1),-$E1841*N(N1841)))</f>
        <v/>
      </c>
      <c r="AC1841" s="34">
        <f>IF(OR($A1841="",$H1841&lt;&gt;"Ausgabe",O1841=""),0,IF(O1841="x",-$E1841/(COUNTIF($J1841:$Q1841,"x")+1),-$E1841*N(O1841)))</f>
        <v/>
      </c>
      <c r="AD1841" s="34">
        <f>IF(OR($A1841="",$H1841&lt;&gt;"Ausgabe",P1841=""),0,IF(P1841="x",-$E1841/(COUNTIF($J1841:$Q1841,"x")+1),-$E1841*N(P1841)))</f>
        <v/>
      </c>
      <c r="AE1841" s="34">
        <f>IF(OR($A1841="",$H1841&lt;&gt;"Ausgabe",Q1841=""),0,IF(Q1841="x",-$E1841/(COUNTIF($J1841:$Q1841,"x")+1),-$E1841*N(Q1841)))</f>
        <v/>
      </c>
    </row>
    <row r="1842">
      <c r="A1842" s="30" t="n"/>
      <c r="E1842" s="31" t="n"/>
      <c r="J1842" s="32" t="n"/>
      <c r="K1842" s="32" t="n"/>
      <c r="L1842" s="32" t="n"/>
      <c r="M1842" s="32" t="n"/>
      <c r="N1842" s="32" t="n"/>
      <c r="O1842" s="32" t="n"/>
      <c r="P1842" s="32" t="n"/>
      <c r="Q1842" s="32" t="n"/>
      <c r="U1842" s="31">
        <f>IF($A1842="","",SUM(X1842:AE1842))</f>
        <v/>
      </c>
      <c r="V1842" s="31">
        <f>IF($A1842="","",IF($H1842&lt;&gt;"Ausgabe",0,-$E1842-$U1842))</f>
        <v/>
      </c>
      <c r="W1842" s="33">
        <f>IF($A1842="","",DATE(YEAR($A1842),MONTH($A1842),1))</f>
        <v/>
      </c>
      <c r="X1842" s="34">
        <f>IF(OR($A1842="",$H1842&lt;&gt;"Ausgabe",J1842=""),0,IF(J1842="x",-$E1842/(COUNTIF($J1842:$Q1842,"x")+1),-$E1842*N(J1842)))</f>
        <v/>
      </c>
      <c r="Y1842" s="34">
        <f>IF(OR($A1842="",$H1842&lt;&gt;"Ausgabe",K1842=""),0,IF(K1842="x",-$E1842/(COUNTIF($J1842:$Q1842,"x")+1),-$E1842*N(K1842)))</f>
        <v/>
      </c>
      <c r="Z1842" s="34">
        <f>IF(OR($A1842="",$H1842&lt;&gt;"Ausgabe",L1842=""),0,IF(L1842="x",-$E1842/(COUNTIF($J1842:$Q1842,"x")+1),-$E1842*N(L1842)))</f>
        <v/>
      </c>
      <c r="AA1842" s="34">
        <f>IF(OR($A1842="",$H1842&lt;&gt;"Ausgabe",M1842=""),0,IF(M1842="x",-$E1842/(COUNTIF($J1842:$Q1842,"x")+1),-$E1842*N(M1842)))</f>
        <v/>
      </c>
      <c r="AB1842" s="34">
        <f>IF(OR($A1842="",$H1842&lt;&gt;"Ausgabe",N1842=""),0,IF(N1842="x",-$E1842/(COUNTIF($J1842:$Q1842,"x")+1),-$E1842*N(N1842)))</f>
        <v/>
      </c>
      <c r="AC1842" s="34">
        <f>IF(OR($A1842="",$H1842&lt;&gt;"Ausgabe",O1842=""),0,IF(O1842="x",-$E1842/(COUNTIF($J1842:$Q1842,"x")+1),-$E1842*N(O1842)))</f>
        <v/>
      </c>
      <c r="AD1842" s="34">
        <f>IF(OR($A1842="",$H1842&lt;&gt;"Ausgabe",P1842=""),0,IF(P1842="x",-$E1842/(COUNTIF($J1842:$Q1842,"x")+1),-$E1842*N(P1842)))</f>
        <v/>
      </c>
      <c r="AE1842" s="34">
        <f>IF(OR($A1842="",$H1842&lt;&gt;"Ausgabe",Q1842=""),0,IF(Q1842="x",-$E1842/(COUNTIF($J1842:$Q1842,"x")+1),-$E1842*N(Q1842)))</f>
        <v/>
      </c>
    </row>
    <row r="1843">
      <c r="A1843" s="30" t="n"/>
      <c r="E1843" s="31" t="n"/>
      <c r="J1843" s="32" t="n"/>
      <c r="K1843" s="32" t="n"/>
      <c r="L1843" s="32" t="n"/>
      <c r="M1843" s="32" t="n"/>
      <c r="N1843" s="32" t="n"/>
      <c r="O1843" s="32" t="n"/>
      <c r="P1843" s="32" t="n"/>
      <c r="Q1843" s="32" t="n"/>
      <c r="U1843" s="31">
        <f>IF($A1843="","",SUM(X1843:AE1843))</f>
        <v/>
      </c>
      <c r="V1843" s="31">
        <f>IF($A1843="","",IF($H1843&lt;&gt;"Ausgabe",0,-$E1843-$U1843))</f>
        <v/>
      </c>
      <c r="W1843" s="33">
        <f>IF($A1843="","",DATE(YEAR($A1843),MONTH($A1843),1))</f>
        <v/>
      </c>
      <c r="X1843" s="34">
        <f>IF(OR($A1843="",$H1843&lt;&gt;"Ausgabe",J1843=""),0,IF(J1843="x",-$E1843/(COUNTIF($J1843:$Q1843,"x")+1),-$E1843*N(J1843)))</f>
        <v/>
      </c>
      <c r="Y1843" s="34">
        <f>IF(OR($A1843="",$H1843&lt;&gt;"Ausgabe",K1843=""),0,IF(K1843="x",-$E1843/(COUNTIF($J1843:$Q1843,"x")+1),-$E1843*N(K1843)))</f>
        <v/>
      </c>
      <c r="Z1843" s="34">
        <f>IF(OR($A1843="",$H1843&lt;&gt;"Ausgabe",L1843=""),0,IF(L1843="x",-$E1843/(COUNTIF($J1843:$Q1843,"x")+1),-$E1843*N(L1843)))</f>
        <v/>
      </c>
      <c r="AA1843" s="34">
        <f>IF(OR($A1843="",$H1843&lt;&gt;"Ausgabe",M1843=""),0,IF(M1843="x",-$E1843/(COUNTIF($J1843:$Q1843,"x")+1),-$E1843*N(M1843)))</f>
        <v/>
      </c>
      <c r="AB1843" s="34">
        <f>IF(OR($A1843="",$H1843&lt;&gt;"Ausgabe",N1843=""),0,IF(N1843="x",-$E1843/(COUNTIF($J1843:$Q1843,"x")+1),-$E1843*N(N1843)))</f>
        <v/>
      </c>
      <c r="AC1843" s="34">
        <f>IF(OR($A1843="",$H1843&lt;&gt;"Ausgabe",O1843=""),0,IF(O1843="x",-$E1843/(COUNTIF($J1843:$Q1843,"x")+1),-$E1843*N(O1843)))</f>
        <v/>
      </c>
      <c r="AD1843" s="34">
        <f>IF(OR($A1843="",$H1843&lt;&gt;"Ausgabe",P1843=""),0,IF(P1843="x",-$E1843/(COUNTIF($J1843:$Q1843,"x")+1),-$E1843*N(P1843)))</f>
        <v/>
      </c>
      <c r="AE1843" s="34">
        <f>IF(OR($A1843="",$H1843&lt;&gt;"Ausgabe",Q1843=""),0,IF(Q1843="x",-$E1843/(COUNTIF($J1843:$Q1843,"x")+1),-$E1843*N(Q1843)))</f>
        <v/>
      </c>
    </row>
    <row r="1844">
      <c r="A1844" s="30" t="n"/>
      <c r="E1844" s="31" t="n"/>
      <c r="J1844" s="32" t="n"/>
      <c r="K1844" s="32" t="n"/>
      <c r="L1844" s="32" t="n"/>
      <c r="M1844" s="32" t="n"/>
      <c r="N1844" s="32" t="n"/>
      <c r="O1844" s="32" t="n"/>
      <c r="P1844" s="32" t="n"/>
      <c r="Q1844" s="32" t="n"/>
      <c r="U1844" s="31">
        <f>IF($A1844="","",SUM(X1844:AE1844))</f>
        <v/>
      </c>
      <c r="V1844" s="31">
        <f>IF($A1844="","",IF($H1844&lt;&gt;"Ausgabe",0,-$E1844-$U1844))</f>
        <v/>
      </c>
      <c r="W1844" s="33">
        <f>IF($A1844="","",DATE(YEAR($A1844),MONTH($A1844),1))</f>
        <v/>
      </c>
      <c r="X1844" s="34">
        <f>IF(OR($A1844="",$H1844&lt;&gt;"Ausgabe",J1844=""),0,IF(J1844="x",-$E1844/(COUNTIF($J1844:$Q1844,"x")+1),-$E1844*N(J1844)))</f>
        <v/>
      </c>
      <c r="Y1844" s="34">
        <f>IF(OR($A1844="",$H1844&lt;&gt;"Ausgabe",K1844=""),0,IF(K1844="x",-$E1844/(COUNTIF($J1844:$Q1844,"x")+1),-$E1844*N(K1844)))</f>
        <v/>
      </c>
      <c r="Z1844" s="34">
        <f>IF(OR($A1844="",$H1844&lt;&gt;"Ausgabe",L1844=""),0,IF(L1844="x",-$E1844/(COUNTIF($J1844:$Q1844,"x")+1),-$E1844*N(L1844)))</f>
        <v/>
      </c>
      <c r="AA1844" s="34">
        <f>IF(OR($A1844="",$H1844&lt;&gt;"Ausgabe",M1844=""),0,IF(M1844="x",-$E1844/(COUNTIF($J1844:$Q1844,"x")+1),-$E1844*N(M1844)))</f>
        <v/>
      </c>
      <c r="AB1844" s="34">
        <f>IF(OR($A1844="",$H1844&lt;&gt;"Ausgabe",N1844=""),0,IF(N1844="x",-$E1844/(COUNTIF($J1844:$Q1844,"x")+1),-$E1844*N(N1844)))</f>
        <v/>
      </c>
      <c r="AC1844" s="34">
        <f>IF(OR($A1844="",$H1844&lt;&gt;"Ausgabe",O1844=""),0,IF(O1844="x",-$E1844/(COUNTIF($J1844:$Q1844,"x")+1),-$E1844*N(O1844)))</f>
        <v/>
      </c>
      <c r="AD1844" s="34">
        <f>IF(OR($A1844="",$H1844&lt;&gt;"Ausgabe",P1844=""),0,IF(P1844="x",-$E1844/(COUNTIF($J1844:$Q1844,"x")+1),-$E1844*N(P1844)))</f>
        <v/>
      </c>
      <c r="AE1844" s="34">
        <f>IF(OR($A1844="",$H1844&lt;&gt;"Ausgabe",Q1844=""),0,IF(Q1844="x",-$E1844/(COUNTIF($J1844:$Q1844,"x")+1),-$E1844*N(Q1844)))</f>
        <v/>
      </c>
    </row>
    <row r="1845">
      <c r="A1845" s="30" t="n"/>
      <c r="E1845" s="31" t="n"/>
      <c r="J1845" s="32" t="n"/>
      <c r="K1845" s="32" t="n"/>
      <c r="L1845" s="32" t="n"/>
      <c r="M1845" s="32" t="n"/>
      <c r="N1845" s="32" t="n"/>
      <c r="O1845" s="32" t="n"/>
      <c r="P1845" s="32" t="n"/>
      <c r="Q1845" s="32" t="n"/>
      <c r="U1845" s="31">
        <f>IF($A1845="","",SUM(X1845:AE1845))</f>
        <v/>
      </c>
      <c r="V1845" s="31">
        <f>IF($A1845="","",IF($H1845&lt;&gt;"Ausgabe",0,-$E1845-$U1845))</f>
        <v/>
      </c>
      <c r="W1845" s="33">
        <f>IF($A1845="","",DATE(YEAR($A1845),MONTH($A1845),1))</f>
        <v/>
      </c>
      <c r="X1845" s="34">
        <f>IF(OR($A1845="",$H1845&lt;&gt;"Ausgabe",J1845=""),0,IF(J1845="x",-$E1845/(COUNTIF($J1845:$Q1845,"x")+1),-$E1845*N(J1845)))</f>
        <v/>
      </c>
      <c r="Y1845" s="34">
        <f>IF(OR($A1845="",$H1845&lt;&gt;"Ausgabe",K1845=""),0,IF(K1845="x",-$E1845/(COUNTIF($J1845:$Q1845,"x")+1),-$E1845*N(K1845)))</f>
        <v/>
      </c>
      <c r="Z1845" s="34">
        <f>IF(OR($A1845="",$H1845&lt;&gt;"Ausgabe",L1845=""),0,IF(L1845="x",-$E1845/(COUNTIF($J1845:$Q1845,"x")+1),-$E1845*N(L1845)))</f>
        <v/>
      </c>
      <c r="AA1845" s="34">
        <f>IF(OR($A1845="",$H1845&lt;&gt;"Ausgabe",M1845=""),0,IF(M1845="x",-$E1845/(COUNTIF($J1845:$Q1845,"x")+1),-$E1845*N(M1845)))</f>
        <v/>
      </c>
      <c r="AB1845" s="34">
        <f>IF(OR($A1845="",$H1845&lt;&gt;"Ausgabe",N1845=""),0,IF(N1845="x",-$E1845/(COUNTIF($J1845:$Q1845,"x")+1),-$E1845*N(N1845)))</f>
        <v/>
      </c>
      <c r="AC1845" s="34">
        <f>IF(OR($A1845="",$H1845&lt;&gt;"Ausgabe",O1845=""),0,IF(O1845="x",-$E1845/(COUNTIF($J1845:$Q1845,"x")+1),-$E1845*N(O1845)))</f>
        <v/>
      </c>
      <c r="AD1845" s="34">
        <f>IF(OR($A1845="",$H1845&lt;&gt;"Ausgabe",P1845=""),0,IF(P1845="x",-$E1845/(COUNTIF($J1845:$Q1845,"x")+1),-$E1845*N(P1845)))</f>
        <v/>
      </c>
      <c r="AE1845" s="34">
        <f>IF(OR($A1845="",$H1845&lt;&gt;"Ausgabe",Q1845=""),0,IF(Q1845="x",-$E1845/(COUNTIF($J1845:$Q1845,"x")+1),-$E1845*N(Q1845)))</f>
        <v/>
      </c>
    </row>
    <row r="1846">
      <c r="A1846" s="30" t="n"/>
      <c r="E1846" s="31" t="n"/>
      <c r="J1846" s="32" t="n"/>
      <c r="K1846" s="32" t="n"/>
      <c r="L1846" s="32" t="n"/>
      <c r="M1846" s="32" t="n"/>
      <c r="N1846" s="32" t="n"/>
      <c r="O1846" s="32" t="n"/>
      <c r="P1846" s="32" t="n"/>
      <c r="Q1846" s="32" t="n"/>
      <c r="U1846" s="31">
        <f>IF($A1846="","",SUM(X1846:AE1846))</f>
        <v/>
      </c>
      <c r="V1846" s="31">
        <f>IF($A1846="","",IF($H1846&lt;&gt;"Ausgabe",0,-$E1846-$U1846))</f>
        <v/>
      </c>
      <c r="W1846" s="33">
        <f>IF($A1846="","",DATE(YEAR($A1846),MONTH($A1846),1))</f>
        <v/>
      </c>
      <c r="X1846" s="34">
        <f>IF(OR($A1846="",$H1846&lt;&gt;"Ausgabe",J1846=""),0,IF(J1846="x",-$E1846/(COUNTIF($J1846:$Q1846,"x")+1),-$E1846*N(J1846)))</f>
        <v/>
      </c>
      <c r="Y1846" s="34">
        <f>IF(OR($A1846="",$H1846&lt;&gt;"Ausgabe",K1846=""),0,IF(K1846="x",-$E1846/(COUNTIF($J1846:$Q1846,"x")+1),-$E1846*N(K1846)))</f>
        <v/>
      </c>
      <c r="Z1846" s="34">
        <f>IF(OR($A1846="",$H1846&lt;&gt;"Ausgabe",L1846=""),0,IF(L1846="x",-$E1846/(COUNTIF($J1846:$Q1846,"x")+1),-$E1846*N(L1846)))</f>
        <v/>
      </c>
      <c r="AA1846" s="34">
        <f>IF(OR($A1846="",$H1846&lt;&gt;"Ausgabe",M1846=""),0,IF(M1846="x",-$E1846/(COUNTIF($J1846:$Q1846,"x")+1),-$E1846*N(M1846)))</f>
        <v/>
      </c>
      <c r="AB1846" s="34">
        <f>IF(OR($A1846="",$H1846&lt;&gt;"Ausgabe",N1846=""),0,IF(N1846="x",-$E1846/(COUNTIF($J1846:$Q1846,"x")+1),-$E1846*N(N1846)))</f>
        <v/>
      </c>
      <c r="AC1846" s="34">
        <f>IF(OR($A1846="",$H1846&lt;&gt;"Ausgabe",O1846=""),0,IF(O1846="x",-$E1846/(COUNTIF($J1846:$Q1846,"x")+1),-$E1846*N(O1846)))</f>
        <v/>
      </c>
      <c r="AD1846" s="34">
        <f>IF(OR($A1846="",$H1846&lt;&gt;"Ausgabe",P1846=""),0,IF(P1846="x",-$E1846/(COUNTIF($J1846:$Q1846,"x")+1),-$E1846*N(P1846)))</f>
        <v/>
      </c>
      <c r="AE1846" s="34">
        <f>IF(OR($A1846="",$H1846&lt;&gt;"Ausgabe",Q1846=""),0,IF(Q1846="x",-$E1846/(COUNTIF($J1846:$Q1846,"x")+1),-$E1846*N(Q1846)))</f>
        <v/>
      </c>
    </row>
    <row r="1847">
      <c r="A1847" s="30" t="n"/>
      <c r="E1847" s="31" t="n"/>
      <c r="J1847" s="32" t="n"/>
      <c r="K1847" s="32" t="n"/>
      <c r="L1847" s="32" t="n"/>
      <c r="M1847" s="32" t="n"/>
      <c r="N1847" s="32" t="n"/>
      <c r="O1847" s="32" t="n"/>
      <c r="P1847" s="32" t="n"/>
      <c r="Q1847" s="32" t="n"/>
      <c r="U1847" s="31">
        <f>IF($A1847="","",SUM(X1847:AE1847))</f>
        <v/>
      </c>
      <c r="V1847" s="31">
        <f>IF($A1847="","",IF($H1847&lt;&gt;"Ausgabe",0,-$E1847-$U1847))</f>
        <v/>
      </c>
      <c r="W1847" s="33">
        <f>IF($A1847="","",DATE(YEAR($A1847),MONTH($A1847),1))</f>
        <v/>
      </c>
      <c r="X1847" s="34">
        <f>IF(OR($A1847="",$H1847&lt;&gt;"Ausgabe",J1847=""),0,IF(J1847="x",-$E1847/(COUNTIF($J1847:$Q1847,"x")+1),-$E1847*N(J1847)))</f>
        <v/>
      </c>
      <c r="Y1847" s="34">
        <f>IF(OR($A1847="",$H1847&lt;&gt;"Ausgabe",K1847=""),0,IF(K1847="x",-$E1847/(COUNTIF($J1847:$Q1847,"x")+1),-$E1847*N(K1847)))</f>
        <v/>
      </c>
      <c r="Z1847" s="34">
        <f>IF(OR($A1847="",$H1847&lt;&gt;"Ausgabe",L1847=""),0,IF(L1847="x",-$E1847/(COUNTIF($J1847:$Q1847,"x")+1),-$E1847*N(L1847)))</f>
        <v/>
      </c>
      <c r="AA1847" s="34">
        <f>IF(OR($A1847="",$H1847&lt;&gt;"Ausgabe",M1847=""),0,IF(M1847="x",-$E1847/(COUNTIF($J1847:$Q1847,"x")+1),-$E1847*N(M1847)))</f>
        <v/>
      </c>
      <c r="AB1847" s="34">
        <f>IF(OR($A1847="",$H1847&lt;&gt;"Ausgabe",N1847=""),0,IF(N1847="x",-$E1847/(COUNTIF($J1847:$Q1847,"x")+1),-$E1847*N(N1847)))</f>
        <v/>
      </c>
      <c r="AC1847" s="34">
        <f>IF(OR($A1847="",$H1847&lt;&gt;"Ausgabe",O1847=""),0,IF(O1847="x",-$E1847/(COUNTIF($J1847:$Q1847,"x")+1),-$E1847*N(O1847)))</f>
        <v/>
      </c>
      <c r="AD1847" s="34">
        <f>IF(OR($A1847="",$H1847&lt;&gt;"Ausgabe",P1847=""),0,IF(P1847="x",-$E1847/(COUNTIF($J1847:$Q1847,"x")+1),-$E1847*N(P1847)))</f>
        <v/>
      </c>
      <c r="AE1847" s="34">
        <f>IF(OR($A1847="",$H1847&lt;&gt;"Ausgabe",Q1847=""),0,IF(Q1847="x",-$E1847/(COUNTIF($J1847:$Q1847,"x")+1),-$E1847*N(Q1847)))</f>
        <v/>
      </c>
    </row>
    <row r="1848">
      <c r="A1848" s="30" t="n"/>
      <c r="E1848" s="31" t="n"/>
      <c r="J1848" s="32" t="n"/>
      <c r="K1848" s="32" t="n"/>
      <c r="L1848" s="32" t="n"/>
      <c r="M1848" s="32" t="n"/>
      <c r="N1848" s="32" t="n"/>
      <c r="O1848" s="32" t="n"/>
      <c r="P1848" s="32" t="n"/>
      <c r="Q1848" s="32" t="n"/>
      <c r="U1848" s="31">
        <f>IF($A1848="","",SUM(X1848:AE1848))</f>
        <v/>
      </c>
      <c r="V1848" s="31">
        <f>IF($A1848="","",IF($H1848&lt;&gt;"Ausgabe",0,-$E1848-$U1848))</f>
        <v/>
      </c>
      <c r="W1848" s="33">
        <f>IF($A1848="","",DATE(YEAR($A1848),MONTH($A1848),1))</f>
        <v/>
      </c>
      <c r="X1848" s="34">
        <f>IF(OR($A1848="",$H1848&lt;&gt;"Ausgabe",J1848=""),0,IF(J1848="x",-$E1848/(COUNTIF($J1848:$Q1848,"x")+1),-$E1848*N(J1848)))</f>
        <v/>
      </c>
      <c r="Y1848" s="34">
        <f>IF(OR($A1848="",$H1848&lt;&gt;"Ausgabe",K1848=""),0,IF(K1848="x",-$E1848/(COUNTIF($J1848:$Q1848,"x")+1),-$E1848*N(K1848)))</f>
        <v/>
      </c>
      <c r="Z1848" s="34">
        <f>IF(OR($A1848="",$H1848&lt;&gt;"Ausgabe",L1848=""),0,IF(L1848="x",-$E1848/(COUNTIF($J1848:$Q1848,"x")+1),-$E1848*N(L1848)))</f>
        <v/>
      </c>
      <c r="AA1848" s="34">
        <f>IF(OR($A1848="",$H1848&lt;&gt;"Ausgabe",M1848=""),0,IF(M1848="x",-$E1848/(COUNTIF($J1848:$Q1848,"x")+1),-$E1848*N(M1848)))</f>
        <v/>
      </c>
      <c r="AB1848" s="34">
        <f>IF(OR($A1848="",$H1848&lt;&gt;"Ausgabe",N1848=""),0,IF(N1848="x",-$E1848/(COUNTIF($J1848:$Q1848,"x")+1),-$E1848*N(N1848)))</f>
        <v/>
      </c>
      <c r="AC1848" s="34">
        <f>IF(OR($A1848="",$H1848&lt;&gt;"Ausgabe",O1848=""),0,IF(O1848="x",-$E1848/(COUNTIF($J1848:$Q1848,"x")+1),-$E1848*N(O1848)))</f>
        <v/>
      </c>
      <c r="AD1848" s="34">
        <f>IF(OR($A1848="",$H1848&lt;&gt;"Ausgabe",P1848=""),0,IF(P1848="x",-$E1848/(COUNTIF($J1848:$Q1848,"x")+1),-$E1848*N(P1848)))</f>
        <v/>
      </c>
      <c r="AE1848" s="34">
        <f>IF(OR($A1848="",$H1848&lt;&gt;"Ausgabe",Q1848=""),0,IF(Q1848="x",-$E1848/(COUNTIF($J1848:$Q1848,"x")+1),-$E1848*N(Q1848)))</f>
        <v/>
      </c>
    </row>
    <row r="1849">
      <c r="A1849" s="30" t="n"/>
      <c r="E1849" s="31" t="n"/>
      <c r="J1849" s="32" t="n"/>
      <c r="K1849" s="32" t="n"/>
      <c r="L1849" s="32" t="n"/>
      <c r="M1849" s="32" t="n"/>
      <c r="N1849" s="32" t="n"/>
      <c r="O1849" s="32" t="n"/>
      <c r="P1849" s="32" t="n"/>
      <c r="Q1849" s="32" t="n"/>
      <c r="U1849" s="31">
        <f>IF($A1849="","",SUM(X1849:AE1849))</f>
        <v/>
      </c>
      <c r="V1849" s="31">
        <f>IF($A1849="","",IF($H1849&lt;&gt;"Ausgabe",0,-$E1849-$U1849))</f>
        <v/>
      </c>
      <c r="W1849" s="33">
        <f>IF($A1849="","",DATE(YEAR($A1849),MONTH($A1849),1))</f>
        <v/>
      </c>
      <c r="X1849" s="34">
        <f>IF(OR($A1849="",$H1849&lt;&gt;"Ausgabe",J1849=""),0,IF(J1849="x",-$E1849/(COUNTIF($J1849:$Q1849,"x")+1),-$E1849*N(J1849)))</f>
        <v/>
      </c>
      <c r="Y1849" s="34">
        <f>IF(OR($A1849="",$H1849&lt;&gt;"Ausgabe",K1849=""),0,IF(K1849="x",-$E1849/(COUNTIF($J1849:$Q1849,"x")+1),-$E1849*N(K1849)))</f>
        <v/>
      </c>
      <c r="Z1849" s="34">
        <f>IF(OR($A1849="",$H1849&lt;&gt;"Ausgabe",L1849=""),0,IF(L1849="x",-$E1849/(COUNTIF($J1849:$Q1849,"x")+1),-$E1849*N(L1849)))</f>
        <v/>
      </c>
      <c r="AA1849" s="34">
        <f>IF(OR($A1849="",$H1849&lt;&gt;"Ausgabe",M1849=""),0,IF(M1849="x",-$E1849/(COUNTIF($J1849:$Q1849,"x")+1),-$E1849*N(M1849)))</f>
        <v/>
      </c>
      <c r="AB1849" s="34">
        <f>IF(OR($A1849="",$H1849&lt;&gt;"Ausgabe",N1849=""),0,IF(N1849="x",-$E1849/(COUNTIF($J1849:$Q1849,"x")+1),-$E1849*N(N1849)))</f>
        <v/>
      </c>
      <c r="AC1849" s="34">
        <f>IF(OR($A1849="",$H1849&lt;&gt;"Ausgabe",O1849=""),0,IF(O1849="x",-$E1849/(COUNTIF($J1849:$Q1849,"x")+1),-$E1849*N(O1849)))</f>
        <v/>
      </c>
      <c r="AD1849" s="34">
        <f>IF(OR($A1849="",$H1849&lt;&gt;"Ausgabe",P1849=""),0,IF(P1849="x",-$E1849/(COUNTIF($J1849:$Q1849,"x")+1),-$E1849*N(P1849)))</f>
        <v/>
      </c>
      <c r="AE1849" s="34">
        <f>IF(OR($A1849="",$H1849&lt;&gt;"Ausgabe",Q1849=""),0,IF(Q1849="x",-$E1849/(COUNTIF($J1849:$Q1849,"x")+1),-$E1849*N(Q1849)))</f>
        <v/>
      </c>
    </row>
    <row r="1850">
      <c r="A1850" s="30" t="n"/>
      <c r="E1850" s="31" t="n"/>
      <c r="J1850" s="32" t="n"/>
      <c r="K1850" s="32" t="n"/>
      <c r="L1850" s="32" t="n"/>
      <c r="M1850" s="32" t="n"/>
      <c r="N1850" s="32" t="n"/>
      <c r="O1850" s="32" t="n"/>
      <c r="P1850" s="32" t="n"/>
      <c r="Q1850" s="32" t="n"/>
      <c r="U1850" s="31">
        <f>IF($A1850="","",SUM(X1850:AE1850))</f>
        <v/>
      </c>
      <c r="V1850" s="31">
        <f>IF($A1850="","",IF($H1850&lt;&gt;"Ausgabe",0,-$E1850-$U1850))</f>
        <v/>
      </c>
      <c r="W1850" s="33">
        <f>IF($A1850="","",DATE(YEAR($A1850),MONTH($A1850),1))</f>
        <v/>
      </c>
      <c r="X1850" s="34">
        <f>IF(OR($A1850="",$H1850&lt;&gt;"Ausgabe",J1850=""),0,IF(J1850="x",-$E1850/(COUNTIF($J1850:$Q1850,"x")+1),-$E1850*N(J1850)))</f>
        <v/>
      </c>
      <c r="Y1850" s="34">
        <f>IF(OR($A1850="",$H1850&lt;&gt;"Ausgabe",K1850=""),0,IF(K1850="x",-$E1850/(COUNTIF($J1850:$Q1850,"x")+1),-$E1850*N(K1850)))</f>
        <v/>
      </c>
      <c r="Z1850" s="34">
        <f>IF(OR($A1850="",$H1850&lt;&gt;"Ausgabe",L1850=""),0,IF(L1850="x",-$E1850/(COUNTIF($J1850:$Q1850,"x")+1),-$E1850*N(L1850)))</f>
        <v/>
      </c>
      <c r="AA1850" s="34">
        <f>IF(OR($A1850="",$H1850&lt;&gt;"Ausgabe",M1850=""),0,IF(M1850="x",-$E1850/(COUNTIF($J1850:$Q1850,"x")+1),-$E1850*N(M1850)))</f>
        <v/>
      </c>
      <c r="AB1850" s="34">
        <f>IF(OR($A1850="",$H1850&lt;&gt;"Ausgabe",N1850=""),0,IF(N1850="x",-$E1850/(COUNTIF($J1850:$Q1850,"x")+1),-$E1850*N(N1850)))</f>
        <v/>
      </c>
      <c r="AC1850" s="34">
        <f>IF(OR($A1850="",$H1850&lt;&gt;"Ausgabe",O1850=""),0,IF(O1850="x",-$E1850/(COUNTIF($J1850:$Q1850,"x")+1),-$E1850*N(O1850)))</f>
        <v/>
      </c>
      <c r="AD1850" s="34">
        <f>IF(OR($A1850="",$H1850&lt;&gt;"Ausgabe",P1850=""),0,IF(P1850="x",-$E1850/(COUNTIF($J1850:$Q1850,"x")+1),-$E1850*N(P1850)))</f>
        <v/>
      </c>
      <c r="AE1850" s="34">
        <f>IF(OR($A1850="",$H1850&lt;&gt;"Ausgabe",Q1850=""),0,IF(Q1850="x",-$E1850/(COUNTIF($J1850:$Q1850,"x")+1),-$E1850*N(Q1850)))</f>
        <v/>
      </c>
    </row>
    <row r="1851">
      <c r="A1851" s="30" t="n"/>
      <c r="E1851" s="31" t="n"/>
      <c r="J1851" s="32" t="n"/>
      <c r="K1851" s="32" t="n"/>
      <c r="L1851" s="32" t="n"/>
      <c r="M1851" s="32" t="n"/>
      <c r="N1851" s="32" t="n"/>
      <c r="O1851" s="32" t="n"/>
      <c r="P1851" s="32" t="n"/>
      <c r="Q1851" s="32" t="n"/>
      <c r="U1851" s="31">
        <f>IF($A1851="","",SUM(X1851:AE1851))</f>
        <v/>
      </c>
      <c r="V1851" s="31">
        <f>IF($A1851="","",IF($H1851&lt;&gt;"Ausgabe",0,-$E1851-$U1851))</f>
        <v/>
      </c>
      <c r="W1851" s="33">
        <f>IF($A1851="","",DATE(YEAR($A1851),MONTH($A1851),1))</f>
        <v/>
      </c>
      <c r="X1851" s="34">
        <f>IF(OR($A1851="",$H1851&lt;&gt;"Ausgabe",J1851=""),0,IF(J1851="x",-$E1851/(COUNTIF($J1851:$Q1851,"x")+1),-$E1851*N(J1851)))</f>
        <v/>
      </c>
      <c r="Y1851" s="34">
        <f>IF(OR($A1851="",$H1851&lt;&gt;"Ausgabe",K1851=""),0,IF(K1851="x",-$E1851/(COUNTIF($J1851:$Q1851,"x")+1),-$E1851*N(K1851)))</f>
        <v/>
      </c>
      <c r="Z1851" s="34">
        <f>IF(OR($A1851="",$H1851&lt;&gt;"Ausgabe",L1851=""),0,IF(L1851="x",-$E1851/(COUNTIF($J1851:$Q1851,"x")+1),-$E1851*N(L1851)))</f>
        <v/>
      </c>
      <c r="AA1851" s="34">
        <f>IF(OR($A1851="",$H1851&lt;&gt;"Ausgabe",M1851=""),0,IF(M1851="x",-$E1851/(COUNTIF($J1851:$Q1851,"x")+1),-$E1851*N(M1851)))</f>
        <v/>
      </c>
      <c r="AB1851" s="34">
        <f>IF(OR($A1851="",$H1851&lt;&gt;"Ausgabe",N1851=""),0,IF(N1851="x",-$E1851/(COUNTIF($J1851:$Q1851,"x")+1),-$E1851*N(N1851)))</f>
        <v/>
      </c>
      <c r="AC1851" s="34">
        <f>IF(OR($A1851="",$H1851&lt;&gt;"Ausgabe",O1851=""),0,IF(O1851="x",-$E1851/(COUNTIF($J1851:$Q1851,"x")+1),-$E1851*N(O1851)))</f>
        <v/>
      </c>
      <c r="AD1851" s="34">
        <f>IF(OR($A1851="",$H1851&lt;&gt;"Ausgabe",P1851=""),0,IF(P1851="x",-$E1851/(COUNTIF($J1851:$Q1851,"x")+1),-$E1851*N(P1851)))</f>
        <v/>
      </c>
      <c r="AE1851" s="34">
        <f>IF(OR($A1851="",$H1851&lt;&gt;"Ausgabe",Q1851=""),0,IF(Q1851="x",-$E1851/(COUNTIF($J1851:$Q1851,"x")+1),-$E1851*N(Q1851)))</f>
        <v/>
      </c>
    </row>
    <row r="1852">
      <c r="A1852" s="30" t="n"/>
      <c r="E1852" s="31" t="n"/>
      <c r="J1852" s="32" t="n"/>
      <c r="K1852" s="32" t="n"/>
      <c r="L1852" s="32" t="n"/>
      <c r="M1852" s="32" t="n"/>
      <c r="N1852" s="32" t="n"/>
      <c r="O1852" s="32" t="n"/>
      <c r="P1852" s="32" t="n"/>
      <c r="Q1852" s="32" t="n"/>
      <c r="U1852" s="31">
        <f>IF($A1852="","",SUM(X1852:AE1852))</f>
        <v/>
      </c>
      <c r="V1852" s="31">
        <f>IF($A1852="","",IF($H1852&lt;&gt;"Ausgabe",0,-$E1852-$U1852))</f>
        <v/>
      </c>
      <c r="W1852" s="33">
        <f>IF($A1852="","",DATE(YEAR($A1852),MONTH($A1852),1))</f>
        <v/>
      </c>
      <c r="X1852" s="34">
        <f>IF(OR($A1852="",$H1852&lt;&gt;"Ausgabe",J1852=""),0,IF(J1852="x",-$E1852/(COUNTIF($J1852:$Q1852,"x")+1),-$E1852*N(J1852)))</f>
        <v/>
      </c>
      <c r="Y1852" s="34">
        <f>IF(OR($A1852="",$H1852&lt;&gt;"Ausgabe",K1852=""),0,IF(K1852="x",-$E1852/(COUNTIF($J1852:$Q1852,"x")+1),-$E1852*N(K1852)))</f>
        <v/>
      </c>
      <c r="Z1852" s="34">
        <f>IF(OR($A1852="",$H1852&lt;&gt;"Ausgabe",L1852=""),0,IF(L1852="x",-$E1852/(COUNTIF($J1852:$Q1852,"x")+1),-$E1852*N(L1852)))</f>
        <v/>
      </c>
      <c r="AA1852" s="34">
        <f>IF(OR($A1852="",$H1852&lt;&gt;"Ausgabe",M1852=""),0,IF(M1852="x",-$E1852/(COUNTIF($J1852:$Q1852,"x")+1),-$E1852*N(M1852)))</f>
        <v/>
      </c>
      <c r="AB1852" s="34">
        <f>IF(OR($A1852="",$H1852&lt;&gt;"Ausgabe",N1852=""),0,IF(N1852="x",-$E1852/(COUNTIF($J1852:$Q1852,"x")+1),-$E1852*N(N1852)))</f>
        <v/>
      </c>
      <c r="AC1852" s="34">
        <f>IF(OR($A1852="",$H1852&lt;&gt;"Ausgabe",O1852=""),0,IF(O1852="x",-$E1852/(COUNTIF($J1852:$Q1852,"x")+1),-$E1852*N(O1852)))</f>
        <v/>
      </c>
      <c r="AD1852" s="34">
        <f>IF(OR($A1852="",$H1852&lt;&gt;"Ausgabe",P1852=""),0,IF(P1852="x",-$E1852/(COUNTIF($J1852:$Q1852,"x")+1),-$E1852*N(P1852)))</f>
        <v/>
      </c>
      <c r="AE1852" s="34">
        <f>IF(OR($A1852="",$H1852&lt;&gt;"Ausgabe",Q1852=""),0,IF(Q1852="x",-$E1852/(COUNTIF($J1852:$Q1852,"x")+1),-$E1852*N(Q1852)))</f>
        <v/>
      </c>
    </row>
    <row r="1853">
      <c r="A1853" s="30" t="n"/>
      <c r="E1853" s="31" t="n"/>
      <c r="J1853" s="32" t="n"/>
      <c r="K1853" s="32" t="n"/>
      <c r="L1853" s="32" t="n"/>
      <c r="M1853" s="32" t="n"/>
      <c r="N1853" s="32" t="n"/>
      <c r="O1853" s="32" t="n"/>
      <c r="P1853" s="32" t="n"/>
      <c r="Q1853" s="32" t="n"/>
      <c r="U1853" s="31">
        <f>IF($A1853="","",SUM(X1853:AE1853))</f>
        <v/>
      </c>
      <c r="V1853" s="31">
        <f>IF($A1853="","",IF($H1853&lt;&gt;"Ausgabe",0,-$E1853-$U1853))</f>
        <v/>
      </c>
      <c r="W1853" s="33">
        <f>IF($A1853="","",DATE(YEAR($A1853),MONTH($A1853),1))</f>
        <v/>
      </c>
      <c r="X1853" s="34">
        <f>IF(OR($A1853="",$H1853&lt;&gt;"Ausgabe",J1853=""),0,IF(J1853="x",-$E1853/(COUNTIF($J1853:$Q1853,"x")+1),-$E1853*N(J1853)))</f>
        <v/>
      </c>
      <c r="Y1853" s="34">
        <f>IF(OR($A1853="",$H1853&lt;&gt;"Ausgabe",K1853=""),0,IF(K1853="x",-$E1853/(COUNTIF($J1853:$Q1853,"x")+1),-$E1853*N(K1853)))</f>
        <v/>
      </c>
      <c r="Z1853" s="34">
        <f>IF(OR($A1853="",$H1853&lt;&gt;"Ausgabe",L1853=""),0,IF(L1853="x",-$E1853/(COUNTIF($J1853:$Q1853,"x")+1),-$E1853*N(L1853)))</f>
        <v/>
      </c>
      <c r="AA1853" s="34">
        <f>IF(OR($A1853="",$H1853&lt;&gt;"Ausgabe",M1853=""),0,IF(M1853="x",-$E1853/(COUNTIF($J1853:$Q1853,"x")+1),-$E1853*N(M1853)))</f>
        <v/>
      </c>
      <c r="AB1853" s="34">
        <f>IF(OR($A1853="",$H1853&lt;&gt;"Ausgabe",N1853=""),0,IF(N1853="x",-$E1853/(COUNTIF($J1853:$Q1853,"x")+1),-$E1853*N(N1853)))</f>
        <v/>
      </c>
      <c r="AC1853" s="34">
        <f>IF(OR($A1853="",$H1853&lt;&gt;"Ausgabe",O1853=""),0,IF(O1853="x",-$E1853/(COUNTIF($J1853:$Q1853,"x")+1),-$E1853*N(O1853)))</f>
        <v/>
      </c>
      <c r="AD1853" s="34">
        <f>IF(OR($A1853="",$H1853&lt;&gt;"Ausgabe",P1853=""),0,IF(P1853="x",-$E1853/(COUNTIF($J1853:$Q1853,"x")+1),-$E1853*N(P1853)))</f>
        <v/>
      </c>
      <c r="AE1853" s="34">
        <f>IF(OR($A1853="",$H1853&lt;&gt;"Ausgabe",Q1853=""),0,IF(Q1853="x",-$E1853/(COUNTIF($J1853:$Q1853,"x")+1),-$E1853*N(Q1853)))</f>
        <v/>
      </c>
    </row>
    <row r="1854">
      <c r="A1854" s="30" t="n"/>
      <c r="E1854" s="31" t="n"/>
      <c r="J1854" s="32" t="n"/>
      <c r="K1854" s="32" t="n"/>
      <c r="L1854" s="32" t="n"/>
      <c r="M1854" s="32" t="n"/>
      <c r="N1854" s="32" t="n"/>
      <c r="O1854" s="32" t="n"/>
      <c r="P1854" s="32" t="n"/>
      <c r="Q1854" s="32" t="n"/>
      <c r="U1854" s="31">
        <f>IF($A1854="","",SUM(X1854:AE1854))</f>
        <v/>
      </c>
      <c r="V1854" s="31">
        <f>IF($A1854="","",IF($H1854&lt;&gt;"Ausgabe",0,-$E1854-$U1854))</f>
        <v/>
      </c>
      <c r="W1854" s="33">
        <f>IF($A1854="","",DATE(YEAR($A1854),MONTH($A1854),1))</f>
        <v/>
      </c>
      <c r="X1854" s="34">
        <f>IF(OR($A1854="",$H1854&lt;&gt;"Ausgabe",J1854=""),0,IF(J1854="x",-$E1854/(COUNTIF($J1854:$Q1854,"x")+1),-$E1854*N(J1854)))</f>
        <v/>
      </c>
      <c r="Y1854" s="34">
        <f>IF(OR($A1854="",$H1854&lt;&gt;"Ausgabe",K1854=""),0,IF(K1854="x",-$E1854/(COUNTIF($J1854:$Q1854,"x")+1),-$E1854*N(K1854)))</f>
        <v/>
      </c>
      <c r="Z1854" s="34">
        <f>IF(OR($A1854="",$H1854&lt;&gt;"Ausgabe",L1854=""),0,IF(L1854="x",-$E1854/(COUNTIF($J1854:$Q1854,"x")+1),-$E1854*N(L1854)))</f>
        <v/>
      </c>
      <c r="AA1854" s="34">
        <f>IF(OR($A1854="",$H1854&lt;&gt;"Ausgabe",M1854=""),0,IF(M1854="x",-$E1854/(COUNTIF($J1854:$Q1854,"x")+1),-$E1854*N(M1854)))</f>
        <v/>
      </c>
      <c r="AB1854" s="34">
        <f>IF(OR($A1854="",$H1854&lt;&gt;"Ausgabe",N1854=""),0,IF(N1854="x",-$E1854/(COUNTIF($J1854:$Q1854,"x")+1),-$E1854*N(N1854)))</f>
        <v/>
      </c>
      <c r="AC1854" s="34">
        <f>IF(OR($A1854="",$H1854&lt;&gt;"Ausgabe",O1854=""),0,IF(O1854="x",-$E1854/(COUNTIF($J1854:$Q1854,"x")+1),-$E1854*N(O1854)))</f>
        <v/>
      </c>
      <c r="AD1854" s="34">
        <f>IF(OR($A1854="",$H1854&lt;&gt;"Ausgabe",P1854=""),0,IF(P1854="x",-$E1854/(COUNTIF($J1854:$Q1854,"x")+1),-$E1854*N(P1854)))</f>
        <v/>
      </c>
      <c r="AE1854" s="34">
        <f>IF(OR($A1854="",$H1854&lt;&gt;"Ausgabe",Q1854=""),0,IF(Q1854="x",-$E1854/(COUNTIF($J1854:$Q1854,"x")+1),-$E1854*N(Q1854)))</f>
        <v/>
      </c>
    </row>
    <row r="1855">
      <c r="A1855" s="30" t="n"/>
      <c r="E1855" s="31" t="n"/>
      <c r="J1855" s="32" t="n"/>
      <c r="K1855" s="32" t="n"/>
      <c r="L1855" s="32" t="n"/>
      <c r="M1855" s="32" t="n"/>
      <c r="N1855" s="32" t="n"/>
      <c r="O1855" s="32" t="n"/>
      <c r="P1855" s="32" t="n"/>
      <c r="Q1855" s="32" t="n"/>
      <c r="U1855" s="31">
        <f>IF($A1855="","",SUM(X1855:AE1855))</f>
        <v/>
      </c>
      <c r="V1855" s="31">
        <f>IF($A1855="","",IF($H1855&lt;&gt;"Ausgabe",0,-$E1855-$U1855))</f>
        <v/>
      </c>
      <c r="W1855" s="33">
        <f>IF($A1855="","",DATE(YEAR($A1855),MONTH($A1855),1))</f>
        <v/>
      </c>
      <c r="X1855" s="34">
        <f>IF(OR($A1855="",$H1855&lt;&gt;"Ausgabe",J1855=""),0,IF(J1855="x",-$E1855/(COUNTIF($J1855:$Q1855,"x")+1),-$E1855*N(J1855)))</f>
        <v/>
      </c>
      <c r="Y1855" s="34">
        <f>IF(OR($A1855="",$H1855&lt;&gt;"Ausgabe",K1855=""),0,IF(K1855="x",-$E1855/(COUNTIF($J1855:$Q1855,"x")+1),-$E1855*N(K1855)))</f>
        <v/>
      </c>
      <c r="Z1855" s="34">
        <f>IF(OR($A1855="",$H1855&lt;&gt;"Ausgabe",L1855=""),0,IF(L1855="x",-$E1855/(COUNTIF($J1855:$Q1855,"x")+1),-$E1855*N(L1855)))</f>
        <v/>
      </c>
      <c r="AA1855" s="34">
        <f>IF(OR($A1855="",$H1855&lt;&gt;"Ausgabe",M1855=""),0,IF(M1855="x",-$E1855/(COUNTIF($J1855:$Q1855,"x")+1),-$E1855*N(M1855)))</f>
        <v/>
      </c>
      <c r="AB1855" s="34">
        <f>IF(OR($A1855="",$H1855&lt;&gt;"Ausgabe",N1855=""),0,IF(N1855="x",-$E1855/(COUNTIF($J1855:$Q1855,"x")+1),-$E1855*N(N1855)))</f>
        <v/>
      </c>
      <c r="AC1855" s="34">
        <f>IF(OR($A1855="",$H1855&lt;&gt;"Ausgabe",O1855=""),0,IF(O1855="x",-$E1855/(COUNTIF($J1855:$Q1855,"x")+1),-$E1855*N(O1855)))</f>
        <v/>
      </c>
      <c r="AD1855" s="34">
        <f>IF(OR($A1855="",$H1855&lt;&gt;"Ausgabe",P1855=""),0,IF(P1855="x",-$E1855/(COUNTIF($J1855:$Q1855,"x")+1),-$E1855*N(P1855)))</f>
        <v/>
      </c>
      <c r="AE1855" s="34">
        <f>IF(OR($A1855="",$H1855&lt;&gt;"Ausgabe",Q1855=""),0,IF(Q1855="x",-$E1855/(COUNTIF($J1855:$Q1855,"x")+1),-$E1855*N(Q1855)))</f>
        <v/>
      </c>
    </row>
    <row r="1856">
      <c r="A1856" s="30" t="n"/>
      <c r="E1856" s="31" t="n"/>
      <c r="J1856" s="32" t="n"/>
      <c r="K1856" s="32" t="n"/>
      <c r="L1856" s="32" t="n"/>
      <c r="M1856" s="32" t="n"/>
      <c r="N1856" s="32" t="n"/>
      <c r="O1856" s="32" t="n"/>
      <c r="P1856" s="32" t="n"/>
      <c r="Q1856" s="32" t="n"/>
      <c r="U1856" s="31">
        <f>IF($A1856="","",SUM(X1856:AE1856))</f>
        <v/>
      </c>
      <c r="V1856" s="31">
        <f>IF($A1856="","",IF($H1856&lt;&gt;"Ausgabe",0,-$E1856-$U1856))</f>
        <v/>
      </c>
      <c r="W1856" s="33">
        <f>IF($A1856="","",DATE(YEAR($A1856),MONTH($A1856),1))</f>
        <v/>
      </c>
      <c r="X1856" s="34">
        <f>IF(OR($A1856="",$H1856&lt;&gt;"Ausgabe",J1856=""),0,IF(J1856="x",-$E1856/(COUNTIF($J1856:$Q1856,"x")+1),-$E1856*N(J1856)))</f>
        <v/>
      </c>
      <c r="Y1856" s="34">
        <f>IF(OR($A1856="",$H1856&lt;&gt;"Ausgabe",K1856=""),0,IF(K1856="x",-$E1856/(COUNTIF($J1856:$Q1856,"x")+1),-$E1856*N(K1856)))</f>
        <v/>
      </c>
      <c r="Z1856" s="34">
        <f>IF(OR($A1856="",$H1856&lt;&gt;"Ausgabe",L1856=""),0,IF(L1856="x",-$E1856/(COUNTIF($J1856:$Q1856,"x")+1),-$E1856*N(L1856)))</f>
        <v/>
      </c>
      <c r="AA1856" s="34">
        <f>IF(OR($A1856="",$H1856&lt;&gt;"Ausgabe",M1856=""),0,IF(M1856="x",-$E1856/(COUNTIF($J1856:$Q1856,"x")+1),-$E1856*N(M1856)))</f>
        <v/>
      </c>
      <c r="AB1856" s="34">
        <f>IF(OR($A1856="",$H1856&lt;&gt;"Ausgabe",N1856=""),0,IF(N1856="x",-$E1856/(COUNTIF($J1856:$Q1856,"x")+1),-$E1856*N(N1856)))</f>
        <v/>
      </c>
      <c r="AC1856" s="34">
        <f>IF(OR($A1856="",$H1856&lt;&gt;"Ausgabe",O1856=""),0,IF(O1856="x",-$E1856/(COUNTIF($J1856:$Q1856,"x")+1),-$E1856*N(O1856)))</f>
        <v/>
      </c>
      <c r="AD1856" s="34">
        <f>IF(OR($A1856="",$H1856&lt;&gt;"Ausgabe",P1856=""),0,IF(P1856="x",-$E1856/(COUNTIF($J1856:$Q1856,"x")+1),-$E1856*N(P1856)))</f>
        <v/>
      </c>
      <c r="AE1856" s="34">
        <f>IF(OR($A1856="",$H1856&lt;&gt;"Ausgabe",Q1856=""),0,IF(Q1856="x",-$E1856/(COUNTIF($J1856:$Q1856,"x")+1),-$E1856*N(Q1856)))</f>
        <v/>
      </c>
    </row>
    <row r="1857">
      <c r="A1857" s="30" t="n"/>
      <c r="E1857" s="31" t="n"/>
      <c r="J1857" s="32" t="n"/>
      <c r="K1857" s="32" t="n"/>
      <c r="L1857" s="32" t="n"/>
      <c r="M1857" s="32" t="n"/>
      <c r="N1857" s="32" t="n"/>
      <c r="O1857" s="32" t="n"/>
      <c r="P1857" s="32" t="n"/>
      <c r="Q1857" s="32" t="n"/>
      <c r="U1857" s="31">
        <f>IF($A1857="","",SUM(X1857:AE1857))</f>
        <v/>
      </c>
      <c r="V1857" s="31">
        <f>IF($A1857="","",IF($H1857&lt;&gt;"Ausgabe",0,-$E1857-$U1857))</f>
        <v/>
      </c>
      <c r="W1857" s="33">
        <f>IF($A1857="","",DATE(YEAR($A1857),MONTH($A1857),1))</f>
        <v/>
      </c>
      <c r="X1857" s="34">
        <f>IF(OR($A1857="",$H1857&lt;&gt;"Ausgabe",J1857=""),0,IF(J1857="x",-$E1857/(COUNTIF($J1857:$Q1857,"x")+1),-$E1857*N(J1857)))</f>
        <v/>
      </c>
      <c r="Y1857" s="34">
        <f>IF(OR($A1857="",$H1857&lt;&gt;"Ausgabe",K1857=""),0,IF(K1857="x",-$E1857/(COUNTIF($J1857:$Q1857,"x")+1),-$E1857*N(K1857)))</f>
        <v/>
      </c>
      <c r="Z1857" s="34">
        <f>IF(OR($A1857="",$H1857&lt;&gt;"Ausgabe",L1857=""),0,IF(L1857="x",-$E1857/(COUNTIF($J1857:$Q1857,"x")+1),-$E1857*N(L1857)))</f>
        <v/>
      </c>
      <c r="AA1857" s="34">
        <f>IF(OR($A1857="",$H1857&lt;&gt;"Ausgabe",M1857=""),0,IF(M1857="x",-$E1857/(COUNTIF($J1857:$Q1857,"x")+1),-$E1857*N(M1857)))</f>
        <v/>
      </c>
      <c r="AB1857" s="34">
        <f>IF(OR($A1857="",$H1857&lt;&gt;"Ausgabe",N1857=""),0,IF(N1857="x",-$E1857/(COUNTIF($J1857:$Q1857,"x")+1),-$E1857*N(N1857)))</f>
        <v/>
      </c>
      <c r="AC1857" s="34">
        <f>IF(OR($A1857="",$H1857&lt;&gt;"Ausgabe",O1857=""),0,IF(O1857="x",-$E1857/(COUNTIF($J1857:$Q1857,"x")+1),-$E1857*N(O1857)))</f>
        <v/>
      </c>
      <c r="AD1857" s="34">
        <f>IF(OR($A1857="",$H1857&lt;&gt;"Ausgabe",P1857=""),0,IF(P1857="x",-$E1857/(COUNTIF($J1857:$Q1857,"x")+1),-$E1857*N(P1857)))</f>
        <v/>
      </c>
      <c r="AE1857" s="34">
        <f>IF(OR($A1857="",$H1857&lt;&gt;"Ausgabe",Q1857=""),0,IF(Q1857="x",-$E1857/(COUNTIF($J1857:$Q1857,"x")+1),-$E1857*N(Q1857)))</f>
        <v/>
      </c>
    </row>
    <row r="1858">
      <c r="A1858" s="30" t="n"/>
      <c r="E1858" s="31" t="n"/>
      <c r="J1858" s="32" t="n"/>
      <c r="K1858" s="32" t="n"/>
      <c r="L1858" s="32" t="n"/>
      <c r="M1858" s="32" t="n"/>
      <c r="N1858" s="32" t="n"/>
      <c r="O1858" s="32" t="n"/>
      <c r="P1858" s="32" t="n"/>
      <c r="Q1858" s="32" t="n"/>
      <c r="U1858" s="31">
        <f>IF($A1858="","",SUM(X1858:AE1858))</f>
        <v/>
      </c>
      <c r="V1858" s="31">
        <f>IF($A1858="","",IF($H1858&lt;&gt;"Ausgabe",0,-$E1858-$U1858))</f>
        <v/>
      </c>
      <c r="W1858" s="33">
        <f>IF($A1858="","",DATE(YEAR($A1858),MONTH($A1858),1))</f>
        <v/>
      </c>
      <c r="X1858" s="34">
        <f>IF(OR($A1858="",$H1858&lt;&gt;"Ausgabe",J1858=""),0,IF(J1858="x",-$E1858/(COUNTIF($J1858:$Q1858,"x")+1),-$E1858*N(J1858)))</f>
        <v/>
      </c>
      <c r="Y1858" s="34">
        <f>IF(OR($A1858="",$H1858&lt;&gt;"Ausgabe",K1858=""),0,IF(K1858="x",-$E1858/(COUNTIF($J1858:$Q1858,"x")+1),-$E1858*N(K1858)))</f>
        <v/>
      </c>
      <c r="Z1858" s="34">
        <f>IF(OR($A1858="",$H1858&lt;&gt;"Ausgabe",L1858=""),0,IF(L1858="x",-$E1858/(COUNTIF($J1858:$Q1858,"x")+1),-$E1858*N(L1858)))</f>
        <v/>
      </c>
      <c r="AA1858" s="34">
        <f>IF(OR($A1858="",$H1858&lt;&gt;"Ausgabe",M1858=""),0,IF(M1858="x",-$E1858/(COUNTIF($J1858:$Q1858,"x")+1),-$E1858*N(M1858)))</f>
        <v/>
      </c>
      <c r="AB1858" s="34">
        <f>IF(OR($A1858="",$H1858&lt;&gt;"Ausgabe",N1858=""),0,IF(N1858="x",-$E1858/(COUNTIF($J1858:$Q1858,"x")+1),-$E1858*N(N1858)))</f>
        <v/>
      </c>
      <c r="AC1858" s="34">
        <f>IF(OR($A1858="",$H1858&lt;&gt;"Ausgabe",O1858=""),0,IF(O1858="x",-$E1858/(COUNTIF($J1858:$Q1858,"x")+1),-$E1858*N(O1858)))</f>
        <v/>
      </c>
      <c r="AD1858" s="34">
        <f>IF(OR($A1858="",$H1858&lt;&gt;"Ausgabe",P1858=""),0,IF(P1858="x",-$E1858/(COUNTIF($J1858:$Q1858,"x")+1),-$E1858*N(P1858)))</f>
        <v/>
      </c>
      <c r="AE1858" s="34">
        <f>IF(OR($A1858="",$H1858&lt;&gt;"Ausgabe",Q1858=""),0,IF(Q1858="x",-$E1858/(COUNTIF($J1858:$Q1858,"x")+1),-$E1858*N(Q1858)))</f>
        <v/>
      </c>
    </row>
    <row r="1859">
      <c r="A1859" s="30" t="n"/>
      <c r="E1859" s="31" t="n"/>
      <c r="J1859" s="32" t="n"/>
      <c r="K1859" s="32" t="n"/>
      <c r="L1859" s="32" t="n"/>
      <c r="M1859" s="32" t="n"/>
      <c r="N1859" s="32" t="n"/>
      <c r="O1859" s="32" t="n"/>
      <c r="P1859" s="32" t="n"/>
      <c r="Q1859" s="32" t="n"/>
      <c r="U1859" s="31">
        <f>IF($A1859="","",SUM(X1859:AE1859))</f>
        <v/>
      </c>
      <c r="V1859" s="31">
        <f>IF($A1859="","",IF($H1859&lt;&gt;"Ausgabe",0,-$E1859-$U1859))</f>
        <v/>
      </c>
      <c r="W1859" s="33">
        <f>IF($A1859="","",DATE(YEAR($A1859),MONTH($A1859),1))</f>
        <v/>
      </c>
      <c r="X1859" s="34">
        <f>IF(OR($A1859="",$H1859&lt;&gt;"Ausgabe",J1859=""),0,IF(J1859="x",-$E1859/(COUNTIF($J1859:$Q1859,"x")+1),-$E1859*N(J1859)))</f>
        <v/>
      </c>
      <c r="Y1859" s="34">
        <f>IF(OR($A1859="",$H1859&lt;&gt;"Ausgabe",K1859=""),0,IF(K1859="x",-$E1859/(COUNTIF($J1859:$Q1859,"x")+1),-$E1859*N(K1859)))</f>
        <v/>
      </c>
      <c r="Z1859" s="34">
        <f>IF(OR($A1859="",$H1859&lt;&gt;"Ausgabe",L1859=""),0,IF(L1859="x",-$E1859/(COUNTIF($J1859:$Q1859,"x")+1),-$E1859*N(L1859)))</f>
        <v/>
      </c>
      <c r="AA1859" s="34">
        <f>IF(OR($A1859="",$H1859&lt;&gt;"Ausgabe",M1859=""),0,IF(M1859="x",-$E1859/(COUNTIF($J1859:$Q1859,"x")+1),-$E1859*N(M1859)))</f>
        <v/>
      </c>
      <c r="AB1859" s="34">
        <f>IF(OR($A1859="",$H1859&lt;&gt;"Ausgabe",N1859=""),0,IF(N1859="x",-$E1859/(COUNTIF($J1859:$Q1859,"x")+1),-$E1859*N(N1859)))</f>
        <v/>
      </c>
      <c r="AC1859" s="34">
        <f>IF(OR($A1859="",$H1859&lt;&gt;"Ausgabe",O1859=""),0,IF(O1859="x",-$E1859/(COUNTIF($J1859:$Q1859,"x")+1),-$E1859*N(O1859)))</f>
        <v/>
      </c>
      <c r="AD1859" s="34">
        <f>IF(OR($A1859="",$H1859&lt;&gt;"Ausgabe",P1859=""),0,IF(P1859="x",-$E1859/(COUNTIF($J1859:$Q1859,"x")+1),-$E1859*N(P1859)))</f>
        <v/>
      </c>
      <c r="AE1859" s="34">
        <f>IF(OR($A1859="",$H1859&lt;&gt;"Ausgabe",Q1859=""),0,IF(Q1859="x",-$E1859/(COUNTIF($J1859:$Q1859,"x")+1),-$E1859*N(Q1859)))</f>
        <v/>
      </c>
    </row>
    <row r="1860">
      <c r="A1860" s="30" t="n"/>
      <c r="E1860" s="31" t="n"/>
      <c r="J1860" s="32" t="n"/>
      <c r="K1860" s="32" t="n"/>
      <c r="L1860" s="32" t="n"/>
      <c r="M1860" s="32" t="n"/>
      <c r="N1860" s="32" t="n"/>
      <c r="O1860" s="32" t="n"/>
      <c r="P1860" s="32" t="n"/>
      <c r="Q1860" s="32" t="n"/>
      <c r="U1860" s="31">
        <f>IF($A1860="","",SUM(X1860:AE1860))</f>
        <v/>
      </c>
      <c r="V1860" s="31">
        <f>IF($A1860="","",IF($H1860&lt;&gt;"Ausgabe",0,-$E1860-$U1860))</f>
        <v/>
      </c>
      <c r="W1860" s="33">
        <f>IF($A1860="","",DATE(YEAR($A1860),MONTH($A1860),1))</f>
        <v/>
      </c>
      <c r="X1860" s="34">
        <f>IF(OR($A1860="",$H1860&lt;&gt;"Ausgabe",J1860=""),0,IF(J1860="x",-$E1860/(COUNTIF($J1860:$Q1860,"x")+1),-$E1860*N(J1860)))</f>
        <v/>
      </c>
      <c r="Y1860" s="34">
        <f>IF(OR($A1860="",$H1860&lt;&gt;"Ausgabe",K1860=""),0,IF(K1860="x",-$E1860/(COUNTIF($J1860:$Q1860,"x")+1),-$E1860*N(K1860)))</f>
        <v/>
      </c>
      <c r="Z1860" s="34">
        <f>IF(OR($A1860="",$H1860&lt;&gt;"Ausgabe",L1860=""),0,IF(L1860="x",-$E1860/(COUNTIF($J1860:$Q1860,"x")+1),-$E1860*N(L1860)))</f>
        <v/>
      </c>
      <c r="AA1860" s="34">
        <f>IF(OR($A1860="",$H1860&lt;&gt;"Ausgabe",M1860=""),0,IF(M1860="x",-$E1860/(COUNTIF($J1860:$Q1860,"x")+1),-$E1860*N(M1860)))</f>
        <v/>
      </c>
      <c r="AB1860" s="34">
        <f>IF(OR($A1860="",$H1860&lt;&gt;"Ausgabe",N1860=""),0,IF(N1860="x",-$E1860/(COUNTIF($J1860:$Q1860,"x")+1),-$E1860*N(N1860)))</f>
        <v/>
      </c>
      <c r="AC1860" s="34">
        <f>IF(OR($A1860="",$H1860&lt;&gt;"Ausgabe",O1860=""),0,IF(O1860="x",-$E1860/(COUNTIF($J1860:$Q1860,"x")+1),-$E1860*N(O1860)))</f>
        <v/>
      </c>
      <c r="AD1860" s="34">
        <f>IF(OR($A1860="",$H1860&lt;&gt;"Ausgabe",P1860=""),0,IF(P1860="x",-$E1860/(COUNTIF($J1860:$Q1860,"x")+1),-$E1860*N(P1860)))</f>
        <v/>
      </c>
      <c r="AE1860" s="34">
        <f>IF(OR($A1860="",$H1860&lt;&gt;"Ausgabe",Q1860=""),0,IF(Q1860="x",-$E1860/(COUNTIF($J1860:$Q1860,"x")+1),-$E1860*N(Q1860)))</f>
        <v/>
      </c>
    </row>
    <row r="1861">
      <c r="A1861" s="30" t="n"/>
      <c r="E1861" s="31" t="n"/>
      <c r="J1861" s="32" t="n"/>
      <c r="K1861" s="32" t="n"/>
      <c r="L1861" s="32" t="n"/>
      <c r="M1861" s="32" t="n"/>
      <c r="N1861" s="32" t="n"/>
      <c r="O1861" s="32" t="n"/>
      <c r="P1861" s="32" t="n"/>
      <c r="Q1861" s="32" t="n"/>
      <c r="U1861" s="31">
        <f>IF($A1861="","",SUM(X1861:AE1861))</f>
        <v/>
      </c>
      <c r="V1861" s="31">
        <f>IF($A1861="","",IF($H1861&lt;&gt;"Ausgabe",0,-$E1861-$U1861))</f>
        <v/>
      </c>
      <c r="W1861" s="33">
        <f>IF($A1861="","",DATE(YEAR($A1861),MONTH($A1861),1))</f>
        <v/>
      </c>
      <c r="X1861" s="34">
        <f>IF(OR($A1861="",$H1861&lt;&gt;"Ausgabe",J1861=""),0,IF(J1861="x",-$E1861/(COUNTIF($J1861:$Q1861,"x")+1),-$E1861*N(J1861)))</f>
        <v/>
      </c>
      <c r="Y1861" s="34">
        <f>IF(OR($A1861="",$H1861&lt;&gt;"Ausgabe",K1861=""),0,IF(K1861="x",-$E1861/(COUNTIF($J1861:$Q1861,"x")+1),-$E1861*N(K1861)))</f>
        <v/>
      </c>
      <c r="Z1861" s="34">
        <f>IF(OR($A1861="",$H1861&lt;&gt;"Ausgabe",L1861=""),0,IF(L1861="x",-$E1861/(COUNTIF($J1861:$Q1861,"x")+1),-$E1861*N(L1861)))</f>
        <v/>
      </c>
      <c r="AA1861" s="34">
        <f>IF(OR($A1861="",$H1861&lt;&gt;"Ausgabe",M1861=""),0,IF(M1861="x",-$E1861/(COUNTIF($J1861:$Q1861,"x")+1),-$E1861*N(M1861)))</f>
        <v/>
      </c>
      <c r="AB1861" s="34">
        <f>IF(OR($A1861="",$H1861&lt;&gt;"Ausgabe",N1861=""),0,IF(N1861="x",-$E1861/(COUNTIF($J1861:$Q1861,"x")+1),-$E1861*N(N1861)))</f>
        <v/>
      </c>
      <c r="AC1861" s="34">
        <f>IF(OR($A1861="",$H1861&lt;&gt;"Ausgabe",O1861=""),0,IF(O1861="x",-$E1861/(COUNTIF($J1861:$Q1861,"x")+1),-$E1861*N(O1861)))</f>
        <v/>
      </c>
      <c r="AD1861" s="34">
        <f>IF(OR($A1861="",$H1861&lt;&gt;"Ausgabe",P1861=""),0,IF(P1861="x",-$E1861/(COUNTIF($J1861:$Q1861,"x")+1),-$E1861*N(P1861)))</f>
        <v/>
      </c>
      <c r="AE1861" s="34">
        <f>IF(OR($A1861="",$H1861&lt;&gt;"Ausgabe",Q1861=""),0,IF(Q1861="x",-$E1861/(COUNTIF($J1861:$Q1861,"x")+1),-$E1861*N(Q1861)))</f>
        <v/>
      </c>
    </row>
    <row r="1862">
      <c r="A1862" s="30" t="n"/>
      <c r="E1862" s="31" t="n"/>
      <c r="J1862" s="32" t="n"/>
      <c r="K1862" s="32" t="n"/>
      <c r="L1862" s="32" t="n"/>
      <c r="M1862" s="32" t="n"/>
      <c r="N1862" s="32" t="n"/>
      <c r="O1862" s="32" t="n"/>
      <c r="P1862" s="32" t="n"/>
      <c r="Q1862" s="32" t="n"/>
      <c r="U1862" s="31">
        <f>IF($A1862="","",SUM(X1862:AE1862))</f>
        <v/>
      </c>
      <c r="V1862" s="31">
        <f>IF($A1862="","",IF($H1862&lt;&gt;"Ausgabe",0,-$E1862-$U1862))</f>
        <v/>
      </c>
      <c r="W1862" s="33">
        <f>IF($A1862="","",DATE(YEAR($A1862),MONTH($A1862),1))</f>
        <v/>
      </c>
      <c r="X1862" s="34">
        <f>IF(OR($A1862="",$H1862&lt;&gt;"Ausgabe",J1862=""),0,IF(J1862="x",-$E1862/(COUNTIF($J1862:$Q1862,"x")+1),-$E1862*N(J1862)))</f>
        <v/>
      </c>
      <c r="Y1862" s="34">
        <f>IF(OR($A1862="",$H1862&lt;&gt;"Ausgabe",K1862=""),0,IF(K1862="x",-$E1862/(COUNTIF($J1862:$Q1862,"x")+1),-$E1862*N(K1862)))</f>
        <v/>
      </c>
      <c r="Z1862" s="34">
        <f>IF(OR($A1862="",$H1862&lt;&gt;"Ausgabe",L1862=""),0,IF(L1862="x",-$E1862/(COUNTIF($J1862:$Q1862,"x")+1),-$E1862*N(L1862)))</f>
        <v/>
      </c>
      <c r="AA1862" s="34">
        <f>IF(OR($A1862="",$H1862&lt;&gt;"Ausgabe",M1862=""),0,IF(M1862="x",-$E1862/(COUNTIF($J1862:$Q1862,"x")+1),-$E1862*N(M1862)))</f>
        <v/>
      </c>
      <c r="AB1862" s="34">
        <f>IF(OR($A1862="",$H1862&lt;&gt;"Ausgabe",N1862=""),0,IF(N1862="x",-$E1862/(COUNTIF($J1862:$Q1862,"x")+1),-$E1862*N(N1862)))</f>
        <v/>
      </c>
      <c r="AC1862" s="34">
        <f>IF(OR($A1862="",$H1862&lt;&gt;"Ausgabe",O1862=""),0,IF(O1862="x",-$E1862/(COUNTIF($J1862:$Q1862,"x")+1),-$E1862*N(O1862)))</f>
        <v/>
      </c>
      <c r="AD1862" s="34">
        <f>IF(OR($A1862="",$H1862&lt;&gt;"Ausgabe",P1862=""),0,IF(P1862="x",-$E1862/(COUNTIF($J1862:$Q1862,"x")+1),-$E1862*N(P1862)))</f>
        <v/>
      </c>
      <c r="AE1862" s="34">
        <f>IF(OR($A1862="",$H1862&lt;&gt;"Ausgabe",Q1862=""),0,IF(Q1862="x",-$E1862/(COUNTIF($J1862:$Q1862,"x")+1),-$E1862*N(Q1862)))</f>
        <v/>
      </c>
    </row>
    <row r="1863">
      <c r="A1863" s="30" t="n"/>
      <c r="E1863" s="31" t="n"/>
      <c r="J1863" s="32" t="n"/>
      <c r="K1863" s="32" t="n"/>
      <c r="L1863" s="32" t="n"/>
      <c r="M1863" s="32" t="n"/>
      <c r="N1863" s="32" t="n"/>
      <c r="O1863" s="32" t="n"/>
      <c r="P1863" s="32" t="n"/>
      <c r="Q1863" s="32" t="n"/>
      <c r="U1863" s="31">
        <f>IF($A1863="","",SUM(X1863:AE1863))</f>
        <v/>
      </c>
      <c r="V1863" s="31">
        <f>IF($A1863="","",IF($H1863&lt;&gt;"Ausgabe",0,-$E1863-$U1863))</f>
        <v/>
      </c>
      <c r="W1863" s="33">
        <f>IF($A1863="","",DATE(YEAR($A1863),MONTH($A1863),1))</f>
        <v/>
      </c>
      <c r="X1863" s="34">
        <f>IF(OR($A1863="",$H1863&lt;&gt;"Ausgabe",J1863=""),0,IF(J1863="x",-$E1863/(COUNTIF($J1863:$Q1863,"x")+1),-$E1863*N(J1863)))</f>
        <v/>
      </c>
      <c r="Y1863" s="34">
        <f>IF(OR($A1863="",$H1863&lt;&gt;"Ausgabe",K1863=""),0,IF(K1863="x",-$E1863/(COUNTIF($J1863:$Q1863,"x")+1),-$E1863*N(K1863)))</f>
        <v/>
      </c>
      <c r="Z1863" s="34">
        <f>IF(OR($A1863="",$H1863&lt;&gt;"Ausgabe",L1863=""),0,IF(L1863="x",-$E1863/(COUNTIF($J1863:$Q1863,"x")+1),-$E1863*N(L1863)))</f>
        <v/>
      </c>
      <c r="AA1863" s="34">
        <f>IF(OR($A1863="",$H1863&lt;&gt;"Ausgabe",M1863=""),0,IF(M1863="x",-$E1863/(COUNTIF($J1863:$Q1863,"x")+1),-$E1863*N(M1863)))</f>
        <v/>
      </c>
      <c r="AB1863" s="34">
        <f>IF(OR($A1863="",$H1863&lt;&gt;"Ausgabe",N1863=""),0,IF(N1863="x",-$E1863/(COUNTIF($J1863:$Q1863,"x")+1),-$E1863*N(N1863)))</f>
        <v/>
      </c>
      <c r="AC1863" s="34">
        <f>IF(OR($A1863="",$H1863&lt;&gt;"Ausgabe",O1863=""),0,IF(O1863="x",-$E1863/(COUNTIF($J1863:$Q1863,"x")+1),-$E1863*N(O1863)))</f>
        <v/>
      </c>
      <c r="AD1863" s="34">
        <f>IF(OR($A1863="",$H1863&lt;&gt;"Ausgabe",P1863=""),0,IF(P1863="x",-$E1863/(COUNTIF($J1863:$Q1863,"x")+1),-$E1863*N(P1863)))</f>
        <v/>
      </c>
      <c r="AE1863" s="34">
        <f>IF(OR($A1863="",$H1863&lt;&gt;"Ausgabe",Q1863=""),0,IF(Q1863="x",-$E1863/(COUNTIF($J1863:$Q1863,"x")+1),-$E1863*N(Q1863)))</f>
        <v/>
      </c>
    </row>
    <row r="1864">
      <c r="A1864" s="30" t="n"/>
      <c r="E1864" s="31" t="n"/>
      <c r="J1864" s="32" t="n"/>
      <c r="K1864" s="32" t="n"/>
      <c r="L1864" s="32" t="n"/>
      <c r="M1864" s="32" t="n"/>
      <c r="N1864" s="32" t="n"/>
      <c r="O1864" s="32" t="n"/>
      <c r="P1864" s="32" t="n"/>
      <c r="Q1864" s="32" t="n"/>
      <c r="U1864" s="31">
        <f>IF($A1864="","",SUM(X1864:AE1864))</f>
        <v/>
      </c>
      <c r="V1864" s="31">
        <f>IF($A1864="","",IF($H1864&lt;&gt;"Ausgabe",0,-$E1864-$U1864))</f>
        <v/>
      </c>
      <c r="W1864" s="33">
        <f>IF($A1864="","",DATE(YEAR($A1864),MONTH($A1864),1))</f>
        <v/>
      </c>
      <c r="X1864" s="34">
        <f>IF(OR($A1864="",$H1864&lt;&gt;"Ausgabe",J1864=""),0,IF(J1864="x",-$E1864/(COUNTIF($J1864:$Q1864,"x")+1),-$E1864*N(J1864)))</f>
        <v/>
      </c>
      <c r="Y1864" s="34">
        <f>IF(OR($A1864="",$H1864&lt;&gt;"Ausgabe",K1864=""),0,IF(K1864="x",-$E1864/(COUNTIF($J1864:$Q1864,"x")+1),-$E1864*N(K1864)))</f>
        <v/>
      </c>
      <c r="Z1864" s="34">
        <f>IF(OR($A1864="",$H1864&lt;&gt;"Ausgabe",L1864=""),0,IF(L1864="x",-$E1864/(COUNTIF($J1864:$Q1864,"x")+1),-$E1864*N(L1864)))</f>
        <v/>
      </c>
      <c r="AA1864" s="34">
        <f>IF(OR($A1864="",$H1864&lt;&gt;"Ausgabe",M1864=""),0,IF(M1864="x",-$E1864/(COUNTIF($J1864:$Q1864,"x")+1),-$E1864*N(M1864)))</f>
        <v/>
      </c>
      <c r="AB1864" s="34">
        <f>IF(OR($A1864="",$H1864&lt;&gt;"Ausgabe",N1864=""),0,IF(N1864="x",-$E1864/(COUNTIF($J1864:$Q1864,"x")+1),-$E1864*N(N1864)))</f>
        <v/>
      </c>
      <c r="AC1864" s="34">
        <f>IF(OR($A1864="",$H1864&lt;&gt;"Ausgabe",O1864=""),0,IF(O1864="x",-$E1864/(COUNTIF($J1864:$Q1864,"x")+1),-$E1864*N(O1864)))</f>
        <v/>
      </c>
      <c r="AD1864" s="34">
        <f>IF(OR($A1864="",$H1864&lt;&gt;"Ausgabe",P1864=""),0,IF(P1864="x",-$E1864/(COUNTIF($J1864:$Q1864,"x")+1),-$E1864*N(P1864)))</f>
        <v/>
      </c>
      <c r="AE1864" s="34">
        <f>IF(OR($A1864="",$H1864&lt;&gt;"Ausgabe",Q1864=""),0,IF(Q1864="x",-$E1864/(COUNTIF($J1864:$Q1864,"x")+1),-$E1864*N(Q1864)))</f>
        <v/>
      </c>
    </row>
    <row r="1865">
      <c r="A1865" s="30" t="n"/>
      <c r="E1865" s="31" t="n"/>
      <c r="J1865" s="32" t="n"/>
      <c r="K1865" s="32" t="n"/>
      <c r="L1865" s="32" t="n"/>
      <c r="M1865" s="32" t="n"/>
      <c r="N1865" s="32" t="n"/>
      <c r="O1865" s="32" t="n"/>
      <c r="P1865" s="32" t="n"/>
      <c r="Q1865" s="32" t="n"/>
      <c r="U1865" s="31">
        <f>IF($A1865="","",SUM(X1865:AE1865))</f>
        <v/>
      </c>
      <c r="V1865" s="31">
        <f>IF($A1865="","",IF($H1865&lt;&gt;"Ausgabe",0,-$E1865-$U1865))</f>
        <v/>
      </c>
      <c r="W1865" s="33">
        <f>IF($A1865="","",DATE(YEAR($A1865),MONTH($A1865),1))</f>
        <v/>
      </c>
      <c r="X1865" s="34">
        <f>IF(OR($A1865="",$H1865&lt;&gt;"Ausgabe",J1865=""),0,IF(J1865="x",-$E1865/(COUNTIF($J1865:$Q1865,"x")+1),-$E1865*N(J1865)))</f>
        <v/>
      </c>
      <c r="Y1865" s="34">
        <f>IF(OR($A1865="",$H1865&lt;&gt;"Ausgabe",K1865=""),0,IF(K1865="x",-$E1865/(COUNTIF($J1865:$Q1865,"x")+1),-$E1865*N(K1865)))</f>
        <v/>
      </c>
      <c r="Z1865" s="34">
        <f>IF(OR($A1865="",$H1865&lt;&gt;"Ausgabe",L1865=""),0,IF(L1865="x",-$E1865/(COUNTIF($J1865:$Q1865,"x")+1),-$E1865*N(L1865)))</f>
        <v/>
      </c>
      <c r="AA1865" s="34">
        <f>IF(OR($A1865="",$H1865&lt;&gt;"Ausgabe",M1865=""),0,IF(M1865="x",-$E1865/(COUNTIF($J1865:$Q1865,"x")+1),-$E1865*N(M1865)))</f>
        <v/>
      </c>
      <c r="AB1865" s="34">
        <f>IF(OR($A1865="",$H1865&lt;&gt;"Ausgabe",N1865=""),0,IF(N1865="x",-$E1865/(COUNTIF($J1865:$Q1865,"x")+1),-$E1865*N(N1865)))</f>
        <v/>
      </c>
      <c r="AC1865" s="34">
        <f>IF(OR($A1865="",$H1865&lt;&gt;"Ausgabe",O1865=""),0,IF(O1865="x",-$E1865/(COUNTIF($J1865:$Q1865,"x")+1),-$E1865*N(O1865)))</f>
        <v/>
      </c>
      <c r="AD1865" s="34">
        <f>IF(OR($A1865="",$H1865&lt;&gt;"Ausgabe",P1865=""),0,IF(P1865="x",-$E1865/(COUNTIF($J1865:$Q1865,"x")+1),-$E1865*N(P1865)))</f>
        <v/>
      </c>
      <c r="AE1865" s="34">
        <f>IF(OR($A1865="",$H1865&lt;&gt;"Ausgabe",Q1865=""),0,IF(Q1865="x",-$E1865/(COUNTIF($J1865:$Q1865,"x")+1),-$E1865*N(Q1865)))</f>
        <v/>
      </c>
    </row>
    <row r="1866">
      <c r="A1866" s="30" t="n"/>
      <c r="E1866" s="31" t="n"/>
      <c r="J1866" s="32" t="n"/>
      <c r="K1866" s="32" t="n"/>
      <c r="L1866" s="32" t="n"/>
      <c r="M1866" s="32" t="n"/>
      <c r="N1866" s="32" t="n"/>
      <c r="O1866" s="32" t="n"/>
      <c r="P1866" s="32" t="n"/>
      <c r="Q1866" s="32" t="n"/>
      <c r="U1866" s="31">
        <f>IF($A1866="","",SUM(X1866:AE1866))</f>
        <v/>
      </c>
      <c r="V1866" s="31">
        <f>IF($A1866="","",IF($H1866&lt;&gt;"Ausgabe",0,-$E1866-$U1866))</f>
        <v/>
      </c>
      <c r="W1866" s="33">
        <f>IF($A1866="","",DATE(YEAR($A1866),MONTH($A1866),1))</f>
        <v/>
      </c>
      <c r="X1866" s="34">
        <f>IF(OR($A1866="",$H1866&lt;&gt;"Ausgabe",J1866=""),0,IF(J1866="x",-$E1866/(COUNTIF($J1866:$Q1866,"x")+1),-$E1866*N(J1866)))</f>
        <v/>
      </c>
      <c r="Y1866" s="34">
        <f>IF(OR($A1866="",$H1866&lt;&gt;"Ausgabe",K1866=""),0,IF(K1866="x",-$E1866/(COUNTIF($J1866:$Q1866,"x")+1),-$E1866*N(K1866)))</f>
        <v/>
      </c>
      <c r="Z1866" s="34">
        <f>IF(OR($A1866="",$H1866&lt;&gt;"Ausgabe",L1866=""),0,IF(L1866="x",-$E1866/(COUNTIF($J1866:$Q1866,"x")+1),-$E1866*N(L1866)))</f>
        <v/>
      </c>
      <c r="AA1866" s="34">
        <f>IF(OR($A1866="",$H1866&lt;&gt;"Ausgabe",M1866=""),0,IF(M1866="x",-$E1866/(COUNTIF($J1866:$Q1866,"x")+1),-$E1866*N(M1866)))</f>
        <v/>
      </c>
      <c r="AB1866" s="34">
        <f>IF(OR($A1866="",$H1866&lt;&gt;"Ausgabe",N1866=""),0,IF(N1866="x",-$E1866/(COUNTIF($J1866:$Q1866,"x")+1),-$E1866*N(N1866)))</f>
        <v/>
      </c>
      <c r="AC1866" s="34">
        <f>IF(OR($A1866="",$H1866&lt;&gt;"Ausgabe",O1866=""),0,IF(O1866="x",-$E1866/(COUNTIF($J1866:$Q1866,"x")+1),-$E1866*N(O1866)))</f>
        <v/>
      </c>
      <c r="AD1866" s="34">
        <f>IF(OR($A1866="",$H1866&lt;&gt;"Ausgabe",P1866=""),0,IF(P1866="x",-$E1866/(COUNTIF($J1866:$Q1866,"x")+1),-$E1866*N(P1866)))</f>
        <v/>
      </c>
      <c r="AE1866" s="34">
        <f>IF(OR($A1866="",$H1866&lt;&gt;"Ausgabe",Q1866=""),0,IF(Q1866="x",-$E1866/(COUNTIF($J1866:$Q1866,"x")+1),-$E1866*N(Q1866)))</f>
        <v/>
      </c>
    </row>
    <row r="1867">
      <c r="A1867" s="30" t="n"/>
      <c r="E1867" s="31" t="n"/>
      <c r="J1867" s="32" t="n"/>
      <c r="K1867" s="32" t="n"/>
      <c r="L1867" s="32" t="n"/>
      <c r="M1867" s="32" t="n"/>
      <c r="N1867" s="32" t="n"/>
      <c r="O1867" s="32" t="n"/>
      <c r="P1867" s="32" t="n"/>
      <c r="Q1867" s="32" t="n"/>
      <c r="U1867" s="31">
        <f>IF($A1867="","",SUM(X1867:AE1867))</f>
        <v/>
      </c>
      <c r="V1867" s="31">
        <f>IF($A1867="","",IF($H1867&lt;&gt;"Ausgabe",0,-$E1867-$U1867))</f>
        <v/>
      </c>
      <c r="W1867" s="33">
        <f>IF($A1867="","",DATE(YEAR($A1867),MONTH($A1867),1))</f>
        <v/>
      </c>
      <c r="X1867" s="34">
        <f>IF(OR($A1867="",$H1867&lt;&gt;"Ausgabe",J1867=""),0,IF(J1867="x",-$E1867/(COUNTIF($J1867:$Q1867,"x")+1),-$E1867*N(J1867)))</f>
        <v/>
      </c>
      <c r="Y1867" s="34">
        <f>IF(OR($A1867="",$H1867&lt;&gt;"Ausgabe",K1867=""),0,IF(K1867="x",-$E1867/(COUNTIF($J1867:$Q1867,"x")+1),-$E1867*N(K1867)))</f>
        <v/>
      </c>
      <c r="Z1867" s="34">
        <f>IF(OR($A1867="",$H1867&lt;&gt;"Ausgabe",L1867=""),0,IF(L1867="x",-$E1867/(COUNTIF($J1867:$Q1867,"x")+1),-$E1867*N(L1867)))</f>
        <v/>
      </c>
      <c r="AA1867" s="34">
        <f>IF(OR($A1867="",$H1867&lt;&gt;"Ausgabe",M1867=""),0,IF(M1867="x",-$E1867/(COUNTIF($J1867:$Q1867,"x")+1),-$E1867*N(M1867)))</f>
        <v/>
      </c>
      <c r="AB1867" s="34">
        <f>IF(OR($A1867="",$H1867&lt;&gt;"Ausgabe",N1867=""),0,IF(N1867="x",-$E1867/(COUNTIF($J1867:$Q1867,"x")+1),-$E1867*N(N1867)))</f>
        <v/>
      </c>
      <c r="AC1867" s="34">
        <f>IF(OR($A1867="",$H1867&lt;&gt;"Ausgabe",O1867=""),0,IF(O1867="x",-$E1867/(COUNTIF($J1867:$Q1867,"x")+1),-$E1867*N(O1867)))</f>
        <v/>
      </c>
      <c r="AD1867" s="34">
        <f>IF(OR($A1867="",$H1867&lt;&gt;"Ausgabe",P1867=""),0,IF(P1867="x",-$E1867/(COUNTIF($J1867:$Q1867,"x")+1),-$E1867*N(P1867)))</f>
        <v/>
      </c>
      <c r="AE1867" s="34">
        <f>IF(OR($A1867="",$H1867&lt;&gt;"Ausgabe",Q1867=""),0,IF(Q1867="x",-$E1867/(COUNTIF($J1867:$Q1867,"x")+1),-$E1867*N(Q1867)))</f>
        <v/>
      </c>
    </row>
    <row r="1868">
      <c r="A1868" s="30" t="n"/>
      <c r="E1868" s="31" t="n"/>
      <c r="J1868" s="32" t="n"/>
      <c r="K1868" s="32" t="n"/>
      <c r="L1868" s="32" t="n"/>
      <c r="M1868" s="32" t="n"/>
      <c r="N1868" s="32" t="n"/>
      <c r="O1868" s="32" t="n"/>
      <c r="P1868" s="32" t="n"/>
      <c r="Q1868" s="32" t="n"/>
      <c r="U1868" s="31">
        <f>IF($A1868="","",SUM(X1868:AE1868))</f>
        <v/>
      </c>
      <c r="V1868" s="31">
        <f>IF($A1868="","",IF($H1868&lt;&gt;"Ausgabe",0,-$E1868-$U1868))</f>
        <v/>
      </c>
      <c r="W1868" s="33">
        <f>IF($A1868="","",DATE(YEAR($A1868),MONTH($A1868),1))</f>
        <v/>
      </c>
      <c r="X1868" s="34">
        <f>IF(OR($A1868="",$H1868&lt;&gt;"Ausgabe",J1868=""),0,IF(J1868="x",-$E1868/(COUNTIF($J1868:$Q1868,"x")+1),-$E1868*N(J1868)))</f>
        <v/>
      </c>
      <c r="Y1868" s="34">
        <f>IF(OR($A1868="",$H1868&lt;&gt;"Ausgabe",K1868=""),0,IF(K1868="x",-$E1868/(COUNTIF($J1868:$Q1868,"x")+1),-$E1868*N(K1868)))</f>
        <v/>
      </c>
      <c r="Z1868" s="34">
        <f>IF(OR($A1868="",$H1868&lt;&gt;"Ausgabe",L1868=""),0,IF(L1868="x",-$E1868/(COUNTIF($J1868:$Q1868,"x")+1),-$E1868*N(L1868)))</f>
        <v/>
      </c>
      <c r="AA1868" s="34">
        <f>IF(OR($A1868="",$H1868&lt;&gt;"Ausgabe",M1868=""),0,IF(M1868="x",-$E1868/(COUNTIF($J1868:$Q1868,"x")+1),-$E1868*N(M1868)))</f>
        <v/>
      </c>
      <c r="AB1868" s="34">
        <f>IF(OR($A1868="",$H1868&lt;&gt;"Ausgabe",N1868=""),0,IF(N1868="x",-$E1868/(COUNTIF($J1868:$Q1868,"x")+1),-$E1868*N(N1868)))</f>
        <v/>
      </c>
      <c r="AC1868" s="34">
        <f>IF(OR($A1868="",$H1868&lt;&gt;"Ausgabe",O1868=""),0,IF(O1868="x",-$E1868/(COUNTIF($J1868:$Q1868,"x")+1),-$E1868*N(O1868)))</f>
        <v/>
      </c>
      <c r="AD1868" s="34">
        <f>IF(OR($A1868="",$H1868&lt;&gt;"Ausgabe",P1868=""),0,IF(P1868="x",-$E1868/(COUNTIF($J1868:$Q1868,"x")+1),-$E1868*N(P1868)))</f>
        <v/>
      </c>
      <c r="AE1868" s="34">
        <f>IF(OR($A1868="",$H1868&lt;&gt;"Ausgabe",Q1868=""),0,IF(Q1868="x",-$E1868/(COUNTIF($J1868:$Q1868,"x")+1),-$E1868*N(Q1868)))</f>
        <v/>
      </c>
    </row>
    <row r="1869">
      <c r="A1869" s="30" t="n"/>
      <c r="E1869" s="31" t="n"/>
      <c r="J1869" s="32" t="n"/>
      <c r="K1869" s="32" t="n"/>
      <c r="L1869" s="32" t="n"/>
      <c r="M1869" s="32" t="n"/>
      <c r="N1869" s="32" t="n"/>
      <c r="O1869" s="32" t="n"/>
      <c r="P1869" s="32" t="n"/>
      <c r="Q1869" s="32" t="n"/>
      <c r="U1869" s="31">
        <f>IF($A1869="","",SUM(X1869:AE1869))</f>
        <v/>
      </c>
      <c r="V1869" s="31">
        <f>IF($A1869="","",IF($H1869&lt;&gt;"Ausgabe",0,-$E1869-$U1869))</f>
        <v/>
      </c>
      <c r="W1869" s="33">
        <f>IF($A1869="","",DATE(YEAR($A1869),MONTH($A1869),1))</f>
        <v/>
      </c>
      <c r="X1869" s="34">
        <f>IF(OR($A1869="",$H1869&lt;&gt;"Ausgabe",J1869=""),0,IF(J1869="x",-$E1869/(COUNTIF($J1869:$Q1869,"x")+1),-$E1869*N(J1869)))</f>
        <v/>
      </c>
      <c r="Y1869" s="34">
        <f>IF(OR($A1869="",$H1869&lt;&gt;"Ausgabe",K1869=""),0,IF(K1869="x",-$E1869/(COUNTIF($J1869:$Q1869,"x")+1),-$E1869*N(K1869)))</f>
        <v/>
      </c>
      <c r="Z1869" s="34">
        <f>IF(OR($A1869="",$H1869&lt;&gt;"Ausgabe",L1869=""),0,IF(L1869="x",-$E1869/(COUNTIF($J1869:$Q1869,"x")+1),-$E1869*N(L1869)))</f>
        <v/>
      </c>
      <c r="AA1869" s="34">
        <f>IF(OR($A1869="",$H1869&lt;&gt;"Ausgabe",M1869=""),0,IF(M1869="x",-$E1869/(COUNTIF($J1869:$Q1869,"x")+1),-$E1869*N(M1869)))</f>
        <v/>
      </c>
      <c r="AB1869" s="34">
        <f>IF(OR($A1869="",$H1869&lt;&gt;"Ausgabe",N1869=""),0,IF(N1869="x",-$E1869/(COUNTIF($J1869:$Q1869,"x")+1),-$E1869*N(N1869)))</f>
        <v/>
      </c>
      <c r="AC1869" s="34">
        <f>IF(OR($A1869="",$H1869&lt;&gt;"Ausgabe",O1869=""),0,IF(O1869="x",-$E1869/(COUNTIF($J1869:$Q1869,"x")+1),-$E1869*N(O1869)))</f>
        <v/>
      </c>
      <c r="AD1869" s="34">
        <f>IF(OR($A1869="",$H1869&lt;&gt;"Ausgabe",P1869=""),0,IF(P1869="x",-$E1869/(COUNTIF($J1869:$Q1869,"x")+1),-$E1869*N(P1869)))</f>
        <v/>
      </c>
      <c r="AE1869" s="34">
        <f>IF(OR($A1869="",$H1869&lt;&gt;"Ausgabe",Q1869=""),0,IF(Q1869="x",-$E1869/(COUNTIF($J1869:$Q1869,"x")+1),-$E1869*N(Q1869)))</f>
        <v/>
      </c>
    </row>
    <row r="1870">
      <c r="A1870" s="30" t="n"/>
      <c r="E1870" s="31" t="n"/>
      <c r="J1870" s="32" t="n"/>
      <c r="K1870" s="32" t="n"/>
      <c r="L1870" s="32" t="n"/>
      <c r="M1870" s="32" t="n"/>
      <c r="N1870" s="32" t="n"/>
      <c r="O1870" s="32" t="n"/>
      <c r="P1870" s="32" t="n"/>
      <c r="Q1870" s="32" t="n"/>
      <c r="U1870" s="31">
        <f>IF($A1870="","",SUM(X1870:AE1870))</f>
        <v/>
      </c>
      <c r="V1870" s="31">
        <f>IF($A1870="","",IF($H1870&lt;&gt;"Ausgabe",0,-$E1870-$U1870))</f>
        <v/>
      </c>
      <c r="W1870" s="33">
        <f>IF($A1870="","",DATE(YEAR($A1870),MONTH($A1870),1))</f>
        <v/>
      </c>
      <c r="X1870" s="34">
        <f>IF(OR($A1870="",$H1870&lt;&gt;"Ausgabe",J1870=""),0,IF(J1870="x",-$E1870/(COUNTIF($J1870:$Q1870,"x")+1),-$E1870*N(J1870)))</f>
        <v/>
      </c>
      <c r="Y1870" s="34">
        <f>IF(OR($A1870="",$H1870&lt;&gt;"Ausgabe",K1870=""),0,IF(K1870="x",-$E1870/(COUNTIF($J1870:$Q1870,"x")+1),-$E1870*N(K1870)))</f>
        <v/>
      </c>
      <c r="Z1870" s="34">
        <f>IF(OR($A1870="",$H1870&lt;&gt;"Ausgabe",L1870=""),0,IF(L1870="x",-$E1870/(COUNTIF($J1870:$Q1870,"x")+1),-$E1870*N(L1870)))</f>
        <v/>
      </c>
      <c r="AA1870" s="34">
        <f>IF(OR($A1870="",$H1870&lt;&gt;"Ausgabe",M1870=""),0,IF(M1870="x",-$E1870/(COUNTIF($J1870:$Q1870,"x")+1),-$E1870*N(M1870)))</f>
        <v/>
      </c>
      <c r="AB1870" s="34">
        <f>IF(OR($A1870="",$H1870&lt;&gt;"Ausgabe",N1870=""),0,IF(N1870="x",-$E1870/(COUNTIF($J1870:$Q1870,"x")+1),-$E1870*N(N1870)))</f>
        <v/>
      </c>
      <c r="AC1870" s="34">
        <f>IF(OR($A1870="",$H1870&lt;&gt;"Ausgabe",O1870=""),0,IF(O1870="x",-$E1870/(COUNTIF($J1870:$Q1870,"x")+1),-$E1870*N(O1870)))</f>
        <v/>
      </c>
      <c r="AD1870" s="34">
        <f>IF(OR($A1870="",$H1870&lt;&gt;"Ausgabe",P1870=""),0,IF(P1870="x",-$E1870/(COUNTIF($J1870:$Q1870,"x")+1),-$E1870*N(P1870)))</f>
        <v/>
      </c>
      <c r="AE1870" s="34">
        <f>IF(OR($A1870="",$H1870&lt;&gt;"Ausgabe",Q1870=""),0,IF(Q1870="x",-$E1870/(COUNTIF($J1870:$Q1870,"x")+1),-$E1870*N(Q1870)))</f>
        <v/>
      </c>
    </row>
    <row r="1871">
      <c r="A1871" s="30" t="n"/>
      <c r="E1871" s="31" t="n"/>
      <c r="J1871" s="32" t="n"/>
      <c r="K1871" s="32" t="n"/>
      <c r="L1871" s="32" t="n"/>
      <c r="M1871" s="32" t="n"/>
      <c r="N1871" s="32" t="n"/>
      <c r="O1871" s="32" t="n"/>
      <c r="P1871" s="32" t="n"/>
      <c r="Q1871" s="32" t="n"/>
      <c r="U1871" s="31">
        <f>IF($A1871="","",SUM(X1871:AE1871))</f>
        <v/>
      </c>
      <c r="V1871" s="31">
        <f>IF($A1871="","",IF($H1871&lt;&gt;"Ausgabe",0,-$E1871-$U1871))</f>
        <v/>
      </c>
      <c r="W1871" s="33">
        <f>IF($A1871="","",DATE(YEAR($A1871),MONTH($A1871),1))</f>
        <v/>
      </c>
      <c r="X1871" s="34">
        <f>IF(OR($A1871="",$H1871&lt;&gt;"Ausgabe",J1871=""),0,IF(J1871="x",-$E1871/(COUNTIF($J1871:$Q1871,"x")+1),-$E1871*N(J1871)))</f>
        <v/>
      </c>
      <c r="Y1871" s="34">
        <f>IF(OR($A1871="",$H1871&lt;&gt;"Ausgabe",K1871=""),0,IF(K1871="x",-$E1871/(COUNTIF($J1871:$Q1871,"x")+1),-$E1871*N(K1871)))</f>
        <v/>
      </c>
      <c r="Z1871" s="34">
        <f>IF(OR($A1871="",$H1871&lt;&gt;"Ausgabe",L1871=""),0,IF(L1871="x",-$E1871/(COUNTIF($J1871:$Q1871,"x")+1),-$E1871*N(L1871)))</f>
        <v/>
      </c>
      <c r="AA1871" s="34">
        <f>IF(OR($A1871="",$H1871&lt;&gt;"Ausgabe",M1871=""),0,IF(M1871="x",-$E1871/(COUNTIF($J1871:$Q1871,"x")+1),-$E1871*N(M1871)))</f>
        <v/>
      </c>
      <c r="AB1871" s="34">
        <f>IF(OR($A1871="",$H1871&lt;&gt;"Ausgabe",N1871=""),0,IF(N1871="x",-$E1871/(COUNTIF($J1871:$Q1871,"x")+1),-$E1871*N(N1871)))</f>
        <v/>
      </c>
      <c r="AC1871" s="34">
        <f>IF(OR($A1871="",$H1871&lt;&gt;"Ausgabe",O1871=""),0,IF(O1871="x",-$E1871/(COUNTIF($J1871:$Q1871,"x")+1),-$E1871*N(O1871)))</f>
        <v/>
      </c>
      <c r="AD1871" s="34">
        <f>IF(OR($A1871="",$H1871&lt;&gt;"Ausgabe",P1871=""),0,IF(P1871="x",-$E1871/(COUNTIF($J1871:$Q1871,"x")+1),-$E1871*N(P1871)))</f>
        <v/>
      </c>
      <c r="AE1871" s="34">
        <f>IF(OR($A1871="",$H1871&lt;&gt;"Ausgabe",Q1871=""),0,IF(Q1871="x",-$E1871/(COUNTIF($J1871:$Q1871,"x")+1),-$E1871*N(Q1871)))</f>
        <v/>
      </c>
    </row>
    <row r="1872">
      <c r="A1872" s="30" t="n"/>
      <c r="E1872" s="31" t="n"/>
      <c r="J1872" s="32" t="n"/>
      <c r="K1872" s="32" t="n"/>
      <c r="L1872" s="32" t="n"/>
      <c r="M1872" s="32" t="n"/>
      <c r="N1872" s="32" t="n"/>
      <c r="O1872" s="32" t="n"/>
      <c r="P1872" s="32" t="n"/>
      <c r="Q1872" s="32" t="n"/>
      <c r="U1872" s="31">
        <f>IF($A1872="","",SUM(X1872:AE1872))</f>
        <v/>
      </c>
      <c r="V1872" s="31">
        <f>IF($A1872="","",IF($H1872&lt;&gt;"Ausgabe",0,-$E1872-$U1872))</f>
        <v/>
      </c>
      <c r="W1872" s="33">
        <f>IF($A1872="","",DATE(YEAR($A1872),MONTH($A1872),1))</f>
        <v/>
      </c>
      <c r="X1872" s="34">
        <f>IF(OR($A1872="",$H1872&lt;&gt;"Ausgabe",J1872=""),0,IF(J1872="x",-$E1872/(COUNTIF($J1872:$Q1872,"x")+1),-$E1872*N(J1872)))</f>
        <v/>
      </c>
      <c r="Y1872" s="34">
        <f>IF(OR($A1872="",$H1872&lt;&gt;"Ausgabe",K1872=""),0,IF(K1872="x",-$E1872/(COUNTIF($J1872:$Q1872,"x")+1),-$E1872*N(K1872)))</f>
        <v/>
      </c>
      <c r="Z1872" s="34">
        <f>IF(OR($A1872="",$H1872&lt;&gt;"Ausgabe",L1872=""),0,IF(L1872="x",-$E1872/(COUNTIF($J1872:$Q1872,"x")+1),-$E1872*N(L1872)))</f>
        <v/>
      </c>
      <c r="AA1872" s="34">
        <f>IF(OR($A1872="",$H1872&lt;&gt;"Ausgabe",M1872=""),0,IF(M1872="x",-$E1872/(COUNTIF($J1872:$Q1872,"x")+1),-$E1872*N(M1872)))</f>
        <v/>
      </c>
      <c r="AB1872" s="34">
        <f>IF(OR($A1872="",$H1872&lt;&gt;"Ausgabe",N1872=""),0,IF(N1872="x",-$E1872/(COUNTIF($J1872:$Q1872,"x")+1),-$E1872*N(N1872)))</f>
        <v/>
      </c>
      <c r="AC1872" s="34">
        <f>IF(OR($A1872="",$H1872&lt;&gt;"Ausgabe",O1872=""),0,IF(O1872="x",-$E1872/(COUNTIF($J1872:$Q1872,"x")+1),-$E1872*N(O1872)))</f>
        <v/>
      </c>
      <c r="AD1872" s="34">
        <f>IF(OR($A1872="",$H1872&lt;&gt;"Ausgabe",P1872=""),0,IF(P1872="x",-$E1872/(COUNTIF($J1872:$Q1872,"x")+1),-$E1872*N(P1872)))</f>
        <v/>
      </c>
      <c r="AE1872" s="34">
        <f>IF(OR($A1872="",$H1872&lt;&gt;"Ausgabe",Q1872=""),0,IF(Q1872="x",-$E1872/(COUNTIF($J1872:$Q1872,"x")+1),-$E1872*N(Q1872)))</f>
        <v/>
      </c>
    </row>
    <row r="1873">
      <c r="A1873" s="30" t="n"/>
      <c r="E1873" s="31" t="n"/>
      <c r="J1873" s="32" t="n"/>
      <c r="K1873" s="32" t="n"/>
      <c r="L1873" s="32" t="n"/>
      <c r="M1873" s="32" t="n"/>
      <c r="N1873" s="32" t="n"/>
      <c r="O1873" s="32" t="n"/>
      <c r="P1873" s="32" t="n"/>
      <c r="Q1873" s="32" t="n"/>
      <c r="U1873" s="31">
        <f>IF($A1873="","",SUM(X1873:AE1873))</f>
        <v/>
      </c>
      <c r="V1873" s="31">
        <f>IF($A1873="","",IF($H1873&lt;&gt;"Ausgabe",0,-$E1873-$U1873))</f>
        <v/>
      </c>
      <c r="W1873" s="33">
        <f>IF($A1873="","",DATE(YEAR($A1873),MONTH($A1873),1))</f>
        <v/>
      </c>
      <c r="X1873" s="34">
        <f>IF(OR($A1873="",$H1873&lt;&gt;"Ausgabe",J1873=""),0,IF(J1873="x",-$E1873/(COUNTIF($J1873:$Q1873,"x")+1),-$E1873*N(J1873)))</f>
        <v/>
      </c>
      <c r="Y1873" s="34">
        <f>IF(OR($A1873="",$H1873&lt;&gt;"Ausgabe",K1873=""),0,IF(K1873="x",-$E1873/(COUNTIF($J1873:$Q1873,"x")+1),-$E1873*N(K1873)))</f>
        <v/>
      </c>
      <c r="Z1873" s="34">
        <f>IF(OR($A1873="",$H1873&lt;&gt;"Ausgabe",L1873=""),0,IF(L1873="x",-$E1873/(COUNTIF($J1873:$Q1873,"x")+1),-$E1873*N(L1873)))</f>
        <v/>
      </c>
      <c r="AA1873" s="34">
        <f>IF(OR($A1873="",$H1873&lt;&gt;"Ausgabe",M1873=""),0,IF(M1873="x",-$E1873/(COUNTIF($J1873:$Q1873,"x")+1),-$E1873*N(M1873)))</f>
        <v/>
      </c>
      <c r="AB1873" s="34">
        <f>IF(OR($A1873="",$H1873&lt;&gt;"Ausgabe",N1873=""),0,IF(N1873="x",-$E1873/(COUNTIF($J1873:$Q1873,"x")+1),-$E1873*N(N1873)))</f>
        <v/>
      </c>
      <c r="AC1873" s="34">
        <f>IF(OR($A1873="",$H1873&lt;&gt;"Ausgabe",O1873=""),0,IF(O1873="x",-$E1873/(COUNTIF($J1873:$Q1873,"x")+1),-$E1873*N(O1873)))</f>
        <v/>
      </c>
      <c r="AD1873" s="34">
        <f>IF(OR($A1873="",$H1873&lt;&gt;"Ausgabe",P1873=""),0,IF(P1873="x",-$E1873/(COUNTIF($J1873:$Q1873,"x")+1),-$E1873*N(P1873)))</f>
        <v/>
      </c>
      <c r="AE1873" s="34">
        <f>IF(OR($A1873="",$H1873&lt;&gt;"Ausgabe",Q1873=""),0,IF(Q1873="x",-$E1873/(COUNTIF($J1873:$Q1873,"x")+1),-$E1873*N(Q1873)))</f>
        <v/>
      </c>
    </row>
    <row r="1874">
      <c r="A1874" s="30" t="n"/>
      <c r="E1874" s="31" t="n"/>
      <c r="J1874" s="32" t="n"/>
      <c r="K1874" s="32" t="n"/>
      <c r="L1874" s="32" t="n"/>
      <c r="M1874" s="32" t="n"/>
      <c r="N1874" s="32" t="n"/>
      <c r="O1874" s="32" t="n"/>
      <c r="P1874" s="32" t="n"/>
      <c r="Q1874" s="32" t="n"/>
      <c r="U1874" s="31">
        <f>IF($A1874="","",SUM(X1874:AE1874))</f>
        <v/>
      </c>
      <c r="V1874" s="31">
        <f>IF($A1874="","",IF($H1874&lt;&gt;"Ausgabe",0,-$E1874-$U1874))</f>
        <v/>
      </c>
      <c r="W1874" s="33">
        <f>IF($A1874="","",DATE(YEAR($A1874),MONTH($A1874),1))</f>
        <v/>
      </c>
      <c r="X1874" s="34">
        <f>IF(OR($A1874="",$H1874&lt;&gt;"Ausgabe",J1874=""),0,IF(J1874="x",-$E1874/(COUNTIF($J1874:$Q1874,"x")+1),-$E1874*N(J1874)))</f>
        <v/>
      </c>
      <c r="Y1874" s="34">
        <f>IF(OR($A1874="",$H1874&lt;&gt;"Ausgabe",K1874=""),0,IF(K1874="x",-$E1874/(COUNTIF($J1874:$Q1874,"x")+1),-$E1874*N(K1874)))</f>
        <v/>
      </c>
      <c r="Z1874" s="34">
        <f>IF(OR($A1874="",$H1874&lt;&gt;"Ausgabe",L1874=""),0,IF(L1874="x",-$E1874/(COUNTIF($J1874:$Q1874,"x")+1),-$E1874*N(L1874)))</f>
        <v/>
      </c>
      <c r="AA1874" s="34">
        <f>IF(OR($A1874="",$H1874&lt;&gt;"Ausgabe",M1874=""),0,IF(M1874="x",-$E1874/(COUNTIF($J1874:$Q1874,"x")+1),-$E1874*N(M1874)))</f>
        <v/>
      </c>
      <c r="AB1874" s="34">
        <f>IF(OR($A1874="",$H1874&lt;&gt;"Ausgabe",N1874=""),0,IF(N1874="x",-$E1874/(COUNTIF($J1874:$Q1874,"x")+1),-$E1874*N(N1874)))</f>
        <v/>
      </c>
      <c r="AC1874" s="34">
        <f>IF(OR($A1874="",$H1874&lt;&gt;"Ausgabe",O1874=""),0,IF(O1874="x",-$E1874/(COUNTIF($J1874:$Q1874,"x")+1),-$E1874*N(O1874)))</f>
        <v/>
      </c>
      <c r="AD1874" s="34">
        <f>IF(OR($A1874="",$H1874&lt;&gt;"Ausgabe",P1874=""),0,IF(P1874="x",-$E1874/(COUNTIF($J1874:$Q1874,"x")+1),-$E1874*N(P1874)))</f>
        <v/>
      </c>
      <c r="AE1874" s="34">
        <f>IF(OR($A1874="",$H1874&lt;&gt;"Ausgabe",Q1874=""),0,IF(Q1874="x",-$E1874/(COUNTIF($J1874:$Q1874,"x")+1),-$E1874*N(Q1874)))</f>
        <v/>
      </c>
    </row>
    <row r="1875">
      <c r="A1875" s="30" t="n"/>
      <c r="E1875" s="31" t="n"/>
      <c r="J1875" s="32" t="n"/>
      <c r="K1875" s="32" t="n"/>
      <c r="L1875" s="32" t="n"/>
      <c r="M1875" s="32" t="n"/>
      <c r="N1875" s="32" t="n"/>
      <c r="O1875" s="32" t="n"/>
      <c r="P1875" s="32" t="n"/>
      <c r="Q1875" s="32" t="n"/>
      <c r="U1875" s="31">
        <f>IF($A1875="","",SUM(X1875:AE1875))</f>
        <v/>
      </c>
      <c r="V1875" s="31">
        <f>IF($A1875="","",IF($H1875&lt;&gt;"Ausgabe",0,-$E1875-$U1875))</f>
        <v/>
      </c>
      <c r="W1875" s="33">
        <f>IF($A1875="","",DATE(YEAR($A1875),MONTH($A1875),1))</f>
        <v/>
      </c>
      <c r="X1875" s="34">
        <f>IF(OR($A1875="",$H1875&lt;&gt;"Ausgabe",J1875=""),0,IF(J1875="x",-$E1875/(COUNTIF($J1875:$Q1875,"x")+1),-$E1875*N(J1875)))</f>
        <v/>
      </c>
      <c r="Y1875" s="34">
        <f>IF(OR($A1875="",$H1875&lt;&gt;"Ausgabe",K1875=""),0,IF(K1875="x",-$E1875/(COUNTIF($J1875:$Q1875,"x")+1),-$E1875*N(K1875)))</f>
        <v/>
      </c>
      <c r="Z1875" s="34">
        <f>IF(OR($A1875="",$H1875&lt;&gt;"Ausgabe",L1875=""),0,IF(L1875="x",-$E1875/(COUNTIF($J1875:$Q1875,"x")+1),-$E1875*N(L1875)))</f>
        <v/>
      </c>
      <c r="AA1875" s="34">
        <f>IF(OR($A1875="",$H1875&lt;&gt;"Ausgabe",M1875=""),0,IF(M1875="x",-$E1875/(COUNTIF($J1875:$Q1875,"x")+1),-$E1875*N(M1875)))</f>
        <v/>
      </c>
      <c r="AB1875" s="34">
        <f>IF(OR($A1875="",$H1875&lt;&gt;"Ausgabe",N1875=""),0,IF(N1875="x",-$E1875/(COUNTIF($J1875:$Q1875,"x")+1),-$E1875*N(N1875)))</f>
        <v/>
      </c>
      <c r="AC1875" s="34">
        <f>IF(OR($A1875="",$H1875&lt;&gt;"Ausgabe",O1875=""),0,IF(O1875="x",-$E1875/(COUNTIF($J1875:$Q1875,"x")+1),-$E1875*N(O1875)))</f>
        <v/>
      </c>
      <c r="AD1875" s="34">
        <f>IF(OR($A1875="",$H1875&lt;&gt;"Ausgabe",P1875=""),0,IF(P1875="x",-$E1875/(COUNTIF($J1875:$Q1875,"x")+1),-$E1875*N(P1875)))</f>
        <v/>
      </c>
      <c r="AE1875" s="34">
        <f>IF(OR($A1875="",$H1875&lt;&gt;"Ausgabe",Q1875=""),0,IF(Q1875="x",-$E1875/(COUNTIF($J1875:$Q1875,"x")+1),-$E1875*N(Q1875)))</f>
        <v/>
      </c>
    </row>
    <row r="1876">
      <c r="A1876" s="30" t="n"/>
      <c r="E1876" s="31" t="n"/>
      <c r="J1876" s="32" t="n"/>
      <c r="K1876" s="32" t="n"/>
      <c r="L1876" s="32" t="n"/>
      <c r="M1876" s="32" t="n"/>
      <c r="N1876" s="32" t="n"/>
      <c r="O1876" s="32" t="n"/>
      <c r="P1876" s="32" t="n"/>
      <c r="Q1876" s="32" t="n"/>
      <c r="U1876" s="31">
        <f>IF($A1876="","",SUM(X1876:AE1876))</f>
        <v/>
      </c>
      <c r="V1876" s="31">
        <f>IF($A1876="","",IF($H1876&lt;&gt;"Ausgabe",0,-$E1876-$U1876))</f>
        <v/>
      </c>
      <c r="W1876" s="33">
        <f>IF($A1876="","",DATE(YEAR($A1876),MONTH($A1876),1))</f>
        <v/>
      </c>
      <c r="X1876" s="34">
        <f>IF(OR($A1876="",$H1876&lt;&gt;"Ausgabe",J1876=""),0,IF(J1876="x",-$E1876/(COUNTIF($J1876:$Q1876,"x")+1),-$E1876*N(J1876)))</f>
        <v/>
      </c>
      <c r="Y1876" s="34">
        <f>IF(OR($A1876="",$H1876&lt;&gt;"Ausgabe",K1876=""),0,IF(K1876="x",-$E1876/(COUNTIF($J1876:$Q1876,"x")+1),-$E1876*N(K1876)))</f>
        <v/>
      </c>
      <c r="Z1876" s="34">
        <f>IF(OR($A1876="",$H1876&lt;&gt;"Ausgabe",L1876=""),0,IF(L1876="x",-$E1876/(COUNTIF($J1876:$Q1876,"x")+1),-$E1876*N(L1876)))</f>
        <v/>
      </c>
      <c r="AA1876" s="34">
        <f>IF(OR($A1876="",$H1876&lt;&gt;"Ausgabe",M1876=""),0,IF(M1876="x",-$E1876/(COUNTIF($J1876:$Q1876,"x")+1),-$E1876*N(M1876)))</f>
        <v/>
      </c>
      <c r="AB1876" s="34">
        <f>IF(OR($A1876="",$H1876&lt;&gt;"Ausgabe",N1876=""),0,IF(N1876="x",-$E1876/(COUNTIF($J1876:$Q1876,"x")+1),-$E1876*N(N1876)))</f>
        <v/>
      </c>
      <c r="AC1876" s="34">
        <f>IF(OR($A1876="",$H1876&lt;&gt;"Ausgabe",O1876=""),0,IF(O1876="x",-$E1876/(COUNTIF($J1876:$Q1876,"x")+1),-$E1876*N(O1876)))</f>
        <v/>
      </c>
      <c r="AD1876" s="34">
        <f>IF(OR($A1876="",$H1876&lt;&gt;"Ausgabe",P1876=""),0,IF(P1876="x",-$E1876/(COUNTIF($J1876:$Q1876,"x")+1),-$E1876*N(P1876)))</f>
        <v/>
      </c>
      <c r="AE1876" s="34">
        <f>IF(OR($A1876="",$H1876&lt;&gt;"Ausgabe",Q1876=""),0,IF(Q1876="x",-$E1876/(COUNTIF($J1876:$Q1876,"x")+1),-$E1876*N(Q1876)))</f>
        <v/>
      </c>
    </row>
    <row r="1877">
      <c r="A1877" s="30" t="n"/>
      <c r="E1877" s="31" t="n"/>
      <c r="J1877" s="32" t="n"/>
      <c r="K1877" s="32" t="n"/>
      <c r="L1877" s="32" t="n"/>
      <c r="M1877" s="32" t="n"/>
      <c r="N1877" s="32" t="n"/>
      <c r="O1877" s="32" t="n"/>
      <c r="P1877" s="32" t="n"/>
      <c r="Q1877" s="32" t="n"/>
      <c r="U1877" s="31">
        <f>IF($A1877="","",SUM(X1877:AE1877))</f>
        <v/>
      </c>
      <c r="V1877" s="31">
        <f>IF($A1877="","",IF($H1877&lt;&gt;"Ausgabe",0,-$E1877-$U1877))</f>
        <v/>
      </c>
      <c r="W1877" s="33">
        <f>IF($A1877="","",DATE(YEAR($A1877),MONTH($A1877),1))</f>
        <v/>
      </c>
      <c r="X1877" s="34">
        <f>IF(OR($A1877="",$H1877&lt;&gt;"Ausgabe",J1877=""),0,IF(J1877="x",-$E1877/(COUNTIF($J1877:$Q1877,"x")+1),-$E1877*N(J1877)))</f>
        <v/>
      </c>
      <c r="Y1877" s="34">
        <f>IF(OR($A1877="",$H1877&lt;&gt;"Ausgabe",K1877=""),0,IF(K1877="x",-$E1877/(COUNTIF($J1877:$Q1877,"x")+1),-$E1877*N(K1877)))</f>
        <v/>
      </c>
      <c r="Z1877" s="34">
        <f>IF(OR($A1877="",$H1877&lt;&gt;"Ausgabe",L1877=""),0,IF(L1877="x",-$E1877/(COUNTIF($J1877:$Q1877,"x")+1),-$E1877*N(L1877)))</f>
        <v/>
      </c>
      <c r="AA1877" s="34">
        <f>IF(OR($A1877="",$H1877&lt;&gt;"Ausgabe",M1877=""),0,IF(M1877="x",-$E1877/(COUNTIF($J1877:$Q1877,"x")+1),-$E1877*N(M1877)))</f>
        <v/>
      </c>
      <c r="AB1877" s="34">
        <f>IF(OR($A1877="",$H1877&lt;&gt;"Ausgabe",N1877=""),0,IF(N1877="x",-$E1877/(COUNTIF($J1877:$Q1877,"x")+1),-$E1877*N(N1877)))</f>
        <v/>
      </c>
      <c r="AC1877" s="34">
        <f>IF(OR($A1877="",$H1877&lt;&gt;"Ausgabe",O1877=""),0,IF(O1877="x",-$E1877/(COUNTIF($J1877:$Q1877,"x")+1),-$E1877*N(O1877)))</f>
        <v/>
      </c>
      <c r="AD1877" s="34">
        <f>IF(OR($A1877="",$H1877&lt;&gt;"Ausgabe",P1877=""),0,IF(P1877="x",-$E1877/(COUNTIF($J1877:$Q1877,"x")+1),-$E1877*N(P1877)))</f>
        <v/>
      </c>
      <c r="AE1877" s="34">
        <f>IF(OR($A1877="",$H1877&lt;&gt;"Ausgabe",Q1877=""),0,IF(Q1877="x",-$E1877/(COUNTIF($J1877:$Q1877,"x")+1),-$E1877*N(Q1877)))</f>
        <v/>
      </c>
    </row>
    <row r="1878">
      <c r="A1878" s="30" t="n"/>
      <c r="E1878" s="31" t="n"/>
      <c r="J1878" s="32" t="n"/>
      <c r="K1878" s="32" t="n"/>
      <c r="L1878" s="32" t="n"/>
      <c r="M1878" s="32" t="n"/>
      <c r="N1878" s="32" t="n"/>
      <c r="O1878" s="32" t="n"/>
      <c r="P1878" s="32" t="n"/>
      <c r="Q1878" s="32" t="n"/>
      <c r="U1878" s="31">
        <f>IF($A1878="","",SUM(X1878:AE1878))</f>
        <v/>
      </c>
      <c r="V1878" s="31">
        <f>IF($A1878="","",IF($H1878&lt;&gt;"Ausgabe",0,-$E1878-$U1878))</f>
        <v/>
      </c>
      <c r="W1878" s="33">
        <f>IF($A1878="","",DATE(YEAR($A1878),MONTH($A1878),1))</f>
        <v/>
      </c>
      <c r="X1878" s="34">
        <f>IF(OR($A1878="",$H1878&lt;&gt;"Ausgabe",J1878=""),0,IF(J1878="x",-$E1878/(COUNTIF($J1878:$Q1878,"x")+1),-$E1878*N(J1878)))</f>
        <v/>
      </c>
      <c r="Y1878" s="34">
        <f>IF(OR($A1878="",$H1878&lt;&gt;"Ausgabe",K1878=""),0,IF(K1878="x",-$E1878/(COUNTIF($J1878:$Q1878,"x")+1),-$E1878*N(K1878)))</f>
        <v/>
      </c>
      <c r="Z1878" s="34">
        <f>IF(OR($A1878="",$H1878&lt;&gt;"Ausgabe",L1878=""),0,IF(L1878="x",-$E1878/(COUNTIF($J1878:$Q1878,"x")+1),-$E1878*N(L1878)))</f>
        <v/>
      </c>
      <c r="AA1878" s="34">
        <f>IF(OR($A1878="",$H1878&lt;&gt;"Ausgabe",M1878=""),0,IF(M1878="x",-$E1878/(COUNTIF($J1878:$Q1878,"x")+1),-$E1878*N(M1878)))</f>
        <v/>
      </c>
      <c r="AB1878" s="34">
        <f>IF(OR($A1878="",$H1878&lt;&gt;"Ausgabe",N1878=""),0,IF(N1878="x",-$E1878/(COUNTIF($J1878:$Q1878,"x")+1),-$E1878*N(N1878)))</f>
        <v/>
      </c>
      <c r="AC1878" s="34">
        <f>IF(OR($A1878="",$H1878&lt;&gt;"Ausgabe",O1878=""),0,IF(O1878="x",-$E1878/(COUNTIF($J1878:$Q1878,"x")+1),-$E1878*N(O1878)))</f>
        <v/>
      </c>
      <c r="AD1878" s="34">
        <f>IF(OR($A1878="",$H1878&lt;&gt;"Ausgabe",P1878=""),0,IF(P1878="x",-$E1878/(COUNTIF($J1878:$Q1878,"x")+1),-$E1878*N(P1878)))</f>
        <v/>
      </c>
      <c r="AE1878" s="34">
        <f>IF(OR($A1878="",$H1878&lt;&gt;"Ausgabe",Q1878=""),0,IF(Q1878="x",-$E1878/(COUNTIF($J1878:$Q1878,"x")+1),-$E1878*N(Q1878)))</f>
        <v/>
      </c>
    </row>
    <row r="1879">
      <c r="A1879" s="30" t="n"/>
      <c r="E1879" s="31" t="n"/>
      <c r="J1879" s="32" t="n"/>
      <c r="K1879" s="32" t="n"/>
      <c r="L1879" s="32" t="n"/>
      <c r="M1879" s="32" t="n"/>
      <c r="N1879" s="32" t="n"/>
      <c r="O1879" s="32" t="n"/>
      <c r="P1879" s="32" t="n"/>
      <c r="Q1879" s="32" t="n"/>
      <c r="U1879" s="31">
        <f>IF($A1879="","",SUM(X1879:AE1879))</f>
        <v/>
      </c>
      <c r="V1879" s="31">
        <f>IF($A1879="","",IF($H1879&lt;&gt;"Ausgabe",0,-$E1879-$U1879))</f>
        <v/>
      </c>
      <c r="W1879" s="33">
        <f>IF($A1879="","",DATE(YEAR($A1879),MONTH($A1879),1))</f>
        <v/>
      </c>
      <c r="X1879" s="34">
        <f>IF(OR($A1879="",$H1879&lt;&gt;"Ausgabe",J1879=""),0,IF(J1879="x",-$E1879/(COUNTIF($J1879:$Q1879,"x")+1),-$E1879*N(J1879)))</f>
        <v/>
      </c>
      <c r="Y1879" s="34">
        <f>IF(OR($A1879="",$H1879&lt;&gt;"Ausgabe",K1879=""),0,IF(K1879="x",-$E1879/(COUNTIF($J1879:$Q1879,"x")+1),-$E1879*N(K1879)))</f>
        <v/>
      </c>
      <c r="Z1879" s="34">
        <f>IF(OR($A1879="",$H1879&lt;&gt;"Ausgabe",L1879=""),0,IF(L1879="x",-$E1879/(COUNTIF($J1879:$Q1879,"x")+1),-$E1879*N(L1879)))</f>
        <v/>
      </c>
      <c r="AA1879" s="34">
        <f>IF(OR($A1879="",$H1879&lt;&gt;"Ausgabe",M1879=""),0,IF(M1879="x",-$E1879/(COUNTIF($J1879:$Q1879,"x")+1),-$E1879*N(M1879)))</f>
        <v/>
      </c>
      <c r="AB1879" s="34">
        <f>IF(OR($A1879="",$H1879&lt;&gt;"Ausgabe",N1879=""),0,IF(N1879="x",-$E1879/(COUNTIF($J1879:$Q1879,"x")+1),-$E1879*N(N1879)))</f>
        <v/>
      </c>
      <c r="AC1879" s="34">
        <f>IF(OR($A1879="",$H1879&lt;&gt;"Ausgabe",O1879=""),0,IF(O1879="x",-$E1879/(COUNTIF($J1879:$Q1879,"x")+1),-$E1879*N(O1879)))</f>
        <v/>
      </c>
      <c r="AD1879" s="34">
        <f>IF(OR($A1879="",$H1879&lt;&gt;"Ausgabe",P1879=""),0,IF(P1879="x",-$E1879/(COUNTIF($J1879:$Q1879,"x")+1),-$E1879*N(P1879)))</f>
        <v/>
      </c>
      <c r="AE1879" s="34">
        <f>IF(OR($A1879="",$H1879&lt;&gt;"Ausgabe",Q1879=""),0,IF(Q1879="x",-$E1879/(COUNTIF($J1879:$Q1879,"x")+1),-$E1879*N(Q1879)))</f>
        <v/>
      </c>
    </row>
    <row r="1880">
      <c r="A1880" s="30" t="n"/>
      <c r="E1880" s="31" t="n"/>
      <c r="J1880" s="32" t="n"/>
      <c r="K1880" s="32" t="n"/>
      <c r="L1880" s="32" t="n"/>
      <c r="M1880" s="32" t="n"/>
      <c r="N1880" s="32" t="n"/>
      <c r="O1880" s="32" t="n"/>
      <c r="P1880" s="32" t="n"/>
      <c r="Q1880" s="32" t="n"/>
      <c r="U1880" s="31">
        <f>IF($A1880="","",SUM(X1880:AE1880))</f>
        <v/>
      </c>
      <c r="V1880" s="31">
        <f>IF($A1880="","",IF($H1880&lt;&gt;"Ausgabe",0,-$E1880-$U1880))</f>
        <v/>
      </c>
      <c r="W1880" s="33">
        <f>IF($A1880="","",DATE(YEAR($A1880),MONTH($A1880),1))</f>
        <v/>
      </c>
      <c r="X1880" s="34">
        <f>IF(OR($A1880="",$H1880&lt;&gt;"Ausgabe",J1880=""),0,IF(J1880="x",-$E1880/(COUNTIF($J1880:$Q1880,"x")+1),-$E1880*N(J1880)))</f>
        <v/>
      </c>
      <c r="Y1880" s="34">
        <f>IF(OR($A1880="",$H1880&lt;&gt;"Ausgabe",K1880=""),0,IF(K1880="x",-$E1880/(COUNTIF($J1880:$Q1880,"x")+1),-$E1880*N(K1880)))</f>
        <v/>
      </c>
      <c r="Z1880" s="34">
        <f>IF(OR($A1880="",$H1880&lt;&gt;"Ausgabe",L1880=""),0,IF(L1880="x",-$E1880/(COUNTIF($J1880:$Q1880,"x")+1),-$E1880*N(L1880)))</f>
        <v/>
      </c>
      <c r="AA1880" s="34">
        <f>IF(OR($A1880="",$H1880&lt;&gt;"Ausgabe",M1880=""),0,IF(M1880="x",-$E1880/(COUNTIF($J1880:$Q1880,"x")+1),-$E1880*N(M1880)))</f>
        <v/>
      </c>
      <c r="AB1880" s="34">
        <f>IF(OR($A1880="",$H1880&lt;&gt;"Ausgabe",N1880=""),0,IF(N1880="x",-$E1880/(COUNTIF($J1880:$Q1880,"x")+1),-$E1880*N(N1880)))</f>
        <v/>
      </c>
      <c r="AC1880" s="34">
        <f>IF(OR($A1880="",$H1880&lt;&gt;"Ausgabe",O1880=""),0,IF(O1880="x",-$E1880/(COUNTIF($J1880:$Q1880,"x")+1),-$E1880*N(O1880)))</f>
        <v/>
      </c>
      <c r="AD1880" s="34">
        <f>IF(OR($A1880="",$H1880&lt;&gt;"Ausgabe",P1880=""),0,IF(P1880="x",-$E1880/(COUNTIF($J1880:$Q1880,"x")+1),-$E1880*N(P1880)))</f>
        <v/>
      </c>
      <c r="AE1880" s="34">
        <f>IF(OR($A1880="",$H1880&lt;&gt;"Ausgabe",Q1880=""),0,IF(Q1880="x",-$E1880/(COUNTIF($J1880:$Q1880,"x")+1),-$E1880*N(Q1880)))</f>
        <v/>
      </c>
    </row>
    <row r="1881">
      <c r="A1881" s="30" t="n"/>
      <c r="E1881" s="31" t="n"/>
      <c r="J1881" s="32" t="n"/>
      <c r="K1881" s="32" t="n"/>
      <c r="L1881" s="32" t="n"/>
      <c r="M1881" s="32" t="n"/>
      <c r="N1881" s="32" t="n"/>
      <c r="O1881" s="32" t="n"/>
      <c r="P1881" s="32" t="n"/>
      <c r="Q1881" s="32" t="n"/>
      <c r="U1881" s="31">
        <f>IF($A1881="","",SUM(X1881:AE1881))</f>
        <v/>
      </c>
      <c r="V1881" s="31">
        <f>IF($A1881="","",IF($H1881&lt;&gt;"Ausgabe",0,-$E1881-$U1881))</f>
        <v/>
      </c>
      <c r="W1881" s="33">
        <f>IF($A1881="","",DATE(YEAR($A1881),MONTH($A1881),1))</f>
        <v/>
      </c>
      <c r="X1881" s="34">
        <f>IF(OR($A1881="",$H1881&lt;&gt;"Ausgabe",J1881=""),0,IF(J1881="x",-$E1881/(COUNTIF($J1881:$Q1881,"x")+1),-$E1881*N(J1881)))</f>
        <v/>
      </c>
      <c r="Y1881" s="34">
        <f>IF(OR($A1881="",$H1881&lt;&gt;"Ausgabe",K1881=""),0,IF(K1881="x",-$E1881/(COUNTIF($J1881:$Q1881,"x")+1),-$E1881*N(K1881)))</f>
        <v/>
      </c>
      <c r="Z1881" s="34">
        <f>IF(OR($A1881="",$H1881&lt;&gt;"Ausgabe",L1881=""),0,IF(L1881="x",-$E1881/(COUNTIF($J1881:$Q1881,"x")+1),-$E1881*N(L1881)))</f>
        <v/>
      </c>
      <c r="AA1881" s="34">
        <f>IF(OR($A1881="",$H1881&lt;&gt;"Ausgabe",M1881=""),0,IF(M1881="x",-$E1881/(COUNTIF($J1881:$Q1881,"x")+1),-$E1881*N(M1881)))</f>
        <v/>
      </c>
      <c r="AB1881" s="34">
        <f>IF(OR($A1881="",$H1881&lt;&gt;"Ausgabe",N1881=""),0,IF(N1881="x",-$E1881/(COUNTIF($J1881:$Q1881,"x")+1),-$E1881*N(N1881)))</f>
        <v/>
      </c>
      <c r="AC1881" s="34">
        <f>IF(OR($A1881="",$H1881&lt;&gt;"Ausgabe",O1881=""),0,IF(O1881="x",-$E1881/(COUNTIF($J1881:$Q1881,"x")+1),-$E1881*N(O1881)))</f>
        <v/>
      </c>
      <c r="AD1881" s="34">
        <f>IF(OR($A1881="",$H1881&lt;&gt;"Ausgabe",P1881=""),0,IF(P1881="x",-$E1881/(COUNTIF($J1881:$Q1881,"x")+1),-$E1881*N(P1881)))</f>
        <v/>
      </c>
      <c r="AE1881" s="34">
        <f>IF(OR($A1881="",$H1881&lt;&gt;"Ausgabe",Q1881=""),0,IF(Q1881="x",-$E1881/(COUNTIF($J1881:$Q1881,"x")+1),-$E1881*N(Q1881)))</f>
        <v/>
      </c>
    </row>
    <row r="1882">
      <c r="A1882" s="30" t="n"/>
      <c r="E1882" s="31" t="n"/>
      <c r="J1882" s="32" t="n"/>
      <c r="K1882" s="32" t="n"/>
      <c r="L1882" s="32" t="n"/>
      <c r="M1882" s="32" t="n"/>
      <c r="N1882" s="32" t="n"/>
      <c r="O1882" s="32" t="n"/>
      <c r="P1882" s="32" t="n"/>
      <c r="Q1882" s="32" t="n"/>
      <c r="U1882" s="31">
        <f>IF($A1882="","",SUM(X1882:AE1882))</f>
        <v/>
      </c>
      <c r="V1882" s="31">
        <f>IF($A1882="","",IF($H1882&lt;&gt;"Ausgabe",0,-$E1882-$U1882))</f>
        <v/>
      </c>
      <c r="W1882" s="33">
        <f>IF($A1882="","",DATE(YEAR($A1882),MONTH($A1882),1))</f>
        <v/>
      </c>
      <c r="X1882" s="34">
        <f>IF(OR($A1882="",$H1882&lt;&gt;"Ausgabe",J1882=""),0,IF(J1882="x",-$E1882/(COUNTIF($J1882:$Q1882,"x")+1),-$E1882*N(J1882)))</f>
        <v/>
      </c>
      <c r="Y1882" s="34">
        <f>IF(OR($A1882="",$H1882&lt;&gt;"Ausgabe",K1882=""),0,IF(K1882="x",-$E1882/(COUNTIF($J1882:$Q1882,"x")+1),-$E1882*N(K1882)))</f>
        <v/>
      </c>
      <c r="Z1882" s="34">
        <f>IF(OR($A1882="",$H1882&lt;&gt;"Ausgabe",L1882=""),0,IF(L1882="x",-$E1882/(COUNTIF($J1882:$Q1882,"x")+1),-$E1882*N(L1882)))</f>
        <v/>
      </c>
      <c r="AA1882" s="34">
        <f>IF(OR($A1882="",$H1882&lt;&gt;"Ausgabe",M1882=""),0,IF(M1882="x",-$E1882/(COUNTIF($J1882:$Q1882,"x")+1),-$E1882*N(M1882)))</f>
        <v/>
      </c>
      <c r="AB1882" s="34">
        <f>IF(OR($A1882="",$H1882&lt;&gt;"Ausgabe",N1882=""),0,IF(N1882="x",-$E1882/(COUNTIF($J1882:$Q1882,"x")+1),-$E1882*N(N1882)))</f>
        <v/>
      </c>
      <c r="AC1882" s="34">
        <f>IF(OR($A1882="",$H1882&lt;&gt;"Ausgabe",O1882=""),0,IF(O1882="x",-$E1882/(COUNTIF($J1882:$Q1882,"x")+1),-$E1882*N(O1882)))</f>
        <v/>
      </c>
      <c r="AD1882" s="34">
        <f>IF(OR($A1882="",$H1882&lt;&gt;"Ausgabe",P1882=""),0,IF(P1882="x",-$E1882/(COUNTIF($J1882:$Q1882,"x")+1),-$E1882*N(P1882)))</f>
        <v/>
      </c>
      <c r="AE1882" s="34">
        <f>IF(OR($A1882="",$H1882&lt;&gt;"Ausgabe",Q1882=""),0,IF(Q1882="x",-$E1882/(COUNTIF($J1882:$Q1882,"x")+1),-$E1882*N(Q1882)))</f>
        <v/>
      </c>
    </row>
    <row r="1883">
      <c r="A1883" s="30" t="n"/>
      <c r="E1883" s="31" t="n"/>
      <c r="J1883" s="32" t="n"/>
      <c r="K1883" s="32" t="n"/>
      <c r="L1883" s="32" t="n"/>
      <c r="M1883" s="32" t="n"/>
      <c r="N1883" s="32" t="n"/>
      <c r="O1883" s="32" t="n"/>
      <c r="P1883" s="32" t="n"/>
      <c r="Q1883" s="32" t="n"/>
      <c r="U1883" s="31">
        <f>IF($A1883="","",SUM(X1883:AE1883))</f>
        <v/>
      </c>
      <c r="V1883" s="31">
        <f>IF($A1883="","",IF($H1883&lt;&gt;"Ausgabe",0,-$E1883-$U1883))</f>
        <v/>
      </c>
      <c r="W1883" s="33">
        <f>IF($A1883="","",DATE(YEAR($A1883),MONTH($A1883),1))</f>
        <v/>
      </c>
      <c r="X1883" s="34">
        <f>IF(OR($A1883="",$H1883&lt;&gt;"Ausgabe",J1883=""),0,IF(J1883="x",-$E1883/(COUNTIF($J1883:$Q1883,"x")+1),-$E1883*N(J1883)))</f>
        <v/>
      </c>
      <c r="Y1883" s="34">
        <f>IF(OR($A1883="",$H1883&lt;&gt;"Ausgabe",K1883=""),0,IF(K1883="x",-$E1883/(COUNTIF($J1883:$Q1883,"x")+1),-$E1883*N(K1883)))</f>
        <v/>
      </c>
      <c r="Z1883" s="34">
        <f>IF(OR($A1883="",$H1883&lt;&gt;"Ausgabe",L1883=""),0,IF(L1883="x",-$E1883/(COUNTIF($J1883:$Q1883,"x")+1),-$E1883*N(L1883)))</f>
        <v/>
      </c>
      <c r="AA1883" s="34">
        <f>IF(OR($A1883="",$H1883&lt;&gt;"Ausgabe",M1883=""),0,IF(M1883="x",-$E1883/(COUNTIF($J1883:$Q1883,"x")+1),-$E1883*N(M1883)))</f>
        <v/>
      </c>
      <c r="AB1883" s="34">
        <f>IF(OR($A1883="",$H1883&lt;&gt;"Ausgabe",N1883=""),0,IF(N1883="x",-$E1883/(COUNTIF($J1883:$Q1883,"x")+1),-$E1883*N(N1883)))</f>
        <v/>
      </c>
      <c r="AC1883" s="34">
        <f>IF(OR($A1883="",$H1883&lt;&gt;"Ausgabe",O1883=""),0,IF(O1883="x",-$E1883/(COUNTIF($J1883:$Q1883,"x")+1),-$E1883*N(O1883)))</f>
        <v/>
      </c>
      <c r="AD1883" s="34">
        <f>IF(OR($A1883="",$H1883&lt;&gt;"Ausgabe",P1883=""),0,IF(P1883="x",-$E1883/(COUNTIF($J1883:$Q1883,"x")+1),-$E1883*N(P1883)))</f>
        <v/>
      </c>
      <c r="AE1883" s="34">
        <f>IF(OR($A1883="",$H1883&lt;&gt;"Ausgabe",Q1883=""),0,IF(Q1883="x",-$E1883/(COUNTIF($J1883:$Q1883,"x")+1),-$E1883*N(Q1883)))</f>
        <v/>
      </c>
    </row>
    <row r="1884">
      <c r="A1884" s="30" t="n"/>
      <c r="E1884" s="31" t="n"/>
      <c r="J1884" s="32" t="n"/>
      <c r="K1884" s="32" t="n"/>
      <c r="L1884" s="32" t="n"/>
      <c r="M1884" s="32" t="n"/>
      <c r="N1884" s="32" t="n"/>
      <c r="O1884" s="32" t="n"/>
      <c r="P1884" s="32" t="n"/>
      <c r="Q1884" s="32" t="n"/>
      <c r="U1884" s="31">
        <f>IF($A1884="","",SUM(X1884:AE1884))</f>
        <v/>
      </c>
      <c r="V1884" s="31">
        <f>IF($A1884="","",IF($H1884&lt;&gt;"Ausgabe",0,-$E1884-$U1884))</f>
        <v/>
      </c>
      <c r="W1884" s="33">
        <f>IF($A1884="","",DATE(YEAR($A1884),MONTH($A1884),1))</f>
        <v/>
      </c>
      <c r="X1884" s="34">
        <f>IF(OR($A1884="",$H1884&lt;&gt;"Ausgabe",J1884=""),0,IF(J1884="x",-$E1884/(COUNTIF($J1884:$Q1884,"x")+1),-$E1884*N(J1884)))</f>
        <v/>
      </c>
      <c r="Y1884" s="34">
        <f>IF(OR($A1884="",$H1884&lt;&gt;"Ausgabe",K1884=""),0,IF(K1884="x",-$E1884/(COUNTIF($J1884:$Q1884,"x")+1),-$E1884*N(K1884)))</f>
        <v/>
      </c>
      <c r="Z1884" s="34">
        <f>IF(OR($A1884="",$H1884&lt;&gt;"Ausgabe",L1884=""),0,IF(L1884="x",-$E1884/(COUNTIF($J1884:$Q1884,"x")+1),-$E1884*N(L1884)))</f>
        <v/>
      </c>
      <c r="AA1884" s="34">
        <f>IF(OR($A1884="",$H1884&lt;&gt;"Ausgabe",M1884=""),0,IF(M1884="x",-$E1884/(COUNTIF($J1884:$Q1884,"x")+1),-$E1884*N(M1884)))</f>
        <v/>
      </c>
      <c r="AB1884" s="34">
        <f>IF(OR($A1884="",$H1884&lt;&gt;"Ausgabe",N1884=""),0,IF(N1884="x",-$E1884/(COUNTIF($J1884:$Q1884,"x")+1),-$E1884*N(N1884)))</f>
        <v/>
      </c>
      <c r="AC1884" s="34">
        <f>IF(OR($A1884="",$H1884&lt;&gt;"Ausgabe",O1884=""),0,IF(O1884="x",-$E1884/(COUNTIF($J1884:$Q1884,"x")+1),-$E1884*N(O1884)))</f>
        <v/>
      </c>
      <c r="AD1884" s="34">
        <f>IF(OR($A1884="",$H1884&lt;&gt;"Ausgabe",P1884=""),0,IF(P1884="x",-$E1884/(COUNTIF($J1884:$Q1884,"x")+1),-$E1884*N(P1884)))</f>
        <v/>
      </c>
      <c r="AE1884" s="34">
        <f>IF(OR($A1884="",$H1884&lt;&gt;"Ausgabe",Q1884=""),0,IF(Q1884="x",-$E1884/(COUNTIF($J1884:$Q1884,"x")+1),-$E1884*N(Q1884)))</f>
        <v/>
      </c>
    </row>
    <row r="1885">
      <c r="A1885" s="30" t="n"/>
      <c r="E1885" s="31" t="n"/>
      <c r="J1885" s="32" t="n"/>
      <c r="K1885" s="32" t="n"/>
      <c r="L1885" s="32" t="n"/>
      <c r="M1885" s="32" t="n"/>
      <c r="N1885" s="32" t="n"/>
      <c r="O1885" s="32" t="n"/>
      <c r="P1885" s="32" t="n"/>
      <c r="Q1885" s="32" t="n"/>
      <c r="U1885" s="31">
        <f>IF($A1885="","",SUM(X1885:AE1885))</f>
        <v/>
      </c>
      <c r="V1885" s="31">
        <f>IF($A1885="","",IF($H1885&lt;&gt;"Ausgabe",0,-$E1885-$U1885))</f>
        <v/>
      </c>
      <c r="W1885" s="33">
        <f>IF($A1885="","",DATE(YEAR($A1885),MONTH($A1885),1))</f>
        <v/>
      </c>
      <c r="X1885" s="34">
        <f>IF(OR($A1885="",$H1885&lt;&gt;"Ausgabe",J1885=""),0,IF(J1885="x",-$E1885/(COUNTIF($J1885:$Q1885,"x")+1),-$E1885*N(J1885)))</f>
        <v/>
      </c>
      <c r="Y1885" s="34">
        <f>IF(OR($A1885="",$H1885&lt;&gt;"Ausgabe",K1885=""),0,IF(K1885="x",-$E1885/(COUNTIF($J1885:$Q1885,"x")+1),-$E1885*N(K1885)))</f>
        <v/>
      </c>
      <c r="Z1885" s="34">
        <f>IF(OR($A1885="",$H1885&lt;&gt;"Ausgabe",L1885=""),0,IF(L1885="x",-$E1885/(COUNTIF($J1885:$Q1885,"x")+1),-$E1885*N(L1885)))</f>
        <v/>
      </c>
      <c r="AA1885" s="34">
        <f>IF(OR($A1885="",$H1885&lt;&gt;"Ausgabe",M1885=""),0,IF(M1885="x",-$E1885/(COUNTIF($J1885:$Q1885,"x")+1),-$E1885*N(M1885)))</f>
        <v/>
      </c>
      <c r="AB1885" s="34">
        <f>IF(OR($A1885="",$H1885&lt;&gt;"Ausgabe",N1885=""),0,IF(N1885="x",-$E1885/(COUNTIF($J1885:$Q1885,"x")+1),-$E1885*N(N1885)))</f>
        <v/>
      </c>
      <c r="AC1885" s="34">
        <f>IF(OR($A1885="",$H1885&lt;&gt;"Ausgabe",O1885=""),0,IF(O1885="x",-$E1885/(COUNTIF($J1885:$Q1885,"x")+1),-$E1885*N(O1885)))</f>
        <v/>
      </c>
      <c r="AD1885" s="34">
        <f>IF(OR($A1885="",$H1885&lt;&gt;"Ausgabe",P1885=""),0,IF(P1885="x",-$E1885/(COUNTIF($J1885:$Q1885,"x")+1),-$E1885*N(P1885)))</f>
        <v/>
      </c>
      <c r="AE1885" s="34">
        <f>IF(OR($A1885="",$H1885&lt;&gt;"Ausgabe",Q1885=""),0,IF(Q1885="x",-$E1885/(COUNTIF($J1885:$Q1885,"x")+1),-$E1885*N(Q1885)))</f>
        <v/>
      </c>
    </row>
    <row r="1886">
      <c r="A1886" s="30" t="n"/>
      <c r="E1886" s="31" t="n"/>
      <c r="J1886" s="32" t="n"/>
      <c r="K1886" s="32" t="n"/>
      <c r="L1886" s="32" t="n"/>
      <c r="M1886" s="32" t="n"/>
      <c r="N1886" s="32" t="n"/>
      <c r="O1886" s="32" t="n"/>
      <c r="P1886" s="32" t="n"/>
      <c r="Q1886" s="32" t="n"/>
      <c r="U1886" s="31">
        <f>IF($A1886="","",SUM(X1886:AE1886))</f>
        <v/>
      </c>
      <c r="V1886" s="31">
        <f>IF($A1886="","",IF($H1886&lt;&gt;"Ausgabe",0,-$E1886-$U1886))</f>
        <v/>
      </c>
      <c r="W1886" s="33">
        <f>IF($A1886="","",DATE(YEAR($A1886),MONTH($A1886),1))</f>
        <v/>
      </c>
      <c r="X1886" s="34">
        <f>IF(OR($A1886="",$H1886&lt;&gt;"Ausgabe",J1886=""),0,IF(J1886="x",-$E1886/(COUNTIF($J1886:$Q1886,"x")+1),-$E1886*N(J1886)))</f>
        <v/>
      </c>
      <c r="Y1886" s="34">
        <f>IF(OR($A1886="",$H1886&lt;&gt;"Ausgabe",K1886=""),0,IF(K1886="x",-$E1886/(COUNTIF($J1886:$Q1886,"x")+1),-$E1886*N(K1886)))</f>
        <v/>
      </c>
      <c r="Z1886" s="34">
        <f>IF(OR($A1886="",$H1886&lt;&gt;"Ausgabe",L1886=""),0,IF(L1886="x",-$E1886/(COUNTIF($J1886:$Q1886,"x")+1),-$E1886*N(L1886)))</f>
        <v/>
      </c>
      <c r="AA1886" s="34">
        <f>IF(OR($A1886="",$H1886&lt;&gt;"Ausgabe",M1886=""),0,IF(M1886="x",-$E1886/(COUNTIF($J1886:$Q1886,"x")+1),-$E1886*N(M1886)))</f>
        <v/>
      </c>
      <c r="AB1886" s="34">
        <f>IF(OR($A1886="",$H1886&lt;&gt;"Ausgabe",N1886=""),0,IF(N1886="x",-$E1886/(COUNTIF($J1886:$Q1886,"x")+1),-$E1886*N(N1886)))</f>
        <v/>
      </c>
      <c r="AC1886" s="34">
        <f>IF(OR($A1886="",$H1886&lt;&gt;"Ausgabe",O1886=""),0,IF(O1886="x",-$E1886/(COUNTIF($J1886:$Q1886,"x")+1),-$E1886*N(O1886)))</f>
        <v/>
      </c>
      <c r="AD1886" s="34">
        <f>IF(OR($A1886="",$H1886&lt;&gt;"Ausgabe",P1886=""),0,IF(P1886="x",-$E1886/(COUNTIF($J1886:$Q1886,"x")+1),-$E1886*N(P1886)))</f>
        <v/>
      </c>
      <c r="AE1886" s="34">
        <f>IF(OR($A1886="",$H1886&lt;&gt;"Ausgabe",Q1886=""),0,IF(Q1886="x",-$E1886/(COUNTIF($J1886:$Q1886,"x")+1),-$E1886*N(Q1886)))</f>
        <v/>
      </c>
    </row>
    <row r="1887">
      <c r="A1887" s="30" t="n"/>
      <c r="E1887" s="31" t="n"/>
      <c r="J1887" s="32" t="n"/>
      <c r="K1887" s="32" t="n"/>
      <c r="L1887" s="32" t="n"/>
      <c r="M1887" s="32" t="n"/>
      <c r="N1887" s="32" t="n"/>
      <c r="O1887" s="32" t="n"/>
      <c r="P1887" s="32" t="n"/>
      <c r="Q1887" s="32" t="n"/>
      <c r="U1887" s="31">
        <f>IF($A1887="","",SUM(X1887:AE1887))</f>
        <v/>
      </c>
      <c r="V1887" s="31">
        <f>IF($A1887="","",IF($H1887&lt;&gt;"Ausgabe",0,-$E1887-$U1887))</f>
        <v/>
      </c>
      <c r="W1887" s="33">
        <f>IF($A1887="","",DATE(YEAR($A1887),MONTH($A1887),1))</f>
        <v/>
      </c>
      <c r="X1887" s="34">
        <f>IF(OR($A1887="",$H1887&lt;&gt;"Ausgabe",J1887=""),0,IF(J1887="x",-$E1887/(COUNTIF($J1887:$Q1887,"x")+1),-$E1887*N(J1887)))</f>
        <v/>
      </c>
      <c r="Y1887" s="34">
        <f>IF(OR($A1887="",$H1887&lt;&gt;"Ausgabe",K1887=""),0,IF(K1887="x",-$E1887/(COUNTIF($J1887:$Q1887,"x")+1),-$E1887*N(K1887)))</f>
        <v/>
      </c>
      <c r="Z1887" s="34">
        <f>IF(OR($A1887="",$H1887&lt;&gt;"Ausgabe",L1887=""),0,IF(L1887="x",-$E1887/(COUNTIF($J1887:$Q1887,"x")+1),-$E1887*N(L1887)))</f>
        <v/>
      </c>
      <c r="AA1887" s="34">
        <f>IF(OR($A1887="",$H1887&lt;&gt;"Ausgabe",M1887=""),0,IF(M1887="x",-$E1887/(COUNTIF($J1887:$Q1887,"x")+1),-$E1887*N(M1887)))</f>
        <v/>
      </c>
      <c r="AB1887" s="34">
        <f>IF(OR($A1887="",$H1887&lt;&gt;"Ausgabe",N1887=""),0,IF(N1887="x",-$E1887/(COUNTIF($J1887:$Q1887,"x")+1),-$E1887*N(N1887)))</f>
        <v/>
      </c>
      <c r="AC1887" s="34">
        <f>IF(OR($A1887="",$H1887&lt;&gt;"Ausgabe",O1887=""),0,IF(O1887="x",-$E1887/(COUNTIF($J1887:$Q1887,"x")+1),-$E1887*N(O1887)))</f>
        <v/>
      </c>
      <c r="AD1887" s="34">
        <f>IF(OR($A1887="",$H1887&lt;&gt;"Ausgabe",P1887=""),0,IF(P1887="x",-$E1887/(COUNTIF($J1887:$Q1887,"x")+1),-$E1887*N(P1887)))</f>
        <v/>
      </c>
      <c r="AE1887" s="34">
        <f>IF(OR($A1887="",$H1887&lt;&gt;"Ausgabe",Q1887=""),0,IF(Q1887="x",-$E1887/(COUNTIF($J1887:$Q1887,"x")+1),-$E1887*N(Q1887)))</f>
        <v/>
      </c>
    </row>
    <row r="1888">
      <c r="A1888" s="30" t="n"/>
      <c r="E1888" s="31" t="n"/>
      <c r="J1888" s="32" t="n"/>
      <c r="K1888" s="32" t="n"/>
      <c r="L1888" s="32" t="n"/>
      <c r="M1888" s="32" t="n"/>
      <c r="N1888" s="32" t="n"/>
      <c r="O1888" s="32" t="n"/>
      <c r="P1888" s="32" t="n"/>
      <c r="Q1888" s="32" t="n"/>
      <c r="U1888" s="31">
        <f>IF($A1888="","",SUM(X1888:AE1888))</f>
        <v/>
      </c>
      <c r="V1888" s="31">
        <f>IF($A1888="","",IF($H1888&lt;&gt;"Ausgabe",0,-$E1888-$U1888))</f>
        <v/>
      </c>
      <c r="W1888" s="33">
        <f>IF($A1888="","",DATE(YEAR($A1888),MONTH($A1888),1))</f>
        <v/>
      </c>
      <c r="X1888" s="34">
        <f>IF(OR($A1888="",$H1888&lt;&gt;"Ausgabe",J1888=""),0,IF(J1888="x",-$E1888/(COUNTIF($J1888:$Q1888,"x")+1),-$E1888*N(J1888)))</f>
        <v/>
      </c>
      <c r="Y1888" s="34">
        <f>IF(OR($A1888="",$H1888&lt;&gt;"Ausgabe",K1888=""),0,IF(K1888="x",-$E1888/(COUNTIF($J1888:$Q1888,"x")+1),-$E1888*N(K1888)))</f>
        <v/>
      </c>
      <c r="Z1888" s="34">
        <f>IF(OR($A1888="",$H1888&lt;&gt;"Ausgabe",L1888=""),0,IF(L1888="x",-$E1888/(COUNTIF($J1888:$Q1888,"x")+1),-$E1888*N(L1888)))</f>
        <v/>
      </c>
      <c r="AA1888" s="34">
        <f>IF(OR($A1888="",$H1888&lt;&gt;"Ausgabe",M1888=""),0,IF(M1888="x",-$E1888/(COUNTIF($J1888:$Q1888,"x")+1),-$E1888*N(M1888)))</f>
        <v/>
      </c>
      <c r="AB1888" s="34">
        <f>IF(OR($A1888="",$H1888&lt;&gt;"Ausgabe",N1888=""),0,IF(N1888="x",-$E1888/(COUNTIF($J1888:$Q1888,"x")+1),-$E1888*N(N1888)))</f>
        <v/>
      </c>
      <c r="AC1888" s="34">
        <f>IF(OR($A1888="",$H1888&lt;&gt;"Ausgabe",O1888=""),0,IF(O1888="x",-$E1888/(COUNTIF($J1888:$Q1888,"x")+1),-$E1888*N(O1888)))</f>
        <v/>
      </c>
      <c r="AD1888" s="34">
        <f>IF(OR($A1888="",$H1888&lt;&gt;"Ausgabe",P1888=""),0,IF(P1888="x",-$E1888/(COUNTIF($J1888:$Q1888,"x")+1),-$E1888*N(P1888)))</f>
        <v/>
      </c>
      <c r="AE1888" s="34">
        <f>IF(OR($A1888="",$H1888&lt;&gt;"Ausgabe",Q1888=""),0,IF(Q1888="x",-$E1888/(COUNTIF($J1888:$Q1888,"x")+1),-$E1888*N(Q1888)))</f>
        <v/>
      </c>
    </row>
    <row r="1889">
      <c r="A1889" s="30" t="n"/>
      <c r="E1889" s="31" t="n"/>
      <c r="J1889" s="32" t="n"/>
      <c r="K1889" s="32" t="n"/>
      <c r="L1889" s="32" t="n"/>
      <c r="M1889" s="32" t="n"/>
      <c r="N1889" s="32" t="n"/>
      <c r="O1889" s="32" t="n"/>
      <c r="P1889" s="32" t="n"/>
      <c r="Q1889" s="32" t="n"/>
      <c r="U1889" s="31">
        <f>IF($A1889="","",SUM(X1889:AE1889))</f>
        <v/>
      </c>
      <c r="V1889" s="31">
        <f>IF($A1889="","",IF($H1889&lt;&gt;"Ausgabe",0,-$E1889-$U1889))</f>
        <v/>
      </c>
      <c r="W1889" s="33">
        <f>IF($A1889="","",DATE(YEAR($A1889),MONTH($A1889),1))</f>
        <v/>
      </c>
      <c r="X1889" s="34">
        <f>IF(OR($A1889="",$H1889&lt;&gt;"Ausgabe",J1889=""),0,IF(J1889="x",-$E1889/(COUNTIF($J1889:$Q1889,"x")+1),-$E1889*N(J1889)))</f>
        <v/>
      </c>
      <c r="Y1889" s="34">
        <f>IF(OR($A1889="",$H1889&lt;&gt;"Ausgabe",K1889=""),0,IF(K1889="x",-$E1889/(COUNTIF($J1889:$Q1889,"x")+1),-$E1889*N(K1889)))</f>
        <v/>
      </c>
      <c r="Z1889" s="34">
        <f>IF(OR($A1889="",$H1889&lt;&gt;"Ausgabe",L1889=""),0,IF(L1889="x",-$E1889/(COUNTIF($J1889:$Q1889,"x")+1),-$E1889*N(L1889)))</f>
        <v/>
      </c>
      <c r="AA1889" s="34">
        <f>IF(OR($A1889="",$H1889&lt;&gt;"Ausgabe",M1889=""),0,IF(M1889="x",-$E1889/(COUNTIF($J1889:$Q1889,"x")+1),-$E1889*N(M1889)))</f>
        <v/>
      </c>
      <c r="AB1889" s="34">
        <f>IF(OR($A1889="",$H1889&lt;&gt;"Ausgabe",N1889=""),0,IF(N1889="x",-$E1889/(COUNTIF($J1889:$Q1889,"x")+1),-$E1889*N(N1889)))</f>
        <v/>
      </c>
      <c r="AC1889" s="34">
        <f>IF(OR($A1889="",$H1889&lt;&gt;"Ausgabe",O1889=""),0,IF(O1889="x",-$E1889/(COUNTIF($J1889:$Q1889,"x")+1),-$E1889*N(O1889)))</f>
        <v/>
      </c>
      <c r="AD1889" s="34">
        <f>IF(OR($A1889="",$H1889&lt;&gt;"Ausgabe",P1889=""),0,IF(P1889="x",-$E1889/(COUNTIF($J1889:$Q1889,"x")+1),-$E1889*N(P1889)))</f>
        <v/>
      </c>
      <c r="AE1889" s="34">
        <f>IF(OR($A1889="",$H1889&lt;&gt;"Ausgabe",Q1889=""),0,IF(Q1889="x",-$E1889/(COUNTIF($J1889:$Q1889,"x")+1),-$E1889*N(Q1889)))</f>
        <v/>
      </c>
    </row>
    <row r="1890">
      <c r="A1890" s="30" t="n"/>
      <c r="E1890" s="31" t="n"/>
      <c r="J1890" s="32" t="n"/>
      <c r="K1890" s="32" t="n"/>
      <c r="L1890" s="32" t="n"/>
      <c r="M1890" s="32" t="n"/>
      <c r="N1890" s="32" t="n"/>
      <c r="O1890" s="32" t="n"/>
      <c r="P1890" s="32" t="n"/>
      <c r="Q1890" s="32" t="n"/>
      <c r="U1890" s="31">
        <f>IF($A1890="","",SUM(X1890:AE1890))</f>
        <v/>
      </c>
      <c r="V1890" s="31">
        <f>IF($A1890="","",IF($H1890&lt;&gt;"Ausgabe",0,-$E1890-$U1890))</f>
        <v/>
      </c>
      <c r="W1890" s="33">
        <f>IF($A1890="","",DATE(YEAR($A1890),MONTH($A1890),1))</f>
        <v/>
      </c>
      <c r="X1890" s="34">
        <f>IF(OR($A1890="",$H1890&lt;&gt;"Ausgabe",J1890=""),0,IF(J1890="x",-$E1890/(COUNTIF($J1890:$Q1890,"x")+1),-$E1890*N(J1890)))</f>
        <v/>
      </c>
      <c r="Y1890" s="34">
        <f>IF(OR($A1890="",$H1890&lt;&gt;"Ausgabe",K1890=""),0,IF(K1890="x",-$E1890/(COUNTIF($J1890:$Q1890,"x")+1),-$E1890*N(K1890)))</f>
        <v/>
      </c>
      <c r="Z1890" s="34">
        <f>IF(OR($A1890="",$H1890&lt;&gt;"Ausgabe",L1890=""),0,IF(L1890="x",-$E1890/(COUNTIF($J1890:$Q1890,"x")+1),-$E1890*N(L1890)))</f>
        <v/>
      </c>
      <c r="AA1890" s="34">
        <f>IF(OR($A1890="",$H1890&lt;&gt;"Ausgabe",M1890=""),0,IF(M1890="x",-$E1890/(COUNTIF($J1890:$Q1890,"x")+1),-$E1890*N(M1890)))</f>
        <v/>
      </c>
      <c r="AB1890" s="34">
        <f>IF(OR($A1890="",$H1890&lt;&gt;"Ausgabe",N1890=""),0,IF(N1890="x",-$E1890/(COUNTIF($J1890:$Q1890,"x")+1),-$E1890*N(N1890)))</f>
        <v/>
      </c>
      <c r="AC1890" s="34">
        <f>IF(OR($A1890="",$H1890&lt;&gt;"Ausgabe",O1890=""),0,IF(O1890="x",-$E1890/(COUNTIF($J1890:$Q1890,"x")+1),-$E1890*N(O1890)))</f>
        <v/>
      </c>
      <c r="AD1890" s="34">
        <f>IF(OR($A1890="",$H1890&lt;&gt;"Ausgabe",P1890=""),0,IF(P1890="x",-$E1890/(COUNTIF($J1890:$Q1890,"x")+1),-$E1890*N(P1890)))</f>
        <v/>
      </c>
      <c r="AE1890" s="34">
        <f>IF(OR($A1890="",$H1890&lt;&gt;"Ausgabe",Q1890=""),0,IF(Q1890="x",-$E1890/(COUNTIF($J1890:$Q1890,"x")+1),-$E1890*N(Q1890)))</f>
        <v/>
      </c>
    </row>
    <row r="1891">
      <c r="A1891" s="30" t="n"/>
      <c r="E1891" s="31" t="n"/>
      <c r="J1891" s="32" t="n"/>
      <c r="K1891" s="32" t="n"/>
      <c r="L1891" s="32" t="n"/>
      <c r="M1891" s="32" t="n"/>
      <c r="N1891" s="32" t="n"/>
      <c r="O1891" s="32" t="n"/>
      <c r="P1891" s="32" t="n"/>
      <c r="Q1891" s="32" t="n"/>
      <c r="U1891" s="31">
        <f>IF($A1891="","",SUM(X1891:AE1891))</f>
        <v/>
      </c>
      <c r="V1891" s="31">
        <f>IF($A1891="","",IF($H1891&lt;&gt;"Ausgabe",0,-$E1891-$U1891))</f>
        <v/>
      </c>
      <c r="W1891" s="33">
        <f>IF($A1891="","",DATE(YEAR($A1891),MONTH($A1891),1))</f>
        <v/>
      </c>
      <c r="X1891" s="34">
        <f>IF(OR($A1891="",$H1891&lt;&gt;"Ausgabe",J1891=""),0,IF(J1891="x",-$E1891/(COUNTIF($J1891:$Q1891,"x")+1),-$E1891*N(J1891)))</f>
        <v/>
      </c>
      <c r="Y1891" s="34">
        <f>IF(OR($A1891="",$H1891&lt;&gt;"Ausgabe",K1891=""),0,IF(K1891="x",-$E1891/(COUNTIF($J1891:$Q1891,"x")+1),-$E1891*N(K1891)))</f>
        <v/>
      </c>
      <c r="Z1891" s="34">
        <f>IF(OR($A1891="",$H1891&lt;&gt;"Ausgabe",L1891=""),0,IF(L1891="x",-$E1891/(COUNTIF($J1891:$Q1891,"x")+1),-$E1891*N(L1891)))</f>
        <v/>
      </c>
      <c r="AA1891" s="34">
        <f>IF(OR($A1891="",$H1891&lt;&gt;"Ausgabe",M1891=""),0,IF(M1891="x",-$E1891/(COUNTIF($J1891:$Q1891,"x")+1),-$E1891*N(M1891)))</f>
        <v/>
      </c>
      <c r="AB1891" s="34">
        <f>IF(OR($A1891="",$H1891&lt;&gt;"Ausgabe",N1891=""),0,IF(N1891="x",-$E1891/(COUNTIF($J1891:$Q1891,"x")+1),-$E1891*N(N1891)))</f>
        <v/>
      </c>
      <c r="AC1891" s="34">
        <f>IF(OR($A1891="",$H1891&lt;&gt;"Ausgabe",O1891=""),0,IF(O1891="x",-$E1891/(COUNTIF($J1891:$Q1891,"x")+1),-$E1891*N(O1891)))</f>
        <v/>
      </c>
      <c r="AD1891" s="34">
        <f>IF(OR($A1891="",$H1891&lt;&gt;"Ausgabe",P1891=""),0,IF(P1891="x",-$E1891/(COUNTIF($J1891:$Q1891,"x")+1),-$E1891*N(P1891)))</f>
        <v/>
      </c>
      <c r="AE1891" s="34">
        <f>IF(OR($A1891="",$H1891&lt;&gt;"Ausgabe",Q1891=""),0,IF(Q1891="x",-$E1891/(COUNTIF($J1891:$Q1891,"x")+1),-$E1891*N(Q1891)))</f>
        <v/>
      </c>
    </row>
    <row r="1892">
      <c r="A1892" s="30" t="n"/>
      <c r="E1892" s="31" t="n"/>
      <c r="J1892" s="32" t="n"/>
      <c r="K1892" s="32" t="n"/>
      <c r="L1892" s="32" t="n"/>
      <c r="M1892" s="32" t="n"/>
      <c r="N1892" s="32" t="n"/>
      <c r="O1892" s="32" t="n"/>
      <c r="P1892" s="32" t="n"/>
      <c r="Q1892" s="32" t="n"/>
      <c r="U1892" s="31">
        <f>IF($A1892="","",SUM(X1892:AE1892))</f>
        <v/>
      </c>
      <c r="V1892" s="31">
        <f>IF($A1892="","",IF($H1892&lt;&gt;"Ausgabe",0,-$E1892-$U1892))</f>
        <v/>
      </c>
      <c r="W1892" s="33">
        <f>IF($A1892="","",DATE(YEAR($A1892),MONTH($A1892),1))</f>
        <v/>
      </c>
      <c r="X1892" s="34">
        <f>IF(OR($A1892="",$H1892&lt;&gt;"Ausgabe",J1892=""),0,IF(J1892="x",-$E1892/(COUNTIF($J1892:$Q1892,"x")+1),-$E1892*N(J1892)))</f>
        <v/>
      </c>
      <c r="Y1892" s="34">
        <f>IF(OR($A1892="",$H1892&lt;&gt;"Ausgabe",K1892=""),0,IF(K1892="x",-$E1892/(COUNTIF($J1892:$Q1892,"x")+1),-$E1892*N(K1892)))</f>
        <v/>
      </c>
      <c r="Z1892" s="34">
        <f>IF(OR($A1892="",$H1892&lt;&gt;"Ausgabe",L1892=""),0,IF(L1892="x",-$E1892/(COUNTIF($J1892:$Q1892,"x")+1),-$E1892*N(L1892)))</f>
        <v/>
      </c>
      <c r="AA1892" s="34">
        <f>IF(OR($A1892="",$H1892&lt;&gt;"Ausgabe",M1892=""),0,IF(M1892="x",-$E1892/(COUNTIF($J1892:$Q1892,"x")+1),-$E1892*N(M1892)))</f>
        <v/>
      </c>
      <c r="AB1892" s="34">
        <f>IF(OR($A1892="",$H1892&lt;&gt;"Ausgabe",N1892=""),0,IF(N1892="x",-$E1892/(COUNTIF($J1892:$Q1892,"x")+1),-$E1892*N(N1892)))</f>
        <v/>
      </c>
      <c r="AC1892" s="34">
        <f>IF(OR($A1892="",$H1892&lt;&gt;"Ausgabe",O1892=""),0,IF(O1892="x",-$E1892/(COUNTIF($J1892:$Q1892,"x")+1),-$E1892*N(O1892)))</f>
        <v/>
      </c>
      <c r="AD1892" s="34">
        <f>IF(OR($A1892="",$H1892&lt;&gt;"Ausgabe",P1892=""),0,IF(P1892="x",-$E1892/(COUNTIF($J1892:$Q1892,"x")+1),-$E1892*N(P1892)))</f>
        <v/>
      </c>
      <c r="AE1892" s="34">
        <f>IF(OR($A1892="",$H1892&lt;&gt;"Ausgabe",Q1892=""),0,IF(Q1892="x",-$E1892/(COUNTIF($J1892:$Q1892,"x")+1),-$E1892*N(Q1892)))</f>
        <v/>
      </c>
    </row>
    <row r="1893">
      <c r="A1893" s="30" t="n"/>
      <c r="E1893" s="31" t="n"/>
      <c r="J1893" s="32" t="n"/>
      <c r="K1893" s="32" t="n"/>
      <c r="L1893" s="32" t="n"/>
      <c r="M1893" s="32" t="n"/>
      <c r="N1893" s="32" t="n"/>
      <c r="O1893" s="32" t="n"/>
      <c r="P1893" s="32" t="n"/>
      <c r="Q1893" s="32" t="n"/>
      <c r="U1893" s="31">
        <f>IF($A1893="","",SUM(X1893:AE1893))</f>
        <v/>
      </c>
      <c r="V1893" s="31">
        <f>IF($A1893="","",IF($H1893&lt;&gt;"Ausgabe",0,-$E1893-$U1893))</f>
        <v/>
      </c>
      <c r="W1893" s="33">
        <f>IF($A1893="","",DATE(YEAR($A1893),MONTH($A1893),1))</f>
        <v/>
      </c>
      <c r="X1893" s="34">
        <f>IF(OR($A1893="",$H1893&lt;&gt;"Ausgabe",J1893=""),0,IF(J1893="x",-$E1893/(COUNTIF($J1893:$Q1893,"x")+1),-$E1893*N(J1893)))</f>
        <v/>
      </c>
      <c r="Y1893" s="34">
        <f>IF(OR($A1893="",$H1893&lt;&gt;"Ausgabe",K1893=""),0,IF(K1893="x",-$E1893/(COUNTIF($J1893:$Q1893,"x")+1),-$E1893*N(K1893)))</f>
        <v/>
      </c>
      <c r="Z1893" s="34">
        <f>IF(OR($A1893="",$H1893&lt;&gt;"Ausgabe",L1893=""),0,IF(L1893="x",-$E1893/(COUNTIF($J1893:$Q1893,"x")+1),-$E1893*N(L1893)))</f>
        <v/>
      </c>
      <c r="AA1893" s="34">
        <f>IF(OR($A1893="",$H1893&lt;&gt;"Ausgabe",M1893=""),0,IF(M1893="x",-$E1893/(COUNTIF($J1893:$Q1893,"x")+1),-$E1893*N(M1893)))</f>
        <v/>
      </c>
      <c r="AB1893" s="34">
        <f>IF(OR($A1893="",$H1893&lt;&gt;"Ausgabe",N1893=""),0,IF(N1893="x",-$E1893/(COUNTIF($J1893:$Q1893,"x")+1),-$E1893*N(N1893)))</f>
        <v/>
      </c>
      <c r="AC1893" s="34">
        <f>IF(OR($A1893="",$H1893&lt;&gt;"Ausgabe",O1893=""),0,IF(O1893="x",-$E1893/(COUNTIF($J1893:$Q1893,"x")+1),-$E1893*N(O1893)))</f>
        <v/>
      </c>
      <c r="AD1893" s="34">
        <f>IF(OR($A1893="",$H1893&lt;&gt;"Ausgabe",P1893=""),0,IF(P1893="x",-$E1893/(COUNTIF($J1893:$Q1893,"x")+1),-$E1893*N(P1893)))</f>
        <v/>
      </c>
      <c r="AE1893" s="34">
        <f>IF(OR($A1893="",$H1893&lt;&gt;"Ausgabe",Q1893=""),0,IF(Q1893="x",-$E1893/(COUNTIF($J1893:$Q1893,"x")+1),-$E1893*N(Q1893)))</f>
        <v/>
      </c>
    </row>
    <row r="1894">
      <c r="A1894" s="30" t="n"/>
      <c r="E1894" s="31" t="n"/>
      <c r="J1894" s="32" t="n"/>
      <c r="K1894" s="32" t="n"/>
      <c r="L1894" s="32" t="n"/>
      <c r="M1894" s="32" t="n"/>
      <c r="N1894" s="32" t="n"/>
      <c r="O1894" s="32" t="n"/>
      <c r="P1894" s="32" t="n"/>
      <c r="Q1894" s="32" t="n"/>
      <c r="U1894" s="31">
        <f>IF($A1894="","",SUM(X1894:AE1894))</f>
        <v/>
      </c>
      <c r="V1894" s="31">
        <f>IF($A1894="","",IF($H1894&lt;&gt;"Ausgabe",0,-$E1894-$U1894))</f>
        <v/>
      </c>
      <c r="W1894" s="33">
        <f>IF($A1894="","",DATE(YEAR($A1894),MONTH($A1894),1))</f>
        <v/>
      </c>
      <c r="X1894" s="34">
        <f>IF(OR($A1894="",$H1894&lt;&gt;"Ausgabe",J1894=""),0,IF(J1894="x",-$E1894/(COUNTIF($J1894:$Q1894,"x")+1),-$E1894*N(J1894)))</f>
        <v/>
      </c>
      <c r="Y1894" s="34">
        <f>IF(OR($A1894="",$H1894&lt;&gt;"Ausgabe",K1894=""),0,IF(K1894="x",-$E1894/(COUNTIF($J1894:$Q1894,"x")+1),-$E1894*N(K1894)))</f>
        <v/>
      </c>
      <c r="Z1894" s="34">
        <f>IF(OR($A1894="",$H1894&lt;&gt;"Ausgabe",L1894=""),0,IF(L1894="x",-$E1894/(COUNTIF($J1894:$Q1894,"x")+1),-$E1894*N(L1894)))</f>
        <v/>
      </c>
      <c r="AA1894" s="34">
        <f>IF(OR($A1894="",$H1894&lt;&gt;"Ausgabe",M1894=""),0,IF(M1894="x",-$E1894/(COUNTIF($J1894:$Q1894,"x")+1),-$E1894*N(M1894)))</f>
        <v/>
      </c>
      <c r="AB1894" s="34">
        <f>IF(OR($A1894="",$H1894&lt;&gt;"Ausgabe",N1894=""),0,IF(N1894="x",-$E1894/(COUNTIF($J1894:$Q1894,"x")+1),-$E1894*N(N1894)))</f>
        <v/>
      </c>
      <c r="AC1894" s="34">
        <f>IF(OR($A1894="",$H1894&lt;&gt;"Ausgabe",O1894=""),0,IF(O1894="x",-$E1894/(COUNTIF($J1894:$Q1894,"x")+1),-$E1894*N(O1894)))</f>
        <v/>
      </c>
      <c r="AD1894" s="34">
        <f>IF(OR($A1894="",$H1894&lt;&gt;"Ausgabe",P1894=""),0,IF(P1894="x",-$E1894/(COUNTIF($J1894:$Q1894,"x")+1),-$E1894*N(P1894)))</f>
        <v/>
      </c>
      <c r="AE1894" s="34">
        <f>IF(OR($A1894="",$H1894&lt;&gt;"Ausgabe",Q1894=""),0,IF(Q1894="x",-$E1894/(COUNTIF($J1894:$Q1894,"x")+1),-$E1894*N(Q1894)))</f>
        <v/>
      </c>
    </row>
    <row r="1895">
      <c r="A1895" s="30" t="n"/>
      <c r="E1895" s="31" t="n"/>
      <c r="J1895" s="32" t="n"/>
      <c r="K1895" s="32" t="n"/>
      <c r="L1895" s="32" t="n"/>
      <c r="M1895" s="32" t="n"/>
      <c r="N1895" s="32" t="n"/>
      <c r="O1895" s="32" t="n"/>
      <c r="P1895" s="32" t="n"/>
      <c r="Q1895" s="32" t="n"/>
      <c r="U1895" s="31">
        <f>IF($A1895="","",SUM(X1895:AE1895))</f>
        <v/>
      </c>
      <c r="V1895" s="31">
        <f>IF($A1895="","",IF($H1895&lt;&gt;"Ausgabe",0,-$E1895-$U1895))</f>
        <v/>
      </c>
      <c r="W1895" s="33">
        <f>IF($A1895="","",DATE(YEAR($A1895),MONTH($A1895),1))</f>
        <v/>
      </c>
      <c r="X1895" s="34">
        <f>IF(OR($A1895="",$H1895&lt;&gt;"Ausgabe",J1895=""),0,IF(J1895="x",-$E1895/(COUNTIF($J1895:$Q1895,"x")+1),-$E1895*N(J1895)))</f>
        <v/>
      </c>
      <c r="Y1895" s="34">
        <f>IF(OR($A1895="",$H1895&lt;&gt;"Ausgabe",K1895=""),0,IF(K1895="x",-$E1895/(COUNTIF($J1895:$Q1895,"x")+1),-$E1895*N(K1895)))</f>
        <v/>
      </c>
      <c r="Z1895" s="34">
        <f>IF(OR($A1895="",$H1895&lt;&gt;"Ausgabe",L1895=""),0,IF(L1895="x",-$E1895/(COUNTIF($J1895:$Q1895,"x")+1),-$E1895*N(L1895)))</f>
        <v/>
      </c>
      <c r="AA1895" s="34">
        <f>IF(OR($A1895="",$H1895&lt;&gt;"Ausgabe",M1895=""),0,IF(M1895="x",-$E1895/(COUNTIF($J1895:$Q1895,"x")+1),-$E1895*N(M1895)))</f>
        <v/>
      </c>
      <c r="AB1895" s="34">
        <f>IF(OR($A1895="",$H1895&lt;&gt;"Ausgabe",N1895=""),0,IF(N1895="x",-$E1895/(COUNTIF($J1895:$Q1895,"x")+1),-$E1895*N(N1895)))</f>
        <v/>
      </c>
      <c r="AC1895" s="34">
        <f>IF(OR($A1895="",$H1895&lt;&gt;"Ausgabe",O1895=""),0,IF(O1895="x",-$E1895/(COUNTIF($J1895:$Q1895,"x")+1),-$E1895*N(O1895)))</f>
        <v/>
      </c>
      <c r="AD1895" s="34">
        <f>IF(OR($A1895="",$H1895&lt;&gt;"Ausgabe",P1895=""),0,IF(P1895="x",-$E1895/(COUNTIF($J1895:$Q1895,"x")+1),-$E1895*N(P1895)))</f>
        <v/>
      </c>
      <c r="AE1895" s="34">
        <f>IF(OR($A1895="",$H1895&lt;&gt;"Ausgabe",Q1895=""),0,IF(Q1895="x",-$E1895/(COUNTIF($J1895:$Q1895,"x")+1),-$E1895*N(Q1895)))</f>
        <v/>
      </c>
    </row>
    <row r="1896">
      <c r="A1896" s="30" t="n"/>
      <c r="E1896" s="31" t="n"/>
      <c r="J1896" s="32" t="n"/>
      <c r="K1896" s="32" t="n"/>
      <c r="L1896" s="32" t="n"/>
      <c r="M1896" s="32" t="n"/>
      <c r="N1896" s="32" t="n"/>
      <c r="O1896" s="32" t="n"/>
      <c r="P1896" s="32" t="n"/>
      <c r="Q1896" s="32" t="n"/>
      <c r="U1896" s="31">
        <f>IF($A1896="","",SUM(X1896:AE1896))</f>
        <v/>
      </c>
      <c r="V1896" s="31">
        <f>IF($A1896="","",IF($H1896&lt;&gt;"Ausgabe",0,-$E1896-$U1896))</f>
        <v/>
      </c>
      <c r="W1896" s="33">
        <f>IF($A1896="","",DATE(YEAR($A1896),MONTH($A1896),1))</f>
        <v/>
      </c>
      <c r="X1896" s="34">
        <f>IF(OR($A1896="",$H1896&lt;&gt;"Ausgabe",J1896=""),0,IF(J1896="x",-$E1896/(COUNTIF($J1896:$Q1896,"x")+1),-$E1896*N(J1896)))</f>
        <v/>
      </c>
      <c r="Y1896" s="34">
        <f>IF(OR($A1896="",$H1896&lt;&gt;"Ausgabe",K1896=""),0,IF(K1896="x",-$E1896/(COUNTIF($J1896:$Q1896,"x")+1),-$E1896*N(K1896)))</f>
        <v/>
      </c>
      <c r="Z1896" s="34">
        <f>IF(OR($A1896="",$H1896&lt;&gt;"Ausgabe",L1896=""),0,IF(L1896="x",-$E1896/(COUNTIF($J1896:$Q1896,"x")+1),-$E1896*N(L1896)))</f>
        <v/>
      </c>
      <c r="AA1896" s="34">
        <f>IF(OR($A1896="",$H1896&lt;&gt;"Ausgabe",M1896=""),0,IF(M1896="x",-$E1896/(COUNTIF($J1896:$Q1896,"x")+1),-$E1896*N(M1896)))</f>
        <v/>
      </c>
      <c r="AB1896" s="34">
        <f>IF(OR($A1896="",$H1896&lt;&gt;"Ausgabe",N1896=""),0,IF(N1896="x",-$E1896/(COUNTIF($J1896:$Q1896,"x")+1),-$E1896*N(N1896)))</f>
        <v/>
      </c>
      <c r="AC1896" s="34">
        <f>IF(OR($A1896="",$H1896&lt;&gt;"Ausgabe",O1896=""),0,IF(O1896="x",-$E1896/(COUNTIF($J1896:$Q1896,"x")+1),-$E1896*N(O1896)))</f>
        <v/>
      </c>
      <c r="AD1896" s="34">
        <f>IF(OR($A1896="",$H1896&lt;&gt;"Ausgabe",P1896=""),0,IF(P1896="x",-$E1896/(COUNTIF($J1896:$Q1896,"x")+1),-$E1896*N(P1896)))</f>
        <v/>
      </c>
      <c r="AE1896" s="34">
        <f>IF(OR($A1896="",$H1896&lt;&gt;"Ausgabe",Q1896=""),0,IF(Q1896="x",-$E1896/(COUNTIF($J1896:$Q1896,"x")+1),-$E1896*N(Q1896)))</f>
        <v/>
      </c>
    </row>
    <row r="1897">
      <c r="A1897" s="30" t="n"/>
      <c r="E1897" s="31" t="n"/>
      <c r="J1897" s="32" t="n"/>
      <c r="K1897" s="32" t="n"/>
      <c r="L1897" s="32" t="n"/>
      <c r="M1897" s="32" t="n"/>
      <c r="N1897" s="32" t="n"/>
      <c r="O1897" s="32" t="n"/>
      <c r="P1897" s="32" t="n"/>
      <c r="Q1897" s="32" t="n"/>
      <c r="U1897" s="31">
        <f>IF($A1897="","",SUM(X1897:AE1897))</f>
        <v/>
      </c>
      <c r="V1897" s="31">
        <f>IF($A1897="","",IF($H1897&lt;&gt;"Ausgabe",0,-$E1897-$U1897))</f>
        <v/>
      </c>
      <c r="W1897" s="33">
        <f>IF($A1897="","",DATE(YEAR($A1897),MONTH($A1897),1))</f>
        <v/>
      </c>
      <c r="X1897" s="34">
        <f>IF(OR($A1897="",$H1897&lt;&gt;"Ausgabe",J1897=""),0,IF(J1897="x",-$E1897/(COUNTIF($J1897:$Q1897,"x")+1),-$E1897*N(J1897)))</f>
        <v/>
      </c>
      <c r="Y1897" s="34">
        <f>IF(OR($A1897="",$H1897&lt;&gt;"Ausgabe",K1897=""),0,IF(K1897="x",-$E1897/(COUNTIF($J1897:$Q1897,"x")+1),-$E1897*N(K1897)))</f>
        <v/>
      </c>
      <c r="Z1897" s="34">
        <f>IF(OR($A1897="",$H1897&lt;&gt;"Ausgabe",L1897=""),0,IF(L1897="x",-$E1897/(COUNTIF($J1897:$Q1897,"x")+1),-$E1897*N(L1897)))</f>
        <v/>
      </c>
      <c r="AA1897" s="34">
        <f>IF(OR($A1897="",$H1897&lt;&gt;"Ausgabe",M1897=""),0,IF(M1897="x",-$E1897/(COUNTIF($J1897:$Q1897,"x")+1),-$E1897*N(M1897)))</f>
        <v/>
      </c>
      <c r="AB1897" s="34">
        <f>IF(OR($A1897="",$H1897&lt;&gt;"Ausgabe",N1897=""),0,IF(N1897="x",-$E1897/(COUNTIF($J1897:$Q1897,"x")+1),-$E1897*N(N1897)))</f>
        <v/>
      </c>
      <c r="AC1897" s="34">
        <f>IF(OR($A1897="",$H1897&lt;&gt;"Ausgabe",O1897=""),0,IF(O1897="x",-$E1897/(COUNTIF($J1897:$Q1897,"x")+1),-$E1897*N(O1897)))</f>
        <v/>
      </c>
      <c r="AD1897" s="34">
        <f>IF(OR($A1897="",$H1897&lt;&gt;"Ausgabe",P1897=""),0,IF(P1897="x",-$E1897/(COUNTIF($J1897:$Q1897,"x")+1),-$E1897*N(P1897)))</f>
        <v/>
      </c>
      <c r="AE1897" s="34">
        <f>IF(OR($A1897="",$H1897&lt;&gt;"Ausgabe",Q1897=""),0,IF(Q1897="x",-$E1897/(COUNTIF($J1897:$Q1897,"x")+1),-$E1897*N(Q1897)))</f>
        <v/>
      </c>
    </row>
    <row r="1898">
      <c r="A1898" s="30" t="n"/>
      <c r="E1898" s="31" t="n"/>
      <c r="J1898" s="32" t="n"/>
      <c r="K1898" s="32" t="n"/>
      <c r="L1898" s="32" t="n"/>
      <c r="M1898" s="32" t="n"/>
      <c r="N1898" s="32" t="n"/>
      <c r="O1898" s="32" t="n"/>
      <c r="P1898" s="32" t="n"/>
      <c r="Q1898" s="32" t="n"/>
      <c r="U1898" s="31">
        <f>IF($A1898="","",SUM(X1898:AE1898))</f>
        <v/>
      </c>
      <c r="V1898" s="31">
        <f>IF($A1898="","",IF($H1898&lt;&gt;"Ausgabe",0,-$E1898-$U1898))</f>
        <v/>
      </c>
      <c r="W1898" s="33">
        <f>IF($A1898="","",DATE(YEAR($A1898),MONTH($A1898),1))</f>
        <v/>
      </c>
      <c r="X1898" s="34">
        <f>IF(OR($A1898="",$H1898&lt;&gt;"Ausgabe",J1898=""),0,IF(J1898="x",-$E1898/(COUNTIF($J1898:$Q1898,"x")+1),-$E1898*N(J1898)))</f>
        <v/>
      </c>
      <c r="Y1898" s="34">
        <f>IF(OR($A1898="",$H1898&lt;&gt;"Ausgabe",K1898=""),0,IF(K1898="x",-$E1898/(COUNTIF($J1898:$Q1898,"x")+1),-$E1898*N(K1898)))</f>
        <v/>
      </c>
      <c r="Z1898" s="34">
        <f>IF(OR($A1898="",$H1898&lt;&gt;"Ausgabe",L1898=""),0,IF(L1898="x",-$E1898/(COUNTIF($J1898:$Q1898,"x")+1),-$E1898*N(L1898)))</f>
        <v/>
      </c>
      <c r="AA1898" s="34">
        <f>IF(OR($A1898="",$H1898&lt;&gt;"Ausgabe",M1898=""),0,IF(M1898="x",-$E1898/(COUNTIF($J1898:$Q1898,"x")+1),-$E1898*N(M1898)))</f>
        <v/>
      </c>
      <c r="AB1898" s="34">
        <f>IF(OR($A1898="",$H1898&lt;&gt;"Ausgabe",N1898=""),0,IF(N1898="x",-$E1898/(COUNTIF($J1898:$Q1898,"x")+1),-$E1898*N(N1898)))</f>
        <v/>
      </c>
      <c r="AC1898" s="34">
        <f>IF(OR($A1898="",$H1898&lt;&gt;"Ausgabe",O1898=""),0,IF(O1898="x",-$E1898/(COUNTIF($J1898:$Q1898,"x")+1),-$E1898*N(O1898)))</f>
        <v/>
      </c>
      <c r="AD1898" s="34">
        <f>IF(OR($A1898="",$H1898&lt;&gt;"Ausgabe",P1898=""),0,IF(P1898="x",-$E1898/(COUNTIF($J1898:$Q1898,"x")+1),-$E1898*N(P1898)))</f>
        <v/>
      </c>
      <c r="AE1898" s="34">
        <f>IF(OR($A1898="",$H1898&lt;&gt;"Ausgabe",Q1898=""),0,IF(Q1898="x",-$E1898/(COUNTIF($J1898:$Q1898,"x")+1),-$E1898*N(Q1898)))</f>
        <v/>
      </c>
    </row>
    <row r="1899">
      <c r="A1899" s="30" t="n"/>
      <c r="E1899" s="31" t="n"/>
      <c r="J1899" s="32" t="n"/>
      <c r="K1899" s="32" t="n"/>
      <c r="L1899" s="32" t="n"/>
      <c r="M1899" s="32" t="n"/>
      <c r="N1899" s="32" t="n"/>
      <c r="O1899" s="32" t="n"/>
      <c r="P1899" s="32" t="n"/>
      <c r="Q1899" s="32" t="n"/>
      <c r="U1899" s="31">
        <f>IF($A1899="","",SUM(X1899:AE1899))</f>
        <v/>
      </c>
      <c r="V1899" s="31">
        <f>IF($A1899="","",IF($H1899&lt;&gt;"Ausgabe",0,-$E1899-$U1899))</f>
        <v/>
      </c>
      <c r="W1899" s="33">
        <f>IF($A1899="","",DATE(YEAR($A1899),MONTH($A1899),1))</f>
        <v/>
      </c>
      <c r="X1899" s="34">
        <f>IF(OR($A1899="",$H1899&lt;&gt;"Ausgabe",J1899=""),0,IF(J1899="x",-$E1899/(COUNTIF($J1899:$Q1899,"x")+1),-$E1899*N(J1899)))</f>
        <v/>
      </c>
      <c r="Y1899" s="34">
        <f>IF(OR($A1899="",$H1899&lt;&gt;"Ausgabe",K1899=""),0,IF(K1899="x",-$E1899/(COUNTIF($J1899:$Q1899,"x")+1),-$E1899*N(K1899)))</f>
        <v/>
      </c>
      <c r="Z1899" s="34">
        <f>IF(OR($A1899="",$H1899&lt;&gt;"Ausgabe",L1899=""),0,IF(L1899="x",-$E1899/(COUNTIF($J1899:$Q1899,"x")+1),-$E1899*N(L1899)))</f>
        <v/>
      </c>
      <c r="AA1899" s="34">
        <f>IF(OR($A1899="",$H1899&lt;&gt;"Ausgabe",M1899=""),0,IF(M1899="x",-$E1899/(COUNTIF($J1899:$Q1899,"x")+1),-$E1899*N(M1899)))</f>
        <v/>
      </c>
      <c r="AB1899" s="34">
        <f>IF(OR($A1899="",$H1899&lt;&gt;"Ausgabe",N1899=""),0,IF(N1899="x",-$E1899/(COUNTIF($J1899:$Q1899,"x")+1),-$E1899*N(N1899)))</f>
        <v/>
      </c>
      <c r="AC1899" s="34">
        <f>IF(OR($A1899="",$H1899&lt;&gt;"Ausgabe",O1899=""),0,IF(O1899="x",-$E1899/(COUNTIF($J1899:$Q1899,"x")+1),-$E1899*N(O1899)))</f>
        <v/>
      </c>
      <c r="AD1899" s="34">
        <f>IF(OR($A1899="",$H1899&lt;&gt;"Ausgabe",P1899=""),0,IF(P1899="x",-$E1899/(COUNTIF($J1899:$Q1899,"x")+1),-$E1899*N(P1899)))</f>
        <v/>
      </c>
      <c r="AE1899" s="34">
        <f>IF(OR($A1899="",$H1899&lt;&gt;"Ausgabe",Q1899=""),0,IF(Q1899="x",-$E1899/(COUNTIF($J1899:$Q1899,"x")+1),-$E1899*N(Q1899)))</f>
        <v/>
      </c>
    </row>
    <row r="1900">
      <c r="A1900" s="30" t="n"/>
      <c r="E1900" s="31" t="n"/>
      <c r="J1900" s="32" t="n"/>
      <c r="K1900" s="32" t="n"/>
      <c r="L1900" s="32" t="n"/>
      <c r="M1900" s="32" t="n"/>
      <c r="N1900" s="32" t="n"/>
      <c r="O1900" s="32" t="n"/>
      <c r="P1900" s="32" t="n"/>
      <c r="Q1900" s="32" t="n"/>
      <c r="U1900" s="31">
        <f>IF($A1900="","",SUM(X1900:AE1900))</f>
        <v/>
      </c>
      <c r="V1900" s="31">
        <f>IF($A1900="","",IF($H1900&lt;&gt;"Ausgabe",0,-$E1900-$U1900))</f>
        <v/>
      </c>
      <c r="W1900" s="33">
        <f>IF($A1900="","",DATE(YEAR($A1900),MONTH($A1900),1))</f>
        <v/>
      </c>
      <c r="X1900" s="34">
        <f>IF(OR($A1900="",$H1900&lt;&gt;"Ausgabe",J1900=""),0,IF(J1900="x",-$E1900/(COUNTIF($J1900:$Q1900,"x")+1),-$E1900*N(J1900)))</f>
        <v/>
      </c>
      <c r="Y1900" s="34">
        <f>IF(OR($A1900="",$H1900&lt;&gt;"Ausgabe",K1900=""),0,IF(K1900="x",-$E1900/(COUNTIF($J1900:$Q1900,"x")+1),-$E1900*N(K1900)))</f>
        <v/>
      </c>
      <c r="Z1900" s="34">
        <f>IF(OR($A1900="",$H1900&lt;&gt;"Ausgabe",L1900=""),0,IF(L1900="x",-$E1900/(COUNTIF($J1900:$Q1900,"x")+1),-$E1900*N(L1900)))</f>
        <v/>
      </c>
      <c r="AA1900" s="34">
        <f>IF(OR($A1900="",$H1900&lt;&gt;"Ausgabe",M1900=""),0,IF(M1900="x",-$E1900/(COUNTIF($J1900:$Q1900,"x")+1),-$E1900*N(M1900)))</f>
        <v/>
      </c>
      <c r="AB1900" s="34">
        <f>IF(OR($A1900="",$H1900&lt;&gt;"Ausgabe",N1900=""),0,IF(N1900="x",-$E1900/(COUNTIF($J1900:$Q1900,"x")+1),-$E1900*N(N1900)))</f>
        <v/>
      </c>
      <c r="AC1900" s="34">
        <f>IF(OR($A1900="",$H1900&lt;&gt;"Ausgabe",O1900=""),0,IF(O1900="x",-$E1900/(COUNTIF($J1900:$Q1900,"x")+1),-$E1900*N(O1900)))</f>
        <v/>
      </c>
      <c r="AD1900" s="34">
        <f>IF(OR($A1900="",$H1900&lt;&gt;"Ausgabe",P1900=""),0,IF(P1900="x",-$E1900/(COUNTIF($J1900:$Q1900,"x")+1),-$E1900*N(P1900)))</f>
        <v/>
      </c>
      <c r="AE1900" s="34">
        <f>IF(OR($A1900="",$H1900&lt;&gt;"Ausgabe",Q1900=""),0,IF(Q1900="x",-$E1900/(COUNTIF($J1900:$Q1900,"x")+1),-$E1900*N(Q1900)))</f>
        <v/>
      </c>
    </row>
    <row r="1901">
      <c r="A1901" s="30" t="n"/>
      <c r="E1901" s="31" t="n"/>
      <c r="J1901" s="32" t="n"/>
      <c r="K1901" s="32" t="n"/>
      <c r="L1901" s="32" t="n"/>
      <c r="M1901" s="32" t="n"/>
      <c r="N1901" s="32" t="n"/>
      <c r="O1901" s="32" t="n"/>
      <c r="P1901" s="32" t="n"/>
      <c r="Q1901" s="32" t="n"/>
      <c r="U1901" s="31">
        <f>IF($A1901="","",SUM(X1901:AE1901))</f>
        <v/>
      </c>
      <c r="V1901" s="31">
        <f>IF($A1901="","",IF($H1901&lt;&gt;"Ausgabe",0,-$E1901-$U1901))</f>
        <v/>
      </c>
      <c r="W1901" s="33">
        <f>IF($A1901="","",DATE(YEAR($A1901),MONTH($A1901),1))</f>
        <v/>
      </c>
      <c r="X1901" s="34">
        <f>IF(OR($A1901="",$H1901&lt;&gt;"Ausgabe",J1901=""),0,IF(J1901="x",-$E1901/(COUNTIF($J1901:$Q1901,"x")+1),-$E1901*N(J1901)))</f>
        <v/>
      </c>
      <c r="Y1901" s="34">
        <f>IF(OR($A1901="",$H1901&lt;&gt;"Ausgabe",K1901=""),0,IF(K1901="x",-$E1901/(COUNTIF($J1901:$Q1901,"x")+1),-$E1901*N(K1901)))</f>
        <v/>
      </c>
      <c r="Z1901" s="34">
        <f>IF(OR($A1901="",$H1901&lt;&gt;"Ausgabe",L1901=""),0,IF(L1901="x",-$E1901/(COUNTIF($J1901:$Q1901,"x")+1),-$E1901*N(L1901)))</f>
        <v/>
      </c>
      <c r="AA1901" s="34">
        <f>IF(OR($A1901="",$H1901&lt;&gt;"Ausgabe",M1901=""),0,IF(M1901="x",-$E1901/(COUNTIF($J1901:$Q1901,"x")+1),-$E1901*N(M1901)))</f>
        <v/>
      </c>
      <c r="AB1901" s="34">
        <f>IF(OR($A1901="",$H1901&lt;&gt;"Ausgabe",N1901=""),0,IF(N1901="x",-$E1901/(COUNTIF($J1901:$Q1901,"x")+1),-$E1901*N(N1901)))</f>
        <v/>
      </c>
      <c r="AC1901" s="34">
        <f>IF(OR($A1901="",$H1901&lt;&gt;"Ausgabe",O1901=""),0,IF(O1901="x",-$E1901/(COUNTIF($J1901:$Q1901,"x")+1),-$E1901*N(O1901)))</f>
        <v/>
      </c>
      <c r="AD1901" s="34">
        <f>IF(OR($A1901="",$H1901&lt;&gt;"Ausgabe",P1901=""),0,IF(P1901="x",-$E1901/(COUNTIF($J1901:$Q1901,"x")+1),-$E1901*N(P1901)))</f>
        <v/>
      </c>
      <c r="AE1901" s="34">
        <f>IF(OR($A1901="",$H1901&lt;&gt;"Ausgabe",Q1901=""),0,IF(Q1901="x",-$E1901/(COUNTIF($J1901:$Q1901,"x")+1),-$E1901*N(Q1901)))</f>
        <v/>
      </c>
    </row>
    <row r="1902">
      <c r="A1902" s="30" t="n"/>
      <c r="E1902" s="31" t="n"/>
      <c r="J1902" s="32" t="n"/>
      <c r="K1902" s="32" t="n"/>
      <c r="L1902" s="32" t="n"/>
      <c r="M1902" s="32" t="n"/>
      <c r="N1902" s="32" t="n"/>
      <c r="O1902" s="32" t="n"/>
      <c r="P1902" s="32" t="n"/>
      <c r="Q1902" s="32" t="n"/>
      <c r="U1902" s="31">
        <f>IF($A1902="","",SUM(X1902:AE1902))</f>
        <v/>
      </c>
      <c r="V1902" s="31">
        <f>IF($A1902="","",IF($H1902&lt;&gt;"Ausgabe",0,-$E1902-$U1902))</f>
        <v/>
      </c>
      <c r="W1902" s="33">
        <f>IF($A1902="","",DATE(YEAR($A1902),MONTH($A1902),1))</f>
        <v/>
      </c>
      <c r="X1902" s="34">
        <f>IF(OR($A1902="",$H1902&lt;&gt;"Ausgabe",J1902=""),0,IF(J1902="x",-$E1902/(COUNTIF($J1902:$Q1902,"x")+1),-$E1902*N(J1902)))</f>
        <v/>
      </c>
      <c r="Y1902" s="34">
        <f>IF(OR($A1902="",$H1902&lt;&gt;"Ausgabe",K1902=""),0,IF(K1902="x",-$E1902/(COUNTIF($J1902:$Q1902,"x")+1),-$E1902*N(K1902)))</f>
        <v/>
      </c>
      <c r="Z1902" s="34">
        <f>IF(OR($A1902="",$H1902&lt;&gt;"Ausgabe",L1902=""),0,IF(L1902="x",-$E1902/(COUNTIF($J1902:$Q1902,"x")+1),-$E1902*N(L1902)))</f>
        <v/>
      </c>
      <c r="AA1902" s="34">
        <f>IF(OR($A1902="",$H1902&lt;&gt;"Ausgabe",M1902=""),0,IF(M1902="x",-$E1902/(COUNTIF($J1902:$Q1902,"x")+1),-$E1902*N(M1902)))</f>
        <v/>
      </c>
      <c r="AB1902" s="34">
        <f>IF(OR($A1902="",$H1902&lt;&gt;"Ausgabe",N1902=""),0,IF(N1902="x",-$E1902/(COUNTIF($J1902:$Q1902,"x")+1),-$E1902*N(N1902)))</f>
        <v/>
      </c>
      <c r="AC1902" s="34">
        <f>IF(OR($A1902="",$H1902&lt;&gt;"Ausgabe",O1902=""),0,IF(O1902="x",-$E1902/(COUNTIF($J1902:$Q1902,"x")+1),-$E1902*N(O1902)))</f>
        <v/>
      </c>
      <c r="AD1902" s="34">
        <f>IF(OR($A1902="",$H1902&lt;&gt;"Ausgabe",P1902=""),0,IF(P1902="x",-$E1902/(COUNTIF($J1902:$Q1902,"x")+1),-$E1902*N(P1902)))</f>
        <v/>
      </c>
      <c r="AE1902" s="34">
        <f>IF(OR($A1902="",$H1902&lt;&gt;"Ausgabe",Q1902=""),0,IF(Q1902="x",-$E1902/(COUNTIF($J1902:$Q1902,"x")+1),-$E1902*N(Q1902)))</f>
        <v/>
      </c>
    </row>
    <row r="1903">
      <c r="A1903" s="30" t="n"/>
      <c r="E1903" s="31" t="n"/>
      <c r="J1903" s="32" t="n"/>
      <c r="K1903" s="32" t="n"/>
      <c r="L1903" s="32" t="n"/>
      <c r="M1903" s="32" t="n"/>
      <c r="N1903" s="32" t="n"/>
      <c r="O1903" s="32" t="n"/>
      <c r="P1903" s="32" t="n"/>
      <c r="Q1903" s="32" t="n"/>
      <c r="U1903" s="31">
        <f>IF($A1903="","",SUM(X1903:AE1903))</f>
        <v/>
      </c>
      <c r="V1903" s="31">
        <f>IF($A1903="","",IF($H1903&lt;&gt;"Ausgabe",0,-$E1903-$U1903))</f>
        <v/>
      </c>
      <c r="W1903" s="33">
        <f>IF($A1903="","",DATE(YEAR($A1903),MONTH($A1903),1))</f>
        <v/>
      </c>
      <c r="X1903" s="34">
        <f>IF(OR($A1903="",$H1903&lt;&gt;"Ausgabe",J1903=""),0,IF(J1903="x",-$E1903/(COUNTIF($J1903:$Q1903,"x")+1),-$E1903*N(J1903)))</f>
        <v/>
      </c>
      <c r="Y1903" s="34">
        <f>IF(OR($A1903="",$H1903&lt;&gt;"Ausgabe",K1903=""),0,IF(K1903="x",-$E1903/(COUNTIF($J1903:$Q1903,"x")+1),-$E1903*N(K1903)))</f>
        <v/>
      </c>
      <c r="Z1903" s="34">
        <f>IF(OR($A1903="",$H1903&lt;&gt;"Ausgabe",L1903=""),0,IF(L1903="x",-$E1903/(COUNTIF($J1903:$Q1903,"x")+1),-$E1903*N(L1903)))</f>
        <v/>
      </c>
      <c r="AA1903" s="34">
        <f>IF(OR($A1903="",$H1903&lt;&gt;"Ausgabe",M1903=""),0,IF(M1903="x",-$E1903/(COUNTIF($J1903:$Q1903,"x")+1),-$E1903*N(M1903)))</f>
        <v/>
      </c>
      <c r="AB1903" s="34">
        <f>IF(OR($A1903="",$H1903&lt;&gt;"Ausgabe",N1903=""),0,IF(N1903="x",-$E1903/(COUNTIF($J1903:$Q1903,"x")+1),-$E1903*N(N1903)))</f>
        <v/>
      </c>
      <c r="AC1903" s="34">
        <f>IF(OR($A1903="",$H1903&lt;&gt;"Ausgabe",O1903=""),0,IF(O1903="x",-$E1903/(COUNTIF($J1903:$Q1903,"x")+1),-$E1903*N(O1903)))</f>
        <v/>
      </c>
      <c r="AD1903" s="34">
        <f>IF(OR($A1903="",$H1903&lt;&gt;"Ausgabe",P1903=""),0,IF(P1903="x",-$E1903/(COUNTIF($J1903:$Q1903,"x")+1),-$E1903*N(P1903)))</f>
        <v/>
      </c>
      <c r="AE1903" s="34">
        <f>IF(OR($A1903="",$H1903&lt;&gt;"Ausgabe",Q1903=""),0,IF(Q1903="x",-$E1903/(COUNTIF($J1903:$Q1903,"x")+1),-$E1903*N(Q1903)))</f>
        <v/>
      </c>
    </row>
    <row r="1904">
      <c r="A1904" s="30" t="n"/>
      <c r="E1904" s="31" t="n"/>
      <c r="J1904" s="32" t="n"/>
      <c r="K1904" s="32" t="n"/>
      <c r="L1904" s="32" t="n"/>
      <c r="M1904" s="32" t="n"/>
      <c r="N1904" s="32" t="n"/>
      <c r="O1904" s="32" t="n"/>
      <c r="P1904" s="32" t="n"/>
      <c r="Q1904" s="32" t="n"/>
      <c r="U1904" s="31">
        <f>IF($A1904="","",SUM(X1904:AE1904))</f>
        <v/>
      </c>
      <c r="V1904" s="31">
        <f>IF($A1904="","",IF($H1904&lt;&gt;"Ausgabe",0,-$E1904-$U1904))</f>
        <v/>
      </c>
      <c r="W1904" s="33">
        <f>IF($A1904="","",DATE(YEAR($A1904),MONTH($A1904),1))</f>
        <v/>
      </c>
      <c r="X1904" s="34">
        <f>IF(OR($A1904="",$H1904&lt;&gt;"Ausgabe",J1904=""),0,IF(J1904="x",-$E1904/(COUNTIF($J1904:$Q1904,"x")+1),-$E1904*N(J1904)))</f>
        <v/>
      </c>
      <c r="Y1904" s="34">
        <f>IF(OR($A1904="",$H1904&lt;&gt;"Ausgabe",K1904=""),0,IF(K1904="x",-$E1904/(COUNTIF($J1904:$Q1904,"x")+1),-$E1904*N(K1904)))</f>
        <v/>
      </c>
      <c r="Z1904" s="34">
        <f>IF(OR($A1904="",$H1904&lt;&gt;"Ausgabe",L1904=""),0,IF(L1904="x",-$E1904/(COUNTIF($J1904:$Q1904,"x")+1),-$E1904*N(L1904)))</f>
        <v/>
      </c>
      <c r="AA1904" s="34">
        <f>IF(OR($A1904="",$H1904&lt;&gt;"Ausgabe",M1904=""),0,IF(M1904="x",-$E1904/(COUNTIF($J1904:$Q1904,"x")+1),-$E1904*N(M1904)))</f>
        <v/>
      </c>
      <c r="AB1904" s="34">
        <f>IF(OR($A1904="",$H1904&lt;&gt;"Ausgabe",N1904=""),0,IF(N1904="x",-$E1904/(COUNTIF($J1904:$Q1904,"x")+1),-$E1904*N(N1904)))</f>
        <v/>
      </c>
      <c r="AC1904" s="34">
        <f>IF(OR($A1904="",$H1904&lt;&gt;"Ausgabe",O1904=""),0,IF(O1904="x",-$E1904/(COUNTIF($J1904:$Q1904,"x")+1),-$E1904*N(O1904)))</f>
        <v/>
      </c>
      <c r="AD1904" s="34">
        <f>IF(OR($A1904="",$H1904&lt;&gt;"Ausgabe",P1904=""),0,IF(P1904="x",-$E1904/(COUNTIF($J1904:$Q1904,"x")+1),-$E1904*N(P1904)))</f>
        <v/>
      </c>
      <c r="AE1904" s="34">
        <f>IF(OR($A1904="",$H1904&lt;&gt;"Ausgabe",Q1904=""),0,IF(Q1904="x",-$E1904/(COUNTIF($J1904:$Q1904,"x")+1),-$E1904*N(Q1904)))</f>
        <v/>
      </c>
    </row>
    <row r="1905">
      <c r="A1905" s="30" t="n"/>
      <c r="E1905" s="31" t="n"/>
      <c r="J1905" s="32" t="n"/>
      <c r="K1905" s="32" t="n"/>
      <c r="L1905" s="32" t="n"/>
      <c r="M1905" s="32" t="n"/>
      <c r="N1905" s="32" t="n"/>
      <c r="O1905" s="32" t="n"/>
      <c r="P1905" s="32" t="n"/>
      <c r="Q1905" s="32" t="n"/>
      <c r="U1905" s="31">
        <f>IF($A1905="","",SUM(X1905:AE1905))</f>
        <v/>
      </c>
      <c r="V1905" s="31">
        <f>IF($A1905="","",IF($H1905&lt;&gt;"Ausgabe",0,-$E1905-$U1905))</f>
        <v/>
      </c>
      <c r="W1905" s="33">
        <f>IF($A1905="","",DATE(YEAR($A1905),MONTH($A1905),1))</f>
        <v/>
      </c>
      <c r="X1905" s="34">
        <f>IF(OR($A1905="",$H1905&lt;&gt;"Ausgabe",J1905=""),0,IF(J1905="x",-$E1905/(COUNTIF($J1905:$Q1905,"x")+1),-$E1905*N(J1905)))</f>
        <v/>
      </c>
      <c r="Y1905" s="34">
        <f>IF(OR($A1905="",$H1905&lt;&gt;"Ausgabe",K1905=""),0,IF(K1905="x",-$E1905/(COUNTIF($J1905:$Q1905,"x")+1),-$E1905*N(K1905)))</f>
        <v/>
      </c>
      <c r="Z1905" s="34">
        <f>IF(OR($A1905="",$H1905&lt;&gt;"Ausgabe",L1905=""),0,IF(L1905="x",-$E1905/(COUNTIF($J1905:$Q1905,"x")+1),-$E1905*N(L1905)))</f>
        <v/>
      </c>
      <c r="AA1905" s="34">
        <f>IF(OR($A1905="",$H1905&lt;&gt;"Ausgabe",M1905=""),0,IF(M1905="x",-$E1905/(COUNTIF($J1905:$Q1905,"x")+1),-$E1905*N(M1905)))</f>
        <v/>
      </c>
      <c r="AB1905" s="34">
        <f>IF(OR($A1905="",$H1905&lt;&gt;"Ausgabe",N1905=""),0,IF(N1905="x",-$E1905/(COUNTIF($J1905:$Q1905,"x")+1),-$E1905*N(N1905)))</f>
        <v/>
      </c>
      <c r="AC1905" s="34">
        <f>IF(OR($A1905="",$H1905&lt;&gt;"Ausgabe",O1905=""),0,IF(O1905="x",-$E1905/(COUNTIF($J1905:$Q1905,"x")+1),-$E1905*N(O1905)))</f>
        <v/>
      </c>
      <c r="AD1905" s="34">
        <f>IF(OR($A1905="",$H1905&lt;&gt;"Ausgabe",P1905=""),0,IF(P1905="x",-$E1905/(COUNTIF($J1905:$Q1905,"x")+1),-$E1905*N(P1905)))</f>
        <v/>
      </c>
      <c r="AE1905" s="34">
        <f>IF(OR($A1905="",$H1905&lt;&gt;"Ausgabe",Q1905=""),0,IF(Q1905="x",-$E1905/(COUNTIF($J1905:$Q1905,"x")+1),-$E1905*N(Q1905)))</f>
        <v/>
      </c>
    </row>
    <row r="1906">
      <c r="A1906" s="30" t="n"/>
      <c r="E1906" s="31" t="n"/>
      <c r="J1906" s="32" t="n"/>
      <c r="K1906" s="32" t="n"/>
      <c r="L1906" s="32" t="n"/>
      <c r="M1906" s="32" t="n"/>
      <c r="N1906" s="32" t="n"/>
      <c r="O1906" s="32" t="n"/>
      <c r="P1906" s="32" t="n"/>
      <c r="Q1906" s="32" t="n"/>
      <c r="U1906" s="31">
        <f>IF($A1906="","",SUM(X1906:AE1906))</f>
        <v/>
      </c>
      <c r="V1906" s="31">
        <f>IF($A1906="","",IF($H1906&lt;&gt;"Ausgabe",0,-$E1906-$U1906))</f>
        <v/>
      </c>
      <c r="W1906" s="33">
        <f>IF($A1906="","",DATE(YEAR($A1906),MONTH($A1906),1))</f>
        <v/>
      </c>
      <c r="X1906" s="34">
        <f>IF(OR($A1906="",$H1906&lt;&gt;"Ausgabe",J1906=""),0,IF(J1906="x",-$E1906/(COUNTIF($J1906:$Q1906,"x")+1),-$E1906*N(J1906)))</f>
        <v/>
      </c>
      <c r="Y1906" s="34">
        <f>IF(OR($A1906="",$H1906&lt;&gt;"Ausgabe",K1906=""),0,IF(K1906="x",-$E1906/(COUNTIF($J1906:$Q1906,"x")+1),-$E1906*N(K1906)))</f>
        <v/>
      </c>
      <c r="Z1906" s="34">
        <f>IF(OR($A1906="",$H1906&lt;&gt;"Ausgabe",L1906=""),0,IF(L1906="x",-$E1906/(COUNTIF($J1906:$Q1906,"x")+1),-$E1906*N(L1906)))</f>
        <v/>
      </c>
      <c r="AA1906" s="34">
        <f>IF(OR($A1906="",$H1906&lt;&gt;"Ausgabe",M1906=""),0,IF(M1906="x",-$E1906/(COUNTIF($J1906:$Q1906,"x")+1),-$E1906*N(M1906)))</f>
        <v/>
      </c>
      <c r="AB1906" s="34">
        <f>IF(OR($A1906="",$H1906&lt;&gt;"Ausgabe",N1906=""),0,IF(N1906="x",-$E1906/(COUNTIF($J1906:$Q1906,"x")+1),-$E1906*N(N1906)))</f>
        <v/>
      </c>
      <c r="AC1906" s="34">
        <f>IF(OR($A1906="",$H1906&lt;&gt;"Ausgabe",O1906=""),0,IF(O1906="x",-$E1906/(COUNTIF($J1906:$Q1906,"x")+1),-$E1906*N(O1906)))</f>
        <v/>
      </c>
      <c r="AD1906" s="34">
        <f>IF(OR($A1906="",$H1906&lt;&gt;"Ausgabe",P1906=""),0,IF(P1906="x",-$E1906/(COUNTIF($J1906:$Q1906,"x")+1),-$E1906*N(P1906)))</f>
        <v/>
      </c>
      <c r="AE1906" s="34">
        <f>IF(OR($A1906="",$H1906&lt;&gt;"Ausgabe",Q1906=""),0,IF(Q1906="x",-$E1906/(COUNTIF($J1906:$Q1906,"x")+1),-$E1906*N(Q1906)))</f>
        <v/>
      </c>
    </row>
    <row r="1907">
      <c r="A1907" s="30" t="n"/>
      <c r="E1907" s="31" t="n"/>
      <c r="J1907" s="32" t="n"/>
      <c r="K1907" s="32" t="n"/>
      <c r="L1907" s="32" t="n"/>
      <c r="M1907" s="32" t="n"/>
      <c r="N1907" s="32" t="n"/>
      <c r="O1907" s="32" t="n"/>
      <c r="P1907" s="32" t="n"/>
      <c r="Q1907" s="32" t="n"/>
      <c r="U1907" s="31">
        <f>IF($A1907="","",SUM(X1907:AE1907))</f>
        <v/>
      </c>
      <c r="V1907" s="31">
        <f>IF($A1907="","",IF($H1907&lt;&gt;"Ausgabe",0,-$E1907-$U1907))</f>
        <v/>
      </c>
      <c r="W1907" s="33">
        <f>IF($A1907="","",DATE(YEAR($A1907),MONTH($A1907),1))</f>
        <v/>
      </c>
      <c r="X1907" s="34">
        <f>IF(OR($A1907="",$H1907&lt;&gt;"Ausgabe",J1907=""),0,IF(J1907="x",-$E1907/(COUNTIF($J1907:$Q1907,"x")+1),-$E1907*N(J1907)))</f>
        <v/>
      </c>
      <c r="Y1907" s="34">
        <f>IF(OR($A1907="",$H1907&lt;&gt;"Ausgabe",K1907=""),0,IF(K1907="x",-$E1907/(COUNTIF($J1907:$Q1907,"x")+1),-$E1907*N(K1907)))</f>
        <v/>
      </c>
      <c r="Z1907" s="34">
        <f>IF(OR($A1907="",$H1907&lt;&gt;"Ausgabe",L1907=""),0,IF(L1907="x",-$E1907/(COUNTIF($J1907:$Q1907,"x")+1),-$E1907*N(L1907)))</f>
        <v/>
      </c>
      <c r="AA1907" s="34">
        <f>IF(OR($A1907="",$H1907&lt;&gt;"Ausgabe",M1907=""),0,IF(M1907="x",-$E1907/(COUNTIF($J1907:$Q1907,"x")+1),-$E1907*N(M1907)))</f>
        <v/>
      </c>
      <c r="AB1907" s="34">
        <f>IF(OR($A1907="",$H1907&lt;&gt;"Ausgabe",N1907=""),0,IF(N1907="x",-$E1907/(COUNTIF($J1907:$Q1907,"x")+1),-$E1907*N(N1907)))</f>
        <v/>
      </c>
      <c r="AC1907" s="34">
        <f>IF(OR($A1907="",$H1907&lt;&gt;"Ausgabe",O1907=""),0,IF(O1907="x",-$E1907/(COUNTIF($J1907:$Q1907,"x")+1),-$E1907*N(O1907)))</f>
        <v/>
      </c>
      <c r="AD1907" s="34">
        <f>IF(OR($A1907="",$H1907&lt;&gt;"Ausgabe",P1907=""),0,IF(P1907="x",-$E1907/(COUNTIF($J1907:$Q1907,"x")+1),-$E1907*N(P1907)))</f>
        <v/>
      </c>
      <c r="AE1907" s="34">
        <f>IF(OR($A1907="",$H1907&lt;&gt;"Ausgabe",Q1907=""),0,IF(Q1907="x",-$E1907/(COUNTIF($J1907:$Q1907,"x")+1),-$E1907*N(Q1907)))</f>
        <v/>
      </c>
    </row>
    <row r="1908">
      <c r="A1908" s="30" t="n"/>
      <c r="E1908" s="31" t="n"/>
      <c r="J1908" s="32" t="n"/>
      <c r="K1908" s="32" t="n"/>
      <c r="L1908" s="32" t="n"/>
      <c r="M1908" s="32" t="n"/>
      <c r="N1908" s="32" t="n"/>
      <c r="O1908" s="32" t="n"/>
      <c r="P1908" s="32" t="n"/>
      <c r="Q1908" s="32" t="n"/>
      <c r="U1908" s="31">
        <f>IF($A1908="","",SUM(X1908:AE1908))</f>
        <v/>
      </c>
      <c r="V1908" s="31">
        <f>IF($A1908="","",IF($H1908&lt;&gt;"Ausgabe",0,-$E1908-$U1908))</f>
        <v/>
      </c>
      <c r="W1908" s="33">
        <f>IF($A1908="","",DATE(YEAR($A1908),MONTH($A1908),1))</f>
        <v/>
      </c>
      <c r="X1908" s="34">
        <f>IF(OR($A1908="",$H1908&lt;&gt;"Ausgabe",J1908=""),0,IF(J1908="x",-$E1908/(COUNTIF($J1908:$Q1908,"x")+1),-$E1908*N(J1908)))</f>
        <v/>
      </c>
      <c r="Y1908" s="34">
        <f>IF(OR($A1908="",$H1908&lt;&gt;"Ausgabe",K1908=""),0,IF(K1908="x",-$E1908/(COUNTIF($J1908:$Q1908,"x")+1),-$E1908*N(K1908)))</f>
        <v/>
      </c>
      <c r="Z1908" s="34">
        <f>IF(OR($A1908="",$H1908&lt;&gt;"Ausgabe",L1908=""),0,IF(L1908="x",-$E1908/(COUNTIF($J1908:$Q1908,"x")+1),-$E1908*N(L1908)))</f>
        <v/>
      </c>
      <c r="AA1908" s="34">
        <f>IF(OR($A1908="",$H1908&lt;&gt;"Ausgabe",M1908=""),0,IF(M1908="x",-$E1908/(COUNTIF($J1908:$Q1908,"x")+1),-$E1908*N(M1908)))</f>
        <v/>
      </c>
      <c r="AB1908" s="34">
        <f>IF(OR($A1908="",$H1908&lt;&gt;"Ausgabe",N1908=""),0,IF(N1908="x",-$E1908/(COUNTIF($J1908:$Q1908,"x")+1),-$E1908*N(N1908)))</f>
        <v/>
      </c>
      <c r="AC1908" s="34">
        <f>IF(OR($A1908="",$H1908&lt;&gt;"Ausgabe",O1908=""),0,IF(O1908="x",-$E1908/(COUNTIF($J1908:$Q1908,"x")+1),-$E1908*N(O1908)))</f>
        <v/>
      </c>
      <c r="AD1908" s="34">
        <f>IF(OR($A1908="",$H1908&lt;&gt;"Ausgabe",P1908=""),0,IF(P1908="x",-$E1908/(COUNTIF($J1908:$Q1908,"x")+1),-$E1908*N(P1908)))</f>
        <v/>
      </c>
      <c r="AE1908" s="34">
        <f>IF(OR($A1908="",$H1908&lt;&gt;"Ausgabe",Q1908=""),0,IF(Q1908="x",-$E1908/(COUNTIF($J1908:$Q1908,"x")+1),-$E1908*N(Q1908)))</f>
        <v/>
      </c>
    </row>
    <row r="1909">
      <c r="A1909" s="30" t="n"/>
      <c r="E1909" s="31" t="n"/>
      <c r="J1909" s="32" t="n"/>
      <c r="K1909" s="32" t="n"/>
      <c r="L1909" s="32" t="n"/>
      <c r="M1909" s="32" t="n"/>
      <c r="N1909" s="32" t="n"/>
      <c r="O1909" s="32" t="n"/>
      <c r="P1909" s="32" t="n"/>
      <c r="Q1909" s="32" t="n"/>
      <c r="U1909" s="31">
        <f>IF($A1909="","",SUM(X1909:AE1909))</f>
        <v/>
      </c>
      <c r="V1909" s="31">
        <f>IF($A1909="","",IF($H1909&lt;&gt;"Ausgabe",0,-$E1909-$U1909))</f>
        <v/>
      </c>
      <c r="W1909" s="33">
        <f>IF($A1909="","",DATE(YEAR($A1909),MONTH($A1909),1))</f>
        <v/>
      </c>
      <c r="X1909" s="34">
        <f>IF(OR($A1909="",$H1909&lt;&gt;"Ausgabe",J1909=""),0,IF(J1909="x",-$E1909/(COUNTIF($J1909:$Q1909,"x")+1),-$E1909*N(J1909)))</f>
        <v/>
      </c>
      <c r="Y1909" s="34">
        <f>IF(OR($A1909="",$H1909&lt;&gt;"Ausgabe",K1909=""),0,IF(K1909="x",-$E1909/(COUNTIF($J1909:$Q1909,"x")+1),-$E1909*N(K1909)))</f>
        <v/>
      </c>
      <c r="Z1909" s="34">
        <f>IF(OR($A1909="",$H1909&lt;&gt;"Ausgabe",L1909=""),0,IF(L1909="x",-$E1909/(COUNTIF($J1909:$Q1909,"x")+1),-$E1909*N(L1909)))</f>
        <v/>
      </c>
      <c r="AA1909" s="34">
        <f>IF(OR($A1909="",$H1909&lt;&gt;"Ausgabe",M1909=""),0,IF(M1909="x",-$E1909/(COUNTIF($J1909:$Q1909,"x")+1),-$E1909*N(M1909)))</f>
        <v/>
      </c>
      <c r="AB1909" s="34">
        <f>IF(OR($A1909="",$H1909&lt;&gt;"Ausgabe",N1909=""),0,IF(N1909="x",-$E1909/(COUNTIF($J1909:$Q1909,"x")+1),-$E1909*N(N1909)))</f>
        <v/>
      </c>
      <c r="AC1909" s="34">
        <f>IF(OR($A1909="",$H1909&lt;&gt;"Ausgabe",O1909=""),0,IF(O1909="x",-$E1909/(COUNTIF($J1909:$Q1909,"x")+1),-$E1909*N(O1909)))</f>
        <v/>
      </c>
      <c r="AD1909" s="34">
        <f>IF(OR($A1909="",$H1909&lt;&gt;"Ausgabe",P1909=""),0,IF(P1909="x",-$E1909/(COUNTIF($J1909:$Q1909,"x")+1),-$E1909*N(P1909)))</f>
        <v/>
      </c>
      <c r="AE1909" s="34">
        <f>IF(OR($A1909="",$H1909&lt;&gt;"Ausgabe",Q1909=""),0,IF(Q1909="x",-$E1909/(COUNTIF($J1909:$Q1909,"x")+1),-$E1909*N(Q1909)))</f>
        <v/>
      </c>
    </row>
    <row r="1910">
      <c r="A1910" s="30" t="n"/>
      <c r="E1910" s="31" t="n"/>
      <c r="J1910" s="32" t="n"/>
      <c r="K1910" s="32" t="n"/>
      <c r="L1910" s="32" t="n"/>
      <c r="M1910" s="32" t="n"/>
      <c r="N1910" s="32" t="n"/>
      <c r="O1910" s="32" t="n"/>
      <c r="P1910" s="32" t="n"/>
      <c r="Q1910" s="32" t="n"/>
      <c r="U1910" s="31">
        <f>IF($A1910="","",SUM(X1910:AE1910))</f>
        <v/>
      </c>
      <c r="V1910" s="31">
        <f>IF($A1910="","",IF($H1910&lt;&gt;"Ausgabe",0,-$E1910-$U1910))</f>
        <v/>
      </c>
      <c r="W1910" s="33">
        <f>IF($A1910="","",DATE(YEAR($A1910),MONTH($A1910),1))</f>
        <v/>
      </c>
      <c r="X1910" s="34">
        <f>IF(OR($A1910="",$H1910&lt;&gt;"Ausgabe",J1910=""),0,IF(J1910="x",-$E1910/(COUNTIF($J1910:$Q1910,"x")+1),-$E1910*N(J1910)))</f>
        <v/>
      </c>
      <c r="Y1910" s="34">
        <f>IF(OR($A1910="",$H1910&lt;&gt;"Ausgabe",K1910=""),0,IF(K1910="x",-$E1910/(COUNTIF($J1910:$Q1910,"x")+1),-$E1910*N(K1910)))</f>
        <v/>
      </c>
      <c r="Z1910" s="34">
        <f>IF(OR($A1910="",$H1910&lt;&gt;"Ausgabe",L1910=""),0,IF(L1910="x",-$E1910/(COUNTIF($J1910:$Q1910,"x")+1),-$E1910*N(L1910)))</f>
        <v/>
      </c>
      <c r="AA1910" s="34">
        <f>IF(OR($A1910="",$H1910&lt;&gt;"Ausgabe",M1910=""),0,IF(M1910="x",-$E1910/(COUNTIF($J1910:$Q1910,"x")+1),-$E1910*N(M1910)))</f>
        <v/>
      </c>
      <c r="AB1910" s="34">
        <f>IF(OR($A1910="",$H1910&lt;&gt;"Ausgabe",N1910=""),0,IF(N1910="x",-$E1910/(COUNTIF($J1910:$Q1910,"x")+1),-$E1910*N(N1910)))</f>
        <v/>
      </c>
      <c r="AC1910" s="34">
        <f>IF(OR($A1910="",$H1910&lt;&gt;"Ausgabe",O1910=""),0,IF(O1910="x",-$E1910/(COUNTIF($J1910:$Q1910,"x")+1),-$E1910*N(O1910)))</f>
        <v/>
      </c>
      <c r="AD1910" s="34">
        <f>IF(OR($A1910="",$H1910&lt;&gt;"Ausgabe",P1910=""),0,IF(P1910="x",-$E1910/(COUNTIF($J1910:$Q1910,"x")+1),-$E1910*N(P1910)))</f>
        <v/>
      </c>
      <c r="AE1910" s="34">
        <f>IF(OR($A1910="",$H1910&lt;&gt;"Ausgabe",Q1910=""),0,IF(Q1910="x",-$E1910/(COUNTIF($J1910:$Q1910,"x")+1),-$E1910*N(Q1910)))</f>
        <v/>
      </c>
    </row>
    <row r="1911">
      <c r="A1911" s="30" t="n"/>
      <c r="E1911" s="31" t="n"/>
      <c r="J1911" s="32" t="n"/>
      <c r="K1911" s="32" t="n"/>
      <c r="L1911" s="32" t="n"/>
      <c r="M1911" s="32" t="n"/>
      <c r="N1911" s="32" t="n"/>
      <c r="O1911" s="32" t="n"/>
      <c r="P1911" s="32" t="n"/>
      <c r="Q1911" s="32" t="n"/>
      <c r="U1911" s="31">
        <f>IF($A1911="","",SUM(X1911:AE1911))</f>
        <v/>
      </c>
      <c r="V1911" s="31">
        <f>IF($A1911="","",IF($H1911&lt;&gt;"Ausgabe",0,-$E1911-$U1911))</f>
        <v/>
      </c>
      <c r="W1911" s="33">
        <f>IF($A1911="","",DATE(YEAR($A1911),MONTH($A1911),1))</f>
        <v/>
      </c>
      <c r="X1911" s="34">
        <f>IF(OR($A1911="",$H1911&lt;&gt;"Ausgabe",J1911=""),0,IF(J1911="x",-$E1911/(COUNTIF($J1911:$Q1911,"x")+1),-$E1911*N(J1911)))</f>
        <v/>
      </c>
      <c r="Y1911" s="34">
        <f>IF(OR($A1911="",$H1911&lt;&gt;"Ausgabe",K1911=""),0,IF(K1911="x",-$E1911/(COUNTIF($J1911:$Q1911,"x")+1),-$E1911*N(K1911)))</f>
        <v/>
      </c>
      <c r="Z1911" s="34">
        <f>IF(OR($A1911="",$H1911&lt;&gt;"Ausgabe",L1911=""),0,IF(L1911="x",-$E1911/(COUNTIF($J1911:$Q1911,"x")+1),-$E1911*N(L1911)))</f>
        <v/>
      </c>
      <c r="AA1911" s="34">
        <f>IF(OR($A1911="",$H1911&lt;&gt;"Ausgabe",M1911=""),0,IF(M1911="x",-$E1911/(COUNTIF($J1911:$Q1911,"x")+1),-$E1911*N(M1911)))</f>
        <v/>
      </c>
      <c r="AB1911" s="34">
        <f>IF(OR($A1911="",$H1911&lt;&gt;"Ausgabe",N1911=""),0,IF(N1911="x",-$E1911/(COUNTIF($J1911:$Q1911,"x")+1),-$E1911*N(N1911)))</f>
        <v/>
      </c>
      <c r="AC1911" s="34">
        <f>IF(OR($A1911="",$H1911&lt;&gt;"Ausgabe",O1911=""),0,IF(O1911="x",-$E1911/(COUNTIF($J1911:$Q1911,"x")+1),-$E1911*N(O1911)))</f>
        <v/>
      </c>
      <c r="AD1911" s="34">
        <f>IF(OR($A1911="",$H1911&lt;&gt;"Ausgabe",P1911=""),0,IF(P1911="x",-$E1911/(COUNTIF($J1911:$Q1911,"x")+1),-$E1911*N(P1911)))</f>
        <v/>
      </c>
      <c r="AE1911" s="34">
        <f>IF(OR($A1911="",$H1911&lt;&gt;"Ausgabe",Q1911=""),0,IF(Q1911="x",-$E1911/(COUNTIF($J1911:$Q1911,"x")+1),-$E1911*N(Q1911)))</f>
        <v/>
      </c>
    </row>
    <row r="1912">
      <c r="A1912" s="30" t="n"/>
      <c r="E1912" s="31" t="n"/>
      <c r="J1912" s="32" t="n"/>
      <c r="K1912" s="32" t="n"/>
      <c r="L1912" s="32" t="n"/>
      <c r="M1912" s="32" t="n"/>
      <c r="N1912" s="32" t="n"/>
      <c r="O1912" s="32" t="n"/>
      <c r="P1912" s="32" t="n"/>
      <c r="Q1912" s="32" t="n"/>
      <c r="U1912" s="31">
        <f>IF($A1912="","",SUM(X1912:AE1912))</f>
        <v/>
      </c>
      <c r="V1912" s="31">
        <f>IF($A1912="","",IF($H1912&lt;&gt;"Ausgabe",0,-$E1912-$U1912))</f>
        <v/>
      </c>
      <c r="W1912" s="33">
        <f>IF($A1912="","",DATE(YEAR($A1912),MONTH($A1912),1))</f>
        <v/>
      </c>
      <c r="X1912" s="34">
        <f>IF(OR($A1912="",$H1912&lt;&gt;"Ausgabe",J1912=""),0,IF(J1912="x",-$E1912/(COUNTIF($J1912:$Q1912,"x")+1),-$E1912*N(J1912)))</f>
        <v/>
      </c>
      <c r="Y1912" s="34">
        <f>IF(OR($A1912="",$H1912&lt;&gt;"Ausgabe",K1912=""),0,IF(K1912="x",-$E1912/(COUNTIF($J1912:$Q1912,"x")+1),-$E1912*N(K1912)))</f>
        <v/>
      </c>
      <c r="Z1912" s="34">
        <f>IF(OR($A1912="",$H1912&lt;&gt;"Ausgabe",L1912=""),0,IF(L1912="x",-$E1912/(COUNTIF($J1912:$Q1912,"x")+1),-$E1912*N(L1912)))</f>
        <v/>
      </c>
      <c r="AA1912" s="34">
        <f>IF(OR($A1912="",$H1912&lt;&gt;"Ausgabe",M1912=""),0,IF(M1912="x",-$E1912/(COUNTIF($J1912:$Q1912,"x")+1),-$E1912*N(M1912)))</f>
        <v/>
      </c>
      <c r="AB1912" s="34">
        <f>IF(OR($A1912="",$H1912&lt;&gt;"Ausgabe",N1912=""),0,IF(N1912="x",-$E1912/(COUNTIF($J1912:$Q1912,"x")+1),-$E1912*N(N1912)))</f>
        <v/>
      </c>
      <c r="AC1912" s="34">
        <f>IF(OR($A1912="",$H1912&lt;&gt;"Ausgabe",O1912=""),0,IF(O1912="x",-$E1912/(COUNTIF($J1912:$Q1912,"x")+1),-$E1912*N(O1912)))</f>
        <v/>
      </c>
      <c r="AD1912" s="34">
        <f>IF(OR($A1912="",$H1912&lt;&gt;"Ausgabe",P1912=""),0,IF(P1912="x",-$E1912/(COUNTIF($J1912:$Q1912,"x")+1),-$E1912*N(P1912)))</f>
        <v/>
      </c>
      <c r="AE1912" s="34">
        <f>IF(OR($A1912="",$H1912&lt;&gt;"Ausgabe",Q1912=""),0,IF(Q1912="x",-$E1912/(COUNTIF($J1912:$Q1912,"x")+1),-$E1912*N(Q1912)))</f>
        <v/>
      </c>
    </row>
    <row r="1913">
      <c r="A1913" s="30" t="n"/>
      <c r="E1913" s="31" t="n"/>
      <c r="J1913" s="32" t="n"/>
      <c r="K1913" s="32" t="n"/>
      <c r="L1913" s="32" t="n"/>
      <c r="M1913" s="32" t="n"/>
      <c r="N1913" s="32" t="n"/>
      <c r="O1913" s="32" t="n"/>
      <c r="P1913" s="32" t="n"/>
      <c r="Q1913" s="32" t="n"/>
      <c r="U1913" s="31">
        <f>IF($A1913="","",SUM(X1913:AE1913))</f>
        <v/>
      </c>
      <c r="V1913" s="31">
        <f>IF($A1913="","",IF($H1913&lt;&gt;"Ausgabe",0,-$E1913-$U1913))</f>
        <v/>
      </c>
      <c r="W1913" s="33">
        <f>IF($A1913="","",DATE(YEAR($A1913),MONTH($A1913),1))</f>
        <v/>
      </c>
      <c r="X1913" s="34">
        <f>IF(OR($A1913="",$H1913&lt;&gt;"Ausgabe",J1913=""),0,IF(J1913="x",-$E1913/(COUNTIF($J1913:$Q1913,"x")+1),-$E1913*N(J1913)))</f>
        <v/>
      </c>
      <c r="Y1913" s="34">
        <f>IF(OR($A1913="",$H1913&lt;&gt;"Ausgabe",K1913=""),0,IF(K1913="x",-$E1913/(COUNTIF($J1913:$Q1913,"x")+1),-$E1913*N(K1913)))</f>
        <v/>
      </c>
      <c r="Z1913" s="34">
        <f>IF(OR($A1913="",$H1913&lt;&gt;"Ausgabe",L1913=""),0,IF(L1913="x",-$E1913/(COUNTIF($J1913:$Q1913,"x")+1),-$E1913*N(L1913)))</f>
        <v/>
      </c>
      <c r="AA1913" s="34">
        <f>IF(OR($A1913="",$H1913&lt;&gt;"Ausgabe",M1913=""),0,IF(M1913="x",-$E1913/(COUNTIF($J1913:$Q1913,"x")+1),-$E1913*N(M1913)))</f>
        <v/>
      </c>
      <c r="AB1913" s="34">
        <f>IF(OR($A1913="",$H1913&lt;&gt;"Ausgabe",N1913=""),0,IF(N1913="x",-$E1913/(COUNTIF($J1913:$Q1913,"x")+1),-$E1913*N(N1913)))</f>
        <v/>
      </c>
      <c r="AC1913" s="34">
        <f>IF(OR($A1913="",$H1913&lt;&gt;"Ausgabe",O1913=""),0,IF(O1913="x",-$E1913/(COUNTIF($J1913:$Q1913,"x")+1),-$E1913*N(O1913)))</f>
        <v/>
      </c>
      <c r="AD1913" s="34">
        <f>IF(OR($A1913="",$H1913&lt;&gt;"Ausgabe",P1913=""),0,IF(P1913="x",-$E1913/(COUNTIF($J1913:$Q1913,"x")+1),-$E1913*N(P1913)))</f>
        <v/>
      </c>
      <c r="AE1913" s="34">
        <f>IF(OR($A1913="",$H1913&lt;&gt;"Ausgabe",Q1913=""),0,IF(Q1913="x",-$E1913/(COUNTIF($J1913:$Q1913,"x")+1),-$E1913*N(Q1913)))</f>
        <v/>
      </c>
    </row>
    <row r="1914">
      <c r="A1914" s="30" t="n"/>
      <c r="E1914" s="31" t="n"/>
      <c r="J1914" s="32" t="n"/>
      <c r="K1914" s="32" t="n"/>
      <c r="L1914" s="32" t="n"/>
      <c r="M1914" s="32" t="n"/>
      <c r="N1914" s="32" t="n"/>
      <c r="O1914" s="32" t="n"/>
      <c r="P1914" s="32" t="n"/>
      <c r="Q1914" s="32" t="n"/>
      <c r="U1914" s="31">
        <f>IF($A1914="","",SUM(X1914:AE1914))</f>
        <v/>
      </c>
      <c r="V1914" s="31">
        <f>IF($A1914="","",IF($H1914&lt;&gt;"Ausgabe",0,-$E1914-$U1914))</f>
        <v/>
      </c>
      <c r="W1914" s="33">
        <f>IF($A1914="","",DATE(YEAR($A1914),MONTH($A1914),1))</f>
        <v/>
      </c>
      <c r="X1914" s="34">
        <f>IF(OR($A1914="",$H1914&lt;&gt;"Ausgabe",J1914=""),0,IF(J1914="x",-$E1914/(COUNTIF($J1914:$Q1914,"x")+1),-$E1914*N(J1914)))</f>
        <v/>
      </c>
      <c r="Y1914" s="34">
        <f>IF(OR($A1914="",$H1914&lt;&gt;"Ausgabe",K1914=""),0,IF(K1914="x",-$E1914/(COUNTIF($J1914:$Q1914,"x")+1),-$E1914*N(K1914)))</f>
        <v/>
      </c>
      <c r="Z1914" s="34">
        <f>IF(OR($A1914="",$H1914&lt;&gt;"Ausgabe",L1914=""),0,IF(L1914="x",-$E1914/(COUNTIF($J1914:$Q1914,"x")+1),-$E1914*N(L1914)))</f>
        <v/>
      </c>
      <c r="AA1914" s="34">
        <f>IF(OR($A1914="",$H1914&lt;&gt;"Ausgabe",M1914=""),0,IF(M1914="x",-$E1914/(COUNTIF($J1914:$Q1914,"x")+1),-$E1914*N(M1914)))</f>
        <v/>
      </c>
      <c r="AB1914" s="34">
        <f>IF(OR($A1914="",$H1914&lt;&gt;"Ausgabe",N1914=""),0,IF(N1914="x",-$E1914/(COUNTIF($J1914:$Q1914,"x")+1),-$E1914*N(N1914)))</f>
        <v/>
      </c>
      <c r="AC1914" s="34">
        <f>IF(OR($A1914="",$H1914&lt;&gt;"Ausgabe",O1914=""),0,IF(O1914="x",-$E1914/(COUNTIF($J1914:$Q1914,"x")+1),-$E1914*N(O1914)))</f>
        <v/>
      </c>
      <c r="AD1914" s="34">
        <f>IF(OR($A1914="",$H1914&lt;&gt;"Ausgabe",P1914=""),0,IF(P1914="x",-$E1914/(COUNTIF($J1914:$Q1914,"x")+1),-$E1914*N(P1914)))</f>
        <v/>
      </c>
      <c r="AE1914" s="34">
        <f>IF(OR($A1914="",$H1914&lt;&gt;"Ausgabe",Q1914=""),0,IF(Q1914="x",-$E1914/(COUNTIF($J1914:$Q1914,"x")+1),-$E1914*N(Q1914)))</f>
        <v/>
      </c>
    </row>
    <row r="1915">
      <c r="A1915" s="30" t="n"/>
      <c r="E1915" s="31" t="n"/>
      <c r="J1915" s="32" t="n"/>
      <c r="K1915" s="32" t="n"/>
      <c r="L1915" s="32" t="n"/>
      <c r="M1915" s="32" t="n"/>
      <c r="N1915" s="32" t="n"/>
      <c r="O1915" s="32" t="n"/>
      <c r="P1915" s="32" t="n"/>
      <c r="Q1915" s="32" t="n"/>
      <c r="U1915" s="31">
        <f>IF($A1915="","",SUM(X1915:AE1915))</f>
        <v/>
      </c>
      <c r="V1915" s="31">
        <f>IF($A1915="","",IF($H1915&lt;&gt;"Ausgabe",0,-$E1915-$U1915))</f>
        <v/>
      </c>
      <c r="W1915" s="33">
        <f>IF($A1915="","",DATE(YEAR($A1915),MONTH($A1915),1))</f>
        <v/>
      </c>
      <c r="X1915" s="34">
        <f>IF(OR($A1915="",$H1915&lt;&gt;"Ausgabe",J1915=""),0,IF(J1915="x",-$E1915/(COUNTIF($J1915:$Q1915,"x")+1),-$E1915*N(J1915)))</f>
        <v/>
      </c>
      <c r="Y1915" s="34">
        <f>IF(OR($A1915="",$H1915&lt;&gt;"Ausgabe",K1915=""),0,IF(K1915="x",-$E1915/(COUNTIF($J1915:$Q1915,"x")+1),-$E1915*N(K1915)))</f>
        <v/>
      </c>
      <c r="Z1915" s="34">
        <f>IF(OR($A1915="",$H1915&lt;&gt;"Ausgabe",L1915=""),0,IF(L1915="x",-$E1915/(COUNTIF($J1915:$Q1915,"x")+1),-$E1915*N(L1915)))</f>
        <v/>
      </c>
      <c r="AA1915" s="34">
        <f>IF(OR($A1915="",$H1915&lt;&gt;"Ausgabe",M1915=""),0,IF(M1915="x",-$E1915/(COUNTIF($J1915:$Q1915,"x")+1),-$E1915*N(M1915)))</f>
        <v/>
      </c>
      <c r="AB1915" s="34">
        <f>IF(OR($A1915="",$H1915&lt;&gt;"Ausgabe",N1915=""),0,IF(N1915="x",-$E1915/(COUNTIF($J1915:$Q1915,"x")+1),-$E1915*N(N1915)))</f>
        <v/>
      </c>
      <c r="AC1915" s="34">
        <f>IF(OR($A1915="",$H1915&lt;&gt;"Ausgabe",O1915=""),0,IF(O1915="x",-$E1915/(COUNTIF($J1915:$Q1915,"x")+1),-$E1915*N(O1915)))</f>
        <v/>
      </c>
      <c r="AD1915" s="34">
        <f>IF(OR($A1915="",$H1915&lt;&gt;"Ausgabe",P1915=""),0,IF(P1915="x",-$E1915/(COUNTIF($J1915:$Q1915,"x")+1),-$E1915*N(P1915)))</f>
        <v/>
      </c>
      <c r="AE1915" s="34">
        <f>IF(OR($A1915="",$H1915&lt;&gt;"Ausgabe",Q1915=""),0,IF(Q1915="x",-$E1915/(COUNTIF($J1915:$Q1915,"x")+1),-$E1915*N(Q1915)))</f>
        <v/>
      </c>
    </row>
    <row r="1916">
      <c r="A1916" s="30" t="n"/>
      <c r="E1916" s="31" t="n"/>
      <c r="J1916" s="32" t="n"/>
      <c r="K1916" s="32" t="n"/>
      <c r="L1916" s="32" t="n"/>
      <c r="M1916" s="32" t="n"/>
      <c r="N1916" s="32" t="n"/>
      <c r="O1916" s="32" t="n"/>
      <c r="P1916" s="32" t="n"/>
      <c r="Q1916" s="32" t="n"/>
      <c r="U1916" s="31">
        <f>IF($A1916="","",SUM(X1916:AE1916))</f>
        <v/>
      </c>
      <c r="V1916" s="31">
        <f>IF($A1916="","",IF($H1916&lt;&gt;"Ausgabe",0,-$E1916-$U1916))</f>
        <v/>
      </c>
      <c r="W1916" s="33">
        <f>IF($A1916="","",DATE(YEAR($A1916),MONTH($A1916),1))</f>
        <v/>
      </c>
      <c r="X1916" s="34">
        <f>IF(OR($A1916="",$H1916&lt;&gt;"Ausgabe",J1916=""),0,IF(J1916="x",-$E1916/(COUNTIF($J1916:$Q1916,"x")+1),-$E1916*N(J1916)))</f>
        <v/>
      </c>
      <c r="Y1916" s="34">
        <f>IF(OR($A1916="",$H1916&lt;&gt;"Ausgabe",K1916=""),0,IF(K1916="x",-$E1916/(COUNTIF($J1916:$Q1916,"x")+1),-$E1916*N(K1916)))</f>
        <v/>
      </c>
      <c r="Z1916" s="34">
        <f>IF(OR($A1916="",$H1916&lt;&gt;"Ausgabe",L1916=""),0,IF(L1916="x",-$E1916/(COUNTIF($J1916:$Q1916,"x")+1),-$E1916*N(L1916)))</f>
        <v/>
      </c>
      <c r="AA1916" s="34">
        <f>IF(OR($A1916="",$H1916&lt;&gt;"Ausgabe",M1916=""),0,IF(M1916="x",-$E1916/(COUNTIF($J1916:$Q1916,"x")+1),-$E1916*N(M1916)))</f>
        <v/>
      </c>
      <c r="AB1916" s="34">
        <f>IF(OR($A1916="",$H1916&lt;&gt;"Ausgabe",N1916=""),0,IF(N1916="x",-$E1916/(COUNTIF($J1916:$Q1916,"x")+1),-$E1916*N(N1916)))</f>
        <v/>
      </c>
      <c r="AC1916" s="34">
        <f>IF(OR($A1916="",$H1916&lt;&gt;"Ausgabe",O1916=""),0,IF(O1916="x",-$E1916/(COUNTIF($J1916:$Q1916,"x")+1),-$E1916*N(O1916)))</f>
        <v/>
      </c>
      <c r="AD1916" s="34">
        <f>IF(OR($A1916="",$H1916&lt;&gt;"Ausgabe",P1916=""),0,IF(P1916="x",-$E1916/(COUNTIF($J1916:$Q1916,"x")+1),-$E1916*N(P1916)))</f>
        <v/>
      </c>
      <c r="AE1916" s="34">
        <f>IF(OR($A1916="",$H1916&lt;&gt;"Ausgabe",Q1916=""),0,IF(Q1916="x",-$E1916/(COUNTIF($J1916:$Q1916,"x")+1),-$E1916*N(Q1916)))</f>
        <v/>
      </c>
    </row>
    <row r="1917">
      <c r="A1917" s="30" t="n"/>
      <c r="E1917" s="31" t="n"/>
      <c r="J1917" s="32" t="n"/>
      <c r="K1917" s="32" t="n"/>
      <c r="L1917" s="32" t="n"/>
      <c r="M1917" s="32" t="n"/>
      <c r="N1917" s="32" t="n"/>
      <c r="O1917" s="32" t="n"/>
      <c r="P1917" s="32" t="n"/>
      <c r="Q1917" s="32" t="n"/>
      <c r="U1917" s="31">
        <f>IF($A1917="","",SUM(X1917:AE1917))</f>
        <v/>
      </c>
      <c r="V1917" s="31">
        <f>IF($A1917="","",IF($H1917&lt;&gt;"Ausgabe",0,-$E1917-$U1917))</f>
        <v/>
      </c>
      <c r="W1917" s="33">
        <f>IF($A1917="","",DATE(YEAR($A1917),MONTH($A1917),1))</f>
        <v/>
      </c>
      <c r="X1917" s="34">
        <f>IF(OR($A1917="",$H1917&lt;&gt;"Ausgabe",J1917=""),0,IF(J1917="x",-$E1917/(COUNTIF($J1917:$Q1917,"x")+1),-$E1917*N(J1917)))</f>
        <v/>
      </c>
      <c r="Y1917" s="34">
        <f>IF(OR($A1917="",$H1917&lt;&gt;"Ausgabe",K1917=""),0,IF(K1917="x",-$E1917/(COUNTIF($J1917:$Q1917,"x")+1),-$E1917*N(K1917)))</f>
        <v/>
      </c>
      <c r="Z1917" s="34">
        <f>IF(OR($A1917="",$H1917&lt;&gt;"Ausgabe",L1917=""),0,IF(L1917="x",-$E1917/(COUNTIF($J1917:$Q1917,"x")+1),-$E1917*N(L1917)))</f>
        <v/>
      </c>
      <c r="AA1917" s="34">
        <f>IF(OR($A1917="",$H1917&lt;&gt;"Ausgabe",M1917=""),0,IF(M1917="x",-$E1917/(COUNTIF($J1917:$Q1917,"x")+1),-$E1917*N(M1917)))</f>
        <v/>
      </c>
      <c r="AB1917" s="34">
        <f>IF(OR($A1917="",$H1917&lt;&gt;"Ausgabe",N1917=""),0,IF(N1917="x",-$E1917/(COUNTIF($J1917:$Q1917,"x")+1),-$E1917*N(N1917)))</f>
        <v/>
      </c>
      <c r="AC1917" s="34">
        <f>IF(OR($A1917="",$H1917&lt;&gt;"Ausgabe",O1917=""),0,IF(O1917="x",-$E1917/(COUNTIF($J1917:$Q1917,"x")+1),-$E1917*N(O1917)))</f>
        <v/>
      </c>
      <c r="AD1917" s="34">
        <f>IF(OR($A1917="",$H1917&lt;&gt;"Ausgabe",P1917=""),0,IF(P1917="x",-$E1917/(COUNTIF($J1917:$Q1917,"x")+1),-$E1917*N(P1917)))</f>
        <v/>
      </c>
      <c r="AE1917" s="34">
        <f>IF(OR($A1917="",$H1917&lt;&gt;"Ausgabe",Q1917=""),0,IF(Q1917="x",-$E1917/(COUNTIF($J1917:$Q1917,"x")+1),-$E1917*N(Q1917)))</f>
        <v/>
      </c>
    </row>
    <row r="1918">
      <c r="A1918" s="30" t="n"/>
      <c r="E1918" s="31" t="n"/>
      <c r="J1918" s="32" t="n"/>
      <c r="K1918" s="32" t="n"/>
      <c r="L1918" s="32" t="n"/>
      <c r="M1918" s="32" t="n"/>
      <c r="N1918" s="32" t="n"/>
      <c r="O1918" s="32" t="n"/>
      <c r="P1918" s="32" t="n"/>
      <c r="Q1918" s="32" t="n"/>
      <c r="U1918" s="31">
        <f>IF($A1918="","",SUM(X1918:AE1918))</f>
        <v/>
      </c>
      <c r="V1918" s="31">
        <f>IF($A1918="","",IF($H1918&lt;&gt;"Ausgabe",0,-$E1918-$U1918))</f>
        <v/>
      </c>
      <c r="W1918" s="33">
        <f>IF($A1918="","",DATE(YEAR($A1918),MONTH($A1918),1))</f>
        <v/>
      </c>
      <c r="X1918" s="34">
        <f>IF(OR($A1918="",$H1918&lt;&gt;"Ausgabe",J1918=""),0,IF(J1918="x",-$E1918/(COUNTIF($J1918:$Q1918,"x")+1),-$E1918*N(J1918)))</f>
        <v/>
      </c>
      <c r="Y1918" s="34">
        <f>IF(OR($A1918="",$H1918&lt;&gt;"Ausgabe",K1918=""),0,IF(K1918="x",-$E1918/(COUNTIF($J1918:$Q1918,"x")+1),-$E1918*N(K1918)))</f>
        <v/>
      </c>
      <c r="Z1918" s="34">
        <f>IF(OR($A1918="",$H1918&lt;&gt;"Ausgabe",L1918=""),0,IF(L1918="x",-$E1918/(COUNTIF($J1918:$Q1918,"x")+1),-$E1918*N(L1918)))</f>
        <v/>
      </c>
      <c r="AA1918" s="34">
        <f>IF(OR($A1918="",$H1918&lt;&gt;"Ausgabe",M1918=""),0,IF(M1918="x",-$E1918/(COUNTIF($J1918:$Q1918,"x")+1),-$E1918*N(M1918)))</f>
        <v/>
      </c>
      <c r="AB1918" s="34">
        <f>IF(OR($A1918="",$H1918&lt;&gt;"Ausgabe",N1918=""),0,IF(N1918="x",-$E1918/(COUNTIF($J1918:$Q1918,"x")+1),-$E1918*N(N1918)))</f>
        <v/>
      </c>
      <c r="AC1918" s="34">
        <f>IF(OR($A1918="",$H1918&lt;&gt;"Ausgabe",O1918=""),0,IF(O1918="x",-$E1918/(COUNTIF($J1918:$Q1918,"x")+1),-$E1918*N(O1918)))</f>
        <v/>
      </c>
      <c r="AD1918" s="34">
        <f>IF(OR($A1918="",$H1918&lt;&gt;"Ausgabe",P1918=""),0,IF(P1918="x",-$E1918/(COUNTIF($J1918:$Q1918,"x")+1),-$E1918*N(P1918)))</f>
        <v/>
      </c>
      <c r="AE1918" s="34">
        <f>IF(OR($A1918="",$H1918&lt;&gt;"Ausgabe",Q1918=""),0,IF(Q1918="x",-$E1918/(COUNTIF($J1918:$Q1918,"x")+1),-$E1918*N(Q1918)))</f>
        <v/>
      </c>
    </row>
    <row r="1919">
      <c r="A1919" s="30" t="n"/>
      <c r="E1919" s="31" t="n"/>
      <c r="J1919" s="32" t="n"/>
      <c r="K1919" s="32" t="n"/>
      <c r="L1919" s="32" t="n"/>
      <c r="M1919" s="32" t="n"/>
      <c r="N1919" s="32" t="n"/>
      <c r="O1919" s="32" t="n"/>
      <c r="P1919" s="32" t="n"/>
      <c r="Q1919" s="32" t="n"/>
      <c r="U1919" s="31">
        <f>IF($A1919="","",SUM(X1919:AE1919))</f>
        <v/>
      </c>
      <c r="V1919" s="31">
        <f>IF($A1919="","",IF($H1919&lt;&gt;"Ausgabe",0,-$E1919-$U1919))</f>
        <v/>
      </c>
      <c r="W1919" s="33">
        <f>IF($A1919="","",DATE(YEAR($A1919),MONTH($A1919),1))</f>
        <v/>
      </c>
      <c r="X1919" s="34">
        <f>IF(OR($A1919="",$H1919&lt;&gt;"Ausgabe",J1919=""),0,IF(J1919="x",-$E1919/(COUNTIF($J1919:$Q1919,"x")+1),-$E1919*N(J1919)))</f>
        <v/>
      </c>
      <c r="Y1919" s="34">
        <f>IF(OR($A1919="",$H1919&lt;&gt;"Ausgabe",K1919=""),0,IF(K1919="x",-$E1919/(COUNTIF($J1919:$Q1919,"x")+1),-$E1919*N(K1919)))</f>
        <v/>
      </c>
      <c r="Z1919" s="34">
        <f>IF(OR($A1919="",$H1919&lt;&gt;"Ausgabe",L1919=""),0,IF(L1919="x",-$E1919/(COUNTIF($J1919:$Q1919,"x")+1),-$E1919*N(L1919)))</f>
        <v/>
      </c>
      <c r="AA1919" s="34">
        <f>IF(OR($A1919="",$H1919&lt;&gt;"Ausgabe",M1919=""),0,IF(M1919="x",-$E1919/(COUNTIF($J1919:$Q1919,"x")+1),-$E1919*N(M1919)))</f>
        <v/>
      </c>
      <c r="AB1919" s="34">
        <f>IF(OR($A1919="",$H1919&lt;&gt;"Ausgabe",N1919=""),0,IF(N1919="x",-$E1919/(COUNTIF($J1919:$Q1919,"x")+1),-$E1919*N(N1919)))</f>
        <v/>
      </c>
      <c r="AC1919" s="34">
        <f>IF(OR($A1919="",$H1919&lt;&gt;"Ausgabe",O1919=""),0,IF(O1919="x",-$E1919/(COUNTIF($J1919:$Q1919,"x")+1),-$E1919*N(O1919)))</f>
        <v/>
      </c>
      <c r="AD1919" s="34">
        <f>IF(OR($A1919="",$H1919&lt;&gt;"Ausgabe",P1919=""),0,IF(P1919="x",-$E1919/(COUNTIF($J1919:$Q1919,"x")+1),-$E1919*N(P1919)))</f>
        <v/>
      </c>
      <c r="AE1919" s="34">
        <f>IF(OR($A1919="",$H1919&lt;&gt;"Ausgabe",Q1919=""),0,IF(Q1919="x",-$E1919/(COUNTIF($J1919:$Q1919,"x")+1),-$E1919*N(Q1919)))</f>
        <v/>
      </c>
    </row>
    <row r="1920">
      <c r="A1920" s="30" t="n"/>
      <c r="E1920" s="31" t="n"/>
      <c r="J1920" s="32" t="n"/>
      <c r="K1920" s="32" t="n"/>
      <c r="L1920" s="32" t="n"/>
      <c r="M1920" s="32" t="n"/>
      <c r="N1920" s="32" t="n"/>
      <c r="O1920" s="32" t="n"/>
      <c r="P1920" s="32" t="n"/>
      <c r="Q1920" s="32" t="n"/>
      <c r="U1920" s="31">
        <f>IF($A1920="","",SUM(X1920:AE1920))</f>
        <v/>
      </c>
      <c r="V1920" s="31">
        <f>IF($A1920="","",IF($H1920&lt;&gt;"Ausgabe",0,-$E1920-$U1920))</f>
        <v/>
      </c>
      <c r="W1920" s="33">
        <f>IF($A1920="","",DATE(YEAR($A1920),MONTH($A1920),1))</f>
        <v/>
      </c>
      <c r="X1920" s="34">
        <f>IF(OR($A1920="",$H1920&lt;&gt;"Ausgabe",J1920=""),0,IF(J1920="x",-$E1920/(COUNTIF($J1920:$Q1920,"x")+1),-$E1920*N(J1920)))</f>
        <v/>
      </c>
      <c r="Y1920" s="34">
        <f>IF(OR($A1920="",$H1920&lt;&gt;"Ausgabe",K1920=""),0,IF(K1920="x",-$E1920/(COUNTIF($J1920:$Q1920,"x")+1),-$E1920*N(K1920)))</f>
        <v/>
      </c>
      <c r="Z1920" s="34">
        <f>IF(OR($A1920="",$H1920&lt;&gt;"Ausgabe",L1920=""),0,IF(L1920="x",-$E1920/(COUNTIF($J1920:$Q1920,"x")+1),-$E1920*N(L1920)))</f>
        <v/>
      </c>
      <c r="AA1920" s="34">
        <f>IF(OR($A1920="",$H1920&lt;&gt;"Ausgabe",M1920=""),0,IF(M1920="x",-$E1920/(COUNTIF($J1920:$Q1920,"x")+1),-$E1920*N(M1920)))</f>
        <v/>
      </c>
      <c r="AB1920" s="34">
        <f>IF(OR($A1920="",$H1920&lt;&gt;"Ausgabe",N1920=""),0,IF(N1920="x",-$E1920/(COUNTIF($J1920:$Q1920,"x")+1),-$E1920*N(N1920)))</f>
        <v/>
      </c>
      <c r="AC1920" s="34">
        <f>IF(OR($A1920="",$H1920&lt;&gt;"Ausgabe",O1920=""),0,IF(O1920="x",-$E1920/(COUNTIF($J1920:$Q1920,"x")+1),-$E1920*N(O1920)))</f>
        <v/>
      </c>
      <c r="AD1920" s="34">
        <f>IF(OR($A1920="",$H1920&lt;&gt;"Ausgabe",P1920=""),0,IF(P1920="x",-$E1920/(COUNTIF($J1920:$Q1920,"x")+1),-$E1920*N(P1920)))</f>
        <v/>
      </c>
      <c r="AE1920" s="34">
        <f>IF(OR($A1920="",$H1920&lt;&gt;"Ausgabe",Q1920=""),0,IF(Q1920="x",-$E1920/(COUNTIF($J1920:$Q1920,"x")+1),-$E1920*N(Q1920)))</f>
        <v/>
      </c>
    </row>
    <row r="1921">
      <c r="A1921" s="30" t="n"/>
      <c r="E1921" s="31" t="n"/>
      <c r="J1921" s="32" t="n"/>
      <c r="K1921" s="32" t="n"/>
      <c r="L1921" s="32" t="n"/>
      <c r="M1921" s="32" t="n"/>
      <c r="N1921" s="32" t="n"/>
      <c r="O1921" s="32" t="n"/>
      <c r="P1921" s="32" t="n"/>
      <c r="Q1921" s="32" t="n"/>
      <c r="U1921" s="31">
        <f>IF($A1921="","",SUM(X1921:AE1921))</f>
        <v/>
      </c>
      <c r="V1921" s="31">
        <f>IF($A1921="","",IF($H1921&lt;&gt;"Ausgabe",0,-$E1921-$U1921))</f>
        <v/>
      </c>
      <c r="W1921" s="33">
        <f>IF($A1921="","",DATE(YEAR($A1921),MONTH($A1921),1))</f>
        <v/>
      </c>
      <c r="X1921" s="34">
        <f>IF(OR($A1921="",$H1921&lt;&gt;"Ausgabe",J1921=""),0,IF(J1921="x",-$E1921/(COUNTIF($J1921:$Q1921,"x")+1),-$E1921*N(J1921)))</f>
        <v/>
      </c>
      <c r="Y1921" s="34">
        <f>IF(OR($A1921="",$H1921&lt;&gt;"Ausgabe",K1921=""),0,IF(K1921="x",-$E1921/(COUNTIF($J1921:$Q1921,"x")+1),-$E1921*N(K1921)))</f>
        <v/>
      </c>
      <c r="Z1921" s="34">
        <f>IF(OR($A1921="",$H1921&lt;&gt;"Ausgabe",L1921=""),0,IF(L1921="x",-$E1921/(COUNTIF($J1921:$Q1921,"x")+1),-$E1921*N(L1921)))</f>
        <v/>
      </c>
      <c r="AA1921" s="34">
        <f>IF(OR($A1921="",$H1921&lt;&gt;"Ausgabe",M1921=""),0,IF(M1921="x",-$E1921/(COUNTIF($J1921:$Q1921,"x")+1),-$E1921*N(M1921)))</f>
        <v/>
      </c>
      <c r="AB1921" s="34">
        <f>IF(OR($A1921="",$H1921&lt;&gt;"Ausgabe",N1921=""),0,IF(N1921="x",-$E1921/(COUNTIF($J1921:$Q1921,"x")+1),-$E1921*N(N1921)))</f>
        <v/>
      </c>
      <c r="AC1921" s="34">
        <f>IF(OR($A1921="",$H1921&lt;&gt;"Ausgabe",O1921=""),0,IF(O1921="x",-$E1921/(COUNTIF($J1921:$Q1921,"x")+1),-$E1921*N(O1921)))</f>
        <v/>
      </c>
      <c r="AD1921" s="34">
        <f>IF(OR($A1921="",$H1921&lt;&gt;"Ausgabe",P1921=""),0,IF(P1921="x",-$E1921/(COUNTIF($J1921:$Q1921,"x")+1),-$E1921*N(P1921)))</f>
        <v/>
      </c>
      <c r="AE1921" s="34">
        <f>IF(OR($A1921="",$H1921&lt;&gt;"Ausgabe",Q1921=""),0,IF(Q1921="x",-$E1921/(COUNTIF($J1921:$Q1921,"x")+1),-$E1921*N(Q1921)))</f>
        <v/>
      </c>
    </row>
    <row r="1922">
      <c r="A1922" s="30" t="n"/>
      <c r="E1922" s="31" t="n"/>
      <c r="J1922" s="32" t="n"/>
      <c r="K1922" s="32" t="n"/>
      <c r="L1922" s="32" t="n"/>
      <c r="M1922" s="32" t="n"/>
      <c r="N1922" s="32" t="n"/>
      <c r="O1922" s="32" t="n"/>
      <c r="P1922" s="32" t="n"/>
      <c r="Q1922" s="32" t="n"/>
      <c r="U1922" s="31">
        <f>IF($A1922="","",SUM(X1922:AE1922))</f>
        <v/>
      </c>
      <c r="V1922" s="31">
        <f>IF($A1922="","",IF($H1922&lt;&gt;"Ausgabe",0,-$E1922-$U1922))</f>
        <v/>
      </c>
      <c r="W1922" s="33">
        <f>IF($A1922="","",DATE(YEAR($A1922),MONTH($A1922),1))</f>
        <v/>
      </c>
      <c r="X1922" s="34">
        <f>IF(OR($A1922="",$H1922&lt;&gt;"Ausgabe",J1922=""),0,IF(J1922="x",-$E1922/(COUNTIF($J1922:$Q1922,"x")+1),-$E1922*N(J1922)))</f>
        <v/>
      </c>
      <c r="Y1922" s="34">
        <f>IF(OR($A1922="",$H1922&lt;&gt;"Ausgabe",K1922=""),0,IF(K1922="x",-$E1922/(COUNTIF($J1922:$Q1922,"x")+1),-$E1922*N(K1922)))</f>
        <v/>
      </c>
      <c r="Z1922" s="34">
        <f>IF(OR($A1922="",$H1922&lt;&gt;"Ausgabe",L1922=""),0,IF(L1922="x",-$E1922/(COUNTIF($J1922:$Q1922,"x")+1),-$E1922*N(L1922)))</f>
        <v/>
      </c>
      <c r="AA1922" s="34">
        <f>IF(OR($A1922="",$H1922&lt;&gt;"Ausgabe",M1922=""),0,IF(M1922="x",-$E1922/(COUNTIF($J1922:$Q1922,"x")+1),-$E1922*N(M1922)))</f>
        <v/>
      </c>
      <c r="AB1922" s="34">
        <f>IF(OR($A1922="",$H1922&lt;&gt;"Ausgabe",N1922=""),0,IF(N1922="x",-$E1922/(COUNTIF($J1922:$Q1922,"x")+1),-$E1922*N(N1922)))</f>
        <v/>
      </c>
      <c r="AC1922" s="34">
        <f>IF(OR($A1922="",$H1922&lt;&gt;"Ausgabe",O1922=""),0,IF(O1922="x",-$E1922/(COUNTIF($J1922:$Q1922,"x")+1),-$E1922*N(O1922)))</f>
        <v/>
      </c>
      <c r="AD1922" s="34">
        <f>IF(OR($A1922="",$H1922&lt;&gt;"Ausgabe",P1922=""),0,IF(P1922="x",-$E1922/(COUNTIF($J1922:$Q1922,"x")+1),-$E1922*N(P1922)))</f>
        <v/>
      </c>
      <c r="AE1922" s="34">
        <f>IF(OR($A1922="",$H1922&lt;&gt;"Ausgabe",Q1922=""),0,IF(Q1922="x",-$E1922/(COUNTIF($J1922:$Q1922,"x")+1),-$E1922*N(Q1922)))</f>
        <v/>
      </c>
    </row>
    <row r="1923">
      <c r="A1923" s="30" t="n"/>
      <c r="E1923" s="31" t="n"/>
      <c r="J1923" s="32" t="n"/>
      <c r="K1923" s="32" t="n"/>
      <c r="L1923" s="32" t="n"/>
      <c r="M1923" s="32" t="n"/>
      <c r="N1923" s="32" t="n"/>
      <c r="O1923" s="32" t="n"/>
      <c r="P1923" s="32" t="n"/>
      <c r="Q1923" s="32" t="n"/>
      <c r="U1923" s="31">
        <f>IF($A1923="","",SUM(X1923:AE1923))</f>
        <v/>
      </c>
      <c r="V1923" s="31">
        <f>IF($A1923="","",IF($H1923&lt;&gt;"Ausgabe",0,-$E1923-$U1923))</f>
        <v/>
      </c>
      <c r="W1923" s="33">
        <f>IF($A1923="","",DATE(YEAR($A1923),MONTH($A1923),1))</f>
        <v/>
      </c>
      <c r="X1923" s="34">
        <f>IF(OR($A1923="",$H1923&lt;&gt;"Ausgabe",J1923=""),0,IF(J1923="x",-$E1923/(COUNTIF($J1923:$Q1923,"x")+1),-$E1923*N(J1923)))</f>
        <v/>
      </c>
      <c r="Y1923" s="34">
        <f>IF(OR($A1923="",$H1923&lt;&gt;"Ausgabe",K1923=""),0,IF(K1923="x",-$E1923/(COUNTIF($J1923:$Q1923,"x")+1),-$E1923*N(K1923)))</f>
        <v/>
      </c>
      <c r="Z1923" s="34">
        <f>IF(OR($A1923="",$H1923&lt;&gt;"Ausgabe",L1923=""),0,IF(L1923="x",-$E1923/(COUNTIF($J1923:$Q1923,"x")+1),-$E1923*N(L1923)))</f>
        <v/>
      </c>
      <c r="AA1923" s="34">
        <f>IF(OR($A1923="",$H1923&lt;&gt;"Ausgabe",M1923=""),0,IF(M1923="x",-$E1923/(COUNTIF($J1923:$Q1923,"x")+1),-$E1923*N(M1923)))</f>
        <v/>
      </c>
      <c r="AB1923" s="34">
        <f>IF(OR($A1923="",$H1923&lt;&gt;"Ausgabe",N1923=""),0,IF(N1923="x",-$E1923/(COUNTIF($J1923:$Q1923,"x")+1),-$E1923*N(N1923)))</f>
        <v/>
      </c>
      <c r="AC1923" s="34">
        <f>IF(OR($A1923="",$H1923&lt;&gt;"Ausgabe",O1923=""),0,IF(O1923="x",-$E1923/(COUNTIF($J1923:$Q1923,"x")+1),-$E1923*N(O1923)))</f>
        <v/>
      </c>
      <c r="AD1923" s="34">
        <f>IF(OR($A1923="",$H1923&lt;&gt;"Ausgabe",P1923=""),0,IF(P1923="x",-$E1923/(COUNTIF($J1923:$Q1923,"x")+1),-$E1923*N(P1923)))</f>
        <v/>
      </c>
      <c r="AE1923" s="34">
        <f>IF(OR($A1923="",$H1923&lt;&gt;"Ausgabe",Q1923=""),0,IF(Q1923="x",-$E1923/(COUNTIF($J1923:$Q1923,"x")+1),-$E1923*N(Q1923)))</f>
        <v/>
      </c>
    </row>
    <row r="1924">
      <c r="A1924" s="30" t="n"/>
      <c r="E1924" s="31" t="n"/>
      <c r="J1924" s="32" t="n"/>
      <c r="K1924" s="32" t="n"/>
      <c r="L1924" s="32" t="n"/>
      <c r="M1924" s="32" t="n"/>
      <c r="N1924" s="32" t="n"/>
      <c r="O1924" s="32" t="n"/>
      <c r="P1924" s="32" t="n"/>
      <c r="Q1924" s="32" t="n"/>
      <c r="U1924" s="31">
        <f>IF($A1924="","",SUM(X1924:AE1924))</f>
        <v/>
      </c>
      <c r="V1924" s="31">
        <f>IF($A1924="","",IF($H1924&lt;&gt;"Ausgabe",0,-$E1924-$U1924))</f>
        <v/>
      </c>
      <c r="W1924" s="33">
        <f>IF($A1924="","",DATE(YEAR($A1924),MONTH($A1924),1))</f>
        <v/>
      </c>
      <c r="X1924" s="34">
        <f>IF(OR($A1924="",$H1924&lt;&gt;"Ausgabe",J1924=""),0,IF(J1924="x",-$E1924/(COUNTIF($J1924:$Q1924,"x")+1),-$E1924*N(J1924)))</f>
        <v/>
      </c>
      <c r="Y1924" s="34">
        <f>IF(OR($A1924="",$H1924&lt;&gt;"Ausgabe",K1924=""),0,IF(K1924="x",-$E1924/(COUNTIF($J1924:$Q1924,"x")+1),-$E1924*N(K1924)))</f>
        <v/>
      </c>
      <c r="Z1924" s="34">
        <f>IF(OR($A1924="",$H1924&lt;&gt;"Ausgabe",L1924=""),0,IF(L1924="x",-$E1924/(COUNTIF($J1924:$Q1924,"x")+1),-$E1924*N(L1924)))</f>
        <v/>
      </c>
      <c r="AA1924" s="34">
        <f>IF(OR($A1924="",$H1924&lt;&gt;"Ausgabe",M1924=""),0,IF(M1924="x",-$E1924/(COUNTIF($J1924:$Q1924,"x")+1),-$E1924*N(M1924)))</f>
        <v/>
      </c>
      <c r="AB1924" s="34">
        <f>IF(OR($A1924="",$H1924&lt;&gt;"Ausgabe",N1924=""),0,IF(N1924="x",-$E1924/(COUNTIF($J1924:$Q1924,"x")+1),-$E1924*N(N1924)))</f>
        <v/>
      </c>
      <c r="AC1924" s="34">
        <f>IF(OR($A1924="",$H1924&lt;&gt;"Ausgabe",O1924=""),0,IF(O1924="x",-$E1924/(COUNTIF($J1924:$Q1924,"x")+1),-$E1924*N(O1924)))</f>
        <v/>
      </c>
      <c r="AD1924" s="34">
        <f>IF(OR($A1924="",$H1924&lt;&gt;"Ausgabe",P1924=""),0,IF(P1924="x",-$E1924/(COUNTIF($J1924:$Q1924,"x")+1),-$E1924*N(P1924)))</f>
        <v/>
      </c>
      <c r="AE1924" s="34">
        <f>IF(OR($A1924="",$H1924&lt;&gt;"Ausgabe",Q1924=""),0,IF(Q1924="x",-$E1924/(COUNTIF($J1924:$Q1924,"x")+1),-$E1924*N(Q1924)))</f>
        <v/>
      </c>
    </row>
    <row r="1925">
      <c r="A1925" s="30" t="n"/>
      <c r="E1925" s="31" t="n"/>
      <c r="J1925" s="32" t="n"/>
      <c r="K1925" s="32" t="n"/>
      <c r="L1925" s="32" t="n"/>
      <c r="M1925" s="32" t="n"/>
      <c r="N1925" s="32" t="n"/>
      <c r="O1925" s="32" t="n"/>
      <c r="P1925" s="32" t="n"/>
      <c r="Q1925" s="32" t="n"/>
      <c r="U1925" s="31">
        <f>IF($A1925="","",SUM(X1925:AE1925))</f>
        <v/>
      </c>
      <c r="V1925" s="31">
        <f>IF($A1925="","",IF($H1925&lt;&gt;"Ausgabe",0,-$E1925-$U1925))</f>
        <v/>
      </c>
      <c r="W1925" s="33">
        <f>IF($A1925="","",DATE(YEAR($A1925),MONTH($A1925),1))</f>
        <v/>
      </c>
      <c r="X1925" s="34">
        <f>IF(OR($A1925="",$H1925&lt;&gt;"Ausgabe",J1925=""),0,IF(J1925="x",-$E1925/(COUNTIF($J1925:$Q1925,"x")+1),-$E1925*N(J1925)))</f>
        <v/>
      </c>
      <c r="Y1925" s="34">
        <f>IF(OR($A1925="",$H1925&lt;&gt;"Ausgabe",K1925=""),0,IF(K1925="x",-$E1925/(COUNTIF($J1925:$Q1925,"x")+1),-$E1925*N(K1925)))</f>
        <v/>
      </c>
      <c r="Z1925" s="34">
        <f>IF(OR($A1925="",$H1925&lt;&gt;"Ausgabe",L1925=""),0,IF(L1925="x",-$E1925/(COUNTIF($J1925:$Q1925,"x")+1),-$E1925*N(L1925)))</f>
        <v/>
      </c>
      <c r="AA1925" s="34">
        <f>IF(OR($A1925="",$H1925&lt;&gt;"Ausgabe",M1925=""),0,IF(M1925="x",-$E1925/(COUNTIF($J1925:$Q1925,"x")+1),-$E1925*N(M1925)))</f>
        <v/>
      </c>
      <c r="AB1925" s="34">
        <f>IF(OR($A1925="",$H1925&lt;&gt;"Ausgabe",N1925=""),0,IF(N1925="x",-$E1925/(COUNTIF($J1925:$Q1925,"x")+1),-$E1925*N(N1925)))</f>
        <v/>
      </c>
      <c r="AC1925" s="34">
        <f>IF(OR($A1925="",$H1925&lt;&gt;"Ausgabe",O1925=""),0,IF(O1925="x",-$E1925/(COUNTIF($J1925:$Q1925,"x")+1),-$E1925*N(O1925)))</f>
        <v/>
      </c>
      <c r="AD1925" s="34">
        <f>IF(OR($A1925="",$H1925&lt;&gt;"Ausgabe",P1925=""),0,IF(P1925="x",-$E1925/(COUNTIF($J1925:$Q1925,"x")+1),-$E1925*N(P1925)))</f>
        <v/>
      </c>
      <c r="AE1925" s="34">
        <f>IF(OR($A1925="",$H1925&lt;&gt;"Ausgabe",Q1925=""),0,IF(Q1925="x",-$E1925/(COUNTIF($J1925:$Q1925,"x")+1),-$E1925*N(Q1925)))</f>
        <v/>
      </c>
    </row>
    <row r="1926">
      <c r="A1926" s="30" t="n"/>
      <c r="E1926" s="31" t="n"/>
      <c r="J1926" s="32" t="n"/>
      <c r="K1926" s="32" t="n"/>
      <c r="L1926" s="32" t="n"/>
      <c r="M1926" s="32" t="n"/>
      <c r="N1926" s="32" t="n"/>
      <c r="O1926" s="32" t="n"/>
      <c r="P1926" s="32" t="n"/>
      <c r="Q1926" s="32" t="n"/>
      <c r="U1926" s="31">
        <f>IF($A1926="","",SUM(X1926:AE1926))</f>
        <v/>
      </c>
      <c r="V1926" s="31">
        <f>IF($A1926="","",IF($H1926&lt;&gt;"Ausgabe",0,-$E1926-$U1926))</f>
        <v/>
      </c>
      <c r="W1926" s="33">
        <f>IF($A1926="","",DATE(YEAR($A1926),MONTH($A1926),1))</f>
        <v/>
      </c>
      <c r="X1926" s="34">
        <f>IF(OR($A1926="",$H1926&lt;&gt;"Ausgabe",J1926=""),0,IF(J1926="x",-$E1926/(COUNTIF($J1926:$Q1926,"x")+1),-$E1926*N(J1926)))</f>
        <v/>
      </c>
      <c r="Y1926" s="34">
        <f>IF(OR($A1926="",$H1926&lt;&gt;"Ausgabe",K1926=""),0,IF(K1926="x",-$E1926/(COUNTIF($J1926:$Q1926,"x")+1),-$E1926*N(K1926)))</f>
        <v/>
      </c>
      <c r="Z1926" s="34">
        <f>IF(OR($A1926="",$H1926&lt;&gt;"Ausgabe",L1926=""),0,IF(L1926="x",-$E1926/(COUNTIF($J1926:$Q1926,"x")+1),-$E1926*N(L1926)))</f>
        <v/>
      </c>
      <c r="AA1926" s="34">
        <f>IF(OR($A1926="",$H1926&lt;&gt;"Ausgabe",M1926=""),0,IF(M1926="x",-$E1926/(COUNTIF($J1926:$Q1926,"x")+1),-$E1926*N(M1926)))</f>
        <v/>
      </c>
      <c r="AB1926" s="34">
        <f>IF(OR($A1926="",$H1926&lt;&gt;"Ausgabe",N1926=""),0,IF(N1926="x",-$E1926/(COUNTIF($J1926:$Q1926,"x")+1),-$E1926*N(N1926)))</f>
        <v/>
      </c>
      <c r="AC1926" s="34">
        <f>IF(OR($A1926="",$H1926&lt;&gt;"Ausgabe",O1926=""),0,IF(O1926="x",-$E1926/(COUNTIF($J1926:$Q1926,"x")+1),-$E1926*N(O1926)))</f>
        <v/>
      </c>
      <c r="AD1926" s="34">
        <f>IF(OR($A1926="",$H1926&lt;&gt;"Ausgabe",P1926=""),0,IF(P1926="x",-$E1926/(COUNTIF($J1926:$Q1926,"x")+1),-$E1926*N(P1926)))</f>
        <v/>
      </c>
      <c r="AE1926" s="34">
        <f>IF(OR($A1926="",$H1926&lt;&gt;"Ausgabe",Q1926=""),0,IF(Q1926="x",-$E1926/(COUNTIF($J1926:$Q1926,"x")+1),-$E1926*N(Q1926)))</f>
        <v/>
      </c>
    </row>
    <row r="1927">
      <c r="A1927" s="30" t="n"/>
      <c r="E1927" s="31" t="n"/>
      <c r="J1927" s="32" t="n"/>
      <c r="K1927" s="32" t="n"/>
      <c r="L1927" s="32" t="n"/>
      <c r="M1927" s="32" t="n"/>
      <c r="N1927" s="32" t="n"/>
      <c r="O1927" s="32" t="n"/>
      <c r="P1927" s="32" t="n"/>
      <c r="Q1927" s="32" t="n"/>
      <c r="U1927" s="31">
        <f>IF($A1927="","",SUM(X1927:AE1927))</f>
        <v/>
      </c>
      <c r="V1927" s="31">
        <f>IF($A1927="","",IF($H1927&lt;&gt;"Ausgabe",0,-$E1927-$U1927))</f>
        <v/>
      </c>
      <c r="W1927" s="33">
        <f>IF($A1927="","",DATE(YEAR($A1927),MONTH($A1927),1))</f>
        <v/>
      </c>
      <c r="X1927" s="34">
        <f>IF(OR($A1927="",$H1927&lt;&gt;"Ausgabe",J1927=""),0,IF(J1927="x",-$E1927/(COUNTIF($J1927:$Q1927,"x")+1),-$E1927*N(J1927)))</f>
        <v/>
      </c>
      <c r="Y1927" s="34">
        <f>IF(OR($A1927="",$H1927&lt;&gt;"Ausgabe",K1927=""),0,IF(K1927="x",-$E1927/(COUNTIF($J1927:$Q1927,"x")+1),-$E1927*N(K1927)))</f>
        <v/>
      </c>
      <c r="Z1927" s="34">
        <f>IF(OR($A1927="",$H1927&lt;&gt;"Ausgabe",L1927=""),0,IF(L1927="x",-$E1927/(COUNTIF($J1927:$Q1927,"x")+1),-$E1927*N(L1927)))</f>
        <v/>
      </c>
      <c r="AA1927" s="34">
        <f>IF(OR($A1927="",$H1927&lt;&gt;"Ausgabe",M1927=""),0,IF(M1927="x",-$E1927/(COUNTIF($J1927:$Q1927,"x")+1),-$E1927*N(M1927)))</f>
        <v/>
      </c>
      <c r="AB1927" s="34">
        <f>IF(OR($A1927="",$H1927&lt;&gt;"Ausgabe",N1927=""),0,IF(N1927="x",-$E1927/(COUNTIF($J1927:$Q1927,"x")+1),-$E1927*N(N1927)))</f>
        <v/>
      </c>
      <c r="AC1927" s="34">
        <f>IF(OR($A1927="",$H1927&lt;&gt;"Ausgabe",O1927=""),0,IF(O1927="x",-$E1927/(COUNTIF($J1927:$Q1927,"x")+1),-$E1927*N(O1927)))</f>
        <v/>
      </c>
      <c r="AD1927" s="34">
        <f>IF(OR($A1927="",$H1927&lt;&gt;"Ausgabe",P1927=""),0,IF(P1927="x",-$E1927/(COUNTIF($J1927:$Q1927,"x")+1),-$E1927*N(P1927)))</f>
        <v/>
      </c>
      <c r="AE1927" s="34">
        <f>IF(OR($A1927="",$H1927&lt;&gt;"Ausgabe",Q1927=""),0,IF(Q1927="x",-$E1927/(COUNTIF($J1927:$Q1927,"x")+1),-$E1927*N(Q1927)))</f>
        <v/>
      </c>
    </row>
    <row r="1928">
      <c r="A1928" s="30" t="n"/>
      <c r="E1928" s="31" t="n"/>
      <c r="J1928" s="32" t="n"/>
      <c r="K1928" s="32" t="n"/>
      <c r="L1928" s="32" t="n"/>
      <c r="M1928" s="32" t="n"/>
      <c r="N1928" s="32" t="n"/>
      <c r="O1928" s="32" t="n"/>
      <c r="P1928" s="32" t="n"/>
      <c r="Q1928" s="32" t="n"/>
      <c r="U1928" s="31">
        <f>IF($A1928="","",SUM(X1928:AE1928))</f>
        <v/>
      </c>
      <c r="V1928" s="31">
        <f>IF($A1928="","",IF($H1928&lt;&gt;"Ausgabe",0,-$E1928-$U1928))</f>
        <v/>
      </c>
      <c r="W1928" s="33">
        <f>IF($A1928="","",DATE(YEAR($A1928),MONTH($A1928),1))</f>
        <v/>
      </c>
      <c r="X1928" s="34">
        <f>IF(OR($A1928="",$H1928&lt;&gt;"Ausgabe",J1928=""),0,IF(J1928="x",-$E1928/(COUNTIF($J1928:$Q1928,"x")+1),-$E1928*N(J1928)))</f>
        <v/>
      </c>
      <c r="Y1928" s="34">
        <f>IF(OR($A1928="",$H1928&lt;&gt;"Ausgabe",K1928=""),0,IF(K1928="x",-$E1928/(COUNTIF($J1928:$Q1928,"x")+1),-$E1928*N(K1928)))</f>
        <v/>
      </c>
      <c r="Z1928" s="34">
        <f>IF(OR($A1928="",$H1928&lt;&gt;"Ausgabe",L1928=""),0,IF(L1928="x",-$E1928/(COUNTIF($J1928:$Q1928,"x")+1),-$E1928*N(L1928)))</f>
        <v/>
      </c>
      <c r="AA1928" s="34">
        <f>IF(OR($A1928="",$H1928&lt;&gt;"Ausgabe",M1928=""),0,IF(M1928="x",-$E1928/(COUNTIF($J1928:$Q1928,"x")+1),-$E1928*N(M1928)))</f>
        <v/>
      </c>
      <c r="AB1928" s="34">
        <f>IF(OR($A1928="",$H1928&lt;&gt;"Ausgabe",N1928=""),0,IF(N1928="x",-$E1928/(COUNTIF($J1928:$Q1928,"x")+1),-$E1928*N(N1928)))</f>
        <v/>
      </c>
      <c r="AC1928" s="34">
        <f>IF(OR($A1928="",$H1928&lt;&gt;"Ausgabe",O1928=""),0,IF(O1928="x",-$E1928/(COUNTIF($J1928:$Q1928,"x")+1),-$E1928*N(O1928)))</f>
        <v/>
      </c>
      <c r="AD1928" s="34">
        <f>IF(OR($A1928="",$H1928&lt;&gt;"Ausgabe",P1928=""),0,IF(P1928="x",-$E1928/(COUNTIF($J1928:$Q1928,"x")+1),-$E1928*N(P1928)))</f>
        <v/>
      </c>
      <c r="AE1928" s="34">
        <f>IF(OR($A1928="",$H1928&lt;&gt;"Ausgabe",Q1928=""),0,IF(Q1928="x",-$E1928/(COUNTIF($J1928:$Q1928,"x")+1),-$E1928*N(Q1928)))</f>
        <v/>
      </c>
    </row>
    <row r="1929">
      <c r="A1929" s="30" t="n"/>
      <c r="E1929" s="31" t="n"/>
      <c r="J1929" s="32" t="n"/>
      <c r="K1929" s="32" t="n"/>
      <c r="L1929" s="32" t="n"/>
      <c r="M1929" s="32" t="n"/>
      <c r="N1929" s="32" t="n"/>
      <c r="O1929" s="32" t="n"/>
      <c r="P1929" s="32" t="n"/>
      <c r="Q1929" s="32" t="n"/>
      <c r="U1929" s="31">
        <f>IF($A1929="","",SUM(X1929:AE1929))</f>
        <v/>
      </c>
      <c r="V1929" s="31">
        <f>IF($A1929="","",IF($H1929&lt;&gt;"Ausgabe",0,-$E1929-$U1929))</f>
        <v/>
      </c>
      <c r="W1929" s="33">
        <f>IF($A1929="","",DATE(YEAR($A1929),MONTH($A1929),1))</f>
        <v/>
      </c>
      <c r="X1929" s="34">
        <f>IF(OR($A1929="",$H1929&lt;&gt;"Ausgabe",J1929=""),0,IF(J1929="x",-$E1929/(COUNTIF($J1929:$Q1929,"x")+1),-$E1929*N(J1929)))</f>
        <v/>
      </c>
      <c r="Y1929" s="34">
        <f>IF(OR($A1929="",$H1929&lt;&gt;"Ausgabe",K1929=""),0,IF(K1929="x",-$E1929/(COUNTIF($J1929:$Q1929,"x")+1),-$E1929*N(K1929)))</f>
        <v/>
      </c>
      <c r="Z1929" s="34">
        <f>IF(OR($A1929="",$H1929&lt;&gt;"Ausgabe",L1929=""),0,IF(L1929="x",-$E1929/(COUNTIF($J1929:$Q1929,"x")+1),-$E1929*N(L1929)))</f>
        <v/>
      </c>
      <c r="AA1929" s="34">
        <f>IF(OR($A1929="",$H1929&lt;&gt;"Ausgabe",M1929=""),0,IF(M1929="x",-$E1929/(COUNTIF($J1929:$Q1929,"x")+1),-$E1929*N(M1929)))</f>
        <v/>
      </c>
      <c r="AB1929" s="34">
        <f>IF(OR($A1929="",$H1929&lt;&gt;"Ausgabe",N1929=""),0,IF(N1929="x",-$E1929/(COUNTIF($J1929:$Q1929,"x")+1),-$E1929*N(N1929)))</f>
        <v/>
      </c>
      <c r="AC1929" s="34">
        <f>IF(OR($A1929="",$H1929&lt;&gt;"Ausgabe",O1929=""),0,IF(O1929="x",-$E1929/(COUNTIF($J1929:$Q1929,"x")+1),-$E1929*N(O1929)))</f>
        <v/>
      </c>
      <c r="AD1929" s="34">
        <f>IF(OR($A1929="",$H1929&lt;&gt;"Ausgabe",P1929=""),0,IF(P1929="x",-$E1929/(COUNTIF($J1929:$Q1929,"x")+1),-$E1929*N(P1929)))</f>
        <v/>
      </c>
      <c r="AE1929" s="34">
        <f>IF(OR($A1929="",$H1929&lt;&gt;"Ausgabe",Q1929=""),0,IF(Q1929="x",-$E1929/(COUNTIF($J1929:$Q1929,"x")+1),-$E1929*N(Q1929)))</f>
        <v/>
      </c>
    </row>
    <row r="1930">
      <c r="A1930" s="30" t="n"/>
      <c r="E1930" s="31" t="n"/>
      <c r="J1930" s="32" t="n"/>
      <c r="K1930" s="32" t="n"/>
      <c r="L1930" s="32" t="n"/>
      <c r="M1930" s="32" t="n"/>
      <c r="N1930" s="32" t="n"/>
      <c r="O1930" s="32" t="n"/>
      <c r="P1930" s="32" t="n"/>
      <c r="Q1930" s="32" t="n"/>
      <c r="U1930" s="31">
        <f>IF($A1930="","",SUM(X1930:AE1930))</f>
        <v/>
      </c>
      <c r="V1930" s="31">
        <f>IF($A1930="","",IF($H1930&lt;&gt;"Ausgabe",0,-$E1930-$U1930))</f>
        <v/>
      </c>
      <c r="W1930" s="33">
        <f>IF($A1930="","",DATE(YEAR($A1930),MONTH($A1930),1))</f>
        <v/>
      </c>
      <c r="X1930" s="34">
        <f>IF(OR($A1930="",$H1930&lt;&gt;"Ausgabe",J1930=""),0,IF(J1930="x",-$E1930/(COUNTIF($J1930:$Q1930,"x")+1),-$E1930*N(J1930)))</f>
        <v/>
      </c>
      <c r="Y1930" s="34">
        <f>IF(OR($A1930="",$H1930&lt;&gt;"Ausgabe",K1930=""),0,IF(K1930="x",-$E1930/(COUNTIF($J1930:$Q1930,"x")+1),-$E1930*N(K1930)))</f>
        <v/>
      </c>
      <c r="Z1930" s="34">
        <f>IF(OR($A1930="",$H1930&lt;&gt;"Ausgabe",L1930=""),0,IF(L1930="x",-$E1930/(COUNTIF($J1930:$Q1930,"x")+1),-$E1930*N(L1930)))</f>
        <v/>
      </c>
      <c r="AA1930" s="34">
        <f>IF(OR($A1930="",$H1930&lt;&gt;"Ausgabe",M1930=""),0,IF(M1930="x",-$E1930/(COUNTIF($J1930:$Q1930,"x")+1),-$E1930*N(M1930)))</f>
        <v/>
      </c>
      <c r="AB1930" s="34">
        <f>IF(OR($A1930="",$H1930&lt;&gt;"Ausgabe",N1930=""),0,IF(N1930="x",-$E1930/(COUNTIF($J1930:$Q1930,"x")+1),-$E1930*N(N1930)))</f>
        <v/>
      </c>
      <c r="AC1930" s="34">
        <f>IF(OR($A1930="",$H1930&lt;&gt;"Ausgabe",O1930=""),0,IF(O1930="x",-$E1930/(COUNTIF($J1930:$Q1930,"x")+1),-$E1930*N(O1930)))</f>
        <v/>
      </c>
      <c r="AD1930" s="34">
        <f>IF(OR($A1930="",$H1930&lt;&gt;"Ausgabe",P1930=""),0,IF(P1930="x",-$E1930/(COUNTIF($J1930:$Q1930,"x")+1),-$E1930*N(P1930)))</f>
        <v/>
      </c>
      <c r="AE1930" s="34">
        <f>IF(OR($A1930="",$H1930&lt;&gt;"Ausgabe",Q1930=""),0,IF(Q1930="x",-$E1930/(COUNTIF($J1930:$Q1930,"x")+1),-$E1930*N(Q1930)))</f>
        <v/>
      </c>
    </row>
    <row r="1931">
      <c r="A1931" s="30" t="n"/>
      <c r="E1931" s="31" t="n"/>
      <c r="J1931" s="32" t="n"/>
      <c r="K1931" s="32" t="n"/>
      <c r="L1931" s="32" t="n"/>
      <c r="M1931" s="32" t="n"/>
      <c r="N1931" s="32" t="n"/>
      <c r="O1931" s="32" t="n"/>
      <c r="P1931" s="32" t="n"/>
      <c r="Q1931" s="32" t="n"/>
      <c r="U1931" s="31">
        <f>IF($A1931="","",SUM(X1931:AE1931))</f>
        <v/>
      </c>
      <c r="V1931" s="31">
        <f>IF($A1931="","",IF($H1931&lt;&gt;"Ausgabe",0,-$E1931-$U1931))</f>
        <v/>
      </c>
      <c r="W1931" s="33">
        <f>IF($A1931="","",DATE(YEAR($A1931),MONTH($A1931),1))</f>
        <v/>
      </c>
      <c r="X1931" s="34">
        <f>IF(OR($A1931="",$H1931&lt;&gt;"Ausgabe",J1931=""),0,IF(J1931="x",-$E1931/(COUNTIF($J1931:$Q1931,"x")+1),-$E1931*N(J1931)))</f>
        <v/>
      </c>
      <c r="Y1931" s="34">
        <f>IF(OR($A1931="",$H1931&lt;&gt;"Ausgabe",K1931=""),0,IF(K1931="x",-$E1931/(COUNTIF($J1931:$Q1931,"x")+1),-$E1931*N(K1931)))</f>
        <v/>
      </c>
      <c r="Z1931" s="34">
        <f>IF(OR($A1931="",$H1931&lt;&gt;"Ausgabe",L1931=""),0,IF(L1931="x",-$E1931/(COUNTIF($J1931:$Q1931,"x")+1),-$E1931*N(L1931)))</f>
        <v/>
      </c>
      <c r="AA1931" s="34">
        <f>IF(OR($A1931="",$H1931&lt;&gt;"Ausgabe",M1931=""),0,IF(M1931="x",-$E1931/(COUNTIF($J1931:$Q1931,"x")+1),-$E1931*N(M1931)))</f>
        <v/>
      </c>
      <c r="AB1931" s="34">
        <f>IF(OR($A1931="",$H1931&lt;&gt;"Ausgabe",N1931=""),0,IF(N1931="x",-$E1931/(COUNTIF($J1931:$Q1931,"x")+1),-$E1931*N(N1931)))</f>
        <v/>
      </c>
      <c r="AC1931" s="34">
        <f>IF(OR($A1931="",$H1931&lt;&gt;"Ausgabe",O1931=""),0,IF(O1931="x",-$E1931/(COUNTIF($J1931:$Q1931,"x")+1),-$E1931*N(O1931)))</f>
        <v/>
      </c>
      <c r="AD1931" s="34">
        <f>IF(OR($A1931="",$H1931&lt;&gt;"Ausgabe",P1931=""),0,IF(P1931="x",-$E1931/(COUNTIF($J1931:$Q1931,"x")+1),-$E1931*N(P1931)))</f>
        <v/>
      </c>
      <c r="AE1931" s="34">
        <f>IF(OR($A1931="",$H1931&lt;&gt;"Ausgabe",Q1931=""),0,IF(Q1931="x",-$E1931/(COUNTIF($J1931:$Q1931,"x")+1),-$E1931*N(Q1931)))</f>
        <v/>
      </c>
    </row>
    <row r="1932">
      <c r="A1932" s="30" t="n"/>
      <c r="E1932" s="31" t="n"/>
      <c r="J1932" s="32" t="n"/>
      <c r="K1932" s="32" t="n"/>
      <c r="L1932" s="32" t="n"/>
      <c r="M1932" s="32" t="n"/>
      <c r="N1932" s="32" t="n"/>
      <c r="O1932" s="32" t="n"/>
      <c r="P1932" s="32" t="n"/>
      <c r="Q1932" s="32" t="n"/>
      <c r="U1932" s="31">
        <f>IF($A1932="","",SUM(X1932:AE1932))</f>
        <v/>
      </c>
      <c r="V1932" s="31">
        <f>IF($A1932="","",IF($H1932&lt;&gt;"Ausgabe",0,-$E1932-$U1932))</f>
        <v/>
      </c>
      <c r="W1932" s="33">
        <f>IF($A1932="","",DATE(YEAR($A1932),MONTH($A1932),1))</f>
        <v/>
      </c>
      <c r="X1932" s="34">
        <f>IF(OR($A1932="",$H1932&lt;&gt;"Ausgabe",J1932=""),0,IF(J1932="x",-$E1932/(COUNTIF($J1932:$Q1932,"x")+1),-$E1932*N(J1932)))</f>
        <v/>
      </c>
      <c r="Y1932" s="34">
        <f>IF(OR($A1932="",$H1932&lt;&gt;"Ausgabe",K1932=""),0,IF(K1932="x",-$E1932/(COUNTIF($J1932:$Q1932,"x")+1),-$E1932*N(K1932)))</f>
        <v/>
      </c>
      <c r="Z1932" s="34">
        <f>IF(OR($A1932="",$H1932&lt;&gt;"Ausgabe",L1932=""),0,IF(L1932="x",-$E1932/(COUNTIF($J1932:$Q1932,"x")+1),-$E1932*N(L1932)))</f>
        <v/>
      </c>
      <c r="AA1932" s="34">
        <f>IF(OR($A1932="",$H1932&lt;&gt;"Ausgabe",M1932=""),0,IF(M1932="x",-$E1932/(COUNTIF($J1932:$Q1932,"x")+1),-$E1932*N(M1932)))</f>
        <v/>
      </c>
      <c r="AB1932" s="34">
        <f>IF(OR($A1932="",$H1932&lt;&gt;"Ausgabe",N1932=""),0,IF(N1932="x",-$E1932/(COUNTIF($J1932:$Q1932,"x")+1),-$E1932*N(N1932)))</f>
        <v/>
      </c>
      <c r="AC1932" s="34">
        <f>IF(OR($A1932="",$H1932&lt;&gt;"Ausgabe",O1932=""),0,IF(O1932="x",-$E1932/(COUNTIF($J1932:$Q1932,"x")+1),-$E1932*N(O1932)))</f>
        <v/>
      </c>
      <c r="AD1932" s="34">
        <f>IF(OR($A1932="",$H1932&lt;&gt;"Ausgabe",P1932=""),0,IF(P1932="x",-$E1932/(COUNTIF($J1932:$Q1932,"x")+1),-$E1932*N(P1932)))</f>
        <v/>
      </c>
      <c r="AE1932" s="34">
        <f>IF(OR($A1932="",$H1932&lt;&gt;"Ausgabe",Q1932=""),0,IF(Q1932="x",-$E1932/(COUNTIF($J1932:$Q1932,"x")+1),-$E1932*N(Q1932)))</f>
        <v/>
      </c>
    </row>
    <row r="1933">
      <c r="A1933" s="30" t="n"/>
      <c r="E1933" s="31" t="n"/>
      <c r="J1933" s="32" t="n"/>
      <c r="K1933" s="32" t="n"/>
      <c r="L1933" s="32" t="n"/>
      <c r="M1933" s="32" t="n"/>
      <c r="N1933" s="32" t="n"/>
      <c r="O1933" s="32" t="n"/>
      <c r="P1933" s="32" t="n"/>
      <c r="Q1933" s="32" t="n"/>
      <c r="U1933" s="31">
        <f>IF($A1933="","",SUM(X1933:AE1933))</f>
        <v/>
      </c>
      <c r="V1933" s="31">
        <f>IF($A1933="","",IF($H1933&lt;&gt;"Ausgabe",0,-$E1933-$U1933))</f>
        <v/>
      </c>
      <c r="W1933" s="33">
        <f>IF($A1933="","",DATE(YEAR($A1933),MONTH($A1933),1))</f>
        <v/>
      </c>
      <c r="X1933" s="34">
        <f>IF(OR($A1933="",$H1933&lt;&gt;"Ausgabe",J1933=""),0,IF(J1933="x",-$E1933/(COUNTIF($J1933:$Q1933,"x")+1),-$E1933*N(J1933)))</f>
        <v/>
      </c>
      <c r="Y1933" s="34">
        <f>IF(OR($A1933="",$H1933&lt;&gt;"Ausgabe",K1933=""),0,IF(K1933="x",-$E1933/(COUNTIF($J1933:$Q1933,"x")+1),-$E1933*N(K1933)))</f>
        <v/>
      </c>
      <c r="Z1933" s="34">
        <f>IF(OR($A1933="",$H1933&lt;&gt;"Ausgabe",L1933=""),0,IF(L1933="x",-$E1933/(COUNTIF($J1933:$Q1933,"x")+1),-$E1933*N(L1933)))</f>
        <v/>
      </c>
      <c r="AA1933" s="34">
        <f>IF(OR($A1933="",$H1933&lt;&gt;"Ausgabe",M1933=""),0,IF(M1933="x",-$E1933/(COUNTIF($J1933:$Q1933,"x")+1),-$E1933*N(M1933)))</f>
        <v/>
      </c>
      <c r="AB1933" s="34">
        <f>IF(OR($A1933="",$H1933&lt;&gt;"Ausgabe",N1933=""),0,IF(N1933="x",-$E1933/(COUNTIF($J1933:$Q1933,"x")+1),-$E1933*N(N1933)))</f>
        <v/>
      </c>
      <c r="AC1933" s="34">
        <f>IF(OR($A1933="",$H1933&lt;&gt;"Ausgabe",O1933=""),0,IF(O1933="x",-$E1933/(COUNTIF($J1933:$Q1933,"x")+1),-$E1933*N(O1933)))</f>
        <v/>
      </c>
      <c r="AD1933" s="34">
        <f>IF(OR($A1933="",$H1933&lt;&gt;"Ausgabe",P1933=""),0,IF(P1933="x",-$E1933/(COUNTIF($J1933:$Q1933,"x")+1),-$E1933*N(P1933)))</f>
        <v/>
      </c>
      <c r="AE1933" s="34">
        <f>IF(OR($A1933="",$H1933&lt;&gt;"Ausgabe",Q1933=""),0,IF(Q1933="x",-$E1933/(COUNTIF($J1933:$Q1933,"x")+1),-$E1933*N(Q1933)))</f>
        <v/>
      </c>
    </row>
    <row r="1934">
      <c r="A1934" s="30" t="n"/>
      <c r="E1934" s="31" t="n"/>
      <c r="J1934" s="32" t="n"/>
      <c r="K1934" s="32" t="n"/>
      <c r="L1934" s="32" t="n"/>
      <c r="M1934" s="32" t="n"/>
      <c r="N1934" s="32" t="n"/>
      <c r="O1934" s="32" t="n"/>
      <c r="P1934" s="32" t="n"/>
      <c r="Q1934" s="32" t="n"/>
      <c r="U1934" s="31">
        <f>IF($A1934="","",SUM(X1934:AE1934))</f>
        <v/>
      </c>
      <c r="V1934" s="31">
        <f>IF($A1934="","",IF($H1934&lt;&gt;"Ausgabe",0,-$E1934-$U1934))</f>
        <v/>
      </c>
      <c r="W1934" s="33">
        <f>IF($A1934="","",DATE(YEAR($A1934),MONTH($A1934),1))</f>
        <v/>
      </c>
      <c r="X1934" s="34">
        <f>IF(OR($A1934="",$H1934&lt;&gt;"Ausgabe",J1934=""),0,IF(J1934="x",-$E1934/(COUNTIF($J1934:$Q1934,"x")+1),-$E1934*N(J1934)))</f>
        <v/>
      </c>
      <c r="Y1934" s="34">
        <f>IF(OR($A1934="",$H1934&lt;&gt;"Ausgabe",K1934=""),0,IF(K1934="x",-$E1934/(COUNTIF($J1934:$Q1934,"x")+1),-$E1934*N(K1934)))</f>
        <v/>
      </c>
      <c r="Z1934" s="34">
        <f>IF(OR($A1934="",$H1934&lt;&gt;"Ausgabe",L1934=""),0,IF(L1934="x",-$E1934/(COUNTIF($J1934:$Q1934,"x")+1),-$E1934*N(L1934)))</f>
        <v/>
      </c>
      <c r="AA1934" s="34">
        <f>IF(OR($A1934="",$H1934&lt;&gt;"Ausgabe",M1934=""),0,IF(M1934="x",-$E1934/(COUNTIF($J1934:$Q1934,"x")+1),-$E1934*N(M1934)))</f>
        <v/>
      </c>
      <c r="AB1934" s="34">
        <f>IF(OR($A1934="",$H1934&lt;&gt;"Ausgabe",N1934=""),0,IF(N1934="x",-$E1934/(COUNTIF($J1934:$Q1934,"x")+1),-$E1934*N(N1934)))</f>
        <v/>
      </c>
      <c r="AC1934" s="34">
        <f>IF(OR($A1934="",$H1934&lt;&gt;"Ausgabe",O1934=""),0,IF(O1934="x",-$E1934/(COUNTIF($J1934:$Q1934,"x")+1),-$E1934*N(O1934)))</f>
        <v/>
      </c>
      <c r="AD1934" s="34">
        <f>IF(OR($A1934="",$H1934&lt;&gt;"Ausgabe",P1934=""),0,IF(P1934="x",-$E1934/(COUNTIF($J1934:$Q1934,"x")+1),-$E1934*N(P1934)))</f>
        <v/>
      </c>
      <c r="AE1934" s="34">
        <f>IF(OR($A1934="",$H1934&lt;&gt;"Ausgabe",Q1934=""),0,IF(Q1934="x",-$E1934/(COUNTIF($J1934:$Q1934,"x")+1),-$E1934*N(Q1934)))</f>
        <v/>
      </c>
    </row>
    <row r="1935">
      <c r="A1935" s="30" t="n"/>
      <c r="E1935" s="31" t="n"/>
      <c r="J1935" s="32" t="n"/>
      <c r="K1935" s="32" t="n"/>
      <c r="L1935" s="32" t="n"/>
      <c r="M1935" s="32" t="n"/>
      <c r="N1935" s="32" t="n"/>
      <c r="O1935" s="32" t="n"/>
      <c r="P1935" s="32" t="n"/>
      <c r="Q1935" s="32" t="n"/>
      <c r="U1935" s="31">
        <f>IF($A1935="","",SUM(X1935:AE1935))</f>
        <v/>
      </c>
      <c r="V1935" s="31">
        <f>IF($A1935="","",IF($H1935&lt;&gt;"Ausgabe",0,-$E1935-$U1935))</f>
        <v/>
      </c>
      <c r="W1935" s="33">
        <f>IF($A1935="","",DATE(YEAR($A1935),MONTH($A1935),1))</f>
        <v/>
      </c>
      <c r="X1935" s="34">
        <f>IF(OR($A1935="",$H1935&lt;&gt;"Ausgabe",J1935=""),0,IF(J1935="x",-$E1935/(COUNTIF($J1935:$Q1935,"x")+1),-$E1935*N(J1935)))</f>
        <v/>
      </c>
      <c r="Y1935" s="34">
        <f>IF(OR($A1935="",$H1935&lt;&gt;"Ausgabe",K1935=""),0,IF(K1935="x",-$E1935/(COUNTIF($J1935:$Q1935,"x")+1),-$E1935*N(K1935)))</f>
        <v/>
      </c>
      <c r="Z1935" s="34">
        <f>IF(OR($A1935="",$H1935&lt;&gt;"Ausgabe",L1935=""),0,IF(L1935="x",-$E1935/(COUNTIF($J1935:$Q1935,"x")+1),-$E1935*N(L1935)))</f>
        <v/>
      </c>
      <c r="AA1935" s="34">
        <f>IF(OR($A1935="",$H1935&lt;&gt;"Ausgabe",M1935=""),0,IF(M1935="x",-$E1935/(COUNTIF($J1935:$Q1935,"x")+1),-$E1935*N(M1935)))</f>
        <v/>
      </c>
      <c r="AB1935" s="34">
        <f>IF(OR($A1935="",$H1935&lt;&gt;"Ausgabe",N1935=""),0,IF(N1935="x",-$E1935/(COUNTIF($J1935:$Q1935,"x")+1),-$E1935*N(N1935)))</f>
        <v/>
      </c>
      <c r="AC1935" s="34">
        <f>IF(OR($A1935="",$H1935&lt;&gt;"Ausgabe",O1935=""),0,IF(O1935="x",-$E1935/(COUNTIF($J1935:$Q1935,"x")+1),-$E1935*N(O1935)))</f>
        <v/>
      </c>
      <c r="AD1935" s="34">
        <f>IF(OR($A1935="",$H1935&lt;&gt;"Ausgabe",P1935=""),0,IF(P1935="x",-$E1935/(COUNTIF($J1935:$Q1935,"x")+1),-$E1935*N(P1935)))</f>
        <v/>
      </c>
      <c r="AE1935" s="34">
        <f>IF(OR($A1935="",$H1935&lt;&gt;"Ausgabe",Q1935=""),0,IF(Q1935="x",-$E1935/(COUNTIF($J1935:$Q1935,"x")+1),-$E1935*N(Q1935)))</f>
        <v/>
      </c>
    </row>
    <row r="1936">
      <c r="A1936" s="30" t="n"/>
      <c r="E1936" s="31" t="n"/>
      <c r="J1936" s="32" t="n"/>
      <c r="K1936" s="32" t="n"/>
      <c r="L1936" s="32" t="n"/>
      <c r="M1936" s="32" t="n"/>
      <c r="N1936" s="32" t="n"/>
      <c r="O1936" s="32" t="n"/>
      <c r="P1936" s="32" t="n"/>
      <c r="Q1936" s="32" t="n"/>
      <c r="U1936" s="31">
        <f>IF($A1936="","",SUM(X1936:AE1936))</f>
        <v/>
      </c>
      <c r="V1936" s="31">
        <f>IF($A1936="","",IF($H1936&lt;&gt;"Ausgabe",0,-$E1936-$U1936))</f>
        <v/>
      </c>
      <c r="W1936" s="33">
        <f>IF($A1936="","",DATE(YEAR($A1936),MONTH($A1936),1))</f>
        <v/>
      </c>
      <c r="X1936" s="34">
        <f>IF(OR($A1936="",$H1936&lt;&gt;"Ausgabe",J1936=""),0,IF(J1936="x",-$E1936/(COUNTIF($J1936:$Q1936,"x")+1),-$E1936*N(J1936)))</f>
        <v/>
      </c>
      <c r="Y1936" s="34">
        <f>IF(OR($A1936="",$H1936&lt;&gt;"Ausgabe",K1936=""),0,IF(K1936="x",-$E1936/(COUNTIF($J1936:$Q1936,"x")+1),-$E1936*N(K1936)))</f>
        <v/>
      </c>
      <c r="Z1936" s="34">
        <f>IF(OR($A1936="",$H1936&lt;&gt;"Ausgabe",L1936=""),0,IF(L1936="x",-$E1936/(COUNTIF($J1936:$Q1936,"x")+1),-$E1936*N(L1936)))</f>
        <v/>
      </c>
      <c r="AA1936" s="34">
        <f>IF(OR($A1936="",$H1936&lt;&gt;"Ausgabe",M1936=""),0,IF(M1936="x",-$E1936/(COUNTIF($J1936:$Q1936,"x")+1),-$E1936*N(M1936)))</f>
        <v/>
      </c>
      <c r="AB1936" s="34">
        <f>IF(OR($A1936="",$H1936&lt;&gt;"Ausgabe",N1936=""),0,IF(N1936="x",-$E1936/(COUNTIF($J1936:$Q1936,"x")+1),-$E1936*N(N1936)))</f>
        <v/>
      </c>
      <c r="AC1936" s="34">
        <f>IF(OR($A1936="",$H1936&lt;&gt;"Ausgabe",O1936=""),0,IF(O1936="x",-$E1936/(COUNTIF($J1936:$Q1936,"x")+1),-$E1936*N(O1936)))</f>
        <v/>
      </c>
      <c r="AD1936" s="34">
        <f>IF(OR($A1936="",$H1936&lt;&gt;"Ausgabe",P1936=""),0,IF(P1936="x",-$E1936/(COUNTIF($J1936:$Q1936,"x")+1),-$E1936*N(P1936)))</f>
        <v/>
      </c>
      <c r="AE1936" s="34">
        <f>IF(OR($A1936="",$H1936&lt;&gt;"Ausgabe",Q1936=""),0,IF(Q1936="x",-$E1936/(COUNTIF($J1936:$Q1936,"x")+1),-$E1936*N(Q1936)))</f>
        <v/>
      </c>
    </row>
    <row r="1937">
      <c r="A1937" s="30" t="n"/>
      <c r="E1937" s="31" t="n"/>
      <c r="J1937" s="32" t="n"/>
      <c r="K1937" s="32" t="n"/>
      <c r="L1937" s="32" t="n"/>
      <c r="M1937" s="32" t="n"/>
      <c r="N1937" s="32" t="n"/>
      <c r="O1937" s="32" t="n"/>
      <c r="P1937" s="32" t="n"/>
      <c r="Q1937" s="32" t="n"/>
      <c r="U1937" s="31">
        <f>IF($A1937="","",SUM(X1937:AE1937))</f>
        <v/>
      </c>
      <c r="V1937" s="31">
        <f>IF($A1937="","",IF($H1937&lt;&gt;"Ausgabe",0,-$E1937-$U1937))</f>
        <v/>
      </c>
      <c r="W1937" s="33">
        <f>IF($A1937="","",DATE(YEAR($A1937),MONTH($A1937),1))</f>
        <v/>
      </c>
      <c r="X1937" s="34">
        <f>IF(OR($A1937="",$H1937&lt;&gt;"Ausgabe",J1937=""),0,IF(J1937="x",-$E1937/(COUNTIF($J1937:$Q1937,"x")+1),-$E1937*N(J1937)))</f>
        <v/>
      </c>
      <c r="Y1937" s="34">
        <f>IF(OR($A1937="",$H1937&lt;&gt;"Ausgabe",K1937=""),0,IF(K1937="x",-$E1937/(COUNTIF($J1937:$Q1937,"x")+1),-$E1937*N(K1937)))</f>
        <v/>
      </c>
      <c r="Z1937" s="34">
        <f>IF(OR($A1937="",$H1937&lt;&gt;"Ausgabe",L1937=""),0,IF(L1937="x",-$E1937/(COUNTIF($J1937:$Q1937,"x")+1),-$E1937*N(L1937)))</f>
        <v/>
      </c>
      <c r="AA1937" s="34">
        <f>IF(OR($A1937="",$H1937&lt;&gt;"Ausgabe",M1937=""),0,IF(M1937="x",-$E1937/(COUNTIF($J1937:$Q1937,"x")+1),-$E1937*N(M1937)))</f>
        <v/>
      </c>
      <c r="AB1937" s="34">
        <f>IF(OR($A1937="",$H1937&lt;&gt;"Ausgabe",N1937=""),0,IF(N1937="x",-$E1937/(COUNTIF($J1937:$Q1937,"x")+1),-$E1937*N(N1937)))</f>
        <v/>
      </c>
      <c r="AC1937" s="34">
        <f>IF(OR($A1937="",$H1937&lt;&gt;"Ausgabe",O1937=""),0,IF(O1937="x",-$E1937/(COUNTIF($J1937:$Q1937,"x")+1),-$E1937*N(O1937)))</f>
        <v/>
      </c>
      <c r="AD1937" s="34">
        <f>IF(OR($A1937="",$H1937&lt;&gt;"Ausgabe",P1937=""),0,IF(P1937="x",-$E1937/(COUNTIF($J1937:$Q1937,"x")+1),-$E1937*N(P1937)))</f>
        <v/>
      </c>
      <c r="AE1937" s="34">
        <f>IF(OR($A1937="",$H1937&lt;&gt;"Ausgabe",Q1937=""),0,IF(Q1937="x",-$E1937/(COUNTIF($J1937:$Q1937,"x")+1),-$E1937*N(Q1937)))</f>
        <v/>
      </c>
    </row>
    <row r="1938">
      <c r="A1938" s="30" t="n"/>
      <c r="E1938" s="31" t="n"/>
      <c r="J1938" s="32" t="n"/>
      <c r="K1938" s="32" t="n"/>
      <c r="L1938" s="32" t="n"/>
      <c r="M1938" s="32" t="n"/>
      <c r="N1938" s="32" t="n"/>
      <c r="O1938" s="32" t="n"/>
      <c r="P1938" s="32" t="n"/>
      <c r="Q1938" s="32" t="n"/>
      <c r="U1938" s="31">
        <f>IF($A1938="","",SUM(X1938:AE1938))</f>
        <v/>
      </c>
      <c r="V1938" s="31">
        <f>IF($A1938="","",IF($H1938&lt;&gt;"Ausgabe",0,-$E1938-$U1938))</f>
        <v/>
      </c>
      <c r="W1938" s="33">
        <f>IF($A1938="","",DATE(YEAR($A1938),MONTH($A1938),1))</f>
        <v/>
      </c>
      <c r="X1938" s="34">
        <f>IF(OR($A1938="",$H1938&lt;&gt;"Ausgabe",J1938=""),0,IF(J1938="x",-$E1938/(COUNTIF($J1938:$Q1938,"x")+1),-$E1938*N(J1938)))</f>
        <v/>
      </c>
      <c r="Y1938" s="34">
        <f>IF(OR($A1938="",$H1938&lt;&gt;"Ausgabe",K1938=""),0,IF(K1938="x",-$E1938/(COUNTIF($J1938:$Q1938,"x")+1),-$E1938*N(K1938)))</f>
        <v/>
      </c>
      <c r="Z1938" s="34">
        <f>IF(OR($A1938="",$H1938&lt;&gt;"Ausgabe",L1938=""),0,IF(L1938="x",-$E1938/(COUNTIF($J1938:$Q1938,"x")+1),-$E1938*N(L1938)))</f>
        <v/>
      </c>
      <c r="AA1938" s="34">
        <f>IF(OR($A1938="",$H1938&lt;&gt;"Ausgabe",M1938=""),0,IF(M1938="x",-$E1938/(COUNTIF($J1938:$Q1938,"x")+1),-$E1938*N(M1938)))</f>
        <v/>
      </c>
      <c r="AB1938" s="34">
        <f>IF(OR($A1938="",$H1938&lt;&gt;"Ausgabe",N1938=""),0,IF(N1938="x",-$E1938/(COUNTIF($J1938:$Q1938,"x")+1),-$E1938*N(N1938)))</f>
        <v/>
      </c>
      <c r="AC1938" s="34">
        <f>IF(OR($A1938="",$H1938&lt;&gt;"Ausgabe",O1938=""),0,IF(O1938="x",-$E1938/(COUNTIF($J1938:$Q1938,"x")+1),-$E1938*N(O1938)))</f>
        <v/>
      </c>
      <c r="AD1938" s="34">
        <f>IF(OR($A1938="",$H1938&lt;&gt;"Ausgabe",P1938=""),0,IF(P1938="x",-$E1938/(COUNTIF($J1938:$Q1938,"x")+1),-$E1938*N(P1938)))</f>
        <v/>
      </c>
      <c r="AE1938" s="34">
        <f>IF(OR($A1938="",$H1938&lt;&gt;"Ausgabe",Q1938=""),0,IF(Q1938="x",-$E1938/(COUNTIF($J1938:$Q1938,"x")+1),-$E1938*N(Q1938)))</f>
        <v/>
      </c>
    </row>
    <row r="1939">
      <c r="A1939" s="30" t="n"/>
      <c r="E1939" s="31" t="n"/>
      <c r="J1939" s="32" t="n"/>
      <c r="K1939" s="32" t="n"/>
      <c r="L1939" s="32" t="n"/>
      <c r="M1939" s="32" t="n"/>
      <c r="N1939" s="32" t="n"/>
      <c r="O1939" s="32" t="n"/>
      <c r="P1939" s="32" t="n"/>
      <c r="Q1939" s="32" t="n"/>
      <c r="U1939" s="31">
        <f>IF($A1939="","",SUM(X1939:AE1939))</f>
        <v/>
      </c>
      <c r="V1939" s="31">
        <f>IF($A1939="","",IF($H1939&lt;&gt;"Ausgabe",0,-$E1939-$U1939))</f>
        <v/>
      </c>
      <c r="W1939" s="33">
        <f>IF($A1939="","",DATE(YEAR($A1939),MONTH($A1939),1))</f>
        <v/>
      </c>
      <c r="X1939" s="34">
        <f>IF(OR($A1939="",$H1939&lt;&gt;"Ausgabe",J1939=""),0,IF(J1939="x",-$E1939/(COUNTIF($J1939:$Q1939,"x")+1),-$E1939*N(J1939)))</f>
        <v/>
      </c>
      <c r="Y1939" s="34">
        <f>IF(OR($A1939="",$H1939&lt;&gt;"Ausgabe",K1939=""),0,IF(K1939="x",-$E1939/(COUNTIF($J1939:$Q1939,"x")+1),-$E1939*N(K1939)))</f>
        <v/>
      </c>
      <c r="Z1939" s="34">
        <f>IF(OR($A1939="",$H1939&lt;&gt;"Ausgabe",L1939=""),0,IF(L1939="x",-$E1939/(COUNTIF($J1939:$Q1939,"x")+1),-$E1939*N(L1939)))</f>
        <v/>
      </c>
      <c r="AA1939" s="34">
        <f>IF(OR($A1939="",$H1939&lt;&gt;"Ausgabe",M1939=""),0,IF(M1939="x",-$E1939/(COUNTIF($J1939:$Q1939,"x")+1),-$E1939*N(M1939)))</f>
        <v/>
      </c>
      <c r="AB1939" s="34">
        <f>IF(OR($A1939="",$H1939&lt;&gt;"Ausgabe",N1939=""),0,IF(N1939="x",-$E1939/(COUNTIF($J1939:$Q1939,"x")+1),-$E1939*N(N1939)))</f>
        <v/>
      </c>
      <c r="AC1939" s="34">
        <f>IF(OR($A1939="",$H1939&lt;&gt;"Ausgabe",O1939=""),0,IF(O1939="x",-$E1939/(COUNTIF($J1939:$Q1939,"x")+1),-$E1939*N(O1939)))</f>
        <v/>
      </c>
      <c r="AD1939" s="34">
        <f>IF(OR($A1939="",$H1939&lt;&gt;"Ausgabe",P1939=""),0,IF(P1939="x",-$E1939/(COUNTIF($J1939:$Q1939,"x")+1),-$E1939*N(P1939)))</f>
        <v/>
      </c>
      <c r="AE1939" s="34">
        <f>IF(OR($A1939="",$H1939&lt;&gt;"Ausgabe",Q1939=""),0,IF(Q1939="x",-$E1939/(COUNTIF($J1939:$Q1939,"x")+1),-$E1939*N(Q1939)))</f>
        <v/>
      </c>
    </row>
    <row r="1940">
      <c r="A1940" s="30" t="n"/>
      <c r="E1940" s="31" t="n"/>
      <c r="J1940" s="32" t="n"/>
      <c r="K1940" s="32" t="n"/>
      <c r="L1940" s="32" t="n"/>
      <c r="M1940" s="32" t="n"/>
      <c r="N1940" s="32" t="n"/>
      <c r="O1940" s="32" t="n"/>
      <c r="P1940" s="32" t="n"/>
      <c r="Q1940" s="32" t="n"/>
      <c r="U1940" s="31">
        <f>IF($A1940="","",SUM(X1940:AE1940))</f>
        <v/>
      </c>
      <c r="V1940" s="31">
        <f>IF($A1940="","",IF($H1940&lt;&gt;"Ausgabe",0,-$E1940-$U1940))</f>
        <v/>
      </c>
      <c r="W1940" s="33">
        <f>IF($A1940="","",DATE(YEAR($A1940),MONTH($A1940),1))</f>
        <v/>
      </c>
      <c r="X1940" s="34">
        <f>IF(OR($A1940="",$H1940&lt;&gt;"Ausgabe",J1940=""),0,IF(J1940="x",-$E1940/(COUNTIF($J1940:$Q1940,"x")+1),-$E1940*N(J1940)))</f>
        <v/>
      </c>
      <c r="Y1940" s="34">
        <f>IF(OR($A1940="",$H1940&lt;&gt;"Ausgabe",K1940=""),0,IF(K1940="x",-$E1940/(COUNTIF($J1940:$Q1940,"x")+1),-$E1940*N(K1940)))</f>
        <v/>
      </c>
      <c r="Z1940" s="34">
        <f>IF(OR($A1940="",$H1940&lt;&gt;"Ausgabe",L1940=""),0,IF(L1940="x",-$E1940/(COUNTIF($J1940:$Q1940,"x")+1),-$E1940*N(L1940)))</f>
        <v/>
      </c>
      <c r="AA1940" s="34">
        <f>IF(OR($A1940="",$H1940&lt;&gt;"Ausgabe",M1940=""),0,IF(M1940="x",-$E1940/(COUNTIF($J1940:$Q1940,"x")+1),-$E1940*N(M1940)))</f>
        <v/>
      </c>
      <c r="AB1940" s="34">
        <f>IF(OR($A1940="",$H1940&lt;&gt;"Ausgabe",N1940=""),0,IF(N1940="x",-$E1940/(COUNTIF($J1940:$Q1940,"x")+1),-$E1940*N(N1940)))</f>
        <v/>
      </c>
      <c r="AC1940" s="34">
        <f>IF(OR($A1940="",$H1940&lt;&gt;"Ausgabe",O1940=""),0,IF(O1940="x",-$E1940/(COUNTIF($J1940:$Q1940,"x")+1),-$E1940*N(O1940)))</f>
        <v/>
      </c>
      <c r="AD1940" s="34">
        <f>IF(OR($A1940="",$H1940&lt;&gt;"Ausgabe",P1940=""),0,IF(P1940="x",-$E1940/(COUNTIF($J1940:$Q1940,"x")+1),-$E1940*N(P1940)))</f>
        <v/>
      </c>
      <c r="AE1940" s="34">
        <f>IF(OR($A1940="",$H1940&lt;&gt;"Ausgabe",Q1940=""),0,IF(Q1940="x",-$E1940/(COUNTIF($J1940:$Q1940,"x")+1),-$E1940*N(Q1940)))</f>
        <v/>
      </c>
    </row>
    <row r="1941">
      <c r="A1941" s="30" t="n"/>
      <c r="E1941" s="31" t="n"/>
      <c r="J1941" s="32" t="n"/>
      <c r="K1941" s="32" t="n"/>
      <c r="L1941" s="32" t="n"/>
      <c r="M1941" s="32" t="n"/>
      <c r="N1941" s="32" t="n"/>
      <c r="O1941" s="32" t="n"/>
      <c r="P1941" s="32" t="n"/>
      <c r="Q1941" s="32" t="n"/>
      <c r="U1941" s="31">
        <f>IF($A1941="","",SUM(X1941:AE1941))</f>
        <v/>
      </c>
      <c r="V1941" s="31">
        <f>IF($A1941="","",IF($H1941&lt;&gt;"Ausgabe",0,-$E1941-$U1941))</f>
        <v/>
      </c>
      <c r="W1941" s="33">
        <f>IF($A1941="","",DATE(YEAR($A1941),MONTH($A1941),1))</f>
        <v/>
      </c>
      <c r="X1941" s="34">
        <f>IF(OR($A1941="",$H1941&lt;&gt;"Ausgabe",J1941=""),0,IF(J1941="x",-$E1941/(COUNTIF($J1941:$Q1941,"x")+1),-$E1941*N(J1941)))</f>
        <v/>
      </c>
      <c r="Y1941" s="34">
        <f>IF(OR($A1941="",$H1941&lt;&gt;"Ausgabe",K1941=""),0,IF(K1941="x",-$E1941/(COUNTIF($J1941:$Q1941,"x")+1),-$E1941*N(K1941)))</f>
        <v/>
      </c>
      <c r="Z1941" s="34">
        <f>IF(OR($A1941="",$H1941&lt;&gt;"Ausgabe",L1941=""),0,IF(L1941="x",-$E1941/(COUNTIF($J1941:$Q1941,"x")+1),-$E1941*N(L1941)))</f>
        <v/>
      </c>
      <c r="AA1941" s="34">
        <f>IF(OR($A1941="",$H1941&lt;&gt;"Ausgabe",M1941=""),0,IF(M1941="x",-$E1941/(COUNTIF($J1941:$Q1941,"x")+1),-$E1941*N(M1941)))</f>
        <v/>
      </c>
      <c r="AB1941" s="34">
        <f>IF(OR($A1941="",$H1941&lt;&gt;"Ausgabe",N1941=""),0,IF(N1941="x",-$E1941/(COUNTIF($J1941:$Q1941,"x")+1),-$E1941*N(N1941)))</f>
        <v/>
      </c>
      <c r="AC1941" s="34">
        <f>IF(OR($A1941="",$H1941&lt;&gt;"Ausgabe",O1941=""),0,IF(O1941="x",-$E1941/(COUNTIF($J1941:$Q1941,"x")+1),-$E1941*N(O1941)))</f>
        <v/>
      </c>
      <c r="AD1941" s="34">
        <f>IF(OR($A1941="",$H1941&lt;&gt;"Ausgabe",P1941=""),0,IF(P1941="x",-$E1941/(COUNTIF($J1941:$Q1941,"x")+1),-$E1941*N(P1941)))</f>
        <v/>
      </c>
      <c r="AE1941" s="34">
        <f>IF(OR($A1941="",$H1941&lt;&gt;"Ausgabe",Q1941=""),0,IF(Q1941="x",-$E1941/(COUNTIF($J1941:$Q1941,"x")+1),-$E1941*N(Q1941)))</f>
        <v/>
      </c>
    </row>
    <row r="1942">
      <c r="A1942" s="30" t="n"/>
      <c r="E1942" s="31" t="n"/>
      <c r="J1942" s="32" t="n"/>
      <c r="K1942" s="32" t="n"/>
      <c r="L1942" s="32" t="n"/>
      <c r="M1942" s="32" t="n"/>
      <c r="N1942" s="32" t="n"/>
      <c r="O1942" s="32" t="n"/>
      <c r="P1942" s="32" t="n"/>
      <c r="Q1942" s="32" t="n"/>
      <c r="U1942" s="31">
        <f>IF($A1942="","",SUM(X1942:AE1942))</f>
        <v/>
      </c>
      <c r="V1942" s="31">
        <f>IF($A1942="","",IF($H1942&lt;&gt;"Ausgabe",0,-$E1942-$U1942))</f>
        <v/>
      </c>
      <c r="W1942" s="33">
        <f>IF($A1942="","",DATE(YEAR($A1942),MONTH($A1942),1))</f>
        <v/>
      </c>
      <c r="X1942" s="34">
        <f>IF(OR($A1942="",$H1942&lt;&gt;"Ausgabe",J1942=""),0,IF(J1942="x",-$E1942/(COUNTIF($J1942:$Q1942,"x")+1),-$E1942*N(J1942)))</f>
        <v/>
      </c>
      <c r="Y1942" s="34">
        <f>IF(OR($A1942="",$H1942&lt;&gt;"Ausgabe",K1942=""),0,IF(K1942="x",-$E1942/(COUNTIF($J1942:$Q1942,"x")+1),-$E1942*N(K1942)))</f>
        <v/>
      </c>
      <c r="Z1942" s="34">
        <f>IF(OR($A1942="",$H1942&lt;&gt;"Ausgabe",L1942=""),0,IF(L1942="x",-$E1942/(COUNTIF($J1942:$Q1942,"x")+1),-$E1942*N(L1942)))</f>
        <v/>
      </c>
      <c r="AA1942" s="34">
        <f>IF(OR($A1942="",$H1942&lt;&gt;"Ausgabe",M1942=""),0,IF(M1942="x",-$E1942/(COUNTIF($J1942:$Q1942,"x")+1),-$E1942*N(M1942)))</f>
        <v/>
      </c>
      <c r="AB1942" s="34">
        <f>IF(OR($A1942="",$H1942&lt;&gt;"Ausgabe",N1942=""),0,IF(N1942="x",-$E1942/(COUNTIF($J1942:$Q1942,"x")+1),-$E1942*N(N1942)))</f>
        <v/>
      </c>
      <c r="AC1942" s="34">
        <f>IF(OR($A1942="",$H1942&lt;&gt;"Ausgabe",O1942=""),0,IF(O1942="x",-$E1942/(COUNTIF($J1942:$Q1942,"x")+1),-$E1942*N(O1942)))</f>
        <v/>
      </c>
      <c r="AD1942" s="34">
        <f>IF(OR($A1942="",$H1942&lt;&gt;"Ausgabe",P1942=""),0,IF(P1942="x",-$E1942/(COUNTIF($J1942:$Q1942,"x")+1),-$E1942*N(P1942)))</f>
        <v/>
      </c>
      <c r="AE1942" s="34">
        <f>IF(OR($A1942="",$H1942&lt;&gt;"Ausgabe",Q1942=""),0,IF(Q1942="x",-$E1942/(COUNTIF($J1942:$Q1942,"x")+1),-$E1942*N(Q1942)))</f>
        <v/>
      </c>
    </row>
    <row r="1943">
      <c r="A1943" s="30" t="n"/>
      <c r="E1943" s="31" t="n"/>
      <c r="J1943" s="32" t="n"/>
      <c r="K1943" s="32" t="n"/>
      <c r="L1943" s="32" t="n"/>
      <c r="M1943" s="32" t="n"/>
      <c r="N1943" s="32" t="n"/>
      <c r="O1943" s="32" t="n"/>
      <c r="P1943" s="32" t="n"/>
      <c r="Q1943" s="32" t="n"/>
      <c r="U1943" s="31">
        <f>IF($A1943="","",SUM(X1943:AE1943))</f>
        <v/>
      </c>
      <c r="V1943" s="31">
        <f>IF($A1943="","",IF($H1943&lt;&gt;"Ausgabe",0,-$E1943-$U1943))</f>
        <v/>
      </c>
      <c r="W1943" s="33">
        <f>IF($A1943="","",DATE(YEAR($A1943),MONTH($A1943),1))</f>
        <v/>
      </c>
      <c r="X1943" s="34">
        <f>IF(OR($A1943="",$H1943&lt;&gt;"Ausgabe",J1943=""),0,IF(J1943="x",-$E1943/(COUNTIF($J1943:$Q1943,"x")+1),-$E1943*N(J1943)))</f>
        <v/>
      </c>
      <c r="Y1943" s="34">
        <f>IF(OR($A1943="",$H1943&lt;&gt;"Ausgabe",K1943=""),0,IF(K1943="x",-$E1943/(COUNTIF($J1943:$Q1943,"x")+1),-$E1943*N(K1943)))</f>
        <v/>
      </c>
      <c r="Z1943" s="34">
        <f>IF(OR($A1943="",$H1943&lt;&gt;"Ausgabe",L1943=""),0,IF(L1943="x",-$E1943/(COUNTIF($J1943:$Q1943,"x")+1),-$E1943*N(L1943)))</f>
        <v/>
      </c>
      <c r="AA1943" s="34">
        <f>IF(OR($A1943="",$H1943&lt;&gt;"Ausgabe",M1943=""),0,IF(M1943="x",-$E1943/(COUNTIF($J1943:$Q1943,"x")+1),-$E1943*N(M1943)))</f>
        <v/>
      </c>
      <c r="AB1943" s="34">
        <f>IF(OR($A1943="",$H1943&lt;&gt;"Ausgabe",N1943=""),0,IF(N1943="x",-$E1943/(COUNTIF($J1943:$Q1943,"x")+1),-$E1943*N(N1943)))</f>
        <v/>
      </c>
      <c r="AC1943" s="34">
        <f>IF(OR($A1943="",$H1943&lt;&gt;"Ausgabe",O1943=""),0,IF(O1943="x",-$E1943/(COUNTIF($J1943:$Q1943,"x")+1),-$E1943*N(O1943)))</f>
        <v/>
      </c>
      <c r="AD1943" s="34">
        <f>IF(OR($A1943="",$H1943&lt;&gt;"Ausgabe",P1943=""),0,IF(P1943="x",-$E1943/(COUNTIF($J1943:$Q1943,"x")+1),-$E1943*N(P1943)))</f>
        <v/>
      </c>
      <c r="AE1943" s="34">
        <f>IF(OR($A1943="",$H1943&lt;&gt;"Ausgabe",Q1943=""),0,IF(Q1943="x",-$E1943/(COUNTIF($J1943:$Q1943,"x")+1),-$E1943*N(Q1943)))</f>
        <v/>
      </c>
    </row>
    <row r="1944">
      <c r="A1944" s="30" t="n"/>
      <c r="E1944" s="31" t="n"/>
      <c r="J1944" s="32" t="n"/>
      <c r="K1944" s="32" t="n"/>
      <c r="L1944" s="32" t="n"/>
      <c r="M1944" s="32" t="n"/>
      <c r="N1944" s="32" t="n"/>
      <c r="O1944" s="32" t="n"/>
      <c r="P1944" s="32" t="n"/>
      <c r="Q1944" s="32" t="n"/>
      <c r="U1944" s="31">
        <f>IF($A1944="","",SUM(X1944:AE1944))</f>
        <v/>
      </c>
      <c r="V1944" s="31">
        <f>IF($A1944="","",IF($H1944&lt;&gt;"Ausgabe",0,-$E1944-$U1944))</f>
        <v/>
      </c>
      <c r="W1944" s="33">
        <f>IF($A1944="","",DATE(YEAR($A1944),MONTH($A1944),1))</f>
        <v/>
      </c>
      <c r="X1944" s="34">
        <f>IF(OR($A1944="",$H1944&lt;&gt;"Ausgabe",J1944=""),0,IF(J1944="x",-$E1944/(COUNTIF($J1944:$Q1944,"x")+1),-$E1944*N(J1944)))</f>
        <v/>
      </c>
      <c r="Y1944" s="34">
        <f>IF(OR($A1944="",$H1944&lt;&gt;"Ausgabe",K1944=""),0,IF(K1944="x",-$E1944/(COUNTIF($J1944:$Q1944,"x")+1),-$E1944*N(K1944)))</f>
        <v/>
      </c>
      <c r="Z1944" s="34">
        <f>IF(OR($A1944="",$H1944&lt;&gt;"Ausgabe",L1944=""),0,IF(L1944="x",-$E1944/(COUNTIF($J1944:$Q1944,"x")+1),-$E1944*N(L1944)))</f>
        <v/>
      </c>
      <c r="AA1944" s="34">
        <f>IF(OR($A1944="",$H1944&lt;&gt;"Ausgabe",M1944=""),0,IF(M1944="x",-$E1944/(COUNTIF($J1944:$Q1944,"x")+1),-$E1944*N(M1944)))</f>
        <v/>
      </c>
      <c r="AB1944" s="34">
        <f>IF(OR($A1944="",$H1944&lt;&gt;"Ausgabe",N1944=""),0,IF(N1944="x",-$E1944/(COUNTIF($J1944:$Q1944,"x")+1),-$E1944*N(N1944)))</f>
        <v/>
      </c>
      <c r="AC1944" s="34">
        <f>IF(OR($A1944="",$H1944&lt;&gt;"Ausgabe",O1944=""),0,IF(O1944="x",-$E1944/(COUNTIF($J1944:$Q1944,"x")+1),-$E1944*N(O1944)))</f>
        <v/>
      </c>
      <c r="AD1944" s="34">
        <f>IF(OR($A1944="",$H1944&lt;&gt;"Ausgabe",P1944=""),0,IF(P1944="x",-$E1944/(COUNTIF($J1944:$Q1944,"x")+1),-$E1944*N(P1944)))</f>
        <v/>
      </c>
      <c r="AE1944" s="34">
        <f>IF(OR($A1944="",$H1944&lt;&gt;"Ausgabe",Q1944=""),0,IF(Q1944="x",-$E1944/(COUNTIF($J1944:$Q1944,"x")+1),-$E1944*N(Q1944)))</f>
        <v/>
      </c>
    </row>
    <row r="1945">
      <c r="A1945" s="30" t="n"/>
      <c r="E1945" s="31" t="n"/>
      <c r="J1945" s="32" t="n"/>
      <c r="K1945" s="32" t="n"/>
      <c r="L1945" s="32" t="n"/>
      <c r="M1945" s="32" t="n"/>
      <c r="N1945" s="32" t="n"/>
      <c r="O1945" s="32" t="n"/>
      <c r="P1945" s="32" t="n"/>
      <c r="Q1945" s="32" t="n"/>
      <c r="U1945" s="31">
        <f>IF($A1945="","",SUM(X1945:AE1945))</f>
        <v/>
      </c>
      <c r="V1945" s="31">
        <f>IF($A1945="","",IF($H1945&lt;&gt;"Ausgabe",0,-$E1945-$U1945))</f>
        <v/>
      </c>
      <c r="W1945" s="33">
        <f>IF($A1945="","",DATE(YEAR($A1945),MONTH($A1945),1))</f>
        <v/>
      </c>
      <c r="X1945" s="34">
        <f>IF(OR($A1945="",$H1945&lt;&gt;"Ausgabe",J1945=""),0,IF(J1945="x",-$E1945/(COUNTIF($J1945:$Q1945,"x")+1),-$E1945*N(J1945)))</f>
        <v/>
      </c>
      <c r="Y1945" s="34">
        <f>IF(OR($A1945="",$H1945&lt;&gt;"Ausgabe",K1945=""),0,IF(K1945="x",-$E1945/(COUNTIF($J1945:$Q1945,"x")+1),-$E1945*N(K1945)))</f>
        <v/>
      </c>
      <c r="Z1945" s="34">
        <f>IF(OR($A1945="",$H1945&lt;&gt;"Ausgabe",L1945=""),0,IF(L1945="x",-$E1945/(COUNTIF($J1945:$Q1945,"x")+1),-$E1945*N(L1945)))</f>
        <v/>
      </c>
      <c r="AA1945" s="34">
        <f>IF(OR($A1945="",$H1945&lt;&gt;"Ausgabe",M1945=""),0,IF(M1945="x",-$E1945/(COUNTIF($J1945:$Q1945,"x")+1),-$E1945*N(M1945)))</f>
        <v/>
      </c>
      <c r="AB1945" s="34">
        <f>IF(OR($A1945="",$H1945&lt;&gt;"Ausgabe",N1945=""),0,IF(N1945="x",-$E1945/(COUNTIF($J1945:$Q1945,"x")+1),-$E1945*N(N1945)))</f>
        <v/>
      </c>
      <c r="AC1945" s="34">
        <f>IF(OR($A1945="",$H1945&lt;&gt;"Ausgabe",O1945=""),0,IF(O1945="x",-$E1945/(COUNTIF($J1945:$Q1945,"x")+1),-$E1945*N(O1945)))</f>
        <v/>
      </c>
      <c r="AD1945" s="34">
        <f>IF(OR($A1945="",$H1945&lt;&gt;"Ausgabe",P1945=""),0,IF(P1945="x",-$E1945/(COUNTIF($J1945:$Q1945,"x")+1),-$E1945*N(P1945)))</f>
        <v/>
      </c>
      <c r="AE1945" s="34">
        <f>IF(OR($A1945="",$H1945&lt;&gt;"Ausgabe",Q1945=""),0,IF(Q1945="x",-$E1945/(COUNTIF($J1945:$Q1945,"x")+1),-$E1945*N(Q1945)))</f>
        <v/>
      </c>
    </row>
    <row r="1946">
      <c r="A1946" s="30" t="n"/>
      <c r="E1946" s="31" t="n"/>
      <c r="J1946" s="32" t="n"/>
      <c r="K1946" s="32" t="n"/>
      <c r="L1946" s="32" t="n"/>
      <c r="M1946" s="32" t="n"/>
      <c r="N1946" s="32" t="n"/>
      <c r="O1946" s="32" t="n"/>
      <c r="P1946" s="32" t="n"/>
      <c r="Q1946" s="32" t="n"/>
      <c r="U1946" s="31">
        <f>IF($A1946="","",SUM(X1946:AE1946))</f>
        <v/>
      </c>
      <c r="V1946" s="31">
        <f>IF($A1946="","",IF($H1946&lt;&gt;"Ausgabe",0,-$E1946-$U1946))</f>
        <v/>
      </c>
      <c r="W1946" s="33">
        <f>IF($A1946="","",DATE(YEAR($A1946),MONTH($A1946),1))</f>
        <v/>
      </c>
      <c r="X1946" s="34">
        <f>IF(OR($A1946="",$H1946&lt;&gt;"Ausgabe",J1946=""),0,IF(J1946="x",-$E1946/(COUNTIF($J1946:$Q1946,"x")+1),-$E1946*N(J1946)))</f>
        <v/>
      </c>
      <c r="Y1946" s="34">
        <f>IF(OR($A1946="",$H1946&lt;&gt;"Ausgabe",K1946=""),0,IF(K1946="x",-$E1946/(COUNTIF($J1946:$Q1946,"x")+1),-$E1946*N(K1946)))</f>
        <v/>
      </c>
      <c r="Z1946" s="34">
        <f>IF(OR($A1946="",$H1946&lt;&gt;"Ausgabe",L1946=""),0,IF(L1946="x",-$E1946/(COUNTIF($J1946:$Q1946,"x")+1),-$E1946*N(L1946)))</f>
        <v/>
      </c>
      <c r="AA1946" s="34">
        <f>IF(OR($A1946="",$H1946&lt;&gt;"Ausgabe",M1946=""),0,IF(M1946="x",-$E1946/(COUNTIF($J1946:$Q1946,"x")+1),-$E1946*N(M1946)))</f>
        <v/>
      </c>
      <c r="AB1946" s="34">
        <f>IF(OR($A1946="",$H1946&lt;&gt;"Ausgabe",N1946=""),0,IF(N1946="x",-$E1946/(COUNTIF($J1946:$Q1946,"x")+1),-$E1946*N(N1946)))</f>
        <v/>
      </c>
      <c r="AC1946" s="34">
        <f>IF(OR($A1946="",$H1946&lt;&gt;"Ausgabe",O1946=""),0,IF(O1946="x",-$E1946/(COUNTIF($J1946:$Q1946,"x")+1),-$E1946*N(O1946)))</f>
        <v/>
      </c>
      <c r="AD1946" s="34">
        <f>IF(OR($A1946="",$H1946&lt;&gt;"Ausgabe",P1946=""),0,IF(P1946="x",-$E1946/(COUNTIF($J1946:$Q1946,"x")+1),-$E1946*N(P1946)))</f>
        <v/>
      </c>
      <c r="AE1946" s="34">
        <f>IF(OR($A1946="",$H1946&lt;&gt;"Ausgabe",Q1946=""),0,IF(Q1946="x",-$E1946/(COUNTIF($J1946:$Q1946,"x")+1),-$E1946*N(Q1946)))</f>
        <v/>
      </c>
    </row>
    <row r="1947">
      <c r="A1947" s="30" t="n"/>
      <c r="E1947" s="31" t="n"/>
      <c r="J1947" s="32" t="n"/>
      <c r="K1947" s="32" t="n"/>
      <c r="L1947" s="32" t="n"/>
      <c r="M1947" s="32" t="n"/>
      <c r="N1947" s="32" t="n"/>
      <c r="O1947" s="32" t="n"/>
      <c r="P1947" s="32" t="n"/>
      <c r="Q1947" s="32" t="n"/>
      <c r="U1947" s="31">
        <f>IF($A1947="","",SUM(X1947:AE1947))</f>
        <v/>
      </c>
      <c r="V1947" s="31">
        <f>IF($A1947="","",IF($H1947&lt;&gt;"Ausgabe",0,-$E1947-$U1947))</f>
        <v/>
      </c>
      <c r="W1947" s="33">
        <f>IF($A1947="","",DATE(YEAR($A1947),MONTH($A1947),1))</f>
        <v/>
      </c>
      <c r="X1947" s="34">
        <f>IF(OR($A1947="",$H1947&lt;&gt;"Ausgabe",J1947=""),0,IF(J1947="x",-$E1947/(COUNTIF($J1947:$Q1947,"x")+1),-$E1947*N(J1947)))</f>
        <v/>
      </c>
      <c r="Y1947" s="34">
        <f>IF(OR($A1947="",$H1947&lt;&gt;"Ausgabe",K1947=""),0,IF(K1947="x",-$E1947/(COUNTIF($J1947:$Q1947,"x")+1),-$E1947*N(K1947)))</f>
        <v/>
      </c>
      <c r="Z1947" s="34">
        <f>IF(OR($A1947="",$H1947&lt;&gt;"Ausgabe",L1947=""),0,IF(L1947="x",-$E1947/(COUNTIF($J1947:$Q1947,"x")+1),-$E1947*N(L1947)))</f>
        <v/>
      </c>
      <c r="AA1947" s="34">
        <f>IF(OR($A1947="",$H1947&lt;&gt;"Ausgabe",M1947=""),0,IF(M1947="x",-$E1947/(COUNTIF($J1947:$Q1947,"x")+1),-$E1947*N(M1947)))</f>
        <v/>
      </c>
      <c r="AB1947" s="34">
        <f>IF(OR($A1947="",$H1947&lt;&gt;"Ausgabe",N1947=""),0,IF(N1947="x",-$E1947/(COUNTIF($J1947:$Q1947,"x")+1),-$E1947*N(N1947)))</f>
        <v/>
      </c>
      <c r="AC1947" s="34">
        <f>IF(OR($A1947="",$H1947&lt;&gt;"Ausgabe",O1947=""),0,IF(O1947="x",-$E1947/(COUNTIF($J1947:$Q1947,"x")+1),-$E1947*N(O1947)))</f>
        <v/>
      </c>
      <c r="AD1947" s="34">
        <f>IF(OR($A1947="",$H1947&lt;&gt;"Ausgabe",P1947=""),0,IF(P1947="x",-$E1947/(COUNTIF($J1947:$Q1947,"x")+1),-$E1947*N(P1947)))</f>
        <v/>
      </c>
      <c r="AE1947" s="34">
        <f>IF(OR($A1947="",$H1947&lt;&gt;"Ausgabe",Q1947=""),0,IF(Q1947="x",-$E1947/(COUNTIF($J1947:$Q1947,"x")+1),-$E1947*N(Q1947)))</f>
        <v/>
      </c>
    </row>
    <row r="1948">
      <c r="A1948" s="30" t="n"/>
      <c r="E1948" s="31" t="n"/>
      <c r="J1948" s="32" t="n"/>
      <c r="K1948" s="32" t="n"/>
      <c r="L1948" s="32" t="n"/>
      <c r="M1948" s="32" t="n"/>
      <c r="N1948" s="32" t="n"/>
      <c r="O1948" s="32" t="n"/>
      <c r="P1948" s="32" t="n"/>
      <c r="Q1948" s="32" t="n"/>
      <c r="U1948" s="31">
        <f>IF($A1948="","",SUM(X1948:AE1948))</f>
        <v/>
      </c>
      <c r="V1948" s="31">
        <f>IF($A1948="","",IF($H1948&lt;&gt;"Ausgabe",0,-$E1948-$U1948))</f>
        <v/>
      </c>
      <c r="W1948" s="33">
        <f>IF($A1948="","",DATE(YEAR($A1948),MONTH($A1948),1))</f>
        <v/>
      </c>
      <c r="X1948" s="34">
        <f>IF(OR($A1948="",$H1948&lt;&gt;"Ausgabe",J1948=""),0,IF(J1948="x",-$E1948/(COUNTIF($J1948:$Q1948,"x")+1),-$E1948*N(J1948)))</f>
        <v/>
      </c>
      <c r="Y1948" s="34">
        <f>IF(OR($A1948="",$H1948&lt;&gt;"Ausgabe",K1948=""),0,IF(K1948="x",-$E1948/(COUNTIF($J1948:$Q1948,"x")+1),-$E1948*N(K1948)))</f>
        <v/>
      </c>
      <c r="Z1948" s="34">
        <f>IF(OR($A1948="",$H1948&lt;&gt;"Ausgabe",L1948=""),0,IF(L1948="x",-$E1948/(COUNTIF($J1948:$Q1948,"x")+1),-$E1948*N(L1948)))</f>
        <v/>
      </c>
      <c r="AA1948" s="34">
        <f>IF(OR($A1948="",$H1948&lt;&gt;"Ausgabe",M1948=""),0,IF(M1948="x",-$E1948/(COUNTIF($J1948:$Q1948,"x")+1),-$E1948*N(M1948)))</f>
        <v/>
      </c>
      <c r="AB1948" s="34">
        <f>IF(OR($A1948="",$H1948&lt;&gt;"Ausgabe",N1948=""),0,IF(N1948="x",-$E1948/(COUNTIF($J1948:$Q1948,"x")+1),-$E1948*N(N1948)))</f>
        <v/>
      </c>
      <c r="AC1948" s="34">
        <f>IF(OR($A1948="",$H1948&lt;&gt;"Ausgabe",O1948=""),0,IF(O1948="x",-$E1948/(COUNTIF($J1948:$Q1948,"x")+1),-$E1948*N(O1948)))</f>
        <v/>
      </c>
      <c r="AD1948" s="34">
        <f>IF(OR($A1948="",$H1948&lt;&gt;"Ausgabe",P1948=""),0,IF(P1948="x",-$E1948/(COUNTIF($J1948:$Q1948,"x")+1),-$E1948*N(P1948)))</f>
        <v/>
      </c>
      <c r="AE1948" s="34">
        <f>IF(OR($A1948="",$H1948&lt;&gt;"Ausgabe",Q1948=""),0,IF(Q1948="x",-$E1948/(COUNTIF($J1948:$Q1948,"x")+1),-$E1948*N(Q1948)))</f>
        <v/>
      </c>
    </row>
    <row r="1949">
      <c r="A1949" s="30" t="n"/>
      <c r="E1949" s="31" t="n"/>
      <c r="J1949" s="32" t="n"/>
      <c r="K1949" s="32" t="n"/>
      <c r="L1949" s="32" t="n"/>
      <c r="M1949" s="32" t="n"/>
      <c r="N1949" s="32" t="n"/>
      <c r="O1949" s="32" t="n"/>
      <c r="P1949" s="32" t="n"/>
      <c r="Q1949" s="32" t="n"/>
      <c r="U1949" s="31">
        <f>IF($A1949="","",SUM(X1949:AE1949))</f>
        <v/>
      </c>
      <c r="V1949" s="31">
        <f>IF($A1949="","",IF($H1949&lt;&gt;"Ausgabe",0,-$E1949-$U1949))</f>
        <v/>
      </c>
      <c r="W1949" s="33">
        <f>IF($A1949="","",DATE(YEAR($A1949),MONTH($A1949),1))</f>
        <v/>
      </c>
      <c r="X1949" s="34">
        <f>IF(OR($A1949="",$H1949&lt;&gt;"Ausgabe",J1949=""),0,IF(J1949="x",-$E1949/(COUNTIF($J1949:$Q1949,"x")+1),-$E1949*N(J1949)))</f>
        <v/>
      </c>
      <c r="Y1949" s="34">
        <f>IF(OR($A1949="",$H1949&lt;&gt;"Ausgabe",K1949=""),0,IF(K1949="x",-$E1949/(COUNTIF($J1949:$Q1949,"x")+1),-$E1949*N(K1949)))</f>
        <v/>
      </c>
      <c r="Z1949" s="34">
        <f>IF(OR($A1949="",$H1949&lt;&gt;"Ausgabe",L1949=""),0,IF(L1949="x",-$E1949/(COUNTIF($J1949:$Q1949,"x")+1),-$E1949*N(L1949)))</f>
        <v/>
      </c>
      <c r="AA1949" s="34">
        <f>IF(OR($A1949="",$H1949&lt;&gt;"Ausgabe",M1949=""),0,IF(M1949="x",-$E1949/(COUNTIF($J1949:$Q1949,"x")+1),-$E1949*N(M1949)))</f>
        <v/>
      </c>
      <c r="AB1949" s="34">
        <f>IF(OR($A1949="",$H1949&lt;&gt;"Ausgabe",N1949=""),0,IF(N1949="x",-$E1949/(COUNTIF($J1949:$Q1949,"x")+1),-$E1949*N(N1949)))</f>
        <v/>
      </c>
      <c r="AC1949" s="34">
        <f>IF(OR($A1949="",$H1949&lt;&gt;"Ausgabe",O1949=""),0,IF(O1949="x",-$E1949/(COUNTIF($J1949:$Q1949,"x")+1),-$E1949*N(O1949)))</f>
        <v/>
      </c>
      <c r="AD1949" s="34">
        <f>IF(OR($A1949="",$H1949&lt;&gt;"Ausgabe",P1949=""),0,IF(P1949="x",-$E1949/(COUNTIF($J1949:$Q1949,"x")+1),-$E1949*N(P1949)))</f>
        <v/>
      </c>
      <c r="AE1949" s="34">
        <f>IF(OR($A1949="",$H1949&lt;&gt;"Ausgabe",Q1949=""),0,IF(Q1949="x",-$E1949/(COUNTIF($J1949:$Q1949,"x")+1),-$E1949*N(Q1949)))</f>
        <v/>
      </c>
    </row>
    <row r="1950">
      <c r="A1950" s="30" t="n"/>
      <c r="E1950" s="31" t="n"/>
      <c r="J1950" s="32" t="n"/>
      <c r="K1950" s="32" t="n"/>
      <c r="L1950" s="32" t="n"/>
      <c r="M1950" s="32" t="n"/>
      <c r="N1950" s="32" t="n"/>
      <c r="O1950" s="32" t="n"/>
      <c r="P1950" s="32" t="n"/>
      <c r="Q1950" s="32" t="n"/>
      <c r="U1950" s="31">
        <f>IF($A1950="","",SUM(X1950:AE1950))</f>
        <v/>
      </c>
      <c r="V1950" s="31">
        <f>IF($A1950="","",IF($H1950&lt;&gt;"Ausgabe",0,-$E1950-$U1950))</f>
        <v/>
      </c>
      <c r="W1950" s="33">
        <f>IF($A1950="","",DATE(YEAR($A1950),MONTH($A1950),1))</f>
        <v/>
      </c>
      <c r="X1950" s="34">
        <f>IF(OR($A1950="",$H1950&lt;&gt;"Ausgabe",J1950=""),0,IF(J1950="x",-$E1950/(COUNTIF($J1950:$Q1950,"x")+1),-$E1950*N(J1950)))</f>
        <v/>
      </c>
      <c r="Y1950" s="34">
        <f>IF(OR($A1950="",$H1950&lt;&gt;"Ausgabe",K1950=""),0,IF(K1950="x",-$E1950/(COUNTIF($J1950:$Q1950,"x")+1),-$E1950*N(K1950)))</f>
        <v/>
      </c>
      <c r="Z1950" s="34">
        <f>IF(OR($A1950="",$H1950&lt;&gt;"Ausgabe",L1950=""),0,IF(L1950="x",-$E1950/(COUNTIF($J1950:$Q1950,"x")+1),-$E1950*N(L1950)))</f>
        <v/>
      </c>
      <c r="AA1950" s="34">
        <f>IF(OR($A1950="",$H1950&lt;&gt;"Ausgabe",M1950=""),0,IF(M1950="x",-$E1950/(COUNTIF($J1950:$Q1950,"x")+1),-$E1950*N(M1950)))</f>
        <v/>
      </c>
      <c r="AB1950" s="34">
        <f>IF(OR($A1950="",$H1950&lt;&gt;"Ausgabe",N1950=""),0,IF(N1950="x",-$E1950/(COUNTIF($J1950:$Q1950,"x")+1),-$E1950*N(N1950)))</f>
        <v/>
      </c>
      <c r="AC1950" s="34">
        <f>IF(OR($A1950="",$H1950&lt;&gt;"Ausgabe",O1950=""),0,IF(O1950="x",-$E1950/(COUNTIF($J1950:$Q1950,"x")+1),-$E1950*N(O1950)))</f>
        <v/>
      </c>
      <c r="AD1950" s="34">
        <f>IF(OR($A1950="",$H1950&lt;&gt;"Ausgabe",P1950=""),0,IF(P1950="x",-$E1950/(COUNTIF($J1950:$Q1950,"x")+1),-$E1950*N(P1950)))</f>
        <v/>
      </c>
      <c r="AE1950" s="34">
        <f>IF(OR($A1950="",$H1950&lt;&gt;"Ausgabe",Q1950=""),0,IF(Q1950="x",-$E1950/(COUNTIF($J1950:$Q1950,"x")+1),-$E1950*N(Q1950)))</f>
        <v/>
      </c>
    </row>
    <row r="1951">
      <c r="A1951" s="30" t="n"/>
      <c r="E1951" s="31" t="n"/>
      <c r="J1951" s="32" t="n"/>
      <c r="K1951" s="32" t="n"/>
      <c r="L1951" s="32" t="n"/>
      <c r="M1951" s="32" t="n"/>
      <c r="N1951" s="32" t="n"/>
      <c r="O1951" s="32" t="n"/>
      <c r="P1951" s="32" t="n"/>
      <c r="Q1951" s="32" t="n"/>
      <c r="U1951" s="31">
        <f>IF($A1951="","",SUM(X1951:AE1951))</f>
        <v/>
      </c>
      <c r="V1951" s="31">
        <f>IF($A1951="","",IF($H1951&lt;&gt;"Ausgabe",0,-$E1951-$U1951))</f>
        <v/>
      </c>
      <c r="W1951" s="33">
        <f>IF($A1951="","",DATE(YEAR($A1951),MONTH($A1951),1))</f>
        <v/>
      </c>
      <c r="X1951" s="34">
        <f>IF(OR($A1951="",$H1951&lt;&gt;"Ausgabe",J1951=""),0,IF(J1951="x",-$E1951/(COUNTIF($J1951:$Q1951,"x")+1),-$E1951*N(J1951)))</f>
        <v/>
      </c>
      <c r="Y1951" s="34">
        <f>IF(OR($A1951="",$H1951&lt;&gt;"Ausgabe",K1951=""),0,IF(K1951="x",-$E1951/(COUNTIF($J1951:$Q1951,"x")+1),-$E1951*N(K1951)))</f>
        <v/>
      </c>
      <c r="Z1951" s="34">
        <f>IF(OR($A1951="",$H1951&lt;&gt;"Ausgabe",L1951=""),0,IF(L1951="x",-$E1951/(COUNTIF($J1951:$Q1951,"x")+1),-$E1951*N(L1951)))</f>
        <v/>
      </c>
      <c r="AA1951" s="34">
        <f>IF(OR($A1951="",$H1951&lt;&gt;"Ausgabe",M1951=""),0,IF(M1951="x",-$E1951/(COUNTIF($J1951:$Q1951,"x")+1),-$E1951*N(M1951)))</f>
        <v/>
      </c>
      <c r="AB1951" s="34">
        <f>IF(OR($A1951="",$H1951&lt;&gt;"Ausgabe",N1951=""),0,IF(N1951="x",-$E1951/(COUNTIF($J1951:$Q1951,"x")+1),-$E1951*N(N1951)))</f>
        <v/>
      </c>
      <c r="AC1951" s="34">
        <f>IF(OR($A1951="",$H1951&lt;&gt;"Ausgabe",O1951=""),0,IF(O1951="x",-$E1951/(COUNTIF($J1951:$Q1951,"x")+1),-$E1951*N(O1951)))</f>
        <v/>
      </c>
      <c r="AD1951" s="34">
        <f>IF(OR($A1951="",$H1951&lt;&gt;"Ausgabe",P1951=""),0,IF(P1951="x",-$E1951/(COUNTIF($J1951:$Q1951,"x")+1),-$E1951*N(P1951)))</f>
        <v/>
      </c>
      <c r="AE1951" s="34">
        <f>IF(OR($A1951="",$H1951&lt;&gt;"Ausgabe",Q1951=""),0,IF(Q1951="x",-$E1951/(COUNTIF($J1951:$Q1951,"x")+1),-$E1951*N(Q1951)))</f>
        <v/>
      </c>
    </row>
    <row r="1952">
      <c r="A1952" s="30" t="n"/>
      <c r="E1952" s="31" t="n"/>
      <c r="J1952" s="32" t="n"/>
      <c r="K1952" s="32" t="n"/>
      <c r="L1952" s="32" t="n"/>
      <c r="M1952" s="32" t="n"/>
      <c r="N1952" s="32" t="n"/>
      <c r="O1952" s="32" t="n"/>
      <c r="P1952" s="32" t="n"/>
      <c r="Q1952" s="32" t="n"/>
      <c r="U1952" s="31">
        <f>IF($A1952="","",SUM(X1952:AE1952))</f>
        <v/>
      </c>
      <c r="V1952" s="31">
        <f>IF($A1952="","",IF($H1952&lt;&gt;"Ausgabe",0,-$E1952-$U1952))</f>
        <v/>
      </c>
      <c r="W1952" s="33">
        <f>IF($A1952="","",DATE(YEAR($A1952),MONTH($A1952),1))</f>
        <v/>
      </c>
      <c r="X1952" s="34">
        <f>IF(OR($A1952="",$H1952&lt;&gt;"Ausgabe",J1952=""),0,IF(J1952="x",-$E1952/(COUNTIF($J1952:$Q1952,"x")+1),-$E1952*N(J1952)))</f>
        <v/>
      </c>
      <c r="Y1952" s="34">
        <f>IF(OR($A1952="",$H1952&lt;&gt;"Ausgabe",K1952=""),0,IF(K1952="x",-$E1952/(COUNTIF($J1952:$Q1952,"x")+1),-$E1952*N(K1952)))</f>
        <v/>
      </c>
      <c r="Z1952" s="34">
        <f>IF(OR($A1952="",$H1952&lt;&gt;"Ausgabe",L1952=""),0,IF(L1952="x",-$E1952/(COUNTIF($J1952:$Q1952,"x")+1),-$E1952*N(L1952)))</f>
        <v/>
      </c>
      <c r="AA1952" s="34">
        <f>IF(OR($A1952="",$H1952&lt;&gt;"Ausgabe",M1952=""),0,IF(M1952="x",-$E1952/(COUNTIF($J1952:$Q1952,"x")+1),-$E1952*N(M1952)))</f>
        <v/>
      </c>
      <c r="AB1952" s="34">
        <f>IF(OR($A1952="",$H1952&lt;&gt;"Ausgabe",N1952=""),0,IF(N1952="x",-$E1952/(COUNTIF($J1952:$Q1952,"x")+1),-$E1952*N(N1952)))</f>
        <v/>
      </c>
      <c r="AC1952" s="34">
        <f>IF(OR($A1952="",$H1952&lt;&gt;"Ausgabe",O1952=""),0,IF(O1952="x",-$E1952/(COUNTIF($J1952:$Q1952,"x")+1),-$E1952*N(O1952)))</f>
        <v/>
      </c>
      <c r="AD1952" s="34">
        <f>IF(OR($A1952="",$H1952&lt;&gt;"Ausgabe",P1952=""),0,IF(P1952="x",-$E1952/(COUNTIF($J1952:$Q1952,"x")+1),-$E1952*N(P1952)))</f>
        <v/>
      </c>
      <c r="AE1952" s="34">
        <f>IF(OR($A1952="",$H1952&lt;&gt;"Ausgabe",Q1952=""),0,IF(Q1952="x",-$E1952/(COUNTIF($J1952:$Q1952,"x")+1),-$E1952*N(Q1952)))</f>
        <v/>
      </c>
    </row>
    <row r="1953">
      <c r="A1953" s="30" t="n"/>
      <c r="E1953" s="31" t="n"/>
      <c r="J1953" s="32" t="n"/>
      <c r="K1953" s="32" t="n"/>
      <c r="L1953" s="32" t="n"/>
      <c r="M1953" s="32" t="n"/>
      <c r="N1953" s="32" t="n"/>
      <c r="O1953" s="32" t="n"/>
      <c r="P1953" s="32" t="n"/>
      <c r="Q1953" s="32" t="n"/>
      <c r="U1953" s="31">
        <f>IF($A1953="","",SUM(X1953:AE1953))</f>
        <v/>
      </c>
      <c r="V1953" s="31">
        <f>IF($A1953="","",IF($H1953&lt;&gt;"Ausgabe",0,-$E1953-$U1953))</f>
        <v/>
      </c>
      <c r="W1953" s="33">
        <f>IF($A1953="","",DATE(YEAR($A1953),MONTH($A1953),1))</f>
        <v/>
      </c>
      <c r="X1953" s="34">
        <f>IF(OR($A1953="",$H1953&lt;&gt;"Ausgabe",J1953=""),0,IF(J1953="x",-$E1953/(COUNTIF($J1953:$Q1953,"x")+1),-$E1953*N(J1953)))</f>
        <v/>
      </c>
      <c r="Y1953" s="34">
        <f>IF(OR($A1953="",$H1953&lt;&gt;"Ausgabe",K1953=""),0,IF(K1953="x",-$E1953/(COUNTIF($J1953:$Q1953,"x")+1),-$E1953*N(K1953)))</f>
        <v/>
      </c>
      <c r="Z1953" s="34">
        <f>IF(OR($A1953="",$H1953&lt;&gt;"Ausgabe",L1953=""),0,IF(L1953="x",-$E1953/(COUNTIF($J1953:$Q1953,"x")+1),-$E1953*N(L1953)))</f>
        <v/>
      </c>
      <c r="AA1953" s="34">
        <f>IF(OR($A1953="",$H1953&lt;&gt;"Ausgabe",M1953=""),0,IF(M1953="x",-$E1953/(COUNTIF($J1953:$Q1953,"x")+1),-$E1953*N(M1953)))</f>
        <v/>
      </c>
      <c r="AB1953" s="34">
        <f>IF(OR($A1953="",$H1953&lt;&gt;"Ausgabe",N1953=""),0,IF(N1953="x",-$E1953/(COUNTIF($J1953:$Q1953,"x")+1),-$E1953*N(N1953)))</f>
        <v/>
      </c>
      <c r="AC1953" s="34">
        <f>IF(OR($A1953="",$H1953&lt;&gt;"Ausgabe",O1953=""),0,IF(O1953="x",-$E1953/(COUNTIF($J1953:$Q1953,"x")+1),-$E1953*N(O1953)))</f>
        <v/>
      </c>
      <c r="AD1953" s="34">
        <f>IF(OR($A1953="",$H1953&lt;&gt;"Ausgabe",P1953=""),0,IF(P1953="x",-$E1953/(COUNTIF($J1953:$Q1953,"x")+1),-$E1953*N(P1953)))</f>
        <v/>
      </c>
      <c r="AE1953" s="34">
        <f>IF(OR($A1953="",$H1953&lt;&gt;"Ausgabe",Q1953=""),0,IF(Q1953="x",-$E1953/(COUNTIF($J1953:$Q1953,"x")+1),-$E1953*N(Q1953)))</f>
        <v/>
      </c>
    </row>
    <row r="1954">
      <c r="A1954" s="30" t="n"/>
      <c r="E1954" s="31" t="n"/>
      <c r="J1954" s="32" t="n"/>
      <c r="K1954" s="32" t="n"/>
      <c r="L1954" s="32" t="n"/>
      <c r="M1954" s="32" t="n"/>
      <c r="N1954" s="32" t="n"/>
      <c r="O1954" s="32" t="n"/>
      <c r="P1954" s="32" t="n"/>
      <c r="Q1954" s="32" t="n"/>
      <c r="U1954" s="31">
        <f>IF($A1954="","",SUM(X1954:AE1954))</f>
        <v/>
      </c>
      <c r="V1954" s="31">
        <f>IF($A1954="","",IF($H1954&lt;&gt;"Ausgabe",0,-$E1954-$U1954))</f>
        <v/>
      </c>
      <c r="W1954" s="33">
        <f>IF($A1954="","",DATE(YEAR($A1954),MONTH($A1954),1))</f>
        <v/>
      </c>
      <c r="X1954" s="34">
        <f>IF(OR($A1954="",$H1954&lt;&gt;"Ausgabe",J1954=""),0,IF(J1954="x",-$E1954/(COUNTIF($J1954:$Q1954,"x")+1),-$E1954*N(J1954)))</f>
        <v/>
      </c>
      <c r="Y1954" s="34">
        <f>IF(OR($A1954="",$H1954&lt;&gt;"Ausgabe",K1954=""),0,IF(K1954="x",-$E1954/(COUNTIF($J1954:$Q1954,"x")+1),-$E1954*N(K1954)))</f>
        <v/>
      </c>
      <c r="Z1954" s="34">
        <f>IF(OR($A1954="",$H1954&lt;&gt;"Ausgabe",L1954=""),0,IF(L1954="x",-$E1954/(COUNTIF($J1954:$Q1954,"x")+1),-$E1954*N(L1954)))</f>
        <v/>
      </c>
      <c r="AA1954" s="34">
        <f>IF(OR($A1954="",$H1954&lt;&gt;"Ausgabe",M1954=""),0,IF(M1954="x",-$E1954/(COUNTIF($J1954:$Q1954,"x")+1),-$E1954*N(M1954)))</f>
        <v/>
      </c>
      <c r="AB1954" s="34">
        <f>IF(OR($A1954="",$H1954&lt;&gt;"Ausgabe",N1954=""),0,IF(N1954="x",-$E1954/(COUNTIF($J1954:$Q1954,"x")+1),-$E1954*N(N1954)))</f>
        <v/>
      </c>
      <c r="AC1954" s="34">
        <f>IF(OR($A1954="",$H1954&lt;&gt;"Ausgabe",O1954=""),0,IF(O1954="x",-$E1954/(COUNTIF($J1954:$Q1954,"x")+1),-$E1954*N(O1954)))</f>
        <v/>
      </c>
      <c r="AD1954" s="34">
        <f>IF(OR($A1954="",$H1954&lt;&gt;"Ausgabe",P1954=""),0,IF(P1954="x",-$E1954/(COUNTIF($J1954:$Q1954,"x")+1),-$E1954*N(P1954)))</f>
        <v/>
      </c>
      <c r="AE1954" s="34">
        <f>IF(OR($A1954="",$H1954&lt;&gt;"Ausgabe",Q1954=""),0,IF(Q1954="x",-$E1954/(COUNTIF($J1954:$Q1954,"x")+1),-$E1954*N(Q1954)))</f>
        <v/>
      </c>
    </row>
    <row r="1955">
      <c r="A1955" s="30" t="n"/>
      <c r="E1955" s="31" t="n"/>
      <c r="J1955" s="32" t="n"/>
      <c r="K1955" s="32" t="n"/>
      <c r="L1955" s="32" t="n"/>
      <c r="M1955" s="32" t="n"/>
      <c r="N1955" s="32" t="n"/>
      <c r="O1955" s="32" t="n"/>
      <c r="P1955" s="32" t="n"/>
      <c r="Q1955" s="32" t="n"/>
      <c r="U1955" s="31">
        <f>IF($A1955="","",SUM(X1955:AE1955))</f>
        <v/>
      </c>
      <c r="V1955" s="31">
        <f>IF($A1955="","",IF($H1955&lt;&gt;"Ausgabe",0,-$E1955-$U1955))</f>
        <v/>
      </c>
      <c r="W1955" s="33">
        <f>IF($A1955="","",DATE(YEAR($A1955),MONTH($A1955),1))</f>
        <v/>
      </c>
      <c r="X1955" s="34">
        <f>IF(OR($A1955="",$H1955&lt;&gt;"Ausgabe",J1955=""),0,IF(J1955="x",-$E1955/(COUNTIF($J1955:$Q1955,"x")+1),-$E1955*N(J1955)))</f>
        <v/>
      </c>
      <c r="Y1955" s="34">
        <f>IF(OR($A1955="",$H1955&lt;&gt;"Ausgabe",K1955=""),0,IF(K1955="x",-$E1955/(COUNTIF($J1955:$Q1955,"x")+1),-$E1955*N(K1955)))</f>
        <v/>
      </c>
      <c r="Z1955" s="34">
        <f>IF(OR($A1955="",$H1955&lt;&gt;"Ausgabe",L1955=""),0,IF(L1955="x",-$E1955/(COUNTIF($J1955:$Q1955,"x")+1),-$E1955*N(L1955)))</f>
        <v/>
      </c>
      <c r="AA1955" s="34">
        <f>IF(OR($A1955="",$H1955&lt;&gt;"Ausgabe",M1955=""),0,IF(M1955="x",-$E1955/(COUNTIF($J1955:$Q1955,"x")+1),-$E1955*N(M1955)))</f>
        <v/>
      </c>
      <c r="AB1955" s="34">
        <f>IF(OR($A1955="",$H1955&lt;&gt;"Ausgabe",N1955=""),0,IF(N1955="x",-$E1955/(COUNTIF($J1955:$Q1955,"x")+1),-$E1955*N(N1955)))</f>
        <v/>
      </c>
      <c r="AC1955" s="34">
        <f>IF(OR($A1955="",$H1955&lt;&gt;"Ausgabe",O1955=""),0,IF(O1955="x",-$E1955/(COUNTIF($J1955:$Q1955,"x")+1),-$E1955*N(O1955)))</f>
        <v/>
      </c>
      <c r="AD1955" s="34">
        <f>IF(OR($A1955="",$H1955&lt;&gt;"Ausgabe",P1955=""),0,IF(P1955="x",-$E1955/(COUNTIF($J1955:$Q1955,"x")+1),-$E1955*N(P1955)))</f>
        <v/>
      </c>
      <c r="AE1955" s="34">
        <f>IF(OR($A1955="",$H1955&lt;&gt;"Ausgabe",Q1955=""),0,IF(Q1955="x",-$E1955/(COUNTIF($J1955:$Q1955,"x")+1),-$E1955*N(Q1955)))</f>
        <v/>
      </c>
    </row>
    <row r="1956">
      <c r="A1956" s="30" t="n"/>
      <c r="E1956" s="31" t="n"/>
      <c r="J1956" s="32" t="n"/>
      <c r="K1956" s="32" t="n"/>
      <c r="L1956" s="32" t="n"/>
      <c r="M1956" s="32" t="n"/>
      <c r="N1956" s="32" t="n"/>
      <c r="O1956" s="32" t="n"/>
      <c r="P1956" s="32" t="n"/>
      <c r="Q1956" s="32" t="n"/>
      <c r="U1956" s="31">
        <f>IF($A1956="","",SUM(X1956:AE1956))</f>
        <v/>
      </c>
      <c r="V1956" s="31">
        <f>IF($A1956="","",IF($H1956&lt;&gt;"Ausgabe",0,-$E1956-$U1956))</f>
        <v/>
      </c>
      <c r="W1956" s="33">
        <f>IF($A1956="","",DATE(YEAR($A1956),MONTH($A1956),1))</f>
        <v/>
      </c>
      <c r="X1956" s="34">
        <f>IF(OR($A1956="",$H1956&lt;&gt;"Ausgabe",J1956=""),0,IF(J1956="x",-$E1956/(COUNTIF($J1956:$Q1956,"x")+1),-$E1956*N(J1956)))</f>
        <v/>
      </c>
      <c r="Y1956" s="34">
        <f>IF(OR($A1956="",$H1956&lt;&gt;"Ausgabe",K1956=""),0,IF(K1956="x",-$E1956/(COUNTIF($J1956:$Q1956,"x")+1),-$E1956*N(K1956)))</f>
        <v/>
      </c>
      <c r="Z1956" s="34">
        <f>IF(OR($A1956="",$H1956&lt;&gt;"Ausgabe",L1956=""),0,IF(L1956="x",-$E1956/(COUNTIF($J1956:$Q1956,"x")+1),-$E1956*N(L1956)))</f>
        <v/>
      </c>
      <c r="AA1956" s="34">
        <f>IF(OR($A1956="",$H1956&lt;&gt;"Ausgabe",M1956=""),0,IF(M1956="x",-$E1956/(COUNTIF($J1956:$Q1956,"x")+1),-$E1956*N(M1956)))</f>
        <v/>
      </c>
      <c r="AB1956" s="34">
        <f>IF(OR($A1956="",$H1956&lt;&gt;"Ausgabe",N1956=""),0,IF(N1956="x",-$E1956/(COUNTIF($J1956:$Q1956,"x")+1),-$E1956*N(N1956)))</f>
        <v/>
      </c>
      <c r="AC1956" s="34">
        <f>IF(OR($A1956="",$H1956&lt;&gt;"Ausgabe",O1956=""),0,IF(O1956="x",-$E1956/(COUNTIF($J1956:$Q1956,"x")+1),-$E1956*N(O1956)))</f>
        <v/>
      </c>
      <c r="AD1956" s="34">
        <f>IF(OR($A1956="",$H1956&lt;&gt;"Ausgabe",P1956=""),0,IF(P1956="x",-$E1956/(COUNTIF($J1956:$Q1956,"x")+1),-$E1956*N(P1956)))</f>
        <v/>
      </c>
      <c r="AE1956" s="34">
        <f>IF(OR($A1956="",$H1956&lt;&gt;"Ausgabe",Q1956=""),0,IF(Q1956="x",-$E1956/(COUNTIF($J1956:$Q1956,"x")+1),-$E1956*N(Q1956)))</f>
        <v/>
      </c>
    </row>
    <row r="1957">
      <c r="A1957" s="30" t="n"/>
      <c r="E1957" s="31" t="n"/>
      <c r="J1957" s="32" t="n"/>
      <c r="K1957" s="32" t="n"/>
      <c r="L1957" s="32" t="n"/>
      <c r="M1957" s="32" t="n"/>
      <c r="N1957" s="32" t="n"/>
      <c r="O1957" s="32" t="n"/>
      <c r="P1957" s="32" t="n"/>
      <c r="Q1957" s="32" t="n"/>
      <c r="U1957" s="31">
        <f>IF($A1957="","",SUM(X1957:AE1957))</f>
        <v/>
      </c>
      <c r="V1957" s="31">
        <f>IF($A1957="","",IF($H1957&lt;&gt;"Ausgabe",0,-$E1957-$U1957))</f>
        <v/>
      </c>
      <c r="W1957" s="33">
        <f>IF($A1957="","",DATE(YEAR($A1957),MONTH($A1957),1))</f>
        <v/>
      </c>
      <c r="X1957" s="34">
        <f>IF(OR($A1957="",$H1957&lt;&gt;"Ausgabe",J1957=""),0,IF(J1957="x",-$E1957/(COUNTIF($J1957:$Q1957,"x")+1),-$E1957*N(J1957)))</f>
        <v/>
      </c>
      <c r="Y1957" s="34">
        <f>IF(OR($A1957="",$H1957&lt;&gt;"Ausgabe",K1957=""),0,IF(K1957="x",-$E1957/(COUNTIF($J1957:$Q1957,"x")+1),-$E1957*N(K1957)))</f>
        <v/>
      </c>
      <c r="Z1957" s="34">
        <f>IF(OR($A1957="",$H1957&lt;&gt;"Ausgabe",L1957=""),0,IF(L1957="x",-$E1957/(COUNTIF($J1957:$Q1957,"x")+1),-$E1957*N(L1957)))</f>
        <v/>
      </c>
      <c r="AA1957" s="34">
        <f>IF(OR($A1957="",$H1957&lt;&gt;"Ausgabe",M1957=""),0,IF(M1957="x",-$E1957/(COUNTIF($J1957:$Q1957,"x")+1),-$E1957*N(M1957)))</f>
        <v/>
      </c>
      <c r="AB1957" s="34">
        <f>IF(OR($A1957="",$H1957&lt;&gt;"Ausgabe",N1957=""),0,IF(N1957="x",-$E1957/(COUNTIF($J1957:$Q1957,"x")+1),-$E1957*N(N1957)))</f>
        <v/>
      </c>
      <c r="AC1957" s="34">
        <f>IF(OR($A1957="",$H1957&lt;&gt;"Ausgabe",O1957=""),0,IF(O1957="x",-$E1957/(COUNTIF($J1957:$Q1957,"x")+1),-$E1957*N(O1957)))</f>
        <v/>
      </c>
      <c r="AD1957" s="34">
        <f>IF(OR($A1957="",$H1957&lt;&gt;"Ausgabe",P1957=""),0,IF(P1957="x",-$E1957/(COUNTIF($J1957:$Q1957,"x")+1),-$E1957*N(P1957)))</f>
        <v/>
      </c>
      <c r="AE1957" s="34">
        <f>IF(OR($A1957="",$H1957&lt;&gt;"Ausgabe",Q1957=""),0,IF(Q1957="x",-$E1957/(COUNTIF($J1957:$Q1957,"x")+1),-$E1957*N(Q1957)))</f>
        <v/>
      </c>
    </row>
    <row r="1958">
      <c r="A1958" s="30" t="n"/>
      <c r="E1958" s="31" t="n"/>
      <c r="J1958" s="32" t="n"/>
      <c r="K1958" s="32" t="n"/>
      <c r="L1958" s="32" t="n"/>
      <c r="M1958" s="32" t="n"/>
      <c r="N1958" s="32" t="n"/>
      <c r="O1958" s="32" t="n"/>
      <c r="P1958" s="32" t="n"/>
      <c r="Q1958" s="32" t="n"/>
      <c r="U1958" s="31">
        <f>IF($A1958="","",SUM(X1958:AE1958))</f>
        <v/>
      </c>
      <c r="V1958" s="31">
        <f>IF($A1958="","",IF($H1958&lt;&gt;"Ausgabe",0,-$E1958-$U1958))</f>
        <v/>
      </c>
      <c r="W1958" s="33">
        <f>IF($A1958="","",DATE(YEAR($A1958),MONTH($A1958),1))</f>
        <v/>
      </c>
      <c r="X1958" s="34">
        <f>IF(OR($A1958="",$H1958&lt;&gt;"Ausgabe",J1958=""),0,IF(J1958="x",-$E1958/(COUNTIF($J1958:$Q1958,"x")+1),-$E1958*N(J1958)))</f>
        <v/>
      </c>
      <c r="Y1958" s="34">
        <f>IF(OR($A1958="",$H1958&lt;&gt;"Ausgabe",K1958=""),0,IF(K1958="x",-$E1958/(COUNTIF($J1958:$Q1958,"x")+1),-$E1958*N(K1958)))</f>
        <v/>
      </c>
      <c r="Z1958" s="34">
        <f>IF(OR($A1958="",$H1958&lt;&gt;"Ausgabe",L1958=""),0,IF(L1958="x",-$E1958/(COUNTIF($J1958:$Q1958,"x")+1),-$E1958*N(L1958)))</f>
        <v/>
      </c>
      <c r="AA1958" s="34">
        <f>IF(OR($A1958="",$H1958&lt;&gt;"Ausgabe",M1958=""),0,IF(M1958="x",-$E1958/(COUNTIF($J1958:$Q1958,"x")+1),-$E1958*N(M1958)))</f>
        <v/>
      </c>
      <c r="AB1958" s="34">
        <f>IF(OR($A1958="",$H1958&lt;&gt;"Ausgabe",N1958=""),0,IF(N1958="x",-$E1958/(COUNTIF($J1958:$Q1958,"x")+1),-$E1958*N(N1958)))</f>
        <v/>
      </c>
      <c r="AC1958" s="34">
        <f>IF(OR($A1958="",$H1958&lt;&gt;"Ausgabe",O1958=""),0,IF(O1958="x",-$E1958/(COUNTIF($J1958:$Q1958,"x")+1),-$E1958*N(O1958)))</f>
        <v/>
      </c>
      <c r="AD1958" s="34">
        <f>IF(OR($A1958="",$H1958&lt;&gt;"Ausgabe",P1958=""),0,IF(P1958="x",-$E1958/(COUNTIF($J1958:$Q1958,"x")+1),-$E1958*N(P1958)))</f>
        <v/>
      </c>
      <c r="AE1958" s="34">
        <f>IF(OR($A1958="",$H1958&lt;&gt;"Ausgabe",Q1958=""),0,IF(Q1958="x",-$E1958/(COUNTIF($J1958:$Q1958,"x")+1),-$E1958*N(Q1958)))</f>
        <v/>
      </c>
    </row>
    <row r="1959">
      <c r="A1959" s="30" t="n"/>
      <c r="E1959" s="31" t="n"/>
      <c r="J1959" s="32" t="n"/>
      <c r="K1959" s="32" t="n"/>
      <c r="L1959" s="32" t="n"/>
      <c r="M1959" s="32" t="n"/>
      <c r="N1959" s="32" t="n"/>
      <c r="O1959" s="32" t="n"/>
      <c r="P1959" s="32" t="n"/>
      <c r="Q1959" s="32" t="n"/>
      <c r="U1959" s="31">
        <f>IF($A1959="","",SUM(X1959:AE1959))</f>
        <v/>
      </c>
      <c r="V1959" s="31">
        <f>IF($A1959="","",IF($H1959&lt;&gt;"Ausgabe",0,-$E1959-$U1959))</f>
        <v/>
      </c>
      <c r="W1959" s="33">
        <f>IF($A1959="","",DATE(YEAR($A1959),MONTH($A1959),1))</f>
        <v/>
      </c>
      <c r="X1959" s="34">
        <f>IF(OR($A1959="",$H1959&lt;&gt;"Ausgabe",J1959=""),0,IF(J1959="x",-$E1959/(COUNTIF($J1959:$Q1959,"x")+1),-$E1959*N(J1959)))</f>
        <v/>
      </c>
      <c r="Y1959" s="34">
        <f>IF(OR($A1959="",$H1959&lt;&gt;"Ausgabe",K1959=""),0,IF(K1959="x",-$E1959/(COUNTIF($J1959:$Q1959,"x")+1),-$E1959*N(K1959)))</f>
        <v/>
      </c>
      <c r="Z1959" s="34">
        <f>IF(OR($A1959="",$H1959&lt;&gt;"Ausgabe",L1959=""),0,IF(L1959="x",-$E1959/(COUNTIF($J1959:$Q1959,"x")+1),-$E1959*N(L1959)))</f>
        <v/>
      </c>
      <c r="AA1959" s="34">
        <f>IF(OR($A1959="",$H1959&lt;&gt;"Ausgabe",M1959=""),0,IF(M1959="x",-$E1959/(COUNTIF($J1959:$Q1959,"x")+1),-$E1959*N(M1959)))</f>
        <v/>
      </c>
      <c r="AB1959" s="34">
        <f>IF(OR($A1959="",$H1959&lt;&gt;"Ausgabe",N1959=""),0,IF(N1959="x",-$E1959/(COUNTIF($J1959:$Q1959,"x")+1),-$E1959*N(N1959)))</f>
        <v/>
      </c>
      <c r="AC1959" s="34">
        <f>IF(OR($A1959="",$H1959&lt;&gt;"Ausgabe",O1959=""),0,IF(O1959="x",-$E1959/(COUNTIF($J1959:$Q1959,"x")+1),-$E1959*N(O1959)))</f>
        <v/>
      </c>
      <c r="AD1959" s="34">
        <f>IF(OR($A1959="",$H1959&lt;&gt;"Ausgabe",P1959=""),0,IF(P1959="x",-$E1959/(COUNTIF($J1959:$Q1959,"x")+1),-$E1959*N(P1959)))</f>
        <v/>
      </c>
      <c r="AE1959" s="34">
        <f>IF(OR($A1959="",$H1959&lt;&gt;"Ausgabe",Q1959=""),0,IF(Q1959="x",-$E1959/(COUNTIF($J1959:$Q1959,"x")+1),-$E1959*N(Q1959)))</f>
        <v/>
      </c>
    </row>
    <row r="1960">
      <c r="A1960" s="30" t="n"/>
      <c r="E1960" s="31" t="n"/>
      <c r="J1960" s="32" t="n"/>
      <c r="K1960" s="32" t="n"/>
      <c r="L1960" s="32" t="n"/>
      <c r="M1960" s="32" t="n"/>
      <c r="N1960" s="32" t="n"/>
      <c r="O1960" s="32" t="n"/>
      <c r="P1960" s="32" t="n"/>
      <c r="Q1960" s="32" t="n"/>
      <c r="U1960" s="31">
        <f>IF($A1960="","",SUM(X1960:AE1960))</f>
        <v/>
      </c>
      <c r="V1960" s="31">
        <f>IF($A1960="","",IF($H1960&lt;&gt;"Ausgabe",0,-$E1960-$U1960))</f>
        <v/>
      </c>
      <c r="W1960" s="33">
        <f>IF($A1960="","",DATE(YEAR($A1960),MONTH($A1960),1))</f>
        <v/>
      </c>
      <c r="X1960" s="34">
        <f>IF(OR($A1960="",$H1960&lt;&gt;"Ausgabe",J1960=""),0,IF(J1960="x",-$E1960/(COUNTIF($J1960:$Q1960,"x")+1),-$E1960*N(J1960)))</f>
        <v/>
      </c>
      <c r="Y1960" s="34">
        <f>IF(OR($A1960="",$H1960&lt;&gt;"Ausgabe",K1960=""),0,IF(K1960="x",-$E1960/(COUNTIF($J1960:$Q1960,"x")+1),-$E1960*N(K1960)))</f>
        <v/>
      </c>
      <c r="Z1960" s="34">
        <f>IF(OR($A1960="",$H1960&lt;&gt;"Ausgabe",L1960=""),0,IF(L1960="x",-$E1960/(COUNTIF($J1960:$Q1960,"x")+1),-$E1960*N(L1960)))</f>
        <v/>
      </c>
      <c r="AA1960" s="34">
        <f>IF(OR($A1960="",$H1960&lt;&gt;"Ausgabe",M1960=""),0,IF(M1960="x",-$E1960/(COUNTIF($J1960:$Q1960,"x")+1),-$E1960*N(M1960)))</f>
        <v/>
      </c>
      <c r="AB1960" s="34">
        <f>IF(OR($A1960="",$H1960&lt;&gt;"Ausgabe",N1960=""),0,IF(N1960="x",-$E1960/(COUNTIF($J1960:$Q1960,"x")+1),-$E1960*N(N1960)))</f>
        <v/>
      </c>
      <c r="AC1960" s="34">
        <f>IF(OR($A1960="",$H1960&lt;&gt;"Ausgabe",O1960=""),0,IF(O1960="x",-$E1960/(COUNTIF($J1960:$Q1960,"x")+1),-$E1960*N(O1960)))</f>
        <v/>
      </c>
      <c r="AD1960" s="34">
        <f>IF(OR($A1960="",$H1960&lt;&gt;"Ausgabe",P1960=""),0,IF(P1960="x",-$E1960/(COUNTIF($J1960:$Q1960,"x")+1),-$E1960*N(P1960)))</f>
        <v/>
      </c>
      <c r="AE1960" s="34">
        <f>IF(OR($A1960="",$H1960&lt;&gt;"Ausgabe",Q1960=""),0,IF(Q1960="x",-$E1960/(COUNTIF($J1960:$Q1960,"x")+1),-$E1960*N(Q1960)))</f>
        <v/>
      </c>
    </row>
    <row r="1961">
      <c r="A1961" s="30" t="n"/>
      <c r="E1961" s="31" t="n"/>
      <c r="J1961" s="32" t="n"/>
      <c r="K1961" s="32" t="n"/>
      <c r="L1961" s="32" t="n"/>
      <c r="M1961" s="32" t="n"/>
      <c r="N1961" s="32" t="n"/>
      <c r="O1961" s="32" t="n"/>
      <c r="P1961" s="32" t="n"/>
      <c r="Q1961" s="32" t="n"/>
      <c r="U1961" s="31">
        <f>IF($A1961="","",SUM(X1961:AE1961))</f>
        <v/>
      </c>
      <c r="V1961" s="31">
        <f>IF($A1961="","",IF($H1961&lt;&gt;"Ausgabe",0,-$E1961-$U1961))</f>
        <v/>
      </c>
      <c r="W1961" s="33">
        <f>IF($A1961="","",DATE(YEAR($A1961),MONTH($A1961),1))</f>
        <v/>
      </c>
      <c r="X1961" s="34">
        <f>IF(OR($A1961="",$H1961&lt;&gt;"Ausgabe",J1961=""),0,IF(J1961="x",-$E1961/(COUNTIF($J1961:$Q1961,"x")+1),-$E1961*N(J1961)))</f>
        <v/>
      </c>
      <c r="Y1961" s="34">
        <f>IF(OR($A1961="",$H1961&lt;&gt;"Ausgabe",K1961=""),0,IF(K1961="x",-$E1961/(COUNTIF($J1961:$Q1961,"x")+1),-$E1961*N(K1961)))</f>
        <v/>
      </c>
      <c r="Z1961" s="34">
        <f>IF(OR($A1961="",$H1961&lt;&gt;"Ausgabe",L1961=""),0,IF(L1961="x",-$E1961/(COUNTIF($J1961:$Q1961,"x")+1),-$E1961*N(L1961)))</f>
        <v/>
      </c>
      <c r="AA1961" s="34">
        <f>IF(OR($A1961="",$H1961&lt;&gt;"Ausgabe",M1961=""),0,IF(M1961="x",-$E1961/(COUNTIF($J1961:$Q1961,"x")+1),-$E1961*N(M1961)))</f>
        <v/>
      </c>
      <c r="AB1961" s="34">
        <f>IF(OR($A1961="",$H1961&lt;&gt;"Ausgabe",N1961=""),0,IF(N1961="x",-$E1961/(COUNTIF($J1961:$Q1961,"x")+1),-$E1961*N(N1961)))</f>
        <v/>
      </c>
      <c r="AC1961" s="34">
        <f>IF(OR($A1961="",$H1961&lt;&gt;"Ausgabe",O1961=""),0,IF(O1961="x",-$E1961/(COUNTIF($J1961:$Q1961,"x")+1),-$E1961*N(O1961)))</f>
        <v/>
      </c>
      <c r="AD1961" s="34">
        <f>IF(OR($A1961="",$H1961&lt;&gt;"Ausgabe",P1961=""),0,IF(P1961="x",-$E1961/(COUNTIF($J1961:$Q1961,"x")+1),-$E1961*N(P1961)))</f>
        <v/>
      </c>
      <c r="AE1961" s="34">
        <f>IF(OR($A1961="",$H1961&lt;&gt;"Ausgabe",Q1961=""),0,IF(Q1961="x",-$E1961/(COUNTIF($J1961:$Q1961,"x")+1),-$E1961*N(Q1961)))</f>
        <v/>
      </c>
    </row>
    <row r="1962">
      <c r="A1962" s="30" t="n"/>
      <c r="E1962" s="31" t="n"/>
      <c r="J1962" s="32" t="n"/>
      <c r="K1962" s="32" t="n"/>
      <c r="L1962" s="32" t="n"/>
      <c r="M1962" s="32" t="n"/>
      <c r="N1962" s="32" t="n"/>
      <c r="O1962" s="32" t="n"/>
      <c r="P1962" s="32" t="n"/>
      <c r="Q1962" s="32" t="n"/>
      <c r="U1962" s="31">
        <f>IF($A1962="","",SUM(X1962:AE1962))</f>
        <v/>
      </c>
      <c r="V1962" s="31">
        <f>IF($A1962="","",IF($H1962&lt;&gt;"Ausgabe",0,-$E1962-$U1962))</f>
        <v/>
      </c>
      <c r="W1962" s="33">
        <f>IF($A1962="","",DATE(YEAR($A1962),MONTH($A1962),1))</f>
        <v/>
      </c>
      <c r="X1962" s="34">
        <f>IF(OR($A1962="",$H1962&lt;&gt;"Ausgabe",J1962=""),0,IF(J1962="x",-$E1962/(COUNTIF($J1962:$Q1962,"x")+1),-$E1962*N(J1962)))</f>
        <v/>
      </c>
      <c r="Y1962" s="34">
        <f>IF(OR($A1962="",$H1962&lt;&gt;"Ausgabe",K1962=""),0,IF(K1962="x",-$E1962/(COUNTIF($J1962:$Q1962,"x")+1),-$E1962*N(K1962)))</f>
        <v/>
      </c>
      <c r="Z1962" s="34">
        <f>IF(OR($A1962="",$H1962&lt;&gt;"Ausgabe",L1962=""),0,IF(L1962="x",-$E1962/(COUNTIF($J1962:$Q1962,"x")+1),-$E1962*N(L1962)))</f>
        <v/>
      </c>
      <c r="AA1962" s="34">
        <f>IF(OR($A1962="",$H1962&lt;&gt;"Ausgabe",M1962=""),0,IF(M1962="x",-$E1962/(COUNTIF($J1962:$Q1962,"x")+1),-$E1962*N(M1962)))</f>
        <v/>
      </c>
      <c r="AB1962" s="34">
        <f>IF(OR($A1962="",$H1962&lt;&gt;"Ausgabe",N1962=""),0,IF(N1962="x",-$E1962/(COUNTIF($J1962:$Q1962,"x")+1),-$E1962*N(N1962)))</f>
        <v/>
      </c>
      <c r="AC1962" s="34">
        <f>IF(OR($A1962="",$H1962&lt;&gt;"Ausgabe",O1962=""),0,IF(O1962="x",-$E1962/(COUNTIF($J1962:$Q1962,"x")+1),-$E1962*N(O1962)))</f>
        <v/>
      </c>
      <c r="AD1962" s="34">
        <f>IF(OR($A1962="",$H1962&lt;&gt;"Ausgabe",P1962=""),0,IF(P1962="x",-$E1962/(COUNTIF($J1962:$Q1962,"x")+1),-$E1962*N(P1962)))</f>
        <v/>
      </c>
      <c r="AE1962" s="34">
        <f>IF(OR($A1962="",$H1962&lt;&gt;"Ausgabe",Q1962=""),0,IF(Q1962="x",-$E1962/(COUNTIF($J1962:$Q1962,"x")+1),-$E1962*N(Q1962)))</f>
        <v/>
      </c>
    </row>
    <row r="1963">
      <c r="A1963" s="30" t="n"/>
      <c r="E1963" s="31" t="n"/>
      <c r="J1963" s="32" t="n"/>
      <c r="K1963" s="32" t="n"/>
      <c r="L1963" s="32" t="n"/>
      <c r="M1963" s="32" t="n"/>
      <c r="N1963" s="32" t="n"/>
      <c r="O1963" s="32" t="n"/>
      <c r="P1963" s="32" t="n"/>
      <c r="Q1963" s="32" t="n"/>
      <c r="U1963" s="31">
        <f>IF($A1963="","",SUM(X1963:AE1963))</f>
        <v/>
      </c>
      <c r="V1963" s="31">
        <f>IF($A1963="","",IF($H1963&lt;&gt;"Ausgabe",0,-$E1963-$U1963))</f>
        <v/>
      </c>
      <c r="W1963" s="33">
        <f>IF($A1963="","",DATE(YEAR($A1963),MONTH($A1963),1))</f>
        <v/>
      </c>
      <c r="X1963" s="34">
        <f>IF(OR($A1963="",$H1963&lt;&gt;"Ausgabe",J1963=""),0,IF(J1963="x",-$E1963/(COUNTIF($J1963:$Q1963,"x")+1),-$E1963*N(J1963)))</f>
        <v/>
      </c>
      <c r="Y1963" s="34">
        <f>IF(OR($A1963="",$H1963&lt;&gt;"Ausgabe",K1963=""),0,IF(K1963="x",-$E1963/(COUNTIF($J1963:$Q1963,"x")+1),-$E1963*N(K1963)))</f>
        <v/>
      </c>
      <c r="Z1963" s="34">
        <f>IF(OR($A1963="",$H1963&lt;&gt;"Ausgabe",L1963=""),0,IF(L1963="x",-$E1963/(COUNTIF($J1963:$Q1963,"x")+1),-$E1963*N(L1963)))</f>
        <v/>
      </c>
      <c r="AA1963" s="34">
        <f>IF(OR($A1963="",$H1963&lt;&gt;"Ausgabe",M1963=""),0,IF(M1963="x",-$E1963/(COUNTIF($J1963:$Q1963,"x")+1),-$E1963*N(M1963)))</f>
        <v/>
      </c>
      <c r="AB1963" s="34">
        <f>IF(OR($A1963="",$H1963&lt;&gt;"Ausgabe",N1963=""),0,IF(N1963="x",-$E1963/(COUNTIF($J1963:$Q1963,"x")+1),-$E1963*N(N1963)))</f>
        <v/>
      </c>
      <c r="AC1963" s="34">
        <f>IF(OR($A1963="",$H1963&lt;&gt;"Ausgabe",O1963=""),0,IF(O1963="x",-$E1963/(COUNTIF($J1963:$Q1963,"x")+1),-$E1963*N(O1963)))</f>
        <v/>
      </c>
      <c r="AD1963" s="34">
        <f>IF(OR($A1963="",$H1963&lt;&gt;"Ausgabe",P1963=""),0,IF(P1963="x",-$E1963/(COUNTIF($J1963:$Q1963,"x")+1),-$E1963*N(P1963)))</f>
        <v/>
      </c>
      <c r="AE1963" s="34">
        <f>IF(OR($A1963="",$H1963&lt;&gt;"Ausgabe",Q1963=""),0,IF(Q1963="x",-$E1963/(COUNTIF($J1963:$Q1963,"x")+1),-$E1963*N(Q1963)))</f>
        <v/>
      </c>
    </row>
    <row r="1964">
      <c r="A1964" s="30" t="n"/>
      <c r="E1964" s="31" t="n"/>
      <c r="J1964" s="32" t="n"/>
      <c r="K1964" s="32" t="n"/>
      <c r="L1964" s="32" t="n"/>
      <c r="M1964" s="32" t="n"/>
      <c r="N1964" s="32" t="n"/>
      <c r="O1964" s="32" t="n"/>
      <c r="P1964" s="32" t="n"/>
      <c r="Q1964" s="32" t="n"/>
      <c r="U1964" s="31">
        <f>IF($A1964="","",SUM(X1964:AE1964))</f>
        <v/>
      </c>
      <c r="V1964" s="31">
        <f>IF($A1964="","",IF($H1964&lt;&gt;"Ausgabe",0,-$E1964-$U1964))</f>
        <v/>
      </c>
      <c r="W1964" s="33">
        <f>IF($A1964="","",DATE(YEAR($A1964),MONTH($A1964),1))</f>
        <v/>
      </c>
      <c r="X1964" s="34">
        <f>IF(OR($A1964="",$H1964&lt;&gt;"Ausgabe",J1964=""),0,IF(J1964="x",-$E1964/(COUNTIF($J1964:$Q1964,"x")+1),-$E1964*N(J1964)))</f>
        <v/>
      </c>
      <c r="Y1964" s="34">
        <f>IF(OR($A1964="",$H1964&lt;&gt;"Ausgabe",K1964=""),0,IF(K1964="x",-$E1964/(COUNTIF($J1964:$Q1964,"x")+1),-$E1964*N(K1964)))</f>
        <v/>
      </c>
      <c r="Z1964" s="34">
        <f>IF(OR($A1964="",$H1964&lt;&gt;"Ausgabe",L1964=""),0,IF(L1964="x",-$E1964/(COUNTIF($J1964:$Q1964,"x")+1),-$E1964*N(L1964)))</f>
        <v/>
      </c>
      <c r="AA1964" s="34">
        <f>IF(OR($A1964="",$H1964&lt;&gt;"Ausgabe",M1964=""),0,IF(M1964="x",-$E1964/(COUNTIF($J1964:$Q1964,"x")+1),-$E1964*N(M1964)))</f>
        <v/>
      </c>
      <c r="AB1964" s="34">
        <f>IF(OR($A1964="",$H1964&lt;&gt;"Ausgabe",N1964=""),0,IF(N1964="x",-$E1964/(COUNTIF($J1964:$Q1964,"x")+1),-$E1964*N(N1964)))</f>
        <v/>
      </c>
      <c r="AC1964" s="34">
        <f>IF(OR($A1964="",$H1964&lt;&gt;"Ausgabe",O1964=""),0,IF(O1964="x",-$E1964/(COUNTIF($J1964:$Q1964,"x")+1),-$E1964*N(O1964)))</f>
        <v/>
      </c>
      <c r="AD1964" s="34">
        <f>IF(OR($A1964="",$H1964&lt;&gt;"Ausgabe",P1964=""),0,IF(P1964="x",-$E1964/(COUNTIF($J1964:$Q1964,"x")+1),-$E1964*N(P1964)))</f>
        <v/>
      </c>
      <c r="AE1964" s="34">
        <f>IF(OR($A1964="",$H1964&lt;&gt;"Ausgabe",Q1964=""),0,IF(Q1964="x",-$E1964/(COUNTIF($J1964:$Q1964,"x")+1),-$E1964*N(Q1964)))</f>
        <v/>
      </c>
    </row>
    <row r="1965">
      <c r="A1965" s="30" t="n"/>
      <c r="E1965" s="31" t="n"/>
      <c r="J1965" s="32" t="n"/>
      <c r="K1965" s="32" t="n"/>
      <c r="L1965" s="32" t="n"/>
      <c r="M1965" s="32" t="n"/>
      <c r="N1965" s="32" t="n"/>
      <c r="O1965" s="32" t="n"/>
      <c r="P1965" s="32" t="n"/>
      <c r="Q1965" s="32" t="n"/>
      <c r="U1965" s="31">
        <f>IF($A1965="","",SUM(X1965:AE1965))</f>
        <v/>
      </c>
      <c r="V1965" s="31">
        <f>IF($A1965="","",IF($H1965&lt;&gt;"Ausgabe",0,-$E1965-$U1965))</f>
        <v/>
      </c>
      <c r="W1965" s="33">
        <f>IF($A1965="","",DATE(YEAR($A1965),MONTH($A1965),1))</f>
        <v/>
      </c>
      <c r="X1965" s="34">
        <f>IF(OR($A1965="",$H1965&lt;&gt;"Ausgabe",J1965=""),0,IF(J1965="x",-$E1965/(COUNTIF($J1965:$Q1965,"x")+1),-$E1965*N(J1965)))</f>
        <v/>
      </c>
      <c r="Y1965" s="34">
        <f>IF(OR($A1965="",$H1965&lt;&gt;"Ausgabe",K1965=""),0,IF(K1965="x",-$E1965/(COUNTIF($J1965:$Q1965,"x")+1),-$E1965*N(K1965)))</f>
        <v/>
      </c>
      <c r="Z1965" s="34">
        <f>IF(OR($A1965="",$H1965&lt;&gt;"Ausgabe",L1965=""),0,IF(L1965="x",-$E1965/(COUNTIF($J1965:$Q1965,"x")+1),-$E1965*N(L1965)))</f>
        <v/>
      </c>
      <c r="AA1965" s="34">
        <f>IF(OR($A1965="",$H1965&lt;&gt;"Ausgabe",M1965=""),0,IF(M1965="x",-$E1965/(COUNTIF($J1965:$Q1965,"x")+1),-$E1965*N(M1965)))</f>
        <v/>
      </c>
      <c r="AB1965" s="34">
        <f>IF(OR($A1965="",$H1965&lt;&gt;"Ausgabe",N1965=""),0,IF(N1965="x",-$E1965/(COUNTIF($J1965:$Q1965,"x")+1),-$E1965*N(N1965)))</f>
        <v/>
      </c>
      <c r="AC1965" s="34">
        <f>IF(OR($A1965="",$H1965&lt;&gt;"Ausgabe",O1965=""),0,IF(O1965="x",-$E1965/(COUNTIF($J1965:$Q1965,"x")+1),-$E1965*N(O1965)))</f>
        <v/>
      </c>
      <c r="AD1965" s="34">
        <f>IF(OR($A1965="",$H1965&lt;&gt;"Ausgabe",P1965=""),0,IF(P1965="x",-$E1965/(COUNTIF($J1965:$Q1965,"x")+1),-$E1965*N(P1965)))</f>
        <v/>
      </c>
      <c r="AE1965" s="34">
        <f>IF(OR($A1965="",$H1965&lt;&gt;"Ausgabe",Q1965=""),0,IF(Q1965="x",-$E1965/(COUNTIF($J1965:$Q1965,"x")+1),-$E1965*N(Q1965)))</f>
        <v/>
      </c>
    </row>
    <row r="1966">
      <c r="A1966" s="30" t="n"/>
      <c r="E1966" s="31" t="n"/>
      <c r="J1966" s="32" t="n"/>
      <c r="K1966" s="32" t="n"/>
      <c r="L1966" s="32" t="n"/>
      <c r="M1966" s="32" t="n"/>
      <c r="N1966" s="32" t="n"/>
      <c r="O1966" s="32" t="n"/>
      <c r="P1966" s="32" t="n"/>
      <c r="Q1966" s="32" t="n"/>
      <c r="U1966" s="31">
        <f>IF($A1966="","",SUM(X1966:AE1966))</f>
        <v/>
      </c>
      <c r="V1966" s="31">
        <f>IF($A1966="","",IF($H1966&lt;&gt;"Ausgabe",0,-$E1966-$U1966))</f>
        <v/>
      </c>
      <c r="W1966" s="33">
        <f>IF($A1966="","",DATE(YEAR($A1966),MONTH($A1966),1))</f>
        <v/>
      </c>
      <c r="X1966" s="34">
        <f>IF(OR($A1966="",$H1966&lt;&gt;"Ausgabe",J1966=""),0,IF(J1966="x",-$E1966/(COUNTIF($J1966:$Q1966,"x")+1),-$E1966*N(J1966)))</f>
        <v/>
      </c>
      <c r="Y1966" s="34">
        <f>IF(OR($A1966="",$H1966&lt;&gt;"Ausgabe",K1966=""),0,IF(K1966="x",-$E1966/(COUNTIF($J1966:$Q1966,"x")+1),-$E1966*N(K1966)))</f>
        <v/>
      </c>
      <c r="Z1966" s="34">
        <f>IF(OR($A1966="",$H1966&lt;&gt;"Ausgabe",L1966=""),0,IF(L1966="x",-$E1966/(COUNTIF($J1966:$Q1966,"x")+1),-$E1966*N(L1966)))</f>
        <v/>
      </c>
      <c r="AA1966" s="34">
        <f>IF(OR($A1966="",$H1966&lt;&gt;"Ausgabe",M1966=""),0,IF(M1966="x",-$E1966/(COUNTIF($J1966:$Q1966,"x")+1),-$E1966*N(M1966)))</f>
        <v/>
      </c>
      <c r="AB1966" s="34">
        <f>IF(OR($A1966="",$H1966&lt;&gt;"Ausgabe",N1966=""),0,IF(N1966="x",-$E1966/(COUNTIF($J1966:$Q1966,"x")+1),-$E1966*N(N1966)))</f>
        <v/>
      </c>
      <c r="AC1966" s="34">
        <f>IF(OR($A1966="",$H1966&lt;&gt;"Ausgabe",O1966=""),0,IF(O1966="x",-$E1966/(COUNTIF($J1966:$Q1966,"x")+1),-$E1966*N(O1966)))</f>
        <v/>
      </c>
      <c r="AD1966" s="34">
        <f>IF(OR($A1966="",$H1966&lt;&gt;"Ausgabe",P1966=""),0,IF(P1966="x",-$E1966/(COUNTIF($J1966:$Q1966,"x")+1),-$E1966*N(P1966)))</f>
        <v/>
      </c>
      <c r="AE1966" s="34">
        <f>IF(OR($A1966="",$H1966&lt;&gt;"Ausgabe",Q1966=""),0,IF(Q1966="x",-$E1966/(COUNTIF($J1966:$Q1966,"x")+1),-$E1966*N(Q1966)))</f>
        <v/>
      </c>
    </row>
    <row r="1967">
      <c r="A1967" s="30" t="n"/>
      <c r="E1967" s="31" t="n"/>
      <c r="J1967" s="32" t="n"/>
      <c r="K1967" s="32" t="n"/>
      <c r="L1967" s="32" t="n"/>
      <c r="M1967" s="32" t="n"/>
      <c r="N1967" s="32" t="n"/>
      <c r="O1967" s="32" t="n"/>
      <c r="P1967" s="32" t="n"/>
      <c r="Q1967" s="32" t="n"/>
      <c r="U1967" s="31">
        <f>IF($A1967="","",SUM(X1967:AE1967))</f>
        <v/>
      </c>
      <c r="V1967" s="31">
        <f>IF($A1967="","",IF($H1967&lt;&gt;"Ausgabe",0,-$E1967-$U1967))</f>
        <v/>
      </c>
      <c r="W1967" s="33">
        <f>IF($A1967="","",DATE(YEAR($A1967),MONTH($A1967),1))</f>
        <v/>
      </c>
      <c r="X1967" s="34">
        <f>IF(OR($A1967="",$H1967&lt;&gt;"Ausgabe",J1967=""),0,IF(J1967="x",-$E1967/(COUNTIF($J1967:$Q1967,"x")+1),-$E1967*N(J1967)))</f>
        <v/>
      </c>
      <c r="Y1967" s="34">
        <f>IF(OR($A1967="",$H1967&lt;&gt;"Ausgabe",K1967=""),0,IF(K1967="x",-$E1967/(COUNTIF($J1967:$Q1967,"x")+1),-$E1967*N(K1967)))</f>
        <v/>
      </c>
      <c r="Z1967" s="34">
        <f>IF(OR($A1967="",$H1967&lt;&gt;"Ausgabe",L1967=""),0,IF(L1967="x",-$E1967/(COUNTIF($J1967:$Q1967,"x")+1),-$E1967*N(L1967)))</f>
        <v/>
      </c>
      <c r="AA1967" s="34">
        <f>IF(OR($A1967="",$H1967&lt;&gt;"Ausgabe",M1967=""),0,IF(M1967="x",-$E1967/(COUNTIF($J1967:$Q1967,"x")+1),-$E1967*N(M1967)))</f>
        <v/>
      </c>
      <c r="AB1967" s="34">
        <f>IF(OR($A1967="",$H1967&lt;&gt;"Ausgabe",N1967=""),0,IF(N1967="x",-$E1967/(COUNTIF($J1967:$Q1967,"x")+1),-$E1967*N(N1967)))</f>
        <v/>
      </c>
      <c r="AC1967" s="34">
        <f>IF(OR($A1967="",$H1967&lt;&gt;"Ausgabe",O1967=""),0,IF(O1967="x",-$E1967/(COUNTIF($J1967:$Q1967,"x")+1),-$E1967*N(O1967)))</f>
        <v/>
      </c>
      <c r="AD1967" s="34">
        <f>IF(OR($A1967="",$H1967&lt;&gt;"Ausgabe",P1967=""),0,IF(P1967="x",-$E1967/(COUNTIF($J1967:$Q1967,"x")+1),-$E1967*N(P1967)))</f>
        <v/>
      </c>
      <c r="AE1967" s="34">
        <f>IF(OR($A1967="",$H1967&lt;&gt;"Ausgabe",Q1967=""),0,IF(Q1967="x",-$E1967/(COUNTIF($J1967:$Q1967,"x")+1),-$E1967*N(Q1967)))</f>
        <v/>
      </c>
    </row>
    <row r="1968">
      <c r="A1968" s="30" t="n"/>
      <c r="E1968" s="31" t="n"/>
      <c r="J1968" s="32" t="n"/>
      <c r="K1968" s="32" t="n"/>
      <c r="L1968" s="32" t="n"/>
      <c r="M1968" s="32" t="n"/>
      <c r="N1968" s="32" t="n"/>
      <c r="O1968" s="32" t="n"/>
      <c r="P1968" s="32" t="n"/>
      <c r="Q1968" s="32" t="n"/>
      <c r="U1968" s="31">
        <f>IF($A1968="","",SUM(X1968:AE1968))</f>
        <v/>
      </c>
      <c r="V1968" s="31">
        <f>IF($A1968="","",IF($H1968&lt;&gt;"Ausgabe",0,-$E1968-$U1968))</f>
        <v/>
      </c>
      <c r="W1968" s="33">
        <f>IF($A1968="","",DATE(YEAR($A1968),MONTH($A1968),1))</f>
        <v/>
      </c>
      <c r="X1968" s="34">
        <f>IF(OR($A1968="",$H1968&lt;&gt;"Ausgabe",J1968=""),0,IF(J1968="x",-$E1968/(COUNTIF($J1968:$Q1968,"x")+1),-$E1968*N(J1968)))</f>
        <v/>
      </c>
      <c r="Y1968" s="34">
        <f>IF(OR($A1968="",$H1968&lt;&gt;"Ausgabe",K1968=""),0,IF(K1968="x",-$E1968/(COUNTIF($J1968:$Q1968,"x")+1),-$E1968*N(K1968)))</f>
        <v/>
      </c>
      <c r="Z1968" s="34">
        <f>IF(OR($A1968="",$H1968&lt;&gt;"Ausgabe",L1968=""),0,IF(L1968="x",-$E1968/(COUNTIF($J1968:$Q1968,"x")+1),-$E1968*N(L1968)))</f>
        <v/>
      </c>
      <c r="AA1968" s="34">
        <f>IF(OR($A1968="",$H1968&lt;&gt;"Ausgabe",M1968=""),0,IF(M1968="x",-$E1968/(COUNTIF($J1968:$Q1968,"x")+1),-$E1968*N(M1968)))</f>
        <v/>
      </c>
      <c r="AB1968" s="34">
        <f>IF(OR($A1968="",$H1968&lt;&gt;"Ausgabe",N1968=""),0,IF(N1968="x",-$E1968/(COUNTIF($J1968:$Q1968,"x")+1),-$E1968*N(N1968)))</f>
        <v/>
      </c>
      <c r="AC1968" s="34">
        <f>IF(OR($A1968="",$H1968&lt;&gt;"Ausgabe",O1968=""),0,IF(O1968="x",-$E1968/(COUNTIF($J1968:$Q1968,"x")+1),-$E1968*N(O1968)))</f>
        <v/>
      </c>
      <c r="AD1968" s="34">
        <f>IF(OR($A1968="",$H1968&lt;&gt;"Ausgabe",P1968=""),0,IF(P1968="x",-$E1968/(COUNTIF($J1968:$Q1968,"x")+1),-$E1968*N(P1968)))</f>
        <v/>
      </c>
      <c r="AE1968" s="34">
        <f>IF(OR($A1968="",$H1968&lt;&gt;"Ausgabe",Q1968=""),0,IF(Q1968="x",-$E1968/(COUNTIF($J1968:$Q1968,"x")+1),-$E1968*N(Q1968)))</f>
        <v/>
      </c>
    </row>
    <row r="1969">
      <c r="A1969" s="30" t="n"/>
      <c r="E1969" s="31" t="n"/>
      <c r="J1969" s="32" t="n"/>
      <c r="K1969" s="32" t="n"/>
      <c r="L1969" s="32" t="n"/>
      <c r="M1969" s="32" t="n"/>
      <c r="N1969" s="32" t="n"/>
      <c r="O1969" s="32" t="n"/>
      <c r="P1969" s="32" t="n"/>
      <c r="Q1969" s="32" t="n"/>
      <c r="U1969" s="31">
        <f>IF($A1969="","",SUM(X1969:AE1969))</f>
        <v/>
      </c>
      <c r="V1969" s="31">
        <f>IF($A1969="","",IF($H1969&lt;&gt;"Ausgabe",0,-$E1969-$U1969))</f>
        <v/>
      </c>
      <c r="W1969" s="33">
        <f>IF($A1969="","",DATE(YEAR($A1969),MONTH($A1969),1))</f>
        <v/>
      </c>
      <c r="X1969" s="34">
        <f>IF(OR($A1969="",$H1969&lt;&gt;"Ausgabe",J1969=""),0,IF(J1969="x",-$E1969/(COUNTIF($J1969:$Q1969,"x")+1),-$E1969*N(J1969)))</f>
        <v/>
      </c>
      <c r="Y1969" s="34">
        <f>IF(OR($A1969="",$H1969&lt;&gt;"Ausgabe",K1969=""),0,IF(K1969="x",-$E1969/(COUNTIF($J1969:$Q1969,"x")+1),-$E1969*N(K1969)))</f>
        <v/>
      </c>
      <c r="Z1969" s="34">
        <f>IF(OR($A1969="",$H1969&lt;&gt;"Ausgabe",L1969=""),0,IF(L1969="x",-$E1969/(COUNTIF($J1969:$Q1969,"x")+1),-$E1969*N(L1969)))</f>
        <v/>
      </c>
      <c r="AA1969" s="34">
        <f>IF(OR($A1969="",$H1969&lt;&gt;"Ausgabe",M1969=""),0,IF(M1969="x",-$E1969/(COUNTIF($J1969:$Q1969,"x")+1),-$E1969*N(M1969)))</f>
        <v/>
      </c>
      <c r="AB1969" s="34">
        <f>IF(OR($A1969="",$H1969&lt;&gt;"Ausgabe",N1969=""),0,IF(N1969="x",-$E1969/(COUNTIF($J1969:$Q1969,"x")+1),-$E1969*N(N1969)))</f>
        <v/>
      </c>
      <c r="AC1969" s="34">
        <f>IF(OR($A1969="",$H1969&lt;&gt;"Ausgabe",O1969=""),0,IF(O1969="x",-$E1969/(COUNTIF($J1969:$Q1969,"x")+1),-$E1969*N(O1969)))</f>
        <v/>
      </c>
      <c r="AD1969" s="34">
        <f>IF(OR($A1969="",$H1969&lt;&gt;"Ausgabe",P1969=""),0,IF(P1969="x",-$E1969/(COUNTIF($J1969:$Q1969,"x")+1),-$E1969*N(P1969)))</f>
        <v/>
      </c>
      <c r="AE1969" s="34">
        <f>IF(OR($A1969="",$H1969&lt;&gt;"Ausgabe",Q1969=""),0,IF(Q1969="x",-$E1969/(COUNTIF($J1969:$Q1969,"x")+1),-$E1969*N(Q1969)))</f>
        <v/>
      </c>
    </row>
    <row r="1970">
      <c r="A1970" s="30" t="n"/>
      <c r="E1970" s="31" t="n"/>
      <c r="J1970" s="32" t="n"/>
      <c r="K1970" s="32" t="n"/>
      <c r="L1970" s="32" t="n"/>
      <c r="M1970" s="32" t="n"/>
      <c r="N1970" s="32" t="n"/>
      <c r="O1970" s="32" t="n"/>
      <c r="P1970" s="32" t="n"/>
      <c r="Q1970" s="32" t="n"/>
      <c r="U1970" s="31">
        <f>IF($A1970="","",SUM(X1970:AE1970))</f>
        <v/>
      </c>
      <c r="V1970" s="31">
        <f>IF($A1970="","",IF($H1970&lt;&gt;"Ausgabe",0,-$E1970-$U1970))</f>
        <v/>
      </c>
      <c r="W1970" s="33">
        <f>IF($A1970="","",DATE(YEAR($A1970),MONTH($A1970),1))</f>
        <v/>
      </c>
      <c r="X1970" s="34">
        <f>IF(OR($A1970="",$H1970&lt;&gt;"Ausgabe",J1970=""),0,IF(J1970="x",-$E1970/(COUNTIF($J1970:$Q1970,"x")+1),-$E1970*N(J1970)))</f>
        <v/>
      </c>
      <c r="Y1970" s="34">
        <f>IF(OR($A1970="",$H1970&lt;&gt;"Ausgabe",K1970=""),0,IF(K1970="x",-$E1970/(COUNTIF($J1970:$Q1970,"x")+1),-$E1970*N(K1970)))</f>
        <v/>
      </c>
      <c r="Z1970" s="34">
        <f>IF(OR($A1970="",$H1970&lt;&gt;"Ausgabe",L1970=""),0,IF(L1970="x",-$E1970/(COUNTIF($J1970:$Q1970,"x")+1),-$E1970*N(L1970)))</f>
        <v/>
      </c>
      <c r="AA1970" s="34">
        <f>IF(OR($A1970="",$H1970&lt;&gt;"Ausgabe",M1970=""),0,IF(M1970="x",-$E1970/(COUNTIF($J1970:$Q1970,"x")+1),-$E1970*N(M1970)))</f>
        <v/>
      </c>
      <c r="AB1970" s="34">
        <f>IF(OR($A1970="",$H1970&lt;&gt;"Ausgabe",N1970=""),0,IF(N1970="x",-$E1970/(COUNTIF($J1970:$Q1970,"x")+1),-$E1970*N(N1970)))</f>
        <v/>
      </c>
      <c r="AC1970" s="34">
        <f>IF(OR($A1970="",$H1970&lt;&gt;"Ausgabe",O1970=""),0,IF(O1970="x",-$E1970/(COUNTIF($J1970:$Q1970,"x")+1),-$E1970*N(O1970)))</f>
        <v/>
      </c>
      <c r="AD1970" s="34">
        <f>IF(OR($A1970="",$H1970&lt;&gt;"Ausgabe",P1970=""),0,IF(P1970="x",-$E1970/(COUNTIF($J1970:$Q1970,"x")+1),-$E1970*N(P1970)))</f>
        <v/>
      </c>
      <c r="AE1970" s="34">
        <f>IF(OR($A1970="",$H1970&lt;&gt;"Ausgabe",Q1970=""),0,IF(Q1970="x",-$E1970/(COUNTIF($J1970:$Q1970,"x")+1),-$E1970*N(Q1970)))</f>
        <v/>
      </c>
    </row>
    <row r="1971">
      <c r="A1971" s="30" t="n"/>
      <c r="E1971" s="31" t="n"/>
      <c r="J1971" s="32" t="n"/>
      <c r="K1971" s="32" t="n"/>
      <c r="L1971" s="32" t="n"/>
      <c r="M1971" s="32" t="n"/>
      <c r="N1971" s="32" t="n"/>
      <c r="O1971" s="32" t="n"/>
      <c r="P1971" s="32" t="n"/>
      <c r="Q1971" s="32" t="n"/>
      <c r="U1971" s="31">
        <f>IF($A1971="","",SUM(X1971:AE1971))</f>
        <v/>
      </c>
      <c r="V1971" s="31">
        <f>IF($A1971="","",IF($H1971&lt;&gt;"Ausgabe",0,-$E1971-$U1971))</f>
        <v/>
      </c>
      <c r="W1971" s="33">
        <f>IF($A1971="","",DATE(YEAR($A1971),MONTH($A1971),1))</f>
        <v/>
      </c>
      <c r="X1971" s="34">
        <f>IF(OR($A1971="",$H1971&lt;&gt;"Ausgabe",J1971=""),0,IF(J1971="x",-$E1971/(COUNTIF($J1971:$Q1971,"x")+1),-$E1971*N(J1971)))</f>
        <v/>
      </c>
      <c r="Y1971" s="34">
        <f>IF(OR($A1971="",$H1971&lt;&gt;"Ausgabe",K1971=""),0,IF(K1971="x",-$E1971/(COUNTIF($J1971:$Q1971,"x")+1),-$E1971*N(K1971)))</f>
        <v/>
      </c>
      <c r="Z1971" s="34">
        <f>IF(OR($A1971="",$H1971&lt;&gt;"Ausgabe",L1971=""),0,IF(L1971="x",-$E1971/(COUNTIF($J1971:$Q1971,"x")+1),-$E1971*N(L1971)))</f>
        <v/>
      </c>
      <c r="AA1971" s="34">
        <f>IF(OR($A1971="",$H1971&lt;&gt;"Ausgabe",M1971=""),0,IF(M1971="x",-$E1971/(COUNTIF($J1971:$Q1971,"x")+1),-$E1971*N(M1971)))</f>
        <v/>
      </c>
      <c r="AB1971" s="34">
        <f>IF(OR($A1971="",$H1971&lt;&gt;"Ausgabe",N1971=""),0,IF(N1971="x",-$E1971/(COUNTIF($J1971:$Q1971,"x")+1),-$E1971*N(N1971)))</f>
        <v/>
      </c>
      <c r="AC1971" s="34">
        <f>IF(OR($A1971="",$H1971&lt;&gt;"Ausgabe",O1971=""),0,IF(O1971="x",-$E1971/(COUNTIF($J1971:$Q1971,"x")+1),-$E1971*N(O1971)))</f>
        <v/>
      </c>
      <c r="AD1971" s="34">
        <f>IF(OR($A1971="",$H1971&lt;&gt;"Ausgabe",P1971=""),0,IF(P1971="x",-$E1971/(COUNTIF($J1971:$Q1971,"x")+1),-$E1971*N(P1971)))</f>
        <v/>
      </c>
      <c r="AE1971" s="34">
        <f>IF(OR($A1971="",$H1971&lt;&gt;"Ausgabe",Q1971=""),0,IF(Q1971="x",-$E1971/(COUNTIF($J1971:$Q1971,"x")+1),-$E1971*N(Q1971)))</f>
        <v/>
      </c>
    </row>
    <row r="1972">
      <c r="A1972" s="30" t="n"/>
      <c r="E1972" s="31" t="n"/>
      <c r="J1972" s="32" t="n"/>
      <c r="K1972" s="32" t="n"/>
      <c r="L1972" s="32" t="n"/>
      <c r="M1972" s="32" t="n"/>
      <c r="N1972" s="32" t="n"/>
      <c r="O1972" s="32" t="n"/>
      <c r="P1972" s="32" t="n"/>
      <c r="Q1972" s="32" t="n"/>
      <c r="U1972" s="31">
        <f>IF($A1972="","",SUM(X1972:AE1972))</f>
        <v/>
      </c>
      <c r="V1972" s="31">
        <f>IF($A1972="","",IF($H1972&lt;&gt;"Ausgabe",0,-$E1972-$U1972))</f>
        <v/>
      </c>
      <c r="W1972" s="33">
        <f>IF($A1972="","",DATE(YEAR($A1972),MONTH($A1972),1))</f>
        <v/>
      </c>
      <c r="X1972" s="34">
        <f>IF(OR($A1972="",$H1972&lt;&gt;"Ausgabe",J1972=""),0,IF(J1972="x",-$E1972/(COUNTIF($J1972:$Q1972,"x")+1),-$E1972*N(J1972)))</f>
        <v/>
      </c>
      <c r="Y1972" s="34">
        <f>IF(OR($A1972="",$H1972&lt;&gt;"Ausgabe",K1972=""),0,IF(K1972="x",-$E1972/(COUNTIF($J1972:$Q1972,"x")+1),-$E1972*N(K1972)))</f>
        <v/>
      </c>
      <c r="Z1972" s="34">
        <f>IF(OR($A1972="",$H1972&lt;&gt;"Ausgabe",L1972=""),0,IF(L1972="x",-$E1972/(COUNTIF($J1972:$Q1972,"x")+1),-$E1972*N(L1972)))</f>
        <v/>
      </c>
      <c r="AA1972" s="34">
        <f>IF(OR($A1972="",$H1972&lt;&gt;"Ausgabe",M1972=""),0,IF(M1972="x",-$E1972/(COUNTIF($J1972:$Q1972,"x")+1),-$E1972*N(M1972)))</f>
        <v/>
      </c>
      <c r="AB1972" s="34">
        <f>IF(OR($A1972="",$H1972&lt;&gt;"Ausgabe",N1972=""),0,IF(N1972="x",-$E1972/(COUNTIF($J1972:$Q1972,"x")+1),-$E1972*N(N1972)))</f>
        <v/>
      </c>
      <c r="AC1972" s="34">
        <f>IF(OR($A1972="",$H1972&lt;&gt;"Ausgabe",O1972=""),0,IF(O1972="x",-$E1972/(COUNTIF($J1972:$Q1972,"x")+1),-$E1972*N(O1972)))</f>
        <v/>
      </c>
      <c r="AD1972" s="34">
        <f>IF(OR($A1972="",$H1972&lt;&gt;"Ausgabe",P1972=""),0,IF(P1972="x",-$E1972/(COUNTIF($J1972:$Q1972,"x")+1),-$E1972*N(P1972)))</f>
        <v/>
      </c>
      <c r="AE1972" s="34">
        <f>IF(OR($A1972="",$H1972&lt;&gt;"Ausgabe",Q1972=""),0,IF(Q1972="x",-$E1972/(COUNTIF($J1972:$Q1972,"x")+1),-$E1972*N(Q1972)))</f>
        <v/>
      </c>
    </row>
    <row r="1973">
      <c r="A1973" s="30" t="n"/>
      <c r="E1973" s="31" t="n"/>
      <c r="J1973" s="32" t="n"/>
      <c r="K1973" s="32" t="n"/>
      <c r="L1973" s="32" t="n"/>
      <c r="M1973" s="32" t="n"/>
      <c r="N1973" s="32" t="n"/>
      <c r="O1973" s="32" t="n"/>
      <c r="P1973" s="32" t="n"/>
      <c r="Q1973" s="32" t="n"/>
      <c r="U1973" s="31">
        <f>IF($A1973="","",SUM(X1973:AE1973))</f>
        <v/>
      </c>
      <c r="V1973" s="31">
        <f>IF($A1973="","",IF($H1973&lt;&gt;"Ausgabe",0,-$E1973-$U1973))</f>
        <v/>
      </c>
      <c r="W1973" s="33">
        <f>IF($A1973="","",DATE(YEAR($A1973),MONTH($A1973),1))</f>
        <v/>
      </c>
      <c r="X1973" s="34">
        <f>IF(OR($A1973="",$H1973&lt;&gt;"Ausgabe",J1973=""),0,IF(J1973="x",-$E1973/(COUNTIF($J1973:$Q1973,"x")+1),-$E1973*N(J1973)))</f>
        <v/>
      </c>
      <c r="Y1973" s="34">
        <f>IF(OR($A1973="",$H1973&lt;&gt;"Ausgabe",K1973=""),0,IF(K1973="x",-$E1973/(COUNTIF($J1973:$Q1973,"x")+1),-$E1973*N(K1973)))</f>
        <v/>
      </c>
      <c r="Z1973" s="34">
        <f>IF(OR($A1973="",$H1973&lt;&gt;"Ausgabe",L1973=""),0,IF(L1973="x",-$E1973/(COUNTIF($J1973:$Q1973,"x")+1),-$E1973*N(L1973)))</f>
        <v/>
      </c>
      <c r="AA1973" s="34">
        <f>IF(OR($A1973="",$H1973&lt;&gt;"Ausgabe",M1973=""),0,IF(M1973="x",-$E1973/(COUNTIF($J1973:$Q1973,"x")+1),-$E1973*N(M1973)))</f>
        <v/>
      </c>
      <c r="AB1973" s="34">
        <f>IF(OR($A1973="",$H1973&lt;&gt;"Ausgabe",N1973=""),0,IF(N1973="x",-$E1973/(COUNTIF($J1973:$Q1973,"x")+1),-$E1973*N(N1973)))</f>
        <v/>
      </c>
      <c r="AC1973" s="34">
        <f>IF(OR($A1973="",$H1973&lt;&gt;"Ausgabe",O1973=""),0,IF(O1973="x",-$E1973/(COUNTIF($J1973:$Q1973,"x")+1),-$E1973*N(O1973)))</f>
        <v/>
      </c>
      <c r="AD1973" s="34">
        <f>IF(OR($A1973="",$H1973&lt;&gt;"Ausgabe",P1973=""),0,IF(P1973="x",-$E1973/(COUNTIF($J1973:$Q1973,"x")+1),-$E1973*N(P1973)))</f>
        <v/>
      </c>
      <c r="AE1973" s="34">
        <f>IF(OR($A1973="",$H1973&lt;&gt;"Ausgabe",Q1973=""),0,IF(Q1973="x",-$E1973/(COUNTIF($J1973:$Q1973,"x")+1),-$E1973*N(Q1973)))</f>
        <v/>
      </c>
    </row>
    <row r="1974">
      <c r="A1974" s="30" t="n"/>
      <c r="E1974" s="31" t="n"/>
      <c r="J1974" s="32" t="n"/>
      <c r="K1974" s="32" t="n"/>
      <c r="L1974" s="32" t="n"/>
      <c r="M1974" s="32" t="n"/>
      <c r="N1974" s="32" t="n"/>
      <c r="O1974" s="32" t="n"/>
      <c r="P1974" s="32" t="n"/>
      <c r="Q1974" s="32" t="n"/>
      <c r="U1974" s="31">
        <f>IF($A1974="","",SUM(X1974:AE1974))</f>
        <v/>
      </c>
      <c r="V1974" s="31">
        <f>IF($A1974="","",IF($H1974&lt;&gt;"Ausgabe",0,-$E1974-$U1974))</f>
        <v/>
      </c>
      <c r="W1974" s="33">
        <f>IF($A1974="","",DATE(YEAR($A1974),MONTH($A1974),1))</f>
        <v/>
      </c>
      <c r="X1974" s="34">
        <f>IF(OR($A1974="",$H1974&lt;&gt;"Ausgabe",J1974=""),0,IF(J1974="x",-$E1974/(COUNTIF($J1974:$Q1974,"x")+1),-$E1974*N(J1974)))</f>
        <v/>
      </c>
      <c r="Y1974" s="34">
        <f>IF(OR($A1974="",$H1974&lt;&gt;"Ausgabe",K1974=""),0,IF(K1974="x",-$E1974/(COUNTIF($J1974:$Q1974,"x")+1),-$E1974*N(K1974)))</f>
        <v/>
      </c>
      <c r="Z1974" s="34">
        <f>IF(OR($A1974="",$H1974&lt;&gt;"Ausgabe",L1974=""),0,IF(L1974="x",-$E1974/(COUNTIF($J1974:$Q1974,"x")+1),-$E1974*N(L1974)))</f>
        <v/>
      </c>
      <c r="AA1974" s="34">
        <f>IF(OR($A1974="",$H1974&lt;&gt;"Ausgabe",M1974=""),0,IF(M1974="x",-$E1974/(COUNTIF($J1974:$Q1974,"x")+1),-$E1974*N(M1974)))</f>
        <v/>
      </c>
      <c r="AB1974" s="34">
        <f>IF(OR($A1974="",$H1974&lt;&gt;"Ausgabe",N1974=""),0,IF(N1974="x",-$E1974/(COUNTIF($J1974:$Q1974,"x")+1),-$E1974*N(N1974)))</f>
        <v/>
      </c>
      <c r="AC1974" s="34">
        <f>IF(OR($A1974="",$H1974&lt;&gt;"Ausgabe",O1974=""),0,IF(O1974="x",-$E1974/(COUNTIF($J1974:$Q1974,"x")+1),-$E1974*N(O1974)))</f>
        <v/>
      </c>
      <c r="AD1974" s="34">
        <f>IF(OR($A1974="",$H1974&lt;&gt;"Ausgabe",P1974=""),0,IF(P1974="x",-$E1974/(COUNTIF($J1974:$Q1974,"x")+1),-$E1974*N(P1974)))</f>
        <v/>
      </c>
      <c r="AE1974" s="34">
        <f>IF(OR($A1974="",$H1974&lt;&gt;"Ausgabe",Q1974=""),0,IF(Q1974="x",-$E1974/(COUNTIF($J1974:$Q1974,"x")+1),-$E1974*N(Q1974)))</f>
        <v/>
      </c>
    </row>
    <row r="1975">
      <c r="A1975" s="30" t="n"/>
      <c r="E1975" s="31" t="n"/>
      <c r="J1975" s="32" t="n"/>
      <c r="K1975" s="32" t="n"/>
      <c r="L1975" s="32" t="n"/>
      <c r="M1975" s="32" t="n"/>
      <c r="N1975" s="32" t="n"/>
      <c r="O1975" s="32" t="n"/>
      <c r="P1975" s="32" t="n"/>
      <c r="Q1975" s="32" t="n"/>
      <c r="U1975" s="31">
        <f>IF($A1975="","",SUM(X1975:AE1975))</f>
        <v/>
      </c>
      <c r="V1975" s="31">
        <f>IF($A1975="","",IF($H1975&lt;&gt;"Ausgabe",0,-$E1975-$U1975))</f>
        <v/>
      </c>
      <c r="W1975" s="33">
        <f>IF($A1975="","",DATE(YEAR($A1975),MONTH($A1975),1))</f>
        <v/>
      </c>
      <c r="X1975" s="34">
        <f>IF(OR($A1975="",$H1975&lt;&gt;"Ausgabe",J1975=""),0,IF(J1975="x",-$E1975/(COUNTIF($J1975:$Q1975,"x")+1),-$E1975*N(J1975)))</f>
        <v/>
      </c>
      <c r="Y1975" s="34">
        <f>IF(OR($A1975="",$H1975&lt;&gt;"Ausgabe",K1975=""),0,IF(K1975="x",-$E1975/(COUNTIF($J1975:$Q1975,"x")+1),-$E1975*N(K1975)))</f>
        <v/>
      </c>
      <c r="Z1975" s="34">
        <f>IF(OR($A1975="",$H1975&lt;&gt;"Ausgabe",L1975=""),0,IF(L1975="x",-$E1975/(COUNTIF($J1975:$Q1975,"x")+1),-$E1975*N(L1975)))</f>
        <v/>
      </c>
      <c r="AA1975" s="34">
        <f>IF(OR($A1975="",$H1975&lt;&gt;"Ausgabe",M1975=""),0,IF(M1975="x",-$E1975/(COUNTIF($J1975:$Q1975,"x")+1),-$E1975*N(M1975)))</f>
        <v/>
      </c>
      <c r="AB1975" s="34">
        <f>IF(OR($A1975="",$H1975&lt;&gt;"Ausgabe",N1975=""),0,IF(N1975="x",-$E1975/(COUNTIF($J1975:$Q1975,"x")+1),-$E1975*N(N1975)))</f>
        <v/>
      </c>
      <c r="AC1975" s="34">
        <f>IF(OR($A1975="",$H1975&lt;&gt;"Ausgabe",O1975=""),0,IF(O1975="x",-$E1975/(COUNTIF($J1975:$Q1975,"x")+1),-$E1975*N(O1975)))</f>
        <v/>
      </c>
      <c r="AD1975" s="34">
        <f>IF(OR($A1975="",$H1975&lt;&gt;"Ausgabe",P1975=""),0,IF(P1975="x",-$E1975/(COUNTIF($J1975:$Q1975,"x")+1),-$E1975*N(P1975)))</f>
        <v/>
      </c>
      <c r="AE1975" s="34">
        <f>IF(OR($A1975="",$H1975&lt;&gt;"Ausgabe",Q1975=""),0,IF(Q1975="x",-$E1975/(COUNTIF($J1975:$Q1975,"x")+1),-$E1975*N(Q1975)))</f>
        <v/>
      </c>
    </row>
    <row r="1976">
      <c r="A1976" s="30" t="n"/>
      <c r="E1976" s="31" t="n"/>
      <c r="J1976" s="32" t="n"/>
      <c r="K1976" s="32" t="n"/>
      <c r="L1976" s="32" t="n"/>
      <c r="M1976" s="32" t="n"/>
      <c r="N1976" s="32" t="n"/>
      <c r="O1976" s="32" t="n"/>
      <c r="P1976" s="32" t="n"/>
      <c r="Q1976" s="32" t="n"/>
      <c r="U1976" s="31">
        <f>IF($A1976="","",SUM(X1976:AE1976))</f>
        <v/>
      </c>
      <c r="V1976" s="31">
        <f>IF($A1976="","",IF($H1976&lt;&gt;"Ausgabe",0,-$E1976-$U1976))</f>
        <v/>
      </c>
      <c r="W1976" s="33">
        <f>IF($A1976="","",DATE(YEAR($A1976),MONTH($A1976),1))</f>
        <v/>
      </c>
      <c r="X1976" s="34">
        <f>IF(OR($A1976="",$H1976&lt;&gt;"Ausgabe",J1976=""),0,IF(J1976="x",-$E1976/(COUNTIF($J1976:$Q1976,"x")+1),-$E1976*N(J1976)))</f>
        <v/>
      </c>
      <c r="Y1976" s="34">
        <f>IF(OR($A1976="",$H1976&lt;&gt;"Ausgabe",K1976=""),0,IF(K1976="x",-$E1976/(COUNTIF($J1976:$Q1976,"x")+1),-$E1976*N(K1976)))</f>
        <v/>
      </c>
      <c r="Z1976" s="34">
        <f>IF(OR($A1976="",$H1976&lt;&gt;"Ausgabe",L1976=""),0,IF(L1976="x",-$E1976/(COUNTIF($J1976:$Q1976,"x")+1),-$E1976*N(L1976)))</f>
        <v/>
      </c>
      <c r="AA1976" s="34">
        <f>IF(OR($A1976="",$H1976&lt;&gt;"Ausgabe",M1976=""),0,IF(M1976="x",-$E1976/(COUNTIF($J1976:$Q1976,"x")+1),-$E1976*N(M1976)))</f>
        <v/>
      </c>
      <c r="AB1976" s="34">
        <f>IF(OR($A1976="",$H1976&lt;&gt;"Ausgabe",N1976=""),0,IF(N1976="x",-$E1976/(COUNTIF($J1976:$Q1976,"x")+1),-$E1976*N(N1976)))</f>
        <v/>
      </c>
      <c r="AC1976" s="34">
        <f>IF(OR($A1976="",$H1976&lt;&gt;"Ausgabe",O1976=""),0,IF(O1976="x",-$E1976/(COUNTIF($J1976:$Q1976,"x")+1),-$E1976*N(O1976)))</f>
        <v/>
      </c>
      <c r="AD1976" s="34">
        <f>IF(OR($A1976="",$H1976&lt;&gt;"Ausgabe",P1976=""),0,IF(P1976="x",-$E1976/(COUNTIF($J1976:$Q1976,"x")+1),-$E1976*N(P1976)))</f>
        <v/>
      </c>
      <c r="AE1976" s="34">
        <f>IF(OR($A1976="",$H1976&lt;&gt;"Ausgabe",Q1976=""),0,IF(Q1976="x",-$E1976/(COUNTIF($J1976:$Q1976,"x")+1),-$E1976*N(Q1976)))</f>
        <v/>
      </c>
    </row>
    <row r="1977">
      <c r="A1977" s="30" t="n"/>
      <c r="E1977" s="31" t="n"/>
      <c r="J1977" s="32" t="n"/>
      <c r="K1977" s="32" t="n"/>
      <c r="L1977" s="32" t="n"/>
      <c r="M1977" s="32" t="n"/>
      <c r="N1977" s="32" t="n"/>
      <c r="O1977" s="32" t="n"/>
      <c r="P1977" s="32" t="n"/>
      <c r="Q1977" s="32" t="n"/>
      <c r="U1977" s="31">
        <f>IF($A1977="","",SUM(X1977:AE1977))</f>
        <v/>
      </c>
      <c r="V1977" s="31">
        <f>IF($A1977="","",IF($H1977&lt;&gt;"Ausgabe",0,-$E1977-$U1977))</f>
        <v/>
      </c>
      <c r="W1977" s="33">
        <f>IF($A1977="","",DATE(YEAR($A1977),MONTH($A1977),1))</f>
        <v/>
      </c>
      <c r="X1977" s="34">
        <f>IF(OR($A1977="",$H1977&lt;&gt;"Ausgabe",J1977=""),0,IF(J1977="x",-$E1977/(COUNTIF($J1977:$Q1977,"x")+1),-$E1977*N(J1977)))</f>
        <v/>
      </c>
      <c r="Y1977" s="34">
        <f>IF(OR($A1977="",$H1977&lt;&gt;"Ausgabe",K1977=""),0,IF(K1977="x",-$E1977/(COUNTIF($J1977:$Q1977,"x")+1),-$E1977*N(K1977)))</f>
        <v/>
      </c>
      <c r="Z1977" s="34">
        <f>IF(OR($A1977="",$H1977&lt;&gt;"Ausgabe",L1977=""),0,IF(L1977="x",-$E1977/(COUNTIF($J1977:$Q1977,"x")+1),-$E1977*N(L1977)))</f>
        <v/>
      </c>
      <c r="AA1977" s="34">
        <f>IF(OR($A1977="",$H1977&lt;&gt;"Ausgabe",M1977=""),0,IF(M1977="x",-$E1977/(COUNTIF($J1977:$Q1977,"x")+1),-$E1977*N(M1977)))</f>
        <v/>
      </c>
      <c r="AB1977" s="34">
        <f>IF(OR($A1977="",$H1977&lt;&gt;"Ausgabe",N1977=""),0,IF(N1977="x",-$E1977/(COUNTIF($J1977:$Q1977,"x")+1),-$E1977*N(N1977)))</f>
        <v/>
      </c>
      <c r="AC1977" s="34">
        <f>IF(OR($A1977="",$H1977&lt;&gt;"Ausgabe",O1977=""),0,IF(O1977="x",-$E1977/(COUNTIF($J1977:$Q1977,"x")+1),-$E1977*N(O1977)))</f>
        <v/>
      </c>
      <c r="AD1977" s="34">
        <f>IF(OR($A1977="",$H1977&lt;&gt;"Ausgabe",P1977=""),0,IF(P1977="x",-$E1977/(COUNTIF($J1977:$Q1977,"x")+1),-$E1977*N(P1977)))</f>
        <v/>
      </c>
      <c r="AE1977" s="34">
        <f>IF(OR($A1977="",$H1977&lt;&gt;"Ausgabe",Q1977=""),0,IF(Q1977="x",-$E1977/(COUNTIF($J1977:$Q1977,"x")+1),-$E1977*N(Q1977)))</f>
        <v/>
      </c>
    </row>
    <row r="1978">
      <c r="A1978" s="30" t="n"/>
      <c r="E1978" s="31" t="n"/>
      <c r="J1978" s="32" t="n"/>
      <c r="K1978" s="32" t="n"/>
      <c r="L1978" s="32" t="n"/>
      <c r="M1978" s="32" t="n"/>
      <c r="N1978" s="32" t="n"/>
      <c r="O1978" s="32" t="n"/>
      <c r="P1978" s="32" t="n"/>
      <c r="Q1978" s="32" t="n"/>
      <c r="U1978" s="31">
        <f>IF($A1978="","",SUM(X1978:AE1978))</f>
        <v/>
      </c>
      <c r="V1978" s="31">
        <f>IF($A1978="","",IF($H1978&lt;&gt;"Ausgabe",0,-$E1978-$U1978))</f>
        <v/>
      </c>
      <c r="W1978" s="33">
        <f>IF($A1978="","",DATE(YEAR($A1978),MONTH($A1978),1))</f>
        <v/>
      </c>
      <c r="X1978" s="34">
        <f>IF(OR($A1978="",$H1978&lt;&gt;"Ausgabe",J1978=""),0,IF(J1978="x",-$E1978/(COUNTIF($J1978:$Q1978,"x")+1),-$E1978*N(J1978)))</f>
        <v/>
      </c>
      <c r="Y1978" s="34">
        <f>IF(OR($A1978="",$H1978&lt;&gt;"Ausgabe",K1978=""),0,IF(K1978="x",-$E1978/(COUNTIF($J1978:$Q1978,"x")+1),-$E1978*N(K1978)))</f>
        <v/>
      </c>
      <c r="Z1978" s="34">
        <f>IF(OR($A1978="",$H1978&lt;&gt;"Ausgabe",L1978=""),0,IF(L1978="x",-$E1978/(COUNTIF($J1978:$Q1978,"x")+1),-$E1978*N(L1978)))</f>
        <v/>
      </c>
      <c r="AA1978" s="34">
        <f>IF(OR($A1978="",$H1978&lt;&gt;"Ausgabe",M1978=""),0,IF(M1978="x",-$E1978/(COUNTIF($J1978:$Q1978,"x")+1),-$E1978*N(M1978)))</f>
        <v/>
      </c>
      <c r="AB1978" s="34">
        <f>IF(OR($A1978="",$H1978&lt;&gt;"Ausgabe",N1978=""),0,IF(N1978="x",-$E1978/(COUNTIF($J1978:$Q1978,"x")+1),-$E1978*N(N1978)))</f>
        <v/>
      </c>
      <c r="AC1978" s="34">
        <f>IF(OR($A1978="",$H1978&lt;&gt;"Ausgabe",O1978=""),0,IF(O1978="x",-$E1978/(COUNTIF($J1978:$Q1978,"x")+1),-$E1978*N(O1978)))</f>
        <v/>
      </c>
      <c r="AD1978" s="34">
        <f>IF(OR($A1978="",$H1978&lt;&gt;"Ausgabe",P1978=""),0,IF(P1978="x",-$E1978/(COUNTIF($J1978:$Q1978,"x")+1),-$E1978*N(P1978)))</f>
        <v/>
      </c>
      <c r="AE1978" s="34">
        <f>IF(OR($A1978="",$H1978&lt;&gt;"Ausgabe",Q1978=""),0,IF(Q1978="x",-$E1978/(COUNTIF($J1978:$Q1978,"x")+1),-$E1978*N(Q1978)))</f>
        <v/>
      </c>
    </row>
    <row r="1979">
      <c r="A1979" s="30" t="n"/>
      <c r="E1979" s="31" t="n"/>
      <c r="J1979" s="32" t="n"/>
      <c r="K1979" s="32" t="n"/>
      <c r="L1979" s="32" t="n"/>
      <c r="M1979" s="32" t="n"/>
      <c r="N1979" s="32" t="n"/>
      <c r="O1979" s="32" t="n"/>
      <c r="P1979" s="32" t="n"/>
      <c r="Q1979" s="32" t="n"/>
      <c r="U1979" s="31">
        <f>IF($A1979="","",SUM(X1979:AE1979))</f>
        <v/>
      </c>
      <c r="V1979" s="31">
        <f>IF($A1979="","",IF($H1979&lt;&gt;"Ausgabe",0,-$E1979-$U1979))</f>
        <v/>
      </c>
      <c r="W1979" s="33">
        <f>IF($A1979="","",DATE(YEAR($A1979),MONTH($A1979),1))</f>
        <v/>
      </c>
      <c r="X1979" s="34">
        <f>IF(OR($A1979="",$H1979&lt;&gt;"Ausgabe",J1979=""),0,IF(J1979="x",-$E1979/(COUNTIF($J1979:$Q1979,"x")+1),-$E1979*N(J1979)))</f>
        <v/>
      </c>
      <c r="Y1979" s="34">
        <f>IF(OR($A1979="",$H1979&lt;&gt;"Ausgabe",K1979=""),0,IF(K1979="x",-$E1979/(COUNTIF($J1979:$Q1979,"x")+1),-$E1979*N(K1979)))</f>
        <v/>
      </c>
      <c r="Z1979" s="34">
        <f>IF(OR($A1979="",$H1979&lt;&gt;"Ausgabe",L1979=""),0,IF(L1979="x",-$E1979/(COUNTIF($J1979:$Q1979,"x")+1),-$E1979*N(L1979)))</f>
        <v/>
      </c>
      <c r="AA1979" s="34">
        <f>IF(OR($A1979="",$H1979&lt;&gt;"Ausgabe",M1979=""),0,IF(M1979="x",-$E1979/(COUNTIF($J1979:$Q1979,"x")+1),-$E1979*N(M1979)))</f>
        <v/>
      </c>
      <c r="AB1979" s="34">
        <f>IF(OR($A1979="",$H1979&lt;&gt;"Ausgabe",N1979=""),0,IF(N1979="x",-$E1979/(COUNTIF($J1979:$Q1979,"x")+1),-$E1979*N(N1979)))</f>
        <v/>
      </c>
      <c r="AC1979" s="34">
        <f>IF(OR($A1979="",$H1979&lt;&gt;"Ausgabe",O1979=""),0,IF(O1979="x",-$E1979/(COUNTIF($J1979:$Q1979,"x")+1),-$E1979*N(O1979)))</f>
        <v/>
      </c>
      <c r="AD1979" s="34">
        <f>IF(OR($A1979="",$H1979&lt;&gt;"Ausgabe",P1979=""),0,IF(P1979="x",-$E1979/(COUNTIF($J1979:$Q1979,"x")+1),-$E1979*N(P1979)))</f>
        <v/>
      </c>
      <c r="AE1979" s="34">
        <f>IF(OR($A1979="",$H1979&lt;&gt;"Ausgabe",Q1979=""),0,IF(Q1979="x",-$E1979/(COUNTIF($J1979:$Q1979,"x")+1),-$E1979*N(Q1979)))</f>
        <v/>
      </c>
    </row>
    <row r="1980">
      <c r="A1980" s="30" t="n"/>
      <c r="E1980" s="31" t="n"/>
      <c r="J1980" s="32" t="n"/>
      <c r="K1980" s="32" t="n"/>
      <c r="L1980" s="32" t="n"/>
      <c r="M1980" s="32" t="n"/>
      <c r="N1980" s="32" t="n"/>
      <c r="O1980" s="32" t="n"/>
      <c r="P1980" s="32" t="n"/>
      <c r="Q1980" s="32" t="n"/>
      <c r="U1980" s="31">
        <f>IF($A1980="","",SUM(X1980:AE1980))</f>
        <v/>
      </c>
      <c r="V1980" s="31">
        <f>IF($A1980="","",IF($H1980&lt;&gt;"Ausgabe",0,-$E1980-$U1980))</f>
        <v/>
      </c>
      <c r="W1980" s="33">
        <f>IF($A1980="","",DATE(YEAR($A1980),MONTH($A1980),1))</f>
        <v/>
      </c>
      <c r="X1980" s="34">
        <f>IF(OR($A1980="",$H1980&lt;&gt;"Ausgabe",J1980=""),0,IF(J1980="x",-$E1980/(COUNTIF($J1980:$Q1980,"x")+1),-$E1980*N(J1980)))</f>
        <v/>
      </c>
      <c r="Y1980" s="34">
        <f>IF(OR($A1980="",$H1980&lt;&gt;"Ausgabe",K1980=""),0,IF(K1980="x",-$E1980/(COUNTIF($J1980:$Q1980,"x")+1),-$E1980*N(K1980)))</f>
        <v/>
      </c>
      <c r="Z1980" s="34">
        <f>IF(OR($A1980="",$H1980&lt;&gt;"Ausgabe",L1980=""),0,IF(L1980="x",-$E1980/(COUNTIF($J1980:$Q1980,"x")+1),-$E1980*N(L1980)))</f>
        <v/>
      </c>
      <c r="AA1980" s="34">
        <f>IF(OR($A1980="",$H1980&lt;&gt;"Ausgabe",M1980=""),0,IF(M1980="x",-$E1980/(COUNTIF($J1980:$Q1980,"x")+1),-$E1980*N(M1980)))</f>
        <v/>
      </c>
      <c r="AB1980" s="34">
        <f>IF(OR($A1980="",$H1980&lt;&gt;"Ausgabe",N1980=""),0,IF(N1980="x",-$E1980/(COUNTIF($J1980:$Q1980,"x")+1),-$E1980*N(N1980)))</f>
        <v/>
      </c>
      <c r="AC1980" s="34">
        <f>IF(OR($A1980="",$H1980&lt;&gt;"Ausgabe",O1980=""),0,IF(O1980="x",-$E1980/(COUNTIF($J1980:$Q1980,"x")+1),-$E1980*N(O1980)))</f>
        <v/>
      </c>
      <c r="AD1980" s="34">
        <f>IF(OR($A1980="",$H1980&lt;&gt;"Ausgabe",P1980=""),0,IF(P1980="x",-$E1980/(COUNTIF($J1980:$Q1980,"x")+1),-$E1980*N(P1980)))</f>
        <v/>
      </c>
      <c r="AE1980" s="34">
        <f>IF(OR($A1980="",$H1980&lt;&gt;"Ausgabe",Q1980=""),0,IF(Q1980="x",-$E1980/(COUNTIF($J1980:$Q1980,"x")+1),-$E1980*N(Q1980)))</f>
        <v/>
      </c>
    </row>
    <row r="1981">
      <c r="A1981" s="30" t="n"/>
      <c r="E1981" s="31" t="n"/>
      <c r="J1981" s="32" t="n"/>
      <c r="K1981" s="32" t="n"/>
      <c r="L1981" s="32" t="n"/>
      <c r="M1981" s="32" t="n"/>
      <c r="N1981" s="32" t="n"/>
      <c r="O1981" s="32" t="n"/>
      <c r="P1981" s="32" t="n"/>
      <c r="Q1981" s="32" t="n"/>
      <c r="U1981" s="31">
        <f>IF($A1981="","",SUM(X1981:AE1981))</f>
        <v/>
      </c>
      <c r="V1981" s="31">
        <f>IF($A1981="","",IF($H1981&lt;&gt;"Ausgabe",0,-$E1981-$U1981))</f>
        <v/>
      </c>
      <c r="W1981" s="33">
        <f>IF($A1981="","",DATE(YEAR($A1981),MONTH($A1981),1))</f>
        <v/>
      </c>
      <c r="X1981" s="34">
        <f>IF(OR($A1981="",$H1981&lt;&gt;"Ausgabe",J1981=""),0,IF(J1981="x",-$E1981/(COUNTIF($J1981:$Q1981,"x")+1),-$E1981*N(J1981)))</f>
        <v/>
      </c>
      <c r="Y1981" s="34">
        <f>IF(OR($A1981="",$H1981&lt;&gt;"Ausgabe",K1981=""),0,IF(K1981="x",-$E1981/(COUNTIF($J1981:$Q1981,"x")+1),-$E1981*N(K1981)))</f>
        <v/>
      </c>
      <c r="Z1981" s="34">
        <f>IF(OR($A1981="",$H1981&lt;&gt;"Ausgabe",L1981=""),0,IF(L1981="x",-$E1981/(COUNTIF($J1981:$Q1981,"x")+1),-$E1981*N(L1981)))</f>
        <v/>
      </c>
      <c r="AA1981" s="34">
        <f>IF(OR($A1981="",$H1981&lt;&gt;"Ausgabe",M1981=""),0,IF(M1981="x",-$E1981/(COUNTIF($J1981:$Q1981,"x")+1),-$E1981*N(M1981)))</f>
        <v/>
      </c>
      <c r="AB1981" s="34">
        <f>IF(OR($A1981="",$H1981&lt;&gt;"Ausgabe",N1981=""),0,IF(N1981="x",-$E1981/(COUNTIF($J1981:$Q1981,"x")+1),-$E1981*N(N1981)))</f>
        <v/>
      </c>
      <c r="AC1981" s="34">
        <f>IF(OR($A1981="",$H1981&lt;&gt;"Ausgabe",O1981=""),0,IF(O1981="x",-$E1981/(COUNTIF($J1981:$Q1981,"x")+1),-$E1981*N(O1981)))</f>
        <v/>
      </c>
      <c r="AD1981" s="34">
        <f>IF(OR($A1981="",$H1981&lt;&gt;"Ausgabe",P1981=""),0,IF(P1981="x",-$E1981/(COUNTIF($J1981:$Q1981,"x")+1),-$E1981*N(P1981)))</f>
        <v/>
      </c>
      <c r="AE1981" s="34">
        <f>IF(OR($A1981="",$H1981&lt;&gt;"Ausgabe",Q1981=""),0,IF(Q1981="x",-$E1981/(COUNTIF($J1981:$Q1981,"x")+1),-$E1981*N(Q1981)))</f>
        <v/>
      </c>
    </row>
    <row r="1982">
      <c r="A1982" s="30" t="n"/>
      <c r="E1982" s="31" t="n"/>
      <c r="J1982" s="32" t="n"/>
      <c r="K1982" s="32" t="n"/>
      <c r="L1982" s="32" t="n"/>
      <c r="M1982" s="32" t="n"/>
      <c r="N1982" s="32" t="n"/>
      <c r="O1982" s="32" t="n"/>
      <c r="P1982" s="32" t="n"/>
      <c r="Q1982" s="32" t="n"/>
      <c r="U1982" s="31">
        <f>IF($A1982="","",SUM(X1982:AE1982))</f>
        <v/>
      </c>
      <c r="V1982" s="31">
        <f>IF($A1982="","",IF($H1982&lt;&gt;"Ausgabe",0,-$E1982-$U1982))</f>
        <v/>
      </c>
      <c r="W1982" s="33">
        <f>IF($A1982="","",DATE(YEAR($A1982),MONTH($A1982),1))</f>
        <v/>
      </c>
      <c r="X1982" s="34">
        <f>IF(OR($A1982="",$H1982&lt;&gt;"Ausgabe",J1982=""),0,IF(J1982="x",-$E1982/(COUNTIF($J1982:$Q1982,"x")+1),-$E1982*N(J1982)))</f>
        <v/>
      </c>
      <c r="Y1982" s="34">
        <f>IF(OR($A1982="",$H1982&lt;&gt;"Ausgabe",K1982=""),0,IF(K1982="x",-$E1982/(COUNTIF($J1982:$Q1982,"x")+1),-$E1982*N(K1982)))</f>
        <v/>
      </c>
      <c r="Z1982" s="34">
        <f>IF(OR($A1982="",$H1982&lt;&gt;"Ausgabe",L1982=""),0,IF(L1982="x",-$E1982/(COUNTIF($J1982:$Q1982,"x")+1),-$E1982*N(L1982)))</f>
        <v/>
      </c>
      <c r="AA1982" s="34">
        <f>IF(OR($A1982="",$H1982&lt;&gt;"Ausgabe",M1982=""),0,IF(M1982="x",-$E1982/(COUNTIF($J1982:$Q1982,"x")+1),-$E1982*N(M1982)))</f>
        <v/>
      </c>
      <c r="AB1982" s="34">
        <f>IF(OR($A1982="",$H1982&lt;&gt;"Ausgabe",N1982=""),0,IF(N1982="x",-$E1982/(COUNTIF($J1982:$Q1982,"x")+1),-$E1982*N(N1982)))</f>
        <v/>
      </c>
      <c r="AC1982" s="34">
        <f>IF(OR($A1982="",$H1982&lt;&gt;"Ausgabe",O1982=""),0,IF(O1982="x",-$E1982/(COUNTIF($J1982:$Q1982,"x")+1),-$E1982*N(O1982)))</f>
        <v/>
      </c>
      <c r="AD1982" s="34">
        <f>IF(OR($A1982="",$H1982&lt;&gt;"Ausgabe",P1982=""),0,IF(P1982="x",-$E1982/(COUNTIF($J1982:$Q1982,"x")+1),-$E1982*N(P1982)))</f>
        <v/>
      </c>
      <c r="AE1982" s="34">
        <f>IF(OR($A1982="",$H1982&lt;&gt;"Ausgabe",Q1982=""),0,IF(Q1982="x",-$E1982/(COUNTIF($J1982:$Q1982,"x")+1),-$E1982*N(Q1982)))</f>
        <v/>
      </c>
    </row>
    <row r="1983">
      <c r="A1983" s="30" t="n"/>
      <c r="E1983" s="31" t="n"/>
      <c r="J1983" s="32" t="n"/>
      <c r="K1983" s="32" t="n"/>
      <c r="L1983" s="32" t="n"/>
      <c r="M1983" s="32" t="n"/>
      <c r="N1983" s="32" t="n"/>
      <c r="O1983" s="32" t="n"/>
      <c r="P1983" s="32" t="n"/>
      <c r="Q1983" s="32" t="n"/>
      <c r="U1983" s="31">
        <f>IF($A1983="","",SUM(X1983:AE1983))</f>
        <v/>
      </c>
      <c r="V1983" s="31">
        <f>IF($A1983="","",IF($H1983&lt;&gt;"Ausgabe",0,-$E1983-$U1983))</f>
        <v/>
      </c>
      <c r="W1983" s="33">
        <f>IF($A1983="","",DATE(YEAR($A1983),MONTH($A1983),1))</f>
        <v/>
      </c>
      <c r="X1983" s="34">
        <f>IF(OR($A1983="",$H1983&lt;&gt;"Ausgabe",J1983=""),0,IF(J1983="x",-$E1983/(COUNTIF($J1983:$Q1983,"x")+1),-$E1983*N(J1983)))</f>
        <v/>
      </c>
      <c r="Y1983" s="34">
        <f>IF(OR($A1983="",$H1983&lt;&gt;"Ausgabe",K1983=""),0,IF(K1983="x",-$E1983/(COUNTIF($J1983:$Q1983,"x")+1),-$E1983*N(K1983)))</f>
        <v/>
      </c>
      <c r="Z1983" s="34">
        <f>IF(OR($A1983="",$H1983&lt;&gt;"Ausgabe",L1983=""),0,IF(L1983="x",-$E1983/(COUNTIF($J1983:$Q1983,"x")+1),-$E1983*N(L1983)))</f>
        <v/>
      </c>
      <c r="AA1983" s="34">
        <f>IF(OR($A1983="",$H1983&lt;&gt;"Ausgabe",M1983=""),0,IF(M1983="x",-$E1983/(COUNTIF($J1983:$Q1983,"x")+1),-$E1983*N(M1983)))</f>
        <v/>
      </c>
      <c r="AB1983" s="34">
        <f>IF(OR($A1983="",$H1983&lt;&gt;"Ausgabe",N1983=""),0,IF(N1983="x",-$E1983/(COUNTIF($J1983:$Q1983,"x")+1),-$E1983*N(N1983)))</f>
        <v/>
      </c>
      <c r="AC1983" s="34">
        <f>IF(OR($A1983="",$H1983&lt;&gt;"Ausgabe",O1983=""),0,IF(O1983="x",-$E1983/(COUNTIF($J1983:$Q1983,"x")+1),-$E1983*N(O1983)))</f>
        <v/>
      </c>
      <c r="AD1983" s="34">
        <f>IF(OR($A1983="",$H1983&lt;&gt;"Ausgabe",P1983=""),0,IF(P1983="x",-$E1983/(COUNTIF($J1983:$Q1983,"x")+1),-$E1983*N(P1983)))</f>
        <v/>
      </c>
      <c r="AE1983" s="34">
        <f>IF(OR($A1983="",$H1983&lt;&gt;"Ausgabe",Q1983=""),0,IF(Q1983="x",-$E1983/(COUNTIF($J1983:$Q1983,"x")+1),-$E1983*N(Q1983)))</f>
        <v/>
      </c>
    </row>
    <row r="1984">
      <c r="A1984" s="30" t="n"/>
      <c r="E1984" s="31" t="n"/>
      <c r="J1984" s="32" t="n"/>
      <c r="K1984" s="32" t="n"/>
      <c r="L1984" s="32" t="n"/>
      <c r="M1984" s="32" t="n"/>
      <c r="N1984" s="32" t="n"/>
      <c r="O1984" s="32" t="n"/>
      <c r="P1984" s="32" t="n"/>
      <c r="Q1984" s="32" t="n"/>
      <c r="U1984" s="31">
        <f>IF($A1984="","",SUM(X1984:AE1984))</f>
        <v/>
      </c>
      <c r="V1984" s="31">
        <f>IF($A1984="","",IF($H1984&lt;&gt;"Ausgabe",0,-$E1984-$U1984))</f>
        <v/>
      </c>
      <c r="W1984" s="33">
        <f>IF($A1984="","",DATE(YEAR($A1984),MONTH($A1984),1))</f>
        <v/>
      </c>
      <c r="X1984" s="34">
        <f>IF(OR($A1984="",$H1984&lt;&gt;"Ausgabe",J1984=""),0,IF(J1984="x",-$E1984/(COUNTIF($J1984:$Q1984,"x")+1),-$E1984*N(J1984)))</f>
        <v/>
      </c>
      <c r="Y1984" s="34">
        <f>IF(OR($A1984="",$H1984&lt;&gt;"Ausgabe",K1984=""),0,IF(K1984="x",-$E1984/(COUNTIF($J1984:$Q1984,"x")+1),-$E1984*N(K1984)))</f>
        <v/>
      </c>
      <c r="Z1984" s="34">
        <f>IF(OR($A1984="",$H1984&lt;&gt;"Ausgabe",L1984=""),0,IF(L1984="x",-$E1984/(COUNTIF($J1984:$Q1984,"x")+1),-$E1984*N(L1984)))</f>
        <v/>
      </c>
      <c r="AA1984" s="34">
        <f>IF(OR($A1984="",$H1984&lt;&gt;"Ausgabe",M1984=""),0,IF(M1984="x",-$E1984/(COUNTIF($J1984:$Q1984,"x")+1),-$E1984*N(M1984)))</f>
        <v/>
      </c>
      <c r="AB1984" s="34">
        <f>IF(OR($A1984="",$H1984&lt;&gt;"Ausgabe",N1984=""),0,IF(N1984="x",-$E1984/(COUNTIF($J1984:$Q1984,"x")+1),-$E1984*N(N1984)))</f>
        <v/>
      </c>
      <c r="AC1984" s="34">
        <f>IF(OR($A1984="",$H1984&lt;&gt;"Ausgabe",O1984=""),0,IF(O1984="x",-$E1984/(COUNTIF($J1984:$Q1984,"x")+1),-$E1984*N(O1984)))</f>
        <v/>
      </c>
      <c r="AD1984" s="34">
        <f>IF(OR($A1984="",$H1984&lt;&gt;"Ausgabe",P1984=""),0,IF(P1984="x",-$E1984/(COUNTIF($J1984:$Q1984,"x")+1),-$E1984*N(P1984)))</f>
        <v/>
      </c>
      <c r="AE1984" s="34">
        <f>IF(OR($A1984="",$H1984&lt;&gt;"Ausgabe",Q1984=""),0,IF(Q1984="x",-$E1984/(COUNTIF($J1984:$Q1984,"x")+1),-$E1984*N(Q1984)))</f>
        <v/>
      </c>
    </row>
    <row r="1985">
      <c r="A1985" s="30" t="n"/>
      <c r="E1985" s="31" t="n"/>
      <c r="J1985" s="32" t="n"/>
      <c r="K1985" s="32" t="n"/>
      <c r="L1985" s="32" t="n"/>
      <c r="M1985" s="32" t="n"/>
      <c r="N1985" s="32" t="n"/>
      <c r="O1985" s="32" t="n"/>
      <c r="P1985" s="32" t="n"/>
      <c r="Q1985" s="32" t="n"/>
      <c r="U1985" s="31">
        <f>IF($A1985="","",SUM(X1985:AE1985))</f>
        <v/>
      </c>
      <c r="V1985" s="31">
        <f>IF($A1985="","",IF($H1985&lt;&gt;"Ausgabe",0,-$E1985-$U1985))</f>
        <v/>
      </c>
      <c r="W1985" s="33">
        <f>IF($A1985="","",DATE(YEAR($A1985),MONTH($A1985),1))</f>
        <v/>
      </c>
      <c r="X1985" s="34">
        <f>IF(OR($A1985="",$H1985&lt;&gt;"Ausgabe",J1985=""),0,IF(J1985="x",-$E1985/(COUNTIF($J1985:$Q1985,"x")+1),-$E1985*N(J1985)))</f>
        <v/>
      </c>
      <c r="Y1985" s="34">
        <f>IF(OR($A1985="",$H1985&lt;&gt;"Ausgabe",K1985=""),0,IF(K1985="x",-$E1985/(COUNTIF($J1985:$Q1985,"x")+1),-$E1985*N(K1985)))</f>
        <v/>
      </c>
      <c r="Z1985" s="34">
        <f>IF(OR($A1985="",$H1985&lt;&gt;"Ausgabe",L1985=""),0,IF(L1985="x",-$E1985/(COUNTIF($J1985:$Q1985,"x")+1),-$E1985*N(L1985)))</f>
        <v/>
      </c>
      <c r="AA1985" s="34">
        <f>IF(OR($A1985="",$H1985&lt;&gt;"Ausgabe",M1985=""),0,IF(M1985="x",-$E1985/(COUNTIF($J1985:$Q1985,"x")+1),-$E1985*N(M1985)))</f>
        <v/>
      </c>
      <c r="AB1985" s="34">
        <f>IF(OR($A1985="",$H1985&lt;&gt;"Ausgabe",N1985=""),0,IF(N1985="x",-$E1985/(COUNTIF($J1985:$Q1985,"x")+1),-$E1985*N(N1985)))</f>
        <v/>
      </c>
      <c r="AC1985" s="34">
        <f>IF(OR($A1985="",$H1985&lt;&gt;"Ausgabe",O1985=""),0,IF(O1985="x",-$E1985/(COUNTIF($J1985:$Q1985,"x")+1),-$E1985*N(O1985)))</f>
        <v/>
      </c>
      <c r="AD1985" s="34">
        <f>IF(OR($A1985="",$H1985&lt;&gt;"Ausgabe",P1985=""),0,IF(P1985="x",-$E1985/(COUNTIF($J1985:$Q1985,"x")+1),-$E1985*N(P1985)))</f>
        <v/>
      </c>
      <c r="AE1985" s="34">
        <f>IF(OR($A1985="",$H1985&lt;&gt;"Ausgabe",Q1985=""),0,IF(Q1985="x",-$E1985/(COUNTIF($J1985:$Q1985,"x")+1),-$E1985*N(Q1985)))</f>
        <v/>
      </c>
    </row>
    <row r="1986">
      <c r="A1986" s="30" t="n"/>
      <c r="E1986" s="31" t="n"/>
      <c r="J1986" s="32" t="n"/>
      <c r="K1986" s="32" t="n"/>
      <c r="L1986" s="32" t="n"/>
      <c r="M1986" s="32" t="n"/>
      <c r="N1986" s="32" t="n"/>
      <c r="O1986" s="32" t="n"/>
      <c r="P1986" s="32" t="n"/>
      <c r="Q1986" s="32" t="n"/>
      <c r="U1986" s="31">
        <f>IF($A1986="","",SUM(X1986:AE1986))</f>
        <v/>
      </c>
      <c r="V1986" s="31">
        <f>IF($A1986="","",IF($H1986&lt;&gt;"Ausgabe",0,-$E1986-$U1986))</f>
        <v/>
      </c>
      <c r="W1986" s="33">
        <f>IF($A1986="","",DATE(YEAR($A1986),MONTH($A1986),1))</f>
        <v/>
      </c>
      <c r="X1986" s="34">
        <f>IF(OR($A1986="",$H1986&lt;&gt;"Ausgabe",J1986=""),0,IF(J1986="x",-$E1986/(COUNTIF($J1986:$Q1986,"x")+1),-$E1986*N(J1986)))</f>
        <v/>
      </c>
      <c r="Y1986" s="34">
        <f>IF(OR($A1986="",$H1986&lt;&gt;"Ausgabe",K1986=""),0,IF(K1986="x",-$E1986/(COUNTIF($J1986:$Q1986,"x")+1),-$E1986*N(K1986)))</f>
        <v/>
      </c>
      <c r="Z1986" s="34">
        <f>IF(OR($A1986="",$H1986&lt;&gt;"Ausgabe",L1986=""),0,IF(L1986="x",-$E1986/(COUNTIF($J1986:$Q1986,"x")+1),-$E1986*N(L1986)))</f>
        <v/>
      </c>
      <c r="AA1986" s="34">
        <f>IF(OR($A1986="",$H1986&lt;&gt;"Ausgabe",M1986=""),0,IF(M1986="x",-$E1986/(COUNTIF($J1986:$Q1986,"x")+1),-$E1986*N(M1986)))</f>
        <v/>
      </c>
      <c r="AB1986" s="34">
        <f>IF(OR($A1986="",$H1986&lt;&gt;"Ausgabe",N1986=""),0,IF(N1986="x",-$E1986/(COUNTIF($J1986:$Q1986,"x")+1),-$E1986*N(N1986)))</f>
        <v/>
      </c>
      <c r="AC1986" s="34">
        <f>IF(OR($A1986="",$H1986&lt;&gt;"Ausgabe",O1986=""),0,IF(O1986="x",-$E1986/(COUNTIF($J1986:$Q1986,"x")+1),-$E1986*N(O1986)))</f>
        <v/>
      </c>
      <c r="AD1986" s="34">
        <f>IF(OR($A1986="",$H1986&lt;&gt;"Ausgabe",P1986=""),0,IF(P1986="x",-$E1986/(COUNTIF($J1986:$Q1986,"x")+1),-$E1986*N(P1986)))</f>
        <v/>
      </c>
      <c r="AE1986" s="34">
        <f>IF(OR($A1986="",$H1986&lt;&gt;"Ausgabe",Q1986=""),0,IF(Q1986="x",-$E1986/(COUNTIF($J1986:$Q1986,"x")+1),-$E1986*N(Q1986)))</f>
        <v/>
      </c>
    </row>
    <row r="1987">
      <c r="A1987" s="30" t="n"/>
      <c r="E1987" s="31" t="n"/>
      <c r="J1987" s="32" t="n"/>
      <c r="K1987" s="32" t="n"/>
      <c r="L1987" s="32" t="n"/>
      <c r="M1987" s="32" t="n"/>
      <c r="N1987" s="32" t="n"/>
      <c r="O1987" s="32" t="n"/>
      <c r="P1987" s="32" t="n"/>
      <c r="Q1987" s="32" t="n"/>
      <c r="U1987" s="31">
        <f>IF($A1987="","",SUM(X1987:AE1987))</f>
        <v/>
      </c>
      <c r="V1987" s="31">
        <f>IF($A1987="","",IF($H1987&lt;&gt;"Ausgabe",0,-$E1987-$U1987))</f>
        <v/>
      </c>
      <c r="W1987" s="33">
        <f>IF($A1987="","",DATE(YEAR($A1987),MONTH($A1987),1))</f>
        <v/>
      </c>
      <c r="X1987" s="34">
        <f>IF(OR($A1987="",$H1987&lt;&gt;"Ausgabe",J1987=""),0,IF(J1987="x",-$E1987/(COUNTIF($J1987:$Q1987,"x")+1),-$E1987*N(J1987)))</f>
        <v/>
      </c>
      <c r="Y1987" s="34">
        <f>IF(OR($A1987="",$H1987&lt;&gt;"Ausgabe",K1987=""),0,IF(K1987="x",-$E1987/(COUNTIF($J1987:$Q1987,"x")+1),-$E1987*N(K1987)))</f>
        <v/>
      </c>
      <c r="Z1987" s="34">
        <f>IF(OR($A1987="",$H1987&lt;&gt;"Ausgabe",L1987=""),0,IF(L1987="x",-$E1987/(COUNTIF($J1987:$Q1987,"x")+1),-$E1987*N(L1987)))</f>
        <v/>
      </c>
      <c r="AA1987" s="34">
        <f>IF(OR($A1987="",$H1987&lt;&gt;"Ausgabe",M1987=""),0,IF(M1987="x",-$E1987/(COUNTIF($J1987:$Q1987,"x")+1),-$E1987*N(M1987)))</f>
        <v/>
      </c>
      <c r="AB1987" s="34">
        <f>IF(OR($A1987="",$H1987&lt;&gt;"Ausgabe",N1987=""),0,IF(N1987="x",-$E1987/(COUNTIF($J1987:$Q1987,"x")+1),-$E1987*N(N1987)))</f>
        <v/>
      </c>
      <c r="AC1987" s="34">
        <f>IF(OR($A1987="",$H1987&lt;&gt;"Ausgabe",O1987=""),0,IF(O1987="x",-$E1987/(COUNTIF($J1987:$Q1987,"x")+1),-$E1987*N(O1987)))</f>
        <v/>
      </c>
      <c r="AD1987" s="34">
        <f>IF(OR($A1987="",$H1987&lt;&gt;"Ausgabe",P1987=""),0,IF(P1987="x",-$E1987/(COUNTIF($J1987:$Q1987,"x")+1),-$E1987*N(P1987)))</f>
        <v/>
      </c>
      <c r="AE1987" s="34">
        <f>IF(OR($A1987="",$H1987&lt;&gt;"Ausgabe",Q1987=""),0,IF(Q1987="x",-$E1987/(COUNTIF($J1987:$Q1987,"x")+1),-$E1987*N(Q1987)))</f>
        <v/>
      </c>
    </row>
    <row r="1988">
      <c r="A1988" s="30" t="n"/>
      <c r="E1988" s="31" t="n"/>
      <c r="J1988" s="32" t="n"/>
      <c r="K1988" s="32" t="n"/>
      <c r="L1988" s="32" t="n"/>
      <c r="M1988" s="32" t="n"/>
      <c r="N1988" s="32" t="n"/>
      <c r="O1988" s="32" t="n"/>
      <c r="P1988" s="32" t="n"/>
      <c r="Q1988" s="32" t="n"/>
      <c r="U1988" s="31">
        <f>IF($A1988="","",SUM(X1988:AE1988))</f>
        <v/>
      </c>
      <c r="V1988" s="31">
        <f>IF($A1988="","",IF($H1988&lt;&gt;"Ausgabe",0,-$E1988-$U1988))</f>
        <v/>
      </c>
      <c r="W1988" s="33">
        <f>IF($A1988="","",DATE(YEAR($A1988),MONTH($A1988),1))</f>
        <v/>
      </c>
      <c r="X1988" s="34">
        <f>IF(OR($A1988="",$H1988&lt;&gt;"Ausgabe",J1988=""),0,IF(J1988="x",-$E1988/(COUNTIF($J1988:$Q1988,"x")+1),-$E1988*N(J1988)))</f>
        <v/>
      </c>
      <c r="Y1988" s="34">
        <f>IF(OR($A1988="",$H1988&lt;&gt;"Ausgabe",K1988=""),0,IF(K1988="x",-$E1988/(COUNTIF($J1988:$Q1988,"x")+1),-$E1988*N(K1988)))</f>
        <v/>
      </c>
      <c r="Z1988" s="34">
        <f>IF(OR($A1988="",$H1988&lt;&gt;"Ausgabe",L1988=""),0,IF(L1988="x",-$E1988/(COUNTIF($J1988:$Q1988,"x")+1),-$E1988*N(L1988)))</f>
        <v/>
      </c>
      <c r="AA1988" s="34">
        <f>IF(OR($A1988="",$H1988&lt;&gt;"Ausgabe",M1988=""),0,IF(M1988="x",-$E1988/(COUNTIF($J1988:$Q1988,"x")+1),-$E1988*N(M1988)))</f>
        <v/>
      </c>
      <c r="AB1988" s="34">
        <f>IF(OR($A1988="",$H1988&lt;&gt;"Ausgabe",N1988=""),0,IF(N1988="x",-$E1988/(COUNTIF($J1988:$Q1988,"x")+1),-$E1988*N(N1988)))</f>
        <v/>
      </c>
      <c r="AC1988" s="34">
        <f>IF(OR($A1988="",$H1988&lt;&gt;"Ausgabe",O1988=""),0,IF(O1988="x",-$E1988/(COUNTIF($J1988:$Q1988,"x")+1),-$E1988*N(O1988)))</f>
        <v/>
      </c>
      <c r="AD1988" s="34">
        <f>IF(OR($A1988="",$H1988&lt;&gt;"Ausgabe",P1988=""),0,IF(P1988="x",-$E1988/(COUNTIF($J1988:$Q1988,"x")+1),-$E1988*N(P1988)))</f>
        <v/>
      </c>
      <c r="AE1988" s="34">
        <f>IF(OR($A1988="",$H1988&lt;&gt;"Ausgabe",Q1988=""),0,IF(Q1988="x",-$E1988/(COUNTIF($J1988:$Q1988,"x")+1),-$E1988*N(Q1988)))</f>
        <v/>
      </c>
    </row>
    <row r="1989">
      <c r="A1989" s="30" t="n"/>
      <c r="E1989" s="31" t="n"/>
      <c r="J1989" s="32" t="n"/>
      <c r="K1989" s="32" t="n"/>
      <c r="L1989" s="32" t="n"/>
      <c r="M1989" s="32" t="n"/>
      <c r="N1989" s="32" t="n"/>
      <c r="O1989" s="32" t="n"/>
      <c r="P1989" s="32" t="n"/>
      <c r="Q1989" s="32" t="n"/>
      <c r="U1989" s="31">
        <f>IF($A1989="","",SUM(X1989:AE1989))</f>
        <v/>
      </c>
      <c r="V1989" s="31">
        <f>IF($A1989="","",IF($H1989&lt;&gt;"Ausgabe",0,-$E1989-$U1989))</f>
        <v/>
      </c>
      <c r="W1989" s="33">
        <f>IF($A1989="","",DATE(YEAR($A1989),MONTH($A1989),1))</f>
        <v/>
      </c>
      <c r="X1989" s="34">
        <f>IF(OR($A1989="",$H1989&lt;&gt;"Ausgabe",J1989=""),0,IF(J1989="x",-$E1989/(COUNTIF($J1989:$Q1989,"x")+1),-$E1989*N(J1989)))</f>
        <v/>
      </c>
      <c r="Y1989" s="34">
        <f>IF(OR($A1989="",$H1989&lt;&gt;"Ausgabe",K1989=""),0,IF(K1989="x",-$E1989/(COUNTIF($J1989:$Q1989,"x")+1),-$E1989*N(K1989)))</f>
        <v/>
      </c>
      <c r="Z1989" s="34">
        <f>IF(OR($A1989="",$H1989&lt;&gt;"Ausgabe",L1989=""),0,IF(L1989="x",-$E1989/(COUNTIF($J1989:$Q1989,"x")+1),-$E1989*N(L1989)))</f>
        <v/>
      </c>
      <c r="AA1989" s="34">
        <f>IF(OR($A1989="",$H1989&lt;&gt;"Ausgabe",M1989=""),0,IF(M1989="x",-$E1989/(COUNTIF($J1989:$Q1989,"x")+1),-$E1989*N(M1989)))</f>
        <v/>
      </c>
      <c r="AB1989" s="34">
        <f>IF(OR($A1989="",$H1989&lt;&gt;"Ausgabe",N1989=""),0,IF(N1989="x",-$E1989/(COUNTIF($J1989:$Q1989,"x")+1),-$E1989*N(N1989)))</f>
        <v/>
      </c>
      <c r="AC1989" s="34">
        <f>IF(OR($A1989="",$H1989&lt;&gt;"Ausgabe",O1989=""),0,IF(O1989="x",-$E1989/(COUNTIF($J1989:$Q1989,"x")+1),-$E1989*N(O1989)))</f>
        <v/>
      </c>
      <c r="AD1989" s="34">
        <f>IF(OR($A1989="",$H1989&lt;&gt;"Ausgabe",P1989=""),0,IF(P1989="x",-$E1989/(COUNTIF($J1989:$Q1989,"x")+1),-$E1989*N(P1989)))</f>
        <v/>
      </c>
      <c r="AE1989" s="34">
        <f>IF(OR($A1989="",$H1989&lt;&gt;"Ausgabe",Q1989=""),0,IF(Q1989="x",-$E1989/(COUNTIF($J1989:$Q1989,"x")+1),-$E1989*N(Q1989)))</f>
        <v/>
      </c>
    </row>
    <row r="1990">
      <c r="A1990" s="30" t="n"/>
      <c r="E1990" s="31" t="n"/>
      <c r="J1990" s="32" t="n"/>
      <c r="K1990" s="32" t="n"/>
      <c r="L1990" s="32" t="n"/>
      <c r="M1990" s="32" t="n"/>
      <c r="N1990" s="32" t="n"/>
      <c r="O1990" s="32" t="n"/>
      <c r="P1990" s="32" t="n"/>
      <c r="Q1990" s="32" t="n"/>
      <c r="U1990" s="31">
        <f>IF($A1990="","",SUM(X1990:AE1990))</f>
        <v/>
      </c>
      <c r="V1990" s="31">
        <f>IF($A1990="","",IF($H1990&lt;&gt;"Ausgabe",0,-$E1990-$U1990))</f>
        <v/>
      </c>
      <c r="W1990" s="33">
        <f>IF($A1990="","",DATE(YEAR($A1990),MONTH($A1990),1))</f>
        <v/>
      </c>
      <c r="X1990" s="34">
        <f>IF(OR($A1990="",$H1990&lt;&gt;"Ausgabe",J1990=""),0,IF(J1990="x",-$E1990/(COUNTIF($J1990:$Q1990,"x")+1),-$E1990*N(J1990)))</f>
        <v/>
      </c>
      <c r="Y1990" s="34">
        <f>IF(OR($A1990="",$H1990&lt;&gt;"Ausgabe",K1990=""),0,IF(K1990="x",-$E1990/(COUNTIF($J1990:$Q1990,"x")+1),-$E1990*N(K1990)))</f>
        <v/>
      </c>
      <c r="Z1990" s="34">
        <f>IF(OR($A1990="",$H1990&lt;&gt;"Ausgabe",L1990=""),0,IF(L1990="x",-$E1990/(COUNTIF($J1990:$Q1990,"x")+1),-$E1990*N(L1990)))</f>
        <v/>
      </c>
      <c r="AA1990" s="34">
        <f>IF(OR($A1990="",$H1990&lt;&gt;"Ausgabe",M1990=""),0,IF(M1990="x",-$E1990/(COUNTIF($J1990:$Q1990,"x")+1),-$E1990*N(M1990)))</f>
        <v/>
      </c>
      <c r="AB1990" s="34">
        <f>IF(OR($A1990="",$H1990&lt;&gt;"Ausgabe",N1990=""),0,IF(N1990="x",-$E1990/(COUNTIF($J1990:$Q1990,"x")+1),-$E1990*N(N1990)))</f>
        <v/>
      </c>
      <c r="AC1990" s="34">
        <f>IF(OR($A1990="",$H1990&lt;&gt;"Ausgabe",O1990=""),0,IF(O1990="x",-$E1990/(COUNTIF($J1990:$Q1990,"x")+1),-$E1990*N(O1990)))</f>
        <v/>
      </c>
      <c r="AD1990" s="34">
        <f>IF(OR($A1990="",$H1990&lt;&gt;"Ausgabe",P1990=""),0,IF(P1990="x",-$E1990/(COUNTIF($J1990:$Q1990,"x")+1),-$E1990*N(P1990)))</f>
        <v/>
      </c>
      <c r="AE1990" s="34">
        <f>IF(OR($A1990="",$H1990&lt;&gt;"Ausgabe",Q1990=""),0,IF(Q1990="x",-$E1990/(COUNTIF($J1990:$Q1990,"x")+1),-$E1990*N(Q1990)))</f>
        <v/>
      </c>
    </row>
    <row r="1991">
      <c r="A1991" s="30" t="n"/>
      <c r="E1991" s="31" t="n"/>
      <c r="J1991" s="32" t="n"/>
      <c r="K1991" s="32" t="n"/>
      <c r="L1991" s="32" t="n"/>
      <c r="M1991" s="32" t="n"/>
      <c r="N1991" s="32" t="n"/>
      <c r="O1991" s="32" t="n"/>
      <c r="P1991" s="32" t="n"/>
      <c r="Q1991" s="32" t="n"/>
      <c r="U1991" s="31">
        <f>IF($A1991="","",SUM(X1991:AE1991))</f>
        <v/>
      </c>
      <c r="V1991" s="31">
        <f>IF($A1991="","",IF($H1991&lt;&gt;"Ausgabe",0,-$E1991-$U1991))</f>
        <v/>
      </c>
      <c r="W1991" s="33">
        <f>IF($A1991="","",DATE(YEAR($A1991),MONTH($A1991),1))</f>
        <v/>
      </c>
      <c r="X1991" s="34">
        <f>IF(OR($A1991="",$H1991&lt;&gt;"Ausgabe",J1991=""),0,IF(J1991="x",-$E1991/(COUNTIF($J1991:$Q1991,"x")+1),-$E1991*N(J1991)))</f>
        <v/>
      </c>
      <c r="Y1991" s="34">
        <f>IF(OR($A1991="",$H1991&lt;&gt;"Ausgabe",K1991=""),0,IF(K1991="x",-$E1991/(COUNTIF($J1991:$Q1991,"x")+1),-$E1991*N(K1991)))</f>
        <v/>
      </c>
      <c r="Z1991" s="34">
        <f>IF(OR($A1991="",$H1991&lt;&gt;"Ausgabe",L1991=""),0,IF(L1991="x",-$E1991/(COUNTIF($J1991:$Q1991,"x")+1),-$E1991*N(L1991)))</f>
        <v/>
      </c>
      <c r="AA1991" s="34">
        <f>IF(OR($A1991="",$H1991&lt;&gt;"Ausgabe",M1991=""),0,IF(M1991="x",-$E1991/(COUNTIF($J1991:$Q1991,"x")+1),-$E1991*N(M1991)))</f>
        <v/>
      </c>
      <c r="AB1991" s="34">
        <f>IF(OR($A1991="",$H1991&lt;&gt;"Ausgabe",N1991=""),0,IF(N1991="x",-$E1991/(COUNTIF($J1991:$Q1991,"x")+1),-$E1991*N(N1991)))</f>
        <v/>
      </c>
      <c r="AC1991" s="34">
        <f>IF(OR($A1991="",$H1991&lt;&gt;"Ausgabe",O1991=""),0,IF(O1991="x",-$E1991/(COUNTIF($J1991:$Q1991,"x")+1),-$E1991*N(O1991)))</f>
        <v/>
      </c>
      <c r="AD1991" s="34">
        <f>IF(OR($A1991="",$H1991&lt;&gt;"Ausgabe",P1991=""),0,IF(P1991="x",-$E1991/(COUNTIF($J1991:$Q1991,"x")+1),-$E1991*N(P1991)))</f>
        <v/>
      </c>
      <c r="AE1991" s="34">
        <f>IF(OR($A1991="",$H1991&lt;&gt;"Ausgabe",Q1991=""),0,IF(Q1991="x",-$E1991/(COUNTIF($J1991:$Q1991,"x")+1),-$E1991*N(Q1991)))</f>
        <v/>
      </c>
    </row>
    <row r="1992">
      <c r="A1992" s="30" t="n"/>
      <c r="E1992" s="31" t="n"/>
      <c r="J1992" s="32" t="n"/>
      <c r="K1992" s="32" t="n"/>
      <c r="L1992" s="32" t="n"/>
      <c r="M1992" s="32" t="n"/>
      <c r="N1992" s="32" t="n"/>
      <c r="O1992" s="32" t="n"/>
      <c r="P1992" s="32" t="n"/>
      <c r="Q1992" s="32" t="n"/>
      <c r="U1992" s="31">
        <f>IF($A1992="","",SUM(X1992:AE1992))</f>
        <v/>
      </c>
      <c r="V1992" s="31">
        <f>IF($A1992="","",IF($H1992&lt;&gt;"Ausgabe",0,-$E1992-$U1992))</f>
        <v/>
      </c>
      <c r="W1992" s="33">
        <f>IF($A1992="","",DATE(YEAR($A1992),MONTH($A1992),1))</f>
        <v/>
      </c>
      <c r="X1992" s="34">
        <f>IF(OR($A1992="",$H1992&lt;&gt;"Ausgabe",J1992=""),0,IF(J1992="x",-$E1992/(COUNTIF($J1992:$Q1992,"x")+1),-$E1992*N(J1992)))</f>
        <v/>
      </c>
      <c r="Y1992" s="34">
        <f>IF(OR($A1992="",$H1992&lt;&gt;"Ausgabe",K1992=""),0,IF(K1992="x",-$E1992/(COUNTIF($J1992:$Q1992,"x")+1),-$E1992*N(K1992)))</f>
        <v/>
      </c>
      <c r="Z1992" s="34">
        <f>IF(OR($A1992="",$H1992&lt;&gt;"Ausgabe",L1992=""),0,IF(L1992="x",-$E1992/(COUNTIF($J1992:$Q1992,"x")+1),-$E1992*N(L1992)))</f>
        <v/>
      </c>
      <c r="AA1992" s="34">
        <f>IF(OR($A1992="",$H1992&lt;&gt;"Ausgabe",M1992=""),0,IF(M1992="x",-$E1992/(COUNTIF($J1992:$Q1992,"x")+1),-$E1992*N(M1992)))</f>
        <v/>
      </c>
      <c r="AB1992" s="34">
        <f>IF(OR($A1992="",$H1992&lt;&gt;"Ausgabe",N1992=""),0,IF(N1992="x",-$E1992/(COUNTIF($J1992:$Q1992,"x")+1),-$E1992*N(N1992)))</f>
        <v/>
      </c>
      <c r="AC1992" s="34">
        <f>IF(OR($A1992="",$H1992&lt;&gt;"Ausgabe",O1992=""),0,IF(O1992="x",-$E1992/(COUNTIF($J1992:$Q1992,"x")+1),-$E1992*N(O1992)))</f>
        <v/>
      </c>
      <c r="AD1992" s="34">
        <f>IF(OR($A1992="",$H1992&lt;&gt;"Ausgabe",P1992=""),0,IF(P1992="x",-$E1992/(COUNTIF($J1992:$Q1992,"x")+1),-$E1992*N(P1992)))</f>
        <v/>
      </c>
      <c r="AE1992" s="34">
        <f>IF(OR($A1992="",$H1992&lt;&gt;"Ausgabe",Q1992=""),0,IF(Q1992="x",-$E1992/(COUNTIF($J1992:$Q1992,"x")+1),-$E1992*N(Q1992)))</f>
        <v/>
      </c>
    </row>
    <row r="1993">
      <c r="A1993" s="30" t="n"/>
      <c r="E1993" s="31" t="n"/>
      <c r="J1993" s="32" t="n"/>
      <c r="K1993" s="32" t="n"/>
      <c r="L1993" s="32" t="n"/>
      <c r="M1993" s="32" t="n"/>
      <c r="N1993" s="32" t="n"/>
      <c r="O1993" s="32" t="n"/>
      <c r="P1993" s="32" t="n"/>
      <c r="Q1993" s="32" t="n"/>
      <c r="U1993" s="31">
        <f>IF($A1993="","",SUM(X1993:AE1993))</f>
        <v/>
      </c>
      <c r="V1993" s="31">
        <f>IF($A1993="","",IF($H1993&lt;&gt;"Ausgabe",0,-$E1993-$U1993))</f>
        <v/>
      </c>
      <c r="W1993" s="33">
        <f>IF($A1993="","",DATE(YEAR($A1993),MONTH($A1993),1))</f>
        <v/>
      </c>
      <c r="X1993" s="34">
        <f>IF(OR($A1993="",$H1993&lt;&gt;"Ausgabe",J1993=""),0,IF(J1993="x",-$E1993/(COUNTIF($J1993:$Q1993,"x")+1),-$E1993*N(J1993)))</f>
        <v/>
      </c>
      <c r="Y1993" s="34">
        <f>IF(OR($A1993="",$H1993&lt;&gt;"Ausgabe",K1993=""),0,IF(K1993="x",-$E1993/(COUNTIF($J1993:$Q1993,"x")+1),-$E1993*N(K1993)))</f>
        <v/>
      </c>
      <c r="Z1993" s="34">
        <f>IF(OR($A1993="",$H1993&lt;&gt;"Ausgabe",L1993=""),0,IF(L1993="x",-$E1993/(COUNTIF($J1993:$Q1993,"x")+1),-$E1993*N(L1993)))</f>
        <v/>
      </c>
      <c r="AA1993" s="34">
        <f>IF(OR($A1993="",$H1993&lt;&gt;"Ausgabe",M1993=""),0,IF(M1993="x",-$E1993/(COUNTIF($J1993:$Q1993,"x")+1),-$E1993*N(M1993)))</f>
        <v/>
      </c>
      <c r="AB1993" s="34">
        <f>IF(OR($A1993="",$H1993&lt;&gt;"Ausgabe",N1993=""),0,IF(N1993="x",-$E1993/(COUNTIF($J1993:$Q1993,"x")+1),-$E1993*N(N1993)))</f>
        <v/>
      </c>
      <c r="AC1993" s="34">
        <f>IF(OR($A1993="",$H1993&lt;&gt;"Ausgabe",O1993=""),0,IF(O1993="x",-$E1993/(COUNTIF($J1993:$Q1993,"x")+1),-$E1993*N(O1993)))</f>
        <v/>
      </c>
      <c r="AD1993" s="34">
        <f>IF(OR($A1993="",$H1993&lt;&gt;"Ausgabe",P1993=""),0,IF(P1993="x",-$E1993/(COUNTIF($J1993:$Q1993,"x")+1),-$E1993*N(P1993)))</f>
        <v/>
      </c>
      <c r="AE1993" s="34">
        <f>IF(OR($A1993="",$H1993&lt;&gt;"Ausgabe",Q1993=""),0,IF(Q1993="x",-$E1993/(COUNTIF($J1993:$Q1993,"x")+1),-$E1993*N(Q1993)))</f>
        <v/>
      </c>
    </row>
    <row r="1994">
      <c r="A1994" s="30" t="n"/>
      <c r="E1994" s="31" t="n"/>
      <c r="J1994" s="32" t="n"/>
      <c r="K1994" s="32" t="n"/>
      <c r="L1994" s="32" t="n"/>
      <c r="M1994" s="32" t="n"/>
      <c r="N1994" s="32" t="n"/>
      <c r="O1994" s="32" t="n"/>
      <c r="P1994" s="32" t="n"/>
      <c r="Q1994" s="32" t="n"/>
      <c r="U1994" s="31">
        <f>IF($A1994="","",SUM(X1994:AE1994))</f>
        <v/>
      </c>
      <c r="V1994" s="31">
        <f>IF($A1994="","",IF($H1994&lt;&gt;"Ausgabe",0,-$E1994-$U1994))</f>
        <v/>
      </c>
      <c r="W1994" s="33">
        <f>IF($A1994="","",DATE(YEAR($A1994),MONTH($A1994),1))</f>
        <v/>
      </c>
      <c r="X1994" s="34">
        <f>IF(OR($A1994="",$H1994&lt;&gt;"Ausgabe",J1994=""),0,IF(J1994="x",-$E1994/(COUNTIF($J1994:$Q1994,"x")+1),-$E1994*N(J1994)))</f>
        <v/>
      </c>
      <c r="Y1994" s="34">
        <f>IF(OR($A1994="",$H1994&lt;&gt;"Ausgabe",K1994=""),0,IF(K1994="x",-$E1994/(COUNTIF($J1994:$Q1994,"x")+1),-$E1994*N(K1994)))</f>
        <v/>
      </c>
      <c r="Z1994" s="34">
        <f>IF(OR($A1994="",$H1994&lt;&gt;"Ausgabe",L1994=""),0,IF(L1994="x",-$E1994/(COUNTIF($J1994:$Q1994,"x")+1),-$E1994*N(L1994)))</f>
        <v/>
      </c>
      <c r="AA1994" s="34">
        <f>IF(OR($A1994="",$H1994&lt;&gt;"Ausgabe",M1994=""),0,IF(M1994="x",-$E1994/(COUNTIF($J1994:$Q1994,"x")+1),-$E1994*N(M1994)))</f>
        <v/>
      </c>
      <c r="AB1994" s="34">
        <f>IF(OR($A1994="",$H1994&lt;&gt;"Ausgabe",N1994=""),0,IF(N1994="x",-$E1994/(COUNTIF($J1994:$Q1994,"x")+1),-$E1994*N(N1994)))</f>
        <v/>
      </c>
      <c r="AC1994" s="34">
        <f>IF(OR($A1994="",$H1994&lt;&gt;"Ausgabe",O1994=""),0,IF(O1994="x",-$E1994/(COUNTIF($J1994:$Q1994,"x")+1),-$E1994*N(O1994)))</f>
        <v/>
      </c>
      <c r="AD1994" s="34">
        <f>IF(OR($A1994="",$H1994&lt;&gt;"Ausgabe",P1994=""),0,IF(P1994="x",-$E1994/(COUNTIF($J1994:$Q1994,"x")+1),-$E1994*N(P1994)))</f>
        <v/>
      </c>
      <c r="AE1994" s="34">
        <f>IF(OR($A1994="",$H1994&lt;&gt;"Ausgabe",Q1994=""),0,IF(Q1994="x",-$E1994/(COUNTIF($J1994:$Q1994,"x")+1),-$E1994*N(Q1994)))</f>
        <v/>
      </c>
    </row>
    <row r="1995">
      <c r="A1995" s="30" t="n"/>
      <c r="E1995" s="31" t="n"/>
      <c r="J1995" s="32" t="n"/>
      <c r="K1995" s="32" t="n"/>
      <c r="L1995" s="32" t="n"/>
      <c r="M1995" s="32" t="n"/>
      <c r="N1995" s="32" t="n"/>
      <c r="O1995" s="32" t="n"/>
      <c r="P1995" s="32" t="n"/>
      <c r="Q1995" s="32" t="n"/>
      <c r="U1995" s="31">
        <f>IF($A1995="","",SUM(X1995:AE1995))</f>
        <v/>
      </c>
      <c r="V1995" s="31">
        <f>IF($A1995="","",IF($H1995&lt;&gt;"Ausgabe",0,-$E1995-$U1995))</f>
        <v/>
      </c>
      <c r="W1995" s="33">
        <f>IF($A1995="","",DATE(YEAR($A1995),MONTH($A1995),1))</f>
        <v/>
      </c>
      <c r="X1995" s="34">
        <f>IF(OR($A1995="",$H1995&lt;&gt;"Ausgabe",J1995=""),0,IF(J1995="x",-$E1995/(COUNTIF($J1995:$Q1995,"x")+1),-$E1995*N(J1995)))</f>
        <v/>
      </c>
      <c r="Y1995" s="34">
        <f>IF(OR($A1995="",$H1995&lt;&gt;"Ausgabe",K1995=""),0,IF(K1995="x",-$E1995/(COUNTIF($J1995:$Q1995,"x")+1),-$E1995*N(K1995)))</f>
        <v/>
      </c>
      <c r="Z1995" s="34">
        <f>IF(OR($A1995="",$H1995&lt;&gt;"Ausgabe",L1995=""),0,IF(L1995="x",-$E1995/(COUNTIF($J1995:$Q1995,"x")+1),-$E1995*N(L1995)))</f>
        <v/>
      </c>
      <c r="AA1995" s="34">
        <f>IF(OR($A1995="",$H1995&lt;&gt;"Ausgabe",M1995=""),0,IF(M1995="x",-$E1995/(COUNTIF($J1995:$Q1995,"x")+1),-$E1995*N(M1995)))</f>
        <v/>
      </c>
      <c r="AB1995" s="34">
        <f>IF(OR($A1995="",$H1995&lt;&gt;"Ausgabe",N1995=""),0,IF(N1995="x",-$E1995/(COUNTIF($J1995:$Q1995,"x")+1),-$E1995*N(N1995)))</f>
        <v/>
      </c>
      <c r="AC1995" s="34">
        <f>IF(OR($A1995="",$H1995&lt;&gt;"Ausgabe",O1995=""),0,IF(O1995="x",-$E1995/(COUNTIF($J1995:$Q1995,"x")+1),-$E1995*N(O1995)))</f>
        <v/>
      </c>
      <c r="AD1995" s="34">
        <f>IF(OR($A1995="",$H1995&lt;&gt;"Ausgabe",P1995=""),0,IF(P1995="x",-$E1995/(COUNTIF($J1995:$Q1995,"x")+1),-$E1995*N(P1995)))</f>
        <v/>
      </c>
      <c r="AE1995" s="34">
        <f>IF(OR($A1995="",$H1995&lt;&gt;"Ausgabe",Q1995=""),0,IF(Q1995="x",-$E1995/(COUNTIF($J1995:$Q1995,"x")+1),-$E1995*N(Q1995)))</f>
        <v/>
      </c>
    </row>
    <row r="1996">
      <c r="A1996" s="30" t="n"/>
      <c r="E1996" s="31" t="n"/>
      <c r="J1996" s="32" t="n"/>
      <c r="K1996" s="32" t="n"/>
      <c r="L1996" s="32" t="n"/>
      <c r="M1996" s="32" t="n"/>
      <c r="N1996" s="32" t="n"/>
      <c r="O1996" s="32" t="n"/>
      <c r="P1996" s="32" t="n"/>
      <c r="Q1996" s="32" t="n"/>
      <c r="U1996" s="31">
        <f>IF($A1996="","",SUM(X1996:AE1996))</f>
        <v/>
      </c>
      <c r="V1996" s="31">
        <f>IF($A1996="","",IF($H1996&lt;&gt;"Ausgabe",0,-$E1996-$U1996))</f>
        <v/>
      </c>
      <c r="W1996" s="33">
        <f>IF($A1996="","",DATE(YEAR($A1996),MONTH($A1996),1))</f>
        <v/>
      </c>
      <c r="X1996" s="34">
        <f>IF(OR($A1996="",$H1996&lt;&gt;"Ausgabe",J1996=""),0,IF(J1996="x",-$E1996/(COUNTIF($J1996:$Q1996,"x")+1),-$E1996*N(J1996)))</f>
        <v/>
      </c>
      <c r="Y1996" s="34">
        <f>IF(OR($A1996="",$H1996&lt;&gt;"Ausgabe",K1996=""),0,IF(K1996="x",-$E1996/(COUNTIF($J1996:$Q1996,"x")+1),-$E1996*N(K1996)))</f>
        <v/>
      </c>
      <c r="Z1996" s="34">
        <f>IF(OR($A1996="",$H1996&lt;&gt;"Ausgabe",L1996=""),0,IF(L1996="x",-$E1996/(COUNTIF($J1996:$Q1996,"x")+1),-$E1996*N(L1996)))</f>
        <v/>
      </c>
      <c r="AA1996" s="34">
        <f>IF(OR($A1996="",$H1996&lt;&gt;"Ausgabe",M1996=""),0,IF(M1996="x",-$E1996/(COUNTIF($J1996:$Q1996,"x")+1),-$E1996*N(M1996)))</f>
        <v/>
      </c>
      <c r="AB1996" s="34">
        <f>IF(OR($A1996="",$H1996&lt;&gt;"Ausgabe",N1996=""),0,IF(N1996="x",-$E1996/(COUNTIF($J1996:$Q1996,"x")+1),-$E1996*N(N1996)))</f>
        <v/>
      </c>
      <c r="AC1996" s="34">
        <f>IF(OR($A1996="",$H1996&lt;&gt;"Ausgabe",O1996=""),0,IF(O1996="x",-$E1996/(COUNTIF($J1996:$Q1996,"x")+1),-$E1996*N(O1996)))</f>
        <v/>
      </c>
      <c r="AD1996" s="34">
        <f>IF(OR($A1996="",$H1996&lt;&gt;"Ausgabe",P1996=""),0,IF(P1996="x",-$E1996/(COUNTIF($J1996:$Q1996,"x")+1),-$E1996*N(P1996)))</f>
        <v/>
      </c>
      <c r="AE1996" s="34">
        <f>IF(OR($A1996="",$H1996&lt;&gt;"Ausgabe",Q1996=""),0,IF(Q1996="x",-$E1996/(COUNTIF($J1996:$Q1996,"x")+1),-$E1996*N(Q1996)))</f>
        <v/>
      </c>
    </row>
    <row r="1997">
      <c r="A1997" s="30" t="n"/>
      <c r="E1997" s="31" t="n"/>
      <c r="J1997" s="32" t="n"/>
      <c r="K1997" s="32" t="n"/>
      <c r="L1997" s="32" t="n"/>
      <c r="M1997" s="32" t="n"/>
      <c r="N1997" s="32" t="n"/>
      <c r="O1997" s="32" t="n"/>
      <c r="P1997" s="32" t="n"/>
      <c r="Q1997" s="32" t="n"/>
      <c r="U1997" s="31">
        <f>IF($A1997="","",SUM(X1997:AE1997))</f>
        <v/>
      </c>
      <c r="V1997" s="31">
        <f>IF($A1997="","",IF($H1997&lt;&gt;"Ausgabe",0,-$E1997-$U1997))</f>
        <v/>
      </c>
      <c r="W1997" s="33">
        <f>IF($A1997="","",DATE(YEAR($A1997),MONTH($A1997),1))</f>
        <v/>
      </c>
      <c r="X1997" s="34">
        <f>IF(OR($A1997="",$H1997&lt;&gt;"Ausgabe",J1997=""),0,IF(J1997="x",-$E1997/(COUNTIF($J1997:$Q1997,"x")+1),-$E1997*N(J1997)))</f>
        <v/>
      </c>
      <c r="Y1997" s="34">
        <f>IF(OR($A1997="",$H1997&lt;&gt;"Ausgabe",K1997=""),0,IF(K1997="x",-$E1997/(COUNTIF($J1997:$Q1997,"x")+1),-$E1997*N(K1997)))</f>
        <v/>
      </c>
      <c r="Z1997" s="34">
        <f>IF(OR($A1997="",$H1997&lt;&gt;"Ausgabe",L1997=""),0,IF(L1997="x",-$E1997/(COUNTIF($J1997:$Q1997,"x")+1),-$E1997*N(L1997)))</f>
        <v/>
      </c>
      <c r="AA1997" s="34">
        <f>IF(OR($A1997="",$H1997&lt;&gt;"Ausgabe",M1997=""),0,IF(M1997="x",-$E1997/(COUNTIF($J1997:$Q1997,"x")+1),-$E1997*N(M1997)))</f>
        <v/>
      </c>
      <c r="AB1997" s="34">
        <f>IF(OR($A1997="",$H1997&lt;&gt;"Ausgabe",N1997=""),0,IF(N1997="x",-$E1997/(COUNTIF($J1997:$Q1997,"x")+1),-$E1997*N(N1997)))</f>
        <v/>
      </c>
      <c r="AC1997" s="34">
        <f>IF(OR($A1997="",$H1997&lt;&gt;"Ausgabe",O1997=""),0,IF(O1997="x",-$E1997/(COUNTIF($J1997:$Q1997,"x")+1),-$E1997*N(O1997)))</f>
        <v/>
      </c>
      <c r="AD1997" s="34">
        <f>IF(OR($A1997="",$H1997&lt;&gt;"Ausgabe",P1997=""),0,IF(P1997="x",-$E1997/(COUNTIF($J1997:$Q1997,"x")+1),-$E1997*N(P1997)))</f>
        <v/>
      </c>
      <c r="AE1997" s="34">
        <f>IF(OR($A1997="",$H1997&lt;&gt;"Ausgabe",Q1997=""),0,IF(Q1997="x",-$E1997/(COUNTIF($J1997:$Q1997,"x")+1),-$E1997*N(Q1997)))</f>
        <v/>
      </c>
    </row>
    <row r="1998">
      <c r="A1998" s="30" t="n"/>
      <c r="E1998" s="31" t="n"/>
      <c r="J1998" s="32" t="n"/>
      <c r="K1998" s="32" t="n"/>
      <c r="L1998" s="32" t="n"/>
      <c r="M1998" s="32" t="n"/>
      <c r="N1998" s="32" t="n"/>
      <c r="O1998" s="32" t="n"/>
      <c r="P1998" s="32" t="n"/>
      <c r="Q1998" s="32" t="n"/>
      <c r="U1998" s="31">
        <f>IF($A1998="","",SUM(X1998:AE1998))</f>
        <v/>
      </c>
      <c r="V1998" s="31">
        <f>IF($A1998="","",IF($H1998&lt;&gt;"Ausgabe",0,-$E1998-$U1998))</f>
        <v/>
      </c>
      <c r="W1998" s="33">
        <f>IF($A1998="","",DATE(YEAR($A1998),MONTH($A1998),1))</f>
        <v/>
      </c>
      <c r="X1998" s="34">
        <f>IF(OR($A1998="",$H1998&lt;&gt;"Ausgabe",J1998=""),0,IF(J1998="x",-$E1998/(COUNTIF($J1998:$Q1998,"x")+1),-$E1998*N(J1998)))</f>
        <v/>
      </c>
      <c r="Y1998" s="34">
        <f>IF(OR($A1998="",$H1998&lt;&gt;"Ausgabe",K1998=""),0,IF(K1998="x",-$E1998/(COUNTIF($J1998:$Q1998,"x")+1),-$E1998*N(K1998)))</f>
        <v/>
      </c>
      <c r="Z1998" s="34">
        <f>IF(OR($A1998="",$H1998&lt;&gt;"Ausgabe",L1998=""),0,IF(L1998="x",-$E1998/(COUNTIF($J1998:$Q1998,"x")+1),-$E1998*N(L1998)))</f>
        <v/>
      </c>
      <c r="AA1998" s="34">
        <f>IF(OR($A1998="",$H1998&lt;&gt;"Ausgabe",M1998=""),0,IF(M1998="x",-$E1998/(COUNTIF($J1998:$Q1998,"x")+1),-$E1998*N(M1998)))</f>
        <v/>
      </c>
      <c r="AB1998" s="34">
        <f>IF(OR($A1998="",$H1998&lt;&gt;"Ausgabe",N1998=""),0,IF(N1998="x",-$E1998/(COUNTIF($J1998:$Q1998,"x")+1),-$E1998*N(N1998)))</f>
        <v/>
      </c>
      <c r="AC1998" s="34">
        <f>IF(OR($A1998="",$H1998&lt;&gt;"Ausgabe",O1998=""),0,IF(O1998="x",-$E1998/(COUNTIF($J1998:$Q1998,"x")+1),-$E1998*N(O1998)))</f>
        <v/>
      </c>
      <c r="AD1998" s="34">
        <f>IF(OR($A1998="",$H1998&lt;&gt;"Ausgabe",P1998=""),0,IF(P1998="x",-$E1998/(COUNTIF($J1998:$Q1998,"x")+1),-$E1998*N(P1998)))</f>
        <v/>
      </c>
      <c r="AE1998" s="34">
        <f>IF(OR($A1998="",$H1998&lt;&gt;"Ausgabe",Q1998=""),0,IF(Q1998="x",-$E1998/(COUNTIF($J1998:$Q1998,"x")+1),-$E1998*N(Q1998)))</f>
        <v/>
      </c>
    </row>
    <row r="1999">
      <c r="A1999" s="30" t="n"/>
      <c r="E1999" s="31" t="n"/>
      <c r="J1999" s="32" t="n"/>
      <c r="K1999" s="32" t="n"/>
      <c r="L1999" s="32" t="n"/>
      <c r="M1999" s="32" t="n"/>
      <c r="N1999" s="32" t="n"/>
      <c r="O1999" s="32" t="n"/>
      <c r="P1999" s="32" t="n"/>
      <c r="Q1999" s="32" t="n"/>
      <c r="U1999" s="31">
        <f>IF($A1999="","",SUM(X1999:AE1999))</f>
        <v/>
      </c>
      <c r="V1999" s="31">
        <f>IF($A1999="","",IF($H1999&lt;&gt;"Ausgabe",0,-$E1999-$U1999))</f>
        <v/>
      </c>
      <c r="W1999" s="33">
        <f>IF($A1999="","",DATE(YEAR($A1999),MONTH($A1999),1))</f>
        <v/>
      </c>
      <c r="X1999" s="34">
        <f>IF(OR($A1999="",$H1999&lt;&gt;"Ausgabe",J1999=""),0,IF(J1999="x",-$E1999/(COUNTIF($J1999:$Q1999,"x")+1),-$E1999*N(J1999)))</f>
        <v/>
      </c>
      <c r="Y1999" s="34">
        <f>IF(OR($A1999="",$H1999&lt;&gt;"Ausgabe",K1999=""),0,IF(K1999="x",-$E1999/(COUNTIF($J1999:$Q1999,"x")+1),-$E1999*N(K1999)))</f>
        <v/>
      </c>
      <c r="Z1999" s="34">
        <f>IF(OR($A1999="",$H1999&lt;&gt;"Ausgabe",L1999=""),0,IF(L1999="x",-$E1999/(COUNTIF($J1999:$Q1999,"x")+1),-$E1999*N(L1999)))</f>
        <v/>
      </c>
      <c r="AA1999" s="34">
        <f>IF(OR($A1999="",$H1999&lt;&gt;"Ausgabe",M1999=""),0,IF(M1999="x",-$E1999/(COUNTIF($J1999:$Q1999,"x")+1),-$E1999*N(M1999)))</f>
        <v/>
      </c>
      <c r="AB1999" s="34">
        <f>IF(OR($A1999="",$H1999&lt;&gt;"Ausgabe",N1999=""),0,IF(N1999="x",-$E1999/(COUNTIF($J1999:$Q1999,"x")+1),-$E1999*N(N1999)))</f>
        <v/>
      </c>
      <c r="AC1999" s="34">
        <f>IF(OR($A1999="",$H1999&lt;&gt;"Ausgabe",O1999=""),0,IF(O1999="x",-$E1999/(COUNTIF($J1999:$Q1999,"x")+1),-$E1999*N(O1999)))</f>
        <v/>
      </c>
      <c r="AD1999" s="34">
        <f>IF(OR($A1999="",$H1999&lt;&gt;"Ausgabe",P1999=""),0,IF(P1999="x",-$E1999/(COUNTIF($J1999:$Q1999,"x")+1),-$E1999*N(P1999)))</f>
        <v/>
      </c>
      <c r="AE1999" s="34">
        <f>IF(OR($A1999="",$H1999&lt;&gt;"Ausgabe",Q1999=""),0,IF(Q1999="x",-$E1999/(COUNTIF($J1999:$Q1999,"x")+1),-$E1999*N(Q1999)))</f>
        <v/>
      </c>
    </row>
    <row r="2000">
      <c r="A2000" s="30" t="n"/>
      <c r="E2000" s="31" t="n"/>
      <c r="J2000" s="32" t="n"/>
      <c r="K2000" s="32" t="n"/>
      <c r="L2000" s="32" t="n"/>
      <c r="M2000" s="32" t="n"/>
      <c r="N2000" s="32" t="n"/>
      <c r="O2000" s="32" t="n"/>
      <c r="P2000" s="32" t="n"/>
      <c r="Q2000" s="32" t="n"/>
      <c r="U2000" s="31">
        <f>IF($A2000="","",SUM(X2000:AE2000))</f>
        <v/>
      </c>
      <c r="V2000" s="31">
        <f>IF($A2000="","",IF($H2000&lt;&gt;"Ausgabe",0,-$E2000-$U2000))</f>
        <v/>
      </c>
      <c r="W2000" s="33">
        <f>IF($A2000="","",DATE(YEAR($A2000),MONTH($A2000),1))</f>
        <v/>
      </c>
      <c r="X2000" s="34">
        <f>IF(OR($A2000="",$H2000&lt;&gt;"Ausgabe",J2000=""),0,IF(J2000="x",-$E2000/(COUNTIF($J2000:$Q2000,"x")+1),-$E2000*N(J2000)))</f>
        <v/>
      </c>
      <c r="Y2000" s="34">
        <f>IF(OR($A2000="",$H2000&lt;&gt;"Ausgabe",K2000=""),0,IF(K2000="x",-$E2000/(COUNTIF($J2000:$Q2000,"x")+1),-$E2000*N(K2000)))</f>
        <v/>
      </c>
      <c r="Z2000" s="34">
        <f>IF(OR($A2000="",$H2000&lt;&gt;"Ausgabe",L2000=""),0,IF(L2000="x",-$E2000/(COUNTIF($J2000:$Q2000,"x")+1),-$E2000*N(L2000)))</f>
        <v/>
      </c>
      <c r="AA2000" s="34">
        <f>IF(OR($A2000="",$H2000&lt;&gt;"Ausgabe",M2000=""),0,IF(M2000="x",-$E2000/(COUNTIF($J2000:$Q2000,"x")+1),-$E2000*N(M2000)))</f>
        <v/>
      </c>
      <c r="AB2000" s="34">
        <f>IF(OR($A2000="",$H2000&lt;&gt;"Ausgabe",N2000=""),0,IF(N2000="x",-$E2000/(COUNTIF($J2000:$Q2000,"x")+1),-$E2000*N(N2000)))</f>
        <v/>
      </c>
      <c r="AC2000" s="34">
        <f>IF(OR($A2000="",$H2000&lt;&gt;"Ausgabe",O2000=""),0,IF(O2000="x",-$E2000/(COUNTIF($J2000:$Q2000,"x")+1),-$E2000*N(O2000)))</f>
        <v/>
      </c>
      <c r="AD2000" s="34">
        <f>IF(OR($A2000="",$H2000&lt;&gt;"Ausgabe",P2000=""),0,IF(P2000="x",-$E2000/(COUNTIF($J2000:$Q2000,"x")+1),-$E2000*N(P2000)))</f>
        <v/>
      </c>
      <c r="AE2000" s="34">
        <f>IF(OR($A2000="",$H2000&lt;&gt;"Ausgabe",Q2000=""),0,IF(Q2000="x",-$E2000/(COUNTIF($J2000:$Q2000,"x")+1),-$E2000*N(Q2000)))</f>
        <v/>
      </c>
    </row>
    <row r="2001">
      <c r="A2001" s="30" t="n"/>
      <c r="E2001" s="31" t="n"/>
      <c r="J2001" s="32" t="n"/>
      <c r="K2001" s="32" t="n"/>
      <c r="L2001" s="32" t="n"/>
      <c r="M2001" s="32" t="n"/>
      <c r="N2001" s="32" t="n"/>
      <c r="O2001" s="32" t="n"/>
      <c r="P2001" s="32" t="n"/>
      <c r="Q2001" s="32" t="n"/>
      <c r="U2001" s="31">
        <f>IF($A2001="","",SUM(X2001:AE2001))</f>
        <v/>
      </c>
      <c r="V2001" s="31">
        <f>IF($A2001="","",IF($H2001&lt;&gt;"Ausgabe",0,-$E2001-$U2001))</f>
        <v/>
      </c>
      <c r="W2001" s="33">
        <f>IF($A2001="","",DATE(YEAR($A2001),MONTH($A2001),1))</f>
        <v/>
      </c>
      <c r="X2001" s="34">
        <f>IF(OR($A2001="",$H2001&lt;&gt;"Ausgabe",J2001=""),0,IF(J2001="x",-$E2001/(COUNTIF($J2001:$Q2001,"x")+1),-$E2001*N(J2001)))</f>
        <v/>
      </c>
      <c r="Y2001" s="34">
        <f>IF(OR($A2001="",$H2001&lt;&gt;"Ausgabe",K2001=""),0,IF(K2001="x",-$E2001/(COUNTIF($J2001:$Q2001,"x")+1),-$E2001*N(K2001)))</f>
        <v/>
      </c>
      <c r="Z2001" s="34">
        <f>IF(OR($A2001="",$H2001&lt;&gt;"Ausgabe",L2001=""),0,IF(L2001="x",-$E2001/(COUNTIF($J2001:$Q2001,"x")+1),-$E2001*N(L2001)))</f>
        <v/>
      </c>
      <c r="AA2001" s="34">
        <f>IF(OR($A2001="",$H2001&lt;&gt;"Ausgabe",M2001=""),0,IF(M2001="x",-$E2001/(COUNTIF($J2001:$Q2001,"x")+1),-$E2001*N(M2001)))</f>
        <v/>
      </c>
      <c r="AB2001" s="34">
        <f>IF(OR($A2001="",$H2001&lt;&gt;"Ausgabe",N2001=""),0,IF(N2001="x",-$E2001/(COUNTIF($J2001:$Q2001,"x")+1),-$E2001*N(N2001)))</f>
        <v/>
      </c>
      <c r="AC2001" s="34">
        <f>IF(OR($A2001="",$H2001&lt;&gt;"Ausgabe",O2001=""),0,IF(O2001="x",-$E2001/(COUNTIF($J2001:$Q2001,"x")+1),-$E2001*N(O2001)))</f>
        <v/>
      </c>
      <c r="AD2001" s="34">
        <f>IF(OR($A2001="",$H2001&lt;&gt;"Ausgabe",P2001=""),0,IF(P2001="x",-$E2001/(COUNTIF($J2001:$Q2001,"x")+1),-$E2001*N(P2001)))</f>
        <v/>
      </c>
      <c r="AE2001" s="34">
        <f>IF(OR($A2001="",$H2001&lt;&gt;"Ausgabe",Q2001=""),0,IF(Q2001="x",-$E2001/(COUNTIF($J2001:$Q2001,"x")+1),-$E2001*N(Q2001)))</f>
        <v/>
      </c>
    </row>
    <row r="2002">
      <c r="A2002" s="30" t="n"/>
      <c r="E2002" s="31" t="n"/>
      <c r="J2002" s="32" t="n"/>
      <c r="K2002" s="32" t="n"/>
      <c r="L2002" s="32" t="n"/>
      <c r="M2002" s="32" t="n"/>
      <c r="N2002" s="32" t="n"/>
      <c r="O2002" s="32" t="n"/>
      <c r="P2002" s="32" t="n"/>
      <c r="Q2002" s="32" t="n"/>
      <c r="U2002" s="31">
        <f>IF($A2002="","",SUM(X2002:AE2002))</f>
        <v/>
      </c>
      <c r="V2002" s="31">
        <f>IF($A2002="","",IF($H2002&lt;&gt;"Ausgabe",0,-$E2002-$U2002))</f>
        <v/>
      </c>
      <c r="W2002" s="33">
        <f>IF($A2002="","",DATE(YEAR($A2002),MONTH($A2002),1))</f>
        <v/>
      </c>
      <c r="X2002" s="34">
        <f>IF(OR($A2002="",$H2002&lt;&gt;"Ausgabe",J2002=""),0,IF(J2002="x",-$E2002/(COUNTIF($J2002:$Q2002,"x")+1),-$E2002*N(J2002)))</f>
        <v/>
      </c>
      <c r="Y2002" s="34">
        <f>IF(OR($A2002="",$H2002&lt;&gt;"Ausgabe",K2002=""),0,IF(K2002="x",-$E2002/(COUNTIF($J2002:$Q2002,"x")+1),-$E2002*N(K2002)))</f>
        <v/>
      </c>
      <c r="Z2002" s="34">
        <f>IF(OR($A2002="",$H2002&lt;&gt;"Ausgabe",L2002=""),0,IF(L2002="x",-$E2002/(COUNTIF($J2002:$Q2002,"x")+1),-$E2002*N(L2002)))</f>
        <v/>
      </c>
      <c r="AA2002" s="34">
        <f>IF(OR($A2002="",$H2002&lt;&gt;"Ausgabe",M2002=""),0,IF(M2002="x",-$E2002/(COUNTIF($J2002:$Q2002,"x")+1),-$E2002*N(M2002)))</f>
        <v/>
      </c>
      <c r="AB2002" s="34">
        <f>IF(OR($A2002="",$H2002&lt;&gt;"Ausgabe",N2002=""),0,IF(N2002="x",-$E2002/(COUNTIF($J2002:$Q2002,"x")+1),-$E2002*N(N2002)))</f>
        <v/>
      </c>
      <c r="AC2002" s="34">
        <f>IF(OR($A2002="",$H2002&lt;&gt;"Ausgabe",O2002=""),0,IF(O2002="x",-$E2002/(COUNTIF($J2002:$Q2002,"x")+1),-$E2002*N(O2002)))</f>
        <v/>
      </c>
      <c r="AD2002" s="34">
        <f>IF(OR($A2002="",$H2002&lt;&gt;"Ausgabe",P2002=""),0,IF(P2002="x",-$E2002/(COUNTIF($J2002:$Q2002,"x")+1),-$E2002*N(P2002)))</f>
        <v/>
      </c>
      <c r="AE2002" s="34">
        <f>IF(OR($A2002="",$H2002&lt;&gt;"Ausgabe",Q2002=""),0,IF(Q2002="x",-$E2002/(COUNTIF($J2002:$Q2002,"x")+1),-$E2002*N(Q2002)))</f>
        <v/>
      </c>
    </row>
    <row r="2003">
      <c r="A2003" s="30" t="n"/>
      <c r="E2003" s="31" t="n"/>
      <c r="J2003" s="32" t="n"/>
      <c r="K2003" s="32" t="n"/>
      <c r="L2003" s="32" t="n"/>
      <c r="M2003" s="32" t="n"/>
      <c r="N2003" s="32" t="n"/>
      <c r="O2003" s="32" t="n"/>
      <c r="P2003" s="32" t="n"/>
      <c r="Q2003" s="32" t="n"/>
      <c r="U2003" s="31">
        <f>IF($A2003="","",SUM(X2003:AE2003))</f>
        <v/>
      </c>
      <c r="V2003" s="31">
        <f>IF($A2003="","",IF($H2003&lt;&gt;"Ausgabe",0,-$E2003-$U2003))</f>
        <v/>
      </c>
      <c r="W2003" s="33">
        <f>IF($A2003="","",DATE(YEAR($A2003),MONTH($A2003),1))</f>
        <v/>
      </c>
      <c r="X2003" s="34">
        <f>IF(OR($A2003="",$H2003&lt;&gt;"Ausgabe",J2003=""),0,IF(J2003="x",-$E2003/(COUNTIF($J2003:$Q2003,"x")+1),-$E2003*N(J2003)))</f>
        <v/>
      </c>
      <c r="Y2003" s="34">
        <f>IF(OR($A2003="",$H2003&lt;&gt;"Ausgabe",K2003=""),0,IF(K2003="x",-$E2003/(COUNTIF($J2003:$Q2003,"x")+1),-$E2003*N(K2003)))</f>
        <v/>
      </c>
      <c r="Z2003" s="34">
        <f>IF(OR($A2003="",$H2003&lt;&gt;"Ausgabe",L2003=""),0,IF(L2003="x",-$E2003/(COUNTIF($J2003:$Q2003,"x")+1),-$E2003*N(L2003)))</f>
        <v/>
      </c>
      <c r="AA2003" s="34">
        <f>IF(OR($A2003="",$H2003&lt;&gt;"Ausgabe",M2003=""),0,IF(M2003="x",-$E2003/(COUNTIF($J2003:$Q2003,"x")+1),-$E2003*N(M2003)))</f>
        <v/>
      </c>
      <c r="AB2003" s="34">
        <f>IF(OR($A2003="",$H2003&lt;&gt;"Ausgabe",N2003=""),0,IF(N2003="x",-$E2003/(COUNTIF($J2003:$Q2003,"x")+1),-$E2003*N(N2003)))</f>
        <v/>
      </c>
      <c r="AC2003" s="34">
        <f>IF(OR($A2003="",$H2003&lt;&gt;"Ausgabe",O2003=""),0,IF(O2003="x",-$E2003/(COUNTIF($J2003:$Q2003,"x")+1),-$E2003*N(O2003)))</f>
        <v/>
      </c>
      <c r="AD2003" s="34">
        <f>IF(OR($A2003="",$H2003&lt;&gt;"Ausgabe",P2003=""),0,IF(P2003="x",-$E2003/(COUNTIF($J2003:$Q2003,"x")+1),-$E2003*N(P2003)))</f>
        <v/>
      </c>
      <c r="AE2003" s="34">
        <f>IF(OR($A2003="",$H2003&lt;&gt;"Ausgabe",Q2003=""),0,IF(Q2003="x",-$E2003/(COUNTIF($J2003:$Q2003,"x")+1),-$E2003*N(Q2003)))</f>
        <v/>
      </c>
    </row>
    <row r="2004">
      <c r="A2004" s="30" t="n"/>
      <c r="E2004" s="31" t="n"/>
      <c r="J2004" s="32" t="n"/>
      <c r="K2004" s="32" t="n"/>
      <c r="L2004" s="32" t="n"/>
      <c r="M2004" s="32" t="n"/>
      <c r="N2004" s="32" t="n"/>
      <c r="O2004" s="32" t="n"/>
      <c r="P2004" s="32" t="n"/>
      <c r="Q2004" s="32" t="n"/>
      <c r="U2004" s="31">
        <f>IF($A2004="","",SUM(X2004:AE2004))</f>
        <v/>
      </c>
      <c r="V2004" s="31">
        <f>IF($A2004="","",IF($H2004&lt;&gt;"Ausgabe",0,-$E2004-$U2004))</f>
        <v/>
      </c>
      <c r="W2004" s="33">
        <f>IF($A2004="","",DATE(YEAR($A2004),MONTH($A2004),1))</f>
        <v/>
      </c>
      <c r="X2004" s="34">
        <f>IF(OR($A2004="",$H2004&lt;&gt;"Ausgabe",J2004=""),0,IF(J2004="x",-$E2004/(COUNTIF($J2004:$Q2004,"x")+1),-$E2004*N(J2004)))</f>
        <v/>
      </c>
      <c r="Y2004" s="34">
        <f>IF(OR($A2004="",$H2004&lt;&gt;"Ausgabe",K2004=""),0,IF(K2004="x",-$E2004/(COUNTIF($J2004:$Q2004,"x")+1),-$E2004*N(K2004)))</f>
        <v/>
      </c>
      <c r="Z2004" s="34">
        <f>IF(OR($A2004="",$H2004&lt;&gt;"Ausgabe",L2004=""),0,IF(L2004="x",-$E2004/(COUNTIF($J2004:$Q2004,"x")+1),-$E2004*N(L2004)))</f>
        <v/>
      </c>
      <c r="AA2004" s="34">
        <f>IF(OR($A2004="",$H2004&lt;&gt;"Ausgabe",M2004=""),0,IF(M2004="x",-$E2004/(COUNTIF($J2004:$Q2004,"x")+1),-$E2004*N(M2004)))</f>
        <v/>
      </c>
      <c r="AB2004" s="34">
        <f>IF(OR($A2004="",$H2004&lt;&gt;"Ausgabe",N2004=""),0,IF(N2004="x",-$E2004/(COUNTIF($J2004:$Q2004,"x")+1),-$E2004*N(N2004)))</f>
        <v/>
      </c>
      <c r="AC2004" s="34">
        <f>IF(OR($A2004="",$H2004&lt;&gt;"Ausgabe",O2004=""),0,IF(O2004="x",-$E2004/(COUNTIF($J2004:$Q2004,"x")+1),-$E2004*N(O2004)))</f>
        <v/>
      </c>
      <c r="AD2004" s="34">
        <f>IF(OR($A2004="",$H2004&lt;&gt;"Ausgabe",P2004=""),0,IF(P2004="x",-$E2004/(COUNTIF($J2004:$Q2004,"x")+1),-$E2004*N(P2004)))</f>
        <v/>
      </c>
      <c r="AE2004" s="34">
        <f>IF(OR($A2004="",$H2004&lt;&gt;"Ausgabe",Q2004=""),0,IF(Q2004="x",-$E2004/(COUNTIF($J2004:$Q2004,"x")+1),-$E2004*N(Q2004)))</f>
        <v/>
      </c>
    </row>
    <row r="2005">
      <c r="A2005" s="30" t="n"/>
      <c r="E2005" s="31" t="n"/>
      <c r="J2005" s="32" t="n"/>
      <c r="K2005" s="32" t="n"/>
      <c r="L2005" s="32" t="n"/>
      <c r="M2005" s="32" t="n"/>
      <c r="N2005" s="32" t="n"/>
      <c r="O2005" s="32" t="n"/>
      <c r="P2005" s="32" t="n"/>
      <c r="Q2005" s="32" t="n"/>
      <c r="U2005" s="31">
        <f>IF($A2005="","",SUM(X2005:AE2005))</f>
        <v/>
      </c>
      <c r="V2005" s="31">
        <f>IF($A2005="","",IF($H2005&lt;&gt;"Ausgabe",0,-$E2005-$U2005))</f>
        <v/>
      </c>
      <c r="W2005" s="33">
        <f>IF($A2005="","",DATE(YEAR($A2005),MONTH($A2005),1))</f>
        <v/>
      </c>
      <c r="X2005" s="34">
        <f>IF(OR($A2005="",$H2005&lt;&gt;"Ausgabe",J2005=""),0,IF(J2005="x",-$E2005/(COUNTIF($J2005:$Q2005,"x")+1),-$E2005*N(J2005)))</f>
        <v/>
      </c>
      <c r="Y2005" s="34">
        <f>IF(OR($A2005="",$H2005&lt;&gt;"Ausgabe",K2005=""),0,IF(K2005="x",-$E2005/(COUNTIF($J2005:$Q2005,"x")+1),-$E2005*N(K2005)))</f>
        <v/>
      </c>
      <c r="Z2005" s="34">
        <f>IF(OR($A2005="",$H2005&lt;&gt;"Ausgabe",L2005=""),0,IF(L2005="x",-$E2005/(COUNTIF($J2005:$Q2005,"x")+1),-$E2005*N(L2005)))</f>
        <v/>
      </c>
      <c r="AA2005" s="34">
        <f>IF(OR($A2005="",$H2005&lt;&gt;"Ausgabe",M2005=""),0,IF(M2005="x",-$E2005/(COUNTIF($J2005:$Q2005,"x")+1),-$E2005*N(M2005)))</f>
        <v/>
      </c>
      <c r="AB2005" s="34">
        <f>IF(OR($A2005="",$H2005&lt;&gt;"Ausgabe",N2005=""),0,IF(N2005="x",-$E2005/(COUNTIF($J2005:$Q2005,"x")+1),-$E2005*N(N2005)))</f>
        <v/>
      </c>
      <c r="AC2005" s="34">
        <f>IF(OR($A2005="",$H2005&lt;&gt;"Ausgabe",O2005=""),0,IF(O2005="x",-$E2005/(COUNTIF($J2005:$Q2005,"x")+1),-$E2005*N(O2005)))</f>
        <v/>
      </c>
      <c r="AD2005" s="34">
        <f>IF(OR($A2005="",$H2005&lt;&gt;"Ausgabe",P2005=""),0,IF(P2005="x",-$E2005/(COUNTIF($J2005:$Q2005,"x")+1),-$E2005*N(P2005)))</f>
        <v/>
      </c>
      <c r="AE2005" s="34">
        <f>IF(OR($A2005="",$H2005&lt;&gt;"Ausgabe",Q2005=""),0,IF(Q2005="x",-$E2005/(COUNTIF($J2005:$Q2005,"x")+1),-$E2005*N(Q2005)))</f>
        <v/>
      </c>
    </row>
    <row r="2006">
      <c r="A2006" s="30" t="n"/>
      <c r="E2006" s="31" t="n"/>
      <c r="J2006" s="32" t="n"/>
      <c r="K2006" s="32" t="n"/>
      <c r="L2006" s="32" t="n"/>
      <c r="M2006" s="32" t="n"/>
      <c r="N2006" s="32" t="n"/>
      <c r="O2006" s="32" t="n"/>
      <c r="P2006" s="32" t="n"/>
      <c r="Q2006" s="32" t="n"/>
      <c r="U2006" s="31">
        <f>IF($A2006="","",SUM(X2006:AE2006))</f>
        <v/>
      </c>
      <c r="V2006" s="31">
        <f>IF($A2006="","",IF($H2006&lt;&gt;"Ausgabe",0,-$E2006-$U2006))</f>
        <v/>
      </c>
      <c r="W2006" s="33">
        <f>IF($A2006="","",DATE(YEAR($A2006),MONTH($A2006),1))</f>
        <v/>
      </c>
      <c r="X2006" s="34">
        <f>IF(OR($A2006="",$H2006&lt;&gt;"Ausgabe",J2006=""),0,IF(J2006="x",-$E2006/(COUNTIF($J2006:$Q2006,"x")+1),-$E2006*N(J2006)))</f>
        <v/>
      </c>
      <c r="Y2006" s="34">
        <f>IF(OR($A2006="",$H2006&lt;&gt;"Ausgabe",K2006=""),0,IF(K2006="x",-$E2006/(COUNTIF($J2006:$Q2006,"x")+1),-$E2006*N(K2006)))</f>
        <v/>
      </c>
      <c r="Z2006" s="34">
        <f>IF(OR($A2006="",$H2006&lt;&gt;"Ausgabe",L2006=""),0,IF(L2006="x",-$E2006/(COUNTIF($J2006:$Q2006,"x")+1),-$E2006*N(L2006)))</f>
        <v/>
      </c>
      <c r="AA2006" s="34">
        <f>IF(OR($A2006="",$H2006&lt;&gt;"Ausgabe",M2006=""),0,IF(M2006="x",-$E2006/(COUNTIF($J2006:$Q2006,"x")+1),-$E2006*N(M2006)))</f>
        <v/>
      </c>
      <c r="AB2006" s="34">
        <f>IF(OR($A2006="",$H2006&lt;&gt;"Ausgabe",N2006=""),0,IF(N2006="x",-$E2006/(COUNTIF($J2006:$Q2006,"x")+1),-$E2006*N(N2006)))</f>
        <v/>
      </c>
      <c r="AC2006" s="34">
        <f>IF(OR($A2006="",$H2006&lt;&gt;"Ausgabe",O2006=""),0,IF(O2006="x",-$E2006/(COUNTIF($J2006:$Q2006,"x")+1),-$E2006*N(O2006)))</f>
        <v/>
      </c>
      <c r="AD2006" s="34">
        <f>IF(OR($A2006="",$H2006&lt;&gt;"Ausgabe",P2006=""),0,IF(P2006="x",-$E2006/(COUNTIF($J2006:$Q2006,"x")+1),-$E2006*N(P2006)))</f>
        <v/>
      </c>
      <c r="AE2006" s="34">
        <f>IF(OR($A2006="",$H2006&lt;&gt;"Ausgabe",Q2006=""),0,IF(Q2006="x",-$E2006/(COUNTIF($J2006:$Q2006,"x")+1),-$E2006*N(Q2006)))</f>
        <v/>
      </c>
    </row>
    <row r="2007">
      <c r="A2007" s="30" t="n"/>
      <c r="E2007" s="31" t="n"/>
      <c r="J2007" s="32" t="n"/>
      <c r="K2007" s="32" t="n"/>
      <c r="L2007" s="32" t="n"/>
      <c r="M2007" s="32" t="n"/>
      <c r="N2007" s="32" t="n"/>
      <c r="O2007" s="32" t="n"/>
      <c r="P2007" s="32" t="n"/>
      <c r="Q2007" s="32" t="n"/>
      <c r="U2007" s="31">
        <f>IF($A2007="","",SUM(X2007:AE2007))</f>
        <v/>
      </c>
      <c r="V2007" s="31">
        <f>IF($A2007="","",IF($H2007&lt;&gt;"Ausgabe",0,-$E2007-$U2007))</f>
        <v/>
      </c>
      <c r="W2007" s="33">
        <f>IF($A2007="","",DATE(YEAR($A2007),MONTH($A2007),1))</f>
        <v/>
      </c>
      <c r="X2007" s="34">
        <f>IF(OR($A2007="",$H2007&lt;&gt;"Ausgabe",J2007=""),0,IF(J2007="x",-$E2007/(COUNTIF($J2007:$Q2007,"x")+1),-$E2007*N(J2007)))</f>
        <v/>
      </c>
      <c r="Y2007" s="34">
        <f>IF(OR($A2007="",$H2007&lt;&gt;"Ausgabe",K2007=""),0,IF(K2007="x",-$E2007/(COUNTIF($J2007:$Q2007,"x")+1),-$E2007*N(K2007)))</f>
        <v/>
      </c>
      <c r="Z2007" s="34">
        <f>IF(OR($A2007="",$H2007&lt;&gt;"Ausgabe",L2007=""),0,IF(L2007="x",-$E2007/(COUNTIF($J2007:$Q2007,"x")+1),-$E2007*N(L2007)))</f>
        <v/>
      </c>
      <c r="AA2007" s="34">
        <f>IF(OR($A2007="",$H2007&lt;&gt;"Ausgabe",M2007=""),0,IF(M2007="x",-$E2007/(COUNTIF($J2007:$Q2007,"x")+1),-$E2007*N(M2007)))</f>
        <v/>
      </c>
      <c r="AB2007" s="34">
        <f>IF(OR($A2007="",$H2007&lt;&gt;"Ausgabe",N2007=""),0,IF(N2007="x",-$E2007/(COUNTIF($J2007:$Q2007,"x")+1),-$E2007*N(N2007)))</f>
        <v/>
      </c>
      <c r="AC2007" s="34">
        <f>IF(OR($A2007="",$H2007&lt;&gt;"Ausgabe",O2007=""),0,IF(O2007="x",-$E2007/(COUNTIF($J2007:$Q2007,"x")+1),-$E2007*N(O2007)))</f>
        <v/>
      </c>
      <c r="AD2007" s="34">
        <f>IF(OR($A2007="",$H2007&lt;&gt;"Ausgabe",P2007=""),0,IF(P2007="x",-$E2007/(COUNTIF($J2007:$Q2007,"x")+1),-$E2007*N(P2007)))</f>
        <v/>
      </c>
      <c r="AE2007" s="34">
        <f>IF(OR($A2007="",$H2007&lt;&gt;"Ausgabe",Q2007=""),0,IF(Q2007="x",-$E2007/(COUNTIF($J2007:$Q2007,"x")+1),-$E2007*N(Q2007)))</f>
        <v/>
      </c>
    </row>
    <row r="2008">
      <c r="A2008" s="30" t="n"/>
      <c r="E2008" s="31" t="n"/>
      <c r="J2008" s="32" t="n"/>
      <c r="K2008" s="32" t="n"/>
      <c r="L2008" s="32" t="n"/>
      <c r="M2008" s="32" t="n"/>
      <c r="N2008" s="32" t="n"/>
      <c r="O2008" s="32" t="n"/>
      <c r="P2008" s="32" t="n"/>
      <c r="Q2008" s="32" t="n"/>
      <c r="U2008" s="31">
        <f>IF($A2008="","",SUM(X2008:AE2008))</f>
        <v/>
      </c>
      <c r="V2008" s="31">
        <f>IF($A2008="","",IF($H2008&lt;&gt;"Ausgabe",0,-$E2008-$U2008))</f>
        <v/>
      </c>
      <c r="W2008" s="33">
        <f>IF($A2008="","",DATE(YEAR($A2008),MONTH($A2008),1))</f>
        <v/>
      </c>
      <c r="X2008" s="34">
        <f>IF(OR($A2008="",$H2008&lt;&gt;"Ausgabe",J2008=""),0,IF(J2008="x",-$E2008/(COUNTIF($J2008:$Q2008,"x")+1),-$E2008*N(J2008)))</f>
        <v/>
      </c>
      <c r="Y2008" s="34">
        <f>IF(OR($A2008="",$H2008&lt;&gt;"Ausgabe",K2008=""),0,IF(K2008="x",-$E2008/(COUNTIF($J2008:$Q2008,"x")+1),-$E2008*N(K2008)))</f>
        <v/>
      </c>
      <c r="Z2008" s="34">
        <f>IF(OR($A2008="",$H2008&lt;&gt;"Ausgabe",L2008=""),0,IF(L2008="x",-$E2008/(COUNTIF($J2008:$Q2008,"x")+1),-$E2008*N(L2008)))</f>
        <v/>
      </c>
      <c r="AA2008" s="34">
        <f>IF(OR($A2008="",$H2008&lt;&gt;"Ausgabe",M2008=""),0,IF(M2008="x",-$E2008/(COUNTIF($J2008:$Q2008,"x")+1),-$E2008*N(M2008)))</f>
        <v/>
      </c>
      <c r="AB2008" s="34">
        <f>IF(OR($A2008="",$H2008&lt;&gt;"Ausgabe",N2008=""),0,IF(N2008="x",-$E2008/(COUNTIF($J2008:$Q2008,"x")+1),-$E2008*N(N2008)))</f>
        <v/>
      </c>
      <c r="AC2008" s="34">
        <f>IF(OR($A2008="",$H2008&lt;&gt;"Ausgabe",O2008=""),0,IF(O2008="x",-$E2008/(COUNTIF($J2008:$Q2008,"x")+1),-$E2008*N(O2008)))</f>
        <v/>
      </c>
      <c r="AD2008" s="34">
        <f>IF(OR($A2008="",$H2008&lt;&gt;"Ausgabe",P2008=""),0,IF(P2008="x",-$E2008/(COUNTIF($J2008:$Q2008,"x")+1),-$E2008*N(P2008)))</f>
        <v/>
      </c>
      <c r="AE2008" s="34">
        <f>IF(OR($A2008="",$H2008&lt;&gt;"Ausgabe",Q2008=""),0,IF(Q2008="x",-$E2008/(COUNTIF($J2008:$Q2008,"x")+1),-$E2008*N(Q2008)))</f>
        <v/>
      </c>
    </row>
    <row r="2009">
      <c r="A2009" s="30" t="n"/>
      <c r="E2009" s="31" t="n"/>
      <c r="J2009" s="32" t="n"/>
      <c r="K2009" s="32" t="n"/>
      <c r="L2009" s="32" t="n"/>
      <c r="M2009" s="32" t="n"/>
      <c r="N2009" s="32" t="n"/>
      <c r="O2009" s="32" t="n"/>
      <c r="P2009" s="32" t="n"/>
      <c r="Q2009" s="32" t="n"/>
      <c r="U2009" s="31">
        <f>IF($A2009="","",SUM(X2009:AE2009))</f>
        <v/>
      </c>
      <c r="V2009" s="31">
        <f>IF($A2009="","",IF($H2009&lt;&gt;"Ausgabe",0,-$E2009-$U2009))</f>
        <v/>
      </c>
      <c r="W2009" s="33">
        <f>IF($A2009="","",DATE(YEAR($A2009),MONTH($A2009),1))</f>
        <v/>
      </c>
      <c r="X2009" s="34">
        <f>IF(OR($A2009="",$H2009&lt;&gt;"Ausgabe",J2009=""),0,IF(J2009="x",-$E2009/(COUNTIF($J2009:$Q2009,"x")+1),-$E2009*N(J2009)))</f>
        <v/>
      </c>
      <c r="Y2009" s="34">
        <f>IF(OR($A2009="",$H2009&lt;&gt;"Ausgabe",K2009=""),0,IF(K2009="x",-$E2009/(COUNTIF($J2009:$Q2009,"x")+1),-$E2009*N(K2009)))</f>
        <v/>
      </c>
      <c r="Z2009" s="34">
        <f>IF(OR($A2009="",$H2009&lt;&gt;"Ausgabe",L2009=""),0,IF(L2009="x",-$E2009/(COUNTIF($J2009:$Q2009,"x")+1),-$E2009*N(L2009)))</f>
        <v/>
      </c>
      <c r="AA2009" s="34">
        <f>IF(OR($A2009="",$H2009&lt;&gt;"Ausgabe",M2009=""),0,IF(M2009="x",-$E2009/(COUNTIF($J2009:$Q2009,"x")+1),-$E2009*N(M2009)))</f>
        <v/>
      </c>
      <c r="AB2009" s="34">
        <f>IF(OR($A2009="",$H2009&lt;&gt;"Ausgabe",N2009=""),0,IF(N2009="x",-$E2009/(COUNTIF($J2009:$Q2009,"x")+1),-$E2009*N(N2009)))</f>
        <v/>
      </c>
      <c r="AC2009" s="34">
        <f>IF(OR($A2009="",$H2009&lt;&gt;"Ausgabe",O2009=""),0,IF(O2009="x",-$E2009/(COUNTIF($J2009:$Q2009,"x")+1),-$E2009*N(O2009)))</f>
        <v/>
      </c>
      <c r="AD2009" s="34">
        <f>IF(OR($A2009="",$H2009&lt;&gt;"Ausgabe",P2009=""),0,IF(P2009="x",-$E2009/(COUNTIF($J2009:$Q2009,"x")+1),-$E2009*N(P2009)))</f>
        <v/>
      </c>
      <c r="AE2009" s="34">
        <f>IF(OR($A2009="",$H2009&lt;&gt;"Ausgabe",Q2009=""),0,IF(Q2009="x",-$E2009/(COUNTIF($J2009:$Q2009,"x")+1),-$E2009*N(Q2009)))</f>
        <v/>
      </c>
    </row>
    <row r="2010">
      <c r="A2010" s="30" t="n"/>
      <c r="E2010" s="31" t="n"/>
      <c r="J2010" s="32" t="n"/>
      <c r="K2010" s="32" t="n"/>
      <c r="L2010" s="32" t="n"/>
      <c r="M2010" s="32" t="n"/>
      <c r="N2010" s="32" t="n"/>
      <c r="O2010" s="32" t="n"/>
      <c r="P2010" s="32" t="n"/>
      <c r="Q2010" s="32" t="n"/>
      <c r="U2010" s="31">
        <f>IF($A2010="","",SUM(X2010:AE2010))</f>
        <v/>
      </c>
      <c r="V2010" s="31">
        <f>IF($A2010="","",IF($H2010&lt;&gt;"Ausgabe",0,-$E2010-$U2010))</f>
        <v/>
      </c>
      <c r="W2010" s="33">
        <f>IF($A2010="","",DATE(YEAR($A2010),MONTH($A2010),1))</f>
        <v/>
      </c>
      <c r="X2010" s="34">
        <f>IF(OR($A2010="",$H2010&lt;&gt;"Ausgabe",J2010=""),0,IF(J2010="x",-$E2010/(COUNTIF($J2010:$Q2010,"x")+1),-$E2010*N(J2010)))</f>
        <v/>
      </c>
      <c r="Y2010" s="34">
        <f>IF(OR($A2010="",$H2010&lt;&gt;"Ausgabe",K2010=""),0,IF(K2010="x",-$E2010/(COUNTIF($J2010:$Q2010,"x")+1),-$E2010*N(K2010)))</f>
        <v/>
      </c>
      <c r="Z2010" s="34">
        <f>IF(OR($A2010="",$H2010&lt;&gt;"Ausgabe",L2010=""),0,IF(L2010="x",-$E2010/(COUNTIF($J2010:$Q2010,"x")+1),-$E2010*N(L2010)))</f>
        <v/>
      </c>
      <c r="AA2010" s="34">
        <f>IF(OR($A2010="",$H2010&lt;&gt;"Ausgabe",M2010=""),0,IF(M2010="x",-$E2010/(COUNTIF($J2010:$Q2010,"x")+1),-$E2010*N(M2010)))</f>
        <v/>
      </c>
      <c r="AB2010" s="34">
        <f>IF(OR($A2010="",$H2010&lt;&gt;"Ausgabe",N2010=""),0,IF(N2010="x",-$E2010/(COUNTIF($J2010:$Q2010,"x")+1),-$E2010*N(N2010)))</f>
        <v/>
      </c>
      <c r="AC2010" s="34">
        <f>IF(OR($A2010="",$H2010&lt;&gt;"Ausgabe",O2010=""),0,IF(O2010="x",-$E2010/(COUNTIF($J2010:$Q2010,"x")+1),-$E2010*N(O2010)))</f>
        <v/>
      </c>
      <c r="AD2010" s="34">
        <f>IF(OR($A2010="",$H2010&lt;&gt;"Ausgabe",P2010=""),0,IF(P2010="x",-$E2010/(COUNTIF($J2010:$Q2010,"x")+1),-$E2010*N(P2010)))</f>
        <v/>
      </c>
      <c r="AE2010" s="34">
        <f>IF(OR($A2010="",$H2010&lt;&gt;"Ausgabe",Q2010=""),0,IF(Q2010="x",-$E2010/(COUNTIF($J2010:$Q2010,"x")+1),-$E2010*N(Q2010)))</f>
        <v/>
      </c>
    </row>
    <row r="2011">
      <c r="A2011" s="30" t="n"/>
      <c r="E2011" s="31" t="n"/>
      <c r="J2011" s="32" t="n"/>
      <c r="K2011" s="32" t="n"/>
      <c r="L2011" s="32" t="n"/>
      <c r="M2011" s="32" t="n"/>
      <c r="N2011" s="32" t="n"/>
      <c r="O2011" s="32" t="n"/>
      <c r="P2011" s="32" t="n"/>
      <c r="Q2011" s="32" t="n"/>
      <c r="U2011" s="31">
        <f>IF($A2011="","",SUM(X2011:AE2011))</f>
        <v/>
      </c>
      <c r="V2011" s="31">
        <f>IF($A2011="","",IF($H2011&lt;&gt;"Ausgabe",0,-$E2011-$U2011))</f>
        <v/>
      </c>
      <c r="W2011" s="33">
        <f>IF($A2011="","",DATE(YEAR($A2011),MONTH($A2011),1))</f>
        <v/>
      </c>
      <c r="X2011" s="34">
        <f>IF(OR($A2011="",$H2011&lt;&gt;"Ausgabe",J2011=""),0,IF(J2011="x",-$E2011/(COUNTIF($J2011:$Q2011,"x")+1),-$E2011*N(J2011)))</f>
        <v/>
      </c>
      <c r="Y2011" s="34">
        <f>IF(OR($A2011="",$H2011&lt;&gt;"Ausgabe",K2011=""),0,IF(K2011="x",-$E2011/(COUNTIF($J2011:$Q2011,"x")+1),-$E2011*N(K2011)))</f>
        <v/>
      </c>
      <c r="Z2011" s="34">
        <f>IF(OR($A2011="",$H2011&lt;&gt;"Ausgabe",L2011=""),0,IF(L2011="x",-$E2011/(COUNTIF($J2011:$Q2011,"x")+1),-$E2011*N(L2011)))</f>
        <v/>
      </c>
      <c r="AA2011" s="34">
        <f>IF(OR($A2011="",$H2011&lt;&gt;"Ausgabe",M2011=""),0,IF(M2011="x",-$E2011/(COUNTIF($J2011:$Q2011,"x")+1),-$E2011*N(M2011)))</f>
        <v/>
      </c>
      <c r="AB2011" s="34">
        <f>IF(OR($A2011="",$H2011&lt;&gt;"Ausgabe",N2011=""),0,IF(N2011="x",-$E2011/(COUNTIF($J2011:$Q2011,"x")+1),-$E2011*N(N2011)))</f>
        <v/>
      </c>
      <c r="AC2011" s="34">
        <f>IF(OR($A2011="",$H2011&lt;&gt;"Ausgabe",O2011=""),0,IF(O2011="x",-$E2011/(COUNTIF($J2011:$Q2011,"x")+1),-$E2011*N(O2011)))</f>
        <v/>
      </c>
      <c r="AD2011" s="34">
        <f>IF(OR($A2011="",$H2011&lt;&gt;"Ausgabe",P2011=""),0,IF(P2011="x",-$E2011/(COUNTIF($J2011:$Q2011,"x")+1),-$E2011*N(P2011)))</f>
        <v/>
      </c>
      <c r="AE2011" s="34">
        <f>IF(OR($A2011="",$H2011&lt;&gt;"Ausgabe",Q2011=""),0,IF(Q2011="x",-$E2011/(COUNTIF($J2011:$Q2011,"x")+1),-$E2011*N(Q2011)))</f>
        <v/>
      </c>
    </row>
    <row r="2012">
      <c r="A2012" s="30" t="n"/>
      <c r="E2012" s="31" t="n"/>
      <c r="J2012" s="32" t="n"/>
      <c r="K2012" s="32" t="n"/>
      <c r="L2012" s="32" t="n"/>
      <c r="M2012" s="32" t="n"/>
      <c r="N2012" s="32" t="n"/>
      <c r="O2012" s="32" t="n"/>
      <c r="P2012" s="32" t="n"/>
      <c r="Q2012" s="32" t="n"/>
      <c r="U2012" s="31">
        <f>IF($A2012="","",SUM(X2012:AE2012))</f>
        <v/>
      </c>
      <c r="V2012" s="31">
        <f>IF($A2012="","",IF($H2012&lt;&gt;"Ausgabe",0,-$E2012-$U2012))</f>
        <v/>
      </c>
      <c r="W2012" s="33">
        <f>IF($A2012="","",DATE(YEAR($A2012),MONTH($A2012),1))</f>
        <v/>
      </c>
      <c r="X2012" s="34">
        <f>IF(OR($A2012="",$H2012&lt;&gt;"Ausgabe",J2012=""),0,IF(J2012="x",-$E2012/(COUNTIF($J2012:$Q2012,"x")+1),-$E2012*N(J2012)))</f>
        <v/>
      </c>
      <c r="Y2012" s="34">
        <f>IF(OR($A2012="",$H2012&lt;&gt;"Ausgabe",K2012=""),0,IF(K2012="x",-$E2012/(COUNTIF($J2012:$Q2012,"x")+1),-$E2012*N(K2012)))</f>
        <v/>
      </c>
      <c r="Z2012" s="34">
        <f>IF(OR($A2012="",$H2012&lt;&gt;"Ausgabe",L2012=""),0,IF(L2012="x",-$E2012/(COUNTIF($J2012:$Q2012,"x")+1),-$E2012*N(L2012)))</f>
        <v/>
      </c>
      <c r="AA2012" s="34">
        <f>IF(OR($A2012="",$H2012&lt;&gt;"Ausgabe",M2012=""),0,IF(M2012="x",-$E2012/(COUNTIF($J2012:$Q2012,"x")+1),-$E2012*N(M2012)))</f>
        <v/>
      </c>
      <c r="AB2012" s="34">
        <f>IF(OR($A2012="",$H2012&lt;&gt;"Ausgabe",N2012=""),0,IF(N2012="x",-$E2012/(COUNTIF($J2012:$Q2012,"x")+1),-$E2012*N(N2012)))</f>
        <v/>
      </c>
      <c r="AC2012" s="34">
        <f>IF(OR($A2012="",$H2012&lt;&gt;"Ausgabe",O2012=""),0,IF(O2012="x",-$E2012/(COUNTIF($J2012:$Q2012,"x")+1),-$E2012*N(O2012)))</f>
        <v/>
      </c>
      <c r="AD2012" s="34">
        <f>IF(OR($A2012="",$H2012&lt;&gt;"Ausgabe",P2012=""),0,IF(P2012="x",-$E2012/(COUNTIF($J2012:$Q2012,"x")+1),-$E2012*N(P2012)))</f>
        <v/>
      </c>
      <c r="AE2012" s="34">
        <f>IF(OR($A2012="",$H2012&lt;&gt;"Ausgabe",Q2012=""),0,IF(Q2012="x",-$E2012/(COUNTIF($J2012:$Q2012,"x")+1),-$E2012*N(Q2012)))</f>
        <v/>
      </c>
    </row>
    <row r="2013">
      <c r="A2013" s="30" t="n"/>
      <c r="E2013" s="31" t="n"/>
      <c r="J2013" s="32" t="n"/>
      <c r="K2013" s="32" t="n"/>
      <c r="L2013" s="32" t="n"/>
      <c r="M2013" s="32" t="n"/>
      <c r="N2013" s="32" t="n"/>
      <c r="O2013" s="32" t="n"/>
      <c r="P2013" s="32" t="n"/>
      <c r="Q2013" s="32" t="n"/>
      <c r="U2013" s="31">
        <f>IF($A2013="","",SUM(X2013:AE2013))</f>
        <v/>
      </c>
      <c r="V2013" s="31">
        <f>IF($A2013="","",IF($H2013&lt;&gt;"Ausgabe",0,-$E2013-$U2013))</f>
        <v/>
      </c>
      <c r="W2013" s="33">
        <f>IF($A2013="","",DATE(YEAR($A2013),MONTH($A2013),1))</f>
        <v/>
      </c>
      <c r="X2013" s="34">
        <f>IF(OR($A2013="",$H2013&lt;&gt;"Ausgabe",J2013=""),0,IF(J2013="x",-$E2013/(COUNTIF($J2013:$Q2013,"x")+1),-$E2013*N(J2013)))</f>
        <v/>
      </c>
      <c r="Y2013" s="34">
        <f>IF(OR($A2013="",$H2013&lt;&gt;"Ausgabe",K2013=""),0,IF(K2013="x",-$E2013/(COUNTIF($J2013:$Q2013,"x")+1),-$E2013*N(K2013)))</f>
        <v/>
      </c>
      <c r="Z2013" s="34">
        <f>IF(OR($A2013="",$H2013&lt;&gt;"Ausgabe",L2013=""),0,IF(L2013="x",-$E2013/(COUNTIF($J2013:$Q2013,"x")+1),-$E2013*N(L2013)))</f>
        <v/>
      </c>
      <c r="AA2013" s="34">
        <f>IF(OR($A2013="",$H2013&lt;&gt;"Ausgabe",M2013=""),0,IF(M2013="x",-$E2013/(COUNTIF($J2013:$Q2013,"x")+1),-$E2013*N(M2013)))</f>
        <v/>
      </c>
      <c r="AB2013" s="34">
        <f>IF(OR($A2013="",$H2013&lt;&gt;"Ausgabe",N2013=""),0,IF(N2013="x",-$E2013/(COUNTIF($J2013:$Q2013,"x")+1),-$E2013*N(N2013)))</f>
        <v/>
      </c>
      <c r="AC2013" s="34">
        <f>IF(OR($A2013="",$H2013&lt;&gt;"Ausgabe",O2013=""),0,IF(O2013="x",-$E2013/(COUNTIF($J2013:$Q2013,"x")+1),-$E2013*N(O2013)))</f>
        <v/>
      </c>
      <c r="AD2013" s="34">
        <f>IF(OR($A2013="",$H2013&lt;&gt;"Ausgabe",P2013=""),0,IF(P2013="x",-$E2013/(COUNTIF($J2013:$Q2013,"x")+1),-$E2013*N(P2013)))</f>
        <v/>
      </c>
      <c r="AE2013" s="34">
        <f>IF(OR($A2013="",$H2013&lt;&gt;"Ausgabe",Q2013=""),0,IF(Q2013="x",-$E2013/(COUNTIF($J2013:$Q2013,"x")+1),-$E2013*N(Q2013)))</f>
        <v/>
      </c>
    </row>
    <row r="2014">
      <c r="A2014" s="30" t="n"/>
      <c r="E2014" s="31" t="n"/>
      <c r="J2014" s="32" t="n"/>
      <c r="K2014" s="32" t="n"/>
      <c r="L2014" s="32" t="n"/>
      <c r="M2014" s="32" t="n"/>
      <c r="N2014" s="32" t="n"/>
      <c r="O2014" s="32" t="n"/>
      <c r="P2014" s="32" t="n"/>
      <c r="Q2014" s="32" t="n"/>
      <c r="U2014" s="31">
        <f>IF($A2014="","",SUM(X2014:AE2014))</f>
        <v/>
      </c>
      <c r="V2014" s="31">
        <f>IF($A2014="","",IF($H2014&lt;&gt;"Ausgabe",0,-$E2014-$U2014))</f>
        <v/>
      </c>
      <c r="W2014" s="33">
        <f>IF($A2014="","",DATE(YEAR($A2014),MONTH($A2014),1))</f>
        <v/>
      </c>
      <c r="X2014" s="34">
        <f>IF(OR($A2014="",$H2014&lt;&gt;"Ausgabe",J2014=""),0,IF(J2014="x",-$E2014/(COUNTIF($J2014:$Q2014,"x")+1),-$E2014*N(J2014)))</f>
        <v/>
      </c>
      <c r="Y2014" s="34">
        <f>IF(OR($A2014="",$H2014&lt;&gt;"Ausgabe",K2014=""),0,IF(K2014="x",-$E2014/(COUNTIF($J2014:$Q2014,"x")+1),-$E2014*N(K2014)))</f>
        <v/>
      </c>
      <c r="Z2014" s="34">
        <f>IF(OR($A2014="",$H2014&lt;&gt;"Ausgabe",L2014=""),0,IF(L2014="x",-$E2014/(COUNTIF($J2014:$Q2014,"x")+1),-$E2014*N(L2014)))</f>
        <v/>
      </c>
      <c r="AA2014" s="34">
        <f>IF(OR($A2014="",$H2014&lt;&gt;"Ausgabe",M2014=""),0,IF(M2014="x",-$E2014/(COUNTIF($J2014:$Q2014,"x")+1),-$E2014*N(M2014)))</f>
        <v/>
      </c>
      <c r="AB2014" s="34">
        <f>IF(OR($A2014="",$H2014&lt;&gt;"Ausgabe",N2014=""),0,IF(N2014="x",-$E2014/(COUNTIF($J2014:$Q2014,"x")+1),-$E2014*N(N2014)))</f>
        <v/>
      </c>
      <c r="AC2014" s="34">
        <f>IF(OR($A2014="",$H2014&lt;&gt;"Ausgabe",O2014=""),0,IF(O2014="x",-$E2014/(COUNTIF($J2014:$Q2014,"x")+1),-$E2014*N(O2014)))</f>
        <v/>
      </c>
      <c r="AD2014" s="34">
        <f>IF(OR($A2014="",$H2014&lt;&gt;"Ausgabe",P2014=""),0,IF(P2014="x",-$E2014/(COUNTIF($J2014:$Q2014,"x")+1),-$E2014*N(P2014)))</f>
        <v/>
      </c>
      <c r="AE2014" s="34">
        <f>IF(OR($A2014="",$H2014&lt;&gt;"Ausgabe",Q2014=""),0,IF(Q2014="x",-$E2014/(COUNTIF($J2014:$Q2014,"x")+1),-$E2014*N(Q2014)))</f>
        <v/>
      </c>
    </row>
    <row r="2015">
      <c r="A2015" s="30" t="n"/>
      <c r="E2015" s="31" t="n"/>
      <c r="J2015" s="32" t="n"/>
      <c r="K2015" s="32" t="n"/>
      <c r="L2015" s="32" t="n"/>
      <c r="M2015" s="32" t="n"/>
      <c r="N2015" s="32" t="n"/>
      <c r="O2015" s="32" t="n"/>
      <c r="P2015" s="32" t="n"/>
      <c r="Q2015" s="32" t="n"/>
      <c r="U2015" s="31">
        <f>IF($A2015="","",SUM(X2015:AE2015))</f>
        <v/>
      </c>
      <c r="V2015" s="31">
        <f>IF($A2015="","",IF($H2015&lt;&gt;"Ausgabe",0,-$E2015-$U2015))</f>
        <v/>
      </c>
      <c r="W2015" s="33">
        <f>IF($A2015="","",DATE(YEAR($A2015),MONTH($A2015),1))</f>
        <v/>
      </c>
      <c r="X2015" s="34">
        <f>IF(OR($A2015="",$H2015&lt;&gt;"Ausgabe",J2015=""),0,IF(J2015="x",-$E2015/(COUNTIF($J2015:$Q2015,"x")+1),-$E2015*N(J2015)))</f>
        <v/>
      </c>
      <c r="Y2015" s="34">
        <f>IF(OR($A2015="",$H2015&lt;&gt;"Ausgabe",K2015=""),0,IF(K2015="x",-$E2015/(COUNTIF($J2015:$Q2015,"x")+1),-$E2015*N(K2015)))</f>
        <v/>
      </c>
      <c r="Z2015" s="34">
        <f>IF(OR($A2015="",$H2015&lt;&gt;"Ausgabe",L2015=""),0,IF(L2015="x",-$E2015/(COUNTIF($J2015:$Q2015,"x")+1),-$E2015*N(L2015)))</f>
        <v/>
      </c>
      <c r="AA2015" s="34">
        <f>IF(OR($A2015="",$H2015&lt;&gt;"Ausgabe",M2015=""),0,IF(M2015="x",-$E2015/(COUNTIF($J2015:$Q2015,"x")+1),-$E2015*N(M2015)))</f>
        <v/>
      </c>
      <c r="AB2015" s="34">
        <f>IF(OR($A2015="",$H2015&lt;&gt;"Ausgabe",N2015=""),0,IF(N2015="x",-$E2015/(COUNTIF($J2015:$Q2015,"x")+1),-$E2015*N(N2015)))</f>
        <v/>
      </c>
      <c r="AC2015" s="34">
        <f>IF(OR($A2015="",$H2015&lt;&gt;"Ausgabe",O2015=""),0,IF(O2015="x",-$E2015/(COUNTIF($J2015:$Q2015,"x")+1),-$E2015*N(O2015)))</f>
        <v/>
      </c>
      <c r="AD2015" s="34">
        <f>IF(OR($A2015="",$H2015&lt;&gt;"Ausgabe",P2015=""),0,IF(P2015="x",-$E2015/(COUNTIF($J2015:$Q2015,"x")+1),-$E2015*N(P2015)))</f>
        <v/>
      </c>
      <c r="AE2015" s="34">
        <f>IF(OR($A2015="",$H2015&lt;&gt;"Ausgabe",Q2015=""),0,IF(Q2015="x",-$E2015/(COUNTIF($J2015:$Q2015,"x")+1),-$E2015*N(Q2015)))</f>
        <v/>
      </c>
    </row>
    <row r="2016">
      <c r="A2016" s="30" t="n"/>
      <c r="E2016" s="31" t="n"/>
      <c r="J2016" s="32" t="n"/>
      <c r="K2016" s="32" t="n"/>
      <c r="L2016" s="32" t="n"/>
      <c r="M2016" s="32" t="n"/>
      <c r="N2016" s="32" t="n"/>
      <c r="O2016" s="32" t="n"/>
      <c r="P2016" s="32" t="n"/>
      <c r="Q2016" s="32" t="n"/>
      <c r="U2016" s="31">
        <f>IF($A2016="","",SUM(X2016:AE2016))</f>
        <v/>
      </c>
      <c r="V2016" s="31">
        <f>IF($A2016="","",IF($H2016&lt;&gt;"Ausgabe",0,-$E2016-$U2016))</f>
        <v/>
      </c>
      <c r="W2016" s="33">
        <f>IF($A2016="","",DATE(YEAR($A2016),MONTH($A2016),1))</f>
        <v/>
      </c>
      <c r="X2016" s="34">
        <f>IF(OR($A2016="",$H2016&lt;&gt;"Ausgabe",J2016=""),0,IF(J2016="x",-$E2016/(COUNTIF($J2016:$Q2016,"x")+1),-$E2016*N(J2016)))</f>
        <v/>
      </c>
      <c r="Y2016" s="34">
        <f>IF(OR($A2016="",$H2016&lt;&gt;"Ausgabe",K2016=""),0,IF(K2016="x",-$E2016/(COUNTIF($J2016:$Q2016,"x")+1),-$E2016*N(K2016)))</f>
        <v/>
      </c>
      <c r="Z2016" s="34">
        <f>IF(OR($A2016="",$H2016&lt;&gt;"Ausgabe",L2016=""),0,IF(L2016="x",-$E2016/(COUNTIF($J2016:$Q2016,"x")+1),-$E2016*N(L2016)))</f>
        <v/>
      </c>
      <c r="AA2016" s="34">
        <f>IF(OR($A2016="",$H2016&lt;&gt;"Ausgabe",M2016=""),0,IF(M2016="x",-$E2016/(COUNTIF($J2016:$Q2016,"x")+1),-$E2016*N(M2016)))</f>
        <v/>
      </c>
      <c r="AB2016" s="34">
        <f>IF(OR($A2016="",$H2016&lt;&gt;"Ausgabe",N2016=""),0,IF(N2016="x",-$E2016/(COUNTIF($J2016:$Q2016,"x")+1),-$E2016*N(N2016)))</f>
        <v/>
      </c>
      <c r="AC2016" s="34">
        <f>IF(OR($A2016="",$H2016&lt;&gt;"Ausgabe",O2016=""),0,IF(O2016="x",-$E2016/(COUNTIF($J2016:$Q2016,"x")+1),-$E2016*N(O2016)))</f>
        <v/>
      </c>
      <c r="AD2016" s="34">
        <f>IF(OR($A2016="",$H2016&lt;&gt;"Ausgabe",P2016=""),0,IF(P2016="x",-$E2016/(COUNTIF($J2016:$Q2016,"x")+1),-$E2016*N(P2016)))</f>
        <v/>
      </c>
      <c r="AE2016" s="34">
        <f>IF(OR($A2016="",$H2016&lt;&gt;"Ausgabe",Q2016=""),0,IF(Q2016="x",-$E2016/(COUNTIF($J2016:$Q2016,"x")+1),-$E2016*N(Q2016)))</f>
        <v/>
      </c>
    </row>
    <row r="2017">
      <c r="A2017" s="30" t="n"/>
      <c r="E2017" s="31" t="n"/>
      <c r="J2017" s="32" t="n"/>
      <c r="K2017" s="32" t="n"/>
      <c r="L2017" s="32" t="n"/>
      <c r="M2017" s="32" t="n"/>
      <c r="N2017" s="32" t="n"/>
      <c r="O2017" s="32" t="n"/>
      <c r="P2017" s="32" t="n"/>
      <c r="Q2017" s="32" t="n"/>
      <c r="U2017" s="31">
        <f>IF($A2017="","",SUM(X2017:AE2017))</f>
        <v/>
      </c>
      <c r="V2017" s="31">
        <f>IF($A2017="","",IF($H2017&lt;&gt;"Ausgabe",0,-$E2017-$U2017))</f>
        <v/>
      </c>
      <c r="W2017" s="33">
        <f>IF($A2017="","",DATE(YEAR($A2017),MONTH($A2017),1))</f>
        <v/>
      </c>
      <c r="X2017" s="34">
        <f>IF(OR($A2017="",$H2017&lt;&gt;"Ausgabe",J2017=""),0,IF(J2017="x",-$E2017/(COUNTIF($J2017:$Q2017,"x")+1),-$E2017*N(J2017)))</f>
        <v/>
      </c>
      <c r="Y2017" s="34">
        <f>IF(OR($A2017="",$H2017&lt;&gt;"Ausgabe",K2017=""),0,IF(K2017="x",-$E2017/(COUNTIF($J2017:$Q2017,"x")+1),-$E2017*N(K2017)))</f>
        <v/>
      </c>
      <c r="Z2017" s="34">
        <f>IF(OR($A2017="",$H2017&lt;&gt;"Ausgabe",L2017=""),0,IF(L2017="x",-$E2017/(COUNTIF($J2017:$Q2017,"x")+1),-$E2017*N(L2017)))</f>
        <v/>
      </c>
      <c r="AA2017" s="34">
        <f>IF(OR($A2017="",$H2017&lt;&gt;"Ausgabe",M2017=""),0,IF(M2017="x",-$E2017/(COUNTIF($J2017:$Q2017,"x")+1),-$E2017*N(M2017)))</f>
        <v/>
      </c>
      <c r="AB2017" s="34">
        <f>IF(OR($A2017="",$H2017&lt;&gt;"Ausgabe",N2017=""),0,IF(N2017="x",-$E2017/(COUNTIF($J2017:$Q2017,"x")+1),-$E2017*N(N2017)))</f>
        <v/>
      </c>
      <c r="AC2017" s="34">
        <f>IF(OR($A2017="",$H2017&lt;&gt;"Ausgabe",O2017=""),0,IF(O2017="x",-$E2017/(COUNTIF($J2017:$Q2017,"x")+1),-$E2017*N(O2017)))</f>
        <v/>
      </c>
      <c r="AD2017" s="34">
        <f>IF(OR($A2017="",$H2017&lt;&gt;"Ausgabe",P2017=""),0,IF(P2017="x",-$E2017/(COUNTIF($J2017:$Q2017,"x")+1),-$E2017*N(P2017)))</f>
        <v/>
      </c>
      <c r="AE2017" s="34">
        <f>IF(OR($A2017="",$H2017&lt;&gt;"Ausgabe",Q2017=""),0,IF(Q2017="x",-$E2017/(COUNTIF($J2017:$Q2017,"x")+1),-$E2017*N(Q2017)))</f>
        <v/>
      </c>
    </row>
    <row r="2018">
      <c r="A2018" s="30" t="n"/>
      <c r="E2018" s="31" t="n"/>
      <c r="J2018" s="32" t="n"/>
      <c r="K2018" s="32" t="n"/>
      <c r="L2018" s="32" t="n"/>
      <c r="M2018" s="32" t="n"/>
      <c r="N2018" s="32" t="n"/>
      <c r="O2018" s="32" t="n"/>
      <c r="P2018" s="32" t="n"/>
      <c r="Q2018" s="32" t="n"/>
      <c r="U2018" s="31">
        <f>IF($A2018="","",SUM(X2018:AE2018))</f>
        <v/>
      </c>
      <c r="V2018" s="31">
        <f>IF($A2018="","",IF($H2018&lt;&gt;"Ausgabe",0,-$E2018-$U2018))</f>
        <v/>
      </c>
      <c r="W2018" s="33">
        <f>IF($A2018="","",DATE(YEAR($A2018),MONTH($A2018),1))</f>
        <v/>
      </c>
      <c r="X2018" s="34">
        <f>IF(OR($A2018="",$H2018&lt;&gt;"Ausgabe",J2018=""),0,IF(J2018="x",-$E2018/(COUNTIF($J2018:$Q2018,"x")+1),-$E2018*N(J2018)))</f>
        <v/>
      </c>
      <c r="Y2018" s="34">
        <f>IF(OR($A2018="",$H2018&lt;&gt;"Ausgabe",K2018=""),0,IF(K2018="x",-$E2018/(COUNTIF($J2018:$Q2018,"x")+1),-$E2018*N(K2018)))</f>
        <v/>
      </c>
      <c r="Z2018" s="34">
        <f>IF(OR($A2018="",$H2018&lt;&gt;"Ausgabe",L2018=""),0,IF(L2018="x",-$E2018/(COUNTIF($J2018:$Q2018,"x")+1),-$E2018*N(L2018)))</f>
        <v/>
      </c>
      <c r="AA2018" s="34">
        <f>IF(OR($A2018="",$H2018&lt;&gt;"Ausgabe",M2018=""),0,IF(M2018="x",-$E2018/(COUNTIF($J2018:$Q2018,"x")+1),-$E2018*N(M2018)))</f>
        <v/>
      </c>
      <c r="AB2018" s="34">
        <f>IF(OR($A2018="",$H2018&lt;&gt;"Ausgabe",N2018=""),0,IF(N2018="x",-$E2018/(COUNTIF($J2018:$Q2018,"x")+1),-$E2018*N(N2018)))</f>
        <v/>
      </c>
      <c r="AC2018" s="34">
        <f>IF(OR($A2018="",$H2018&lt;&gt;"Ausgabe",O2018=""),0,IF(O2018="x",-$E2018/(COUNTIF($J2018:$Q2018,"x")+1),-$E2018*N(O2018)))</f>
        <v/>
      </c>
      <c r="AD2018" s="34">
        <f>IF(OR($A2018="",$H2018&lt;&gt;"Ausgabe",P2018=""),0,IF(P2018="x",-$E2018/(COUNTIF($J2018:$Q2018,"x")+1),-$E2018*N(P2018)))</f>
        <v/>
      </c>
      <c r="AE2018" s="34">
        <f>IF(OR($A2018="",$H2018&lt;&gt;"Ausgabe",Q2018=""),0,IF(Q2018="x",-$E2018/(COUNTIF($J2018:$Q2018,"x")+1),-$E2018*N(Q2018)))</f>
        <v/>
      </c>
    </row>
    <row r="2019">
      <c r="A2019" s="30" t="n"/>
      <c r="E2019" s="31" t="n"/>
      <c r="J2019" s="32" t="n"/>
      <c r="K2019" s="32" t="n"/>
      <c r="L2019" s="32" t="n"/>
      <c r="M2019" s="32" t="n"/>
      <c r="N2019" s="32" t="n"/>
      <c r="O2019" s="32" t="n"/>
      <c r="P2019" s="32" t="n"/>
      <c r="Q2019" s="32" t="n"/>
      <c r="U2019" s="31">
        <f>IF($A2019="","",SUM(X2019:AE2019))</f>
        <v/>
      </c>
      <c r="V2019" s="31">
        <f>IF($A2019="","",IF($H2019&lt;&gt;"Ausgabe",0,-$E2019-$U2019))</f>
        <v/>
      </c>
      <c r="W2019" s="33">
        <f>IF($A2019="","",DATE(YEAR($A2019),MONTH($A2019),1))</f>
        <v/>
      </c>
      <c r="X2019" s="34">
        <f>IF(OR($A2019="",$H2019&lt;&gt;"Ausgabe",J2019=""),0,IF(J2019="x",-$E2019/(COUNTIF($J2019:$Q2019,"x")+1),-$E2019*N(J2019)))</f>
        <v/>
      </c>
      <c r="Y2019" s="34">
        <f>IF(OR($A2019="",$H2019&lt;&gt;"Ausgabe",K2019=""),0,IF(K2019="x",-$E2019/(COUNTIF($J2019:$Q2019,"x")+1),-$E2019*N(K2019)))</f>
        <v/>
      </c>
      <c r="Z2019" s="34">
        <f>IF(OR($A2019="",$H2019&lt;&gt;"Ausgabe",L2019=""),0,IF(L2019="x",-$E2019/(COUNTIF($J2019:$Q2019,"x")+1),-$E2019*N(L2019)))</f>
        <v/>
      </c>
      <c r="AA2019" s="34">
        <f>IF(OR($A2019="",$H2019&lt;&gt;"Ausgabe",M2019=""),0,IF(M2019="x",-$E2019/(COUNTIF($J2019:$Q2019,"x")+1),-$E2019*N(M2019)))</f>
        <v/>
      </c>
      <c r="AB2019" s="34">
        <f>IF(OR($A2019="",$H2019&lt;&gt;"Ausgabe",N2019=""),0,IF(N2019="x",-$E2019/(COUNTIF($J2019:$Q2019,"x")+1),-$E2019*N(N2019)))</f>
        <v/>
      </c>
      <c r="AC2019" s="34">
        <f>IF(OR($A2019="",$H2019&lt;&gt;"Ausgabe",O2019=""),0,IF(O2019="x",-$E2019/(COUNTIF($J2019:$Q2019,"x")+1),-$E2019*N(O2019)))</f>
        <v/>
      </c>
      <c r="AD2019" s="34">
        <f>IF(OR($A2019="",$H2019&lt;&gt;"Ausgabe",P2019=""),0,IF(P2019="x",-$E2019/(COUNTIF($J2019:$Q2019,"x")+1),-$E2019*N(P2019)))</f>
        <v/>
      </c>
      <c r="AE2019" s="34">
        <f>IF(OR($A2019="",$H2019&lt;&gt;"Ausgabe",Q2019=""),0,IF(Q2019="x",-$E2019/(COUNTIF($J2019:$Q2019,"x")+1),-$E2019*N(Q2019)))</f>
        <v/>
      </c>
    </row>
    <row r="2020">
      <c r="A2020" s="30" t="n"/>
      <c r="E2020" s="31" t="n"/>
      <c r="J2020" s="32" t="n"/>
      <c r="K2020" s="32" t="n"/>
      <c r="L2020" s="32" t="n"/>
      <c r="M2020" s="32" t="n"/>
      <c r="N2020" s="32" t="n"/>
      <c r="O2020" s="32" t="n"/>
      <c r="P2020" s="32" t="n"/>
      <c r="Q2020" s="32" t="n"/>
      <c r="U2020" s="31">
        <f>IF($A2020="","",SUM(X2020:AE2020))</f>
        <v/>
      </c>
      <c r="V2020" s="31">
        <f>IF($A2020="","",IF($H2020&lt;&gt;"Ausgabe",0,-$E2020-$U2020))</f>
        <v/>
      </c>
      <c r="W2020" s="33">
        <f>IF($A2020="","",DATE(YEAR($A2020),MONTH($A2020),1))</f>
        <v/>
      </c>
      <c r="X2020" s="34">
        <f>IF(OR($A2020="",$H2020&lt;&gt;"Ausgabe",J2020=""),0,IF(J2020="x",-$E2020/(COUNTIF($J2020:$Q2020,"x")+1),-$E2020*N(J2020)))</f>
        <v/>
      </c>
      <c r="Y2020" s="34">
        <f>IF(OR($A2020="",$H2020&lt;&gt;"Ausgabe",K2020=""),0,IF(K2020="x",-$E2020/(COUNTIF($J2020:$Q2020,"x")+1),-$E2020*N(K2020)))</f>
        <v/>
      </c>
      <c r="Z2020" s="34">
        <f>IF(OR($A2020="",$H2020&lt;&gt;"Ausgabe",L2020=""),0,IF(L2020="x",-$E2020/(COUNTIF($J2020:$Q2020,"x")+1),-$E2020*N(L2020)))</f>
        <v/>
      </c>
      <c r="AA2020" s="34">
        <f>IF(OR($A2020="",$H2020&lt;&gt;"Ausgabe",M2020=""),0,IF(M2020="x",-$E2020/(COUNTIF($J2020:$Q2020,"x")+1),-$E2020*N(M2020)))</f>
        <v/>
      </c>
      <c r="AB2020" s="34">
        <f>IF(OR($A2020="",$H2020&lt;&gt;"Ausgabe",N2020=""),0,IF(N2020="x",-$E2020/(COUNTIF($J2020:$Q2020,"x")+1),-$E2020*N(N2020)))</f>
        <v/>
      </c>
      <c r="AC2020" s="34">
        <f>IF(OR($A2020="",$H2020&lt;&gt;"Ausgabe",O2020=""),0,IF(O2020="x",-$E2020/(COUNTIF($J2020:$Q2020,"x")+1),-$E2020*N(O2020)))</f>
        <v/>
      </c>
      <c r="AD2020" s="34">
        <f>IF(OR($A2020="",$H2020&lt;&gt;"Ausgabe",P2020=""),0,IF(P2020="x",-$E2020/(COUNTIF($J2020:$Q2020,"x")+1),-$E2020*N(P2020)))</f>
        <v/>
      </c>
      <c r="AE2020" s="34">
        <f>IF(OR($A2020="",$H2020&lt;&gt;"Ausgabe",Q2020=""),0,IF(Q2020="x",-$E2020/(COUNTIF($J2020:$Q2020,"x")+1),-$E2020*N(Q2020)))</f>
        <v/>
      </c>
    </row>
    <row r="2021">
      <c r="A2021" s="30" t="n"/>
      <c r="E2021" s="31" t="n"/>
      <c r="J2021" s="32" t="n"/>
      <c r="K2021" s="32" t="n"/>
      <c r="L2021" s="32" t="n"/>
      <c r="M2021" s="32" t="n"/>
      <c r="N2021" s="32" t="n"/>
      <c r="O2021" s="32" t="n"/>
      <c r="P2021" s="32" t="n"/>
      <c r="Q2021" s="32" t="n"/>
      <c r="U2021" s="31">
        <f>IF($A2021="","",SUM(X2021:AE2021))</f>
        <v/>
      </c>
      <c r="V2021" s="31">
        <f>IF($A2021="","",IF($H2021&lt;&gt;"Ausgabe",0,-$E2021-$U2021))</f>
        <v/>
      </c>
      <c r="W2021" s="33">
        <f>IF($A2021="","",DATE(YEAR($A2021),MONTH($A2021),1))</f>
        <v/>
      </c>
      <c r="X2021" s="34">
        <f>IF(OR($A2021="",$H2021&lt;&gt;"Ausgabe",J2021=""),0,IF(J2021="x",-$E2021/(COUNTIF($J2021:$Q2021,"x")+1),-$E2021*N(J2021)))</f>
        <v/>
      </c>
      <c r="Y2021" s="34">
        <f>IF(OR($A2021="",$H2021&lt;&gt;"Ausgabe",K2021=""),0,IF(K2021="x",-$E2021/(COUNTIF($J2021:$Q2021,"x")+1),-$E2021*N(K2021)))</f>
        <v/>
      </c>
      <c r="Z2021" s="34">
        <f>IF(OR($A2021="",$H2021&lt;&gt;"Ausgabe",L2021=""),0,IF(L2021="x",-$E2021/(COUNTIF($J2021:$Q2021,"x")+1),-$E2021*N(L2021)))</f>
        <v/>
      </c>
      <c r="AA2021" s="34">
        <f>IF(OR($A2021="",$H2021&lt;&gt;"Ausgabe",M2021=""),0,IF(M2021="x",-$E2021/(COUNTIF($J2021:$Q2021,"x")+1),-$E2021*N(M2021)))</f>
        <v/>
      </c>
      <c r="AB2021" s="34">
        <f>IF(OR($A2021="",$H2021&lt;&gt;"Ausgabe",N2021=""),0,IF(N2021="x",-$E2021/(COUNTIF($J2021:$Q2021,"x")+1),-$E2021*N(N2021)))</f>
        <v/>
      </c>
      <c r="AC2021" s="34">
        <f>IF(OR($A2021="",$H2021&lt;&gt;"Ausgabe",O2021=""),0,IF(O2021="x",-$E2021/(COUNTIF($J2021:$Q2021,"x")+1),-$E2021*N(O2021)))</f>
        <v/>
      </c>
      <c r="AD2021" s="34">
        <f>IF(OR($A2021="",$H2021&lt;&gt;"Ausgabe",P2021=""),0,IF(P2021="x",-$E2021/(COUNTIF($J2021:$Q2021,"x")+1),-$E2021*N(P2021)))</f>
        <v/>
      </c>
      <c r="AE2021" s="34">
        <f>IF(OR($A2021="",$H2021&lt;&gt;"Ausgabe",Q2021=""),0,IF(Q2021="x",-$E2021/(COUNTIF($J2021:$Q2021,"x")+1),-$E2021*N(Q2021)))</f>
        <v/>
      </c>
    </row>
    <row r="2022">
      <c r="A2022" s="30" t="n"/>
      <c r="E2022" s="31" t="n"/>
      <c r="J2022" s="32" t="n"/>
      <c r="K2022" s="32" t="n"/>
      <c r="L2022" s="32" t="n"/>
      <c r="M2022" s="32" t="n"/>
      <c r="N2022" s="32" t="n"/>
      <c r="O2022" s="32" t="n"/>
      <c r="P2022" s="32" t="n"/>
      <c r="Q2022" s="32" t="n"/>
      <c r="U2022" s="31">
        <f>IF($A2022="","",SUM(X2022:AE2022))</f>
        <v/>
      </c>
      <c r="V2022" s="31">
        <f>IF($A2022="","",IF($H2022&lt;&gt;"Ausgabe",0,-$E2022-$U2022))</f>
        <v/>
      </c>
      <c r="W2022" s="33">
        <f>IF($A2022="","",DATE(YEAR($A2022),MONTH($A2022),1))</f>
        <v/>
      </c>
      <c r="X2022" s="34">
        <f>IF(OR($A2022="",$H2022&lt;&gt;"Ausgabe",J2022=""),0,IF(J2022="x",-$E2022/(COUNTIF($J2022:$Q2022,"x")+1),-$E2022*N(J2022)))</f>
        <v/>
      </c>
      <c r="Y2022" s="34">
        <f>IF(OR($A2022="",$H2022&lt;&gt;"Ausgabe",K2022=""),0,IF(K2022="x",-$E2022/(COUNTIF($J2022:$Q2022,"x")+1),-$E2022*N(K2022)))</f>
        <v/>
      </c>
      <c r="Z2022" s="34">
        <f>IF(OR($A2022="",$H2022&lt;&gt;"Ausgabe",L2022=""),0,IF(L2022="x",-$E2022/(COUNTIF($J2022:$Q2022,"x")+1),-$E2022*N(L2022)))</f>
        <v/>
      </c>
      <c r="AA2022" s="34">
        <f>IF(OR($A2022="",$H2022&lt;&gt;"Ausgabe",M2022=""),0,IF(M2022="x",-$E2022/(COUNTIF($J2022:$Q2022,"x")+1),-$E2022*N(M2022)))</f>
        <v/>
      </c>
      <c r="AB2022" s="34">
        <f>IF(OR($A2022="",$H2022&lt;&gt;"Ausgabe",N2022=""),0,IF(N2022="x",-$E2022/(COUNTIF($J2022:$Q2022,"x")+1),-$E2022*N(N2022)))</f>
        <v/>
      </c>
      <c r="AC2022" s="34">
        <f>IF(OR($A2022="",$H2022&lt;&gt;"Ausgabe",O2022=""),0,IF(O2022="x",-$E2022/(COUNTIF($J2022:$Q2022,"x")+1),-$E2022*N(O2022)))</f>
        <v/>
      </c>
      <c r="AD2022" s="34">
        <f>IF(OR($A2022="",$H2022&lt;&gt;"Ausgabe",P2022=""),0,IF(P2022="x",-$E2022/(COUNTIF($J2022:$Q2022,"x")+1),-$E2022*N(P2022)))</f>
        <v/>
      </c>
      <c r="AE2022" s="34">
        <f>IF(OR($A2022="",$H2022&lt;&gt;"Ausgabe",Q2022=""),0,IF(Q2022="x",-$E2022/(COUNTIF($J2022:$Q2022,"x")+1),-$E2022*N(Q2022)))</f>
        <v/>
      </c>
    </row>
    <row r="2023">
      <c r="A2023" s="30" t="n"/>
      <c r="E2023" s="31" t="n"/>
      <c r="J2023" s="32" t="n"/>
      <c r="K2023" s="32" t="n"/>
      <c r="L2023" s="32" t="n"/>
      <c r="M2023" s="32" t="n"/>
      <c r="N2023" s="32" t="n"/>
      <c r="O2023" s="32" t="n"/>
      <c r="P2023" s="32" t="n"/>
      <c r="Q2023" s="32" t="n"/>
      <c r="U2023" s="31">
        <f>IF($A2023="","",SUM(X2023:AE2023))</f>
        <v/>
      </c>
      <c r="V2023" s="31">
        <f>IF($A2023="","",IF($H2023&lt;&gt;"Ausgabe",0,-$E2023-$U2023))</f>
        <v/>
      </c>
      <c r="W2023" s="33">
        <f>IF($A2023="","",DATE(YEAR($A2023),MONTH($A2023),1))</f>
        <v/>
      </c>
      <c r="X2023" s="34">
        <f>IF(OR($A2023="",$H2023&lt;&gt;"Ausgabe",J2023=""),0,IF(J2023="x",-$E2023/(COUNTIF($J2023:$Q2023,"x")+1),-$E2023*N(J2023)))</f>
        <v/>
      </c>
      <c r="Y2023" s="34">
        <f>IF(OR($A2023="",$H2023&lt;&gt;"Ausgabe",K2023=""),0,IF(K2023="x",-$E2023/(COUNTIF($J2023:$Q2023,"x")+1),-$E2023*N(K2023)))</f>
        <v/>
      </c>
      <c r="Z2023" s="34">
        <f>IF(OR($A2023="",$H2023&lt;&gt;"Ausgabe",L2023=""),0,IF(L2023="x",-$E2023/(COUNTIF($J2023:$Q2023,"x")+1),-$E2023*N(L2023)))</f>
        <v/>
      </c>
      <c r="AA2023" s="34">
        <f>IF(OR($A2023="",$H2023&lt;&gt;"Ausgabe",M2023=""),0,IF(M2023="x",-$E2023/(COUNTIF($J2023:$Q2023,"x")+1),-$E2023*N(M2023)))</f>
        <v/>
      </c>
      <c r="AB2023" s="34">
        <f>IF(OR($A2023="",$H2023&lt;&gt;"Ausgabe",N2023=""),0,IF(N2023="x",-$E2023/(COUNTIF($J2023:$Q2023,"x")+1),-$E2023*N(N2023)))</f>
        <v/>
      </c>
      <c r="AC2023" s="34">
        <f>IF(OR($A2023="",$H2023&lt;&gt;"Ausgabe",O2023=""),0,IF(O2023="x",-$E2023/(COUNTIF($J2023:$Q2023,"x")+1),-$E2023*N(O2023)))</f>
        <v/>
      </c>
      <c r="AD2023" s="34">
        <f>IF(OR($A2023="",$H2023&lt;&gt;"Ausgabe",P2023=""),0,IF(P2023="x",-$E2023/(COUNTIF($J2023:$Q2023,"x")+1),-$E2023*N(P2023)))</f>
        <v/>
      </c>
      <c r="AE2023" s="34">
        <f>IF(OR($A2023="",$H2023&lt;&gt;"Ausgabe",Q2023=""),0,IF(Q2023="x",-$E2023/(COUNTIF($J2023:$Q2023,"x")+1),-$E2023*N(Q2023)))</f>
        <v/>
      </c>
    </row>
    <row r="2024">
      <c r="A2024" s="30" t="n"/>
      <c r="E2024" s="31" t="n"/>
      <c r="J2024" s="32" t="n"/>
      <c r="K2024" s="32" t="n"/>
      <c r="L2024" s="32" t="n"/>
      <c r="M2024" s="32" t="n"/>
      <c r="N2024" s="32" t="n"/>
      <c r="O2024" s="32" t="n"/>
      <c r="P2024" s="32" t="n"/>
      <c r="Q2024" s="32" t="n"/>
      <c r="U2024" s="31">
        <f>IF($A2024="","",SUM(X2024:AE2024))</f>
        <v/>
      </c>
      <c r="V2024" s="31">
        <f>IF($A2024="","",IF($H2024&lt;&gt;"Ausgabe",0,-$E2024-$U2024))</f>
        <v/>
      </c>
      <c r="W2024" s="33">
        <f>IF($A2024="","",DATE(YEAR($A2024),MONTH($A2024),1))</f>
        <v/>
      </c>
      <c r="X2024" s="34">
        <f>IF(OR($A2024="",$H2024&lt;&gt;"Ausgabe",J2024=""),0,IF(J2024="x",-$E2024/(COUNTIF($J2024:$Q2024,"x")+1),-$E2024*N(J2024)))</f>
        <v/>
      </c>
      <c r="Y2024" s="34">
        <f>IF(OR($A2024="",$H2024&lt;&gt;"Ausgabe",K2024=""),0,IF(K2024="x",-$E2024/(COUNTIF($J2024:$Q2024,"x")+1),-$E2024*N(K2024)))</f>
        <v/>
      </c>
      <c r="Z2024" s="34">
        <f>IF(OR($A2024="",$H2024&lt;&gt;"Ausgabe",L2024=""),0,IF(L2024="x",-$E2024/(COUNTIF($J2024:$Q2024,"x")+1),-$E2024*N(L2024)))</f>
        <v/>
      </c>
      <c r="AA2024" s="34">
        <f>IF(OR($A2024="",$H2024&lt;&gt;"Ausgabe",M2024=""),0,IF(M2024="x",-$E2024/(COUNTIF($J2024:$Q2024,"x")+1),-$E2024*N(M2024)))</f>
        <v/>
      </c>
      <c r="AB2024" s="34">
        <f>IF(OR($A2024="",$H2024&lt;&gt;"Ausgabe",N2024=""),0,IF(N2024="x",-$E2024/(COUNTIF($J2024:$Q2024,"x")+1),-$E2024*N(N2024)))</f>
        <v/>
      </c>
      <c r="AC2024" s="34">
        <f>IF(OR($A2024="",$H2024&lt;&gt;"Ausgabe",O2024=""),0,IF(O2024="x",-$E2024/(COUNTIF($J2024:$Q2024,"x")+1),-$E2024*N(O2024)))</f>
        <v/>
      </c>
      <c r="AD2024" s="34">
        <f>IF(OR($A2024="",$H2024&lt;&gt;"Ausgabe",P2024=""),0,IF(P2024="x",-$E2024/(COUNTIF($J2024:$Q2024,"x")+1),-$E2024*N(P2024)))</f>
        <v/>
      </c>
      <c r="AE2024" s="34">
        <f>IF(OR($A2024="",$H2024&lt;&gt;"Ausgabe",Q2024=""),0,IF(Q2024="x",-$E2024/(COUNTIF($J2024:$Q2024,"x")+1),-$E2024*N(Q2024)))</f>
        <v/>
      </c>
    </row>
    <row r="2025">
      <c r="A2025" s="30" t="n"/>
      <c r="E2025" s="31" t="n"/>
      <c r="J2025" s="32" t="n"/>
      <c r="K2025" s="32" t="n"/>
      <c r="L2025" s="32" t="n"/>
      <c r="M2025" s="32" t="n"/>
      <c r="N2025" s="32" t="n"/>
      <c r="O2025" s="32" t="n"/>
      <c r="P2025" s="32" t="n"/>
      <c r="Q2025" s="32" t="n"/>
      <c r="U2025" s="31">
        <f>IF($A2025="","",SUM(X2025:AE2025))</f>
        <v/>
      </c>
      <c r="V2025" s="31">
        <f>IF($A2025="","",IF($H2025&lt;&gt;"Ausgabe",0,-$E2025-$U2025))</f>
        <v/>
      </c>
      <c r="W2025" s="33">
        <f>IF($A2025="","",DATE(YEAR($A2025),MONTH($A2025),1))</f>
        <v/>
      </c>
      <c r="X2025" s="34">
        <f>IF(OR($A2025="",$H2025&lt;&gt;"Ausgabe",J2025=""),0,IF(J2025="x",-$E2025/(COUNTIF($J2025:$Q2025,"x")+1),-$E2025*N(J2025)))</f>
        <v/>
      </c>
      <c r="Y2025" s="34">
        <f>IF(OR($A2025="",$H2025&lt;&gt;"Ausgabe",K2025=""),0,IF(K2025="x",-$E2025/(COUNTIF($J2025:$Q2025,"x")+1),-$E2025*N(K2025)))</f>
        <v/>
      </c>
      <c r="Z2025" s="34">
        <f>IF(OR($A2025="",$H2025&lt;&gt;"Ausgabe",L2025=""),0,IF(L2025="x",-$E2025/(COUNTIF($J2025:$Q2025,"x")+1),-$E2025*N(L2025)))</f>
        <v/>
      </c>
      <c r="AA2025" s="34">
        <f>IF(OR($A2025="",$H2025&lt;&gt;"Ausgabe",M2025=""),0,IF(M2025="x",-$E2025/(COUNTIF($J2025:$Q2025,"x")+1),-$E2025*N(M2025)))</f>
        <v/>
      </c>
      <c r="AB2025" s="34">
        <f>IF(OR($A2025="",$H2025&lt;&gt;"Ausgabe",N2025=""),0,IF(N2025="x",-$E2025/(COUNTIF($J2025:$Q2025,"x")+1),-$E2025*N(N2025)))</f>
        <v/>
      </c>
      <c r="AC2025" s="34">
        <f>IF(OR($A2025="",$H2025&lt;&gt;"Ausgabe",O2025=""),0,IF(O2025="x",-$E2025/(COUNTIF($J2025:$Q2025,"x")+1),-$E2025*N(O2025)))</f>
        <v/>
      </c>
      <c r="AD2025" s="34">
        <f>IF(OR($A2025="",$H2025&lt;&gt;"Ausgabe",P2025=""),0,IF(P2025="x",-$E2025/(COUNTIF($J2025:$Q2025,"x")+1),-$E2025*N(P2025)))</f>
        <v/>
      </c>
      <c r="AE2025" s="34">
        <f>IF(OR($A2025="",$H2025&lt;&gt;"Ausgabe",Q2025=""),0,IF(Q2025="x",-$E2025/(COUNTIF($J2025:$Q2025,"x")+1),-$E2025*N(Q2025)))</f>
        <v/>
      </c>
    </row>
    <row r="2026">
      <c r="A2026" s="30" t="n"/>
      <c r="E2026" s="31" t="n"/>
      <c r="J2026" s="32" t="n"/>
      <c r="K2026" s="32" t="n"/>
      <c r="L2026" s="32" t="n"/>
      <c r="M2026" s="32" t="n"/>
      <c r="N2026" s="32" t="n"/>
      <c r="O2026" s="32" t="n"/>
      <c r="P2026" s="32" t="n"/>
      <c r="Q2026" s="32" t="n"/>
      <c r="U2026" s="31">
        <f>IF($A2026="","",SUM(X2026:AE2026))</f>
        <v/>
      </c>
      <c r="V2026" s="31">
        <f>IF($A2026="","",IF($H2026&lt;&gt;"Ausgabe",0,-$E2026-$U2026))</f>
        <v/>
      </c>
      <c r="W2026" s="33">
        <f>IF($A2026="","",DATE(YEAR($A2026),MONTH($A2026),1))</f>
        <v/>
      </c>
      <c r="X2026" s="34">
        <f>IF(OR($A2026="",$H2026&lt;&gt;"Ausgabe",J2026=""),0,IF(J2026="x",-$E2026/(COUNTIF($J2026:$Q2026,"x")+1),-$E2026*N(J2026)))</f>
        <v/>
      </c>
      <c r="Y2026" s="34">
        <f>IF(OR($A2026="",$H2026&lt;&gt;"Ausgabe",K2026=""),0,IF(K2026="x",-$E2026/(COUNTIF($J2026:$Q2026,"x")+1),-$E2026*N(K2026)))</f>
        <v/>
      </c>
      <c r="Z2026" s="34">
        <f>IF(OR($A2026="",$H2026&lt;&gt;"Ausgabe",L2026=""),0,IF(L2026="x",-$E2026/(COUNTIF($J2026:$Q2026,"x")+1),-$E2026*N(L2026)))</f>
        <v/>
      </c>
      <c r="AA2026" s="34">
        <f>IF(OR($A2026="",$H2026&lt;&gt;"Ausgabe",M2026=""),0,IF(M2026="x",-$E2026/(COUNTIF($J2026:$Q2026,"x")+1),-$E2026*N(M2026)))</f>
        <v/>
      </c>
      <c r="AB2026" s="34">
        <f>IF(OR($A2026="",$H2026&lt;&gt;"Ausgabe",N2026=""),0,IF(N2026="x",-$E2026/(COUNTIF($J2026:$Q2026,"x")+1),-$E2026*N(N2026)))</f>
        <v/>
      </c>
      <c r="AC2026" s="34">
        <f>IF(OR($A2026="",$H2026&lt;&gt;"Ausgabe",O2026=""),0,IF(O2026="x",-$E2026/(COUNTIF($J2026:$Q2026,"x")+1),-$E2026*N(O2026)))</f>
        <v/>
      </c>
      <c r="AD2026" s="34">
        <f>IF(OR($A2026="",$H2026&lt;&gt;"Ausgabe",P2026=""),0,IF(P2026="x",-$E2026/(COUNTIF($J2026:$Q2026,"x")+1),-$E2026*N(P2026)))</f>
        <v/>
      </c>
      <c r="AE2026" s="34">
        <f>IF(OR($A2026="",$H2026&lt;&gt;"Ausgabe",Q2026=""),0,IF(Q2026="x",-$E2026/(COUNTIF($J2026:$Q2026,"x")+1),-$E2026*N(Q2026)))</f>
        <v/>
      </c>
    </row>
    <row r="2027">
      <c r="A2027" s="30" t="n"/>
      <c r="E2027" s="31" t="n"/>
      <c r="J2027" s="32" t="n"/>
      <c r="K2027" s="32" t="n"/>
      <c r="L2027" s="32" t="n"/>
      <c r="M2027" s="32" t="n"/>
      <c r="N2027" s="32" t="n"/>
      <c r="O2027" s="32" t="n"/>
      <c r="P2027" s="32" t="n"/>
      <c r="Q2027" s="32" t="n"/>
      <c r="U2027" s="31">
        <f>IF($A2027="","",SUM(X2027:AE2027))</f>
        <v/>
      </c>
      <c r="V2027" s="31">
        <f>IF($A2027="","",IF($H2027&lt;&gt;"Ausgabe",0,-$E2027-$U2027))</f>
        <v/>
      </c>
      <c r="W2027" s="33">
        <f>IF($A2027="","",DATE(YEAR($A2027),MONTH($A2027),1))</f>
        <v/>
      </c>
      <c r="X2027" s="34">
        <f>IF(OR($A2027="",$H2027&lt;&gt;"Ausgabe",J2027=""),0,IF(J2027="x",-$E2027/(COUNTIF($J2027:$Q2027,"x")+1),-$E2027*N(J2027)))</f>
        <v/>
      </c>
      <c r="Y2027" s="34">
        <f>IF(OR($A2027="",$H2027&lt;&gt;"Ausgabe",K2027=""),0,IF(K2027="x",-$E2027/(COUNTIF($J2027:$Q2027,"x")+1),-$E2027*N(K2027)))</f>
        <v/>
      </c>
      <c r="Z2027" s="34">
        <f>IF(OR($A2027="",$H2027&lt;&gt;"Ausgabe",L2027=""),0,IF(L2027="x",-$E2027/(COUNTIF($J2027:$Q2027,"x")+1),-$E2027*N(L2027)))</f>
        <v/>
      </c>
      <c r="AA2027" s="34">
        <f>IF(OR($A2027="",$H2027&lt;&gt;"Ausgabe",M2027=""),0,IF(M2027="x",-$E2027/(COUNTIF($J2027:$Q2027,"x")+1),-$E2027*N(M2027)))</f>
        <v/>
      </c>
      <c r="AB2027" s="34">
        <f>IF(OR($A2027="",$H2027&lt;&gt;"Ausgabe",N2027=""),0,IF(N2027="x",-$E2027/(COUNTIF($J2027:$Q2027,"x")+1),-$E2027*N(N2027)))</f>
        <v/>
      </c>
      <c r="AC2027" s="34">
        <f>IF(OR($A2027="",$H2027&lt;&gt;"Ausgabe",O2027=""),0,IF(O2027="x",-$E2027/(COUNTIF($J2027:$Q2027,"x")+1),-$E2027*N(O2027)))</f>
        <v/>
      </c>
      <c r="AD2027" s="34">
        <f>IF(OR($A2027="",$H2027&lt;&gt;"Ausgabe",P2027=""),0,IF(P2027="x",-$E2027/(COUNTIF($J2027:$Q2027,"x")+1),-$E2027*N(P2027)))</f>
        <v/>
      </c>
      <c r="AE2027" s="34">
        <f>IF(OR($A2027="",$H2027&lt;&gt;"Ausgabe",Q2027=""),0,IF(Q2027="x",-$E2027/(COUNTIF($J2027:$Q2027,"x")+1),-$E2027*N(Q2027)))</f>
        <v/>
      </c>
    </row>
    <row r="2028">
      <c r="A2028" s="30" t="n"/>
      <c r="E2028" s="31" t="n"/>
      <c r="J2028" s="32" t="n"/>
      <c r="K2028" s="32" t="n"/>
      <c r="L2028" s="32" t="n"/>
      <c r="M2028" s="32" t="n"/>
      <c r="N2028" s="32" t="n"/>
      <c r="O2028" s="32" t="n"/>
      <c r="P2028" s="32" t="n"/>
      <c r="Q2028" s="32" t="n"/>
      <c r="U2028" s="31">
        <f>IF($A2028="","",SUM(X2028:AE2028))</f>
        <v/>
      </c>
      <c r="V2028" s="31">
        <f>IF($A2028="","",IF($H2028&lt;&gt;"Ausgabe",0,-$E2028-$U2028))</f>
        <v/>
      </c>
      <c r="W2028" s="33">
        <f>IF($A2028="","",DATE(YEAR($A2028),MONTH($A2028),1))</f>
        <v/>
      </c>
      <c r="X2028" s="34">
        <f>IF(OR($A2028="",$H2028&lt;&gt;"Ausgabe",J2028=""),0,IF(J2028="x",-$E2028/(COUNTIF($J2028:$Q2028,"x")+1),-$E2028*N(J2028)))</f>
        <v/>
      </c>
      <c r="Y2028" s="34">
        <f>IF(OR($A2028="",$H2028&lt;&gt;"Ausgabe",K2028=""),0,IF(K2028="x",-$E2028/(COUNTIF($J2028:$Q2028,"x")+1),-$E2028*N(K2028)))</f>
        <v/>
      </c>
      <c r="Z2028" s="34">
        <f>IF(OR($A2028="",$H2028&lt;&gt;"Ausgabe",L2028=""),0,IF(L2028="x",-$E2028/(COUNTIF($J2028:$Q2028,"x")+1),-$E2028*N(L2028)))</f>
        <v/>
      </c>
      <c r="AA2028" s="34">
        <f>IF(OR($A2028="",$H2028&lt;&gt;"Ausgabe",M2028=""),0,IF(M2028="x",-$E2028/(COUNTIF($J2028:$Q2028,"x")+1),-$E2028*N(M2028)))</f>
        <v/>
      </c>
      <c r="AB2028" s="34">
        <f>IF(OR($A2028="",$H2028&lt;&gt;"Ausgabe",N2028=""),0,IF(N2028="x",-$E2028/(COUNTIF($J2028:$Q2028,"x")+1),-$E2028*N(N2028)))</f>
        <v/>
      </c>
      <c r="AC2028" s="34">
        <f>IF(OR($A2028="",$H2028&lt;&gt;"Ausgabe",O2028=""),0,IF(O2028="x",-$E2028/(COUNTIF($J2028:$Q2028,"x")+1),-$E2028*N(O2028)))</f>
        <v/>
      </c>
      <c r="AD2028" s="34">
        <f>IF(OR($A2028="",$H2028&lt;&gt;"Ausgabe",P2028=""),0,IF(P2028="x",-$E2028/(COUNTIF($J2028:$Q2028,"x")+1),-$E2028*N(P2028)))</f>
        <v/>
      </c>
      <c r="AE2028" s="34">
        <f>IF(OR($A2028="",$H2028&lt;&gt;"Ausgabe",Q2028=""),0,IF(Q2028="x",-$E2028/(COUNTIF($J2028:$Q2028,"x")+1),-$E2028*N(Q2028)))</f>
        <v/>
      </c>
    </row>
    <row r="2029">
      <c r="A2029" s="30" t="n"/>
      <c r="E2029" s="31" t="n"/>
      <c r="J2029" s="32" t="n"/>
      <c r="K2029" s="32" t="n"/>
      <c r="L2029" s="32" t="n"/>
      <c r="M2029" s="32" t="n"/>
      <c r="N2029" s="32" t="n"/>
      <c r="O2029" s="32" t="n"/>
      <c r="P2029" s="32" t="n"/>
      <c r="Q2029" s="32" t="n"/>
      <c r="U2029" s="31">
        <f>IF($A2029="","",SUM(X2029:AE2029))</f>
        <v/>
      </c>
      <c r="V2029" s="31">
        <f>IF($A2029="","",IF($H2029&lt;&gt;"Ausgabe",0,-$E2029-$U2029))</f>
        <v/>
      </c>
      <c r="W2029" s="33">
        <f>IF($A2029="","",DATE(YEAR($A2029),MONTH($A2029),1))</f>
        <v/>
      </c>
      <c r="X2029" s="34">
        <f>IF(OR($A2029="",$H2029&lt;&gt;"Ausgabe",J2029=""),0,IF(J2029="x",-$E2029/(COUNTIF($J2029:$Q2029,"x")+1),-$E2029*N(J2029)))</f>
        <v/>
      </c>
      <c r="Y2029" s="34">
        <f>IF(OR($A2029="",$H2029&lt;&gt;"Ausgabe",K2029=""),0,IF(K2029="x",-$E2029/(COUNTIF($J2029:$Q2029,"x")+1),-$E2029*N(K2029)))</f>
        <v/>
      </c>
      <c r="Z2029" s="34">
        <f>IF(OR($A2029="",$H2029&lt;&gt;"Ausgabe",L2029=""),0,IF(L2029="x",-$E2029/(COUNTIF($J2029:$Q2029,"x")+1),-$E2029*N(L2029)))</f>
        <v/>
      </c>
      <c r="AA2029" s="34">
        <f>IF(OR($A2029="",$H2029&lt;&gt;"Ausgabe",M2029=""),0,IF(M2029="x",-$E2029/(COUNTIF($J2029:$Q2029,"x")+1),-$E2029*N(M2029)))</f>
        <v/>
      </c>
      <c r="AB2029" s="34">
        <f>IF(OR($A2029="",$H2029&lt;&gt;"Ausgabe",N2029=""),0,IF(N2029="x",-$E2029/(COUNTIF($J2029:$Q2029,"x")+1),-$E2029*N(N2029)))</f>
        <v/>
      </c>
      <c r="AC2029" s="34">
        <f>IF(OR($A2029="",$H2029&lt;&gt;"Ausgabe",O2029=""),0,IF(O2029="x",-$E2029/(COUNTIF($J2029:$Q2029,"x")+1),-$E2029*N(O2029)))</f>
        <v/>
      </c>
      <c r="AD2029" s="34">
        <f>IF(OR($A2029="",$H2029&lt;&gt;"Ausgabe",P2029=""),0,IF(P2029="x",-$E2029/(COUNTIF($J2029:$Q2029,"x")+1),-$E2029*N(P2029)))</f>
        <v/>
      </c>
      <c r="AE2029" s="34">
        <f>IF(OR($A2029="",$H2029&lt;&gt;"Ausgabe",Q2029=""),0,IF(Q2029="x",-$E2029/(COUNTIF($J2029:$Q2029,"x")+1),-$E2029*N(Q2029)))</f>
        <v/>
      </c>
    </row>
    <row r="2030">
      <c r="A2030" s="30" t="n"/>
      <c r="E2030" s="31" t="n"/>
      <c r="J2030" s="32" t="n"/>
      <c r="K2030" s="32" t="n"/>
      <c r="L2030" s="32" t="n"/>
      <c r="M2030" s="32" t="n"/>
      <c r="N2030" s="32" t="n"/>
      <c r="O2030" s="32" t="n"/>
      <c r="P2030" s="32" t="n"/>
      <c r="Q2030" s="32" t="n"/>
      <c r="U2030" s="31">
        <f>IF($A2030="","",SUM(X2030:AE2030))</f>
        <v/>
      </c>
      <c r="V2030" s="31">
        <f>IF($A2030="","",IF($H2030&lt;&gt;"Ausgabe",0,-$E2030-$U2030))</f>
        <v/>
      </c>
      <c r="W2030" s="33">
        <f>IF($A2030="","",DATE(YEAR($A2030),MONTH($A2030),1))</f>
        <v/>
      </c>
      <c r="X2030" s="34">
        <f>IF(OR($A2030="",$H2030&lt;&gt;"Ausgabe",J2030=""),0,IF(J2030="x",-$E2030/(COUNTIF($J2030:$Q2030,"x")+1),-$E2030*N(J2030)))</f>
        <v/>
      </c>
      <c r="Y2030" s="34">
        <f>IF(OR($A2030="",$H2030&lt;&gt;"Ausgabe",K2030=""),0,IF(K2030="x",-$E2030/(COUNTIF($J2030:$Q2030,"x")+1),-$E2030*N(K2030)))</f>
        <v/>
      </c>
      <c r="Z2030" s="34">
        <f>IF(OR($A2030="",$H2030&lt;&gt;"Ausgabe",L2030=""),0,IF(L2030="x",-$E2030/(COUNTIF($J2030:$Q2030,"x")+1),-$E2030*N(L2030)))</f>
        <v/>
      </c>
      <c r="AA2030" s="34">
        <f>IF(OR($A2030="",$H2030&lt;&gt;"Ausgabe",M2030=""),0,IF(M2030="x",-$E2030/(COUNTIF($J2030:$Q2030,"x")+1),-$E2030*N(M2030)))</f>
        <v/>
      </c>
      <c r="AB2030" s="34">
        <f>IF(OR($A2030="",$H2030&lt;&gt;"Ausgabe",N2030=""),0,IF(N2030="x",-$E2030/(COUNTIF($J2030:$Q2030,"x")+1),-$E2030*N(N2030)))</f>
        <v/>
      </c>
      <c r="AC2030" s="34">
        <f>IF(OR($A2030="",$H2030&lt;&gt;"Ausgabe",O2030=""),0,IF(O2030="x",-$E2030/(COUNTIF($J2030:$Q2030,"x")+1),-$E2030*N(O2030)))</f>
        <v/>
      </c>
      <c r="AD2030" s="34">
        <f>IF(OR($A2030="",$H2030&lt;&gt;"Ausgabe",P2030=""),0,IF(P2030="x",-$E2030/(COUNTIF($J2030:$Q2030,"x")+1),-$E2030*N(P2030)))</f>
        <v/>
      </c>
      <c r="AE2030" s="34">
        <f>IF(OR($A2030="",$H2030&lt;&gt;"Ausgabe",Q2030=""),0,IF(Q2030="x",-$E2030/(COUNTIF($J2030:$Q2030,"x")+1),-$E2030*N(Q2030)))</f>
        <v/>
      </c>
    </row>
    <row r="2031">
      <c r="A2031" s="30" t="n"/>
      <c r="E2031" s="31" t="n"/>
      <c r="J2031" s="32" t="n"/>
      <c r="K2031" s="32" t="n"/>
      <c r="L2031" s="32" t="n"/>
      <c r="M2031" s="32" t="n"/>
      <c r="N2031" s="32" t="n"/>
      <c r="O2031" s="32" t="n"/>
      <c r="P2031" s="32" t="n"/>
      <c r="Q2031" s="32" t="n"/>
      <c r="U2031" s="31">
        <f>IF($A2031="","",SUM(X2031:AE2031))</f>
        <v/>
      </c>
      <c r="V2031" s="31">
        <f>IF($A2031="","",IF($H2031&lt;&gt;"Ausgabe",0,-$E2031-$U2031))</f>
        <v/>
      </c>
      <c r="W2031" s="33">
        <f>IF($A2031="","",DATE(YEAR($A2031),MONTH($A2031),1))</f>
        <v/>
      </c>
      <c r="X2031" s="34">
        <f>IF(OR($A2031="",$H2031&lt;&gt;"Ausgabe",J2031=""),0,IF(J2031="x",-$E2031/(COUNTIF($J2031:$Q2031,"x")+1),-$E2031*N(J2031)))</f>
        <v/>
      </c>
      <c r="Y2031" s="34">
        <f>IF(OR($A2031="",$H2031&lt;&gt;"Ausgabe",K2031=""),0,IF(K2031="x",-$E2031/(COUNTIF($J2031:$Q2031,"x")+1),-$E2031*N(K2031)))</f>
        <v/>
      </c>
      <c r="Z2031" s="34">
        <f>IF(OR($A2031="",$H2031&lt;&gt;"Ausgabe",L2031=""),0,IF(L2031="x",-$E2031/(COUNTIF($J2031:$Q2031,"x")+1),-$E2031*N(L2031)))</f>
        <v/>
      </c>
      <c r="AA2031" s="34">
        <f>IF(OR($A2031="",$H2031&lt;&gt;"Ausgabe",M2031=""),0,IF(M2031="x",-$E2031/(COUNTIF($J2031:$Q2031,"x")+1),-$E2031*N(M2031)))</f>
        <v/>
      </c>
      <c r="AB2031" s="34">
        <f>IF(OR($A2031="",$H2031&lt;&gt;"Ausgabe",N2031=""),0,IF(N2031="x",-$E2031/(COUNTIF($J2031:$Q2031,"x")+1),-$E2031*N(N2031)))</f>
        <v/>
      </c>
      <c r="AC2031" s="34">
        <f>IF(OR($A2031="",$H2031&lt;&gt;"Ausgabe",O2031=""),0,IF(O2031="x",-$E2031/(COUNTIF($J2031:$Q2031,"x")+1),-$E2031*N(O2031)))</f>
        <v/>
      </c>
      <c r="AD2031" s="34">
        <f>IF(OR($A2031="",$H2031&lt;&gt;"Ausgabe",P2031=""),0,IF(P2031="x",-$E2031/(COUNTIF($J2031:$Q2031,"x")+1),-$E2031*N(P2031)))</f>
        <v/>
      </c>
      <c r="AE2031" s="34">
        <f>IF(OR($A2031="",$H2031&lt;&gt;"Ausgabe",Q2031=""),0,IF(Q2031="x",-$E2031/(COUNTIF($J2031:$Q2031,"x")+1),-$E2031*N(Q2031)))</f>
        <v/>
      </c>
    </row>
    <row r="2032">
      <c r="A2032" s="30" t="n"/>
      <c r="E2032" s="31" t="n"/>
      <c r="J2032" s="32" t="n"/>
      <c r="K2032" s="32" t="n"/>
      <c r="L2032" s="32" t="n"/>
      <c r="M2032" s="32" t="n"/>
      <c r="N2032" s="32" t="n"/>
      <c r="O2032" s="32" t="n"/>
      <c r="P2032" s="32" t="n"/>
      <c r="Q2032" s="32" t="n"/>
      <c r="U2032" s="31">
        <f>IF($A2032="","",SUM(X2032:AE2032))</f>
        <v/>
      </c>
      <c r="V2032" s="31">
        <f>IF($A2032="","",IF($H2032&lt;&gt;"Ausgabe",0,-$E2032-$U2032))</f>
        <v/>
      </c>
      <c r="W2032" s="33">
        <f>IF($A2032="","",DATE(YEAR($A2032),MONTH($A2032),1))</f>
        <v/>
      </c>
      <c r="X2032" s="34">
        <f>IF(OR($A2032="",$H2032&lt;&gt;"Ausgabe",J2032=""),0,IF(J2032="x",-$E2032/(COUNTIF($J2032:$Q2032,"x")+1),-$E2032*N(J2032)))</f>
        <v/>
      </c>
      <c r="Y2032" s="34">
        <f>IF(OR($A2032="",$H2032&lt;&gt;"Ausgabe",K2032=""),0,IF(K2032="x",-$E2032/(COUNTIF($J2032:$Q2032,"x")+1),-$E2032*N(K2032)))</f>
        <v/>
      </c>
      <c r="Z2032" s="34">
        <f>IF(OR($A2032="",$H2032&lt;&gt;"Ausgabe",L2032=""),0,IF(L2032="x",-$E2032/(COUNTIF($J2032:$Q2032,"x")+1),-$E2032*N(L2032)))</f>
        <v/>
      </c>
      <c r="AA2032" s="34">
        <f>IF(OR($A2032="",$H2032&lt;&gt;"Ausgabe",M2032=""),0,IF(M2032="x",-$E2032/(COUNTIF($J2032:$Q2032,"x")+1),-$E2032*N(M2032)))</f>
        <v/>
      </c>
      <c r="AB2032" s="34">
        <f>IF(OR($A2032="",$H2032&lt;&gt;"Ausgabe",N2032=""),0,IF(N2032="x",-$E2032/(COUNTIF($J2032:$Q2032,"x")+1),-$E2032*N(N2032)))</f>
        <v/>
      </c>
      <c r="AC2032" s="34">
        <f>IF(OR($A2032="",$H2032&lt;&gt;"Ausgabe",O2032=""),0,IF(O2032="x",-$E2032/(COUNTIF($J2032:$Q2032,"x")+1),-$E2032*N(O2032)))</f>
        <v/>
      </c>
      <c r="AD2032" s="34">
        <f>IF(OR($A2032="",$H2032&lt;&gt;"Ausgabe",P2032=""),0,IF(P2032="x",-$E2032/(COUNTIF($J2032:$Q2032,"x")+1),-$E2032*N(P2032)))</f>
        <v/>
      </c>
      <c r="AE2032" s="34">
        <f>IF(OR($A2032="",$H2032&lt;&gt;"Ausgabe",Q2032=""),0,IF(Q2032="x",-$E2032/(COUNTIF($J2032:$Q2032,"x")+1),-$E2032*N(Q2032)))</f>
        <v/>
      </c>
    </row>
    <row r="2033">
      <c r="A2033" s="30" t="n"/>
      <c r="E2033" s="31" t="n"/>
      <c r="J2033" s="32" t="n"/>
      <c r="K2033" s="32" t="n"/>
      <c r="L2033" s="32" t="n"/>
      <c r="M2033" s="32" t="n"/>
      <c r="N2033" s="32" t="n"/>
      <c r="O2033" s="32" t="n"/>
      <c r="P2033" s="32" t="n"/>
      <c r="Q2033" s="32" t="n"/>
      <c r="U2033" s="31">
        <f>IF($A2033="","",SUM(X2033:AE2033))</f>
        <v/>
      </c>
      <c r="V2033" s="31">
        <f>IF($A2033="","",IF($H2033&lt;&gt;"Ausgabe",0,-$E2033-$U2033))</f>
        <v/>
      </c>
      <c r="W2033" s="33">
        <f>IF($A2033="","",DATE(YEAR($A2033),MONTH($A2033),1))</f>
        <v/>
      </c>
      <c r="X2033" s="34">
        <f>IF(OR($A2033="",$H2033&lt;&gt;"Ausgabe",J2033=""),0,IF(J2033="x",-$E2033/(COUNTIF($J2033:$Q2033,"x")+1),-$E2033*N(J2033)))</f>
        <v/>
      </c>
      <c r="Y2033" s="34">
        <f>IF(OR($A2033="",$H2033&lt;&gt;"Ausgabe",K2033=""),0,IF(K2033="x",-$E2033/(COUNTIF($J2033:$Q2033,"x")+1),-$E2033*N(K2033)))</f>
        <v/>
      </c>
      <c r="Z2033" s="34">
        <f>IF(OR($A2033="",$H2033&lt;&gt;"Ausgabe",L2033=""),0,IF(L2033="x",-$E2033/(COUNTIF($J2033:$Q2033,"x")+1),-$E2033*N(L2033)))</f>
        <v/>
      </c>
      <c r="AA2033" s="34">
        <f>IF(OR($A2033="",$H2033&lt;&gt;"Ausgabe",M2033=""),0,IF(M2033="x",-$E2033/(COUNTIF($J2033:$Q2033,"x")+1),-$E2033*N(M2033)))</f>
        <v/>
      </c>
      <c r="AB2033" s="34">
        <f>IF(OR($A2033="",$H2033&lt;&gt;"Ausgabe",N2033=""),0,IF(N2033="x",-$E2033/(COUNTIF($J2033:$Q2033,"x")+1),-$E2033*N(N2033)))</f>
        <v/>
      </c>
      <c r="AC2033" s="34">
        <f>IF(OR($A2033="",$H2033&lt;&gt;"Ausgabe",O2033=""),0,IF(O2033="x",-$E2033/(COUNTIF($J2033:$Q2033,"x")+1),-$E2033*N(O2033)))</f>
        <v/>
      </c>
      <c r="AD2033" s="34">
        <f>IF(OR($A2033="",$H2033&lt;&gt;"Ausgabe",P2033=""),0,IF(P2033="x",-$E2033/(COUNTIF($J2033:$Q2033,"x")+1),-$E2033*N(P2033)))</f>
        <v/>
      </c>
      <c r="AE2033" s="34">
        <f>IF(OR($A2033="",$H2033&lt;&gt;"Ausgabe",Q2033=""),0,IF(Q2033="x",-$E2033/(COUNTIF($J2033:$Q2033,"x")+1),-$E2033*N(Q2033)))</f>
        <v/>
      </c>
    </row>
    <row r="2034">
      <c r="A2034" s="30" t="n"/>
      <c r="E2034" s="31" t="n"/>
      <c r="J2034" s="32" t="n"/>
      <c r="K2034" s="32" t="n"/>
      <c r="L2034" s="32" t="n"/>
      <c r="M2034" s="32" t="n"/>
      <c r="N2034" s="32" t="n"/>
      <c r="O2034" s="32" t="n"/>
      <c r="P2034" s="32" t="n"/>
      <c r="Q2034" s="32" t="n"/>
      <c r="U2034" s="31">
        <f>IF($A2034="","",SUM(X2034:AE2034))</f>
        <v/>
      </c>
      <c r="V2034" s="31">
        <f>IF($A2034="","",IF($H2034&lt;&gt;"Ausgabe",0,-$E2034-$U2034))</f>
        <v/>
      </c>
      <c r="W2034" s="33">
        <f>IF($A2034="","",DATE(YEAR($A2034),MONTH($A2034),1))</f>
        <v/>
      </c>
      <c r="X2034" s="34">
        <f>IF(OR($A2034="",$H2034&lt;&gt;"Ausgabe",J2034=""),0,IF(J2034="x",-$E2034/(COUNTIF($J2034:$Q2034,"x")+1),-$E2034*N(J2034)))</f>
        <v/>
      </c>
      <c r="Y2034" s="34">
        <f>IF(OR($A2034="",$H2034&lt;&gt;"Ausgabe",K2034=""),0,IF(K2034="x",-$E2034/(COUNTIF($J2034:$Q2034,"x")+1),-$E2034*N(K2034)))</f>
        <v/>
      </c>
      <c r="Z2034" s="34">
        <f>IF(OR($A2034="",$H2034&lt;&gt;"Ausgabe",L2034=""),0,IF(L2034="x",-$E2034/(COUNTIF($J2034:$Q2034,"x")+1),-$E2034*N(L2034)))</f>
        <v/>
      </c>
      <c r="AA2034" s="34">
        <f>IF(OR($A2034="",$H2034&lt;&gt;"Ausgabe",M2034=""),0,IF(M2034="x",-$E2034/(COUNTIF($J2034:$Q2034,"x")+1),-$E2034*N(M2034)))</f>
        <v/>
      </c>
      <c r="AB2034" s="34">
        <f>IF(OR($A2034="",$H2034&lt;&gt;"Ausgabe",N2034=""),0,IF(N2034="x",-$E2034/(COUNTIF($J2034:$Q2034,"x")+1),-$E2034*N(N2034)))</f>
        <v/>
      </c>
      <c r="AC2034" s="34">
        <f>IF(OR($A2034="",$H2034&lt;&gt;"Ausgabe",O2034=""),0,IF(O2034="x",-$E2034/(COUNTIF($J2034:$Q2034,"x")+1),-$E2034*N(O2034)))</f>
        <v/>
      </c>
      <c r="AD2034" s="34">
        <f>IF(OR($A2034="",$H2034&lt;&gt;"Ausgabe",P2034=""),0,IF(P2034="x",-$E2034/(COUNTIF($J2034:$Q2034,"x")+1),-$E2034*N(P2034)))</f>
        <v/>
      </c>
      <c r="AE2034" s="34">
        <f>IF(OR($A2034="",$H2034&lt;&gt;"Ausgabe",Q2034=""),0,IF(Q2034="x",-$E2034/(COUNTIF($J2034:$Q2034,"x")+1),-$E2034*N(Q2034)))</f>
        <v/>
      </c>
    </row>
    <row r="2035">
      <c r="A2035" s="30" t="n"/>
      <c r="E2035" s="31" t="n"/>
      <c r="J2035" s="32" t="n"/>
      <c r="K2035" s="32" t="n"/>
      <c r="L2035" s="32" t="n"/>
      <c r="M2035" s="32" t="n"/>
      <c r="N2035" s="32" t="n"/>
      <c r="O2035" s="32" t="n"/>
      <c r="P2035" s="32" t="n"/>
      <c r="Q2035" s="32" t="n"/>
      <c r="U2035" s="31">
        <f>IF($A2035="","",SUM(X2035:AE2035))</f>
        <v/>
      </c>
      <c r="V2035" s="31">
        <f>IF($A2035="","",IF($H2035&lt;&gt;"Ausgabe",0,-$E2035-$U2035))</f>
        <v/>
      </c>
      <c r="W2035" s="33">
        <f>IF($A2035="","",DATE(YEAR($A2035),MONTH($A2035),1))</f>
        <v/>
      </c>
      <c r="X2035" s="34">
        <f>IF(OR($A2035="",$H2035&lt;&gt;"Ausgabe",J2035=""),0,IF(J2035="x",-$E2035/(COUNTIF($J2035:$Q2035,"x")+1),-$E2035*N(J2035)))</f>
        <v/>
      </c>
      <c r="Y2035" s="34">
        <f>IF(OR($A2035="",$H2035&lt;&gt;"Ausgabe",K2035=""),0,IF(K2035="x",-$E2035/(COUNTIF($J2035:$Q2035,"x")+1),-$E2035*N(K2035)))</f>
        <v/>
      </c>
      <c r="Z2035" s="34">
        <f>IF(OR($A2035="",$H2035&lt;&gt;"Ausgabe",L2035=""),0,IF(L2035="x",-$E2035/(COUNTIF($J2035:$Q2035,"x")+1),-$E2035*N(L2035)))</f>
        <v/>
      </c>
      <c r="AA2035" s="34">
        <f>IF(OR($A2035="",$H2035&lt;&gt;"Ausgabe",M2035=""),0,IF(M2035="x",-$E2035/(COUNTIF($J2035:$Q2035,"x")+1),-$E2035*N(M2035)))</f>
        <v/>
      </c>
      <c r="AB2035" s="34">
        <f>IF(OR($A2035="",$H2035&lt;&gt;"Ausgabe",N2035=""),0,IF(N2035="x",-$E2035/(COUNTIF($J2035:$Q2035,"x")+1),-$E2035*N(N2035)))</f>
        <v/>
      </c>
      <c r="AC2035" s="34">
        <f>IF(OR($A2035="",$H2035&lt;&gt;"Ausgabe",O2035=""),0,IF(O2035="x",-$E2035/(COUNTIF($J2035:$Q2035,"x")+1),-$E2035*N(O2035)))</f>
        <v/>
      </c>
      <c r="AD2035" s="34">
        <f>IF(OR($A2035="",$H2035&lt;&gt;"Ausgabe",P2035=""),0,IF(P2035="x",-$E2035/(COUNTIF($J2035:$Q2035,"x")+1),-$E2035*N(P2035)))</f>
        <v/>
      </c>
      <c r="AE2035" s="34">
        <f>IF(OR($A2035="",$H2035&lt;&gt;"Ausgabe",Q2035=""),0,IF(Q2035="x",-$E2035/(COUNTIF($J2035:$Q2035,"x")+1),-$E2035*N(Q2035)))</f>
        <v/>
      </c>
    </row>
    <row r="2036">
      <c r="A2036" s="30" t="n"/>
      <c r="E2036" s="31" t="n"/>
      <c r="J2036" s="32" t="n"/>
      <c r="K2036" s="32" t="n"/>
      <c r="L2036" s="32" t="n"/>
      <c r="M2036" s="32" t="n"/>
      <c r="N2036" s="32" t="n"/>
      <c r="O2036" s="32" t="n"/>
      <c r="P2036" s="32" t="n"/>
      <c r="Q2036" s="32" t="n"/>
      <c r="U2036" s="31">
        <f>IF($A2036="","",SUM(X2036:AE2036))</f>
        <v/>
      </c>
      <c r="V2036" s="31">
        <f>IF($A2036="","",IF($H2036&lt;&gt;"Ausgabe",0,-$E2036-$U2036))</f>
        <v/>
      </c>
      <c r="W2036" s="33">
        <f>IF($A2036="","",DATE(YEAR($A2036),MONTH($A2036),1))</f>
        <v/>
      </c>
      <c r="X2036" s="34">
        <f>IF(OR($A2036="",$H2036&lt;&gt;"Ausgabe",J2036=""),0,IF(J2036="x",-$E2036/(COUNTIF($J2036:$Q2036,"x")+1),-$E2036*N(J2036)))</f>
        <v/>
      </c>
      <c r="Y2036" s="34">
        <f>IF(OR($A2036="",$H2036&lt;&gt;"Ausgabe",K2036=""),0,IF(K2036="x",-$E2036/(COUNTIF($J2036:$Q2036,"x")+1),-$E2036*N(K2036)))</f>
        <v/>
      </c>
      <c r="Z2036" s="34">
        <f>IF(OR($A2036="",$H2036&lt;&gt;"Ausgabe",L2036=""),0,IF(L2036="x",-$E2036/(COUNTIF($J2036:$Q2036,"x")+1),-$E2036*N(L2036)))</f>
        <v/>
      </c>
      <c r="AA2036" s="34">
        <f>IF(OR($A2036="",$H2036&lt;&gt;"Ausgabe",M2036=""),0,IF(M2036="x",-$E2036/(COUNTIF($J2036:$Q2036,"x")+1),-$E2036*N(M2036)))</f>
        <v/>
      </c>
      <c r="AB2036" s="34">
        <f>IF(OR($A2036="",$H2036&lt;&gt;"Ausgabe",N2036=""),0,IF(N2036="x",-$E2036/(COUNTIF($J2036:$Q2036,"x")+1),-$E2036*N(N2036)))</f>
        <v/>
      </c>
      <c r="AC2036" s="34">
        <f>IF(OR($A2036="",$H2036&lt;&gt;"Ausgabe",O2036=""),0,IF(O2036="x",-$E2036/(COUNTIF($J2036:$Q2036,"x")+1),-$E2036*N(O2036)))</f>
        <v/>
      </c>
      <c r="AD2036" s="34">
        <f>IF(OR($A2036="",$H2036&lt;&gt;"Ausgabe",P2036=""),0,IF(P2036="x",-$E2036/(COUNTIF($J2036:$Q2036,"x")+1),-$E2036*N(P2036)))</f>
        <v/>
      </c>
      <c r="AE2036" s="34">
        <f>IF(OR($A2036="",$H2036&lt;&gt;"Ausgabe",Q2036=""),0,IF(Q2036="x",-$E2036/(COUNTIF($J2036:$Q2036,"x")+1),-$E2036*N(Q2036)))</f>
        <v/>
      </c>
    </row>
    <row r="2037">
      <c r="A2037" s="30" t="n"/>
      <c r="E2037" s="31" t="n"/>
      <c r="J2037" s="32" t="n"/>
      <c r="K2037" s="32" t="n"/>
      <c r="L2037" s="32" t="n"/>
      <c r="M2037" s="32" t="n"/>
      <c r="N2037" s="32" t="n"/>
      <c r="O2037" s="32" t="n"/>
      <c r="P2037" s="32" t="n"/>
      <c r="Q2037" s="32" t="n"/>
      <c r="U2037" s="31">
        <f>IF($A2037="","",SUM(X2037:AE2037))</f>
        <v/>
      </c>
      <c r="V2037" s="31">
        <f>IF($A2037="","",IF($H2037&lt;&gt;"Ausgabe",0,-$E2037-$U2037))</f>
        <v/>
      </c>
      <c r="W2037" s="33">
        <f>IF($A2037="","",DATE(YEAR($A2037),MONTH($A2037),1))</f>
        <v/>
      </c>
      <c r="X2037" s="34">
        <f>IF(OR($A2037="",$H2037&lt;&gt;"Ausgabe",J2037=""),0,IF(J2037="x",-$E2037/(COUNTIF($J2037:$Q2037,"x")+1),-$E2037*N(J2037)))</f>
        <v/>
      </c>
      <c r="Y2037" s="34">
        <f>IF(OR($A2037="",$H2037&lt;&gt;"Ausgabe",K2037=""),0,IF(K2037="x",-$E2037/(COUNTIF($J2037:$Q2037,"x")+1),-$E2037*N(K2037)))</f>
        <v/>
      </c>
      <c r="Z2037" s="34">
        <f>IF(OR($A2037="",$H2037&lt;&gt;"Ausgabe",L2037=""),0,IF(L2037="x",-$E2037/(COUNTIF($J2037:$Q2037,"x")+1),-$E2037*N(L2037)))</f>
        <v/>
      </c>
      <c r="AA2037" s="34">
        <f>IF(OR($A2037="",$H2037&lt;&gt;"Ausgabe",M2037=""),0,IF(M2037="x",-$E2037/(COUNTIF($J2037:$Q2037,"x")+1),-$E2037*N(M2037)))</f>
        <v/>
      </c>
      <c r="AB2037" s="34">
        <f>IF(OR($A2037="",$H2037&lt;&gt;"Ausgabe",N2037=""),0,IF(N2037="x",-$E2037/(COUNTIF($J2037:$Q2037,"x")+1),-$E2037*N(N2037)))</f>
        <v/>
      </c>
      <c r="AC2037" s="34">
        <f>IF(OR($A2037="",$H2037&lt;&gt;"Ausgabe",O2037=""),0,IF(O2037="x",-$E2037/(COUNTIF($J2037:$Q2037,"x")+1),-$E2037*N(O2037)))</f>
        <v/>
      </c>
      <c r="AD2037" s="34">
        <f>IF(OR($A2037="",$H2037&lt;&gt;"Ausgabe",P2037=""),0,IF(P2037="x",-$E2037/(COUNTIF($J2037:$Q2037,"x")+1),-$E2037*N(P2037)))</f>
        <v/>
      </c>
      <c r="AE2037" s="34">
        <f>IF(OR($A2037="",$H2037&lt;&gt;"Ausgabe",Q2037=""),0,IF(Q2037="x",-$E2037/(COUNTIF($J2037:$Q2037,"x")+1),-$E2037*N(Q2037)))</f>
        <v/>
      </c>
    </row>
    <row r="2038">
      <c r="A2038" s="30" t="n"/>
      <c r="E2038" s="31" t="n"/>
      <c r="J2038" s="32" t="n"/>
      <c r="K2038" s="32" t="n"/>
      <c r="L2038" s="32" t="n"/>
      <c r="M2038" s="32" t="n"/>
      <c r="N2038" s="32" t="n"/>
      <c r="O2038" s="32" t="n"/>
      <c r="P2038" s="32" t="n"/>
      <c r="Q2038" s="32" t="n"/>
      <c r="U2038" s="31">
        <f>IF($A2038="","",SUM(X2038:AE2038))</f>
        <v/>
      </c>
      <c r="V2038" s="31">
        <f>IF($A2038="","",IF($H2038&lt;&gt;"Ausgabe",0,-$E2038-$U2038))</f>
        <v/>
      </c>
      <c r="W2038" s="33">
        <f>IF($A2038="","",DATE(YEAR($A2038),MONTH($A2038),1))</f>
        <v/>
      </c>
      <c r="X2038" s="34">
        <f>IF(OR($A2038="",$H2038&lt;&gt;"Ausgabe",J2038=""),0,IF(J2038="x",-$E2038/(COUNTIF($J2038:$Q2038,"x")+1),-$E2038*N(J2038)))</f>
        <v/>
      </c>
      <c r="Y2038" s="34">
        <f>IF(OR($A2038="",$H2038&lt;&gt;"Ausgabe",K2038=""),0,IF(K2038="x",-$E2038/(COUNTIF($J2038:$Q2038,"x")+1),-$E2038*N(K2038)))</f>
        <v/>
      </c>
      <c r="Z2038" s="34">
        <f>IF(OR($A2038="",$H2038&lt;&gt;"Ausgabe",L2038=""),0,IF(L2038="x",-$E2038/(COUNTIF($J2038:$Q2038,"x")+1),-$E2038*N(L2038)))</f>
        <v/>
      </c>
      <c r="AA2038" s="34">
        <f>IF(OR($A2038="",$H2038&lt;&gt;"Ausgabe",M2038=""),0,IF(M2038="x",-$E2038/(COUNTIF($J2038:$Q2038,"x")+1),-$E2038*N(M2038)))</f>
        <v/>
      </c>
      <c r="AB2038" s="34">
        <f>IF(OR($A2038="",$H2038&lt;&gt;"Ausgabe",N2038=""),0,IF(N2038="x",-$E2038/(COUNTIF($J2038:$Q2038,"x")+1),-$E2038*N(N2038)))</f>
        <v/>
      </c>
      <c r="AC2038" s="34">
        <f>IF(OR($A2038="",$H2038&lt;&gt;"Ausgabe",O2038=""),0,IF(O2038="x",-$E2038/(COUNTIF($J2038:$Q2038,"x")+1),-$E2038*N(O2038)))</f>
        <v/>
      </c>
      <c r="AD2038" s="34">
        <f>IF(OR($A2038="",$H2038&lt;&gt;"Ausgabe",P2038=""),0,IF(P2038="x",-$E2038/(COUNTIF($J2038:$Q2038,"x")+1),-$E2038*N(P2038)))</f>
        <v/>
      </c>
      <c r="AE2038" s="34">
        <f>IF(OR($A2038="",$H2038&lt;&gt;"Ausgabe",Q2038=""),0,IF(Q2038="x",-$E2038/(COUNTIF($J2038:$Q2038,"x")+1),-$E2038*N(Q2038)))</f>
        <v/>
      </c>
    </row>
    <row r="2039">
      <c r="A2039" s="30" t="n"/>
      <c r="E2039" s="31" t="n"/>
      <c r="J2039" s="32" t="n"/>
      <c r="K2039" s="32" t="n"/>
      <c r="L2039" s="32" t="n"/>
      <c r="M2039" s="32" t="n"/>
      <c r="N2039" s="32" t="n"/>
      <c r="O2039" s="32" t="n"/>
      <c r="P2039" s="32" t="n"/>
      <c r="Q2039" s="32" t="n"/>
      <c r="U2039" s="31">
        <f>IF($A2039="","",SUM(X2039:AE2039))</f>
        <v/>
      </c>
      <c r="V2039" s="31">
        <f>IF($A2039="","",IF($H2039&lt;&gt;"Ausgabe",0,-$E2039-$U2039))</f>
        <v/>
      </c>
      <c r="W2039" s="33">
        <f>IF($A2039="","",DATE(YEAR($A2039),MONTH($A2039),1))</f>
        <v/>
      </c>
      <c r="X2039" s="34">
        <f>IF(OR($A2039="",$H2039&lt;&gt;"Ausgabe",J2039=""),0,IF(J2039="x",-$E2039/(COUNTIF($J2039:$Q2039,"x")+1),-$E2039*N(J2039)))</f>
        <v/>
      </c>
      <c r="Y2039" s="34">
        <f>IF(OR($A2039="",$H2039&lt;&gt;"Ausgabe",K2039=""),0,IF(K2039="x",-$E2039/(COUNTIF($J2039:$Q2039,"x")+1),-$E2039*N(K2039)))</f>
        <v/>
      </c>
      <c r="Z2039" s="34">
        <f>IF(OR($A2039="",$H2039&lt;&gt;"Ausgabe",L2039=""),0,IF(L2039="x",-$E2039/(COUNTIF($J2039:$Q2039,"x")+1),-$E2039*N(L2039)))</f>
        <v/>
      </c>
      <c r="AA2039" s="34">
        <f>IF(OR($A2039="",$H2039&lt;&gt;"Ausgabe",M2039=""),0,IF(M2039="x",-$E2039/(COUNTIF($J2039:$Q2039,"x")+1),-$E2039*N(M2039)))</f>
        <v/>
      </c>
      <c r="AB2039" s="34">
        <f>IF(OR($A2039="",$H2039&lt;&gt;"Ausgabe",N2039=""),0,IF(N2039="x",-$E2039/(COUNTIF($J2039:$Q2039,"x")+1),-$E2039*N(N2039)))</f>
        <v/>
      </c>
      <c r="AC2039" s="34">
        <f>IF(OR($A2039="",$H2039&lt;&gt;"Ausgabe",O2039=""),0,IF(O2039="x",-$E2039/(COUNTIF($J2039:$Q2039,"x")+1),-$E2039*N(O2039)))</f>
        <v/>
      </c>
      <c r="AD2039" s="34">
        <f>IF(OR($A2039="",$H2039&lt;&gt;"Ausgabe",P2039=""),0,IF(P2039="x",-$E2039/(COUNTIF($J2039:$Q2039,"x")+1),-$E2039*N(P2039)))</f>
        <v/>
      </c>
      <c r="AE2039" s="34">
        <f>IF(OR($A2039="",$H2039&lt;&gt;"Ausgabe",Q2039=""),0,IF(Q2039="x",-$E2039/(COUNTIF($J2039:$Q2039,"x")+1),-$E2039*N(Q2039)))</f>
        <v/>
      </c>
    </row>
    <row r="2040">
      <c r="A2040" s="30" t="n"/>
      <c r="E2040" s="31" t="n"/>
      <c r="J2040" s="32" t="n"/>
      <c r="K2040" s="32" t="n"/>
      <c r="L2040" s="32" t="n"/>
      <c r="M2040" s="32" t="n"/>
      <c r="N2040" s="32" t="n"/>
      <c r="O2040" s="32" t="n"/>
      <c r="P2040" s="32" t="n"/>
      <c r="Q2040" s="32" t="n"/>
      <c r="U2040" s="31">
        <f>IF($A2040="","",SUM(X2040:AE2040))</f>
        <v/>
      </c>
      <c r="V2040" s="31">
        <f>IF($A2040="","",IF($H2040&lt;&gt;"Ausgabe",0,-$E2040-$U2040))</f>
        <v/>
      </c>
      <c r="W2040" s="33">
        <f>IF($A2040="","",DATE(YEAR($A2040),MONTH($A2040),1))</f>
        <v/>
      </c>
      <c r="X2040" s="34">
        <f>IF(OR($A2040="",$H2040&lt;&gt;"Ausgabe",J2040=""),0,IF(J2040="x",-$E2040/(COUNTIF($J2040:$Q2040,"x")+1),-$E2040*N(J2040)))</f>
        <v/>
      </c>
      <c r="Y2040" s="34">
        <f>IF(OR($A2040="",$H2040&lt;&gt;"Ausgabe",K2040=""),0,IF(K2040="x",-$E2040/(COUNTIF($J2040:$Q2040,"x")+1),-$E2040*N(K2040)))</f>
        <v/>
      </c>
      <c r="Z2040" s="34">
        <f>IF(OR($A2040="",$H2040&lt;&gt;"Ausgabe",L2040=""),0,IF(L2040="x",-$E2040/(COUNTIF($J2040:$Q2040,"x")+1),-$E2040*N(L2040)))</f>
        <v/>
      </c>
      <c r="AA2040" s="34">
        <f>IF(OR($A2040="",$H2040&lt;&gt;"Ausgabe",M2040=""),0,IF(M2040="x",-$E2040/(COUNTIF($J2040:$Q2040,"x")+1),-$E2040*N(M2040)))</f>
        <v/>
      </c>
      <c r="AB2040" s="34">
        <f>IF(OR($A2040="",$H2040&lt;&gt;"Ausgabe",N2040=""),0,IF(N2040="x",-$E2040/(COUNTIF($J2040:$Q2040,"x")+1),-$E2040*N(N2040)))</f>
        <v/>
      </c>
      <c r="AC2040" s="34">
        <f>IF(OR($A2040="",$H2040&lt;&gt;"Ausgabe",O2040=""),0,IF(O2040="x",-$E2040/(COUNTIF($J2040:$Q2040,"x")+1),-$E2040*N(O2040)))</f>
        <v/>
      </c>
      <c r="AD2040" s="34">
        <f>IF(OR($A2040="",$H2040&lt;&gt;"Ausgabe",P2040=""),0,IF(P2040="x",-$E2040/(COUNTIF($J2040:$Q2040,"x")+1),-$E2040*N(P2040)))</f>
        <v/>
      </c>
      <c r="AE2040" s="34">
        <f>IF(OR($A2040="",$H2040&lt;&gt;"Ausgabe",Q2040=""),0,IF(Q2040="x",-$E2040/(COUNTIF($J2040:$Q2040,"x")+1),-$E2040*N(Q2040)))</f>
        <v/>
      </c>
    </row>
    <row r="2041">
      <c r="A2041" s="30" t="n"/>
      <c r="E2041" s="31" t="n"/>
      <c r="J2041" s="32" t="n"/>
      <c r="K2041" s="32" t="n"/>
      <c r="L2041" s="32" t="n"/>
      <c r="M2041" s="32" t="n"/>
      <c r="N2041" s="32" t="n"/>
      <c r="O2041" s="32" t="n"/>
      <c r="P2041" s="32" t="n"/>
      <c r="Q2041" s="32" t="n"/>
      <c r="U2041" s="31">
        <f>IF($A2041="","",SUM(X2041:AE2041))</f>
        <v/>
      </c>
      <c r="V2041" s="31">
        <f>IF($A2041="","",IF($H2041&lt;&gt;"Ausgabe",0,-$E2041-$U2041))</f>
        <v/>
      </c>
      <c r="W2041" s="33">
        <f>IF($A2041="","",DATE(YEAR($A2041),MONTH($A2041),1))</f>
        <v/>
      </c>
      <c r="X2041" s="34">
        <f>IF(OR($A2041="",$H2041&lt;&gt;"Ausgabe",J2041=""),0,IF(J2041="x",-$E2041/(COUNTIF($J2041:$Q2041,"x")+1),-$E2041*N(J2041)))</f>
        <v/>
      </c>
      <c r="Y2041" s="34">
        <f>IF(OR($A2041="",$H2041&lt;&gt;"Ausgabe",K2041=""),0,IF(K2041="x",-$E2041/(COUNTIF($J2041:$Q2041,"x")+1),-$E2041*N(K2041)))</f>
        <v/>
      </c>
      <c r="Z2041" s="34">
        <f>IF(OR($A2041="",$H2041&lt;&gt;"Ausgabe",L2041=""),0,IF(L2041="x",-$E2041/(COUNTIF($J2041:$Q2041,"x")+1),-$E2041*N(L2041)))</f>
        <v/>
      </c>
      <c r="AA2041" s="34">
        <f>IF(OR($A2041="",$H2041&lt;&gt;"Ausgabe",M2041=""),0,IF(M2041="x",-$E2041/(COUNTIF($J2041:$Q2041,"x")+1),-$E2041*N(M2041)))</f>
        <v/>
      </c>
      <c r="AB2041" s="34">
        <f>IF(OR($A2041="",$H2041&lt;&gt;"Ausgabe",N2041=""),0,IF(N2041="x",-$E2041/(COUNTIF($J2041:$Q2041,"x")+1),-$E2041*N(N2041)))</f>
        <v/>
      </c>
      <c r="AC2041" s="34">
        <f>IF(OR($A2041="",$H2041&lt;&gt;"Ausgabe",O2041=""),0,IF(O2041="x",-$E2041/(COUNTIF($J2041:$Q2041,"x")+1),-$E2041*N(O2041)))</f>
        <v/>
      </c>
      <c r="AD2041" s="34">
        <f>IF(OR($A2041="",$H2041&lt;&gt;"Ausgabe",P2041=""),0,IF(P2041="x",-$E2041/(COUNTIF($J2041:$Q2041,"x")+1),-$E2041*N(P2041)))</f>
        <v/>
      </c>
      <c r="AE2041" s="34">
        <f>IF(OR($A2041="",$H2041&lt;&gt;"Ausgabe",Q2041=""),0,IF(Q2041="x",-$E2041/(COUNTIF($J2041:$Q2041,"x")+1),-$E2041*N(Q2041)))</f>
        <v/>
      </c>
    </row>
    <row r="2042">
      <c r="A2042" s="30" t="n"/>
      <c r="E2042" s="31" t="n"/>
      <c r="J2042" s="32" t="n"/>
      <c r="K2042" s="32" t="n"/>
      <c r="L2042" s="32" t="n"/>
      <c r="M2042" s="32" t="n"/>
      <c r="N2042" s="32" t="n"/>
      <c r="O2042" s="32" t="n"/>
      <c r="P2042" s="32" t="n"/>
      <c r="Q2042" s="32" t="n"/>
      <c r="U2042" s="31">
        <f>IF($A2042="","",SUM(X2042:AE2042))</f>
        <v/>
      </c>
      <c r="V2042" s="31">
        <f>IF($A2042="","",IF($H2042&lt;&gt;"Ausgabe",0,-$E2042-$U2042))</f>
        <v/>
      </c>
      <c r="W2042" s="33">
        <f>IF($A2042="","",DATE(YEAR($A2042),MONTH($A2042),1))</f>
        <v/>
      </c>
      <c r="X2042" s="34">
        <f>IF(OR($A2042="",$H2042&lt;&gt;"Ausgabe",J2042=""),0,IF(J2042="x",-$E2042/(COUNTIF($J2042:$Q2042,"x")+1),-$E2042*N(J2042)))</f>
        <v/>
      </c>
      <c r="Y2042" s="34">
        <f>IF(OR($A2042="",$H2042&lt;&gt;"Ausgabe",K2042=""),0,IF(K2042="x",-$E2042/(COUNTIF($J2042:$Q2042,"x")+1),-$E2042*N(K2042)))</f>
        <v/>
      </c>
      <c r="Z2042" s="34">
        <f>IF(OR($A2042="",$H2042&lt;&gt;"Ausgabe",L2042=""),0,IF(L2042="x",-$E2042/(COUNTIF($J2042:$Q2042,"x")+1),-$E2042*N(L2042)))</f>
        <v/>
      </c>
      <c r="AA2042" s="34">
        <f>IF(OR($A2042="",$H2042&lt;&gt;"Ausgabe",M2042=""),0,IF(M2042="x",-$E2042/(COUNTIF($J2042:$Q2042,"x")+1),-$E2042*N(M2042)))</f>
        <v/>
      </c>
      <c r="AB2042" s="34">
        <f>IF(OR($A2042="",$H2042&lt;&gt;"Ausgabe",N2042=""),0,IF(N2042="x",-$E2042/(COUNTIF($J2042:$Q2042,"x")+1),-$E2042*N(N2042)))</f>
        <v/>
      </c>
      <c r="AC2042" s="34">
        <f>IF(OR($A2042="",$H2042&lt;&gt;"Ausgabe",O2042=""),0,IF(O2042="x",-$E2042/(COUNTIF($J2042:$Q2042,"x")+1),-$E2042*N(O2042)))</f>
        <v/>
      </c>
      <c r="AD2042" s="34">
        <f>IF(OR($A2042="",$H2042&lt;&gt;"Ausgabe",P2042=""),0,IF(P2042="x",-$E2042/(COUNTIF($J2042:$Q2042,"x")+1),-$E2042*N(P2042)))</f>
        <v/>
      </c>
      <c r="AE2042" s="34">
        <f>IF(OR($A2042="",$H2042&lt;&gt;"Ausgabe",Q2042=""),0,IF(Q2042="x",-$E2042/(COUNTIF($J2042:$Q2042,"x")+1),-$E2042*N(Q2042)))</f>
        <v/>
      </c>
    </row>
    <row r="2043">
      <c r="A2043" s="30" t="n"/>
      <c r="E2043" s="31" t="n"/>
      <c r="J2043" s="32" t="n"/>
      <c r="K2043" s="32" t="n"/>
      <c r="L2043" s="32" t="n"/>
      <c r="M2043" s="32" t="n"/>
      <c r="N2043" s="32" t="n"/>
      <c r="O2043" s="32" t="n"/>
      <c r="P2043" s="32" t="n"/>
      <c r="Q2043" s="32" t="n"/>
      <c r="U2043" s="31">
        <f>IF($A2043="","",SUM(X2043:AE2043))</f>
        <v/>
      </c>
      <c r="V2043" s="31">
        <f>IF($A2043="","",IF($H2043&lt;&gt;"Ausgabe",0,-$E2043-$U2043))</f>
        <v/>
      </c>
      <c r="W2043" s="33">
        <f>IF($A2043="","",DATE(YEAR($A2043),MONTH($A2043),1))</f>
        <v/>
      </c>
      <c r="X2043" s="34">
        <f>IF(OR($A2043="",$H2043&lt;&gt;"Ausgabe",J2043=""),0,IF(J2043="x",-$E2043/(COUNTIF($J2043:$Q2043,"x")+1),-$E2043*N(J2043)))</f>
        <v/>
      </c>
      <c r="Y2043" s="34">
        <f>IF(OR($A2043="",$H2043&lt;&gt;"Ausgabe",K2043=""),0,IF(K2043="x",-$E2043/(COUNTIF($J2043:$Q2043,"x")+1),-$E2043*N(K2043)))</f>
        <v/>
      </c>
      <c r="Z2043" s="34">
        <f>IF(OR($A2043="",$H2043&lt;&gt;"Ausgabe",L2043=""),0,IF(L2043="x",-$E2043/(COUNTIF($J2043:$Q2043,"x")+1),-$E2043*N(L2043)))</f>
        <v/>
      </c>
      <c r="AA2043" s="34">
        <f>IF(OR($A2043="",$H2043&lt;&gt;"Ausgabe",M2043=""),0,IF(M2043="x",-$E2043/(COUNTIF($J2043:$Q2043,"x")+1),-$E2043*N(M2043)))</f>
        <v/>
      </c>
      <c r="AB2043" s="34">
        <f>IF(OR($A2043="",$H2043&lt;&gt;"Ausgabe",N2043=""),0,IF(N2043="x",-$E2043/(COUNTIF($J2043:$Q2043,"x")+1),-$E2043*N(N2043)))</f>
        <v/>
      </c>
      <c r="AC2043" s="34">
        <f>IF(OR($A2043="",$H2043&lt;&gt;"Ausgabe",O2043=""),0,IF(O2043="x",-$E2043/(COUNTIF($J2043:$Q2043,"x")+1),-$E2043*N(O2043)))</f>
        <v/>
      </c>
      <c r="AD2043" s="34">
        <f>IF(OR($A2043="",$H2043&lt;&gt;"Ausgabe",P2043=""),0,IF(P2043="x",-$E2043/(COUNTIF($J2043:$Q2043,"x")+1),-$E2043*N(P2043)))</f>
        <v/>
      </c>
      <c r="AE2043" s="34">
        <f>IF(OR($A2043="",$H2043&lt;&gt;"Ausgabe",Q2043=""),0,IF(Q2043="x",-$E2043/(COUNTIF($J2043:$Q2043,"x")+1),-$E2043*N(Q2043)))</f>
        <v/>
      </c>
    </row>
    <row r="2044">
      <c r="A2044" s="30" t="n"/>
      <c r="E2044" s="31" t="n"/>
      <c r="J2044" s="32" t="n"/>
      <c r="K2044" s="32" t="n"/>
      <c r="L2044" s="32" t="n"/>
      <c r="M2044" s="32" t="n"/>
      <c r="N2044" s="32" t="n"/>
      <c r="O2044" s="32" t="n"/>
      <c r="P2044" s="32" t="n"/>
      <c r="Q2044" s="32" t="n"/>
      <c r="U2044" s="31">
        <f>IF($A2044="","",SUM(X2044:AE2044))</f>
        <v/>
      </c>
      <c r="V2044" s="31">
        <f>IF($A2044="","",IF($H2044&lt;&gt;"Ausgabe",0,-$E2044-$U2044))</f>
        <v/>
      </c>
      <c r="W2044" s="33">
        <f>IF($A2044="","",DATE(YEAR($A2044),MONTH($A2044),1))</f>
        <v/>
      </c>
      <c r="X2044" s="34">
        <f>IF(OR($A2044="",$H2044&lt;&gt;"Ausgabe",J2044=""),0,IF(J2044="x",-$E2044/(COUNTIF($J2044:$Q2044,"x")+1),-$E2044*N(J2044)))</f>
        <v/>
      </c>
      <c r="Y2044" s="34">
        <f>IF(OR($A2044="",$H2044&lt;&gt;"Ausgabe",K2044=""),0,IF(K2044="x",-$E2044/(COUNTIF($J2044:$Q2044,"x")+1),-$E2044*N(K2044)))</f>
        <v/>
      </c>
      <c r="Z2044" s="34">
        <f>IF(OR($A2044="",$H2044&lt;&gt;"Ausgabe",L2044=""),0,IF(L2044="x",-$E2044/(COUNTIF($J2044:$Q2044,"x")+1),-$E2044*N(L2044)))</f>
        <v/>
      </c>
      <c r="AA2044" s="34">
        <f>IF(OR($A2044="",$H2044&lt;&gt;"Ausgabe",M2044=""),0,IF(M2044="x",-$E2044/(COUNTIF($J2044:$Q2044,"x")+1),-$E2044*N(M2044)))</f>
        <v/>
      </c>
      <c r="AB2044" s="34">
        <f>IF(OR($A2044="",$H2044&lt;&gt;"Ausgabe",N2044=""),0,IF(N2044="x",-$E2044/(COUNTIF($J2044:$Q2044,"x")+1),-$E2044*N(N2044)))</f>
        <v/>
      </c>
      <c r="AC2044" s="34">
        <f>IF(OR($A2044="",$H2044&lt;&gt;"Ausgabe",O2044=""),0,IF(O2044="x",-$E2044/(COUNTIF($J2044:$Q2044,"x")+1),-$E2044*N(O2044)))</f>
        <v/>
      </c>
      <c r="AD2044" s="34">
        <f>IF(OR($A2044="",$H2044&lt;&gt;"Ausgabe",P2044=""),0,IF(P2044="x",-$E2044/(COUNTIF($J2044:$Q2044,"x")+1),-$E2044*N(P2044)))</f>
        <v/>
      </c>
      <c r="AE2044" s="34">
        <f>IF(OR($A2044="",$H2044&lt;&gt;"Ausgabe",Q2044=""),0,IF(Q2044="x",-$E2044/(COUNTIF($J2044:$Q2044,"x")+1),-$E2044*N(Q2044)))</f>
        <v/>
      </c>
    </row>
    <row r="2045">
      <c r="A2045" s="30" t="n"/>
      <c r="E2045" s="31" t="n"/>
      <c r="J2045" s="32" t="n"/>
      <c r="K2045" s="32" t="n"/>
      <c r="L2045" s="32" t="n"/>
      <c r="M2045" s="32" t="n"/>
      <c r="N2045" s="32" t="n"/>
      <c r="O2045" s="32" t="n"/>
      <c r="P2045" s="32" t="n"/>
      <c r="Q2045" s="32" t="n"/>
      <c r="U2045" s="31">
        <f>IF($A2045="","",SUM(X2045:AE2045))</f>
        <v/>
      </c>
      <c r="V2045" s="31">
        <f>IF($A2045="","",IF($H2045&lt;&gt;"Ausgabe",0,-$E2045-$U2045))</f>
        <v/>
      </c>
      <c r="W2045" s="33">
        <f>IF($A2045="","",DATE(YEAR($A2045),MONTH($A2045),1))</f>
        <v/>
      </c>
      <c r="X2045" s="34">
        <f>IF(OR($A2045="",$H2045&lt;&gt;"Ausgabe",J2045=""),0,IF(J2045="x",-$E2045/(COUNTIF($J2045:$Q2045,"x")+1),-$E2045*N(J2045)))</f>
        <v/>
      </c>
      <c r="Y2045" s="34">
        <f>IF(OR($A2045="",$H2045&lt;&gt;"Ausgabe",K2045=""),0,IF(K2045="x",-$E2045/(COUNTIF($J2045:$Q2045,"x")+1),-$E2045*N(K2045)))</f>
        <v/>
      </c>
      <c r="Z2045" s="34">
        <f>IF(OR($A2045="",$H2045&lt;&gt;"Ausgabe",L2045=""),0,IF(L2045="x",-$E2045/(COUNTIF($J2045:$Q2045,"x")+1),-$E2045*N(L2045)))</f>
        <v/>
      </c>
      <c r="AA2045" s="34">
        <f>IF(OR($A2045="",$H2045&lt;&gt;"Ausgabe",M2045=""),0,IF(M2045="x",-$E2045/(COUNTIF($J2045:$Q2045,"x")+1),-$E2045*N(M2045)))</f>
        <v/>
      </c>
      <c r="AB2045" s="34">
        <f>IF(OR($A2045="",$H2045&lt;&gt;"Ausgabe",N2045=""),0,IF(N2045="x",-$E2045/(COUNTIF($J2045:$Q2045,"x")+1),-$E2045*N(N2045)))</f>
        <v/>
      </c>
      <c r="AC2045" s="34">
        <f>IF(OR($A2045="",$H2045&lt;&gt;"Ausgabe",O2045=""),0,IF(O2045="x",-$E2045/(COUNTIF($J2045:$Q2045,"x")+1),-$E2045*N(O2045)))</f>
        <v/>
      </c>
      <c r="AD2045" s="34">
        <f>IF(OR($A2045="",$H2045&lt;&gt;"Ausgabe",P2045=""),0,IF(P2045="x",-$E2045/(COUNTIF($J2045:$Q2045,"x")+1),-$E2045*N(P2045)))</f>
        <v/>
      </c>
      <c r="AE2045" s="34">
        <f>IF(OR($A2045="",$H2045&lt;&gt;"Ausgabe",Q2045=""),0,IF(Q2045="x",-$E2045/(COUNTIF($J2045:$Q2045,"x")+1),-$E2045*N(Q2045)))</f>
        <v/>
      </c>
    </row>
    <row r="2046">
      <c r="A2046" s="30" t="n"/>
      <c r="E2046" s="31" t="n"/>
      <c r="J2046" s="32" t="n"/>
      <c r="K2046" s="32" t="n"/>
      <c r="L2046" s="32" t="n"/>
      <c r="M2046" s="32" t="n"/>
      <c r="N2046" s="32" t="n"/>
      <c r="O2046" s="32" t="n"/>
      <c r="P2046" s="32" t="n"/>
      <c r="Q2046" s="32" t="n"/>
      <c r="U2046" s="31">
        <f>IF($A2046="","",SUM(X2046:AE2046))</f>
        <v/>
      </c>
      <c r="V2046" s="31">
        <f>IF($A2046="","",IF($H2046&lt;&gt;"Ausgabe",0,-$E2046-$U2046))</f>
        <v/>
      </c>
      <c r="W2046" s="33">
        <f>IF($A2046="","",DATE(YEAR($A2046),MONTH($A2046),1))</f>
        <v/>
      </c>
      <c r="X2046" s="34">
        <f>IF(OR($A2046="",$H2046&lt;&gt;"Ausgabe",J2046=""),0,IF(J2046="x",-$E2046/(COUNTIF($J2046:$Q2046,"x")+1),-$E2046*N(J2046)))</f>
        <v/>
      </c>
      <c r="Y2046" s="34">
        <f>IF(OR($A2046="",$H2046&lt;&gt;"Ausgabe",K2046=""),0,IF(K2046="x",-$E2046/(COUNTIF($J2046:$Q2046,"x")+1),-$E2046*N(K2046)))</f>
        <v/>
      </c>
      <c r="Z2046" s="34">
        <f>IF(OR($A2046="",$H2046&lt;&gt;"Ausgabe",L2046=""),0,IF(L2046="x",-$E2046/(COUNTIF($J2046:$Q2046,"x")+1),-$E2046*N(L2046)))</f>
        <v/>
      </c>
      <c r="AA2046" s="34">
        <f>IF(OR($A2046="",$H2046&lt;&gt;"Ausgabe",M2046=""),0,IF(M2046="x",-$E2046/(COUNTIF($J2046:$Q2046,"x")+1),-$E2046*N(M2046)))</f>
        <v/>
      </c>
      <c r="AB2046" s="34">
        <f>IF(OR($A2046="",$H2046&lt;&gt;"Ausgabe",N2046=""),0,IF(N2046="x",-$E2046/(COUNTIF($J2046:$Q2046,"x")+1),-$E2046*N(N2046)))</f>
        <v/>
      </c>
      <c r="AC2046" s="34">
        <f>IF(OR($A2046="",$H2046&lt;&gt;"Ausgabe",O2046=""),0,IF(O2046="x",-$E2046/(COUNTIF($J2046:$Q2046,"x")+1),-$E2046*N(O2046)))</f>
        <v/>
      </c>
      <c r="AD2046" s="34">
        <f>IF(OR($A2046="",$H2046&lt;&gt;"Ausgabe",P2046=""),0,IF(P2046="x",-$E2046/(COUNTIF($J2046:$Q2046,"x")+1),-$E2046*N(P2046)))</f>
        <v/>
      </c>
      <c r="AE2046" s="34">
        <f>IF(OR($A2046="",$H2046&lt;&gt;"Ausgabe",Q2046=""),0,IF(Q2046="x",-$E2046/(COUNTIF($J2046:$Q2046,"x")+1),-$E2046*N(Q2046)))</f>
        <v/>
      </c>
    </row>
    <row r="2047">
      <c r="A2047" s="30" t="n"/>
      <c r="E2047" s="31" t="n"/>
      <c r="J2047" s="32" t="n"/>
      <c r="K2047" s="32" t="n"/>
      <c r="L2047" s="32" t="n"/>
      <c r="M2047" s="32" t="n"/>
      <c r="N2047" s="32" t="n"/>
      <c r="O2047" s="32" t="n"/>
      <c r="P2047" s="32" t="n"/>
      <c r="Q2047" s="32" t="n"/>
      <c r="U2047" s="31">
        <f>IF($A2047="","",SUM(X2047:AE2047))</f>
        <v/>
      </c>
      <c r="V2047" s="31">
        <f>IF($A2047="","",IF($H2047&lt;&gt;"Ausgabe",0,-$E2047-$U2047))</f>
        <v/>
      </c>
      <c r="W2047" s="33">
        <f>IF($A2047="","",DATE(YEAR($A2047),MONTH($A2047),1))</f>
        <v/>
      </c>
      <c r="X2047" s="34">
        <f>IF(OR($A2047="",$H2047&lt;&gt;"Ausgabe",J2047=""),0,IF(J2047="x",-$E2047/(COUNTIF($J2047:$Q2047,"x")+1),-$E2047*N(J2047)))</f>
        <v/>
      </c>
      <c r="Y2047" s="34">
        <f>IF(OR($A2047="",$H2047&lt;&gt;"Ausgabe",K2047=""),0,IF(K2047="x",-$E2047/(COUNTIF($J2047:$Q2047,"x")+1),-$E2047*N(K2047)))</f>
        <v/>
      </c>
      <c r="Z2047" s="34">
        <f>IF(OR($A2047="",$H2047&lt;&gt;"Ausgabe",L2047=""),0,IF(L2047="x",-$E2047/(COUNTIF($J2047:$Q2047,"x")+1),-$E2047*N(L2047)))</f>
        <v/>
      </c>
      <c r="AA2047" s="34">
        <f>IF(OR($A2047="",$H2047&lt;&gt;"Ausgabe",M2047=""),0,IF(M2047="x",-$E2047/(COUNTIF($J2047:$Q2047,"x")+1),-$E2047*N(M2047)))</f>
        <v/>
      </c>
      <c r="AB2047" s="34">
        <f>IF(OR($A2047="",$H2047&lt;&gt;"Ausgabe",N2047=""),0,IF(N2047="x",-$E2047/(COUNTIF($J2047:$Q2047,"x")+1),-$E2047*N(N2047)))</f>
        <v/>
      </c>
      <c r="AC2047" s="34">
        <f>IF(OR($A2047="",$H2047&lt;&gt;"Ausgabe",O2047=""),0,IF(O2047="x",-$E2047/(COUNTIF($J2047:$Q2047,"x")+1),-$E2047*N(O2047)))</f>
        <v/>
      </c>
      <c r="AD2047" s="34">
        <f>IF(OR($A2047="",$H2047&lt;&gt;"Ausgabe",P2047=""),0,IF(P2047="x",-$E2047/(COUNTIF($J2047:$Q2047,"x")+1),-$E2047*N(P2047)))</f>
        <v/>
      </c>
      <c r="AE2047" s="34">
        <f>IF(OR($A2047="",$H2047&lt;&gt;"Ausgabe",Q2047=""),0,IF(Q2047="x",-$E2047/(COUNTIF($J2047:$Q2047,"x")+1),-$E2047*N(Q2047)))</f>
        <v/>
      </c>
    </row>
    <row r="2048">
      <c r="A2048" s="30" t="n"/>
      <c r="E2048" s="31" t="n"/>
      <c r="J2048" s="32" t="n"/>
      <c r="K2048" s="32" t="n"/>
      <c r="L2048" s="32" t="n"/>
      <c r="M2048" s="32" t="n"/>
      <c r="N2048" s="32" t="n"/>
      <c r="O2048" s="32" t="n"/>
      <c r="P2048" s="32" t="n"/>
      <c r="Q2048" s="32" t="n"/>
      <c r="U2048" s="31">
        <f>IF($A2048="","",SUM(X2048:AE2048))</f>
        <v/>
      </c>
      <c r="V2048" s="31">
        <f>IF($A2048="","",IF($H2048&lt;&gt;"Ausgabe",0,-$E2048-$U2048))</f>
        <v/>
      </c>
      <c r="W2048" s="33">
        <f>IF($A2048="","",DATE(YEAR($A2048),MONTH($A2048),1))</f>
        <v/>
      </c>
      <c r="X2048" s="34">
        <f>IF(OR($A2048="",$H2048&lt;&gt;"Ausgabe",J2048=""),0,IF(J2048="x",-$E2048/(COUNTIF($J2048:$Q2048,"x")+1),-$E2048*N(J2048)))</f>
        <v/>
      </c>
      <c r="Y2048" s="34">
        <f>IF(OR($A2048="",$H2048&lt;&gt;"Ausgabe",K2048=""),0,IF(K2048="x",-$E2048/(COUNTIF($J2048:$Q2048,"x")+1),-$E2048*N(K2048)))</f>
        <v/>
      </c>
      <c r="Z2048" s="34">
        <f>IF(OR($A2048="",$H2048&lt;&gt;"Ausgabe",L2048=""),0,IF(L2048="x",-$E2048/(COUNTIF($J2048:$Q2048,"x")+1),-$E2048*N(L2048)))</f>
        <v/>
      </c>
      <c r="AA2048" s="34">
        <f>IF(OR($A2048="",$H2048&lt;&gt;"Ausgabe",M2048=""),0,IF(M2048="x",-$E2048/(COUNTIF($J2048:$Q2048,"x")+1),-$E2048*N(M2048)))</f>
        <v/>
      </c>
      <c r="AB2048" s="34">
        <f>IF(OR($A2048="",$H2048&lt;&gt;"Ausgabe",N2048=""),0,IF(N2048="x",-$E2048/(COUNTIF($J2048:$Q2048,"x")+1),-$E2048*N(N2048)))</f>
        <v/>
      </c>
      <c r="AC2048" s="34">
        <f>IF(OR($A2048="",$H2048&lt;&gt;"Ausgabe",O2048=""),0,IF(O2048="x",-$E2048/(COUNTIF($J2048:$Q2048,"x")+1),-$E2048*N(O2048)))</f>
        <v/>
      </c>
      <c r="AD2048" s="34">
        <f>IF(OR($A2048="",$H2048&lt;&gt;"Ausgabe",P2048=""),0,IF(P2048="x",-$E2048/(COUNTIF($J2048:$Q2048,"x")+1),-$E2048*N(P2048)))</f>
        <v/>
      </c>
      <c r="AE2048" s="34">
        <f>IF(OR($A2048="",$H2048&lt;&gt;"Ausgabe",Q2048=""),0,IF(Q2048="x",-$E2048/(COUNTIF($J2048:$Q2048,"x")+1),-$E2048*N(Q2048)))</f>
        <v/>
      </c>
    </row>
    <row r="2049">
      <c r="A2049" s="30" t="n"/>
      <c r="E2049" s="31" t="n"/>
      <c r="J2049" s="32" t="n"/>
      <c r="K2049" s="32" t="n"/>
      <c r="L2049" s="32" t="n"/>
      <c r="M2049" s="32" t="n"/>
      <c r="N2049" s="32" t="n"/>
      <c r="O2049" s="32" t="n"/>
      <c r="P2049" s="32" t="n"/>
      <c r="Q2049" s="32" t="n"/>
      <c r="U2049" s="31">
        <f>IF($A2049="","",SUM(X2049:AE2049))</f>
        <v/>
      </c>
      <c r="V2049" s="31">
        <f>IF($A2049="","",IF($H2049&lt;&gt;"Ausgabe",0,-$E2049-$U2049))</f>
        <v/>
      </c>
      <c r="W2049" s="33">
        <f>IF($A2049="","",DATE(YEAR($A2049),MONTH($A2049),1))</f>
        <v/>
      </c>
      <c r="X2049" s="34">
        <f>IF(OR($A2049="",$H2049&lt;&gt;"Ausgabe",J2049=""),0,IF(J2049="x",-$E2049/(COUNTIF($J2049:$Q2049,"x")+1),-$E2049*N(J2049)))</f>
        <v/>
      </c>
      <c r="Y2049" s="34">
        <f>IF(OR($A2049="",$H2049&lt;&gt;"Ausgabe",K2049=""),0,IF(K2049="x",-$E2049/(COUNTIF($J2049:$Q2049,"x")+1),-$E2049*N(K2049)))</f>
        <v/>
      </c>
      <c r="Z2049" s="34">
        <f>IF(OR($A2049="",$H2049&lt;&gt;"Ausgabe",L2049=""),0,IF(L2049="x",-$E2049/(COUNTIF($J2049:$Q2049,"x")+1),-$E2049*N(L2049)))</f>
        <v/>
      </c>
      <c r="AA2049" s="34">
        <f>IF(OR($A2049="",$H2049&lt;&gt;"Ausgabe",M2049=""),0,IF(M2049="x",-$E2049/(COUNTIF($J2049:$Q2049,"x")+1),-$E2049*N(M2049)))</f>
        <v/>
      </c>
      <c r="AB2049" s="34">
        <f>IF(OR($A2049="",$H2049&lt;&gt;"Ausgabe",N2049=""),0,IF(N2049="x",-$E2049/(COUNTIF($J2049:$Q2049,"x")+1),-$E2049*N(N2049)))</f>
        <v/>
      </c>
      <c r="AC2049" s="34">
        <f>IF(OR($A2049="",$H2049&lt;&gt;"Ausgabe",O2049=""),0,IF(O2049="x",-$E2049/(COUNTIF($J2049:$Q2049,"x")+1),-$E2049*N(O2049)))</f>
        <v/>
      </c>
      <c r="AD2049" s="34">
        <f>IF(OR($A2049="",$H2049&lt;&gt;"Ausgabe",P2049=""),0,IF(P2049="x",-$E2049/(COUNTIF($J2049:$Q2049,"x")+1),-$E2049*N(P2049)))</f>
        <v/>
      </c>
      <c r="AE2049" s="34">
        <f>IF(OR($A2049="",$H2049&lt;&gt;"Ausgabe",Q2049=""),0,IF(Q2049="x",-$E2049/(COUNTIF($J2049:$Q2049,"x")+1),-$E2049*N(Q2049)))</f>
        <v/>
      </c>
    </row>
    <row r="2050">
      <c r="A2050" s="30" t="n"/>
      <c r="E2050" s="31" t="n"/>
      <c r="J2050" s="32" t="n"/>
      <c r="K2050" s="32" t="n"/>
      <c r="L2050" s="32" t="n"/>
      <c r="M2050" s="32" t="n"/>
      <c r="N2050" s="32" t="n"/>
      <c r="O2050" s="32" t="n"/>
      <c r="P2050" s="32" t="n"/>
      <c r="Q2050" s="32" t="n"/>
      <c r="U2050" s="31">
        <f>IF($A2050="","",SUM(X2050:AE2050))</f>
        <v/>
      </c>
      <c r="V2050" s="31">
        <f>IF($A2050="","",IF($H2050&lt;&gt;"Ausgabe",0,-$E2050-$U2050))</f>
        <v/>
      </c>
      <c r="W2050" s="33">
        <f>IF($A2050="","",DATE(YEAR($A2050),MONTH($A2050),1))</f>
        <v/>
      </c>
      <c r="X2050" s="34">
        <f>IF(OR($A2050="",$H2050&lt;&gt;"Ausgabe",J2050=""),0,IF(J2050="x",-$E2050/(COUNTIF($J2050:$Q2050,"x")+1),-$E2050*N(J2050)))</f>
        <v/>
      </c>
      <c r="Y2050" s="34">
        <f>IF(OR($A2050="",$H2050&lt;&gt;"Ausgabe",K2050=""),0,IF(K2050="x",-$E2050/(COUNTIF($J2050:$Q2050,"x")+1),-$E2050*N(K2050)))</f>
        <v/>
      </c>
      <c r="Z2050" s="34">
        <f>IF(OR($A2050="",$H2050&lt;&gt;"Ausgabe",L2050=""),0,IF(L2050="x",-$E2050/(COUNTIF($J2050:$Q2050,"x")+1),-$E2050*N(L2050)))</f>
        <v/>
      </c>
      <c r="AA2050" s="34">
        <f>IF(OR($A2050="",$H2050&lt;&gt;"Ausgabe",M2050=""),0,IF(M2050="x",-$E2050/(COUNTIF($J2050:$Q2050,"x")+1),-$E2050*N(M2050)))</f>
        <v/>
      </c>
      <c r="AB2050" s="34">
        <f>IF(OR($A2050="",$H2050&lt;&gt;"Ausgabe",N2050=""),0,IF(N2050="x",-$E2050/(COUNTIF($J2050:$Q2050,"x")+1),-$E2050*N(N2050)))</f>
        <v/>
      </c>
      <c r="AC2050" s="34">
        <f>IF(OR($A2050="",$H2050&lt;&gt;"Ausgabe",O2050=""),0,IF(O2050="x",-$E2050/(COUNTIF($J2050:$Q2050,"x")+1),-$E2050*N(O2050)))</f>
        <v/>
      </c>
      <c r="AD2050" s="34">
        <f>IF(OR($A2050="",$H2050&lt;&gt;"Ausgabe",P2050=""),0,IF(P2050="x",-$E2050/(COUNTIF($J2050:$Q2050,"x")+1),-$E2050*N(P2050)))</f>
        <v/>
      </c>
      <c r="AE2050" s="34">
        <f>IF(OR($A2050="",$H2050&lt;&gt;"Ausgabe",Q2050=""),0,IF(Q2050="x",-$E2050/(COUNTIF($J2050:$Q2050,"x")+1),-$E2050*N(Q2050)))</f>
        <v/>
      </c>
    </row>
    <row r="2051">
      <c r="A2051" s="30" t="n"/>
      <c r="E2051" s="31" t="n"/>
      <c r="J2051" s="32" t="n"/>
      <c r="K2051" s="32" t="n"/>
      <c r="L2051" s="32" t="n"/>
      <c r="M2051" s="32" t="n"/>
      <c r="N2051" s="32" t="n"/>
      <c r="O2051" s="32" t="n"/>
      <c r="P2051" s="32" t="n"/>
      <c r="Q2051" s="32" t="n"/>
      <c r="U2051" s="31">
        <f>IF($A2051="","",SUM(X2051:AE2051))</f>
        <v/>
      </c>
      <c r="V2051" s="31">
        <f>IF($A2051="","",IF($H2051&lt;&gt;"Ausgabe",0,-$E2051-$U2051))</f>
        <v/>
      </c>
      <c r="W2051" s="33">
        <f>IF($A2051="","",DATE(YEAR($A2051),MONTH($A2051),1))</f>
        <v/>
      </c>
      <c r="X2051" s="34">
        <f>IF(OR($A2051="",$H2051&lt;&gt;"Ausgabe",J2051=""),0,IF(J2051="x",-$E2051/(COUNTIF($J2051:$Q2051,"x")+1),-$E2051*N(J2051)))</f>
        <v/>
      </c>
      <c r="Y2051" s="34">
        <f>IF(OR($A2051="",$H2051&lt;&gt;"Ausgabe",K2051=""),0,IF(K2051="x",-$E2051/(COUNTIF($J2051:$Q2051,"x")+1),-$E2051*N(K2051)))</f>
        <v/>
      </c>
      <c r="Z2051" s="34">
        <f>IF(OR($A2051="",$H2051&lt;&gt;"Ausgabe",L2051=""),0,IF(L2051="x",-$E2051/(COUNTIF($J2051:$Q2051,"x")+1),-$E2051*N(L2051)))</f>
        <v/>
      </c>
      <c r="AA2051" s="34">
        <f>IF(OR($A2051="",$H2051&lt;&gt;"Ausgabe",M2051=""),0,IF(M2051="x",-$E2051/(COUNTIF($J2051:$Q2051,"x")+1),-$E2051*N(M2051)))</f>
        <v/>
      </c>
      <c r="AB2051" s="34">
        <f>IF(OR($A2051="",$H2051&lt;&gt;"Ausgabe",N2051=""),0,IF(N2051="x",-$E2051/(COUNTIF($J2051:$Q2051,"x")+1),-$E2051*N(N2051)))</f>
        <v/>
      </c>
      <c r="AC2051" s="34">
        <f>IF(OR($A2051="",$H2051&lt;&gt;"Ausgabe",O2051=""),0,IF(O2051="x",-$E2051/(COUNTIF($J2051:$Q2051,"x")+1),-$E2051*N(O2051)))</f>
        <v/>
      </c>
      <c r="AD2051" s="34">
        <f>IF(OR($A2051="",$H2051&lt;&gt;"Ausgabe",P2051=""),0,IF(P2051="x",-$E2051/(COUNTIF($J2051:$Q2051,"x")+1),-$E2051*N(P2051)))</f>
        <v/>
      </c>
      <c r="AE2051" s="34">
        <f>IF(OR($A2051="",$H2051&lt;&gt;"Ausgabe",Q2051=""),0,IF(Q2051="x",-$E2051/(COUNTIF($J2051:$Q2051,"x")+1),-$E2051*N(Q2051)))</f>
        <v/>
      </c>
    </row>
    <row r="2052">
      <c r="A2052" s="30" t="n"/>
      <c r="E2052" s="31" t="n"/>
      <c r="J2052" s="32" t="n"/>
      <c r="K2052" s="32" t="n"/>
      <c r="L2052" s="32" t="n"/>
      <c r="M2052" s="32" t="n"/>
      <c r="N2052" s="32" t="n"/>
      <c r="O2052" s="32" t="n"/>
      <c r="P2052" s="32" t="n"/>
      <c r="Q2052" s="32" t="n"/>
      <c r="U2052" s="31">
        <f>IF($A2052="","",SUM(X2052:AE2052))</f>
        <v/>
      </c>
      <c r="V2052" s="31">
        <f>IF($A2052="","",IF($H2052&lt;&gt;"Ausgabe",0,-$E2052-$U2052))</f>
        <v/>
      </c>
      <c r="W2052" s="33">
        <f>IF($A2052="","",DATE(YEAR($A2052),MONTH($A2052),1))</f>
        <v/>
      </c>
      <c r="X2052" s="34">
        <f>IF(OR($A2052="",$H2052&lt;&gt;"Ausgabe",J2052=""),0,IF(J2052="x",-$E2052/(COUNTIF($J2052:$Q2052,"x")+1),-$E2052*N(J2052)))</f>
        <v/>
      </c>
      <c r="Y2052" s="34">
        <f>IF(OR($A2052="",$H2052&lt;&gt;"Ausgabe",K2052=""),0,IF(K2052="x",-$E2052/(COUNTIF($J2052:$Q2052,"x")+1),-$E2052*N(K2052)))</f>
        <v/>
      </c>
      <c r="Z2052" s="34">
        <f>IF(OR($A2052="",$H2052&lt;&gt;"Ausgabe",L2052=""),0,IF(L2052="x",-$E2052/(COUNTIF($J2052:$Q2052,"x")+1),-$E2052*N(L2052)))</f>
        <v/>
      </c>
      <c r="AA2052" s="34">
        <f>IF(OR($A2052="",$H2052&lt;&gt;"Ausgabe",M2052=""),0,IF(M2052="x",-$E2052/(COUNTIF($J2052:$Q2052,"x")+1),-$E2052*N(M2052)))</f>
        <v/>
      </c>
      <c r="AB2052" s="34">
        <f>IF(OR($A2052="",$H2052&lt;&gt;"Ausgabe",N2052=""),0,IF(N2052="x",-$E2052/(COUNTIF($J2052:$Q2052,"x")+1),-$E2052*N(N2052)))</f>
        <v/>
      </c>
      <c r="AC2052" s="34">
        <f>IF(OR($A2052="",$H2052&lt;&gt;"Ausgabe",O2052=""),0,IF(O2052="x",-$E2052/(COUNTIF($J2052:$Q2052,"x")+1),-$E2052*N(O2052)))</f>
        <v/>
      </c>
      <c r="AD2052" s="34">
        <f>IF(OR($A2052="",$H2052&lt;&gt;"Ausgabe",P2052=""),0,IF(P2052="x",-$E2052/(COUNTIF($J2052:$Q2052,"x")+1),-$E2052*N(P2052)))</f>
        <v/>
      </c>
      <c r="AE2052" s="34">
        <f>IF(OR($A2052="",$H2052&lt;&gt;"Ausgabe",Q2052=""),0,IF(Q2052="x",-$E2052/(COUNTIF($J2052:$Q2052,"x")+1),-$E2052*N(Q2052)))</f>
        <v/>
      </c>
    </row>
    <row r="2053">
      <c r="A2053" s="30" t="n"/>
      <c r="E2053" s="31" t="n"/>
      <c r="J2053" s="32" t="n"/>
      <c r="K2053" s="32" t="n"/>
      <c r="L2053" s="32" t="n"/>
      <c r="M2053" s="32" t="n"/>
      <c r="N2053" s="32" t="n"/>
      <c r="O2053" s="32" t="n"/>
      <c r="P2053" s="32" t="n"/>
      <c r="Q2053" s="32" t="n"/>
      <c r="U2053" s="31">
        <f>IF($A2053="","",SUM(X2053:AE2053))</f>
        <v/>
      </c>
      <c r="V2053" s="31">
        <f>IF($A2053="","",IF($H2053&lt;&gt;"Ausgabe",0,-$E2053-$U2053))</f>
        <v/>
      </c>
      <c r="W2053" s="33">
        <f>IF($A2053="","",DATE(YEAR($A2053),MONTH($A2053),1))</f>
        <v/>
      </c>
      <c r="X2053" s="34">
        <f>IF(OR($A2053="",$H2053&lt;&gt;"Ausgabe",J2053=""),0,IF(J2053="x",-$E2053/(COUNTIF($J2053:$Q2053,"x")+1),-$E2053*N(J2053)))</f>
        <v/>
      </c>
      <c r="Y2053" s="34">
        <f>IF(OR($A2053="",$H2053&lt;&gt;"Ausgabe",K2053=""),0,IF(K2053="x",-$E2053/(COUNTIF($J2053:$Q2053,"x")+1),-$E2053*N(K2053)))</f>
        <v/>
      </c>
      <c r="Z2053" s="34">
        <f>IF(OR($A2053="",$H2053&lt;&gt;"Ausgabe",L2053=""),0,IF(L2053="x",-$E2053/(COUNTIF($J2053:$Q2053,"x")+1),-$E2053*N(L2053)))</f>
        <v/>
      </c>
      <c r="AA2053" s="34">
        <f>IF(OR($A2053="",$H2053&lt;&gt;"Ausgabe",M2053=""),0,IF(M2053="x",-$E2053/(COUNTIF($J2053:$Q2053,"x")+1),-$E2053*N(M2053)))</f>
        <v/>
      </c>
      <c r="AB2053" s="34">
        <f>IF(OR($A2053="",$H2053&lt;&gt;"Ausgabe",N2053=""),0,IF(N2053="x",-$E2053/(COUNTIF($J2053:$Q2053,"x")+1),-$E2053*N(N2053)))</f>
        <v/>
      </c>
      <c r="AC2053" s="34">
        <f>IF(OR($A2053="",$H2053&lt;&gt;"Ausgabe",O2053=""),0,IF(O2053="x",-$E2053/(COUNTIF($J2053:$Q2053,"x")+1),-$E2053*N(O2053)))</f>
        <v/>
      </c>
      <c r="AD2053" s="34">
        <f>IF(OR($A2053="",$H2053&lt;&gt;"Ausgabe",P2053=""),0,IF(P2053="x",-$E2053/(COUNTIF($J2053:$Q2053,"x")+1),-$E2053*N(P2053)))</f>
        <v/>
      </c>
      <c r="AE2053" s="34">
        <f>IF(OR($A2053="",$H2053&lt;&gt;"Ausgabe",Q2053=""),0,IF(Q2053="x",-$E2053/(COUNTIF($J2053:$Q2053,"x")+1),-$E2053*N(Q2053)))</f>
        <v/>
      </c>
    </row>
    <row r="2054">
      <c r="A2054" s="30" t="n"/>
      <c r="E2054" s="31" t="n"/>
      <c r="J2054" s="32" t="n"/>
      <c r="K2054" s="32" t="n"/>
      <c r="L2054" s="32" t="n"/>
      <c r="M2054" s="32" t="n"/>
      <c r="N2054" s="32" t="n"/>
      <c r="O2054" s="32" t="n"/>
      <c r="P2054" s="32" t="n"/>
      <c r="Q2054" s="32" t="n"/>
      <c r="U2054" s="31">
        <f>IF($A2054="","",SUM(X2054:AE2054))</f>
        <v/>
      </c>
      <c r="V2054" s="31">
        <f>IF($A2054="","",IF($H2054&lt;&gt;"Ausgabe",0,-$E2054-$U2054))</f>
        <v/>
      </c>
      <c r="W2054" s="33">
        <f>IF($A2054="","",DATE(YEAR($A2054),MONTH($A2054),1))</f>
        <v/>
      </c>
      <c r="X2054" s="34">
        <f>IF(OR($A2054="",$H2054&lt;&gt;"Ausgabe",J2054=""),0,IF(J2054="x",-$E2054/(COUNTIF($J2054:$Q2054,"x")+1),-$E2054*N(J2054)))</f>
        <v/>
      </c>
      <c r="Y2054" s="34">
        <f>IF(OR($A2054="",$H2054&lt;&gt;"Ausgabe",K2054=""),0,IF(K2054="x",-$E2054/(COUNTIF($J2054:$Q2054,"x")+1),-$E2054*N(K2054)))</f>
        <v/>
      </c>
      <c r="Z2054" s="34">
        <f>IF(OR($A2054="",$H2054&lt;&gt;"Ausgabe",L2054=""),0,IF(L2054="x",-$E2054/(COUNTIF($J2054:$Q2054,"x")+1),-$E2054*N(L2054)))</f>
        <v/>
      </c>
      <c r="AA2054" s="34">
        <f>IF(OR($A2054="",$H2054&lt;&gt;"Ausgabe",M2054=""),0,IF(M2054="x",-$E2054/(COUNTIF($J2054:$Q2054,"x")+1),-$E2054*N(M2054)))</f>
        <v/>
      </c>
      <c r="AB2054" s="34">
        <f>IF(OR($A2054="",$H2054&lt;&gt;"Ausgabe",N2054=""),0,IF(N2054="x",-$E2054/(COUNTIF($J2054:$Q2054,"x")+1),-$E2054*N(N2054)))</f>
        <v/>
      </c>
      <c r="AC2054" s="34">
        <f>IF(OR($A2054="",$H2054&lt;&gt;"Ausgabe",O2054=""),0,IF(O2054="x",-$E2054/(COUNTIF($J2054:$Q2054,"x")+1),-$E2054*N(O2054)))</f>
        <v/>
      </c>
      <c r="AD2054" s="34">
        <f>IF(OR($A2054="",$H2054&lt;&gt;"Ausgabe",P2054=""),0,IF(P2054="x",-$E2054/(COUNTIF($J2054:$Q2054,"x")+1),-$E2054*N(P2054)))</f>
        <v/>
      </c>
      <c r="AE2054" s="34">
        <f>IF(OR($A2054="",$H2054&lt;&gt;"Ausgabe",Q2054=""),0,IF(Q2054="x",-$E2054/(COUNTIF($J2054:$Q2054,"x")+1),-$E2054*N(Q2054)))</f>
        <v/>
      </c>
    </row>
    <row r="2055">
      <c r="A2055" s="30" t="n"/>
      <c r="E2055" s="31" t="n"/>
      <c r="J2055" s="32" t="n"/>
      <c r="K2055" s="32" t="n"/>
      <c r="L2055" s="32" t="n"/>
      <c r="M2055" s="32" t="n"/>
      <c r="N2055" s="32" t="n"/>
      <c r="O2055" s="32" t="n"/>
      <c r="P2055" s="32" t="n"/>
      <c r="Q2055" s="32" t="n"/>
      <c r="U2055" s="31">
        <f>IF($A2055="","",SUM(X2055:AE2055))</f>
        <v/>
      </c>
      <c r="V2055" s="31">
        <f>IF($A2055="","",IF($H2055&lt;&gt;"Ausgabe",0,-$E2055-$U2055))</f>
        <v/>
      </c>
      <c r="W2055" s="33">
        <f>IF($A2055="","",DATE(YEAR($A2055),MONTH($A2055),1))</f>
        <v/>
      </c>
      <c r="X2055" s="34">
        <f>IF(OR($A2055="",$H2055&lt;&gt;"Ausgabe",J2055=""),0,IF(J2055="x",-$E2055/(COUNTIF($J2055:$Q2055,"x")+1),-$E2055*N(J2055)))</f>
        <v/>
      </c>
      <c r="Y2055" s="34">
        <f>IF(OR($A2055="",$H2055&lt;&gt;"Ausgabe",K2055=""),0,IF(K2055="x",-$E2055/(COUNTIF($J2055:$Q2055,"x")+1),-$E2055*N(K2055)))</f>
        <v/>
      </c>
      <c r="Z2055" s="34">
        <f>IF(OR($A2055="",$H2055&lt;&gt;"Ausgabe",L2055=""),0,IF(L2055="x",-$E2055/(COUNTIF($J2055:$Q2055,"x")+1),-$E2055*N(L2055)))</f>
        <v/>
      </c>
      <c r="AA2055" s="34">
        <f>IF(OR($A2055="",$H2055&lt;&gt;"Ausgabe",M2055=""),0,IF(M2055="x",-$E2055/(COUNTIF($J2055:$Q2055,"x")+1),-$E2055*N(M2055)))</f>
        <v/>
      </c>
      <c r="AB2055" s="34">
        <f>IF(OR($A2055="",$H2055&lt;&gt;"Ausgabe",N2055=""),0,IF(N2055="x",-$E2055/(COUNTIF($J2055:$Q2055,"x")+1),-$E2055*N(N2055)))</f>
        <v/>
      </c>
      <c r="AC2055" s="34">
        <f>IF(OR($A2055="",$H2055&lt;&gt;"Ausgabe",O2055=""),0,IF(O2055="x",-$E2055/(COUNTIF($J2055:$Q2055,"x")+1),-$E2055*N(O2055)))</f>
        <v/>
      </c>
      <c r="AD2055" s="34">
        <f>IF(OR($A2055="",$H2055&lt;&gt;"Ausgabe",P2055=""),0,IF(P2055="x",-$E2055/(COUNTIF($J2055:$Q2055,"x")+1),-$E2055*N(P2055)))</f>
        <v/>
      </c>
      <c r="AE2055" s="34">
        <f>IF(OR($A2055="",$H2055&lt;&gt;"Ausgabe",Q2055=""),0,IF(Q2055="x",-$E2055/(COUNTIF($J2055:$Q2055,"x")+1),-$E2055*N(Q2055)))</f>
        <v/>
      </c>
    </row>
    <row r="2056">
      <c r="A2056" s="30" t="n"/>
      <c r="E2056" s="31" t="n"/>
      <c r="J2056" s="32" t="n"/>
      <c r="K2056" s="32" t="n"/>
      <c r="L2056" s="32" t="n"/>
      <c r="M2056" s="32" t="n"/>
      <c r="N2056" s="32" t="n"/>
      <c r="O2056" s="32" t="n"/>
      <c r="P2056" s="32" t="n"/>
      <c r="Q2056" s="32" t="n"/>
      <c r="U2056" s="31">
        <f>IF($A2056="","",SUM(X2056:AE2056))</f>
        <v/>
      </c>
      <c r="V2056" s="31">
        <f>IF($A2056="","",IF($H2056&lt;&gt;"Ausgabe",0,-$E2056-$U2056))</f>
        <v/>
      </c>
      <c r="W2056" s="33">
        <f>IF($A2056="","",DATE(YEAR($A2056),MONTH($A2056),1))</f>
        <v/>
      </c>
      <c r="X2056" s="34">
        <f>IF(OR($A2056="",$H2056&lt;&gt;"Ausgabe",J2056=""),0,IF(J2056="x",-$E2056/(COUNTIF($J2056:$Q2056,"x")+1),-$E2056*N(J2056)))</f>
        <v/>
      </c>
      <c r="Y2056" s="34">
        <f>IF(OR($A2056="",$H2056&lt;&gt;"Ausgabe",K2056=""),0,IF(K2056="x",-$E2056/(COUNTIF($J2056:$Q2056,"x")+1),-$E2056*N(K2056)))</f>
        <v/>
      </c>
      <c r="Z2056" s="34">
        <f>IF(OR($A2056="",$H2056&lt;&gt;"Ausgabe",L2056=""),0,IF(L2056="x",-$E2056/(COUNTIF($J2056:$Q2056,"x")+1),-$E2056*N(L2056)))</f>
        <v/>
      </c>
      <c r="AA2056" s="34">
        <f>IF(OR($A2056="",$H2056&lt;&gt;"Ausgabe",M2056=""),0,IF(M2056="x",-$E2056/(COUNTIF($J2056:$Q2056,"x")+1),-$E2056*N(M2056)))</f>
        <v/>
      </c>
      <c r="AB2056" s="34">
        <f>IF(OR($A2056="",$H2056&lt;&gt;"Ausgabe",N2056=""),0,IF(N2056="x",-$E2056/(COUNTIF($J2056:$Q2056,"x")+1),-$E2056*N(N2056)))</f>
        <v/>
      </c>
      <c r="AC2056" s="34">
        <f>IF(OR($A2056="",$H2056&lt;&gt;"Ausgabe",O2056=""),0,IF(O2056="x",-$E2056/(COUNTIF($J2056:$Q2056,"x")+1),-$E2056*N(O2056)))</f>
        <v/>
      </c>
      <c r="AD2056" s="34">
        <f>IF(OR($A2056="",$H2056&lt;&gt;"Ausgabe",P2056=""),0,IF(P2056="x",-$E2056/(COUNTIF($J2056:$Q2056,"x")+1),-$E2056*N(P2056)))</f>
        <v/>
      </c>
      <c r="AE2056" s="34">
        <f>IF(OR($A2056="",$H2056&lt;&gt;"Ausgabe",Q2056=""),0,IF(Q2056="x",-$E2056/(COUNTIF($J2056:$Q2056,"x")+1),-$E2056*N(Q2056)))</f>
        <v/>
      </c>
    </row>
    <row r="2057">
      <c r="A2057" s="30" t="n"/>
      <c r="E2057" s="31" t="n"/>
      <c r="J2057" s="32" t="n"/>
      <c r="K2057" s="32" t="n"/>
      <c r="L2057" s="32" t="n"/>
      <c r="M2057" s="32" t="n"/>
      <c r="N2057" s="32" t="n"/>
      <c r="O2057" s="32" t="n"/>
      <c r="P2057" s="32" t="n"/>
      <c r="Q2057" s="32" t="n"/>
      <c r="U2057" s="31">
        <f>IF($A2057="","",SUM(X2057:AE2057))</f>
        <v/>
      </c>
      <c r="V2057" s="31">
        <f>IF($A2057="","",IF($H2057&lt;&gt;"Ausgabe",0,-$E2057-$U2057))</f>
        <v/>
      </c>
      <c r="W2057" s="33">
        <f>IF($A2057="","",DATE(YEAR($A2057),MONTH($A2057),1))</f>
        <v/>
      </c>
      <c r="X2057" s="34">
        <f>IF(OR($A2057="",$H2057&lt;&gt;"Ausgabe",J2057=""),0,IF(J2057="x",-$E2057/(COUNTIF($J2057:$Q2057,"x")+1),-$E2057*N(J2057)))</f>
        <v/>
      </c>
      <c r="Y2057" s="34">
        <f>IF(OR($A2057="",$H2057&lt;&gt;"Ausgabe",K2057=""),0,IF(K2057="x",-$E2057/(COUNTIF($J2057:$Q2057,"x")+1),-$E2057*N(K2057)))</f>
        <v/>
      </c>
      <c r="Z2057" s="34">
        <f>IF(OR($A2057="",$H2057&lt;&gt;"Ausgabe",L2057=""),0,IF(L2057="x",-$E2057/(COUNTIF($J2057:$Q2057,"x")+1),-$E2057*N(L2057)))</f>
        <v/>
      </c>
      <c r="AA2057" s="34">
        <f>IF(OR($A2057="",$H2057&lt;&gt;"Ausgabe",M2057=""),0,IF(M2057="x",-$E2057/(COUNTIF($J2057:$Q2057,"x")+1),-$E2057*N(M2057)))</f>
        <v/>
      </c>
      <c r="AB2057" s="34">
        <f>IF(OR($A2057="",$H2057&lt;&gt;"Ausgabe",N2057=""),0,IF(N2057="x",-$E2057/(COUNTIF($J2057:$Q2057,"x")+1),-$E2057*N(N2057)))</f>
        <v/>
      </c>
      <c r="AC2057" s="34">
        <f>IF(OR($A2057="",$H2057&lt;&gt;"Ausgabe",O2057=""),0,IF(O2057="x",-$E2057/(COUNTIF($J2057:$Q2057,"x")+1),-$E2057*N(O2057)))</f>
        <v/>
      </c>
      <c r="AD2057" s="34">
        <f>IF(OR($A2057="",$H2057&lt;&gt;"Ausgabe",P2057=""),0,IF(P2057="x",-$E2057/(COUNTIF($J2057:$Q2057,"x")+1),-$E2057*N(P2057)))</f>
        <v/>
      </c>
      <c r="AE2057" s="34">
        <f>IF(OR($A2057="",$H2057&lt;&gt;"Ausgabe",Q2057=""),0,IF(Q2057="x",-$E2057/(COUNTIF($J2057:$Q2057,"x")+1),-$E2057*N(Q2057)))</f>
        <v/>
      </c>
    </row>
    <row r="2058">
      <c r="A2058" s="30" t="n"/>
      <c r="E2058" s="31" t="n"/>
      <c r="J2058" s="32" t="n"/>
      <c r="K2058" s="32" t="n"/>
      <c r="L2058" s="32" t="n"/>
      <c r="M2058" s="32" t="n"/>
      <c r="N2058" s="32" t="n"/>
      <c r="O2058" s="32" t="n"/>
      <c r="P2058" s="32" t="n"/>
      <c r="Q2058" s="32" t="n"/>
      <c r="U2058" s="31">
        <f>IF($A2058="","",SUM(X2058:AE2058))</f>
        <v/>
      </c>
      <c r="V2058" s="31">
        <f>IF($A2058="","",IF($H2058&lt;&gt;"Ausgabe",0,-$E2058-$U2058))</f>
        <v/>
      </c>
      <c r="W2058" s="33">
        <f>IF($A2058="","",DATE(YEAR($A2058),MONTH($A2058),1))</f>
        <v/>
      </c>
      <c r="X2058" s="34">
        <f>IF(OR($A2058="",$H2058&lt;&gt;"Ausgabe",J2058=""),0,IF(J2058="x",-$E2058/(COUNTIF($J2058:$Q2058,"x")+1),-$E2058*N(J2058)))</f>
        <v/>
      </c>
      <c r="Y2058" s="34">
        <f>IF(OR($A2058="",$H2058&lt;&gt;"Ausgabe",K2058=""),0,IF(K2058="x",-$E2058/(COUNTIF($J2058:$Q2058,"x")+1),-$E2058*N(K2058)))</f>
        <v/>
      </c>
      <c r="Z2058" s="34">
        <f>IF(OR($A2058="",$H2058&lt;&gt;"Ausgabe",L2058=""),0,IF(L2058="x",-$E2058/(COUNTIF($J2058:$Q2058,"x")+1),-$E2058*N(L2058)))</f>
        <v/>
      </c>
      <c r="AA2058" s="34">
        <f>IF(OR($A2058="",$H2058&lt;&gt;"Ausgabe",M2058=""),0,IF(M2058="x",-$E2058/(COUNTIF($J2058:$Q2058,"x")+1),-$E2058*N(M2058)))</f>
        <v/>
      </c>
      <c r="AB2058" s="34">
        <f>IF(OR($A2058="",$H2058&lt;&gt;"Ausgabe",N2058=""),0,IF(N2058="x",-$E2058/(COUNTIF($J2058:$Q2058,"x")+1),-$E2058*N(N2058)))</f>
        <v/>
      </c>
      <c r="AC2058" s="34">
        <f>IF(OR($A2058="",$H2058&lt;&gt;"Ausgabe",O2058=""),0,IF(O2058="x",-$E2058/(COUNTIF($J2058:$Q2058,"x")+1),-$E2058*N(O2058)))</f>
        <v/>
      </c>
      <c r="AD2058" s="34">
        <f>IF(OR($A2058="",$H2058&lt;&gt;"Ausgabe",P2058=""),0,IF(P2058="x",-$E2058/(COUNTIF($J2058:$Q2058,"x")+1),-$E2058*N(P2058)))</f>
        <v/>
      </c>
      <c r="AE2058" s="34">
        <f>IF(OR($A2058="",$H2058&lt;&gt;"Ausgabe",Q2058=""),0,IF(Q2058="x",-$E2058/(COUNTIF($J2058:$Q2058,"x")+1),-$E2058*N(Q2058)))</f>
        <v/>
      </c>
    </row>
    <row r="2059">
      <c r="A2059" s="30" t="n"/>
      <c r="E2059" s="31" t="n"/>
      <c r="J2059" s="32" t="n"/>
      <c r="K2059" s="32" t="n"/>
      <c r="L2059" s="32" t="n"/>
      <c r="M2059" s="32" t="n"/>
      <c r="N2059" s="32" t="n"/>
      <c r="O2059" s="32" t="n"/>
      <c r="P2059" s="32" t="n"/>
      <c r="Q2059" s="32" t="n"/>
      <c r="U2059" s="31">
        <f>IF($A2059="","",SUM(X2059:AE2059))</f>
        <v/>
      </c>
      <c r="V2059" s="31">
        <f>IF($A2059="","",IF($H2059&lt;&gt;"Ausgabe",0,-$E2059-$U2059))</f>
        <v/>
      </c>
      <c r="W2059" s="33">
        <f>IF($A2059="","",DATE(YEAR($A2059),MONTH($A2059),1))</f>
        <v/>
      </c>
      <c r="X2059" s="34">
        <f>IF(OR($A2059="",$H2059&lt;&gt;"Ausgabe",J2059=""),0,IF(J2059="x",-$E2059/(COUNTIF($J2059:$Q2059,"x")+1),-$E2059*N(J2059)))</f>
        <v/>
      </c>
      <c r="Y2059" s="34">
        <f>IF(OR($A2059="",$H2059&lt;&gt;"Ausgabe",K2059=""),0,IF(K2059="x",-$E2059/(COUNTIF($J2059:$Q2059,"x")+1),-$E2059*N(K2059)))</f>
        <v/>
      </c>
      <c r="Z2059" s="34">
        <f>IF(OR($A2059="",$H2059&lt;&gt;"Ausgabe",L2059=""),0,IF(L2059="x",-$E2059/(COUNTIF($J2059:$Q2059,"x")+1),-$E2059*N(L2059)))</f>
        <v/>
      </c>
      <c r="AA2059" s="34">
        <f>IF(OR($A2059="",$H2059&lt;&gt;"Ausgabe",M2059=""),0,IF(M2059="x",-$E2059/(COUNTIF($J2059:$Q2059,"x")+1),-$E2059*N(M2059)))</f>
        <v/>
      </c>
      <c r="AB2059" s="34">
        <f>IF(OR($A2059="",$H2059&lt;&gt;"Ausgabe",N2059=""),0,IF(N2059="x",-$E2059/(COUNTIF($J2059:$Q2059,"x")+1),-$E2059*N(N2059)))</f>
        <v/>
      </c>
      <c r="AC2059" s="34">
        <f>IF(OR($A2059="",$H2059&lt;&gt;"Ausgabe",O2059=""),0,IF(O2059="x",-$E2059/(COUNTIF($J2059:$Q2059,"x")+1),-$E2059*N(O2059)))</f>
        <v/>
      </c>
      <c r="AD2059" s="34">
        <f>IF(OR($A2059="",$H2059&lt;&gt;"Ausgabe",P2059=""),0,IF(P2059="x",-$E2059/(COUNTIF($J2059:$Q2059,"x")+1),-$E2059*N(P2059)))</f>
        <v/>
      </c>
      <c r="AE2059" s="34">
        <f>IF(OR($A2059="",$H2059&lt;&gt;"Ausgabe",Q2059=""),0,IF(Q2059="x",-$E2059/(COUNTIF($J2059:$Q2059,"x")+1),-$E2059*N(Q2059)))</f>
        <v/>
      </c>
    </row>
    <row r="2060">
      <c r="A2060" s="30" t="n"/>
      <c r="E2060" s="31" t="n"/>
      <c r="J2060" s="32" t="n"/>
      <c r="K2060" s="32" t="n"/>
      <c r="L2060" s="32" t="n"/>
      <c r="M2060" s="32" t="n"/>
      <c r="N2060" s="32" t="n"/>
      <c r="O2060" s="32" t="n"/>
      <c r="P2060" s="32" t="n"/>
      <c r="Q2060" s="32" t="n"/>
      <c r="U2060" s="31">
        <f>IF($A2060="","",SUM(X2060:AE2060))</f>
        <v/>
      </c>
      <c r="V2060" s="31">
        <f>IF($A2060="","",IF($H2060&lt;&gt;"Ausgabe",0,-$E2060-$U2060))</f>
        <v/>
      </c>
      <c r="W2060" s="33">
        <f>IF($A2060="","",DATE(YEAR($A2060),MONTH($A2060),1))</f>
        <v/>
      </c>
      <c r="X2060" s="34">
        <f>IF(OR($A2060="",$H2060&lt;&gt;"Ausgabe",J2060=""),0,IF(J2060="x",-$E2060/(COUNTIF($J2060:$Q2060,"x")+1),-$E2060*N(J2060)))</f>
        <v/>
      </c>
      <c r="Y2060" s="34">
        <f>IF(OR($A2060="",$H2060&lt;&gt;"Ausgabe",K2060=""),0,IF(K2060="x",-$E2060/(COUNTIF($J2060:$Q2060,"x")+1),-$E2060*N(K2060)))</f>
        <v/>
      </c>
      <c r="Z2060" s="34">
        <f>IF(OR($A2060="",$H2060&lt;&gt;"Ausgabe",L2060=""),0,IF(L2060="x",-$E2060/(COUNTIF($J2060:$Q2060,"x")+1),-$E2060*N(L2060)))</f>
        <v/>
      </c>
      <c r="AA2060" s="34">
        <f>IF(OR($A2060="",$H2060&lt;&gt;"Ausgabe",M2060=""),0,IF(M2060="x",-$E2060/(COUNTIF($J2060:$Q2060,"x")+1),-$E2060*N(M2060)))</f>
        <v/>
      </c>
      <c r="AB2060" s="34">
        <f>IF(OR($A2060="",$H2060&lt;&gt;"Ausgabe",N2060=""),0,IF(N2060="x",-$E2060/(COUNTIF($J2060:$Q2060,"x")+1),-$E2060*N(N2060)))</f>
        <v/>
      </c>
      <c r="AC2060" s="34">
        <f>IF(OR($A2060="",$H2060&lt;&gt;"Ausgabe",O2060=""),0,IF(O2060="x",-$E2060/(COUNTIF($J2060:$Q2060,"x")+1),-$E2060*N(O2060)))</f>
        <v/>
      </c>
      <c r="AD2060" s="34">
        <f>IF(OR($A2060="",$H2060&lt;&gt;"Ausgabe",P2060=""),0,IF(P2060="x",-$E2060/(COUNTIF($J2060:$Q2060,"x")+1),-$E2060*N(P2060)))</f>
        <v/>
      </c>
      <c r="AE2060" s="34">
        <f>IF(OR($A2060="",$H2060&lt;&gt;"Ausgabe",Q2060=""),0,IF(Q2060="x",-$E2060/(COUNTIF($J2060:$Q2060,"x")+1),-$E2060*N(Q2060)))</f>
        <v/>
      </c>
    </row>
    <row r="2061">
      <c r="A2061" s="30" t="n"/>
      <c r="E2061" s="31" t="n"/>
      <c r="J2061" s="32" t="n"/>
      <c r="K2061" s="32" t="n"/>
      <c r="L2061" s="32" t="n"/>
      <c r="M2061" s="32" t="n"/>
      <c r="N2061" s="32" t="n"/>
      <c r="O2061" s="32" t="n"/>
      <c r="P2061" s="32" t="n"/>
      <c r="Q2061" s="32" t="n"/>
      <c r="U2061" s="31">
        <f>IF($A2061="","",SUM(X2061:AE2061))</f>
        <v/>
      </c>
      <c r="V2061" s="31">
        <f>IF($A2061="","",IF($H2061&lt;&gt;"Ausgabe",0,-$E2061-$U2061))</f>
        <v/>
      </c>
      <c r="W2061" s="33">
        <f>IF($A2061="","",DATE(YEAR($A2061),MONTH($A2061),1))</f>
        <v/>
      </c>
      <c r="X2061" s="34">
        <f>IF(OR($A2061="",$H2061&lt;&gt;"Ausgabe",J2061=""),0,IF(J2061="x",-$E2061/(COUNTIF($J2061:$Q2061,"x")+1),-$E2061*N(J2061)))</f>
        <v/>
      </c>
      <c r="Y2061" s="34">
        <f>IF(OR($A2061="",$H2061&lt;&gt;"Ausgabe",K2061=""),0,IF(K2061="x",-$E2061/(COUNTIF($J2061:$Q2061,"x")+1),-$E2061*N(K2061)))</f>
        <v/>
      </c>
      <c r="Z2061" s="34">
        <f>IF(OR($A2061="",$H2061&lt;&gt;"Ausgabe",L2061=""),0,IF(L2061="x",-$E2061/(COUNTIF($J2061:$Q2061,"x")+1),-$E2061*N(L2061)))</f>
        <v/>
      </c>
      <c r="AA2061" s="34">
        <f>IF(OR($A2061="",$H2061&lt;&gt;"Ausgabe",M2061=""),0,IF(M2061="x",-$E2061/(COUNTIF($J2061:$Q2061,"x")+1),-$E2061*N(M2061)))</f>
        <v/>
      </c>
      <c r="AB2061" s="34">
        <f>IF(OR($A2061="",$H2061&lt;&gt;"Ausgabe",N2061=""),0,IF(N2061="x",-$E2061/(COUNTIF($J2061:$Q2061,"x")+1),-$E2061*N(N2061)))</f>
        <v/>
      </c>
      <c r="AC2061" s="34">
        <f>IF(OR($A2061="",$H2061&lt;&gt;"Ausgabe",O2061=""),0,IF(O2061="x",-$E2061/(COUNTIF($J2061:$Q2061,"x")+1),-$E2061*N(O2061)))</f>
        <v/>
      </c>
      <c r="AD2061" s="34">
        <f>IF(OR($A2061="",$H2061&lt;&gt;"Ausgabe",P2061=""),0,IF(P2061="x",-$E2061/(COUNTIF($J2061:$Q2061,"x")+1),-$E2061*N(P2061)))</f>
        <v/>
      </c>
      <c r="AE2061" s="34">
        <f>IF(OR($A2061="",$H2061&lt;&gt;"Ausgabe",Q2061=""),0,IF(Q2061="x",-$E2061/(COUNTIF($J2061:$Q2061,"x")+1),-$E2061*N(Q2061)))</f>
        <v/>
      </c>
    </row>
    <row r="2062">
      <c r="A2062" s="30" t="n"/>
      <c r="E2062" s="31" t="n"/>
      <c r="J2062" s="32" t="n"/>
      <c r="K2062" s="32" t="n"/>
      <c r="L2062" s="32" t="n"/>
      <c r="M2062" s="32" t="n"/>
      <c r="N2062" s="32" t="n"/>
      <c r="O2062" s="32" t="n"/>
      <c r="P2062" s="32" t="n"/>
      <c r="Q2062" s="32" t="n"/>
      <c r="U2062" s="31">
        <f>IF($A2062="","",SUM(X2062:AE2062))</f>
        <v/>
      </c>
      <c r="V2062" s="31">
        <f>IF($A2062="","",IF($H2062&lt;&gt;"Ausgabe",0,-$E2062-$U2062))</f>
        <v/>
      </c>
      <c r="W2062" s="33">
        <f>IF($A2062="","",DATE(YEAR($A2062),MONTH($A2062),1))</f>
        <v/>
      </c>
      <c r="X2062" s="34">
        <f>IF(OR($A2062="",$H2062&lt;&gt;"Ausgabe",J2062=""),0,IF(J2062="x",-$E2062/(COUNTIF($J2062:$Q2062,"x")+1),-$E2062*N(J2062)))</f>
        <v/>
      </c>
      <c r="Y2062" s="34">
        <f>IF(OR($A2062="",$H2062&lt;&gt;"Ausgabe",K2062=""),0,IF(K2062="x",-$E2062/(COUNTIF($J2062:$Q2062,"x")+1),-$E2062*N(K2062)))</f>
        <v/>
      </c>
      <c r="Z2062" s="34">
        <f>IF(OR($A2062="",$H2062&lt;&gt;"Ausgabe",L2062=""),0,IF(L2062="x",-$E2062/(COUNTIF($J2062:$Q2062,"x")+1),-$E2062*N(L2062)))</f>
        <v/>
      </c>
      <c r="AA2062" s="34">
        <f>IF(OR($A2062="",$H2062&lt;&gt;"Ausgabe",M2062=""),0,IF(M2062="x",-$E2062/(COUNTIF($J2062:$Q2062,"x")+1),-$E2062*N(M2062)))</f>
        <v/>
      </c>
      <c r="AB2062" s="34">
        <f>IF(OR($A2062="",$H2062&lt;&gt;"Ausgabe",N2062=""),0,IF(N2062="x",-$E2062/(COUNTIF($J2062:$Q2062,"x")+1),-$E2062*N(N2062)))</f>
        <v/>
      </c>
      <c r="AC2062" s="34">
        <f>IF(OR($A2062="",$H2062&lt;&gt;"Ausgabe",O2062=""),0,IF(O2062="x",-$E2062/(COUNTIF($J2062:$Q2062,"x")+1),-$E2062*N(O2062)))</f>
        <v/>
      </c>
      <c r="AD2062" s="34">
        <f>IF(OR($A2062="",$H2062&lt;&gt;"Ausgabe",P2062=""),0,IF(P2062="x",-$E2062/(COUNTIF($J2062:$Q2062,"x")+1),-$E2062*N(P2062)))</f>
        <v/>
      </c>
      <c r="AE2062" s="34">
        <f>IF(OR($A2062="",$H2062&lt;&gt;"Ausgabe",Q2062=""),0,IF(Q2062="x",-$E2062/(COUNTIF($J2062:$Q2062,"x")+1),-$E2062*N(Q2062)))</f>
        <v/>
      </c>
    </row>
    <row r="2063">
      <c r="A2063" s="30" t="n"/>
      <c r="E2063" s="31" t="n"/>
      <c r="J2063" s="32" t="n"/>
      <c r="K2063" s="32" t="n"/>
      <c r="L2063" s="32" t="n"/>
      <c r="M2063" s="32" t="n"/>
      <c r="N2063" s="32" t="n"/>
      <c r="O2063" s="32" t="n"/>
      <c r="P2063" s="32" t="n"/>
      <c r="Q2063" s="32" t="n"/>
      <c r="U2063" s="31">
        <f>IF($A2063="","",SUM(X2063:AE2063))</f>
        <v/>
      </c>
      <c r="V2063" s="31">
        <f>IF($A2063="","",IF($H2063&lt;&gt;"Ausgabe",0,-$E2063-$U2063))</f>
        <v/>
      </c>
      <c r="W2063" s="33">
        <f>IF($A2063="","",DATE(YEAR($A2063),MONTH($A2063),1))</f>
        <v/>
      </c>
      <c r="X2063" s="34">
        <f>IF(OR($A2063="",$H2063&lt;&gt;"Ausgabe",J2063=""),0,IF(J2063="x",-$E2063/(COUNTIF($J2063:$Q2063,"x")+1),-$E2063*N(J2063)))</f>
        <v/>
      </c>
      <c r="Y2063" s="34">
        <f>IF(OR($A2063="",$H2063&lt;&gt;"Ausgabe",K2063=""),0,IF(K2063="x",-$E2063/(COUNTIF($J2063:$Q2063,"x")+1),-$E2063*N(K2063)))</f>
        <v/>
      </c>
      <c r="Z2063" s="34">
        <f>IF(OR($A2063="",$H2063&lt;&gt;"Ausgabe",L2063=""),0,IF(L2063="x",-$E2063/(COUNTIF($J2063:$Q2063,"x")+1),-$E2063*N(L2063)))</f>
        <v/>
      </c>
      <c r="AA2063" s="34">
        <f>IF(OR($A2063="",$H2063&lt;&gt;"Ausgabe",M2063=""),0,IF(M2063="x",-$E2063/(COUNTIF($J2063:$Q2063,"x")+1),-$E2063*N(M2063)))</f>
        <v/>
      </c>
      <c r="AB2063" s="34">
        <f>IF(OR($A2063="",$H2063&lt;&gt;"Ausgabe",N2063=""),0,IF(N2063="x",-$E2063/(COUNTIF($J2063:$Q2063,"x")+1),-$E2063*N(N2063)))</f>
        <v/>
      </c>
      <c r="AC2063" s="34">
        <f>IF(OR($A2063="",$H2063&lt;&gt;"Ausgabe",O2063=""),0,IF(O2063="x",-$E2063/(COUNTIF($J2063:$Q2063,"x")+1),-$E2063*N(O2063)))</f>
        <v/>
      </c>
      <c r="AD2063" s="34">
        <f>IF(OR($A2063="",$H2063&lt;&gt;"Ausgabe",P2063=""),0,IF(P2063="x",-$E2063/(COUNTIF($J2063:$Q2063,"x")+1),-$E2063*N(P2063)))</f>
        <v/>
      </c>
      <c r="AE2063" s="34">
        <f>IF(OR($A2063="",$H2063&lt;&gt;"Ausgabe",Q2063=""),0,IF(Q2063="x",-$E2063/(COUNTIF($J2063:$Q2063,"x")+1),-$E2063*N(Q2063)))</f>
        <v/>
      </c>
    </row>
    <row r="2064">
      <c r="A2064" s="30" t="n"/>
      <c r="E2064" s="31" t="n"/>
      <c r="J2064" s="32" t="n"/>
      <c r="K2064" s="32" t="n"/>
      <c r="L2064" s="32" t="n"/>
      <c r="M2064" s="32" t="n"/>
      <c r="N2064" s="32" t="n"/>
      <c r="O2064" s="32" t="n"/>
      <c r="P2064" s="32" t="n"/>
      <c r="Q2064" s="32" t="n"/>
      <c r="U2064" s="31">
        <f>IF($A2064="","",SUM(X2064:AE2064))</f>
        <v/>
      </c>
      <c r="V2064" s="31">
        <f>IF($A2064="","",IF($H2064&lt;&gt;"Ausgabe",0,-$E2064-$U2064))</f>
        <v/>
      </c>
      <c r="W2064" s="33">
        <f>IF($A2064="","",DATE(YEAR($A2064),MONTH($A2064),1))</f>
        <v/>
      </c>
      <c r="X2064" s="34">
        <f>IF(OR($A2064="",$H2064&lt;&gt;"Ausgabe",J2064=""),0,IF(J2064="x",-$E2064/(COUNTIF($J2064:$Q2064,"x")+1),-$E2064*N(J2064)))</f>
        <v/>
      </c>
      <c r="Y2064" s="34">
        <f>IF(OR($A2064="",$H2064&lt;&gt;"Ausgabe",K2064=""),0,IF(K2064="x",-$E2064/(COUNTIF($J2064:$Q2064,"x")+1),-$E2064*N(K2064)))</f>
        <v/>
      </c>
      <c r="Z2064" s="34">
        <f>IF(OR($A2064="",$H2064&lt;&gt;"Ausgabe",L2064=""),0,IF(L2064="x",-$E2064/(COUNTIF($J2064:$Q2064,"x")+1),-$E2064*N(L2064)))</f>
        <v/>
      </c>
      <c r="AA2064" s="34">
        <f>IF(OR($A2064="",$H2064&lt;&gt;"Ausgabe",M2064=""),0,IF(M2064="x",-$E2064/(COUNTIF($J2064:$Q2064,"x")+1),-$E2064*N(M2064)))</f>
        <v/>
      </c>
      <c r="AB2064" s="34">
        <f>IF(OR($A2064="",$H2064&lt;&gt;"Ausgabe",N2064=""),0,IF(N2064="x",-$E2064/(COUNTIF($J2064:$Q2064,"x")+1),-$E2064*N(N2064)))</f>
        <v/>
      </c>
      <c r="AC2064" s="34">
        <f>IF(OR($A2064="",$H2064&lt;&gt;"Ausgabe",O2064=""),0,IF(O2064="x",-$E2064/(COUNTIF($J2064:$Q2064,"x")+1),-$E2064*N(O2064)))</f>
        <v/>
      </c>
      <c r="AD2064" s="34">
        <f>IF(OR($A2064="",$H2064&lt;&gt;"Ausgabe",P2064=""),0,IF(P2064="x",-$E2064/(COUNTIF($J2064:$Q2064,"x")+1),-$E2064*N(P2064)))</f>
        <v/>
      </c>
      <c r="AE2064" s="34">
        <f>IF(OR($A2064="",$H2064&lt;&gt;"Ausgabe",Q2064=""),0,IF(Q2064="x",-$E2064/(COUNTIF($J2064:$Q2064,"x")+1),-$E2064*N(Q2064)))</f>
        <v/>
      </c>
    </row>
    <row r="2065">
      <c r="A2065" s="30" t="n"/>
      <c r="E2065" s="31" t="n"/>
      <c r="J2065" s="32" t="n"/>
      <c r="K2065" s="32" t="n"/>
      <c r="L2065" s="32" t="n"/>
      <c r="M2065" s="32" t="n"/>
      <c r="N2065" s="32" t="n"/>
      <c r="O2065" s="32" t="n"/>
      <c r="P2065" s="32" t="n"/>
      <c r="Q2065" s="32" t="n"/>
      <c r="U2065" s="31">
        <f>IF($A2065="","",SUM(X2065:AE2065))</f>
        <v/>
      </c>
      <c r="V2065" s="31">
        <f>IF($A2065="","",IF($H2065&lt;&gt;"Ausgabe",0,-$E2065-$U2065))</f>
        <v/>
      </c>
      <c r="W2065" s="33">
        <f>IF($A2065="","",DATE(YEAR($A2065),MONTH($A2065),1))</f>
        <v/>
      </c>
      <c r="X2065" s="34">
        <f>IF(OR($A2065="",$H2065&lt;&gt;"Ausgabe",J2065=""),0,IF(J2065="x",-$E2065/(COUNTIF($J2065:$Q2065,"x")+1),-$E2065*N(J2065)))</f>
        <v/>
      </c>
      <c r="Y2065" s="34">
        <f>IF(OR($A2065="",$H2065&lt;&gt;"Ausgabe",K2065=""),0,IF(K2065="x",-$E2065/(COUNTIF($J2065:$Q2065,"x")+1),-$E2065*N(K2065)))</f>
        <v/>
      </c>
      <c r="Z2065" s="34">
        <f>IF(OR($A2065="",$H2065&lt;&gt;"Ausgabe",L2065=""),0,IF(L2065="x",-$E2065/(COUNTIF($J2065:$Q2065,"x")+1),-$E2065*N(L2065)))</f>
        <v/>
      </c>
      <c r="AA2065" s="34">
        <f>IF(OR($A2065="",$H2065&lt;&gt;"Ausgabe",M2065=""),0,IF(M2065="x",-$E2065/(COUNTIF($J2065:$Q2065,"x")+1),-$E2065*N(M2065)))</f>
        <v/>
      </c>
      <c r="AB2065" s="34">
        <f>IF(OR($A2065="",$H2065&lt;&gt;"Ausgabe",N2065=""),0,IF(N2065="x",-$E2065/(COUNTIF($J2065:$Q2065,"x")+1),-$E2065*N(N2065)))</f>
        <v/>
      </c>
      <c r="AC2065" s="34">
        <f>IF(OR($A2065="",$H2065&lt;&gt;"Ausgabe",O2065=""),0,IF(O2065="x",-$E2065/(COUNTIF($J2065:$Q2065,"x")+1),-$E2065*N(O2065)))</f>
        <v/>
      </c>
      <c r="AD2065" s="34">
        <f>IF(OR($A2065="",$H2065&lt;&gt;"Ausgabe",P2065=""),0,IF(P2065="x",-$E2065/(COUNTIF($J2065:$Q2065,"x")+1),-$E2065*N(P2065)))</f>
        <v/>
      </c>
      <c r="AE2065" s="34">
        <f>IF(OR($A2065="",$H2065&lt;&gt;"Ausgabe",Q2065=""),0,IF(Q2065="x",-$E2065/(COUNTIF($J2065:$Q2065,"x")+1),-$E2065*N(Q2065)))</f>
        <v/>
      </c>
    </row>
    <row r="2066">
      <c r="A2066" s="30" t="n"/>
      <c r="E2066" s="31" t="n"/>
      <c r="J2066" s="32" t="n"/>
      <c r="K2066" s="32" t="n"/>
      <c r="L2066" s="32" t="n"/>
      <c r="M2066" s="32" t="n"/>
      <c r="N2066" s="32" t="n"/>
      <c r="O2066" s="32" t="n"/>
      <c r="P2066" s="32" t="n"/>
      <c r="Q2066" s="32" t="n"/>
      <c r="U2066" s="31">
        <f>IF($A2066="","",SUM(X2066:AE2066))</f>
        <v/>
      </c>
      <c r="V2066" s="31">
        <f>IF($A2066="","",IF($H2066&lt;&gt;"Ausgabe",0,-$E2066-$U2066))</f>
        <v/>
      </c>
      <c r="W2066" s="33">
        <f>IF($A2066="","",DATE(YEAR($A2066),MONTH($A2066),1))</f>
        <v/>
      </c>
      <c r="X2066" s="34">
        <f>IF(OR($A2066="",$H2066&lt;&gt;"Ausgabe",J2066=""),0,IF(J2066="x",-$E2066/(COUNTIF($J2066:$Q2066,"x")+1),-$E2066*N(J2066)))</f>
        <v/>
      </c>
      <c r="Y2066" s="34">
        <f>IF(OR($A2066="",$H2066&lt;&gt;"Ausgabe",K2066=""),0,IF(K2066="x",-$E2066/(COUNTIF($J2066:$Q2066,"x")+1),-$E2066*N(K2066)))</f>
        <v/>
      </c>
      <c r="Z2066" s="34">
        <f>IF(OR($A2066="",$H2066&lt;&gt;"Ausgabe",L2066=""),0,IF(L2066="x",-$E2066/(COUNTIF($J2066:$Q2066,"x")+1),-$E2066*N(L2066)))</f>
        <v/>
      </c>
      <c r="AA2066" s="34">
        <f>IF(OR($A2066="",$H2066&lt;&gt;"Ausgabe",M2066=""),0,IF(M2066="x",-$E2066/(COUNTIF($J2066:$Q2066,"x")+1),-$E2066*N(M2066)))</f>
        <v/>
      </c>
      <c r="AB2066" s="34">
        <f>IF(OR($A2066="",$H2066&lt;&gt;"Ausgabe",N2066=""),0,IF(N2066="x",-$E2066/(COUNTIF($J2066:$Q2066,"x")+1),-$E2066*N(N2066)))</f>
        <v/>
      </c>
      <c r="AC2066" s="34">
        <f>IF(OR($A2066="",$H2066&lt;&gt;"Ausgabe",O2066=""),0,IF(O2066="x",-$E2066/(COUNTIF($J2066:$Q2066,"x")+1),-$E2066*N(O2066)))</f>
        <v/>
      </c>
      <c r="AD2066" s="34">
        <f>IF(OR($A2066="",$H2066&lt;&gt;"Ausgabe",P2066=""),0,IF(P2066="x",-$E2066/(COUNTIF($J2066:$Q2066,"x")+1),-$E2066*N(P2066)))</f>
        <v/>
      </c>
      <c r="AE2066" s="34">
        <f>IF(OR($A2066="",$H2066&lt;&gt;"Ausgabe",Q2066=""),0,IF(Q2066="x",-$E2066/(COUNTIF($J2066:$Q2066,"x")+1),-$E2066*N(Q2066)))</f>
        <v/>
      </c>
    </row>
    <row r="2067">
      <c r="A2067" s="30" t="n"/>
      <c r="E2067" s="31" t="n"/>
      <c r="J2067" s="32" t="n"/>
      <c r="K2067" s="32" t="n"/>
      <c r="L2067" s="32" t="n"/>
      <c r="M2067" s="32" t="n"/>
      <c r="N2067" s="32" t="n"/>
      <c r="O2067" s="32" t="n"/>
      <c r="P2067" s="32" t="n"/>
      <c r="Q2067" s="32" t="n"/>
      <c r="U2067" s="31">
        <f>IF($A2067="","",SUM(X2067:AE2067))</f>
        <v/>
      </c>
      <c r="V2067" s="31">
        <f>IF($A2067="","",IF($H2067&lt;&gt;"Ausgabe",0,-$E2067-$U2067))</f>
        <v/>
      </c>
      <c r="W2067" s="33">
        <f>IF($A2067="","",DATE(YEAR($A2067),MONTH($A2067),1))</f>
        <v/>
      </c>
      <c r="X2067" s="34">
        <f>IF(OR($A2067="",$H2067&lt;&gt;"Ausgabe",J2067=""),0,IF(J2067="x",-$E2067/(COUNTIF($J2067:$Q2067,"x")+1),-$E2067*N(J2067)))</f>
        <v/>
      </c>
      <c r="Y2067" s="34">
        <f>IF(OR($A2067="",$H2067&lt;&gt;"Ausgabe",K2067=""),0,IF(K2067="x",-$E2067/(COUNTIF($J2067:$Q2067,"x")+1),-$E2067*N(K2067)))</f>
        <v/>
      </c>
      <c r="Z2067" s="34">
        <f>IF(OR($A2067="",$H2067&lt;&gt;"Ausgabe",L2067=""),0,IF(L2067="x",-$E2067/(COUNTIF($J2067:$Q2067,"x")+1),-$E2067*N(L2067)))</f>
        <v/>
      </c>
      <c r="AA2067" s="34">
        <f>IF(OR($A2067="",$H2067&lt;&gt;"Ausgabe",M2067=""),0,IF(M2067="x",-$E2067/(COUNTIF($J2067:$Q2067,"x")+1),-$E2067*N(M2067)))</f>
        <v/>
      </c>
      <c r="AB2067" s="34">
        <f>IF(OR($A2067="",$H2067&lt;&gt;"Ausgabe",N2067=""),0,IF(N2067="x",-$E2067/(COUNTIF($J2067:$Q2067,"x")+1),-$E2067*N(N2067)))</f>
        <v/>
      </c>
      <c r="AC2067" s="34">
        <f>IF(OR($A2067="",$H2067&lt;&gt;"Ausgabe",O2067=""),0,IF(O2067="x",-$E2067/(COUNTIF($J2067:$Q2067,"x")+1),-$E2067*N(O2067)))</f>
        <v/>
      </c>
      <c r="AD2067" s="34">
        <f>IF(OR($A2067="",$H2067&lt;&gt;"Ausgabe",P2067=""),0,IF(P2067="x",-$E2067/(COUNTIF($J2067:$Q2067,"x")+1),-$E2067*N(P2067)))</f>
        <v/>
      </c>
      <c r="AE2067" s="34">
        <f>IF(OR($A2067="",$H2067&lt;&gt;"Ausgabe",Q2067=""),0,IF(Q2067="x",-$E2067/(COUNTIF($J2067:$Q2067,"x")+1),-$E2067*N(Q2067)))</f>
        <v/>
      </c>
    </row>
    <row r="2068">
      <c r="A2068" s="30" t="n"/>
      <c r="E2068" s="31" t="n"/>
      <c r="J2068" s="32" t="n"/>
      <c r="K2068" s="32" t="n"/>
      <c r="L2068" s="32" t="n"/>
      <c r="M2068" s="32" t="n"/>
      <c r="N2068" s="32" t="n"/>
      <c r="O2068" s="32" t="n"/>
      <c r="P2068" s="32" t="n"/>
      <c r="Q2068" s="32" t="n"/>
      <c r="U2068" s="31">
        <f>IF($A2068="","",SUM(X2068:AE2068))</f>
        <v/>
      </c>
      <c r="V2068" s="31">
        <f>IF($A2068="","",IF($H2068&lt;&gt;"Ausgabe",0,-$E2068-$U2068))</f>
        <v/>
      </c>
      <c r="W2068" s="33">
        <f>IF($A2068="","",DATE(YEAR($A2068),MONTH($A2068),1))</f>
        <v/>
      </c>
      <c r="X2068" s="34">
        <f>IF(OR($A2068="",$H2068&lt;&gt;"Ausgabe",J2068=""),0,IF(J2068="x",-$E2068/(COUNTIF($J2068:$Q2068,"x")+1),-$E2068*N(J2068)))</f>
        <v/>
      </c>
      <c r="Y2068" s="34">
        <f>IF(OR($A2068="",$H2068&lt;&gt;"Ausgabe",K2068=""),0,IF(K2068="x",-$E2068/(COUNTIF($J2068:$Q2068,"x")+1),-$E2068*N(K2068)))</f>
        <v/>
      </c>
      <c r="Z2068" s="34">
        <f>IF(OR($A2068="",$H2068&lt;&gt;"Ausgabe",L2068=""),0,IF(L2068="x",-$E2068/(COUNTIF($J2068:$Q2068,"x")+1),-$E2068*N(L2068)))</f>
        <v/>
      </c>
      <c r="AA2068" s="34">
        <f>IF(OR($A2068="",$H2068&lt;&gt;"Ausgabe",M2068=""),0,IF(M2068="x",-$E2068/(COUNTIF($J2068:$Q2068,"x")+1),-$E2068*N(M2068)))</f>
        <v/>
      </c>
      <c r="AB2068" s="34">
        <f>IF(OR($A2068="",$H2068&lt;&gt;"Ausgabe",N2068=""),0,IF(N2068="x",-$E2068/(COUNTIF($J2068:$Q2068,"x")+1),-$E2068*N(N2068)))</f>
        <v/>
      </c>
      <c r="AC2068" s="34">
        <f>IF(OR($A2068="",$H2068&lt;&gt;"Ausgabe",O2068=""),0,IF(O2068="x",-$E2068/(COUNTIF($J2068:$Q2068,"x")+1),-$E2068*N(O2068)))</f>
        <v/>
      </c>
      <c r="AD2068" s="34">
        <f>IF(OR($A2068="",$H2068&lt;&gt;"Ausgabe",P2068=""),0,IF(P2068="x",-$E2068/(COUNTIF($J2068:$Q2068,"x")+1),-$E2068*N(P2068)))</f>
        <v/>
      </c>
      <c r="AE2068" s="34">
        <f>IF(OR($A2068="",$H2068&lt;&gt;"Ausgabe",Q2068=""),0,IF(Q2068="x",-$E2068/(COUNTIF($J2068:$Q2068,"x")+1),-$E2068*N(Q2068)))</f>
        <v/>
      </c>
    </row>
    <row r="2069">
      <c r="A2069" s="30" t="n"/>
      <c r="E2069" s="31" t="n"/>
      <c r="J2069" s="32" t="n"/>
      <c r="K2069" s="32" t="n"/>
      <c r="L2069" s="32" t="n"/>
      <c r="M2069" s="32" t="n"/>
      <c r="N2069" s="32" t="n"/>
      <c r="O2069" s="32" t="n"/>
      <c r="P2069" s="32" t="n"/>
      <c r="Q2069" s="32" t="n"/>
      <c r="U2069" s="31">
        <f>IF($A2069="","",SUM(X2069:AE2069))</f>
        <v/>
      </c>
      <c r="V2069" s="31">
        <f>IF($A2069="","",IF($H2069&lt;&gt;"Ausgabe",0,-$E2069-$U2069))</f>
        <v/>
      </c>
      <c r="W2069" s="33">
        <f>IF($A2069="","",DATE(YEAR($A2069),MONTH($A2069),1))</f>
        <v/>
      </c>
      <c r="X2069" s="34">
        <f>IF(OR($A2069="",$H2069&lt;&gt;"Ausgabe",J2069=""),0,IF(J2069="x",-$E2069/(COUNTIF($J2069:$Q2069,"x")+1),-$E2069*N(J2069)))</f>
        <v/>
      </c>
      <c r="Y2069" s="34">
        <f>IF(OR($A2069="",$H2069&lt;&gt;"Ausgabe",K2069=""),0,IF(K2069="x",-$E2069/(COUNTIF($J2069:$Q2069,"x")+1),-$E2069*N(K2069)))</f>
        <v/>
      </c>
      <c r="Z2069" s="34">
        <f>IF(OR($A2069="",$H2069&lt;&gt;"Ausgabe",L2069=""),0,IF(L2069="x",-$E2069/(COUNTIF($J2069:$Q2069,"x")+1),-$E2069*N(L2069)))</f>
        <v/>
      </c>
      <c r="AA2069" s="34">
        <f>IF(OR($A2069="",$H2069&lt;&gt;"Ausgabe",M2069=""),0,IF(M2069="x",-$E2069/(COUNTIF($J2069:$Q2069,"x")+1),-$E2069*N(M2069)))</f>
        <v/>
      </c>
      <c r="AB2069" s="34">
        <f>IF(OR($A2069="",$H2069&lt;&gt;"Ausgabe",N2069=""),0,IF(N2069="x",-$E2069/(COUNTIF($J2069:$Q2069,"x")+1),-$E2069*N(N2069)))</f>
        <v/>
      </c>
      <c r="AC2069" s="34">
        <f>IF(OR($A2069="",$H2069&lt;&gt;"Ausgabe",O2069=""),0,IF(O2069="x",-$E2069/(COUNTIF($J2069:$Q2069,"x")+1),-$E2069*N(O2069)))</f>
        <v/>
      </c>
      <c r="AD2069" s="34">
        <f>IF(OR($A2069="",$H2069&lt;&gt;"Ausgabe",P2069=""),0,IF(P2069="x",-$E2069/(COUNTIF($J2069:$Q2069,"x")+1),-$E2069*N(P2069)))</f>
        <v/>
      </c>
      <c r="AE2069" s="34">
        <f>IF(OR($A2069="",$H2069&lt;&gt;"Ausgabe",Q2069=""),0,IF(Q2069="x",-$E2069/(COUNTIF($J2069:$Q2069,"x")+1),-$E2069*N(Q2069)))</f>
        <v/>
      </c>
    </row>
    <row r="2070">
      <c r="A2070" s="30" t="n"/>
      <c r="E2070" s="31" t="n"/>
      <c r="J2070" s="32" t="n"/>
      <c r="K2070" s="32" t="n"/>
      <c r="L2070" s="32" t="n"/>
      <c r="M2070" s="32" t="n"/>
      <c r="N2070" s="32" t="n"/>
      <c r="O2070" s="32" t="n"/>
      <c r="P2070" s="32" t="n"/>
      <c r="Q2070" s="32" t="n"/>
      <c r="U2070" s="31">
        <f>IF($A2070="","",SUM(X2070:AE2070))</f>
        <v/>
      </c>
      <c r="V2070" s="31">
        <f>IF($A2070="","",IF($H2070&lt;&gt;"Ausgabe",0,-$E2070-$U2070))</f>
        <v/>
      </c>
      <c r="W2070" s="33">
        <f>IF($A2070="","",DATE(YEAR($A2070),MONTH($A2070),1))</f>
        <v/>
      </c>
      <c r="X2070" s="34">
        <f>IF(OR($A2070="",$H2070&lt;&gt;"Ausgabe",J2070=""),0,IF(J2070="x",-$E2070/(COUNTIF($J2070:$Q2070,"x")+1),-$E2070*N(J2070)))</f>
        <v/>
      </c>
      <c r="Y2070" s="34">
        <f>IF(OR($A2070="",$H2070&lt;&gt;"Ausgabe",K2070=""),0,IF(K2070="x",-$E2070/(COUNTIF($J2070:$Q2070,"x")+1),-$E2070*N(K2070)))</f>
        <v/>
      </c>
      <c r="Z2070" s="34">
        <f>IF(OR($A2070="",$H2070&lt;&gt;"Ausgabe",L2070=""),0,IF(L2070="x",-$E2070/(COUNTIF($J2070:$Q2070,"x")+1),-$E2070*N(L2070)))</f>
        <v/>
      </c>
      <c r="AA2070" s="34">
        <f>IF(OR($A2070="",$H2070&lt;&gt;"Ausgabe",M2070=""),0,IF(M2070="x",-$E2070/(COUNTIF($J2070:$Q2070,"x")+1),-$E2070*N(M2070)))</f>
        <v/>
      </c>
      <c r="AB2070" s="34">
        <f>IF(OR($A2070="",$H2070&lt;&gt;"Ausgabe",N2070=""),0,IF(N2070="x",-$E2070/(COUNTIF($J2070:$Q2070,"x")+1),-$E2070*N(N2070)))</f>
        <v/>
      </c>
      <c r="AC2070" s="34">
        <f>IF(OR($A2070="",$H2070&lt;&gt;"Ausgabe",O2070=""),0,IF(O2070="x",-$E2070/(COUNTIF($J2070:$Q2070,"x")+1),-$E2070*N(O2070)))</f>
        <v/>
      </c>
      <c r="AD2070" s="34">
        <f>IF(OR($A2070="",$H2070&lt;&gt;"Ausgabe",P2070=""),0,IF(P2070="x",-$E2070/(COUNTIF($J2070:$Q2070,"x")+1),-$E2070*N(P2070)))</f>
        <v/>
      </c>
      <c r="AE2070" s="34">
        <f>IF(OR($A2070="",$H2070&lt;&gt;"Ausgabe",Q2070=""),0,IF(Q2070="x",-$E2070/(COUNTIF($J2070:$Q2070,"x")+1),-$E2070*N(Q2070)))</f>
        <v/>
      </c>
    </row>
    <row r="2071">
      <c r="A2071" s="30" t="n"/>
      <c r="E2071" s="31" t="n"/>
      <c r="J2071" s="32" t="n"/>
      <c r="K2071" s="32" t="n"/>
      <c r="L2071" s="32" t="n"/>
      <c r="M2071" s="32" t="n"/>
      <c r="N2071" s="32" t="n"/>
      <c r="O2071" s="32" t="n"/>
      <c r="P2071" s="32" t="n"/>
      <c r="Q2071" s="32" t="n"/>
      <c r="U2071" s="31">
        <f>IF($A2071="","",SUM(X2071:AE2071))</f>
        <v/>
      </c>
      <c r="V2071" s="31">
        <f>IF($A2071="","",IF($H2071&lt;&gt;"Ausgabe",0,-$E2071-$U2071))</f>
        <v/>
      </c>
      <c r="W2071" s="33">
        <f>IF($A2071="","",DATE(YEAR($A2071),MONTH($A2071),1))</f>
        <v/>
      </c>
      <c r="X2071" s="34">
        <f>IF(OR($A2071="",$H2071&lt;&gt;"Ausgabe",J2071=""),0,IF(J2071="x",-$E2071/(COUNTIF($J2071:$Q2071,"x")+1),-$E2071*N(J2071)))</f>
        <v/>
      </c>
      <c r="Y2071" s="34">
        <f>IF(OR($A2071="",$H2071&lt;&gt;"Ausgabe",K2071=""),0,IF(K2071="x",-$E2071/(COUNTIF($J2071:$Q2071,"x")+1),-$E2071*N(K2071)))</f>
        <v/>
      </c>
      <c r="Z2071" s="34">
        <f>IF(OR($A2071="",$H2071&lt;&gt;"Ausgabe",L2071=""),0,IF(L2071="x",-$E2071/(COUNTIF($J2071:$Q2071,"x")+1),-$E2071*N(L2071)))</f>
        <v/>
      </c>
      <c r="AA2071" s="34">
        <f>IF(OR($A2071="",$H2071&lt;&gt;"Ausgabe",M2071=""),0,IF(M2071="x",-$E2071/(COUNTIF($J2071:$Q2071,"x")+1),-$E2071*N(M2071)))</f>
        <v/>
      </c>
      <c r="AB2071" s="34">
        <f>IF(OR($A2071="",$H2071&lt;&gt;"Ausgabe",N2071=""),0,IF(N2071="x",-$E2071/(COUNTIF($J2071:$Q2071,"x")+1),-$E2071*N(N2071)))</f>
        <v/>
      </c>
      <c r="AC2071" s="34">
        <f>IF(OR($A2071="",$H2071&lt;&gt;"Ausgabe",O2071=""),0,IF(O2071="x",-$E2071/(COUNTIF($J2071:$Q2071,"x")+1),-$E2071*N(O2071)))</f>
        <v/>
      </c>
      <c r="AD2071" s="34">
        <f>IF(OR($A2071="",$H2071&lt;&gt;"Ausgabe",P2071=""),0,IF(P2071="x",-$E2071/(COUNTIF($J2071:$Q2071,"x")+1),-$E2071*N(P2071)))</f>
        <v/>
      </c>
      <c r="AE2071" s="34">
        <f>IF(OR($A2071="",$H2071&lt;&gt;"Ausgabe",Q2071=""),0,IF(Q2071="x",-$E2071/(COUNTIF($J2071:$Q2071,"x")+1),-$E2071*N(Q2071)))</f>
        <v/>
      </c>
    </row>
    <row r="2072">
      <c r="A2072" s="30" t="n"/>
      <c r="E2072" s="31" t="n"/>
      <c r="J2072" s="32" t="n"/>
      <c r="K2072" s="32" t="n"/>
      <c r="L2072" s="32" t="n"/>
      <c r="M2072" s="32" t="n"/>
      <c r="N2072" s="32" t="n"/>
      <c r="O2072" s="32" t="n"/>
      <c r="P2072" s="32" t="n"/>
      <c r="Q2072" s="32" t="n"/>
      <c r="U2072" s="31">
        <f>IF($A2072="","",SUM(X2072:AE2072))</f>
        <v/>
      </c>
      <c r="V2072" s="31">
        <f>IF($A2072="","",IF($H2072&lt;&gt;"Ausgabe",0,-$E2072-$U2072))</f>
        <v/>
      </c>
      <c r="W2072" s="33">
        <f>IF($A2072="","",DATE(YEAR($A2072),MONTH($A2072),1))</f>
        <v/>
      </c>
      <c r="X2072" s="34">
        <f>IF(OR($A2072="",$H2072&lt;&gt;"Ausgabe",J2072=""),0,IF(J2072="x",-$E2072/(COUNTIF($J2072:$Q2072,"x")+1),-$E2072*N(J2072)))</f>
        <v/>
      </c>
      <c r="Y2072" s="34">
        <f>IF(OR($A2072="",$H2072&lt;&gt;"Ausgabe",K2072=""),0,IF(K2072="x",-$E2072/(COUNTIF($J2072:$Q2072,"x")+1),-$E2072*N(K2072)))</f>
        <v/>
      </c>
      <c r="Z2072" s="34">
        <f>IF(OR($A2072="",$H2072&lt;&gt;"Ausgabe",L2072=""),0,IF(L2072="x",-$E2072/(COUNTIF($J2072:$Q2072,"x")+1),-$E2072*N(L2072)))</f>
        <v/>
      </c>
      <c r="AA2072" s="34">
        <f>IF(OR($A2072="",$H2072&lt;&gt;"Ausgabe",M2072=""),0,IF(M2072="x",-$E2072/(COUNTIF($J2072:$Q2072,"x")+1),-$E2072*N(M2072)))</f>
        <v/>
      </c>
      <c r="AB2072" s="34">
        <f>IF(OR($A2072="",$H2072&lt;&gt;"Ausgabe",N2072=""),0,IF(N2072="x",-$E2072/(COUNTIF($J2072:$Q2072,"x")+1),-$E2072*N(N2072)))</f>
        <v/>
      </c>
      <c r="AC2072" s="34">
        <f>IF(OR($A2072="",$H2072&lt;&gt;"Ausgabe",O2072=""),0,IF(O2072="x",-$E2072/(COUNTIF($J2072:$Q2072,"x")+1),-$E2072*N(O2072)))</f>
        <v/>
      </c>
      <c r="AD2072" s="34">
        <f>IF(OR($A2072="",$H2072&lt;&gt;"Ausgabe",P2072=""),0,IF(P2072="x",-$E2072/(COUNTIF($J2072:$Q2072,"x")+1),-$E2072*N(P2072)))</f>
        <v/>
      </c>
      <c r="AE2072" s="34">
        <f>IF(OR($A2072="",$H2072&lt;&gt;"Ausgabe",Q2072=""),0,IF(Q2072="x",-$E2072/(COUNTIF($J2072:$Q2072,"x")+1),-$E2072*N(Q2072)))</f>
        <v/>
      </c>
    </row>
    <row r="2073">
      <c r="A2073" s="30" t="n"/>
      <c r="E2073" s="31" t="n"/>
      <c r="J2073" s="32" t="n"/>
      <c r="K2073" s="32" t="n"/>
      <c r="L2073" s="32" t="n"/>
      <c r="M2073" s="32" t="n"/>
      <c r="N2073" s="32" t="n"/>
      <c r="O2073" s="32" t="n"/>
      <c r="P2073" s="32" t="n"/>
      <c r="Q2073" s="32" t="n"/>
      <c r="U2073" s="31">
        <f>IF($A2073="","",SUM(X2073:AE2073))</f>
        <v/>
      </c>
      <c r="V2073" s="31">
        <f>IF($A2073="","",IF($H2073&lt;&gt;"Ausgabe",0,-$E2073-$U2073))</f>
        <v/>
      </c>
      <c r="W2073" s="33">
        <f>IF($A2073="","",DATE(YEAR($A2073),MONTH($A2073),1))</f>
        <v/>
      </c>
      <c r="X2073" s="34">
        <f>IF(OR($A2073="",$H2073&lt;&gt;"Ausgabe",J2073=""),0,IF(J2073="x",-$E2073/(COUNTIF($J2073:$Q2073,"x")+1),-$E2073*N(J2073)))</f>
        <v/>
      </c>
      <c r="Y2073" s="34">
        <f>IF(OR($A2073="",$H2073&lt;&gt;"Ausgabe",K2073=""),0,IF(K2073="x",-$E2073/(COUNTIF($J2073:$Q2073,"x")+1),-$E2073*N(K2073)))</f>
        <v/>
      </c>
      <c r="Z2073" s="34">
        <f>IF(OR($A2073="",$H2073&lt;&gt;"Ausgabe",L2073=""),0,IF(L2073="x",-$E2073/(COUNTIF($J2073:$Q2073,"x")+1),-$E2073*N(L2073)))</f>
        <v/>
      </c>
      <c r="AA2073" s="34">
        <f>IF(OR($A2073="",$H2073&lt;&gt;"Ausgabe",M2073=""),0,IF(M2073="x",-$E2073/(COUNTIF($J2073:$Q2073,"x")+1),-$E2073*N(M2073)))</f>
        <v/>
      </c>
      <c r="AB2073" s="34">
        <f>IF(OR($A2073="",$H2073&lt;&gt;"Ausgabe",N2073=""),0,IF(N2073="x",-$E2073/(COUNTIF($J2073:$Q2073,"x")+1),-$E2073*N(N2073)))</f>
        <v/>
      </c>
      <c r="AC2073" s="34">
        <f>IF(OR($A2073="",$H2073&lt;&gt;"Ausgabe",O2073=""),0,IF(O2073="x",-$E2073/(COUNTIF($J2073:$Q2073,"x")+1),-$E2073*N(O2073)))</f>
        <v/>
      </c>
      <c r="AD2073" s="34">
        <f>IF(OR($A2073="",$H2073&lt;&gt;"Ausgabe",P2073=""),0,IF(P2073="x",-$E2073/(COUNTIF($J2073:$Q2073,"x")+1),-$E2073*N(P2073)))</f>
        <v/>
      </c>
      <c r="AE2073" s="34">
        <f>IF(OR($A2073="",$H2073&lt;&gt;"Ausgabe",Q2073=""),0,IF(Q2073="x",-$E2073/(COUNTIF($J2073:$Q2073,"x")+1),-$E2073*N(Q2073)))</f>
        <v/>
      </c>
    </row>
    <row r="2074">
      <c r="A2074" s="30" t="n"/>
      <c r="E2074" s="31" t="n"/>
      <c r="J2074" s="32" t="n"/>
      <c r="K2074" s="32" t="n"/>
      <c r="L2074" s="32" t="n"/>
      <c r="M2074" s="32" t="n"/>
      <c r="N2074" s="32" t="n"/>
      <c r="O2074" s="32" t="n"/>
      <c r="P2074" s="32" t="n"/>
      <c r="Q2074" s="32" t="n"/>
      <c r="U2074" s="31">
        <f>IF($A2074="","",SUM(X2074:AE2074))</f>
        <v/>
      </c>
      <c r="V2074" s="31">
        <f>IF($A2074="","",IF($H2074&lt;&gt;"Ausgabe",0,-$E2074-$U2074))</f>
        <v/>
      </c>
      <c r="W2074" s="33">
        <f>IF($A2074="","",DATE(YEAR($A2074),MONTH($A2074),1))</f>
        <v/>
      </c>
      <c r="X2074" s="34">
        <f>IF(OR($A2074="",$H2074&lt;&gt;"Ausgabe",J2074=""),0,IF(J2074="x",-$E2074/(COUNTIF($J2074:$Q2074,"x")+1),-$E2074*N(J2074)))</f>
        <v/>
      </c>
      <c r="Y2074" s="34">
        <f>IF(OR($A2074="",$H2074&lt;&gt;"Ausgabe",K2074=""),0,IF(K2074="x",-$E2074/(COUNTIF($J2074:$Q2074,"x")+1),-$E2074*N(K2074)))</f>
        <v/>
      </c>
      <c r="Z2074" s="34">
        <f>IF(OR($A2074="",$H2074&lt;&gt;"Ausgabe",L2074=""),0,IF(L2074="x",-$E2074/(COUNTIF($J2074:$Q2074,"x")+1),-$E2074*N(L2074)))</f>
        <v/>
      </c>
      <c r="AA2074" s="34">
        <f>IF(OR($A2074="",$H2074&lt;&gt;"Ausgabe",M2074=""),0,IF(M2074="x",-$E2074/(COUNTIF($J2074:$Q2074,"x")+1),-$E2074*N(M2074)))</f>
        <v/>
      </c>
      <c r="AB2074" s="34">
        <f>IF(OR($A2074="",$H2074&lt;&gt;"Ausgabe",N2074=""),0,IF(N2074="x",-$E2074/(COUNTIF($J2074:$Q2074,"x")+1),-$E2074*N(N2074)))</f>
        <v/>
      </c>
      <c r="AC2074" s="34">
        <f>IF(OR($A2074="",$H2074&lt;&gt;"Ausgabe",O2074=""),0,IF(O2074="x",-$E2074/(COUNTIF($J2074:$Q2074,"x")+1),-$E2074*N(O2074)))</f>
        <v/>
      </c>
      <c r="AD2074" s="34">
        <f>IF(OR($A2074="",$H2074&lt;&gt;"Ausgabe",P2074=""),0,IF(P2074="x",-$E2074/(COUNTIF($J2074:$Q2074,"x")+1),-$E2074*N(P2074)))</f>
        <v/>
      </c>
      <c r="AE2074" s="34">
        <f>IF(OR($A2074="",$H2074&lt;&gt;"Ausgabe",Q2074=""),0,IF(Q2074="x",-$E2074/(COUNTIF($J2074:$Q2074,"x")+1),-$E2074*N(Q2074)))</f>
        <v/>
      </c>
    </row>
    <row r="2075">
      <c r="A2075" s="30" t="n"/>
      <c r="E2075" s="31" t="n"/>
      <c r="J2075" s="32" t="n"/>
      <c r="K2075" s="32" t="n"/>
      <c r="L2075" s="32" t="n"/>
      <c r="M2075" s="32" t="n"/>
      <c r="N2075" s="32" t="n"/>
      <c r="O2075" s="32" t="n"/>
      <c r="P2075" s="32" t="n"/>
      <c r="Q2075" s="32" t="n"/>
      <c r="U2075" s="31">
        <f>IF($A2075="","",SUM(X2075:AE2075))</f>
        <v/>
      </c>
      <c r="V2075" s="31">
        <f>IF($A2075="","",IF($H2075&lt;&gt;"Ausgabe",0,-$E2075-$U2075))</f>
        <v/>
      </c>
      <c r="W2075" s="33">
        <f>IF($A2075="","",DATE(YEAR($A2075),MONTH($A2075),1))</f>
        <v/>
      </c>
      <c r="X2075" s="34">
        <f>IF(OR($A2075="",$H2075&lt;&gt;"Ausgabe",J2075=""),0,IF(J2075="x",-$E2075/(COUNTIF($J2075:$Q2075,"x")+1),-$E2075*N(J2075)))</f>
        <v/>
      </c>
      <c r="Y2075" s="34">
        <f>IF(OR($A2075="",$H2075&lt;&gt;"Ausgabe",K2075=""),0,IF(K2075="x",-$E2075/(COUNTIF($J2075:$Q2075,"x")+1),-$E2075*N(K2075)))</f>
        <v/>
      </c>
      <c r="Z2075" s="34">
        <f>IF(OR($A2075="",$H2075&lt;&gt;"Ausgabe",L2075=""),0,IF(L2075="x",-$E2075/(COUNTIF($J2075:$Q2075,"x")+1),-$E2075*N(L2075)))</f>
        <v/>
      </c>
      <c r="AA2075" s="34">
        <f>IF(OR($A2075="",$H2075&lt;&gt;"Ausgabe",M2075=""),0,IF(M2075="x",-$E2075/(COUNTIF($J2075:$Q2075,"x")+1),-$E2075*N(M2075)))</f>
        <v/>
      </c>
      <c r="AB2075" s="34">
        <f>IF(OR($A2075="",$H2075&lt;&gt;"Ausgabe",N2075=""),0,IF(N2075="x",-$E2075/(COUNTIF($J2075:$Q2075,"x")+1),-$E2075*N(N2075)))</f>
        <v/>
      </c>
      <c r="AC2075" s="34">
        <f>IF(OR($A2075="",$H2075&lt;&gt;"Ausgabe",O2075=""),0,IF(O2075="x",-$E2075/(COUNTIF($J2075:$Q2075,"x")+1),-$E2075*N(O2075)))</f>
        <v/>
      </c>
      <c r="AD2075" s="34">
        <f>IF(OR($A2075="",$H2075&lt;&gt;"Ausgabe",P2075=""),0,IF(P2075="x",-$E2075/(COUNTIF($J2075:$Q2075,"x")+1),-$E2075*N(P2075)))</f>
        <v/>
      </c>
      <c r="AE2075" s="34">
        <f>IF(OR($A2075="",$H2075&lt;&gt;"Ausgabe",Q2075=""),0,IF(Q2075="x",-$E2075/(COUNTIF($J2075:$Q2075,"x")+1),-$E2075*N(Q2075)))</f>
        <v/>
      </c>
    </row>
    <row r="2076">
      <c r="A2076" s="30" t="n"/>
      <c r="E2076" s="31" t="n"/>
      <c r="J2076" s="32" t="n"/>
      <c r="K2076" s="32" t="n"/>
      <c r="L2076" s="32" t="n"/>
      <c r="M2076" s="32" t="n"/>
      <c r="N2076" s="32" t="n"/>
      <c r="O2076" s="32" t="n"/>
      <c r="P2076" s="32" t="n"/>
      <c r="Q2076" s="32" t="n"/>
      <c r="U2076" s="31">
        <f>IF($A2076="","",SUM(X2076:AE2076))</f>
        <v/>
      </c>
      <c r="V2076" s="31">
        <f>IF($A2076="","",IF($H2076&lt;&gt;"Ausgabe",0,-$E2076-$U2076))</f>
        <v/>
      </c>
      <c r="W2076" s="33">
        <f>IF($A2076="","",DATE(YEAR($A2076),MONTH($A2076),1))</f>
        <v/>
      </c>
      <c r="X2076" s="34">
        <f>IF(OR($A2076="",$H2076&lt;&gt;"Ausgabe",J2076=""),0,IF(J2076="x",-$E2076/(COUNTIF($J2076:$Q2076,"x")+1),-$E2076*N(J2076)))</f>
        <v/>
      </c>
      <c r="Y2076" s="34">
        <f>IF(OR($A2076="",$H2076&lt;&gt;"Ausgabe",K2076=""),0,IF(K2076="x",-$E2076/(COUNTIF($J2076:$Q2076,"x")+1),-$E2076*N(K2076)))</f>
        <v/>
      </c>
      <c r="Z2076" s="34">
        <f>IF(OR($A2076="",$H2076&lt;&gt;"Ausgabe",L2076=""),0,IF(L2076="x",-$E2076/(COUNTIF($J2076:$Q2076,"x")+1),-$E2076*N(L2076)))</f>
        <v/>
      </c>
      <c r="AA2076" s="34">
        <f>IF(OR($A2076="",$H2076&lt;&gt;"Ausgabe",M2076=""),0,IF(M2076="x",-$E2076/(COUNTIF($J2076:$Q2076,"x")+1),-$E2076*N(M2076)))</f>
        <v/>
      </c>
      <c r="AB2076" s="34">
        <f>IF(OR($A2076="",$H2076&lt;&gt;"Ausgabe",N2076=""),0,IF(N2076="x",-$E2076/(COUNTIF($J2076:$Q2076,"x")+1),-$E2076*N(N2076)))</f>
        <v/>
      </c>
      <c r="AC2076" s="34">
        <f>IF(OR($A2076="",$H2076&lt;&gt;"Ausgabe",O2076=""),0,IF(O2076="x",-$E2076/(COUNTIF($J2076:$Q2076,"x")+1),-$E2076*N(O2076)))</f>
        <v/>
      </c>
      <c r="AD2076" s="34">
        <f>IF(OR($A2076="",$H2076&lt;&gt;"Ausgabe",P2076=""),0,IF(P2076="x",-$E2076/(COUNTIF($J2076:$Q2076,"x")+1),-$E2076*N(P2076)))</f>
        <v/>
      </c>
      <c r="AE2076" s="34">
        <f>IF(OR($A2076="",$H2076&lt;&gt;"Ausgabe",Q2076=""),0,IF(Q2076="x",-$E2076/(COUNTIF($J2076:$Q2076,"x")+1),-$E2076*N(Q2076)))</f>
        <v/>
      </c>
    </row>
    <row r="2077">
      <c r="A2077" s="30" t="n"/>
      <c r="E2077" s="31" t="n"/>
      <c r="J2077" s="32" t="n"/>
      <c r="K2077" s="32" t="n"/>
      <c r="L2077" s="32" t="n"/>
      <c r="M2077" s="32" t="n"/>
      <c r="N2077" s="32" t="n"/>
      <c r="O2077" s="32" t="n"/>
      <c r="P2077" s="32" t="n"/>
      <c r="Q2077" s="32" t="n"/>
      <c r="U2077" s="31">
        <f>IF($A2077="","",SUM(X2077:AE2077))</f>
        <v/>
      </c>
      <c r="V2077" s="31">
        <f>IF($A2077="","",IF($H2077&lt;&gt;"Ausgabe",0,-$E2077-$U2077))</f>
        <v/>
      </c>
      <c r="W2077" s="33">
        <f>IF($A2077="","",DATE(YEAR($A2077),MONTH($A2077),1))</f>
        <v/>
      </c>
      <c r="X2077" s="34">
        <f>IF(OR($A2077="",$H2077&lt;&gt;"Ausgabe",J2077=""),0,IF(J2077="x",-$E2077/(COUNTIF($J2077:$Q2077,"x")+1),-$E2077*N(J2077)))</f>
        <v/>
      </c>
      <c r="Y2077" s="34">
        <f>IF(OR($A2077="",$H2077&lt;&gt;"Ausgabe",K2077=""),0,IF(K2077="x",-$E2077/(COUNTIF($J2077:$Q2077,"x")+1),-$E2077*N(K2077)))</f>
        <v/>
      </c>
      <c r="Z2077" s="34">
        <f>IF(OR($A2077="",$H2077&lt;&gt;"Ausgabe",L2077=""),0,IF(L2077="x",-$E2077/(COUNTIF($J2077:$Q2077,"x")+1),-$E2077*N(L2077)))</f>
        <v/>
      </c>
      <c r="AA2077" s="34">
        <f>IF(OR($A2077="",$H2077&lt;&gt;"Ausgabe",M2077=""),0,IF(M2077="x",-$E2077/(COUNTIF($J2077:$Q2077,"x")+1),-$E2077*N(M2077)))</f>
        <v/>
      </c>
      <c r="AB2077" s="34">
        <f>IF(OR($A2077="",$H2077&lt;&gt;"Ausgabe",N2077=""),0,IF(N2077="x",-$E2077/(COUNTIF($J2077:$Q2077,"x")+1),-$E2077*N(N2077)))</f>
        <v/>
      </c>
      <c r="AC2077" s="34">
        <f>IF(OR($A2077="",$H2077&lt;&gt;"Ausgabe",O2077=""),0,IF(O2077="x",-$E2077/(COUNTIF($J2077:$Q2077,"x")+1),-$E2077*N(O2077)))</f>
        <v/>
      </c>
      <c r="AD2077" s="34">
        <f>IF(OR($A2077="",$H2077&lt;&gt;"Ausgabe",P2077=""),0,IF(P2077="x",-$E2077/(COUNTIF($J2077:$Q2077,"x")+1),-$E2077*N(P2077)))</f>
        <v/>
      </c>
      <c r="AE2077" s="34">
        <f>IF(OR($A2077="",$H2077&lt;&gt;"Ausgabe",Q2077=""),0,IF(Q2077="x",-$E2077/(COUNTIF($J2077:$Q2077,"x")+1),-$E2077*N(Q2077)))</f>
        <v/>
      </c>
    </row>
    <row r="2078">
      <c r="A2078" s="30" t="n"/>
      <c r="E2078" s="31" t="n"/>
      <c r="J2078" s="32" t="n"/>
      <c r="K2078" s="32" t="n"/>
      <c r="L2078" s="32" t="n"/>
      <c r="M2078" s="32" t="n"/>
      <c r="N2078" s="32" t="n"/>
      <c r="O2078" s="32" t="n"/>
      <c r="P2078" s="32" t="n"/>
      <c r="Q2078" s="32" t="n"/>
      <c r="U2078" s="31">
        <f>IF($A2078="","",SUM(X2078:AE2078))</f>
        <v/>
      </c>
      <c r="V2078" s="31">
        <f>IF($A2078="","",IF($H2078&lt;&gt;"Ausgabe",0,-$E2078-$U2078))</f>
        <v/>
      </c>
      <c r="W2078" s="33">
        <f>IF($A2078="","",DATE(YEAR($A2078),MONTH($A2078),1))</f>
        <v/>
      </c>
      <c r="X2078" s="34">
        <f>IF(OR($A2078="",$H2078&lt;&gt;"Ausgabe",J2078=""),0,IF(J2078="x",-$E2078/(COUNTIF($J2078:$Q2078,"x")+1),-$E2078*N(J2078)))</f>
        <v/>
      </c>
      <c r="Y2078" s="34">
        <f>IF(OR($A2078="",$H2078&lt;&gt;"Ausgabe",K2078=""),0,IF(K2078="x",-$E2078/(COUNTIF($J2078:$Q2078,"x")+1),-$E2078*N(K2078)))</f>
        <v/>
      </c>
      <c r="Z2078" s="34">
        <f>IF(OR($A2078="",$H2078&lt;&gt;"Ausgabe",L2078=""),0,IF(L2078="x",-$E2078/(COUNTIF($J2078:$Q2078,"x")+1),-$E2078*N(L2078)))</f>
        <v/>
      </c>
      <c r="AA2078" s="34">
        <f>IF(OR($A2078="",$H2078&lt;&gt;"Ausgabe",M2078=""),0,IF(M2078="x",-$E2078/(COUNTIF($J2078:$Q2078,"x")+1),-$E2078*N(M2078)))</f>
        <v/>
      </c>
      <c r="AB2078" s="34">
        <f>IF(OR($A2078="",$H2078&lt;&gt;"Ausgabe",N2078=""),0,IF(N2078="x",-$E2078/(COUNTIF($J2078:$Q2078,"x")+1),-$E2078*N(N2078)))</f>
        <v/>
      </c>
      <c r="AC2078" s="34">
        <f>IF(OR($A2078="",$H2078&lt;&gt;"Ausgabe",O2078=""),0,IF(O2078="x",-$E2078/(COUNTIF($J2078:$Q2078,"x")+1),-$E2078*N(O2078)))</f>
        <v/>
      </c>
      <c r="AD2078" s="34">
        <f>IF(OR($A2078="",$H2078&lt;&gt;"Ausgabe",P2078=""),0,IF(P2078="x",-$E2078/(COUNTIF($J2078:$Q2078,"x")+1),-$E2078*N(P2078)))</f>
        <v/>
      </c>
      <c r="AE2078" s="34">
        <f>IF(OR($A2078="",$H2078&lt;&gt;"Ausgabe",Q2078=""),0,IF(Q2078="x",-$E2078/(COUNTIF($J2078:$Q2078,"x")+1),-$E2078*N(Q2078)))</f>
        <v/>
      </c>
    </row>
    <row r="2079">
      <c r="A2079" s="30" t="n"/>
      <c r="E2079" s="31" t="n"/>
      <c r="J2079" s="32" t="n"/>
      <c r="K2079" s="32" t="n"/>
      <c r="L2079" s="32" t="n"/>
      <c r="M2079" s="32" t="n"/>
      <c r="N2079" s="32" t="n"/>
      <c r="O2079" s="32" t="n"/>
      <c r="P2079" s="32" t="n"/>
      <c r="Q2079" s="32" t="n"/>
      <c r="U2079" s="31">
        <f>IF($A2079="","",SUM(X2079:AE2079))</f>
        <v/>
      </c>
      <c r="V2079" s="31">
        <f>IF($A2079="","",IF($H2079&lt;&gt;"Ausgabe",0,-$E2079-$U2079))</f>
        <v/>
      </c>
      <c r="W2079" s="33">
        <f>IF($A2079="","",DATE(YEAR($A2079),MONTH($A2079),1))</f>
        <v/>
      </c>
      <c r="X2079" s="34">
        <f>IF(OR($A2079="",$H2079&lt;&gt;"Ausgabe",J2079=""),0,IF(J2079="x",-$E2079/(COUNTIF($J2079:$Q2079,"x")+1),-$E2079*N(J2079)))</f>
        <v/>
      </c>
      <c r="Y2079" s="34">
        <f>IF(OR($A2079="",$H2079&lt;&gt;"Ausgabe",K2079=""),0,IF(K2079="x",-$E2079/(COUNTIF($J2079:$Q2079,"x")+1),-$E2079*N(K2079)))</f>
        <v/>
      </c>
      <c r="Z2079" s="34">
        <f>IF(OR($A2079="",$H2079&lt;&gt;"Ausgabe",L2079=""),0,IF(L2079="x",-$E2079/(COUNTIF($J2079:$Q2079,"x")+1),-$E2079*N(L2079)))</f>
        <v/>
      </c>
      <c r="AA2079" s="34">
        <f>IF(OR($A2079="",$H2079&lt;&gt;"Ausgabe",M2079=""),0,IF(M2079="x",-$E2079/(COUNTIF($J2079:$Q2079,"x")+1),-$E2079*N(M2079)))</f>
        <v/>
      </c>
      <c r="AB2079" s="34">
        <f>IF(OR($A2079="",$H2079&lt;&gt;"Ausgabe",N2079=""),0,IF(N2079="x",-$E2079/(COUNTIF($J2079:$Q2079,"x")+1),-$E2079*N(N2079)))</f>
        <v/>
      </c>
      <c r="AC2079" s="34">
        <f>IF(OR($A2079="",$H2079&lt;&gt;"Ausgabe",O2079=""),0,IF(O2079="x",-$E2079/(COUNTIF($J2079:$Q2079,"x")+1),-$E2079*N(O2079)))</f>
        <v/>
      </c>
      <c r="AD2079" s="34">
        <f>IF(OR($A2079="",$H2079&lt;&gt;"Ausgabe",P2079=""),0,IF(P2079="x",-$E2079/(COUNTIF($J2079:$Q2079,"x")+1),-$E2079*N(P2079)))</f>
        <v/>
      </c>
      <c r="AE2079" s="34">
        <f>IF(OR($A2079="",$H2079&lt;&gt;"Ausgabe",Q2079=""),0,IF(Q2079="x",-$E2079/(COUNTIF($J2079:$Q2079,"x")+1),-$E2079*N(Q2079)))</f>
        <v/>
      </c>
    </row>
    <row r="2080">
      <c r="A2080" s="30" t="n"/>
      <c r="E2080" s="31" t="n"/>
      <c r="J2080" s="32" t="n"/>
      <c r="K2080" s="32" t="n"/>
      <c r="L2080" s="32" t="n"/>
      <c r="M2080" s="32" t="n"/>
      <c r="N2080" s="32" t="n"/>
      <c r="O2080" s="32" t="n"/>
      <c r="P2080" s="32" t="n"/>
      <c r="Q2080" s="32" t="n"/>
      <c r="U2080" s="31">
        <f>IF($A2080="","",SUM(X2080:AE2080))</f>
        <v/>
      </c>
      <c r="V2080" s="31">
        <f>IF($A2080="","",IF($H2080&lt;&gt;"Ausgabe",0,-$E2080-$U2080))</f>
        <v/>
      </c>
      <c r="W2080" s="33">
        <f>IF($A2080="","",DATE(YEAR($A2080),MONTH($A2080),1))</f>
        <v/>
      </c>
      <c r="X2080" s="34">
        <f>IF(OR($A2080="",$H2080&lt;&gt;"Ausgabe",J2080=""),0,IF(J2080="x",-$E2080/(COUNTIF($J2080:$Q2080,"x")+1),-$E2080*N(J2080)))</f>
        <v/>
      </c>
      <c r="Y2080" s="34">
        <f>IF(OR($A2080="",$H2080&lt;&gt;"Ausgabe",K2080=""),0,IF(K2080="x",-$E2080/(COUNTIF($J2080:$Q2080,"x")+1),-$E2080*N(K2080)))</f>
        <v/>
      </c>
      <c r="Z2080" s="34">
        <f>IF(OR($A2080="",$H2080&lt;&gt;"Ausgabe",L2080=""),0,IF(L2080="x",-$E2080/(COUNTIF($J2080:$Q2080,"x")+1),-$E2080*N(L2080)))</f>
        <v/>
      </c>
      <c r="AA2080" s="34">
        <f>IF(OR($A2080="",$H2080&lt;&gt;"Ausgabe",M2080=""),0,IF(M2080="x",-$E2080/(COUNTIF($J2080:$Q2080,"x")+1),-$E2080*N(M2080)))</f>
        <v/>
      </c>
      <c r="AB2080" s="34">
        <f>IF(OR($A2080="",$H2080&lt;&gt;"Ausgabe",N2080=""),0,IF(N2080="x",-$E2080/(COUNTIF($J2080:$Q2080,"x")+1),-$E2080*N(N2080)))</f>
        <v/>
      </c>
      <c r="AC2080" s="34">
        <f>IF(OR($A2080="",$H2080&lt;&gt;"Ausgabe",O2080=""),0,IF(O2080="x",-$E2080/(COUNTIF($J2080:$Q2080,"x")+1),-$E2080*N(O2080)))</f>
        <v/>
      </c>
      <c r="AD2080" s="34">
        <f>IF(OR($A2080="",$H2080&lt;&gt;"Ausgabe",P2080=""),0,IF(P2080="x",-$E2080/(COUNTIF($J2080:$Q2080,"x")+1),-$E2080*N(P2080)))</f>
        <v/>
      </c>
      <c r="AE2080" s="34">
        <f>IF(OR($A2080="",$H2080&lt;&gt;"Ausgabe",Q2080=""),0,IF(Q2080="x",-$E2080/(COUNTIF($J2080:$Q2080,"x")+1),-$E2080*N(Q2080)))</f>
        <v/>
      </c>
    </row>
    <row r="2081">
      <c r="A2081" s="30" t="n"/>
      <c r="E2081" s="31" t="n"/>
      <c r="J2081" s="32" t="n"/>
      <c r="K2081" s="32" t="n"/>
      <c r="L2081" s="32" t="n"/>
      <c r="M2081" s="32" t="n"/>
      <c r="N2081" s="32" t="n"/>
      <c r="O2081" s="32" t="n"/>
      <c r="P2081" s="32" t="n"/>
      <c r="Q2081" s="32" t="n"/>
      <c r="U2081" s="31">
        <f>IF($A2081="","",SUM(X2081:AE2081))</f>
        <v/>
      </c>
      <c r="V2081" s="31">
        <f>IF($A2081="","",IF($H2081&lt;&gt;"Ausgabe",0,-$E2081-$U2081))</f>
        <v/>
      </c>
      <c r="W2081" s="33">
        <f>IF($A2081="","",DATE(YEAR($A2081),MONTH($A2081),1))</f>
        <v/>
      </c>
      <c r="X2081" s="34">
        <f>IF(OR($A2081="",$H2081&lt;&gt;"Ausgabe",J2081=""),0,IF(J2081="x",-$E2081/(COUNTIF($J2081:$Q2081,"x")+1),-$E2081*N(J2081)))</f>
        <v/>
      </c>
      <c r="Y2081" s="34">
        <f>IF(OR($A2081="",$H2081&lt;&gt;"Ausgabe",K2081=""),0,IF(K2081="x",-$E2081/(COUNTIF($J2081:$Q2081,"x")+1),-$E2081*N(K2081)))</f>
        <v/>
      </c>
      <c r="Z2081" s="34">
        <f>IF(OR($A2081="",$H2081&lt;&gt;"Ausgabe",L2081=""),0,IF(L2081="x",-$E2081/(COUNTIF($J2081:$Q2081,"x")+1),-$E2081*N(L2081)))</f>
        <v/>
      </c>
      <c r="AA2081" s="34">
        <f>IF(OR($A2081="",$H2081&lt;&gt;"Ausgabe",M2081=""),0,IF(M2081="x",-$E2081/(COUNTIF($J2081:$Q2081,"x")+1),-$E2081*N(M2081)))</f>
        <v/>
      </c>
      <c r="AB2081" s="34">
        <f>IF(OR($A2081="",$H2081&lt;&gt;"Ausgabe",N2081=""),0,IF(N2081="x",-$E2081/(COUNTIF($J2081:$Q2081,"x")+1),-$E2081*N(N2081)))</f>
        <v/>
      </c>
      <c r="AC2081" s="34">
        <f>IF(OR($A2081="",$H2081&lt;&gt;"Ausgabe",O2081=""),0,IF(O2081="x",-$E2081/(COUNTIF($J2081:$Q2081,"x")+1),-$E2081*N(O2081)))</f>
        <v/>
      </c>
      <c r="AD2081" s="34">
        <f>IF(OR($A2081="",$H2081&lt;&gt;"Ausgabe",P2081=""),0,IF(P2081="x",-$E2081/(COUNTIF($J2081:$Q2081,"x")+1),-$E2081*N(P2081)))</f>
        <v/>
      </c>
      <c r="AE2081" s="34">
        <f>IF(OR($A2081="",$H2081&lt;&gt;"Ausgabe",Q2081=""),0,IF(Q2081="x",-$E2081/(COUNTIF($J2081:$Q2081,"x")+1),-$E2081*N(Q2081)))</f>
        <v/>
      </c>
    </row>
    <row r="2082">
      <c r="A2082" s="30" t="n"/>
      <c r="E2082" s="31" t="n"/>
      <c r="J2082" s="32" t="n"/>
      <c r="K2082" s="32" t="n"/>
      <c r="L2082" s="32" t="n"/>
      <c r="M2082" s="32" t="n"/>
      <c r="N2082" s="32" t="n"/>
      <c r="O2082" s="32" t="n"/>
      <c r="P2082" s="32" t="n"/>
      <c r="Q2082" s="32" t="n"/>
      <c r="U2082" s="31">
        <f>IF($A2082="","",SUM(X2082:AE2082))</f>
        <v/>
      </c>
      <c r="V2082" s="31">
        <f>IF($A2082="","",IF($H2082&lt;&gt;"Ausgabe",0,-$E2082-$U2082))</f>
        <v/>
      </c>
      <c r="W2082" s="33">
        <f>IF($A2082="","",DATE(YEAR($A2082),MONTH($A2082),1))</f>
        <v/>
      </c>
      <c r="X2082" s="34">
        <f>IF(OR($A2082="",$H2082&lt;&gt;"Ausgabe",J2082=""),0,IF(J2082="x",-$E2082/(COUNTIF($J2082:$Q2082,"x")+1),-$E2082*N(J2082)))</f>
        <v/>
      </c>
      <c r="Y2082" s="34">
        <f>IF(OR($A2082="",$H2082&lt;&gt;"Ausgabe",K2082=""),0,IF(K2082="x",-$E2082/(COUNTIF($J2082:$Q2082,"x")+1),-$E2082*N(K2082)))</f>
        <v/>
      </c>
      <c r="Z2082" s="34">
        <f>IF(OR($A2082="",$H2082&lt;&gt;"Ausgabe",L2082=""),0,IF(L2082="x",-$E2082/(COUNTIF($J2082:$Q2082,"x")+1),-$E2082*N(L2082)))</f>
        <v/>
      </c>
      <c r="AA2082" s="34">
        <f>IF(OR($A2082="",$H2082&lt;&gt;"Ausgabe",M2082=""),0,IF(M2082="x",-$E2082/(COUNTIF($J2082:$Q2082,"x")+1),-$E2082*N(M2082)))</f>
        <v/>
      </c>
      <c r="AB2082" s="34">
        <f>IF(OR($A2082="",$H2082&lt;&gt;"Ausgabe",N2082=""),0,IF(N2082="x",-$E2082/(COUNTIF($J2082:$Q2082,"x")+1),-$E2082*N(N2082)))</f>
        <v/>
      </c>
      <c r="AC2082" s="34">
        <f>IF(OR($A2082="",$H2082&lt;&gt;"Ausgabe",O2082=""),0,IF(O2082="x",-$E2082/(COUNTIF($J2082:$Q2082,"x")+1),-$E2082*N(O2082)))</f>
        <v/>
      </c>
      <c r="AD2082" s="34">
        <f>IF(OR($A2082="",$H2082&lt;&gt;"Ausgabe",P2082=""),0,IF(P2082="x",-$E2082/(COUNTIF($J2082:$Q2082,"x")+1),-$E2082*N(P2082)))</f>
        <v/>
      </c>
      <c r="AE2082" s="34">
        <f>IF(OR($A2082="",$H2082&lt;&gt;"Ausgabe",Q2082=""),0,IF(Q2082="x",-$E2082/(COUNTIF($J2082:$Q2082,"x")+1),-$E2082*N(Q2082)))</f>
        <v/>
      </c>
    </row>
    <row r="2083">
      <c r="A2083" s="30" t="n"/>
      <c r="E2083" s="31" t="n"/>
      <c r="J2083" s="32" t="n"/>
      <c r="K2083" s="32" t="n"/>
      <c r="L2083" s="32" t="n"/>
      <c r="M2083" s="32" t="n"/>
      <c r="N2083" s="32" t="n"/>
      <c r="O2083" s="32" t="n"/>
      <c r="P2083" s="32" t="n"/>
      <c r="Q2083" s="32" t="n"/>
      <c r="U2083" s="31">
        <f>IF($A2083="","",SUM(X2083:AE2083))</f>
        <v/>
      </c>
      <c r="V2083" s="31">
        <f>IF($A2083="","",IF($H2083&lt;&gt;"Ausgabe",0,-$E2083-$U2083))</f>
        <v/>
      </c>
      <c r="W2083" s="33">
        <f>IF($A2083="","",DATE(YEAR($A2083),MONTH($A2083),1))</f>
        <v/>
      </c>
      <c r="X2083" s="34">
        <f>IF(OR($A2083="",$H2083&lt;&gt;"Ausgabe",J2083=""),0,IF(J2083="x",-$E2083/(COUNTIF($J2083:$Q2083,"x")+1),-$E2083*N(J2083)))</f>
        <v/>
      </c>
      <c r="Y2083" s="34">
        <f>IF(OR($A2083="",$H2083&lt;&gt;"Ausgabe",K2083=""),0,IF(K2083="x",-$E2083/(COUNTIF($J2083:$Q2083,"x")+1),-$E2083*N(K2083)))</f>
        <v/>
      </c>
      <c r="Z2083" s="34">
        <f>IF(OR($A2083="",$H2083&lt;&gt;"Ausgabe",L2083=""),0,IF(L2083="x",-$E2083/(COUNTIF($J2083:$Q2083,"x")+1),-$E2083*N(L2083)))</f>
        <v/>
      </c>
      <c r="AA2083" s="34">
        <f>IF(OR($A2083="",$H2083&lt;&gt;"Ausgabe",M2083=""),0,IF(M2083="x",-$E2083/(COUNTIF($J2083:$Q2083,"x")+1),-$E2083*N(M2083)))</f>
        <v/>
      </c>
      <c r="AB2083" s="34">
        <f>IF(OR($A2083="",$H2083&lt;&gt;"Ausgabe",N2083=""),0,IF(N2083="x",-$E2083/(COUNTIF($J2083:$Q2083,"x")+1),-$E2083*N(N2083)))</f>
        <v/>
      </c>
      <c r="AC2083" s="34">
        <f>IF(OR($A2083="",$H2083&lt;&gt;"Ausgabe",O2083=""),0,IF(O2083="x",-$E2083/(COUNTIF($J2083:$Q2083,"x")+1),-$E2083*N(O2083)))</f>
        <v/>
      </c>
      <c r="AD2083" s="34">
        <f>IF(OR($A2083="",$H2083&lt;&gt;"Ausgabe",P2083=""),0,IF(P2083="x",-$E2083/(COUNTIF($J2083:$Q2083,"x")+1),-$E2083*N(P2083)))</f>
        <v/>
      </c>
      <c r="AE2083" s="34">
        <f>IF(OR($A2083="",$H2083&lt;&gt;"Ausgabe",Q2083=""),0,IF(Q2083="x",-$E2083/(COUNTIF($J2083:$Q2083,"x")+1),-$E2083*N(Q2083)))</f>
        <v/>
      </c>
    </row>
    <row r="2084">
      <c r="A2084" s="30" t="n"/>
      <c r="E2084" s="31" t="n"/>
      <c r="J2084" s="32" t="n"/>
      <c r="K2084" s="32" t="n"/>
      <c r="L2084" s="32" t="n"/>
      <c r="M2084" s="32" t="n"/>
      <c r="N2084" s="32" t="n"/>
      <c r="O2084" s="32" t="n"/>
      <c r="P2084" s="32" t="n"/>
      <c r="Q2084" s="32" t="n"/>
      <c r="U2084" s="31">
        <f>IF($A2084="","",SUM(X2084:AE2084))</f>
        <v/>
      </c>
      <c r="V2084" s="31">
        <f>IF($A2084="","",IF($H2084&lt;&gt;"Ausgabe",0,-$E2084-$U2084))</f>
        <v/>
      </c>
      <c r="W2084" s="33">
        <f>IF($A2084="","",DATE(YEAR($A2084),MONTH($A2084),1))</f>
        <v/>
      </c>
      <c r="X2084" s="34">
        <f>IF(OR($A2084="",$H2084&lt;&gt;"Ausgabe",J2084=""),0,IF(J2084="x",-$E2084/(COUNTIF($J2084:$Q2084,"x")+1),-$E2084*N(J2084)))</f>
        <v/>
      </c>
      <c r="Y2084" s="34">
        <f>IF(OR($A2084="",$H2084&lt;&gt;"Ausgabe",K2084=""),0,IF(K2084="x",-$E2084/(COUNTIF($J2084:$Q2084,"x")+1),-$E2084*N(K2084)))</f>
        <v/>
      </c>
      <c r="Z2084" s="34">
        <f>IF(OR($A2084="",$H2084&lt;&gt;"Ausgabe",L2084=""),0,IF(L2084="x",-$E2084/(COUNTIF($J2084:$Q2084,"x")+1),-$E2084*N(L2084)))</f>
        <v/>
      </c>
      <c r="AA2084" s="34">
        <f>IF(OR($A2084="",$H2084&lt;&gt;"Ausgabe",M2084=""),0,IF(M2084="x",-$E2084/(COUNTIF($J2084:$Q2084,"x")+1),-$E2084*N(M2084)))</f>
        <v/>
      </c>
      <c r="AB2084" s="34">
        <f>IF(OR($A2084="",$H2084&lt;&gt;"Ausgabe",N2084=""),0,IF(N2084="x",-$E2084/(COUNTIF($J2084:$Q2084,"x")+1),-$E2084*N(N2084)))</f>
        <v/>
      </c>
      <c r="AC2084" s="34">
        <f>IF(OR($A2084="",$H2084&lt;&gt;"Ausgabe",O2084=""),0,IF(O2084="x",-$E2084/(COUNTIF($J2084:$Q2084,"x")+1),-$E2084*N(O2084)))</f>
        <v/>
      </c>
      <c r="AD2084" s="34">
        <f>IF(OR($A2084="",$H2084&lt;&gt;"Ausgabe",P2084=""),0,IF(P2084="x",-$E2084/(COUNTIF($J2084:$Q2084,"x")+1),-$E2084*N(P2084)))</f>
        <v/>
      </c>
      <c r="AE2084" s="34">
        <f>IF(OR($A2084="",$H2084&lt;&gt;"Ausgabe",Q2084=""),0,IF(Q2084="x",-$E2084/(COUNTIF($J2084:$Q2084,"x")+1),-$E2084*N(Q2084)))</f>
        <v/>
      </c>
    </row>
    <row r="2085">
      <c r="A2085" s="30" t="n"/>
      <c r="E2085" s="31" t="n"/>
      <c r="J2085" s="32" t="n"/>
      <c r="K2085" s="32" t="n"/>
      <c r="L2085" s="32" t="n"/>
      <c r="M2085" s="32" t="n"/>
      <c r="N2085" s="32" t="n"/>
      <c r="O2085" s="32" t="n"/>
      <c r="P2085" s="32" t="n"/>
      <c r="Q2085" s="32" t="n"/>
      <c r="U2085" s="31">
        <f>IF($A2085="","",SUM(X2085:AE2085))</f>
        <v/>
      </c>
      <c r="V2085" s="31">
        <f>IF($A2085="","",IF($H2085&lt;&gt;"Ausgabe",0,-$E2085-$U2085))</f>
        <v/>
      </c>
      <c r="W2085" s="33">
        <f>IF($A2085="","",DATE(YEAR($A2085),MONTH($A2085),1))</f>
        <v/>
      </c>
      <c r="X2085" s="34">
        <f>IF(OR($A2085="",$H2085&lt;&gt;"Ausgabe",J2085=""),0,IF(J2085="x",-$E2085/(COUNTIF($J2085:$Q2085,"x")+1),-$E2085*N(J2085)))</f>
        <v/>
      </c>
      <c r="Y2085" s="34">
        <f>IF(OR($A2085="",$H2085&lt;&gt;"Ausgabe",K2085=""),0,IF(K2085="x",-$E2085/(COUNTIF($J2085:$Q2085,"x")+1),-$E2085*N(K2085)))</f>
        <v/>
      </c>
      <c r="Z2085" s="34">
        <f>IF(OR($A2085="",$H2085&lt;&gt;"Ausgabe",L2085=""),0,IF(L2085="x",-$E2085/(COUNTIF($J2085:$Q2085,"x")+1),-$E2085*N(L2085)))</f>
        <v/>
      </c>
      <c r="AA2085" s="34">
        <f>IF(OR($A2085="",$H2085&lt;&gt;"Ausgabe",M2085=""),0,IF(M2085="x",-$E2085/(COUNTIF($J2085:$Q2085,"x")+1),-$E2085*N(M2085)))</f>
        <v/>
      </c>
      <c r="AB2085" s="34">
        <f>IF(OR($A2085="",$H2085&lt;&gt;"Ausgabe",N2085=""),0,IF(N2085="x",-$E2085/(COUNTIF($J2085:$Q2085,"x")+1),-$E2085*N(N2085)))</f>
        <v/>
      </c>
      <c r="AC2085" s="34">
        <f>IF(OR($A2085="",$H2085&lt;&gt;"Ausgabe",O2085=""),0,IF(O2085="x",-$E2085/(COUNTIF($J2085:$Q2085,"x")+1),-$E2085*N(O2085)))</f>
        <v/>
      </c>
      <c r="AD2085" s="34">
        <f>IF(OR($A2085="",$H2085&lt;&gt;"Ausgabe",P2085=""),0,IF(P2085="x",-$E2085/(COUNTIF($J2085:$Q2085,"x")+1),-$E2085*N(P2085)))</f>
        <v/>
      </c>
      <c r="AE2085" s="34">
        <f>IF(OR($A2085="",$H2085&lt;&gt;"Ausgabe",Q2085=""),0,IF(Q2085="x",-$E2085/(COUNTIF($J2085:$Q2085,"x")+1),-$E2085*N(Q2085)))</f>
        <v/>
      </c>
    </row>
    <row r="2086">
      <c r="A2086" s="30" t="n"/>
      <c r="E2086" s="31" t="n"/>
      <c r="J2086" s="32" t="n"/>
      <c r="K2086" s="32" t="n"/>
      <c r="L2086" s="32" t="n"/>
      <c r="M2086" s="32" t="n"/>
      <c r="N2086" s="32" t="n"/>
      <c r="O2086" s="32" t="n"/>
      <c r="P2086" s="32" t="n"/>
      <c r="Q2086" s="32" t="n"/>
      <c r="U2086" s="31">
        <f>IF($A2086="","",SUM(X2086:AE2086))</f>
        <v/>
      </c>
      <c r="V2086" s="31">
        <f>IF($A2086="","",IF($H2086&lt;&gt;"Ausgabe",0,-$E2086-$U2086))</f>
        <v/>
      </c>
      <c r="W2086" s="33">
        <f>IF($A2086="","",DATE(YEAR($A2086),MONTH($A2086),1))</f>
        <v/>
      </c>
      <c r="X2086" s="34">
        <f>IF(OR($A2086="",$H2086&lt;&gt;"Ausgabe",J2086=""),0,IF(J2086="x",-$E2086/(COUNTIF($J2086:$Q2086,"x")+1),-$E2086*N(J2086)))</f>
        <v/>
      </c>
      <c r="Y2086" s="34">
        <f>IF(OR($A2086="",$H2086&lt;&gt;"Ausgabe",K2086=""),0,IF(K2086="x",-$E2086/(COUNTIF($J2086:$Q2086,"x")+1),-$E2086*N(K2086)))</f>
        <v/>
      </c>
      <c r="Z2086" s="34">
        <f>IF(OR($A2086="",$H2086&lt;&gt;"Ausgabe",L2086=""),0,IF(L2086="x",-$E2086/(COUNTIF($J2086:$Q2086,"x")+1),-$E2086*N(L2086)))</f>
        <v/>
      </c>
      <c r="AA2086" s="34">
        <f>IF(OR($A2086="",$H2086&lt;&gt;"Ausgabe",M2086=""),0,IF(M2086="x",-$E2086/(COUNTIF($J2086:$Q2086,"x")+1),-$E2086*N(M2086)))</f>
        <v/>
      </c>
      <c r="AB2086" s="34">
        <f>IF(OR($A2086="",$H2086&lt;&gt;"Ausgabe",N2086=""),0,IF(N2086="x",-$E2086/(COUNTIF($J2086:$Q2086,"x")+1),-$E2086*N(N2086)))</f>
        <v/>
      </c>
      <c r="AC2086" s="34">
        <f>IF(OR($A2086="",$H2086&lt;&gt;"Ausgabe",O2086=""),0,IF(O2086="x",-$E2086/(COUNTIF($J2086:$Q2086,"x")+1),-$E2086*N(O2086)))</f>
        <v/>
      </c>
      <c r="AD2086" s="34">
        <f>IF(OR($A2086="",$H2086&lt;&gt;"Ausgabe",P2086=""),0,IF(P2086="x",-$E2086/(COUNTIF($J2086:$Q2086,"x")+1),-$E2086*N(P2086)))</f>
        <v/>
      </c>
      <c r="AE2086" s="34">
        <f>IF(OR($A2086="",$H2086&lt;&gt;"Ausgabe",Q2086=""),0,IF(Q2086="x",-$E2086/(COUNTIF($J2086:$Q2086,"x")+1),-$E2086*N(Q2086)))</f>
        <v/>
      </c>
    </row>
    <row r="2087">
      <c r="A2087" s="30" t="n"/>
      <c r="E2087" s="31" t="n"/>
      <c r="J2087" s="32" t="n"/>
      <c r="K2087" s="32" t="n"/>
      <c r="L2087" s="32" t="n"/>
      <c r="M2087" s="32" t="n"/>
      <c r="N2087" s="32" t="n"/>
      <c r="O2087" s="32" t="n"/>
      <c r="P2087" s="32" t="n"/>
      <c r="Q2087" s="32" t="n"/>
      <c r="U2087" s="31">
        <f>IF($A2087="","",SUM(X2087:AE2087))</f>
        <v/>
      </c>
      <c r="V2087" s="31">
        <f>IF($A2087="","",IF($H2087&lt;&gt;"Ausgabe",0,-$E2087-$U2087))</f>
        <v/>
      </c>
      <c r="W2087" s="33">
        <f>IF($A2087="","",DATE(YEAR($A2087),MONTH($A2087),1))</f>
        <v/>
      </c>
      <c r="X2087" s="34">
        <f>IF(OR($A2087="",$H2087&lt;&gt;"Ausgabe",J2087=""),0,IF(J2087="x",-$E2087/(COUNTIF($J2087:$Q2087,"x")+1),-$E2087*N(J2087)))</f>
        <v/>
      </c>
      <c r="Y2087" s="34">
        <f>IF(OR($A2087="",$H2087&lt;&gt;"Ausgabe",K2087=""),0,IF(K2087="x",-$E2087/(COUNTIF($J2087:$Q2087,"x")+1),-$E2087*N(K2087)))</f>
        <v/>
      </c>
      <c r="Z2087" s="34">
        <f>IF(OR($A2087="",$H2087&lt;&gt;"Ausgabe",L2087=""),0,IF(L2087="x",-$E2087/(COUNTIF($J2087:$Q2087,"x")+1),-$E2087*N(L2087)))</f>
        <v/>
      </c>
      <c r="AA2087" s="34">
        <f>IF(OR($A2087="",$H2087&lt;&gt;"Ausgabe",M2087=""),0,IF(M2087="x",-$E2087/(COUNTIF($J2087:$Q2087,"x")+1),-$E2087*N(M2087)))</f>
        <v/>
      </c>
      <c r="AB2087" s="34">
        <f>IF(OR($A2087="",$H2087&lt;&gt;"Ausgabe",N2087=""),0,IF(N2087="x",-$E2087/(COUNTIF($J2087:$Q2087,"x")+1),-$E2087*N(N2087)))</f>
        <v/>
      </c>
      <c r="AC2087" s="34">
        <f>IF(OR($A2087="",$H2087&lt;&gt;"Ausgabe",O2087=""),0,IF(O2087="x",-$E2087/(COUNTIF($J2087:$Q2087,"x")+1),-$E2087*N(O2087)))</f>
        <v/>
      </c>
      <c r="AD2087" s="34">
        <f>IF(OR($A2087="",$H2087&lt;&gt;"Ausgabe",P2087=""),0,IF(P2087="x",-$E2087/(COUNTIF($J2087:$Q2087,"x")+1),-$E2087*N(P2087)))</f>
        <v/>
      </c>
      <c r="AE2087" s="34">
        <f>IF(OR($A2087="",$H2087&lt;&gt;"Ausgabe",Q2087=""),0,IF(Q2087="x",-$E2087/(COUNTIF($J2087:$Q2087,"x")+1),-$E2087*N(Q2087)))</f>
        <v/>
      </c>
    </row>
    <row r="2088">
      <c r="A2088" s="30" t="n"/>
      <c r="E2088" s="31" t="n"/>
      <c r="J2088" s="32" t="n"/>
      <c r="K2088" s="32" t="n"/>
      <c r="L2088" s="32" t="n"/>
      <c r="M2088" s="32" t="n"/>
      <c r="N2088" s="32" t="n"/>
      <c r="O2088" s="32" t="n"/>
      <c r="P2088" s="32" t="n"/>
      <c r="Q2088" s="32" t="n"/>
      <c r="U2088" s="31">
        <f>IF($A2088="","",SUM(X2088:AE2088))</f>
        <v/>
      </c>
      <c r="V2088" s="31">
        <f>IF($A2088="","",IF($H2088&lt;&gt;"Ausgabe",0,-$E2088-$U2088))</f>
        <v/>
      </c>
      <c r="W2088" s="33">
        <f>IF($A2088="","",DATE(YEAR($A2088),MONTH($A2088),1))</f>
        <v/>
      </c>
      <c r="X2088" s="34">
        <f>IF(OR($A2088="",$H2088&lt;&gt;"Ausgabe",J2088=""),0,IF(J2088="x",-$E2088/(COUNTIF($J2088:$Q2088,"x")+1),-$E2088*N(J2088)))</f>
        <v/>
      </c>
      <c r="Y2088" s="34">
        <f>IF(OR($A2088="",$H2088&lt;&gt;"Ausgabe",K2088=""),0,IF(K2088="x",-$E2088/(COUNTIF($J2088:$Q2088,"x")+1),-$E2088*N(K2088)))</f>
        <v/>
      </c>
      <c r="Z2088" s="34">
        <f>IF(OR($A2088="",$H2088&lt;&gt;"Ausgabe",L2088=""),0,IF(L2088="x",-$E2088/(COUNTIF($J2088:$Q2088,"x")+1),-$E2088*N(L2088)))</f>
        <v/>
      </c>
      <c r="AA2088" s="34">
        <f>IF(OR($A2088="",$H2088&lt;&gt;"Ausgabe",M2088=""),0,IF(M2088="x",-$E2088/(COUNTIF($J2088:$Q2088,"x")+1),-$E2088*N(M2088)))</f>
        <v/>
      </c>
      <c r="AB2088" s="34">
        <f>IF(OR($A2088="",$H2088&lt;&gt;"Ausgabe",N2088=""),0,IF(N2088="x",-$E2088/(COUNTIF($J2088:$Q2088,"x")+1),-$E2088*N(N2088)))</f>
        <v/>
      </c>
      <c r="AC2088" s="34">
        <f>IF(OR($A2088="",$H2088&lt;&gt;"Ausgabe",O2088=""),0,IF(O2088="x",-$E2088/(COUNTIF($J2088:$Q2088,"x")+1),-$E2088*N(O2088)))</f>
        <v/>
      </c>
      <c r="AD2088" s="34">
        <f>IF(OR($A2088="",$H2088&lt;&gt;"Ausgabe",P2088=""),0,IF(P2088="x",-$E2088/(COUNTIF($J2088:$Q2088,"x")+1),-$E2088*N(P2088)))</f>
        <v/>
      </c>
      <c r="AE2088" s="34">
        <f>IF(OR($A2088="",$H2088&lt;&gt;"Ausgabe",Q2088=""),0,IF(Q2088="x",-$E2088/(COUNTIF($J2088:$Q2088,"x")+1),-$E2088*N(Q2088)))</f>
        <v/>
      </c>
    </row>
    <row r="2089">
      <c r="A2089" s="30" t="n"/>
      <c r="E2089" s="31" t="n"/>
      <c r="J2089" s="32" t="n"/>
      <c r="K2089" s="32" t="n"/>
      <c r="L2089" s="32" t="n"/>
      <c r="M2089" s="32" t="n"/>
      <c r="N2089" s="32" t="n"/>
      <c r="O2089" s="32" t="n"/>
      <c r="P2089" s="32" t="n"/>
      <c r="Q2089" s="32" t="n"/>
      <c r="U2089" s="31">
        <f>IF($A2089="","",SUM(X2089:AE2089))</f>
        <v/>
      </c>
      <c r="V2089" s="31">
        <f>IF($A2089="","",IF($H2089&lt;&gt;"Ausgabe",0,-$E2089-$U2089))</f>
        <v/>
      </c>
      <c r="W2089" s="33">
        <f>IF($A2089="","",DATE(YEAR($A2089),MONTH($A2089),1))</f>
        <v/>
      </c>
      <c r="X2089" s="34">
        <f>IF(OR($A2089="",$H2089&lt;&gt;"Ausgabe",J2089=""),0,IF(J2089="x",-$E2089/(COUNTIF($J2089:$Q2089,"x")+1),-$E2089*N(J2089)))</f>
        <v/>
      </c>
      <c r="Y2089" s="34">
        <f>IF(OR($A2089="",$H2089&lt;&gt;"Ausgabe",K2089=""),0,IF(K2089="x",-$E2089/(COUNTIF($J2089:$Q2089,"x")+1),-$E2089*N(K2089)))</f>
        <v/>
      </c>
      <c r="Z2089" s="34">
        <f>IF(OR($A2089="",$H2089&lt;&gt;"Ausgabe",L2089=""),0,IF(L2089="x",-$E2089/(COUNTIF($J2089:$Q2089,"x")+1),-$E2089*N(L2089)))</f>
        <v/>
      </c>
      <c r="AA2089" s="34">
        <f>IF(OR($A2089="",$H2089&lt;&gt;"Ausgabe",M2089=""),0,IF(M2089="x",-$E2089/(COUNTIF($J2089:$Q2089,"x")+1),-$E2089*N(M2089)))</f>
        <v/>
      </c>
      <c r="AB2089" s="34">
        <f>IF(OR($A2089="",$H2089&lt;&gt;"Ausgabe",N2089=""),0,IF(N2089="x",-$E2089/(COUNTIF($J2089:$Q2089,"x")+1),-$E2089*N(N2089)))</f>
        <v/>
      </c>
      <c r="AC2089" s="34">
        <f>IF(OR($A2089="",$H2089&lt;&gt;"Ausgabe",O2089=""),0,IF(O2089="x",-$E2089/(COUNTIF($J2089:$Q2089,"x")+1),-$E2089*N(O2089)))</f>
        <v/>
      </c>
      <c r="AD2089" s="34">
        <f>IF(OR($A2089="",$H2089&lt;&gt;"Ausgabe",P2089=""),0,IF(P2089="x",-$E2089/(COUNTIF($J2089:$Q2089,"x")+1),-$E2089*N(P2089)))</f>
        <v/>
      </c>
      <c r="AE2089" s="34">
        <f>IF(OR($A2089="",$H2089&lt;&gt;"Ausgabe",Q2089=""),0,IF(Q2089="x",-$E2089/(COUNTIF($J2089:$Q2089,"x")+1),-$E2089*N(Q2089)))</f>
        <v/>
      </c>
    </row>
    <row r="2090">
      <c r="A2090" s="30" t="n"/>
      <c r="E2090" s="31" t="n"/>
      <c r="J2090" s="32" t="n"/>
      <c r="K2090" s="32" t="n"/>
      <c r="L2090" s="32" t="n"/>
      <c r="M2090" s="32" t="n"/>
      <c r="N2090" s="32" t="n"/>
      <c r="O2090" s="32" t="n"/>
      <c r="P2090" s="32" t="n"/>
      <c r="Q2090" s="32" t="n"/>
      <c r="U2090" s="31">
        <f>IF($A2090="","",SUM(X2090:AE2090))</f>
        <v/>
      </c>
      <c r="V2090" s="31">
        <f>IF($A2090="","",IF($H2090&lt;&gt;"Ausgabe",0,-$E2090-$U2090))</f>
        <v/>
      </c>
      <c r="W2090" s="33">
        <f>IF($A2090="","",DATE(YEAR($A2090),MONTH($A2090),1))</f>
        <v/>
      </c>
      <c r="X2090" s="34">
        <f>IF(OR($A2090="",$H2090&lt;&gt;"Ausgabe",J2090=""),0,IF(J2090="x",-$E2090/(COUNTIF($J2090:$Q2090,"x")+1),-$E2090*N(J2090)))</f>
        <v/>
      </c>
      <c r="Y2090" s="34">
        <f>IF(OR($A2090="",$H2090&lt;&gt;"Ausgabe",K2090=""),0,IF(K2090="x",-$E2090/(COUNTIF($J2090:$Q2090,"x")+1),-$E2090*N(K2090)))</f>
        <v/>
      </c>
      <c r="Z2090" s="34">
        <f>IF(OR($A2090="",$H2090&lt;&gt;"Ausgabe",L2090=""),0,IF(L2090="x",-$E2090/(COUNTIF($J2090:$Q2090,"x")+1),-$E2090*N(L2090)))</f>
        <v/>
      </c>
      <c r="AA2090" s="34">
        <f>IF(OR($A2090="",$H2090&lt;&gt;"Ausgabe",M2090=""),0,IF(M2090="x",-$E2090/(COUNTIF($J2090:$Q2090,"x")+1),-$E2090*N(M2090)))</f>
        <v/>
      </c>
      <c r="AB2090" s="34">
        <f>IF(OR($A2090="",$H2090&lt;&gt;"Ausgabe",N2090=""),0,IF(N2090="x",-$E2090/(COUNTIF($J2090:$Q2090,"x")+1),-$E2090*N(N2090)))</f>
        <v/>
      </c>
      <c r="AC2090" s="34">
        <f>IF(OR($A2090="",$H2090&lt;&gt;"Ausgabe",O2090=""),0,IF(O2090="x",-$E2090/(COUNTIF($J2090:$Q2090,"x")+1),-$E2090*N(O2090)))</f>
        <v/>
      </c>
      <c r="AD2090" s="34">
        <f>IF(OR($A2090="",$H2090&lt;&gt;"Ausgabe",P2090=""),0,IF(P2090="x",-$E2090/(COUNTIF($J2090:$Q2090,"x")+1),-$E2090*N(P2090)))</f>
        <v/>
      </c>
      <c r="AE2090" s="34">
        <f>IF(OR($A2090="",$H2090&lt;&gt;"Ausgabe",Q2090=""),0,IF(Q2090="x",-$E2090/(COUNTIF($J2090:$Q2090,"x")+1),-$E2090*N(Q2090)))</f>
        <v/>
      </c>
    </row>
    <row r="2091">
      <c r="A2091" s="30" t="n"/>
      <c r="E2091" s="31" t="n"/>
      <c r="J2091" s="32" t="n"/>
      <c r="K2091" s="32" t="n"/>
      <c r="L2091" s="32" t="n"/>
      <c r="M2091" s="32" t="n"/>
      <c r="N2091" s="32" t="n"/>
      <c r="O2091" s="32" t="n"/>
      <c r="P2091" s="32" t="n"/>
      <c r="Q2091" s="32" t="n"/>
      <c r="U2091" s="31">
        <f>IF($A2091="","",SUM(X2091:AE2091))</f>
        <v/>
      </c>
      <c r="V2091" s="31">
        <f>IF($A2091="","",IF($H2091&lt;&gt;"Ausgabe",0,-$E2091-$U2091))</f>
        <v/>
      </c>
      <c r="W2091" s="33">
        <f>IF($A2091="","",DATE(YEAR($A2091),MONTH($A2091),1))</f>
        <v/>
      </c>
      <c r="X2091" s="34">
        <f>IF(OR($A2091="",$H2091&lt;&gt;"Ausgabe",J2091=""),0,IF(J2091="x",-$E2091/(COUNTIF($J2091:$Q2091,"x")+1),-$E2091*N(J2091)))</f>
        <v/>
      </c>
      <c r="Y2091" s="34">
        <f>IF(OR($A2091="",$H2091&lt;&gt;"Ausgabe",K2091=""),0,IF(K2091="x",-$E2091/(COUNTIF($J2091:$Q2091,"x")+1),-$E2091*N(K2091)))</f>
        <v/>
      </c>
      <c r="Z2091" s="34">
        <f>IF(OR($A2091="",$H2091&lt;&gt;"Ausgabe",L2091=""),0,IF(L2091="x",-$E2091/(COUNTIF($J2091:$Q2091,"x")+1),-$E2091*N(L2091)))</f>
        <v/>
      </c>
      <c r="AA2091" s="34">
        <f>IF(OR($A2091="",$H2091&lt;&gt;"Ausgabe",M2091=""),0,IF(M2091="x",-$E2091/(COUNTIF($J2091:$Q2091,"x")+1),-$E2091*N(M2091)))</f>
        <v/>
      </c>
      <c r="AB2091" s="34">
        <f>IF(OR($A2091="",$H2091&lt;&gt;"Ausgabe",N2091=""),0,IF(N2091="x",-$E2091/(COUNTIF($J2091:$Q2091,"x")+1),-$E2091*N(N2091)))</f>
        <v/>
      </c>
      <c r="AC2091" s="34">
        <f>IF(OR($A2091="",$H2091&lt;&gt;"Ausgabe",O2091=""),0,IF(O2091="x",-$E2091/(COUNTIF($J2091:$Q2091,"x")+1),-$E2091*N(O2091)))</f>
        <v/>
      </c>
      <c r="AD2091" s="34">
        <f>IF(OR($A2091="",$H2091&lt;&gt;"Ausgabe",P2091=""),0,IF(P2091="x",-$E2091/(COUNTIF($J2091:$Q2091,"x")+1),-$E2091*N(P2091)))</f>
        <v/>
      </c>
      <c r="AE2091" s="34">
        <f>IF(OR($A2091="",$H2091&lt;&gt;"Ausgabe",Q2091=""),0,IF(Q2091="x",-$E2091/(COUNTIF($J2091:$Q2091,"x")+1),-$E2091*N(Q2091)))</f>
        <v/>
      </c>
    </row>
    <row r="2092">
      <c r="A2092" s="30" t="n"/>
      <c r="E2092" s="31" t="n"/>
      <c r="J2092" s="32" t="n"/>
      <c r="K2092" s="32" t="n"/>
      <c r="L2092" s="32" t="n"/>
      <c r="M2092" s="32" t="n"/>
      <c r="N2092" s="32" t="n"/>
      <c r="O2092" s="32" t="n"/>
      <c r="P2092" s="32" t="n"/>
      <c r="Q2092" s="32" t="n"/>
      <c r="U2092" s="31">
        <f>IF($A2092="","",SUM(X2092:AE2092))</f>
        <v/>
      </c>
      <c r="V2092" s="31">
        <f>IF($A2092="","",IF($H2092&lt;&gt;"Ausgabe",0,-$E2092-$U2092))</f>
        <v/>
      </c>
      <c r="W2092" s="33">
        <f>IF($A2092="","",DATE(YEAR($A2092),MONTH($A2092),1))</f>
        <v/>
      </c>
      <c r="X2092" s="34">
        <f>IF(OR($A2092="",$H2092&lt;&gt;"Ausgabe",J2092=""),0,IF(J2092="x",-$E2092/(COUNTIF($J2092:$Q2092,"x")+1),-$E2092*N(J2092)))</f>
        <v/>
      </c>
      <c r="Y2092" s="34">
        <f>IF(OR($A2092="",$H2092&lt;&gt;"Ausgabe",K2092=""),0,IF(K2092="x",-$E2092/(COUNTIF($J2092:$Q2092,"x")+1),-$E2092*N(K2092)))</f>
        <v/>
      </c>
      <c r="Z2092" s="34">
        <f>IF(OR($A2092="",$H2092&lt;&gt;"Ausgabe",L2092=""),0,IF(L2092="x",-$E2092/(COUNTIF($J2092:$Q2092,"x")+1),-$E2092*N(L2092)))</f>
        <v/>
      </c>
      <c r="AA2092" s="34">
        <f>IF(OR($A2092="",$H2092&lt;&gt;"Ausgabe",M2092=""),0,IF(M2092="x",-$E2092/(COUNTIF($J2092:$Q2092,"x")+1),-$E2092*N(M2092)))</f>
        <v/>
      </c>
      <c r="AB2092" s="34">
        <f>IF(OR($A2092="",$H2092&lt;&gt;"Ausgabe",N2092=""),0,IF(N2092="x",-$E2092/(COUNTIF($J2092:$Q2092,"x")+1),-$E2092*N(N2092)))</f>
        <v/>
      </c>
      <c r="AC2092" s="34">
        <f>IF(OR($A2092="",$H2092&lt;&gt;"Ausgabe",O2092=""),0,IF(O2092="x",-$E2092/(COUNTIF($J2092:$Q2092,"x")+1),-$E2092*N(O2092)))</f>
        <v/>
      </c>
      <c r="AD2092" s="34">
        <f>IF(OR($A2092="",$H2092&lt;&gt;"Ausgabe",P2092=""),0,IF(P2092="x",-$E2092/(COUNTIF($J2092:$Q2092,"x")+1),-$E2092*N(P2092)))</f>
        <v/>
      </c>
      <c r="AE2092" s="34">
        <f>IF(OR($A2092="",$H2092&lt;&gt;"Ausgabe",Q2092=""),0,IF(Q2092="x",-$E2092/(COUNTIF($J2092:$Q2092,"x")+1),-$E2092*N(Q2092)))</f>
        <v/>
      </c>
    </row>
    <row r="2093">
      <c r="A2093" s="30" t="n"/>
      <c r="E2093" s="31" t="n"/>
      <c r="J2093" s="32" t="n"/>
      <c r="K2093" s="32" t="n"/>
      <c r="L2093" s="32" t="n"/>
      <c r="M2093" s="32" t="n"/>
      <c r="N2093" s="32" t="n"/>
      <c r="O2093" s="32" t="n"/>
      <c r="P2093" s="32" t="n"/>
      <c r="Q2093" s="32" t="n"/>
      <c r="U2093" s="31">
        <f>IF($A2093="","",SUM(X2093:AE2093))</f>
        <v/>
      </c>
      <c r="V2093" s="31">
        <f>IF($A2093="","",IF($H2093&lt;&gt;"Ausgabe",0,-$E2093-$U2093))</f>
        <v/>
      </c>
      <c r="W2093" s="33">
        <f>IF($A2093="","",DATE(YEAR($A2093),MONTH($A2093),1))</f>
        <v/>
      </c>
      <c r="X2093" s="34">
        <f>IF(OR($A2093="",$H2093&lt;&gt;"Ausgabe",J2093=""),0,IF(J2093="x",-$E2093/(COUNTIF($J2093:$Q2093,"x")+1),-$E2093*N(J2093)))</f>
        <v/>
      </c>
      <c r="Y2093" s="34">
        <f>IF(OR($A2093="",$H2093&lt;&gt;"Ausgabe",K2093=""),0,IF(K2093="x",-$E2093/(COUNTIF($J2093:$Q2093,"x")+1),-$E2093*N(K2093)))</f>
        <v/>
      </c>
      <c r="Z2093" s="34">
        <f>IF(OR($A2093="",$H2093&lt;&gt;"Ausgabe",L2093=""),0,IF(L2093="x",-$E2093/(COUNTIF($J2093:$Q2093,"x")+1),-$E2093*N(L2093)))</f>
        <v/>
      </c>
      <c r="AA2093" s="34">
        <f>IF(OR($A2093="",$H2093&lt;&gt;"Ausgabe",M2093=""),0,IF(M2093="x",-$E2093/(COUNTIF($J2093:$Q2093,"x")+1),-$E2093*N(M2093)))</f>
        <v/>
      </c>
      <c r="AB2093" s="34">
        <f>IF(OR($A2093="",$H2093&lt;&gt;"Ausgabe",N2093=""),0,IF(N2093="x",-$E2093/(COUNTIF($J2093:$Q2093,"x")+1),-$E2093*N(N2093)))</f>
        <v/>
      </c>
      <c r="AC2093" s="34">
        <f>IF(OR($A2093="",$H2093&lt;&gt;"Ausgabe",O2093=""),0,IF(O2093="x",-$E2093/(COUNTIF($J2093:$Q2093,"x")+1),-$E2093*N(O2093)))</f>
        <v/>
      </c>
      <c r="AD2093" s="34">
        <f>IF(OR($A2093="",$H2093&lt;&gt;"Ausgabe",P2093=""),0,IF(P2093="x",-$E2093/(COUNTIF($J2093:$Q2093,"x")+1),-$E2093*N(P2093)))</f>
        <v/>
      </c>
      <c r="AE2093" s="34">
        <f>IF(OR($A2093="",$H2093&lt;&gt;"Ausgabe",Q2093=""),0,IF(Q2093="x",-$E2093/(COUNTIF($J2093:$Q2093,"x")+1),-$E2093*N(Q2093)))</f>
        <v/>
      </c>
    </row>
    <row r="2094">
      <c r="A2094" s="30" t="n"/>
      <c r="E2094" s="31" t="n"/>
      <c r="J2094" s="32" t="n"/>
      <c r="K2094" s="32" t="n"/>
      <c r="L2094" s="32" t="n"/>
      <c r="M2094" s="32" t="n"/>
      <c r="N2094" s="32" t="n"/>
      <c r="O2094" s="32" t="n"/>
      <c r="P2094" s="32" t="n"/>
      <c r="Q2094" s="32" t="n"/>
      <c r="U2094" s="31">
        <f>IF($A2094="","",SUM(X2094:AE2094))</f>
        <v/>
      </c>
      <c r="V2094" s="31">
        <f>IF($A2094="","",IF($H2094&lt;&gt;"Ausgabe",0,-$E2094-$U2094))</f>
        <v/>
      </c>
      <c r="W2094" s="33">
        <f>IF($A2094="","",DATE(YEAR($A2094),MONTH($A2094),1))</f>
        <v/>
      </c>
      <c r="X2094" s="34">
        <f>IF(OR($A2094="",$H2094&lt;&gt;"Ausgabe",J2094=""),0,IF(J2094="x",-$E2094/(COUNTIF($J2094:$Q2094,"x")+1),-$E2094*N(J2094)))</f>
        <v/>
      </c>
      <c r="Y2094" s="34">
        <f>IF(OR($A2094="",$H2094&lt;&gt;"Ausgabe",K2094=""),0,IF(K2094="x",-$E2094/(COUNTIF($J2094:$Q2094,"x")+1),-$E2094*N(K2094)))</f>
        <v/>
      </c>
      <c r="Z2094" s="34">
        <f>IF(OR($A2094="",$H2094&lt;&gt;"Ausgabe",L2094=""),0,IF(L2094="x",-$E2094/(COUNTIF($J2094:$Q2094,"x")+1),-$E2094*N(L2094)))</f>
        <v/>
      </c>
      <c r="AA2094" s="34">
        <f>IF(OR($A2094="",$H2094&lt;&gt;"Ausgabe",M2094=""),0,IF(M2094="x",-$E2094/(COUNTIF($J2094:$Q2094,"x")+1),-$E2094*N(M2094)))</f>
        <v/>
      </c>
      <c r="AB2094" s="34">
        <f>IF(OR($A2094="",$H2094&lt;&gt;"Ausgabe",N2094=""),0,IF(N2094="x",-$E2094/(COUNTIF($J2094:$Q2094,"x")+1),-$E2094*N(N2094)))</f>
        <v/>
      </c>
      <c r="AC2094" s="34">
        <f>IF(OR($A2094="",$H2094&lt;&gt;"Ausgabe",O2094=""),0,IF(O2094="x",-$E2094/(COUNTIF($J2094:$Q2094,"x")+1),-$E2094*N(O2094)))</f>
        <v/>
      </c>
      <c r="AD2094" s="34">
        <f>IF(OR($A2094="",$H2094&lt;&gt;"Ausgabe",P2094=""),0,IF(P2094="x",-$E2094/(COUNTIF($J2094:$Q2094,"x")+1),-$E2094*N(P2094)))</f>
        <v/>
      </c>
      <c r="AE2094" s="34">
        <f>IF(OR($A2094="",$H2094&lt;&gt;"Ausgabe",Q2094=""),0,IF(Q2094="x",-$E2094/(COUNTIF($J2094:$Q2094,"x")+1),-$E2094*N(Q2094)))</f>
        <v/>
      </c>
    </row>
    <row r="2095">
      <c r="A2095" s="30" t="n"/>
      <c r="E2095" s="31" t="n"/>
      <c r="J2095" s="32" t="n"/>
      <c r="K2095" s="32" t="n"/>
      <c r="L2095" s="32" t="n"/>
      <c r="M2095" s="32" t="n"/>
      <c r="N2095" s="32" t="n"/>
      <c r="O2095" s="32" t="n"/>
      <c r="P2095" s="32" t="n"/>
      <c r="Q2095" s="32" t="n"/>
      <c r="U2095" s="31">
        <f>IF($A2095="","",SUM(X2095:AE2095))</f>
        <v/>
      </c>
      <c r="V2095" s="31">
        <f>IF($A2095="","",IF($H2095&lt;&gt;"Ausgabe",0,-$E2095-$U2095))</f>
        <v/>
      </c>
      <c r="W2095" s="33">
        <f>IF($A2095="","",DATE(YEAR($A2095),MONTH($A2095),1))</f>
        <v/>
      </c>
      <c r="X2095" s="34">
        <f>IF(OR($A2095="",$H2095&lt;&gt;"Ausgabe",J2095=""),0,IF(J2095="x",-$E2095/(COUNTIF($J2095:$Q2095,"x")+1),-$E2095*N(J2095)))</f>
        <v/>
      </c>
      <c r="Y2095" s="34">
        <f>IF(OR($A2095="",$H2095&lt;&gt;"Ausgabe",K2095=""),0,IF(K2095="x",-$E2095/(COUNTIF($J2095:$Q2095,"x")+1),-$E2095*N(K2095)))</f>
        <v/>
      </c>
      <c r="Z2095" s="34">
        <f>IF(OR($A2095="",$H2095&lt;&gt;"Ausgabe",L2095=""),0,IF(L2095="x",-$E2095/(COUNTIF($J2095:$Q2095,"x")+1),-$E2095*N(L2095)))</f>
        <v/>
      </c>
      <c r="AA2095" s="34">
        <f>IF(OR($A2095="",$H2095&lt;&gt;"Ausgabe",M2095=""),0,IF(M2095="x",-$E2095/(COUNTIF($J2095:$Q2095,"x")+1),-$E2095*N(M2095)))</f>
        <v/>
      </c>
      <c r="AB2095" s="34">
        <f>IF(OR($A2095="",$H2095&lt;&gt;"Ausgabe",N2095=""),0,IF(N2095="x",-$E2095/(COUNTIF($J2095:$Q2095,"x")+1),-$E2095*N(N2095)))</f>
        <v/>
      </c>
      <c r="AC2095" s="34">
        <f>IF(OR($A2095="",$H2095&lt;&gt;"Ausgabe",O2095=""),0,IF(O2095="x",-$E2095/(COUNTIF($J2095:$Q2095,"x")+1),-$E2095*N(O2095)))</f>
        <v/>
      </c>
      <c r="AD2095" s="34">
        <f>IF(OR($A2095="",$H2095&lt;&gt;"Ausgabe",P2095=""),0,IF(P2095="x",-$E2095/(COUNTIF($J2095:$Q2095,"x")+1),-$E2095*N(P2095)))</f>
        <v/>
      </c>
      <c r="AE2095" s="34">
        <f>IF(OR($A2095="",$H2095&lt;&gt;"Ausgabe",Q2095=""),0,IF(Q2095="x",-$E2095/(COUNTIF($J2095:$Q2095,"x")+1),-$E2095*N(Q2095)))</f>
        <v/>
      </c>
    </row>
    <row r="2096">
      <c r="A2096" s="30" t="n"/>
      <c r="E2096" s="31" t="n"/>
      <c r="J2096" s="32" t="n"/>
      <c r="K2096" s="32" t="n"/>
      <c r="L2096" s="32" t="n"/>
      <c r="M2096" s="32" t="n"/>
      <c r="N2096" s="32" t="n"/>
      <c r="O2096" s="32" t="n"/>
      <c r="P2096" s="32" t="n"/>
      <c r="Q2096" s="32" t="n"/>
      <c r="U2096" s="31">
        <f>IF($A2096="","",SUM(X2096:AE2096))</f>
        <v/>
      </c>
      <c r="V2096" s="31">
        <f>IF($A2096="","",IF($H2096&lt;&gt;"Ausgabe",0,-$E2096-$U2096))</f>
        <v/>
      </c>
      <c r="W2096" s="33">
        <f>IF($A2096="","",DATE(YEAR($A2096),MONTH($A2096),1))</f>
        <v/>
      </c>
      <c r="X2096" s="34">
        <f>IF(OR($A2096="",$H2096&lt;&gt;"Ausgabe",J2096=""),0,IF(J2096="x",-$E2096/(COUNTIF($J2096:$Q2096,"x")+1),-$E2096*N(J2096)))</f>
        <v/>
      </c>
      <c r="Y2096" s="34">
        <f>IF(OR($A2096="",$H2096&lt;&gt;"Ausgabe",K2096=""),0,IF(K2096="x",-$E2096/(COUNTIF($J2096:$Q2096,"x")+1),-$E2096*N(K2096)))</f>
        <v/>
      </c>
      <c r="Z2096" s="34">
        <f>IF(OR($A2096="",$H2096&lt;&gt;"Ausgabe",L2096=""),0,IF(L2096="x",-$E2096/(COUNTIF($J2096:$Q2096,"x")+1),-$E2096*N(L2096)))</f>
        <v/>
      </c>
      <c r="AA2096" s="34">
        <f>IF(OR($A2096="",$H2096&lt;&gt;"Ausgabe",M2096=""),0,IF(M2096="x",-$E2096/(COUNTIF($J2096:$Q2096,"x")+1),-$E2096*N(M2096)))</f>
        <v/>
      </c>
      <c r="AB2096" s="34">
        <f>IF(OR($A2096="",$H2096&lt;&gt;"Ausgabe",N2096=""),0,IF(N2096="x",-$E2096/(COUNTIF($J2096:$Q2096,"x")+1),-$E2096*N(N2096)))</f>
        <v/>
      </c>
      <c r="AC2096" s="34">
        <f>IF(OR($A2096="",$H2096&lt;&gt;"Ausgabe",O2096=""),0,IF(O2096="x",-$E2096/(COUNTIF($J2096:$Q2096,"x")+1),-$E2096*N(O2096)))</f>
        <v/>
      </c>
      <c r="AD2096" s="34">
        <f>IF(OR($A2096="",$H2096&lt;&gt;"Ausgabe",P2096=""),0,IF(P2096="x",-$E2096/(COUNTIF($J2096:$Q2096,"x")+1),-$E2096*N(P2096)))</f>
        <v/>
      </c>
      <c r="AE2096" s="34">
        <f>IF(OR($A2096="",$H2096&lt;&gt;"Ausgabe",Q2096=""),0,IF(Q2096="x",-$E2096/(COUNTIF($J2096:$Q2096,"x")+1),-$E2096*N(Q2096)))</f>
        <v/>
      </c>
    </row>
    <row r="2097">
      <c r="A2097" s="30" t="n"/>
      <c r="E2097" s="31" t="n"/>
      <c r="J2097" s="32" t="n"/>
      <c r="K2097" s="32" t="n"/>
      <c r="L2097" s="32" t="n"/>
      <c r="M2097" s="32" t="n"/>
      <c r="N2097" s="32" t="n"/>
      <c r="O2097" s="32" t="n"/>
      <c r="P2097" s="32" t="n"/>
      <c r="Q2097" s="32" t="n"/>
      <c r="U2097" s="31">
        <f>IF($A2097="","",SUM(X2097:AE2097))</f>
        <v/>
      </c>
      <c r="V2097" s="31">
        <f>IF($A2097="","",IF($H2097&lt;&gt;"Ausgabe",0,-$E2097-$U2097))</f>
        <v/>
      </c>
      <c r="W2097" s="33">
        <f>IF($A2097="","",DATE(YEAR($A2097),MONTH($A2097),1))</f>
        <v/>
      </c>
      <c r="X2097" s="34">
        <f>IF(OR($A2097="",$H2097&lt;&gt;"Ausgabe",J2097=""),0,IF(J2097="x",-$E2097/(COUNTIF($J2097:$Q2097,"x")+1),-$E2097*N(J2097)))</f>
        <v/>
      </c>
      <c r="Y2097" s="34">
        <f>IF(OR($A2097="",$H2097&lt;&gt;"Ausgabe",K2097=""),0,IF(K2097="x",-$E2097/(COUNTIF($J2097:$Q2097,"x")+1),-$E2097*N(K2097)))</f>
        <v/>
      </c>
      <c r="Z2097" s="34">
        <f>IF(OR($A2097="",$H2097&lt;&gt;"Ausgabe",L2097=""),0,IF(L2097="x",-$E2097/(COUNTIF($J2097:$Q2097,"x")+1),-$E2097*N(L2097)))</f>
        <v/>
      </c>
      <c r="AA2097" s="34">
        <f>IF(OR($A2097="",$H2097&lt;&gt;"Ausgabe",M2097=""),0,IF(M2097="x",-$E2097/(COUNTIF($J2097:$Q2097,"x")+1),-$E2097*N(M2097)))</f>
        <v/>
      </c>
      <c r="AB2097" s="34">
        <f>IF(OR($A2097="",$H2097&lt;&gt;"Ausgabe",N2097=""),0,IF(N2097="x",-$E2097/(COUNTIF($J2097:$Q2097,"x")+1),-$E2097*N(N2097)))</f>
        <v/>
      </c>
      <c r="AC2097" s="34">
        <f>IF(OR($A2097="",$H2097&lt;&gt;"Ausgabe",O2097=""),0,IF(O2097="x",-$E2097/(COUNTIF($J2097:$Q2097,"x")+1),-$E2097*N(O2097)))</f>
        <v/>
      </c>
      <c r="AD2097" s="34">
        <f>IF(OR($A2097="",$H2097&lt;&gt;"Ausgabe",P2097=""),0,IF(P2097="x",-$E2097/(COUNTIF($J2097:$Q2097,"x")+1),-$E2097*N(P2097)))</f>
        <v/>
      </c>
      <c r="AE2097" s="34">
        <f>IF(OR($A2097="",$H2097&lt;&gt;"Ausgabe",Q2097=""),0,IF(Q2097="x",-$E2097/(COUNTIF($J2097:$Q2097,"x")+1),-$E2097*N(Q2097)))</f>
        <v/>
      </c>
    </row>
    <row r="2098">
      <c r="A2098" s="30" t="n"/>
      <c r="E2098" s="31" t="n"/>
      <c r="J2098" s="32" t="n"/>
      <c r="K2098" s="32" t="n"/>
      <c r="L2098" s="32" t="n"/>
      <c r="M2098" s="32" t="n"/>
      <c r="N2098" s="32" t="n"/>
      <c r="O2098" s="32" t="n"/>
      <c r="P2098" s="32" t="n"/>
      <c r="Q2098" s="32" t="n"/>
      <c r="U2098" s="31">
        <f>IF($A2098="","",SUM(X2098:AE2098))</f>
        <v/>
      </c>
      <c r="V2098" s="31">
        <f>IF($A2098="","",IF($H2098&lt;&gt;"Ausgabe",0,-$E2098-$U2098))</f>
        <v/>
      </c>
      <c r="W2098" s="33">
        <f>IF($A2098="","",DATE(YEAR($A2098),MONTH($A2098),1))</f>
        <v/>
      </c>
      <c r="X2098" s="34">
        <f>IF(OR($A2098="",$H2098&lt;&gt;"Ausgabe",J2098=""),0,IF(J2098="x",-$E2098/(COUNTIF($J2098:$Q2098,"x")+1),-$E2098*N(J2098)))</f>
        <v/>
      </c>
      <c r="Y2098" s="34">
        <f>IF(OR($A2098="",$H2098&lt;&gt;"Ausgabe",K2098=""),0,IF(K2098="x",-$E2098/(COUNTIF($J2098:$Q2098,"x")+1),-$E2098*N(K2098)))</f>
        <v/>
      </c>
      <c r="Z2098" s="34">
        <f>IF(OR($A2098="",$H2098&lt;&gt;"Ausgabe",L2098=""),0,IF(L2098="x",-$E2098/(COUNTIF($J2098:$Q2098,"x")+1),-$E2098*N(L2098)))</f>
        <v/>
      </c>
      <c r="AA2098" s="34">
        <f>IF(OR($A2098="",$H2098&lt;&gt;"Ausgabe",M2098=""),0,IF(M2098="x",-$E2098/(COUNTIF($J2098:$Q2098,"x")+1),-$E2098*N(M2098)))</f>
        <v/>
      </c>
      <c r="AB2098" s="34">
        <f>IF(OR($A2098="",$H2098&lt;&gt;"Ausgabe",N2098=""),0,IF(N2098="x",-$E2098/(COUNTIF($J2098:$Q2098,"x")+1),-$E2098*N(N2098)))</f>
        <v/>
      </c>
      <c r="AC2098" s="34">
        <f>IF(OR($A2098="",$H2098&lt;&gt;"Ausgabe",O2098=""),0,IF(O2098="x",-$E2098/(COUNTIF($J2098:$Q2098,"x")+1),-$E2098*N(O2098)))</f>
        <v/>
      </c>
      <c r="AD2098" s="34">
        <f>IF(OR($A2098="",$H2098&lt;&gt;"Ausgabe",P2098=""),0,IF(P2098="x",-$E2098/(COUNTIF($J2098:$Q2098,"x")+1),-$E2098*N(P2098)))</f>
        <v/>
      </c>
      <c r="AE2098" s="34">
        <f>IF(OR($A2098="",$H2098&lt;&gt;"Ausgabe",Q2098=""),0,IF(Q2098="x",-$E2098/(COUNTIF($J2098:$Q2098,"x")+1),-$E2098*N(Q2098)))</f>
        <v/>
      </c>
    </row>
    <row r="2099">
      <c r="A2099" s="30" t="n"/>
      <c r="E2099" s="31" t="n"/>
      <c r="J2099" s="32" t="n"/>
      <c r="K2099" s="32" t="n"/>
      <c r="L2099" s="32" t="n"/>
      <c r="M2099" s="32" t="n"/>
      <c r="N2099" s="32" t="n"/>
      <c r="O2099" s="32" t="n"/>
      <c r="P2099" s="32" t="n"/>
      <c r="Q2099" s="32" t="n"/>
      <c r="U2099" s="31">
        <f>IF($A2099="","",SUM(X2099:AE2099))</f>
        <v/>
      </c>
      <c r="V2099" s="31">
        <f>IF($A2099="","",IF($H2099&lt;&gt;"Ausgabe",0,-$E2099-$U2099))</f>
        <v/>
      </c>
      <c r="W2099" s="33">
        <f>IF($A2099="","",DATE(YEAR($A2099),MONTH($A2099),1))</f>
        <v/>
      </c>
      <c r="X2099" s="34">
        <f>IF(OR($A2099="",$H2099&lt;&gt;"Ausgabe",J2099=""),0,IF(J2099="x",-$E2099/(COUNTIF($J2099:$Q2099,"x")+1),-$E2099*N(J2099)))</f>
        <v/>
      </c>
      <c r="Y2099" s="34">
        <f>IF(OR($A2099="",$H2099&lt;&gt;"Ausgabe",K2099=""),0,IF(K2099="x",-$E2099/(COUNTIF($J2099:$Q2099,"x")+1),-$E2099*N(K2099)))</f>
        <v/>
      </c>
      <c r="Z2099" s="34">
        <f>IF(OR($A2099="",$H2099&lt;&gt;"Ausgabe",L2099=""),0,IF(L2099="x",-$E2099/(COUNTIF($J2099:$Q2099,"x")+1),-$E2099*N(L2099)))</f>
        <v/>
      </c>
      <c r="AA2099" s="34">
        <f>IF(OR($A2099="",$H2099&lt;&gt;"Ausgabe",M2099=""),0,IF(M2099="x",-$E2099/(COUNTIF($J2099:$Q2099,"x")+1),-$E2099*N(M2099)))</f>
        <v/>
      </c>
      <c r="AB2099" s="34">
        <f>IF(OR($A2099="",$H2099&lt;&gt;"Ausgabe",N2099=""),0,IF(N2099="x",-$E2099/(COUNTIF($J2099:$Q2099,"x")+1),-$E2099*N(N2099)))</f>
        <v/>
      </c>
      <c r="AC2099" s="34">
        <f>IF(OR($A2099="",$H2099&lt;&gt;"Ausgabe",O2099=""),0,IF(O2099="x",-$E2099/(COUNTIF($J2099:$Q2099,"x")+1),-$E2099*N(O2099)))</f>
        <v/>
      </c>
      <c r="AD2099" s="34">
        <f>IF(OR($A2099="",$H2099&lt;&gt;"Ausgabe",P2099=""),0,IF(P2099="x",-$E2099/(COUNTIF($J2099:$Q2099,"x")+1),-$E2099*N(P2099)))</f>
        <v/>
      </c>
      <c r="AE2099" s="34">
        <f>IF(OR($A2099="",$H2099&lt;&gt;"Ausgabe",Q2099=""),0,IF(Q2099="x",-$E2099/(COUNTIF($J2099:$Q2099,"x")+1),-$E2099*N(Q2099)))</f>
        <v/>
      </c>
    </row>
    <row r="2100">
      <c r="A2100" s="30" t="n"/>
      <c r="E2100" s="31" t="n"/>
      <c r="J2100" s="32" t="n"/>
      <c r="K2100" s="32" t="n"/>
      <c r="L2100" s="32" t="n"/>
      <c r="M2100" s="32" t="n"/>
      <c r="N2100" s="32" t="n"/>
      <c r="O2100" s="32" t="n"/>
      <c r="P2100" s="32" t="n"/>
      <c r="Q2100" s="32" t="n"/>
      <c r="U2100" s="31">
        <f>IF($A2100="","",SUM(X2100:AE2100))</f>
        <v/>
      </c>
      <c r="V2100" s="31">
        <f>IF($A2100="","",IF($H2100&lt;&gt;"Ausgabe",0,-$E2100-$U2100))</f>
        <v/>
      </c>
      <c r="W2100" s="33">
        <f>IF($A2100="","",DATE(YEAR($A2100),MONTH($A2100),1))</f>
        <v/>
      </c>
      <c r="X2100" s="34">
        <f>IF(OR($A2100="",$H2100&lt;&gt;"Ausgabe",J2100=""),0,IF(J2100="x",-$E2100/(COUNTIF($J2100:$Q2100,"x")+1),-$E2100*N(J2100)))</f>
        <v/>
      </c>
      <c r="Y2100" s="34">
        <f>IF(OR($A2100="",$H2100&lt;&gt;"Ausgabe",K2100=""),0,IF(K2100="x",-$E2100/(COUNTIF($J2100:$Q2100,"x")+1),-$E2100*N(K2100)))</f>
        <v/>
      </c>
      <c r="Z2100" s="34">
        <f>IF(OR($A2100="",$H2100&lt;&gt;"Ausgabe",L2100=""),0,IF(L2100="x",-$E2100/(COUNTIF($J2100:$Q2100,"x")+1),-$E2100*N(L2100)))</f>
        <v/>
      </c>
      <c r="AA2100" s="34">
        <f>IF(OR($A2100="",$H2100&lt;&gt;"Ausgabe",M2100=""),0,IF(M2100="x",-$E2100/(COUNTIF($J2100:$Q2100,"x")+1),-$E2100*N(M2100)))</f>
        <v/>
      </c>
      <c r="AB2100" s="34">
        <f>IF(OR($A2100="",$H2100&lt;&gt;"Ausgabe",N2100=""),0,IF(N2100="x",-$E2100/(COUNTIF($J2100:$Q2100,"x")+1),-$E2100*N(N2100)))</f>
        <v/>
      </c>
      <c r="AC2100" s="34">
        <f>IF(OR($A2100="",$H2100&lt;&gt;"Ausgabe",O2100=""),0,IF(O2100="x",-$E2100/(COUNTIF($J2100:$Q2100,"x")+1),-$E2100*N(O2100)))</f>
        <v/>
      </c>
      <c r="AD2100" s="34">
        <f>IF(OR($A2100="",$H2100&lt;&gt;"Ausgabe",P2100=""),0,IF(P2100="x",-$E2100/(COUNTIF($J2100:$Q2100,"x")+1),-$E2100*N(P2100)))</f>
        <v/>
      </c>
      <c r="AE2100" s="34">
        <f>IF(OR($A2100="",$H2100&lt;&gt;"Ausgabe",Q2100=""),0,IF(Q2100="x",-$E2100/(COUNTIF($J2100:$Q2100,"x")+1),-$E2100*N(Q2100)))</f>
        <v/>
      </c>
    </row>
    <row r="2101">
      <c r="A2101" s="30" t="n"/>
      <c r="E2101" s="31" t="n"/>
      <c r="J2101" s="32" t="n"/>
      <c r="K2101" s="32" t="n"/>
      <c r="L2101" s="32" t="n"/>
      <c r="M2101" s="32" t="n"/>
      <c r="N2101" s="32" t="n"/>
      <c r="O2101" s="32" t="n"/>
      <c r="P2101" s="32" t="n"/>
      <c r="Q2101" s="32" t="n"/>
      <c r="U2101" s="31">
        <f>IF($A2101="","",SUM(X2101:AE2101))</f>
        <v/>
      </c>
      <c r="V2101" s="31">
        <f>IF($A2101="","",IF($H2101&lt;&gt;"Ausgabe",0,-$E2101-$U2101))</f>
        <v/>
      </c>
      <c r="W2101" s="33">
        <f>IF($A2101="","",DATE(YEAR($A2101),MONTH($A2101),1))</f>
        <v/>
      </c>
      <c r="X2101" s="34">
        <f>IF(OR($A2101="",$H2101&lt;&gt;"Ausgabe",J2101=""),0,IF(J2101="x",-$E2101/(COUNTIF($J2101:$Q2101,"x")+1),-$E2101*N(J2101)))</f>
        <v/>
      </c>
      <c r="Y2101" s="34">
        <f>IF(OR($A2101="",$H2101&lt;&gt;"Ausgabe",K2101=""),0,IF(K2101="x",-$E2101/(COUNTIF($J2101:$Q2101,"x")+1),-$E2101*N(K2101)))</f>
        <v/>
      </c>
      <c r="Z2101" s="34">
        <f>IF(OR($A2101="",$H2101&lt;&gt;"Ausgabe",L2101=""),0,IF(L2101="x",-$E2101/(COUNTIF($J2101:$Q2101,"x")+1),-$E2101*N(L2101)))</f>
        <v/>
      </c>
      <c r="AA2101" s="34">
        <f>IF(OR($A2101="",$H2101&lt;&gt;"Ausgabe",M2101=""),0,IF(M2101="x",-$E2101/(COUNTIF($J2101:$Q2101,"x")+1),-$E2101*N(M2101)))</f>
        <v/>
      </c>
      <c r="AB2101" s="34">
        <f>IF(OR($A2101="",$H2101&lt;&gt;"Ausgabe",N2101=""),0,IF(N2101="x",-$E2101/(COUNTIF($J2101:$Q2101,"x")+1),-$E2101*N(N2101)))</f>
        <v/>
      </c>
      <c r="AC2101" s="34">
        <f>IF(OR($A2101="",$H2101&lt;&gt;"Ausgabe",O2101=""),0,IF(O2101="x",-$E2101/(COUNTIF($J2101:$Q2101,"x")+1),-$E2101*N(O2101)))</f>
        <v/>
      </c>
      <c r="AD2101" s="34">
        <f>IF(OR($A2101="",$H2101&lt;&gt;"Ausgabe",P2101=""),0,IF(P2101="x",-$E2101/(COUNTIF($J2101:$Q2101,"x")+1),-$E2101*N(P2101)))</f>
        <v/>
      </c>
      <c r="AE2101" s="34">
        <f>IF(OR($A2101="",$H2101&lt;&gt;"Ausgabe",Q2101=""),0,IF(Q2101="x",-$E2101/(COUNTIF($J2101:$Q2101,"x")+1),-$E2101*N(Q2101)))</f>
        <v/>
      </c>
    </row>
    <row r="2102">
      <c r="A2102" s="30" t="n"/>
      <c r="E2102" s="31" t="n"/>
      <c r="J2102" s="32" t="n"/>
      <c r="K2102" s="32" t="n"/>
      <c r="L2102" s="32" t="n"/>
      <c r="M2102" s="32" t="n"/>
      <c r="N2102" s="32" t="n"/>
      <c r="O2102" s="32" t="n"/>
      <c r="P2102" s="32" t="n"/>
      <c r="Q2102" s="32" t="n"/>
      <c r="U2102" s="31">
        <f>IF($A2102="","",SUM(X2102:AE2102))</f>
        <v/>
      </c>
      <c r="V2102" s="31">
        <f>IF($A2102="","",IF($H2102&lt;&gt;"Ausgabe",0,-$E2102-$U2102))</f>
        <v/>
      </c>
      <c r="W2102" s="33">
        <f>IF($A2102="","",DATE(YEAR($A2102),MONTH($A2102),1))</f>
        <v/>
      </c>
      <c r="X2102" s="34">
        <f>IF(OR($A2102="",$H2102&lt;&gt;"Ausgabe",J2102=""),0,IF(J2102="x",-$E2102/(COUNTIF($J2102:$Q2102,"x")+1),-$E2102*N(J2102)))</f>
        <v/>
      </c>
      <c r="Y2102" s="34">
        <f>IF(OR($A2102="",$H2102&lt;&gt;"Ausgabe",K2102=""),0,IF(K2102="x",-$E2102/(COUNTIF($J2102:$Q2102,"x")+1),-$E2102*N(K2102)))</f>
        <v/>
      </c>
      <c r="Z2102" s="34">
        <f>IF(OR($A2102="",$H2102&lt;&gt;"Ausgabe",L2102=""),0,IF(L2102="x",-$E2102/(COUNTIF($J2102:$Q2102,"x")+1),-$E2102*N(L2102)))</f>
        <v/>
      </c>
      <c r="AA2102" s="34">
        <f>IF(OR($A2102="",$H2102&lt;&gt;"Ausgabe",M2102=""),0,IF(M2102="x",-$E2102/(COUNTIF($J2102:$Q2102,"x")+1),-$E2102*N(M2102)))</f>
        <v/>
      </c>
      <c r="AB2102" s="34">
        <f>IF(OR($A2102="",$H2102&lt;&gt;"Ausgabe",N2102=""),0,IF(N2102="x",-$E2102/(COUNTIF($J2102:$Q2102,"x")+1),-$E2102*N(N2102)))</f>
        <v/>
      </c>
      <c r="AC2102" s="34">
        <f>IF(OR($A2102="",$H2102&lt;&gt;"Ausgabe",O2102=""),0,IF(O2102="x",-$E2102/(COUNTIF($J2102:$Q2102,"x")+1),-$E2102*N(O2102)))</f>
        <v/>
      </c>
      <c r="AD2102" s="34">
        <f>IF(OR($A2102="",$H2102&lt;&gt;"Ausgabe",P2102=""),0,IF(P2102="x",-$E2102/(COUNTIF($J2102:$Q2102,"x")+1),-$E2102*N(P2102)))</f>
        <v/>
      </c>
      <c r="AE2102" s="34">
        <f>IF(OR($A2102="",$H2102&lt;&gt;"Ausgabe",Q2102=""),0,IF(Q2102="x",-$E2102/(COUNTIF($J2102:$Q2102,"x")+1),-$E2102*N(Q2102)))</f>
        <v/>
      </c>
    </row>
    <row r="2103">
      <c r="A2103" s="30" t="n"/>
      <c r="E2103" s="31" t="n"/>
      <c r="J2103" s="32" t="n"/>
      <c r="K2103" s="32" t="n"/>
      <c r="L2103" s="32" t="n"/>
      <c r="M2103" s="32" t="n"/>
      <c r="N2103" s="32" t="n"/>
      <c r="O2103" s="32" t="n"/>
      <c r="P2103" s="32" t="n"/>
      <c r="Q2103" s="32" t="n"/>
      <c r="U2103" s="31">
        <f>IF($A2103="","",SUM(X2103:AE2103))</f>
        <v/>
      </c>
      <c r="V2103" s="31">
        <f>IF($A2103="","",IF($H2103&lt;&gt;"Ausgabe",0,-$E2103-$U2103))</f>
        <v/>
      </c>
      <c r="W2103" s="33">
        <f>IF($A2103="","",DATE(YEAR($A2103),MONTH($A2103),1))</f>
        <v/>
      </c>
      <c r="X2103" s="34">
        <f>IF(OR($A2103="",$H2103&lt;&gt;"Ausgabe",J2103=""),0,IF(J2103="x",-$E2103/(COUNTIF($J2103:$Q2103,"x")+1),-$E2103*N(J2103)))</f>
        <v/>
      </c>
      <c r="Y2103" s="34">
        <f>IF(OR($A2103="",$H2103&lt;&gt;"Ausgabe",K2103=""),0,IF(K2103="x",-$E2103/(COUNTIF($J2103:$Q2103,"x")+1),-$E2103*N(K2103)))</f>
        <v/>
      </c>
      <c r="Z2103" s="34">
        <f>IF(OR($A2103="",$H2103&lt;&gt;"Ausgabe",L2103=""),0,IF(L2103="x",-$E2103/(COUNTIF($J2103:$Q2103,"x")+1),-$E2103*N(L2103)))</f>
        <v/>
      </c>
      <c r="AA2103" s="34">
        <f>IF(OR($A2103="",$H2103&lt;&gt;"Ausgabe",M2103=""),0,IF(M2103="x",-$E2103/(COUNTIF($J2103:$Q2103,"x")+1),-$E2103*N(M2103)))</f>
        <v/>
      </c>
      <c r="AB2103" s="34">
        <f>IF(OR($A2103="",$H2103&lt;&gt;"Ausgabe",N2103=""),0,IF(N2103="x",-$E2103/(COUNTIF($J2103:$Q2103,"x")+1),-$E2103*N(N2103)))</f>
        <v/>
      </c>
      <c r="AC2103" s="34">
        <f>IF(OR($A2103="",$H2103&lt;&gt;"Ausgabe",O2103=""),0,IF(O2103="x",-$E2103/(COUNTIF($J2103:$Q2103,"x")+1),-$E2103*N(O2103)))</f>
        <v/>
      </c>
      <c r="AD2103" s="34">
        <f>IF(OR($A2103="",$H2103&lt;&gt;"Ausgabe",P2103=""),0,IF(P2103="x",-$E2103/(COUNTIF($J2103:$Q2103,"x")+1),-$E2103*N(P2103)))</f>
        <v/>
      </c>
      <c r="AE2103" s="34">
        <f>IF(OR($A2103="",$H2103&lt;&gt;"Ausgabe",Q2103=""),0,IF(Q2103="x",-$E2103/(COUNTIF($J2103:$Q2103,"x")+1),-$E2103*N(Q2103)))</f>
        <v/>
      </c>
    </row>
    <row r="2104">
      <c r="A2104" s="30" t="n"/>
      <c r="E2104" s="31" t="n"/>
      <c r="J2104" s="32" t="n"/>
      <c r="K2104" s="32" t="n"/>
      <c r="L2104" s="32" t="n"/>
      <c r="M2104" s="32" t="n"/>
      <c r="N2104" s="32" t="n"/>
      <c r="O2104" s="32" t="n"/>
      <c r="P2104" s="32" t="n"/>
      <c r="Q2104" s="32" t="n"/>
      <c r="U2104" s="31">
        <f>IF($A2104="","",SUM(X2104:AE2104))</f>
        <v/>
      </c>
      <c r="V2104" s="31">
        <f>IF($A2104="","",IF($H2104&lt;&gt;"Ausgabe",0,-$E2104-$U2104))</f>
        <v/>
      </c>
      <c r="W2104" s="33">
        <f>IF($A2104="","",DATE(YEAR($A2104),MONTH($A2104),1))</f>
        <v/>
      </c>
      <c r="X2104" s="34">
        <f>IF(OR($A2104="",$H2104&lt;&gt;"Ausgabe",J2104=""),0,IF(J2104="x",-$E2104/(COUNTIF($J2104:$Q2104,"x")+1),-$E2104*N(J2104)))</f>
        <v/>
      </c>
      <c r="Y2104" s="34">
        <f>IF(OR($A2104="",$H2104&lt;&gt;"Ausgabe",K2104=""),0,IF(K2104="x",-$E2104/(COUNTIF($J2104:$Q2104,"x")+1),-$E2104*N(K2104)))</f>
        <v/>
      </c>
      <c r="Z2104" s="34">
        <f>IF(OR($A2104="",$H2104&lt;&gt;"Ausgabe",L2104=""),0,IF(L2104="x",-$E2104/(COUNTIF($J2104:$Q2104,"x")+1),-$E2104*N(L2104)))</f>
        <v/>
      </c>
      <c r="AA2104" s="34">
        <f>IF(OR($A2104="",$H2104&lt;&gt;"Ausgabe",M2104=""),0,IF(M2104="x",-$E2104/(COUNTIF($J2104:$Q2104,"x")+1),-$E2104*N(M2104)))</f>
        <v/>
      </c>
      <c r="AB2104" s="34">
        <f>IF(OR($A2104="",$H2104&lt;&gt;"Ausgabe",N2104=""),0,IF(N2104="x",-$E2104/(COUNTIF($J2104:$Q2104,"x")+1),-$E2104*N(N2104)))</f>
        <v/>
      </c>
      <c r="AC2104" s="34">
        <f>IF(OR($A2104="",$H2104&lt;&gt;"Ausgabe",O2104=""),0,IF(O2104="x",-$E2104/(COUNTIF($J2104:$Q2104,"x")+1),-$E2104*N(O2104)))</f>
        <v/>
      </c>
      <c r="AD2104" s="34">
        <f>IF(OR($A2104="",$H2104&lt;&gt;"Ausgabe",P2104=""),0,IF(P2104="x",-$E2104/(COUNTIF($J2104:$Q2104,"x")+1),-$E2104*N(P2104)))</f>
        <v/>
      </c>
      <c r="AE2104" s="34">
        <f>IF(OR($A2104="",$H2104&lt;&gt;"Ausgabe",Q2104=""),0,IF(Q2104="x",-$E2104/(COUNTIF($J2104:$Q2104,"x")+1),-$E2104*N(Q2104)))</f>
        <v/>
      </c>
    </row>
    <row r="2105">
      <c r="A2105" s="30" t="n"/>
      <c r="E2105" s="31" t="n"/>
      <c r="J2105" s="32" t="n"/>
      <c r="K2105" s="32" t="n"/>
      <c r="L2105" s="32" t="n"/>
      <c r="M2105" s="32" t="n"/>
      <c r="N2105" s="32" t="n"/>
      <c r="O2105" s="32" t="n"/>
      <c r="P2105" s="32" t="n"/>
      <c r="Q2105" s="32" t="n"/>
      <c r="U2105" s="31">
        <f>IF($A2105="","",SUM(X2105:AE2105))</f>
        <v/>
      </c>
      <c r="V2105" s="31">
        <f>IF($A2105="","",IF($H2105&lt;&gt;"Ausgabe",0,-$E2105-$U2105))</f>
        <v/>
      </c>
      <c r="W2105" s="33">
        <f>IF($A2105="","",DATE(YEAR($A2105),MONTH($A2105),1))</f>
        <v/>
      </c>
      <c r="X2105" s="34">
        <f>IF(OR($A2105="",$H2105&lt;&gt;"Ausgabe",J2105=""),0,IF(J2105="x",-$E2105/(COUNTIF($J2105:$Q2105,"x")+1),-$E2105*N(J2105)))</f>
        <v/>
      </c>
      <c r="Y2105" s="34">
        <f>IF(OR($A2105="",$H2105&lt;&gt;"Ausgabe",K2105=""),0,IF(K2105="x",-$E2105/(COUNTIF($J2105:$Q2105,"x")+1),-$E2105*N(K2105)))</f>
        <v/>
      </c>
      <c r="Z2105" s="34">
        <f>IF(OR($A2105="",$H2105&lt;&gt;"Ausgabe",L2105=""),0,IF(L2105="x",-$E2105/(COUNTIF($J2105:$Q2105,"x")+1),-$E2105*N(L2105)))</f>
        <v/>
      </c>
      <c r="AA2105" s="34">
        <f>IF(OR($A2105="",$H2105&lt;&gt;"Ausgabe",M2105=""),0,IF(M2105="x",-$E2105/(COUNTIF($J2105:$Q2105,"x")+1),-$E2105*N(M2105)))</f>
        <v/>
      </c>
      <c r="AB2105" s="34">
        <f>IF(OR($A2105="",$H2105&lt;&gt;"Ausgabe",N2105=""),0,IF(N2105="x",-$E2105/(COUNTIF($J2105:$Q2105,"x")+1),-$E2105*N(N2105)))</f>
        <v/>
      </c>
      <c r="AC2105" s="34">
        <f>IF(OR($A2105="",$H2105&lt;&gt;"Ausgabe",O2105=""),0,IF(O2105="x",-$E2105/(COUNTIF($J2105:$Q2105,"x")+1),-$E2105*N(O2105)))</f>
        <v/>
      </c>
      <c r="AD2105" s="34">
        <f>IF(OR($A2105="",$H2105&lt;&gt;"Ausgabe",P2105=""),0,IF(P2105="x",-$E2105/(COUNTIF($J2105:$Q2105,"x")+1),-$E2105*N(P2105)))</f>
        <v/>
      </c>
      <c r="AE2105" s="34">
        <f>IF(OR($A2105="",$H2105&lt;&gt;"Ausgabe",Q2105=""),0,IF(Q2105="x",-$E2105/(COUNTIF($J2105:$Q2105,"x")+1),-$E2105*N(Q2105)))</f>
        <v/>
      </c>
    </row>
    <row r="2106">
      <c r="A2106" s="30" t="n"/>
      <c r="E2106" s="31" t="n"/>
      <c r="J2106" s="32" t="n"/>
      <c r="K2106" s="32" t="n"/>
      <c r="L2106" s="32" t="n"/>
      <c r="M2106" s="32" t="n"/>
      <c r="N2106" s="32" t="n"/>
      <c r="O2106" s="32" t="n"/>
      <c r="P2106" s="32" t="n"/>
      <c r="Q2106" s="32" t="n"/>
      <c r="U2106" s="31">
        <f>IF($A2106="","",SUM(X2106:AE2106))</f>
        <v/>
      </c>
      <c r="V2106" s="31">
        <f>IF($A2106="","",IF($H2106&lt;&gt;"Ausgabe",0,-$E2106-$U2106))</f>
        <v/>
      </c>
      <c r="W2106" s="33">
        <f>IF($A2106="","",DATE(YEAR($A2106),MONTH($A2106),1))</f>
        <v/>
      </c>
      <c r="X2106" s="34">
        <f>IF(OR($A2106="",$H2106&lt;&gt;"Ausgabe",J2106=""),0,IF(J2106="x",-$E2106/(COUNTIF($J2106:$Q2106,"x")+1),-$E2106*N(J2106)))</f>
        <v/>
      </c>
      <c r="Y2106" s="34">
        <f>IF(OR($A2106="",$H2106&lt;&gt;"Ausgabe",K2106=""),0,IF(K2106="x",-$E2106/(COUNTIF($J2106:$Q2106,"x")+1),-$E2106*N(K2106)))</f>
        <v/>
      </c>
      <c r="Z2106" s="34">
        <f>IF(OR($A2106="",$H2106&lt;&gt;"Ausgabe",L2106=""),0,IF(L2106="x",-$E2106/(COUNTIF($J2106:$Q2106,"x")+1),-$E2106*N(L2106)))</f>
        <v/>
      </c>
      <c r="AA2106" s="34">
        <f>IF(OR($A2106="",$H2106&lt;&gt;"Ausgabe",M2106=""),0,IF(M2106="x",-$E2106/(COUNTIF($J2106:$Q2106,"x")+1),-$E2106*N(M2106)))</f>
        <v/>
      </c>
      <c r="AB2106" s="34">
        <f>IF(OR($A2106="",$H2106&lt;&gt;"Ausgabe",N2106=""),0,IF(N2106="x",-$E2106/(COUNTIF($J2106:$Q2106,"x")+1),-$E2106*N(N2106)))</f>
        <v/>
      </c>
      <c r="AC2106" s="34">
        <f>IF(OR($A2106="",$H2106&lt;&gt;"Ausgabe",O2106=""),0,IF(O2106="x",-$E2106/(COUNTIF($J2106:$Q2106,"x")+1),-$E2106*N(O2106)))</f>
        <v/>
      </c>
      <c r="AD2106" s="34">
        <f>IF(OR($A2106="",$H2106&lt;&gt;"Ausgabe",P2106=""),0,IF(P2106="x",-$E2106/(COUNTIF($J2106:$Q2106,"x")+1),-$E2106*N(P2106)))</f>
        <v/>
      </c>
      <c r="AE2106" s="34">
        <f>IF(OR($A2106="",$H2106&lt;&gt;"Ausgabe",Q2106=""),0,IF(Q2106="x",-$E2106/(COUNTIF($J2106:$Q2106,"x")+1),-$E2106*N(Q2106)))</f>
        <v/>
      </c>
    </row>
    <row r="2107">
      <c r="A2107" s="30" t="n"/>
      <c r="E2107" s="31" t="n"/>
      <c r="J2107" s="32" t="n"/>
      <c r="K2107" s="32" t="n"/>
      <c r="L2107" s="32" t="n"/>
      <c r="M2107" s="32" t="n"/>
      <c r="N2107" s="32" t="n"/>
      <c r="O2107" s="32" t="n"/>
      <c r="P2107" s="32" t="n"/>
      <c r="Q2107" s="32" t="n"/>
      <c r="U2107" s="31">
        <f>IF($A2107="","",SUM(X2107:AE2107))</f>
        <v/>
      </c>
      <c r="V2107" s="31">
        <f>IF($A2107="","",IF($H2107&lt;&gt;"Ausgabe",0,-$E2107-$U2107))</f>
        <v/>
      </c>
      <c r="W2107" s="33">
        <f>IF($A2107="","",DATE(YEAR($A2107),MONTH($A2107),1))</f>
        <v/>
      </c>
      <c r="X2107" s="34">
        <f>IF(OR($A2107="",$H2107&lt;&gt;"Ausgabe",J2107=""),0,IF(J2107="x",-$E2107/(COUNTIF($J2107:$Q2107,"x")+1),-$E2107*N(J2107)))</f>
        <v/>
      </c>
      <c r="Y2107" s="34">
        <f>IF(OR($A2107="",$H2107&lt;&gt;"Ausgabe",K2107=""),0,IF(K2107="x",-$E2107/(COUNTIF($J2107:$Q2107,"x")+1),-$E2107*N(K2107)))</f>
        <v/>
      </c>
      <c r="Z2107" s="34">
        <f>IF(OR($A2107="",$H2107&lt;&gt;"Ausgabe",L2107=""),0,IF(L2107="x",-$E2107/(COUNTIF($J2107:$Q2107,"x")+1),-$E2107*N(L2107)))</f>
        <v/>
      </c>
      <c r="AA2107" s="34">
        <f>IF(OR($A2107="",$H2107&lt;&gt;"Ausgabe",M2107=""),0,IF(M2107="x",-$E2107/(COUNTIF($J2107:$Q2107,"x")+1),-$E2107*N(M2107)))</f>
        <v/>
      </c>
      <c r="AB2107" s="34">
        <f>IF(OR($A2107="",$H2107&lt;&gt;"Ausgabe",N2107=""),0,IF(N2107="x",-$E2107/(COUNTIF($J2107:$Q2107,"x")+1),-$E2107*N(N2107)))</f>
        <v/>
      </c>
      <c r="AC2107" s="34">
        <f>IF(OR($A2107="",$H2107&lt;&gt;"Ausgabe",O2107=""),0,IF(O2107="x",-$E2107/(COUNTIF($J2107:$Q2107,"x")+1),-$E2107*N(O2107)))</f>
        <v/>
      </c>
      <c r="AD2107" s="34">
        <f>IF(OR($A2107="",$H2107&lt;&gt;"Ausgabe",P2107=""),0,IF(P2107="x",-$E2107/(COUNTIF($J2107:$Q2107,"x")+1),-$E2107*N(P2107)))</f>
        <v/>
      </c>
      <c r="AE2107" s="34">
        <f>IF(OR($A2107="",$H2107&lt;&gt;"Ausgabe",Q2107=""),0,IF(Q2107="x",-$E2107/(COUNTIF($J2107:$Q2107,"x")+1),-$E2107*N(Q2107)))</f>
        <v/>
      </c>
    </row>
    <row r="2108">
      <c r="A2108" s="30" t="n"/>
      <c r="E2108" s="31" t="n"/>
      <c r="J2108" s="32" t="n"/>
      <c r="K2108" s="32" t="n"/>
      <c r="L2108" s="32" t="n"/>
      <c r="M2108" s="32" t="n"/>
      <c r="N2108" s="32" t="n"/>
      <c r="O2108" s="32" t="n"/>
      <c r="P2108" s="32" t="n"/>
      <c r="Q2108" s="32" t="n"/>
      <c r="U2108" s="31">
        <f>IF($A2108="","",SUM(X2108:AE2108))</f>
        <v/>
      </c>
      <c r="V2108" s="31">
        <f>IF($A2108="","",IF($H2108&lt;&gt;"Ausgabe",0,-$E2108-$U2108))</f>
        <v/>
      </c>
      <c r="W2108" s="33">
        <f>IF($A2108="","",DATE(YEAR($A2108),MONTH($A2108),1))</f>
        <v/>
      </c>
      <c r="X2108" s="34">
        <f>IF(OR($A2108="",$H2108&lt;&gt;"Ausgabe",J2108=""),0,IF(J2108="x",-$E2108/(COUNTIF($J2108:$Q2108,"x")+1),-$E2108*N(J2108)))</f>
        <v/>
      </c>
      <c r="Y2108" s="34">
        <f>IF(OR($A2108="",$H2108&lt;&gt;"Ausgabe",K2108=""),0,IF(K2108="x",-$E2108/(COUNTIF($J2108:$Q2108,"x")+1),-$E2108*N(K2108)))</f>
        <v/>
      </c>
      <c r="Z2108" s="34">
        <f>IF(OR($A2108="",$H2108&lt;&gt;"Ausgabe",L2108=""),0,IF(L2108="x",-$E2108/(COUNTIF($J2108:$Q2108,"x")+1),-$E2108*N(L2108)))</f>
        <v/>
      </c>
      <c r="AA2108" s="34">
        <f>IF(OR($A2108="",$H2108&lt;&gt;"Ausgabe",M2108=""),0,IF(M2108="x",-$E2108/(COUNTIF($J2108:$Q2108,"x")+1),-$E2108*N(M2108)))</f>
        <v/>
      </c>
      <c r="AB2108" s="34">
        <f>IF(OR($A2108="",$H2108&lt;&gt;"Ausgabe",N2108=""),0,IF(N2108="x",-$E2108/(COUNTIF($J2108:$Q2108,"x")+1),-$E2108*N(N2108)))</f>
        <v/>
      </c>
      <c r="AC2108" s="34">
        <f>IF(OR($A2108="",$H2108&lt;&gt;"Ausgabe",O2108=""),0,IF(O2108="x",-$E2108/(COUNTIF($J2108:$Q2108,"x")+1),-$E2108*N(O2108)))</f>
        <v/>
      </c>
      <c r="AD2108" s="34">
        <f>IF(OR($A2108="",$H2108&lt;&gt;"Ausgabe",P2108=""),0,IF(P2108="x",-$E2108/(COUNTIF($J2108:$Q2108,"x")+1),-$E2108*N(P2108)))</f>
        <v/>
      </c>
      <c r="AE2108" s="34">
        <f>IF(OR($A2108="",$H2108&lt;&gt;"Ausgabe",Q2108=""),0,IF(Q2108="x",-$E2108/(COUNTIF($J2108:$Q2108,"x")+1),-$E2108*N(Q2108)))</f>
        <v/>
      </c>
    </row>
    <row r="2109">
      <c r="A2109" s="30" t="n"/>
      <c r="E2109" s="31" t="n"/>
      <c r="J2109" s="32" t="n"/>
      <c r="K2109" s="32" t="n"/>
      <c r="L2109" s="32" t="n"/>
      <c r="M2109" s="32" t="n"/>
      <c r="N2109" s="32" t="n"/>
      <c r="O2109" s="32" t="n"/>
      <c r="P2109" s="32" t="n"/>
      <c r="Q2109" s="32" t="n"/>
      <c r="U2109" s="31">
        <f>IF($A2109="","",SUM(X2109:AE2109))</f>
        <v/>
      </c>
      <c r="V2109" s="31">
        <f>IF($A2109="","",IF($H2109&lt;&gt;"Ausgabe",0,-$E2109-$U2109))</f>
        <v/>
      </c>
      <c r="W2109" s="33">
        <f>IF($A2109="","",DATE(YEAR($A2109),MONTH($A2109),1))</f>
        <v/>
      </c>
      <c r="X2109" s="34">
        <f>IF(OR($A2109="",$H2109&lt;&gt;"Ausgabe",J2109=""),0,IF(J2109="x",-$E2109/(COUNTIF($J2109:$Q2109,"x")+1),-$E2109*N(J2109)))</f>
        <v/>
      </c>
      <c r="Y2109" s="34">
        <f>IF(OR($A2109="",$H2109&lt;&gt;"Ausgabe",K2109=""),0,IF(K2109="x",-$E2109/(COUNTIF($J2109:$Q2109,"x")+1),-$E2109*N(K2109)))</f>
        <v/>
      </c>
      <c r="Z2109" s="34">
        <f>IF(OR($A2109="",$H2109&lt;&gt;"Ausgabe",L2109=""),0,IF(L2109="x",-$E2109/(COUNTIF($J2109:$Q2109,"x")+1),-$E2109*N(L2109)))</f>
        <v/>
      </c>
      <c r="AA2109" s="34">
        <f>IF(OR($A2109="",$H2109&lt;&gt;"Ausgabe",M2109=""),0,IF(M2109="x",-$E2109/(COUNTIF($J2109:$Q2109,"x")+1),-$E2109*N(M2109)))</f>
        <v/>
      </c>
      <c r="AB2109" s="34">
        <f>IF(OR($A2109="",$H2109&lt;&gt;"Ausgabe",N2109=""),0,IF(N2109="x",-$E2109/(COUNTIF($J2109:$Q2109,"x")+1),-$E2109*N(N2109)))</f>
        <v/>
      </c>
      <c r="AC2109" s="34">
        <f>IF(OR($A2109="",$H2109&lt;&gt;"Ausgabe",O2109=""),0,IF(O2109="x",-$E2109/(COUNTIF($J2109:$Q2109,"x")+1),-$E2109*N(O2109)))</f>
        <v/>
      </c>
      <c r="AD2109" s="34">
        <f>IF(OR($A2109="",$H2109&lt;&gt;"Ausgabe",P2109=""),0,IF(P2109="x",-$E2109/(COUNTIF($J2109:$Q2109,"x")+1),-$E2109*N(P2109)))</f>
        <v/>
      </c>
      <c r="AE2109" s="34">
        <f>IF(OR($A2109="",$H2109&lt;&gt;"Ausgabe",Q2109=""),0,IF(Q2109="x",-$E2109/(COUNTIF($J2109:$Q2109,"x")+1),-$E2109*N(Q2109)))</f>
        <v/>
      </c>
    </row>
    <row r="2110">
      <c r="A2110" s="30" t="n"/>
      <c r="E2110" s="31" t="n"/>
      <c r="J2110" s="32" t="n"/>
      <c r="K2110" s="32" t="n"/>
      <c r="L2110" s="32" t="n"/>
      <c r="M2110" s="32" t="n"/>
      <c r="N2110" s="32" t="n"/>
      <c r="O2110" s="32" t="n"/>
      <c r="P2110" s="32" t="n"/>
      <c r="Q2110" s="32" t="n"/>
      <c r="U2110" s="31">
        <f>IF($A2110="","",SUM(X2110:AE2110))</f>
        <v/>
      </c>
      <c r="V2110" s="31">
        <f>IF($A2110="","",IF($H2110&lt;&gt;"Ausgabe",0,-$E2110-$U2110))</f>
        <v/>
      </c>
      <c r="W2110" s="33">
        <f>IF($A2110="","",DATE(YEAR($A2110),MONTH($A2110),1))</f>
        <v/>
      </c>
      <c r="X2110" s="34">
        <f>IF(OR($A2110="",$H2110&lt;&gt;"Ausgabe",J2110=""),0,IF(J2110="x",-$E2110/(COUNTIF($J2110:$Q2110,"x")+1),-$E2110*N(J2110)))</f>
        <v/>
      </c>
      <c r="Y2110" s="34">
        <f>IF(OR($A2110="",$H2110&lt;&gt;"Ausgabe",K2110=""),0,IF(K2110="x",-$E2110/(COUNTIF($J2110:$Q2110,"x")+1),-$E2110*N(K2110)))</f>
        <v/>
      </c>
      <c r="Z2110" s="34">
        <f>IF(OR($A2110="",$H2110&lt;&gt;"Ausgabe",L2110=""),0,IF(L2110="x",-$E2110/(COUNTIF($J2110:$Q2110,"x")+1),-$E2110*N(L2110)))</f>
        <v/>
      </c>
      <c r="AA2110" s="34">
        <f>IF(OR($A2110="",$H2110&lt;&gt;"Ausgabe",M2110=""),0,IF(M2110="x",-$E2110/(COUNTIF($J2110:$Q2110,"x")+1),-$E2110*N(M2110)))</f>
        <v/>
      </c>
      <c r="AB2110" s="34">
        <f>IF(OR($A2110="",$H2110&lt;&gt;"Ausgabe",N2110=""),0,IF(N2110="x",-$E2110/(COUNTIF($J2110:$Q2110,"x")+1),-$E2110*N(N2110)))</f>
        <v/>
      </c>
      <c r="AC2110" s="34">
        <f>IF(OR($A2110="",$H2110&lt;&gt;"Ausgabe",O2110=""),0,IF(O2110="x",-$E2110/(COUNTIF($J2110:$Q2110,"x")+1),-$E2110*N(O2110)))</f>
        <v/>
      </c>
      <c r="AD2110" s="34">
        <f>IF(OR($A2110="",$H2110&lt;&gt;"Ausgabe",P2110=""),0,IF(P2110="x",-$E2110/(COUNTIF($J2110:$Q2110,"x")+1),-$E2110*N(P2110)))</f>
        <v/>
      </c>
      <c r="AE2110" s="34">
        <f>IF(OR($A2110="",$H2110&lt;&gt;"Ausgabe",Q2110=""),0,IF(Q2110="x",-$E2110/(COUNTIF($J2110:$Q2110,"x")+1),-$E2110*N(Q2110)))</f>
        <v/>
      </c>
    </row>
    <row r="2111">
      <c r="A2111" s="30" t="n"/>
      <c r="E2111" s="31" t="n"/>
      <c r="J2111" s="32" t="n"/>
      <c r="K2111" s="32" t="n"/>
      <c r="L2111" s="32" t="n"/>
      <c r="M2111" s="32" t="n"/>
      <c r="N2111" s="32" t="n"/>
      <c r="O2111" s="32" t="n"/>
      <c r="P2111" s="32" t="n"/>
      <c r="Q2111" s="32" t="n"/>
      <c r="U2111" s="31">
        <f>IF($A2111="","",SUM(X2111:AE2111))</f>
        <v/>
      </c>
      <c r="V2111" s="31">
        <f>IF($A2111="","",IF($H2111&lt;&gt;"Ausgabe",0,-$E2111-$U2111))</f>
        <v/>
      </c>
      <c r="W2111" s="33">
        <f>IF($A2111="","",DATE(YEAR($A2111),MONTH($A2111),1))</f>
        <v/>
      </c>
      <c r="X2111" s="34">
        <f>IF(OR($A2111="",$H2111&lt;&gt;"Ausgabe",J2111=""),0,IF(J2111="x",-$E2111/(COUNTIF($J2111:$Q2111,"x")+1),-$E2111*N(J2111)))</f>
        <v/>
      </c>
      <c r="Y2111" s="34">
        <f>IF(OR($A2111="",$H2111&lt;&gt;"Ausgabe",K2111=""),0,IF(K2111="x",-$E2111/(COUNTIF($J2111:$Q2111,"x")+1),-$E2111*N(K2111)))</f>
        <v/>
      </c>
      <c r="Z2111" s="34">
        <f>IF(OR($A2111="",$H2111&lt;&gt;"Ausgabe",L2111=""),0,IF(L2111="x",-$E2111/(COUNTIF($J2111:$Q2111,"x")+1),-$E2111*N(L2111)))</f>
        <v/>
      </c>
      <c r="AA2111" s="34">
        <f>IF(OR($A2111="",$H2111&lt;&gt;"Ausgabe",M2111=""),0,IF(M2111="x",-$E2111/(COUNTIF($J2111:$Q2111,"x")+1),-$E2111*N(M2111)))</f>
        <v/>
      </c>
      <c r="AB2111" s="34">
        <f>IF(OR($A2111="",$H2111&lt;&gt;"Ausgabe",N2111=""),0,IF(N2111="x",-$E2111/(COUNTIF($J2111:$Q2111,"x")+1),-$E2111*N(N2111)))</f>
        <v/>
      </c>
      <c r="AC2111" s="34">
        <f>IF(OR($A2111="",$H2111&lt;&gt;"Ausgabe",O2111=""),0,IF(O2111="x",-$E2111/(COUNTIF($J2111:$Q2111,"x")+1),-$E2111*N(O2111)))</f>
        <v/>
      </c>
      <c r="AD2111" s="34">
        <f>IF(OR($A2111="",$H2111&lt;&gt;"Ausgabe",P2111=""),0,IF(P2111="x",-$E2111/(COUNTIF($J2111:$Q2111,"x")+1),-$E2111*N(P2111)))</f>
        <v/>
      </c>
      <c r="AE2111" s="34">
        <f>IF(OR($A2111="",$H2111&lt;&gt;"Ausgabe",Q2111=""),0,IF(Q2111="x",-$E2111/(COUNTIF($J2111:$Q2111,"x")+1),-$E2111*N(Q2111)))</f>
        <v/>
      </c>
    </row>
    <row r="2112">
      <c r="A2112" s="30" t="n"/>
      <c r="E2112" s="31" t="n"/>
      <c r="J2112" s="32" t="n"/>
      <c r="K2112" s="32" t="n"/>
      <c r="L2112" s="32" t="n"/>
      <c r="M2112" s="32" t="n"/>
      <c r="N2112" s="32" t="n"/>
      <c r="O2112" s="32" t="n"/>
      <c r="P2112" s="32" t="n"/>
      <c r="Q2112" s="32" t="n"/>
      <c r="U2112" s="31">
        <f>IF($A2112="","",SUM(X2112:AE2112))</f>
        <v/>
      </c>
      <c r="V2112" s="31">
        <f>IF($A2112="","",IF($H2112&lt;&gt;"Ausgabe",0,-$E2112-$U2112))</f>
        <v/>
      </c>
      <c r="W2112" s="33">
        <f>IF($A2112="","",DATE(YEAR($A2112),MONTH($A2112),1))</f>
        <v/>
      </c>
      <c r="X2112" s="34">
        <f>IF(OR($A2112="",$H2112&lt;&gt;"Ausgabe",J2112=""),0,IF(J2112="x",-$E2112/(COUNTIF($J2112:$Q2112,"x")+1),-$E2112*N(J2112)))</f>
        <v/>
      </c>
      <c r="Y2112" s="34">
        <f>IF(OR($A2112="",$H2112&lt;&gt;"Ausgabe",K2112=""),0,IF(K2112="x",-$E2112/(COUNTIF($J2112:$Q2112,"x")+1),-$E2112*N(K2112)))</f>
        <v/>
      </c>
      <c r="Z2112" s="34">
        <f>IF(OR($A2112="",$H2112&lt;&gt;"Ausgabe",L2112=""),0,IF(L2112="x",-$E2112/(COUNTIF($J2112:$Q2112,"x")+1),-$E2112*N(L2112)))</f>
        <v/>
      </c>
      <c r="AA2112" s="34">
        <f>IF(OR($A2112="",$H2112&lt;&gt;"Ausgabe",M2112=""),0,IF(M2112="x",-$E2112/(COUNTIF($J2112:$Q2112,"x")+1),-$E2112*N(M2112)))</f>
        <v/>
      </c>
      <c r="AB2112" s="34">
        <f>IF(OR($A2112="",$H2112&lt;&gt;"Ausgabe",N2112=""),0,IF(N2112="x",-$E2112/(COUNTIF($J2112:$Q2112,"x")+1),-$E2112*N(N2112)))</f>
        <v/>
      </c>
      <c r="AC2112" s="34">
        <f>IF(OR($A2112="",$H2112&lt;&gt;"Ausgabe",O2112=""),0,IF(O2112="x",-$E2112/(COUNTIF($J2112:$Q2112,"x")+1),-$E2112*N(O2112)))</f>
        <v/>
      </c>
      <c r="AD2112" s="34">
        <f>IF(OR($A2112="",$H2112&lt;&gt;"Ausgabe",P2112=""),0,IF(P2112="x",-$E2112/(COUNTIF($J2112:$Q2112,"x")+1),-$E2112*N(P2112)))</f>
        <v/>
      </c>
      <c r="AE2112" s="34">
        <f>IF(OR($A2112="",$H2112&lt;&gt;"Ausgabe",Q2112=""),0,IF(Q2112="x",-$E2112/(COUNTIF($J2112:$Q2112,"x")+1),-$E2112*N(Q2112)))</f>
        <v/>
      </c>
    </row>
    <row r="2113">
      <c r="A2113" s="30" t="n"/>
      <c r="E2113" s="31" t="n"/>
      <c r="J2113" s="32" t="n"/>
      <c r="K2113" s="32" t="n"/>
      <c r="L2113" s="32" t="n"/>
      <c r="M2113" s="32" t="n"/>
      <c r="N2113" s="32" t="n"/>
      <c r="O2113" s="32" t="n"/>
      <c r="P2113" s="32" t="n"/>
      <c r="Q2113" s="32" t="n"/>
      <c r="U2113" s="31">
        <f>IF($A2113="","",SUM(X2113:AE2113))</f>
        <v/>
      </c>
      <c r="V2113" s="31">
        <f>IF($A2113="","",IF($H2113&lt;&gt;"Ausgabe",0,-$E2113-$U2113))</f>
        <v/>
      </c>
      <c r="W2113" s="33">
        <f>IF($A2113="","",DATE(YEAR($A2113),MONTH($A2113),1))</f>
        <v/>
      </c>
      <c r="X2113" s="34">
        <f>IF(OR($A2113="",$H2113&lt;&gt;"Ausgabe",J2113=""),0,IF(J2113="x",-$E2113/(COUNTIF($J2113:$Q2113,"x")+1),-$E2113*N(J2113)))</f>
        <v/>
      </c>
      <c r="Y2113" s="34">
        <f>IF(OR($A2113="",$H2113&lt;&gt;"Ausgabe",K2113=""),0,IF(K2113="x",-$E2113/(COUNTIF($J2113:$Q2113,"x")+1),-$E2113*N(K2113)))</f>
        <v/>
      </c>
      <c r="Z2113" s="34">
        <f>IF(OR($A2113="",$H2113&lt;&gt;"Ausgabe",L2113=""),0,IF(L2113="x",-$E2113/(COUNTIF($J2113:$Q2113,"x")+1),-$E2113*N(L2113)))</f>
        <v/>
      </c>
      <c r="AA2113" s="34">
        <f>IF(OR($A2113="",$H2113&lt;&gt;"Ausgabe",M2113=""),0,IF(M2113="x",-$E2113/(COUNTIF($J2113:$Q2113,"x")+1),-$E2113*N(M2113)))</f>
        <v/>
      </c>
      <c r="AB2113" s="34">
        <f>IF(OR($A2113="",$H2113&lt;&gt;"Ausgabe",N2113=""),0,IF(N2113="x",-$E2113/(COUNTIF($J2113:$Q2113,"x")+1),-$E2113*N(N2113)))</f>
        <v/>
      </c>
      <c r="AC2113" s="34">
        <f>IF(OR($A2113="",$H2113&lt;&gt;"Ausgabe",O2113=""),0,IF(O2113="x",-$E2113/(COUNTIF($J2113:$Q2113,"x")+1),-$E2113*N(O2113)))</f>
        <v/>
      </c>
      <c r="AD2113" s="34">
        <f>IF(OR($A2113="",$H2113&lt;&gt;"Ausgabe",P2113=""),0,IF(P2113="x",-$E2113/(COUNTIF($J2113:$Q2113,"x")+1),-$E2113*N(P2113)))</f>
        <v/>
      </c>
      <c r="AE2113" s="34">
        <f>IF(OR($A2113="",$H2113&lt;&gt;"Ausgabe",Q2113=""),0,IF(Q2113="x",-$E2113/(COUNTIF($J2113:$Q2113,"x")+1),-$E2113*N(Q2113)))</f>
        <v/>
      </c>
    </row>
    <row r="2114">
      <c r="A2114" s="30" t="n"/>
      <c r="E2114" s="31" t="n"/>
      <c r="J2114" s="32" t="n"/>
      <c r="K2114" s="32" t="n"/>
      <c r="L2114" s="32" t="n"/>
      <c r="M2114" s="32" t="n"/>
      <c r="N2114" s="32" t="n"/>
      <c r="O2114" s="32" t="n"/>
      <c r="P2114" s="32" t="n"/>
      <c r="Q2114" s="32" t="n"/>
      <c r="U2114" s="31">
        <f>IF($A2114="","",SUM(X2114:AE2114))</f>
        <v/>
      </c>
      <c r="V2114" s="31">
        <f>IF($A2114="","",IF($H2114&lt;&gt;"Ausgabe",0,-$E2114-$U2114))</f>
        <v/>
      </c>
      <c r="W2114" s="33">
        <f>IF($A2114="","",DATE(YEAR($A2114),MONTH($A2114),1))</f>
        <v/>
      </c>
      <c r="X2114" s="34">
        <f>IF(OR($A2114="",$H2114&lt;&gt;"Ausgabe",J2114=""),0,IF(J2114="x",-$E2114/(COUNTIF($J2114:$Q2114,"x")+1),-$E2114*N(J2114)))</f>
        <v/>
      </c>
      <c r="Y2114" s="34">
        <f>IF(OR($A2114="",$H2114&lt;&gt;"Ausgabe",K2114=""),0,IF(K2114="x",-$E2114/(COUNTIF($J2114:$Q2114,"x")+1),-$E2114*N(K2114)))</f>
        <v/>
      </c>
      <c r="Z2114" s="34">
        <f>IF(OR($A2114="",$H2114&lt;&gt;"Ausgabe",L2114=""),0,IF(L2114="x",-$E2114/(COUNTIF($J2114:$Q2114,"x")+1),-$E2114*N(L2114)))</f>
        <v/>
      </c>
      <c r="AA2114" s="34">
        <f>IF(OR($A2114="",$H2114&lt;&gt;"Ausgabe",M2114=""),0,IF(M2114="x",-$E2114/(COUNTIF($J2114:$Q2114,"x")+1),-$E2114*N(M2114)))</f>
        <v/>
      </c>
      <c r="AB2114" s="34">
        <f>IF(OR($A2114="",$H2114&lt;&gt;"Ausgabe",N2114=""),0,IF(N2114="x",-$E2114/(COUNTIF($J2114:$Q2114,"x")+1),-$E2114*N(N2114)))</f>
        <v/>
      </c>
      <c r="AC2114" s="34">
        <f>IF(OR($A2114="",$H2114&lt;&gt;"Ausgabe",O2114=""),0,IF(O2114="x",-$E2114/(COUNTIF($J2114:$Q2114,"x")+1),-$E2114*N(O2114)))</f>
        <v/>
      </c>
      <c r="AD2114" s="34">
        <f>IF(OR($A2114="",$H2114&lt;&gt;"Ausgabe",P2114=""),0,IF(P2114="x",-$E2114/(COUNTIF($J2114:$Q2114,"x")+1),-$E2114*N(P2114)))</f>
        <v/>
      </c>
      <c r="AE2114" s="34">
        <f>IF(OR($A2114="",$H2114&lt;&gt;"Ausgabe",Q2114=""),0,IF(Q2114="x",-$E2114/(COUNTIF($J2114:$Q2114,"x")+1),-$E2114*N(Q2114)))</f>
        <v/>
      </c>
    </row>
    <row r="2115">
      <c r="A2115" s="30" t="n"/>
      <c r="E2115" s="31" t="n"/>
      <c r="J2115" s="32" t="n"/>
      <c r="K2115" s="32" t="n"/>
      <c r="L2115" s="32" t="n"/>
      <c r="M2115" s="32" t="n"/>
      <c r="N2115" s="32" t="n"/>
      <c r="O2115" s="32" t="n"/>
      <c r="P2115" s="32" t="n"/>
      <c r="Q2115" s="32" t="n"/>
      <c r="U2115" s="31">
        <f>IF($A2115="","",SUM(X2115:AE2115))</f>
        <v/>
      </c>
      <c r="V2115" s="31">
        <f>IF($A2115="","",IF($H2115&lt;&gt;"Ausgabe",0,-$E2115-$U2115))</f>
        <v/>
      </c>
      <c r="W2115" s="33">
        <f>IF($A2115="","",DATE(YEAR($A2115),MONTH($A2115),1))</f>
        <v/>
      </c>
      <c r="X2115" s="34">
        <f>IF(OR($A2115="",$H2115&lt;&gt;"Ausgabe",J2115=""),0,IF(J2115="x",-$E2115/(COUNTIF($J2115:$Q2115,"x")+1),-$E2115*N(J2115)))</f>
        <v/>
      </c>
      <c r="Y2115" s="34">
        <f>IF(OR($A2115="",$H2115&lt;&gt;"Ausgabe",K2115=""),0,IF(K2115="x",-$E2115/(COUNTIF($J2115:$Q2115,"x")+1),-$E2115*N(K2115)))</f>
        <v/>
      </c>
      <c r="Z2115" s="34">
        <f>IF(OR($A2115="",$H2115&lt;&gt;"Ausgabe",L2115=""),0,IF(L2115="x",-$E2115/(COUNTIF($J2115:$Q2115,"x")+1),-$E2115*N(L2115)))</f>
        <v/>
      </c>
      <c r="AA2115" s="34">
        <f>IF(OR($A2115="",$H2115&lt;&gt;"Ausgabe",M2115=""),0,IF(M2115="x",-$E2115/(COUNTIF($J2115:$Q2115,"x")+1),-$E2115*N(M2115)))</f>
        <v/>
      </c>
      <c r="AB2115" s="34">
        <f>IF(OR($A2115="",$H2115&lt;&gt;"Ausgabe",N2115=""),0,IF(N2115="x",-$E2115/(COUNTIF($J2115:$Q2115,"x")+1),-$E2115*N(N2115)))</f>
        <v/>
      </c>
      <c r="AC2115" s="34">
        <f>IF(OR($A2115="",$H2115&lt;&gt;"Ausgabe",O2115=""),0,IF(O2115="x",-$E2115/(COUNTIF($J2115:$Q2115,"x")+1),-$E2115*N(O2115)))</f>
        <v/>
      </c>
      <c r="AD2115" s="34">
        <f>IF(OR($A2115="",$H2115&lt;&gt;"Ausgabe",P2115=""),0,IF(P2115="x",-$E2115/(COUNTIF($J2115:$Q2115,"x")+1),-$E2115*N(P2115)))</f>
        <v/>
      </c>
      <c r="AE2115" s="34">
        <f>IF(OR($A2115="",$H2115&lt;&gt;"Ausgabe",Q2115=""),0,IF(Q2115="x",-$E2115/(COUNTIF($J2115:$Q2115,"x")+1),-$E2115*N(Q2115)))</f>
        <v/>
      </c>
    </row>
    <row r="2116">
      <c r="A2116" s="30" t="n"/>
      <c r="E2116" s="31" t="n"/>
      <c r="J2116" s="32" t="n"/>
      <c r="K2116" s="32" t="n"/>
      <c r="L2116" s="32" t="n"/>
      <c r="M2116" s="32" t="n"/>
      <c r="N2116" s="32" t="n"/>
      <c r="O2116" s="32" t="n"/>
      <c r="P2116" s="32" t="n"/>
      <c r="Q2116" s="32" t="n"/>
      <c r="U2116" s="31">
        <f>IF($A2116="","",SUM(X2116:AE2116))</f>
        <v/>
      </c>
      <c r="V2116" s="31">
        <f>IF($A2116="","",IF($H2116&lt;&gt;"Ausgabe",0,-$E2116-$U2116))</f>
        <v/>
      </c>
      <c r="W2116" s="33">
        <f>IF($A2116="","",DATE(YEAR($A2116),MONTH($A2116),1))</f>
        <v/>
      </c>
      <c r="X2116" s="34">
        <f>IF(OR($A2116="",$H2116&lt;&gt;"Ausgabe",J2116=""),0,IF(J2116="x",-$E2116/(COUNTIF($J2116:$Q2116,"x")+1),-$E2116*N(J2116)))</f>
        <v/>
      </c>
      <c r="Y2116" s="34">
        <f>IF(OR($A2116="",$H2116&lt;&gt;"Ausgabe",K2116=""),0,IF(K2116="x",-$E2116/(COUNTIF($J2116:$Q2116,"x")+1),-$E2116*N(K2116)))</f>
        <v/>
      </c>
      <c r="Z2116" s="34">
        <f>IF(OR($A2116="",$H2116&lt;&gt;"Ausgabe",L2116=""),0,IF(L2116="x",-$E2116/(COUNTIF($J2116:$Q2116,"x")+1),-$E2116*N(L2116)))</f>
        <v/>
      </c>
      <c r="AA2116" s="34">
        <f>IF(OR($A2116="",$H2116&lt;&gt;"Ausgabe",M2116=""),0,IF(M2116="x",-$E2116/(COUNTIF($J2116:$Q2116,"x")+1),-$E2116*N(M2116)))</f>
        <v/>
      </c>
      <c r="AB2116" s="34">
        <f>IF(OR($A2116="",$H2116&lt;&gt;"Ausgabe",N2116=""),0,IF(N2116="x",-$E2116/(COUNTIF($J2116:$Q2116,"x")+1),-$E2116*N(N2116)))</f>
        <v/>
      </c>
      <c r="AC2116" s="34">
        <f>IF(OR($A2116="",$H2116&lt;&gt;"Ausgabe",O2116=""),0,IF(O2116="x",-$E2116/(COUNTIF($J2116:$Q2116,"x")+1),-$E2116*N(O2116)))</f>
        <v/>
      </c>
      <c r="AD2116" s="34">
        <f>IF(OR($A2116="",$H2116&lt;&gt;"Ausgabe",P2116=""),0,IF(P2116="x",-$E2116/(COUNTIF($J2116:$Q2116,"x")+1),-$E2116*N(P2116)))</f>
        <v/>
      </c>
      <c r="AE2116" s="34">
        <f>IF(OR($A2116="",$H2116&lt;&gt;"Ausgabe",Q2116=""),0,IF(Q2116="x",-$E2116/(COUNTIF($J2116:$Q2116,"x")+1),-$E2116*N(Q2116)))</f>
        <v/>
      </c>
    </row>
    <row r="2117">
      <c r="A2117" s="30" t="n"/>
      <c r="E2117" s="31" t="n"/>
      <c r="J2117" s="32" t="n"/>
      <c r="K2117" s="32" t="n"/>
      <c r="L2117" s="32" t="n"/>
      <c r="M2117" s="32" t="n"/>
      <c r="N2117" s="32" t="n"/>
      <c r="O2117" s="32" t="n"/>
      <c r="P2117" s="32" t="n"/>
      <c r="Q2117" s="32" t="n"/>
      <c r="U2117" s="31">
        <f>IF($A2117="","",SUM(X2117:AE2117))</f>
        <v/>
      </c>
      <c r="V2117" s="31">
        <f>IF($A2117="","",IF($H2117&lt;&gt;"Ausgabe",0,-$E2117-$U2117))</f>
        <v/>
      </c>
      <c r="W2117" s="33">
        <f>IF($A2117="","",DATE(YEAR($A2117),MONTH($A2117),1))</f>
        <v/>
      </c>
      <c r="X2117" s="34">
        <f>IF(OR($A2117="",$H2117&lt;&gt;"Ausgabe",J2117=""),0,IF(J2117="x",-$E2117/(COUNTIF($J2117:$Q2117,"x")+1),-$E2117*N(J2117)))</f>
        <v/>
      </c>
      <c r="Y2117" s="34">
        <f>IF(OR($A2117="",$H2117&lt;&gt;"Ausgabe",K2117=""),0,IF(K2117="x",-$E2117/(COUNTIF($J2117:$Q2117,"x")+1),-$E2117*N(K2117)))</f>
        <v/>
      </c>
      <c r="Z2117" s="34">
        <f>IF(OR($A2117="",$H2117&lt;&gt;"Ausgabe",L2117=""),0,IF(L2117="x",-$E2117/(COUNTIF($J2117:$Q2117,"x")+1),-$E2117*N(L2117)))</f>
        <v/>
      </c>
      <c r="AA2117" s="34">
        <f>IF(OR($A2117="",$H2117&lt;&gt;"Ausgabe",M2117=""),0,IF(M2117="x",-$E2117/(COUNTIF($J2117:$Q2117,"x")+1),-$E2117*N(M2117)))</f>
        <v/>
      </c>
      <c r="AB2117" s="34">
        <f>IF(OR($A2117="",$H2117&lt;&gt;"Ausgabe",N2117=""),0,IF(N2117="x",-$E2117/(COUNTIF($J2117:$Q2117,"x")+1),-$E2117*N(N2117)))</f>
        <v/>
      </c>
      <c r="AC2117" s="34">
        <f>IF(OR($A2117="",$H2117&lt;&gt;"Ausgabe",O2117=""),0,IF(O2117="x",-$E2117/(COUNTIF($J2117:$Q2117,"x")+1),-$E2117*N(O2117)))</f>
        <v/>
      </c>
      <c r="AD2117" s="34">
        <f>IF(OR($A2117="",$H2117&lt;&gt;"Ausgabe",P2117=""),0,IF(P2117="x",-$E2117/(COUNTIF($J2117:$Q2117,"x")+1),-$E2117*N(P2117)))</f>
        <v/>
      </c>
      <c r="AE2117" s="34">
        <f>IF(OR($A2117="",$H2117&lt;&gt;"Ausgabe",Q2117=""),0,IF(Q2117="x",-$E2117/(COUNTIF($J2117:$Q2117,"x")+1),-$E2117*N(Q2117)))</f>
        <v/>
      </c>
    </row>
    <row r="2118">
      <c r="A2118" s="30" t="n"/>
      <c r="E2118" s="31" t="n"/>
      <c r="J2118" s="32" t="n"/>
      <c r="K2118" s="32" t="n"/>
      <c r="L2118" s="32" t="n"/>
      <c r="M2118" s="32" t="n"/>
      <c r="N2118" s="32" t="n"/>
      <c r="O2118" s="32" t="n"/>
      <c r="P2118" s="32" t="n"/>
      <c r="Q2118" s="32" t="n"/>
      <c r="U2118" s="31">
        <f>IF($A2118="","",SUM(X2118:AE2118))</f>
        <v/>
      </c>
      <c r="V2118" s="31">
        <f>IF($A2118="","",IF($H2118&lt;&gt;"Ausgabe",0,-$E2118-$U2118))</f>
        <v/>
      </c>
      <c r="W2118" s="33">
        <f>IF($A2118="","",DATE(YEAR($A2118),MONTH($A2118),1))</f>
        <v/>
      </c>
      <c r="X2118" s="34">
        <f>IF(OR($A2118="",$H2118&lt;&gt;"Ausgabe",J2118=""),0,IF(J2118="x",-$E2118/(COUNTIF($J2118:$Q2118,"x")+1),-$E2118*N(J2118)))</f>
        <v/>
      </c>
      <c r="Y2118" s="34">
        <f>IF(OR($A2118="",$H2118&lt;&gt;"Ausgabe",K2118=""),0,IF(K2118="x",-$E2118/(COUNTIF($J2118:$Q2118,"x")+1),-$E2118*N(K2118)))</f>
        <v/>
      </c>
      <c r="Z2118" s="34">
        <f>IF(OR($A2118="",$H2118&lt;&gt;"Ausgabe",L2118=""),0,IF(L2118="x",-$E2118/(COUNTIF($J2118:$Q2118,"x")+1),-$E2118*N(L2118)))</f>
        <v/>
      </c>
      <c r="AA2118" s="34">
        <f>IF(OR($A2118="",$H2118&lt;&gt;"Ausgabe",M2118=""),0,IF(M2118="x",-$E2118/(COUNTIF($J2118:$Q2118,"x")+1),-$E2118*N(M2118)))</f>
        <v/>
      </c>
      <c r="AB2118" s="34">
        <f>IF(OR($A2118="",$H2118&lt;&gt;"Ausgabe",N2118=""),0,IF(N2118="x",-$E2118/(COUNTIF($J2118:$Q2118,"x")+1),-$E2118*N(N2118)))</f>
        <v/>
      </c>
      <c r="AC2118" s="34">
        <f>IF(OR($A2118="",$H2118&lt;&gt;"Ausgabe",O2118=""),0,IF(O2118="x",-$E2118/(COUNTIF($J2118:$Q2118,"x")+1),-$E2118*N(O2118)))</f>
        <v/>
      </c>
      <c r="AD2118" s="34">
        <f>IF(OR($A2118="",$H2118&lt;&gt;"Ausgabe",P2118=""),0,IF(P2118="x",-$E2118/(COUNTIF($J2118:$Q2118,"x")+1),-$E2118*N(P2118)))</f>
        <v/>
      </c>
      <c r="AE2118" s="34">
        <f>IF(OR($A2118="",$H2118&lt;&gt;"Ausgabe",Q2118=""),0,IF(Q2118="x",-$E2118/(COUNTIF($J2118:$Q2118,"x")+1),-$E2118*N(Q2118)))</f>
        <v/>
      </c>
    </row>
    <row r="2119">
      <c r="A2119" s="30" t="n"/>
      <c r="E2119" s="31" t="n"/>
      <c r="J2119" s="32" t="n"/>
      <c r="K2119" s="32" t="n"/>
      <c r="L2119" s="32" t="n"/>
      <c r="M2119" s="32" t="n"/>
      <c r="N2119" s="32" t="n"/>
      <c r="O2119" s="32" t="n"/>
      <c r="P2119" s="32" t="n"/>
      <c r="Q2119" s="32" t="n"/>
      <c r="U2119" s="31">
        <f>IF($A2119="","",SUM(X2119:AE2119))</f>
        <v/>
      </c>
      <c r="V2119" s="31">
        <f>IF($A2119="","",IF($H2119&lt;&gt;"Ausgabe",0,-$E2119-$U2119))</f>
        <v/>
      </c>
      <c r="W2119" s="33">
        <f>IF($A2119="","",DATE(YEAR($A2119),MONTH($A2119),1))</f>
        <v/>
      </c>
      <c r="X2119" s="34">
        <f>IF(OR($A2119="",$H2119&lt;&gt;"Ausgabe",J2119=""),0,IF(J2119="x",-$E2119/(COUNTIF($J2119:$Q2119,"x")+1),-$E2119*N(J2119)))</f>
        <v/>
      </c>
      <c r="Y2119" s="34">
        <f>IF(OR($A2119="",$H2119&lt;&gt;"Ausgabe",K2119=""),0,IF(K2119="x",-$E2119/(COUNTIF($J2119:$Q2119,"x")+1),-$E2119*N(K2119)))</f>
        <v/>
      </c>
      <c r="Z2119" s="34">
        <f>IF(OR($A2119="",$H2119&lt;&gt;"Ausgabe",L2119=""),0,IF(L2119="x",-$E2119/(COUNTIF($J2119:$Q2119,"x")+1),-$E2119*N(L2119)))</f>
        <v/>
      </c>
      <c r="AA2119" s="34">
        <f>IF(OR($A2119="",$H2119&lt;&gt;"Ausgabe",M2119=""),0,IF(M2119="x",-$E2119/(COUNTIF($J2119:$Q2119,"x")+1),-$E2119*N(M2119)))</f>
        <v/>
      </c>
      <c r="AB2119" s="34">
        <f>IF(OR($A2119="",$H2119&lt;&gt;"Ausgabe",N2119=""),0,IF(N2119="x",-$E2119/(COUNTIF($J2119:$Q2119,"x")+1),-$E2119*N(N2119)))</f>
        <v/>
      </c>
      <c r="AC2119" s="34">
        <f>IF(OR($A2119="",$H2119&lt;&gt;"Ausgabe",O2119=""),0,IF(O2119="x",-$E2119/(COUNTIF($J2119:$Q2119,"x")+1),-$E2119*N(O2119)))</f>
        <v/>
      </c>
      <c r="AD2119" s="34">
        <f>IF(OR($A2119="",$H2119&lt;&gt;"Ausgabe",P2119=""),0,IF(P2119="x",-$E2119/(COUNTIF($J2119:$Q2119,"x")+1),-$E2119*N(P2119)))</f>
        <v/>
      </c>
      <c r="AE2119" s="34">
        <f>IF(OR($A2119="",$H2119&lt;&gt;"Ausgabe",Q2119=""),0,IF(Q2119="x",-$E2119/(COUNTIF($J2119:$Q2119,"x")+1),-$E2119*N(Q2119)))</f>
        <v/>
      </c>
    </row>
    <row r="2120">
      <c r="A2120" s="30" t="n"/>
      <c r="E2120" s="31" t="n"/>
      <c r="J2120" s="32" t="n"/>
      <c r="K2120" s="32" t="n"/>
      <c r="L2120" s="32" t="n"/>
      <c r="M2120" s="32" t="n"/>
      <c r="N2120" s="32" t="n"/>
      <c r="O2120" s="32" t="n"/>
      <c r="P2120" s="32" t="n"/>
      <c r="Q2120" s="32" t="n"/>
      <c r="U2120" s="31">
        <f>IF($A2120="","",SUM(X2120:AE2120))</f>
        <v/>
      </c>
      <c r="V2120" s="31">
        <f>IF($A2120="","",IF($H2120&lt;&gt;"Ausgabe",0,-$E2120-$U2120))</f>
        <v/>
      </c>
      <c r="W2120" s="33">
        <f>IF($A2120="","",DATE(YEAR($A2120),MONTH($A2120),1))</f>
        <v/>
      </c>
      <c r="X2120" s="34">
        <f>IF(OR($A2120="",$H2120&lt;&gt;"Ausgabe",J2120=""),0,IF(J2120="x",-$E2120/(COUNTIF($J2120:$Q2120,"x")+1),-$E2120*N(J2120)))</f>
        <v/>
      </c>
      <c r="Y2120" s="34">
        <f>IF(OR($A2120="",$H2120&lt;&gt;"Ausgabe",K2120=""),0,IF(K2120="x",-$E2120/(COUNTIF($J2120:$Q2120,"x")+1),-$E2120*N(K2120)))</f>
        <v/>
      </c>
      <c r="Z2120" s="34">
        <f>IF(OR($A2120="",$H2120&lt;&gt;"Ausgabe",L2120=""),0,IF(L2120="x",-$E2120/(COUNTIF($J2120:$Q2120,"x")+1),-$E2120*N(L2120)))</f>
        <v/>
      </c>
      <c r="AA2120" s="34">
        <f>IF(OR($A2120="",$H2120&lt;&gt;"Ausgabe",M2120=""),0,IF(M2120="x",-$E2120/(COUNTIF($J2120:$Q2120,"x")+1),-$E2120*N(M2120)))</f>
        <v/>
      </c>
      <c r="AB2120" s="34">
        <f>IF(OR($A2120="",$H2120&lt;&gt;"Ausgabe",N2120=""),0,IF(N2120="x",-$E2120/(COUNTIF($J2120:$Q2120,"x")+1),-$E2120*N(N2120)))</f>
        <v/>
      </c>
      <c r="AC2120" s="34">
        <f>IF(OR($A2120="",$H2120&lt;&gt;"Ausgabe",O2120=""),0,IF(O2120="x",-$E2120/(COUNTIF($J2120:$Q2120,"x")+1),-$E2120*N(O2120)))</f>
        <v/>
      </c>
      <c r="AD2120" s="34">
        <f>IF(OR($A2120="",$H2120&lt;&gt;"Ausgabe",P2120=""),0,IF(P2120="x",-$E2120/(COUNTIF($J2120:$Q2120,"x")+1),-$E2120*N(P2120)))</f>
        <v/>
      </c>
      <c r="AE2120" s="34">
        <f>IF(OR($A2120="",$H2120&lt;&gt;"Ausgabe",Q2120=""),0,IF(Q2120="x",-$E2120/(COUNTIF($J2120:$Q2120,"x")+1),-$E2120*N(Q2120)))</f>
        <v/>
      </c>
    </row>
    <row r="2121">
      <c r="A2121" s="30" t="n"/>
      <c r="E2121" s="31" t="n"/>
      <c r="J2121" s="32" t="n"/>
      <c r="K2121" s="32" t="n"/>
      <c r="L2121" s="32" t="n"/>
      <c r="M2121" s="32" t="n"/>
      <c r="N2121" s="32" t="n"/>
      <c r="O2121" s="32" t="n"/>
      <c r="P2121" s="32" t="n"/>
      <c r="Q2121" s="32" t="n"/>
      <c r="U2121" s="31">
        <f>IF($A2121="","",SUM(X2121:AE2121))</f>
        <v/>
      </c>
      <c r="V2121" s="31">
        <f>IF($A2121="","",IF($H2121&lt;&gt;"Ausgabe",0,-$E2121-$U2121))</f>
        <v/>
      </c>
      <c r="W2121" s="33">
        <f>IF($A2121="","",DATE(YEAR($A2121),MONTH($A2121),1))</f>
        <v/>
      </c>
      <c r="X2121" s="34">
        <f>IF(OR($A2121="",$H2121&lt;&gt;"Ausgabe",J2121=""),0,IF(J2121="x",-$E2121/(COUNTIF($J2121:$Q2121,"x")+1),-$E2121*N(J2121)))</f>
        <v/>
      </c>
      <c r="Y2121" s="34">
        <f>IF(OR($A2121="",$H2121&lt;&gt;"Ausgabe",K2121=""),0,IF(K2121="x",-$E2121/(COUNTIF($J2121:$Q2121,"x")+1),-$E2121*N(K2121)))</f>
        <v/>
      </c>
      <c r="Z2121" s="34">
        <f>IF(OR($A2121="",$H2121&lt;&gt;"Ausgabe",L2121=""),0,IF(L2121="x",-$E2121/(COUNTIF($J2121:$Q2121,"x")+1),-$E2121*N(L2121)))</f>
        <v/>
      </c>
      <c r="AA2121" s="34">
        <f>IF(OR($A2121="",$H2121&lt;&gt;"Ausgabe",M2121=""),0,IF(M2121="x",-$E2121/(COUNTIF($J2121:$Q2121,"x")+1),-$E2121*N(M2121)))</f>
        <v/>
      </c>
      <c r="AB2121" s="34">
        <f>IF(OR($A2121="",$H2121&lt;&gt;"Ausgabe",N2121=""),0,IF(N2121="x",-$E2121/(COUNTIF($J2121:$Q2121,"x")+1),-$E2121*N(N2121)))</f>
        <v/>
      </c>
      <c r="AC2121" s="34">
        <f>IF(OR($A2121="",$H2121&lt;&gt;"Ausgabe",O2121=""),0,IF(O2121="x",-$E2121/(COUNTIF($J2121:$Q2121,"x")+1),-$E2121*N(O2121)))</f>
        <v/>
      </c>
      <c r="AD2121" s="34">
        <f>IF(OR($A2121="",$H2121&lt;&gt;"Ausgabe",P2121=""),0,IF(P2121="x",-$E2121/(COUNTIF($J2121:$Q2121,"x")+1),-$E2121*N(P2121)))</f>
        <v/>
      </c>
      <c r="AE2121" s="34">
        <f>IF(OR($A2121="",$H2121&lt;&gt;"Ausgabe",Q2121=""),0,IF(Q2121="x",-$E2121/(COUNTIF($J2121:$Q2121,"x")+1),-$E2121*N(Q2121)))</f>
        <v/>
      </c>
    </row>
    <row r="2122">
      <c r="A2122" s="30" t="n"/>
      <c r="E2122" s="31" t="n"/>
      <c r="J2122" s="32" t="n"/>
      <c r="K2122" s="32" t="n"/>
      <c r="L2122" s="32" t="n"/>
      <c r="M2122" s="32" t="n"/>
      <c r="N2122" s="32" t="n"/>
      <c r="O2122" s="32" t="n"/>
      <c r="P2122" s="32" t="n"/>
      <c r="Q2122" s="32" t="n"/>
      <c r="U2122" s="31">
        <f>IF($A2122="","",SUM(X2122:AE2122))</f>
        <v/>
      </c>
      <c r="V2122" s="31">
        <f>IF($A2122="","",IF($H2122&lt;&gt;"Ausgabe",0,-$E2122-$U2122))</f>
        <v/>
      </c>
      <c r="W2122" s="33">
        <f>IF($A2122="","",DATE(YEAR($A2122),MONTH($A2122),1))</f>
        <v/>
      </c>
      <c r="X2122" s="34">
        <f>IF(OR($A2122="",$H2122&lt;&gt;"Ausgabe",J2122=""),0,IF(J2122="x",-$E2122/(COUNTIF($J2122:$Q2122,"x")+1),-$E2122*N(J2122)))</f>
        <v/>
      </c>
      <c r="Y2122" s="34">
        <f>IF(OR($A2122="",$H2122&lt;&gt;"Ausgabe",K2122=""),0,IF(K2122="x",-$E2122/(COUNTIF($J2122:$Q2122,"x")+1),-$E2122*N(K2122)))</f>
        <v/>
      </c>
      <c r="Z2122" s="34">
        <f>IF(OR($A2122="",$H2122&lt;&gt;"Ausgabe",L2122=""),0,IF(L2122="x",-$E2122/(COUNTIF($J2122:$Q2122,"x")+1),-$E2122*N(L2122)))</f>
        <v/>
      </c>
      <c r="AA2122" s="34">
        <f>IF(OR($A2122="",$H2122&lt;&gt;"Ausgabe",M2122=""),0,IF(M2122="x",-$E2122/(COUNTIF($J2122:$Q2122,"x")+1),-$E2122*N(M2122)))</f>
        <v/>
      </c>
      <c r="AB2122" s="34">
        <f>IF(OR($A2122="",$H2122&lt;&gt;"Ausgabe",N2122=""),0,IF(N2122="x",-$E2122/(COUNTIF($J2122:$Q2122,"x")+1),-$E2122*N(N2122)))</f>
        <v/>
      </c>
      <c r="AC2122" s="34">
        <f>IF(OR($A2122="",$H2122&lt;&gt;"Ausgabe",O2122=""),0,IF(O2122="x",-$E2122/(COUNTIF($J2122:$Q2122,"x")+1),-$E2122*N(O2122)))</f>
        <v/>
      </c>
      <c r="AD2122" s="34">
        <f>IF(OR($A2122="",$H2122&lt;&gt;"Ausgabe",P2122=""),0,IF(P2122="x",-$E2122/(COUNTIF($J2122:$Q2122,"x")+1),-$E2122*N(P2122)))</f>
        <v/>
      </c>
      <c r="AE2122" s="34">
        <f>IF(OR($A2122="",$H2122&lt;&gt;"Ausgabe",Q2122=""),0,IF(Q2122="x",-$E2122/(COUNTIF($J2122:$Q2122,"x")+1),-$E2122*N(Q2122)))</f>
        <v/>
      </c>
    </row>
    <row r="2123">
      <c r="A2123" s="30" t="n"/>
      <c r="E2123" s="31" t="n"/>
      <c r="J2123" s="32" t="n"/>
      <c r="K2123" s="32" t="n"/>
      <c r="L2123" s="32" t="n"/>
      <c r="M2123" s="32" t="n"/>
      <c r="N2123" s="32" t="n"/>
      <c r="O2123" s="32" t="n"/>
      <c r="P2123" s="32" t="n"/>
      <c r="Q2123" s="32" t="n"/>
      <c r="U2123" s="31">
        <f>IF($A2123="","",SUM(X2123:AE2123))</f>
        <v/>
      </c>
      <c r="V2123" s="31">
        <f>IF($A2123="","",IF($H2123&lt;&gt;"Ausgabe",0,-$E2123-$U2123))</f>
        <v/>
      </c>
      <c r="W2123" s="33">
        <f>IF($A2123="","",DATE(YEAR($A2123),MONTH($A2123),1))</f>
        <v/>
      </c>
      <c r="X2123" s="34">
        <f>IF(OR($A2123="",$H2123&lt;&gt;"Ausgabe",J2123=""),0,IF(J2123="x",-$E2123/(COUNTIF($J2123:$Q2123,"x")+1),-$E2123*N(J2123)))</f>
        <v/>
      </c>
      <c r="Y2123" s="34">
        <f>IF(OR($A2123="",$H2123&lt;&gt;"Ausgabe",K2123=""),0,IF(K2123="x",-$E2123/(COUNTIF($J2123:$Q2123,"x")+1),-$E2123*N(K2123)))</f>
        <v/>
      </c>
      <c r="Z2123" s="34">
        <f>IF(OR($A2123="",$H2123&lt;&gt;"Ausgabe",L2123=""),0,IF(L2123="x",-$E2123/(COUNTIF($J2123:$Q2123,"x")+1),-$E2123*N(L2123)))</f>
        <v/>
      </c>
      <c r="AA2123" s="34">
        <f>IF(OR($A2123="",$H2123&lt;&gt;"Ausgabe",M2123=""),0,IF(M2123="x",-$E2123/(COUNTIF($J2123:$Q2123,"x")+1),-$E2123*N(M2123)))</f>
        <v/>
      </c>
      <c r="AB2123" s="34">
        <f>IF(OR($A2123="",$H2123&lt;&gt;"Ausgabe",N2123=""),0,IF(N2123="x",-$E2123/(COUNTIF($J2123:$Q2123,"x")+1),-$E2123*N(N2123)))</f>
        <v/>
      </c>
      <c r="AC2123" s="34">
        <f>IF(OR($A2123="",$H2123&lt;&gt;"Ausgabe",O2123=""),0,IF(O2123="x",-$E2123/(COUNTIF($J2123:$Q2123,"x")+1),-$E2123*N(O2123)))</f>
        <v/>
      </c>
      <c r="AD2123" s="34">
        <f>IF(OR($A2123="",$H2123&lt;&gt;"Ausgabe",P2123=""),0,IF(P2123="x",-$E2123/(COUNTIF($J2123:$Q2123,"x")+1),-$E2123*N(P2123)))</f>
        <v/>
      </c>
      <c r="AE2123" s="34">
        <f>IF(OR($A2123="",$H2123&lt;&gt;"Ausgabe",Q2123=""),0,IF(Q2123="x",-$E2123/(COUNTIF($J2123:$Q2123,"x")+1),-$E2123*N(Q2123)))</f>
        <v/>
      </c>
    </row>
    <row r="2124">
      <c r="A2124" s="30" t="n"/>
      <c r="E2124" s="31" t="n"/>
      <c r="J2124" s="32" t="n"/>
      <c r="K2124" s="32" t="n"/>
      <c r="L2124" s="32" t="n"/>
      <c r="M2124" s="32" t="n"/>
      <c r="N2124" s="32" t="n"/>
      <c r="O2124" s="32" t="n"/>
      <c r="P2124" s="32" t="n"/>
      <c r="Q2124" s="32" t="n"/>
      <c r="U2124" s="31">
        <f>IF($A2124="","",SUM(X2124:AE2124))</f>
        <v/>
      </c>
      <c r="V2124" s="31">
        <f>IF($A2124="","",IF($H2124&lt;&gt;"Ausgabe",0,-$E2124-$U2124))</f>
        <v/>
      </c>
      <c r="W2124" s="33">
        <f>IF($A2124="","",DATE(YEAR($A2124),MONTH($A2124),1))</f>
        <v/>
      </c>
      <c r="X2124" s="34">
        <f>IF(OR($A2124="",$H2124&lt;&gt;"Ausgabe",J2124=""),0,IF(J2124="x",-$E2124/(COUNTIF($J2124:$Q2124,"x")+1),-$E2124*N(J2124)))</f>
        <v/>
      </c>
      <c r="Y2124" s="34">
        <f>IF(OR($A2124="",$H2124&lt;&gt;"Ausgabe",K2124=""),0,IF(K2124="x",-$E2124/(COUNTIF($J2124:$Q2124,"x")+1),-$E2124*N(K2124)))</f>
        <v/>
      </c>
      <c r="Z2124" s="34">
        <f>IF(OR($A2124="",$H2124&lt;&gt;"Ausgabe",L2124=""),0,IF(L2124="x",-$E2124/(COUNTIF($J2124:$Q2124,"x")+1),-$E2124*N(L2124)))</f>
        <v/>
      </c>
      <c r="AA2124" s="34">
        <f>IF(OR($A2124="",$H2124&lt;&gt;"Ausgabe",M2124=""),0,IF(M2124="x",-$E2124/(COUNTIF($J2124:$Q2124,"x")+1),-$E2124*N(M2124)))</f>
        <v/>
      </c>
      <c r="AB2124" s="34">
        <f>IF(OR($A2124="",$H2124&lt;&gt;"Ausgabe",N2124=""),0,IF(N2124="x",-$E2124/(COUNTIF($J2124:$Q2124,"x")+1),-$E2124*N(N2124)))</f>
        <v/>
      </c>
      <c r="AC2124" s="34">
        <f>IF(OR($A2124="",$H2124&lt;&gt;"Ausgabe",O2124=""),0,IF(O2124="x",-$E2124/(COUNTIF($J2124:$Q2124,"x")+1),-$E2124*N(O2124)))</f>
        <v/>
      </c>
      <c r="AD2124" s="34">
        <f>IF(OR($A2124="",$H2124&lt;&gt;"Ausgabe",P2124=""),0,IF(P2124="x",-$E2124/(COUNTIF($J2124:$Q2124,"x")+1),-$E2124*N(P2124)))</f>
        <v/>
      </c>
      <c r="AE2124" s="34">
        <f>IF(OR($A2124="",$H2124&lt;&gt;"Ausgabe",Q2124=""),0,IF(Q2124="x",-$E2124/(COUNTIF($J2124:$Q2124,"x")+1),-$E2124*N(Q2124)))</f>
        <v/>
      </c>
    </row>
    <row r="2125">
      <c r="A2125" s="30" t="n"/>
      <c r="E2125" s="31" t="n"/>
      <c r="J2125" s="32" t="n"/>
      <c r="K2125" s="32" t="n"/>
      <c r="L2125" s="32" t="n"/>
      <c r="M2125" s="32" t="n"/>
      <c r="N2125" s="32" t="n"/>
      <c r="O2125" s="32" t="n"/>
      <c r="P2125" s="32" t="n"/>
      <c r="Q2125" s="32" t="n"/>
      <c r="U2125" s="31">
        <f>IF($A2125="","",SUM(X2125:AE2125))</f>
        <v/>
      </c>
      <c r="V2125" s="31">
        <f>IF($A2125="","",IF($H2125&lt;&gt;"Ausgabe",0,-$E2125-$U2125))</f>
        <v/>
      </c>
      <c r="W2125" s="33">
        <f>IF($A2125="","",DATE(YEAR($A2125),MONTH($A2125),1))</f>
        <v/>
      </c>
      <c r="X2125" s="34">
        <f>IF(OR($A2125="",$H2125&lt;&gt;"Ausgabe",J2125=""),0,IF(J2125="x",-$E2125/(COUNTIF($J2125:$Q2125,"x")+1),-$E2125*N(J2125)))</f>
        <v/>
      </c>
      <c r="Y2125" s="34">
        <f>IF(OR($A2125="",$H2125&lt;&gt;"Ausgabe",K2125=""),0,IF(K2125="x",-$E2125/(COUNTIF($J2125:$Q2125,"x")+1),-$E2125*N(K2125)))</f>
        <v/>
      </c>
      <c r="Z2125" s="34">
        <f>IF(OR($A2125="",$H2125&lt;&gt;"Ausgabe",L2125=""),0,IF(L2125="x",-$E2125/(COUNTIF($J2125:$Q2125,"x")+1),-$E2125*N(L2125)))</f>
        <v/>
      </c>
      <c r="AA2125" s="34">
        <f>IF(OR($A2125="",$H2125&lt;&gt;"Ausgabe",M2125=""),0,IF(M2125="x",-$E2125/(COUNTIF($J2125:$Q2125,"x")+1),-$E2125*N(M2125)))</f>
        <v/>
      </c>
      <c r="AB2125" s="34">
        <f>IF(OR($A2125="",$H2125&lt;&gt;"Ausgabe",N2125=""),0,IF(N2125="x",-$E2125/(COUNTIF($J2125:$Q2125,"x")+1),-$E2125*N(N2125)))</f>
        <v/>
      </c>
      <c r="AC2125" s="34">
        <f>IF(OR($A2125="",$H2125&lt;&gt;"Ausgabe",O2125=""),0,IF(O2125="x",-$E2125/(COUNTIF($J2125:$Q2125,"x")+1),-$E2125*N(O2125)))</f>
        <v/>
      </c>
      <c r="AD2125" s="34">
        <f>IF(OR($A2125="",$H2125&lt;&gt;"Ausgabe",P2125=""),0,IF(P2125="x",-$E2125/(COUNTIF($J2125:$Q2125,"x")+1),-$E2125*N(P2125)))</f>
        <v/>
      </c>
      <c r="AE2125" s="34">
        <f>IF(OR($A2125="",$H2125&lt;&gt;"Ausgabe",Q2125=""),0,IF(Q2125="x",-$E2125/(COUNTIF($J2125:$Q2125,"x")+1),-$E2125*N(Q2125)))</f>
        <v/>
      </c>
    </row>
    <row r="2126">
      <c r="A2126" s="30" t="n"/>
      <c r="E2126" s="31" t="n"/>
      <c r="J2126" s="32" t="n"/>
      <c r="K2126" s="32" t="n"/>
      <c r="L2126" s="32" t="n"/>
      <c r="M2126" s="32" t="n"/>
      <c r="N2126" s="32" t="n"/>
      <c r="O2126" s="32" t="n"/>
      <c r="P2126" s="32" t="n"/>
      <c r="Q2126" s="32" t="n"/>
      <c r="U2126" s="31">
        <f>IF($A2126="","",SUM(X2126:AE2126))</f>
        <v/>
      </c>
      <c r="V2126" s="31">
        <f>IF($A2126="","",IF($H2126&lt;&gt;"Ausgabe",0,-$E2126-$U2126))</f>
        <v/>
      </c>
      <c r="W2126" s="33">
        <f>IF($A2126="","",DATE(YEAR($A2126),MONTH($A2126),1))</f>
        <v/>
      </c>
      <c r="X2126" s="34">
        <f>IF(OR($A2126="",$H2126&lt;&gt;"Ausgabe",J2126=""),0,IF(J2126="x",-$E2126/(COUNTIF($J2126:$Q2126,"x")+1),-$E2126*N(J2126)))</f>
        <v/>
      </c>
      <c r="Y2126" s="34">
        <f>IF(OR($A2126="",$H2126&lt;&gt;"Ausgabe",K2126=""),0,IF(K2126="x",-$E2126/(COUNTIF($J2126:$Q2126,"x")+1),-$E2126*N(K2126)))</f>
        <v/>
      </c>
      <c r="Z2126" s="34">
        <f>IF(OR($A2126="",$H2126&lt;&gt;"Ausgabe",L2126=""),0,IF(L2126="x",-$E2126/(COUNTIF($J2126:$Q2126,"x")+1),-$E2126*N(L2126)))</f>
        <v/>
      </c>
      <c r="AA2126" s="34">
        <f>IF(OR($A2126="",$H2126&lt;&gt;"Ausgabe",M2126=""),0,IF(M2126="x",-$E2126/(COUNTIF($J2126:$Q2126,"x")+1),-$E2126*N(M2126)))</f>
        <v/>
      </c>
      <c r="AB2126" s="34">
        <f>IF(OR($A2126="",$H2126&lt;&gt;"Ausgabe",N2126=""),0,IF(N2126="x",-$E2126/(COUNTIF($J2126:$Q2126,"x")+1),-$E2126*N(N2126)))</f>
        <v/>
      </c>
      <c r="AC2126" s="34">
        <f>IF(OR($A2126="",$H2126&lt;&gt;"Ausgabe",O2126=""),0,IF(O2126="x",-$E2126/(COUNTIF($J2126:$Q2126,"x")+1),-$E2126*N(O2126)))</f>
        <v/>
      </c>
      <c r="AD2126" s="34">
        <f>IF(OR($A2126="",$H2126&lt;&gt;"Ausgabe",P2126=""),0,IF(P2126="x",-$E2126/(COUNTIF($J2126:$Q2126,"x")+1),-$E2126*N(P2126)))</f>
        <v/>
      </c>
      <c r="AE2126" s="34">
        <f>IF(OR($A2126="",$H2126&lt;&gt;"Ausgabe",Q2126=""),0,IF(Q2126="x",-$E2126/(COUNTIF($J2126:$Q2126,"x")+1),-$E2126*N(Q2126)))</f>
        <v/>
      </c>
    </row>
    <row r="2127">
      <c r="A2127" s="30" t="n"/>
      <c r="E2127" s="31" t="n"/>
      <c r="J2127" s="32" t="n"/>
      <c r="K2127" s="32" t="n"/>
      <c r="L2127" s="32" t="n"/>
      <c r="M2127" s="32" t="n"/>
      <c r="N2127" s="32" t="n"/>
      <c r="O2127" s="32" t="n"/>
      <c r="P2127" s="32" t="n"/>
      <c r="Q2127" s="32" t="n"/>
      <c r="U2127" s="31">
        <f>IF($A2127="","",SUM(X2127:AE2127))</f>
        <v/>
      </c>
      <c r="V2127" s="31">
        <f>IF($A2127="","",IF($H2127&lt;&gt;"Ausgabe",0,-$E2127-$U2127))</f>
        <v/>
      </c>
      <c r="W2127" s="33">
        <f>IF($A2127="","",DATE(YEAR($A2127),MONTH($A2127),1))</f>
        <v/>
      </c>
      <c r="X2127" s="34">
        <f>IF(OR($A2127="",$H2127&lt;&gt;"Ausgabe",J2127=""),0,IF(J2127="x",-$E2127/(COUNTIF($J2127:$Q2127,"x")+1),-$E2127*N(J2127)))</f>
        <v/>
      </c>
      <c r="Y2127" s="34">
        <f>IF(OR($A2127="",$H2127&lt;&gt;"Ausgabe",K2127=""),0,IF(K2127="x",-$E2127/(COUNTIF($J2127:$Q2127,"x")+1),-$E2127*N(K2127)))</f>
        <v/>
      </c>
      <c r="Z2127" s="34">
        <f>IF(OR($A2127="",$H2127&lt;&gt;"Ausgabe",L2127=""),0,IF(L2127="x",-$E2127/(COUNTIF($J2127:$Q2127,"x")+1),-$E2127*N(L2127)))</f>
        <v/>
      </c>
      <c r="AA2127" s="34">
        <f>IF(OR($A2127="",$H2127&lt;&gt;"Ausgabe",M2127=""),0,IF(M2127="x",-$E2127/(COUNTIF($J2127:$Q2127,"x")+1),-$E2127*N(M2127)))</f>
        <v/>
      </c>
      <c r="AB2127" s="34">
        <f>IF(OR($A2127="",$H2127&lt;&gt;"Ausgabe",N2127=""),0,IF(N2127="x",-$E2127/(COUNTIF($J2127:$Q2127,"x")+1),-$E2127*N(N2127)))</f>
        <v/>
      </c>
      <c r="AC2127" s="34">
        <f>IF(OR($A2127="",$H2127&lt;&gt;"Ausgabe",O2127=""),0,IF(O2127="x",-$E2127/(COUNTIF($J2127:$Q2127,"x")+1),-$E2127*N(O2127)))</f>
        <v/>
      </c>
      <c r="AD2127" s="34">
        <f>IF(OR($A2127="",$H2127&lt;&gt;"Ausgabe",P2127=""),0,IF(P2127="x",-$E2127/(COUNTIF($J2127:$Q2127,"x")+1),-$E2127*N(P2127)))</f>
        <v/>
      </c>
      <c r="AE2127" s="34">
        <f>IF(OR($A2127="",$H2127&lt;&gt;"Ausgabe",Q2127=""),0,IF(Q2127="x",-$E2127/(COUNTIF($J2127:$Q2127,"x")+1),-$E2127*N(Q2127)))</f>
        <v/>
      </c>
    </row>
    <row r="2128">
      <c r="A2128" s="30" t="n"/>
      <c r="E2128" s="31" t="n"/>
      <c r="J2128" s="32" t="n"/>
      <c r="K2128" s="32" t="n"/>
      <c r="L2128" s="32" t="n"/>
      <c r="M2128" s="32" t="n"/>
      <c r="N2128" s="32" t="n"/>
      <c r="O2128" s="32" t="n"/>
      <c r="P2128" s="32" t="n"/>
      <c r="Q2128" s="32" t="n"/>
      <c r="U2128" s="31">
        <f>IF($A2128="","",SUM(X2128:AE2128))</f>
        <v/>
      </c>
      <c r="V2128" s="31">
        <f>IF($A2128="","",IF($H2128&lt;&gt;"Ausgabe",0,-$E2128-$U2128))</f>
        <v/>
      </c>
      <c r="W2128" s="33">
        <f>IF($A2128="","",DATE(YEAR($A2128),MONTH($A2128),1))</f>
        <v/>
      </c>
      <c r="X2128" s="34">
        <f>IF(OR($A2128="",$H2128&lt;&gt;"Ausgabe",J2128=""),0,IF(J2128="x",-$E2128/(COUNTIF($J2128:$Q2128,"x")+1),-$E2128*N(J2128)))</f>
        <v/>
      </c>
      <c r="Y2128" s="34">
        <f>IF(OR($A2128="",$H2128&lt;&gt;"Ausgabe",K2128=""),0,IF(K2128="x",-$E2128/(COUNTIF($J2128:$Q2128,"x")+1),-$E2128*N(K2128)))</f>
        <v/>
      </c>
      <c r="Z2128" s="34">
        <f>IF(OR($A2128="",$H2128&lt;&gt;"Ausgabe",L2128=""),0,IF(L2128="x",-$E2128/(COUNTIF($J2128:$Q2128,"x")+1),-$E2128*N(L2128)))</f>
        <v/>
      </c>
      <c r="AA2128" s="34">
        <f>IF(OR($A2128="",$H2128&lt;&gt;"Ausgabe",M2128=""),0,IF(M2128="x",-$E2128/(COUNTIF($J2128:$Q2128,"x")+1),-$E2128*N(M2128)))</f>
        <v/>
      </c>
      <c r="AB2128" s="34">
        <f>IF(OR($A2128="",$H2128&lt;&gt;"Ausgabe",N2128=""),0,IF(N2128="x",-$E2128/(COUNTIF($J2128:$Q2128,"x")+1),-$E2128*N(N2128)))</f>
        <v/>
      </c>
      <c r="AC2128" s="34">
        <f>IF(OR($A2128="",$H2128&lt;&gt;"Ausgabe",O2128=""),0,IF(O2128="x",-$E2128/(COUNTIF($J2128:$Q2128,"x")+1),-$E2128*N(O2128)))</f>
        <v/>
      </c>
      <c r="AD2128" s="34">
        <f>IF(OR($A2128="",$H2128&lt;&gt;"Ausgabe",P2128=""),0,IF(P2128="x",-$E2128/(COUNTIF($J2128:$Q2128,"x")+1),-$E2128*N(P2128)))</f>
        <v/>
      </c>
      <c r="AE2128" s="34">
        <f>IF(OR($A2128="",$H2128&lt;&gt;"Ausgabe",Q2128=""),0,IF(Q2128="x",-$E2128/(COUNTIF($J2128:$Q2128,"x")+1),-$E2128*N(Q2128)))</f>
        <v/>
      </c>
    </row>
    <row r="2129">
      <c r="A2129" s="30" t="n"/>
      <c r="E2129" s="31" t="n"/>
      <c r="J2129" s="32" t="n"/>
      <c r="K2129" s="32" t="n"/>
      <c r="L2129" s="32" t="n"/>
      <c r="M2129" s="32" t="n"/>
      <c r="N2129" s="32" t="n"/>
      <c r="O2129" s="32" t="n"/>
      <c r="P2129" s="32" t="n"/>
      <c r="Q2129" s="32" t="n"/>
      <c r="U2129" s="31">
        <f>IF($A2129="","",SUM(X2129:AE2129))</f>
        <v/>
      </c>
      <c r="V2129" s="31">
        <f>IF($A2129="","",IF($H2129&lt;&gt;"Ausgabe",0,-$E2129-$U2129))</f>
        <v/>
      </c>
      <c r="W2129" s="33">
        <f>IF($A2129="","",DATE(YEAR($A2129),MONTH($A2129),1))</f>
        <v/>
      </c>
      <c r="X2129" s="34">
        <f>IF(OR($A2129="",$H2129&lt;&gt;"Ausgabe",J2129=""),0,IF(J2129="x",-$E2129/(COUNTIF($J2129:$Q2129,"x")+1),-$E2129*N(J2129)))</f>
        <v/>
      </c>
      <c r="Y2129" s="34">
        <f>IF(OR($A2129="",$H2129&lt;&gt;"Ausgabe",K2129=""),0,IF(K2129="x",-$E2129/(COUNTIF($J2129:$Q2129,"x")+1),-$E2129*N(K2129)))</f>
        <v/>
      </c>
      <c r="Z2129" s="34">
        <f>IF(OR($A2129="",$H2129&lt;&gt;"Ausgabe",L2129=""),0,IF(L2129="x",-$E2129/(COUNTIF($J2129:$Q2129,"x")+1),-$E2129*N(L2129)))</f>
        <v/>
      </c>
      <c r="AA2129" s="34">
        <f>IF(OR($A2129="",$H2129&lt;&gt;"Ausgabe",M2129=""),0,IF(M2129="x",-$E2129/(COUNTIF($J2129:$Q2129,"x")+1),-$E2129*N(M2129)))</f>
        <v/>
      </c>
      <c r="AB2129" s="34">
        <f>IF(OR($A2129="",$H2129&lt;&gt;"Ausgabe",N2129=""),0,IF(N2129="x",-$E2129/(COUNTIF($J2129:$Q2129,"x")+1),-$E2129*N(N2129)))</f>
        <v/>
      </c>
      <c r="AC2129" s="34">
        <f>IF(OR($A2129="",$H2129&lt;&gt;"Ausgabe",O2129=""),0,IF(O2129="x",-$E2129/(COUNTIF($J2129:$Q2129,"x")+1),-$E2129*N(O2129)))</f>
        <v/>
      </c>
      <c r="AD2129" s="34">
        <f>IF(OR($A2129="",$H2129&lt;&gt;"Ausgabe",P2129=""),0,IF(P2129="x",-$E2129/(COUNTIF($J2129:$Q2129,"x")+1),-$E2129*N(P2129)))</f>
        <v/>
      </c>
      <c r="AE2129" s="34">
        <f>IF(OR($A2129="",$H2129&lt;&gt;"Ausgabe",Q2129=""),0,IF(Q2129="x",-$E2129/(COUNTIF($J2129:$Q2129,"x")+1),-$E2129*N(Q2129)))</f>
        <v/>
      </c>
    </row>
    <row r="2130">
      <c r="A2130" s="30" t="n"/>
      <c r="E2130" s="31" t="n"/>
      <c r="J2130" s="32" t="n"/>
      <c r="K2130" s="32" t="n"/>
      <c r="L2130" s="32" t="n"/>
      <c r="M2130" s="32" t="n"/>
      <c r="N2130" s="32" t="n"/>
      <c r="O2130" s="32" t="n"/>
      <c r="P2130" s="32" t="n"/>
      <c r="Q2130" s="32" t="n"/>
      <c r="U2130" s="31">
        <f>IF($A2130="","",SUM(X2130:AE2130))</f>
        <v/>
      </c>
      <c r="V2130" s="31">
        <f>IF($A2130="","",IF($H2130&lt;&gt;"Ausgabe",0,-$E2130-$U2130))</f>
        <v/>
      </c>
      <c r="W2130" s="33">
        <f>IF($A2130="","",DATE(YEAR($A2130),MONTH($A2130),1))</f>
        <v/>
      </c>
      <c r="X2130" s="34">
        <f>IF(OR($A2130="",$H2130&lt;&gt;"Ausgabe",J2130=""),0,IF(J2130="x",-$E2130/(COUNTIF($J2130:$Q2130,"x")+1),-$E2130*N(J2130)))</f>
        <v/>
      </c>
      <c r="Y2130" s="34">
        <f>IF(OR($A2130="",$H2130&lt;&gt;"Ausgabe",K2130=""),0,IF(K2130="x",-$E2130/(COUNTIF($J2130:$Q2130,"x")+1),-$E2130*N(K2130)))</f>
        <v/>
      </c>
      <c r="Z2130" s="34">
        <f>IF(OR($A2130="",$H2130&lt;&gt;"Ausgabe",L2130=""),0,IF(L2130="x",-$E2130/(COUNTIF($J2130:$Q2130,"x")+1),-$E2130*N(L2130)))</f>
        <v/>
      </c>
      <c r="AA2130" s="34">
        <f>IF(OR($A2130="",$H2130&lt;&gt;"Ausgabe",M2130=""),0,IF(M2130="x",-$E2130/(COUNTIF($J2130:$Q2130,"x")+1),-$E2130*N(M2130)))</f>
        <v/>
      </c>
      <c r="AB2130" s="34">
        <f>IF(OR($A2130="",$H2130&lt;&gt;"Ausgabe",N2130=""),0,IF(N2130="x",-$E2130/(COUNTIF($J2130:$Q2130,"x")+1),-$E2130*N(N2130)))</f>
        <v/>
      </c>
      <c r="AC2130" s="34">
        <f>IF(OR($A2130="",$H2130&lt;&gt;"Ausgabe",O2130=""),0,IF(O2130="x",-$E2130/(COUNTIF($J2130:$Q2130,"x")+1),-$E2130*N(O2130)))</f>
        <v/>
      </c>
      <c r="AD2130" s="34">
        <f>IF(OR($A2130="",$H2130&lt;&gt;"Ausgabe",P2130=""),0,IF(P2130="x",-$E2130/(COUNTIF($J2130:$Q2130,"x")+1),-$E2130*N(P2130)))</f>
        <v/>
      </c>
      <c r="AE2130" s="34">
        <f>IF(OR($A2130="",$H2130&lt;&gt;"Ausgabe",Q2130=""),0,IF(Q2130="x",-$E2130/(COUNTIF($J2130:$Q2130,"x")+1),-$E2130*N(Q2130)))</f>
        <v/>
      </c>
    </row>
    <row r="2131">
      <c r="A2131" s="30" t="n"/>
      <c r="E2131" s="31" t="n"/>
      <c r="J2131" s="32" t="n"/>
      <c r="K2131" s="32" t="n"/>
      <c r="L2131" s="32" t="n"/>
      <c r="M2131" s="32" t="n"/>
      <c r="N2131" s="32" t="n"/>
      <c r="O2131" s="32" t="n"/>
      <c r="P2131" s="32" t="n"/>
      <c r="Q2131" s="32" t="n"/>
      <c r="U2131" s="31">
        <f>IF($A2131="","",SUM(X2131:AE2131))</f>
        <v/>
      </c>
      <c r="V2131" s="31">
        <f>IF($A2131="","",IF($H2131&lt;&gt;"Ausgabe",0,-$E2131-$U2131))</f>
        <v/>
      </c>
      <c r="W2131" s="33">
        <f>IF($A2131="","",DATE(YEAR($A2131),MONTH($A2131),1))</f>
        <v/>
      </c>
      <c r="X2131" s="34">
        <f>IF(OR($A2131="",$H2131&lt;&gt;"Ausgabe",J2131=""),0,IF(J2131="x",-$E2131/(COUNTIF($J2131:$Q2131,"x")+1),-$E2131*N(J2131)))</f>
        <v/>
      </c>
      <c r="Y2131" s="34">
        <f>IF(OR($A2131="",$H2131&lt;&gt;"Ausgabe",K2131=""),0,IF(K2131="x",-$E2131/(COUNTIF($J2131:$Q2131,"x")+1),-$E2131*N(K2131)))</f>
        <v/>
      </c>
      <c r="Z2131" s="34">
        <f>IF(OR($A2131="",$H2131&lt;&gt;"Ausgabe",L2131=""),0,IF(L2131="x",-$E2131/(COUNTIF($J2131:$Q2131,"x")+1),-$E2131*N(L2131)))</f>
        <v/>
      </c>
      <c r="AA2131" s="34">
        <f>IF(OR($A2131="",$H2131&lt;&gt;"Ausgabe",M2131=""),0,IF(M2131="x",-$E2131/(COUNTIF($J2131:$Q2131,"x")+1),-$E2131*N(M2131)))</f>
        <v/>
      </c>
      <c r="AB2131" s="34">
        <f>IF(OR($A2131="",$H2131&lt;&gt;"Ausgabe",N2131=""),0,IF(N2131="x",-$E2131/(COUNTIF($J2131:$Q2131,"x")+1),-$E2131*N(N2131)))</f>
        <v/>
      </c>
      <c r="AC2131" s="34">
        <f>IF(OR($A2131="",$H2131&lt;&gt;"Ausgabe",O2131=""),0,IF(O2131="x",-$E2131/(COUNTIF($J2131:$Q2131,"x")+1),-$E2131*N(O2131)))</f>
        <v/>
      </c>
      <c r="AD2131" s="34">
        <f>IF(OR($A2131="",$H2131&lt;&gt;"Ausgabe",P2131=""),0,IF(P2131="x",-$E2131/(COUNTIF($J2131:$Q2131,"x")+1),-$E2131*N(P2131)))</f>
        <v/>
      </c>
      <c r="AE2131" s="34">
        <f>IF(OR($A2131="",$H2131&lt;&gt;"Ausgabe",Q2131=""),0,IF(Q2131="x",-$E2131/(COUNTIF($J2131:$Q2131,"x")+1),-$E2131*N(Q2131)))</f>
        <v/>
      </c>
    </row>
    <row r="2132">
      <c r="A2132" s="30" t="n"/>
      <c r="E2132" s="31" t="n"/>
      <c r="J2132" s="32" t="n"/>
      <c r="K2132" s="32" t="n"/>
      <c r="L2132" s="32" t="n"/>
      <c r="M2132" s="32" t="n"/>
      <c r="N2132" s="32" t="n"/>
      <c r="O2132" s="32" t="n"/>
      <c r="P2132" s="32" t="n"/>
      <c r="Q2132" s="32" t="n"/>
      <c r="U2132" s="31">
        <f>IF($A2132="","",SUM(X2132:AE2132))</f>
        <v/>
      </c>
      <c r="V2132" s="31">
        <f>IF($A2132="","",IF($H2132&lt;&gt;"Ausgabe",0,-$E2132-$U2132))</f>
        <v/>
      </c>
      <c r="W2132" s="33">
        <f>IF($A2132="","",DATE(YEAR($A2132),MONTH($A2132),1))</f>
        <v/>
      </c>
      <c r="X2132" s="34">
        <f>IF(OR($A2132="",$H2132&lt;&gt;"Ausgabe",J2132=""),0,IF(J2132="x",-$E2132/(COUNTIF($J2132:$Q2132,"x")+1),-$E2132*N(J2132)))</f>
        <v/>
      </c>
      <c r="Y2132" s="34">
        <f>IF(OR($A2132="",$H2132&lt;&gt;"Ausgabe",K2132=""),0,IF(K2132="x",-$E2132/(COUNTIF($J2132:$Q2132,"x")+1),-$E2132*N(K2132)))</f>
        <v/>
      </c>
      <c r="Z2132" s="34">
        <f>IF(OR($A2132="",$H2132&lt;&gt;"Ausgabe",L2132=""),0,IF(L2132="x",-$E2132/(COUNTIF($J2132:$Q2132,"x")+1),-$E2132*N(L2132)))</f>
        <v/>
      </c>
      <c r="AA2132" s="34">
        <f>IF(OR($A2132="",$H2132&lt;&gt;"Ausgabe",M2132=""),0,IF(M2132="x",-$E2132/(COUNTIF($J2132:$Q2132,"x")+1),-$E2132*N(M2132)))</f>
        <v/>
      </c>
      <c r="AB2132" s="34">
        <f>IF(OR($A2132="",$H2132&lt;&gt;"Ausgabe",N2132=""),0,IF(N2132="x",-$E2132/(COUNTIF($J2132:$Q2132,"x")+1),-$E2132*N(N2132)))</f>
        <v/>
      </c>
      <c r="AC2132" s="34">
        <f>IF(OR($A2132="",$H2132&lt;&gt;"Ausgabe",O2132=""),0,IF(O2132="x",-$E2132/(COUNTIF($J2132:$Q2132,"x")+1),-$E2132*N(O2132)))</f>
        <v/>
      </c>
      <c r="AD2132" s="34">
        <f>IF(OR($A2132="",$H2132&lt;&gt;"Ausgabe",P2132=""),0,IF(P2132="x",-$E2132/(COUNTIF($J2132:$Q2132,"x")+1),-$E2132*N(P2132)))</f>
        <v/>
      </c>
      <c r="AE2132" s="34">
        <f>IF(OR($A2132="",$H2132&lt;&gt;"Ausgabe",Q2132=""),0,IF(Q2132="x",-$E2132/(COUNTIF($J2132:$Q2132,"x")+1),-$E2132*N(Q2132)))</f>
        <v/>
      </c>
    </row>
    <row r="2133">
      <c r="A2133" s="30" t="n"/>
      <c r="E2133" s="31" t="n"/>
      <c r="J2133" s="32" t="n"/>
      <c r="K2133" s="32" t="n"/>
      <c r="L2133" s="32" t="n"/>
      <c r="M2133" s="32" t="n"/>
      <c r="N2133" s="32" t="n"/>
      <c r="O2133" s="32" t="n"/>
      <c r="P2133" s="32" t="n"/>
      <c r="Q2133" s="32" t="n"/>
      <c r="U2133" s="31">
        <f>IF($A2133="","",SUM(X2133:AE2133))</f>
        <v/>
      </c>
      <c r="V2133" s="31">
        <f>IF($A2133="","",IF($H2133&lt;&gt;"Ausgabe",0,-$E2133-$U2133))</f>
        <v/>
      </c>
      <c r="W2133" s="33">
        <f>IF($A2133="","",DATE(YEAR($A2133),MONTH($A2133),1))</f>
        <v/>
      </c>
      <c r="X2133" s="34">
        <f>IF(OR($A2133="",$H2133&lt;&gt;"Ausgabe",J2133=""),0,IF(J2133="x",-$E2133/(COUNTIF($J2133:$Q2133,"x")+1),-$E2133*N(J2133)))</f>
        <v/>
      </c>
      <c r="Y2133" s="34">
        <f>IF(OR($A2133="",$H2133&lt;&gt;"Ausgabe",K2133=""),0,IF(K2133="x",-$E2133/(COUNTIF($J2133:$Q2133,"x")+1),-$E2133*N(K2133)))</f>
        <v/>
      </c>
      <c r="Z2133" s="34">
        <f>IF(OR($A2133="",$H2133&lt;&gt;"Ausgabe",L2133=""),0,IF(L2133="x",-$E2133/(COUNTIF($J2133:$Q2133,"x")+1),-$E2133*N(L2133)))</f>
        <v/>
      </c>
      <c r="AA2133" s="34">
        <f>IF(OR($A2133="",$H2133&lt;&gt;"Ausgabe",M2133=""),0,IF(M2133="x",-$E2133/(COUNTIF($J2133:$Q2133,"x")+1),-$E2133*N(M2133)))</f>
        <v/>
      </c>
      <c r="AB2133" s="34">
        <f>IF(OR($A2133="",$H2133&lt;&gt;"Ausgabe",N2133=""),0,IF(N2133="x",-$E2133/(COUNTIF($J2133:$Q2133,"x")+1),-$E2133*N(N2133)))</f>
        <v/>
      </c>
      <c r="AC2133" s="34">
        <f>IF(OR($A2133="",$H2133&lt;&gt;"Ausgabe",O2133=""),0,IF(O2133="x",-$E2133/(COUNTIF($J2133:$Q2133,"x")+1),-$E2133*N(O2133)))</f>
        <v/>
      </c>
      <c r="AD2133" s="34">
        <f>IF(OR($A2133="",$H2133&lt;&gt;"Ausgabe",P2133=""),0,IF(P2133="x",-$E2133/(COUNTIF($J2133:$Q2133,"x")+1),-$E2133*N(P2133)))</f>
        <v/>
      </c>
      <c r="AE2133" s="34">
        <f>IF(OR($A2133="",$H2133&lt;&gt;"Ausgabe",Q2133=""),0,IF(Q2133="x",-$E2133/(COUNTIF($J2133:$Q2133,"x")+1),-$E2133*N(Q2133)))</f>
        <v/>
      </c>
    </row>
    <row r="2134">
      <c r="A2134" s="30" t="n"/>
      <c r="E2134" s="31" t="n"/>
      <c r="J2134" s="32" t="n"/>
      <c r="K2134" s="32" t="n"/>
      <c r="L2134" s="32" t="n"/>
      <c r="M2134" s="32" t="n"/>
      <c r="N2134" s="32" t="n"/>
      <c r="O2134" s="32" t="n"/>
      <c r="P2134" s="32" t="n"/>
      <c r="Q2134" s="32" t="n"/>
      <c r="U2134" s="31">
        <f>IF($A2134="","",SUM(X2134:AE2134))</f>
        <v/>
      </c>
      <c r="V2134" s="31">
        <f>IF($A2134="","",IF($H2134&lt;&gt;"Ausgabe",0,-$E2134-$U2134))</f>
        <v/>
      </c>
      <c r="W2134" s="33">
        <f>IF($A2134="","",DATE(YEAR($A2134),MONTH($A2134),1))</f>
        <v/>
      </c>
      <c r="X2134" s="34">
        <f>IF(OR($A2134="",$H2134&lt;&gt;"Ausgabe",J2134=""),0,IF(J2134="x",-$E2134/(COUNTIF($J2134:$Q2134,"x")+1),-$E2134*N(J2134)))</f>
        <v/>
      </c>
      <c r="Y2134" s="34">
        <f>IF(OR($A2134="",$H2134&lt;&gt;"Ausgabe",K2134=""),0,IF(K2134="x",-$E2134/(COUNTIF($J2134:$Q2134,"x")+1),-$E2134*N(K2134)))</f>
        <v/>
      </c>
      <c r="Z2134" s="34">
        <f>IF(OR($A2134="",$H2134&lt;&gt;"Ausgabe",L2134=""),0,IF(L2134="x",-$E2134/(COUNTIF($J2134:$Q2134,"x")+1),-$E2134*N(L2134)))</f>
        <v/>
      </c>
      <c r="AA2134" s="34">
        <f>IF(OR($A2134="",$H2134&lt;&gt;"Ausgabe",M2134=""),0,IF(M2134="x",-$E2134/(COUNTIF($J2134:$Q2134,"x")+1),-$E2134*N(M2134)))</f>
        <v/>
      </c>
      <c r="AB2134" s="34">
        <f>IF(OR($A2134="",$H2134&lt;&gt;"Ausgabe",N2134=""),0,IF(N2134="x",-$E2134/(COUNTIF($J2134:$Q2134,"x")+1),-$E2134*N(N2134)))</f>
        <v/>
      </c>
      <c r="AC2134" s="34">
        <f>IF(OR($A2134="",$H2134&lt;&gt;"Ausgabe",O2134=""),0,IF(O2134="x",-$E2134/(COUNTIF($J2134:$Q2134,"x")+1),-$E2134*N(O2134)))</f>
        <v/>
      </c>
      <c r="AD2134" s="34">
        <f>IF(OR($A2134="",$H2134&lt;&gt;"Ausgabe",P2134=""),0,IF(P2134="x",-$E2134/(COUNTIF($J2134:$Q2134,"x")+1),-$E2134*N(P2134)))</f>
        <v/>
      </c>
      <c r="AE2134" s="34">
        <f>IF(OR($A2134="",$H2134&lt;&gt;"Ausgabe",Q2134=""),0,IF(Q2134="x",-$E2134/(COUNTIF($J2134:$Q2134,"x")+1),-$E2134*N(Q2134)))</f>
        <v/>
      </c>
    </row>
    <row r="2135">
      <c r="A2135" s="30" t="n"/>
      <c r="E2135" s="31" t="n"/>
      <c r="J2135" s="32" t="n"/>
      <c r="K2135" s="32" t="n"/>
      <c r="L2135" s="32" t="n"/>
      <c r="M2135" s="32" t="n"/>
      <c r="N2135" s="32" t="n"/>
      <c r="O2135" s="32" t="n"/>
      <c r="P2135" s="32" t="n"/>
      <c r="Q2135" s="32" t="n"/>
      <c r="U2135" s="31">
        <f>IF($A2135="","",SUM(X2135:AE2135))</f>
        <v/>
      </c>
      <c r="V2135" s="31">
        <f>IF($A2135="","",IF($H2135&lt;&gt;"Ausgabe",0,-$E2135-$U2135))</f>
        <v/>
      </c>
      <c r="W2135" s="33">
        <f>IF($A2135="","",DATE(YEAR($A2135),MONTH($A2135),1))</f>
        <v/>
      </c>
      <c r="X2135" s="34">
        <f>IF(OR($A2135="",$H2135&lt;&gt;"Ausgabe",J2135=""),0,IF(J2135="x",-$E2135/(COUNTIF($J2135:$Q2135,"x")+1),-$E2135*N(J2135)))</f>
        <v/>
      </c>
      <c r="Y2135" s="34">
        <f>IF(OR($A2135="",$H2135&lt;&gt;"Ausgabe",K2135=""),0,IF(K2135="x",-$E2135/(COUNTIF($J2135:$Q2135,"x")+1),-$E2135*N(K2135)))</f>
        <v/>
      </c>
      <c r="Z2135" s="34">
        <f>IF(OR($A2135="",$H2135&lt;&gt;"Ausgabe",L2135=""),0,IF(L2135="x",-$E2135/(COUNTIF($J2135:$Q2135,"x")+1),-$E2135*N(L2135)))</f>
        <v/>
      </c>
      <c r="AA2135" s="34">
        <f>IF(OR($A2135="",$H2135&lt;&gt;"Ausgabe",M2135=""),0,IF(M2135="x",-$E2135/(COUNTIF($J2135:$Q2135,"x")+1),-$E2135*N(M2135)))</f>
        <v/>
      </c>
      <c r="AB2135" s="34">
        <f>IF(OR($A2135="",$H2135&lt;&gt;"Ausgabe",N2135=""),0,IF(N2135="x",-$E2135/(COUNTIF($J2135:$Q2135,"x")+1),-$E2135*N(N2135)))</f>
        <v/>
      </c>
      <c r="AC2135" s="34">
        <f>IF(OR($A2135="",$H2135&lt;&gt;"Ausgabe",O2135=""),0,IF(O2135="x",-$E2135/(COUNTIF($J2135:$Q2135,"x")+1),-$E2135*N(O2135)))</f>
        <v/>
      </c>
      <c r="AD2135" s="34">
        <f>IF(OR($A2135="",$H2135&lt;&gt;"Ausgabe",P2135=""),0,IF(P2135="x",-$E2135/(COUNTIF($J2135:$Q2135,"x")+1),-$E2135*N(P2135)))</f>
        <v/>
      </c>
      <c r="AE2135" s="34">
        <f>IF(OR($A2135="",$H2135&lt;&gt;"Ausgabe",Q2135=""),0,IF(Q2135="x",-$E2135/(COUNTIF($J2135:$Q2135,"x")+1),-$E2135*N(Q2135)))</f>
        <v/>
      </c>
    </row>
    <row r="2136">
      <c r="A2136" s="30" t="n"/>
      <c r="E2136" s="31" t="n"/>
      <c r="J2136" s="32" t="n"/>
      <c r="K2136" s="32" t="n"/>
      <c r="L2136" s="32" t="n"/>
      <c r="M2136" s="32" t="n"/>
      <c r="N2136" s="32" t="n"/>
      <c r="O2136" s="32" t="n"/>
      <c r="P2136" s="32" t="n"/>
      <c r="Q2136" s="32" t="n"/>
      <c r="U2136" s="31">
        <f>IF($A2136="","",SUM(X2136:AE2136))</f>
        <v/>
      </c>
      <c r="V2136" s="31">
        <f>IF($A2136="","",IF($H2136&lt;&gt;"Ausgabe",0,-$E2136-$U2136))</f>
        <v/>
      </c>
      <c r="W2136" s="33">
        <f>IF($A2136="","",DATE(YEAR($A2136),MONTH($A2136),1))</f>
        <v/>
      </c>
      <c r="X2136" s="34">
        <f>IF(OR($A2136="",$H2136&lt;&gt;"Ausgabe",J2136=""),0,IF(J2136="x",-$E2136/(COUNTIF($J2136:$Q2136,"x")+1),-$E2136*N(J2136)))</f>
        <v/>
      </c>
      <c r="Y2136" s="34">
        <f>IF(OR($A2136="",$H2136&lt;&gt;"Ausgabe",K2136=""),0,IF(K2136="x",-$E2136/(COUNTIF($J2136:$Q2136,"x")+1),-$E2136*N(K2136)))</f>
        <v/>
      </c>
      <c r="Z2136" s="34">
        <f>IF(OR($A2136="",$H2136&lt;&gt;"Ausgabe",L2136=""),0,IF(L2136="x",-$E2136/(COUNTIF($J2136:$Q2136,"x")+1),-$E2136*N(L2136)))</f>
        <v/>
      </c>
      <c r="AA2136" s="34">
        <f>IF(OR($A2136="",$H2136&lt;&gt;"Ausgabe",M2136=""),0,IF(M2136="x",-$E2136/(COUNTIF($J2136:$Q2136,"x")+1),-$E2136*N(M2136)))</f>
        <v/>
      </c>
      <c r="AB2136" s="34">
        <f>IF(OR($A2136="",$H2136&lt;&gt;"Ausgabe",N2136=""),0,IF(N2136="x",-$E2136/(COUNTIF($J2136:$Q2136,"x")+1),-$E2136*N(N2136)))</f>
        <v/>
      </c>
      <c r="AC2136" s="34">
        <f>IF(OR($A2136="",$H2136&lt;&gt;"Ausgabe",O2136=""),0,IF(O2136="x",-$E2136/(COUNTIF($J2136:$Q2136,"x")+1),-$E2136*N(O2136)))</f>
        <v/>
      </c>
      <c r="AD2136" s="34">
        <f>IF(OR($A2136="",$H2136&lt;&gt;"Ausgabe",P2136=""),0,IF(P2136="x",-$E2136/(COUNTIF($J2136:$Q2136,"x")+1),-$E2136*N(P2136)))</f>
        <v/>
      </c>
      <c r="AE2136" s="34">
        <f>IF(OR($A2136="",$H2136&lt;&gt;"Ausgabe",Q2136=""),0,IF(Q2136="x",-$E2136/(COUNTIF($J2136:$Q2136,"x")+1),-$E2136*N(Q2136)))</f>
        <v/>
      </c>
    </row>
    <row r="2137">
      <c r="A2137" s="30" t="n"/>
      <c r="E2137" s="31" t="n"/>
      <c r="J2137" s="32" t="n"/>
      <c r="K2137" s="32" t="n"/>
      <c r="L2137" s="32" t="n"/>
      <c r="M2137" s="32" t="n"/>
      <c r="N2137" s="32" t="n"/>
      <c r="O2137" s="32" t="n"/>
      <c r="P2137" s="32" t="n"/>
      <c r="Q2137" s="32" t="n"/>
      <c r="U2137" s="31">
        <f>IF($A2137="","",SUM(X2137:AE2137))</f>
        <v/>
      </c>
      <c r="V2137" s="31">
        <f>IF($A2137="","",IF($H2137&lt;&gt;"Ausgabe",0,-$E2137-$U2137))</f>
        <v/>
      </c>
      <c r="W2137" s="33">
        <f>IF($A2137="","",DATE(YEAR($A2137),MONTH($A2137),1))</f>
        <v/>
      </c>
      <c r="X2137" s="34">
        <f>IF(OR($A2137="",$H2137&lt;&gt;"Ausgabe",J2137=""),0,IF(J2137="x",-$E2137/(COUNTIF($J2137:$Q2137,"x")+1),-$E2137*N(J2137)))</f>
        <v/>
      </c>
      <c r="Y2137" s="34">
        <f>IF(OR($A2137="",$H2137&lt;&gt;"Ausgabe",K2137=""),0,IF(K2137="x",-$E2137/(COUNTIF($J2137:$Q2137,"x")+1),-$E2137*N(K2137)))</f>
        <v/>
      </c>
      <c r="Z2137" s="34">
        <f>IF(OR($A2137="",$H2137&lt;&gt;"Ausgabe",L2137=""),0,IF(L2137="x",-$E2137/(COUNTIF($J2137:$Q2137,"x")+1),-$E2137*N(L2137)))</f>
        <v/>
      </c>
      <c r="AA2137" s="34">
        <f>IF(OR($A2137="",$H2137&lt;&gt;"Ausgabe",M2137=""),0,IF(M2137="x",-$E2137/(COUNTIF($J2137:$Q2137,"x")+1),-$E2137*N(M2137)))</f>
        <v/>
      </c>
      <c r="AB2137" s="34">
        <f>IF(OR($A2137="",$H2137&lt;&gt;"Ausgabe",N2137=""),0,IF(N2137="x",-$E2137/(COUNTIF($J2137:$Q2137,"x")+1),-$E2137*N(N2137)))</f>
        <v/>
      </c>
      <c r="AC2137" s="34">
        <f>IF(OR($A2137="",$H2137&lt;&gt;"Ausgabe",O2137=""),0,IF(O2137="x",-$E2137/(COUNTIF($J2137:$Q2137,"x")+1),-$E2137*N(O2137)))</f>
        <v/>
      </c>
      <c r="AD2137" s="34">
        <f>IF(OR($A2137="",$H2137&lt;&gt;"Ausgabe",P2137=""),0,IF(P2137="x",-$E2137/(COUNTIF($J2137:$Q2137,"x")+1),-$E2137*N(P2137)))</f>
        <v/>
      </c>
      <c r="AE2137" s="34">
        <f>IF(OR($A2137="",$H2137&lt;&gt;"Ausgabe",Q2137=""),0,IF(Q2137="x",-$E2137/(COUNTIF($J2137:$Q2137,"x")+1),-$E2137*N(Q2137)))</f>
        <v/>
      </c>
    </row>
    <row r="2138">
      <c r="A2138" s="30" t="n"/>
      <c r="E2138" s="31" t="n"/>
      <c r="J2138" s="32" t="n"/>
      <c r="K2138" s="32" t="n"/>
      <c r="L2138" s="32" t="n"/>
      <c r="M2138" s="32" t="n"/>
      <c r="N2138" s="32" t="n"/>
      <c r="O2138" s="32" t="n"/>
      <c r="P2138" s="32" t="n"/>
      <c r="Q2138" s="32" t="n"/>
      <c r="U2138" s="31">
        <f>IF($A2138="","",SUM(X2138:AE2138))</f>
        <v/>
      </c>
      <c r="V2138" s="31">
        <f>IF($A2138="","",IF($H2138&lt;&gt;"Ausgabe",0,-$E2138-$U2138))</f>
        <v/>
      </c>
      <c r="W2138" s="33">
        <f>IF($A2138="","",DATE(YEAR($A2138),MONTH($A2138),1))</f>
        <v/>
      </c>
      <c r="X2138" s="34">
        <f>IF(OR($A2138="",$H2138&lt;&gt;"Ausgabe",J2138=""),0,IF(J2138="x",-$E2138/(COUNTIF($J2138:$Q2138,"x")+1),-$E2138*N(J2138)))</f>
        <v/>
      </c>
      <c r="Y2138" s="34">
        <f>IF(OR($A2138="",$H2138&lt;&gt;"Ausgabe",K2138=""),0,IF(K2138="x",-$E2138/(COUNTIF($J2138:$Q2138,"x")+1),-$E2138*N(K2138)))</f>
        <v/>
      </c>
      <c r="Z2138" s="34">
        <f>IF(OR($A2138="",$H2138&lt;&gt;"Ausgabe",L2138=""),0,IF(L2138="x",-$E2138/(COUNTIF($J2138:$Q2138,"x")+1),-$E2138*N(L2138)))</f>
        <v/>
      </c>
      <c r="AA2138" s="34">
        <f>IF(OR($A2138="",$H2138&lt;&gt;"Ausgabe",M2138=""),0,IF(M2138="x",-$E2138/(COUNTIF($J2138:$Q2138,"x")+1),-$E2138*N(M2138)))</f>
        <v/>
      </c>
      <c r="AB2138" s="34">
        <f>IF(OR($A2138="",$H2138&lt;&gt;"Ausgabe",N2138=""),0,IF(N2138="x",-$E2138/(COUNTIF($J2138:$Q2138,"x")+1),-$E2138*N(N2138)))</f>
        <v/>
      </c>
      <c r="AC2138" s="34">
        <f>IF(OR($A2138="",$H2138&lt;&gt;"Ausgabe",O2138=""),0,IF(O2138="x",-$E2138/(COUNTIF($J2138:$Q2138,"x")+1),-$E2138*N(O2138)))</f>
        <v/>
      </c>
      <c r="AD2138" s="34">
        <f>IF(OR($A2138="",$H2138&lt;&gt;"Ausgabe",P2138=""),0,IF(P2138="x",-$E2138/(COUNTIF($J2138:$Q2138,"x")+1),-$E2138*N(P2138)))</f>
        <v/>
      </c>
      <c r="AE2138" s="34">
        <f>IF(OR($A2138="",$H2138&lt;&gt;"Ausgabe",Q2138=""),0,IF(Q2138="x",-$E2138/(COUNTIF($J2138:$Q2138,"x")+1),-$E2138*N(Q2138)))</f>
        <v/>
      </c>
    </row>
    <row r="2139">
      <c r="A2139" s="30" t="n"/>
      <c r="E2139" s="31" t="n"/>
      <c r="J2139" s="32" t="n"/>
      <c r="K2139" s="32" t="n"/>
      <c r="L2139" s="32" t="n"/>
      <c r="M2139" s="32" t="n"/>
      <c r="N2139" s="32" t="n"/>
      <c r="O2139" s="32" t="n"/>
      <c r="P2139" s="32" t="n"/>
      <c r="Q2139" s="32" t="n"/>
      <c r="U2139" s="31">
        <f>IF($A2139="","",SUM(X2139:AE2139))</f>
        <v/>
      </c>
      <c r="V2139" s="31">
        <f>IF($A2139="","",IF($H2139&lt;&gt;"Ausgabe",0,-$E2139-$U2139))</f>
        <v/>
      </c>
      <c r="W2139" s="33">
        <f>IF($A2139="","",DATE(YEAR($A2139),MONTH($A2139),1))</f>
        <v/>
      </c>
      <c r="X2139" s="34">
        <f>IF(OR($A2139="",$H2139&lt;&gt;"Ausgabe",J2139=""),0,IF(J2139="x",-$E2139/(COUNTIF($J2139:$Q2139,"x")+1),-$E2139*N(J2139)))</f>
        <v/>
      </c>
      <c r="Y2139" s="34">
        <f>IF(OR($A2139="",$H2139&lt;&gt;"Ausgabe",K2139=""),0,IF(K2139="x",-$E2139/(COUNTIF($J2139:$Q2139,"x")+1),-$E2139*N(K2139)))</f>
        <v/>
      </c>
      <c r="Z2139" s="34">
        <f>IF(OR($A2139="",$H2139&lt;&gt;"Ausgabe",L2139=""),0,IF(L2139="x",-$E2139/(COUNTIF($J2139:$Q2139,"x")+1),-$E2139*N(L2139)))</f>
        <v/>
      </c>
      <c r="AA2139" s="34">
        <f>IF(OR($A2139="",$H2139&lt;&gt;"Ausgabe",M2139=""),0,IF(M2139="x",-$E2139/(COUNTIF($J2139:$Q2139,"x")+1),-$E2139*N(M2139)))</f>
        <v/>
      </c>
      <c r="AB2139" s="34">
        <f>IF(OR($A2139="",$H2139&lt;&gt;"Ausgabe",N2139=""),0,IF(N2139="x",-$E2139/(COUNTIF($J2139:$Q2139,"x")+1),-$E2139*N(N2139)))</f>
        <v/>
      </c>
      <c r="AC2139" s="34">
        <f>IF(OR($A2139="",$H2139&lt;&gt;"Ausgabe",O2139=""),0,IF(O2139="x",-$E2139/(COUNTIF($J2139:$Q2139,"x")+1),-$E2139*N(O2139)))</f>
        <v/>
      </c>
      <c r="AD2139" s="34">
        <f>IF(OR($A2139="",$H2139&lt;&gt;"Ausgabe",P2139=""),0,IF(P2139="x",-$E2139/(COUNTIF($J2139:$Q2139,"x")+1),-$E2139*N(P2139)))</f>
        <v/>
      </c>
      <c r="AE2139" s="34">
        <f>IF(OR($A2139="",$H2139&lt;&gt;"Ausgabe",Q2139=""),0,IF(Q2139="x",-$E2139/(COUNTIF($J2139:$Q2139,"x")+1),-$E2139*N(Q2139)))</f>
        <v/>
      </c>
    </row>
    <row r="2140">
      <c r="A2140" s="30" t="n"/>
      <c r="E2140" s="31" t="n"/>
      <c r="J2140" s="32" t="n"/>
      <c r="K2140" s="32" t="n"/>
      <c r="L2140" s="32" t="n"/>
      <c r="M2140" s="32" t="n"/>
      <c r="N2140" s="32" t="n"/>
      <c r="O2140" s="32" t="n"/>
      <c r="P2140" s="32" t="n"/>
      <c r="Q2140" s="32" t="n"/>
      <c r="U2140" s="31">
        <f>IF($A2140="","",SUM(X2140:AE2140))</f>
        <v/>
      </c>
      <c r="V2140" s="31">
        <f>IF($A2140="","",IF($H2140&lt;&gt;"Ausgabe",0,-$E2140-$U2140))</f>
        <v/>
      </c>
      <c r="W2140" s="33">
        <f>IF($A2140="","",DATE(YEAR($A2140),MONTH($A2140),1))</f>
        <v/>
      </c>
      <c r="X2140" s="34">
        <f>IF(OR($A2140="",$H2140&lt;&gt;"Ausgabe",J2140=""),0,IF(J2140="x",-$E2140/(COUNTIF($J2140:$Q2140,"x")+1),-$E2140*N(J2140)))</f>
        <v/>
      </c>
      <c r="Y2140" s="34">
        <f>IF(OR($A2140="",$H2140&lt;&gt;"Ausgabe",K2140=""),0,IF(K2140="x",-$E2140/(COUNTIF($J2140:$Q2140,"x")+1),-$E2140*N(K2140)))</f>
        <v/>
      </c>
      <c r="Z2140" s="34">
        <f>IF(OR($A2140="",$H2140&lt;&gt;"Ausgabe",L2140=""),0,IF(L2140="x",-$E2140/(COUNTIF($J2140:$Q2140,"x")+1),-$E2140*N(L2140)))</f>
        <v/>
      </c>
      <c r="AA2140" s="34">
        <f>IF(OR($A2140="",$H2140&lt;&gt;"Ausgabe",M2140=""),0,IF(M2140="x",-$E2140/(COUNTIF($J2140:$Q2140,"x")+1),-$E2140*N(M2140)))</f>
        <v/>
      </c>
      <c r="AB2140" s="34">
        <f>IF(OR($A2140="",$H2140&lt;&gt;"Ausgabe",N2140=""),0,IF(N2140="x",-$E2140/(COUNTIF($J2140:$Q2140,"x")+1),-$E2140*N(N2140)))</f>
        <v/>
      </c>
      <c r="AC2140" s="34">
        <f>IF(OR($A2140="",$H2140&lt;&gt;"Ausgabe",O2140=""),0,IF(O2140="x",-$E2140/(COUNTIF($J2140:$Q2140,"x")+1),-$E2140*N(O2140)))</f>
        <v/>
      </c>
      <c r="AD2140" s="34">
        <f>IF(OR($A2140="",$H2140&lt;&gt;"Ausgabe",P2140=""),0,IF(P2140="x",-$E2140/(COUNTIF($J2140:$Q2140,"x")+1),-$E2140*N(P2140)))</f>
        <v/>
      </c>
      <c r="AE2140" s="34">
        <f>IF(OR($A2140="",$H2140&lt;&gt;"Ausgabe",Q2140=""),0,IF(Q2140="x",-$E2140/(COUNTIF($J2140:$Q2140,"x")+1),-$E2140*N(Q2140)))</f>
        <v/>
      </c>
    </row>
    <row r="2141">
      <c r="A2141" s="30" t="n"/>
      <c r="E2141" s="31" t="n"/>
      <c r="J2141" s="32" t="n"/>
      <c r="K2141" s="32" t="n"/>
      <c r="L2141" s="32" t="n"/>
      <c r="M2141" s="32" t="n"/>
      <c r="N2141" s="32" t="n"/>
      <c r="O2141" s="32" t="n"/>
      <c r="P2141" s="32" t="n"/>
      <c r="Q2141" s="32" t="n"/>
      <c r="U2141" s="31">
        <f>IF($A2141="","",SUM(X2141:AE2141))</f>
        <v/>
      </c>
      <c r="V2141" s="31">
        <f>IF($A2141="","",IF($H2141&lt;&gt;"Ausgabe",0,-$E2141-$U2141))</f>
        <v/>
      </c>
      <c r="W2141" s="33">
        <f>IF($A2141="","",DATE(YEAR($A2141),MONTH($A2141),1))</f>
        <v/>
      </c>
      <c r="X2141" s="34">
        <f>IF(OR($A2141="",$H2141&lt;&gt;"Ausgabe",J2141=""),0,IF(J2141="x",-$E2141/(COUNTIF($J2141:$Q2141,"x")+1),-$E2141*N(J2141)))</f>
        <v/>
      </c>
      <c r="Y2141" s="34">
        <f>IF(OR($A2141="",$H2141&lt;&gt;"Ausgabe",K2141=""),0,IF(K2141="x",-$E2141/(COUNTIF($J2141:$Q2141,"x")+1),-$E2141*N(K2141)))</f>
        <v/>
      </c>
      <c r="Z2141" s="34">
        <f>IF(OR($A2141="",$H2141&lt;&gt;"Ausgabe",L2141=""),0,IF(L2141="x",-$E2141/(COUNTIF($J2141:$Q2141,"x")+1),-$E2141*N(L2141)))</f>
        <v/>
      </c>
      <c r="AA2141" s="34">
        <f>IF(OR($A2141="",$H2141&lt;&gt;"Ausgabe",M2141=""),0,IF(M2141="x",-$E2141/(COUNTIF($J2141:$Q2141,"x")+1),-$E2141*N(M2141)))</f>
        <v/>
      </c>
      <c r="AB2141" s="34">
        <f>IF(OR($A2141="",$H2141&lt;&gt;"Ausgabe",N2141=""),0,IF(N2141="x",-$E2141/(COUNTIF($J2141:$Q2141,"x")+1),-$E2141*N(N2141)))</f>
        <v/>
      </c>
      <c r="AC2141" s="34">
        <f>IF(OR($A2141="",$H2141&lt;&gt;"Ausgabe",O2141=""),0,IF(O2141="x",-$E2141/(COUNTIF($J2141:$Q2141,"x")+1),-$E2141*N(O2141)))</f>
        <v/>
      </c>
      <c r="AD2141" s="34">
        <f>IF(OR($A2141="",$H2141&lt;&gt;"Ausgabe",P2141=""),0,IF(P2141="x",-$E2141/(COUNTIF($J2141:$Q2141,"x")+1),-$E2141*N(P2141)))</f>
        <v/>
      </c>
      <c r="AE2141" s="34">
        <f>IF(OR($A2141="",$H2141&lt;&gt;"Ausgabe",Q2141=""),0,IF(Q2141="x",-$E2141/(COUNTIF($J2141:$Q2141,"x")+1),-$E2141*N(Q2141)))</f>
        <v/>
      </c>
    </row>
    <row r="2142">
      <c r="A2142" s="30" t="n"/>
      <c r="E2142" s="31" t="n"/>
      <c r="J2142" s="32" t="n"/>
      <c r="K2142" s="32" t="n"/>
      <c r="L2142" s="32" t="n"/>
      <c r="M2142" s="32" t="n"/>
      <c r="N2142" s="32" t="n"/>
      <c r="O2142" s="32" t="n"/>
      <c r="P2142" s="32" t="n"/>
      <c r="Q2142" s="32" t="n"/>
      <c r="U2142" s="31">
        <f>IF($A2142="","",SUM(X2142:AE2142))</f>
        <v/>
      </c>
      <c r="V2142" s="31">
        <f>IF($A2142="","",IF($H2142&lt;&gt;"Ausgabe",0,-$E2142-$U2142))</f>
        <v/>
      </c>
      <c r="W2142" s="33">
        <f>IF($A2142="","",DATE(YEAR($A2142),MONTH($A2142),1))</f>
        <v/>
      </c>
      <c r="X2142" s="34">
        <f>IF(OR($A2142="",$H2142&lt;&gt;"Ausgabe",J2142=""),0,IF(J2142="x",-$E2142/(COUNTIF($J2142:$Q2142,"x")+1),-$E2142*N(J2142)))</f>
        <v/>
      </c>
      <c r="Y2142" s="34">
        <f>IF(OR($A2142="",$H2142&lt;&gt;"Ausgabe",K2142=""),0,IF(K2142="x",-$E2142/(COUNTIF($J2142:$Q2142,"x")+1),-$E2142*N(K2142)))</f>
        <v/>
      </c>
      <c r="Z2142" s="34">
        <f>IF(OR($A2142="",$H2142&lt;&gt;"Ausgabe",L2142=""),0,IF(L2142="x",-$E2142/(COUNTIF($J2142:$Q2142,"x")+1),-$E2142*N(L2142)))</f>
        <v/>
      </c>
      <c r="AA2142" s="34">
        <f>IF(OR($A2142="",$H2142&lt;&gt;"Ausgabe",M2142=""),0,IF(M2142="x",-$E2142/(COUNTIF($J2142:$Q2142,"x")+1),-$E2142*N(M2142)))</f>
        <v/>
      </c>
      <c r="AB2142" s="34">
        <f>IF(OR($A2142="",$H2142&lt;&gt;"Ausgabe",N2142=""),0,IF(N2142="x",-$E2142/(COUNTIF($J2142:$Q2142,"x")+1),-$E2142*N(N2142)))</f>
        <v/>
      </c>
      <c r="AC2142" s="34">
        <f>IF(OR($A2142="",$H2142&lt;&gt;"Ausgabe",O2142=""),0,IF(O2142="x",-$E2142/(COUNTIF($J2142:$Q2142,"x")+1),-$E2142*N(O2142)))</f>
        <v/>
      </c>
      <c r="AD2142" s="34">
        <f>IF(OR($A2142="",$H2142&lt;&gt;"Ausgabe",P2142=""),0,IF(P2142="x",-$E2142/(COUNTIF($J2142:$Q2142,"x")+1),-$E2142*N(P2142)))</f>
        <v/>
      </c>
      <c r="AE2142" s="34">
        <f>IF(OR($A2142="",$H2142&lt;&gt;"Ausgabe",Q2142=""),0,IF(Q2142="x",-$E2142/(COUNTIF($J2142:$Q2142,"x")+1),-$E2142*N(Q2142)))</f>
        <v/>
      </c>
    </row>
    <row r="2143">
      <c r="A2143" s="30" t="n"/>
      <c r="E2143" s="31" t="n"/>
      <c r="J2143" s="32" t="n"/>
      <c r="K2143" s="32" t="n"/>
      <c r="L2143" s="32" t="n"/>
      <c r="M2143" s="32" t="n"/>
      <c r="N2143" s="32" t="n"/>
      <c r="O2143" s="32" t="n"/>
      <c r="P2143" s="32" t="n"/>
      <c r="Q2143" s="32" t="n"/>
      <c r="U2143" s="31">
        <f>IF($A2143="","",SUM(X2143:AE2143))</f>
        <v/>
      </c>
      <c r="V2143" s="31">
        <f>IF($A2143="","",IF($H2143&lt;&gt;"Ausgabe",0,-$E2143-$U2143))</f>
        <v/>
      </c>
      <c r="W2143" s="33">
        <f>IF($A2143="","",DATE(YEAR($A2143),MONTH($A2143),1))</f>
        <v/>
      </c>
      <c r="X2143" s="34">
        <f>IF(OR($A2143="",$H2143&lt;&gt;"Ausgabe",J2143=""),0,IF(J2143="x",-$E2143/(COUNTIF($J2143:$Q2143,"x")+1),-$E2143*N(J2143)))</f>
        <v/>
      </c>
      <c r="Y2143" s="34">
        <f>IF(OR($A2143="",$H2143&lt;&gt;"Ausgabe",K2143=""),0,IF(K2143="x",-$E2143/(COUNTIF($J2143:$Q2143,"x")+1),-$E2143*N(K2143)))</f>
        <v/>
      </c>
      <c r="Z2143" s="34">
        <f>IF(OR($A2143="",$H2143&lt;&gt;"Ausgabe",L2143=""),0,IF(L2143="x",-$E2143/(COUNTIF($J2143:$Q2143,"x")+1),-$E2143*N(L2143)))</f>
        <v/>
      </c>
      <c r="AA2143" s="34">
        <f>IF(OR($A2143="",$H2143&lt;&gt;"Ausgabe",M2143=""),0,IF(M2143="x",-$E2143/(COUNTIF($J2143:$Q2143,"x")+1),-$E2143*N(M2143)))</f>
        <v/>
      </c>
      <c r="AB2143" s="34">
        <f>IF(OR($A2143="",$H2143&lt;&gt;"Ausgabe",N2143=""),0,IF(N2143="x",-$E2143/(COUNTIF($J2143:$Q2143,"x")+1),-$E2143*N(N2143)))</f>
        <v/>
      </c>
      <c r="AC2143" s="34">
        <f>IF(OR($A2143="",$H2143&lt;&gt;"Ausgabe",O2143=""),0,IF(O2143="x",-$E2143/(COUNTIF($J2143:$Q2143,"x")+1),-$E2143*N(O2143)))</f>
        <v/>
      </c>
      <c r="AD2143" s="34">
        <f>IF(OR($A2143="",$H2143&lt;&gt;"Ausgabe",P2143=""),0,IF(P2143="x",-$E2143/(COUNTIF($J2143:$Q2143,"x")+1),-$E2143*N(P2143)))</f>
        <v/>
      </c>
      <c r="AE2143" s="34">
        <f>IF(OR($A2143="",$H2143&lt;&gt;"Ausgabe",Q2143=""),0,IF(Q2143="x",-$E2143/(COUNTIF($J2143:$Q2143,"x")+1),-$E2143*N(Q2143)))</f>
        <v/>
      </c>
    </row>
    <row r="2144">
      <c r="A2144" s="30" t="n"/>
      <c r="E2144" s="31" t="n"/>
      <c r="J2144" s="32" t="n"/>
      <c r="K2144" s="32" t="n"/>
      <c r="L2144" s="32" t="n"/>
      <c r="M2144" s="32" t="n"/>
      <c r="N2144" s="32" t="n"/>
      <c r="O2144" s="32" t="n"/>
      <c r="P2144" s="32" t="n"/>
      <c r="Q2144" s="32" t="n"/>
      <c r="U2144" s="31">
        <f>IF($A2144="","",SUM(X2144:AE2144))</f>
        <v/>
      </c>
      <c r="V2144" s="31">
        <f>IF($A2144="","",IF($H2144&lt;&gt;"Ausgabe",0,-$E2144-$U2144))</f>
        <v/>
      </c>
      <c r="W2144" s="33">
        <f>IF($A2144="","",DATE(YEAR($A2144),MONTH($A2144),1))</f>
        <v/>
      </c>
      <c r="X2144" s="34">
        <f>IF(OR($A2144="",$H2144&lt;&gt;"Ausgabe",J2144=""),0,IF(J2144="x",-$E2144/(COUNTIF($J2144:$Q2144,"x")+1),-$E2144*N(J2144)))</f>
        <v/>
      </c>
      <c r="Y2144" s="34">
        <f>IF(OR($A2144="",$H2144&lt;&gt;"Ausgabe",K2144=""),0,IF(K2144="x",-$E2144/(COUNTIF($J2144:$Q2144,"x")+1),-$E2144*N(K2144)))</f>
        <v/>
      </c>
      <c r="Z2144" s="34">
        <f>IF(OR($A2144="",$H2144&lt;&gt;"Ausgabe",L2144=""),0,IF(L2144="x",-$E2144/(COUNTIF($J2144:$Q2144,"x")+1),-$E2144*N(L2144)))</f>
        <v/>
      </c>
      <c r="AA2144" s="34">
        <f>IF(OR($A2144="",$H2144&lt;&gt;"Ausgabe",M2144=""),0,IF(M2144="x",-$E2144/(COUNTIF($J2144:$Q2144,"x")+1),-$E2144*N(M2144)))</f>
        <v/>
      </c>
      <c r="AB2144" s="34">
        <f>IF(OR($A2144="",$H2144&lt;&gt;"Ausgabe",N2144=""),0,IF(N2144="x",-$E2144/(COUNTIF($J2144:$Q2144,"x")+1),-$E2144*N(N2144)))</f>
        <v/>
      </c>
      <c r="AC2144" s="34">
        <f>IF(OR($A2144="",$H2144&lt;&gt;"Ausgabe",O2144=""),0,IF(O2144="x",-$E2144/(COUNTIF($J2144:$Q2144,"x")+1),-$E2144*N(O2144)))</f>
        <v/>
      </c>
      <c r="AD2144" s="34">
        <f>IF(OR($A2144="",$H2144&lt;&gt;"Ausgabe",P2144=""),0,IF(P2144="x",-$E2144/(COUNTIF($J2144:$Q2144,"x")+1),-$E2144*N(P2144)))</f>
        <v/>
      </c>
      <c r="AE2144" s="34">
        <f>IF(OR($A2144="",$H2144&lt;&gt;"Ausgabe",Q2144=""),0,IF(Q2144="x",-$E2144/(COUNTIF($J2144:$Q2144,"x")+1),-$E2144*N(Q2144)))</f>
        <v/>
      </c>
    </row>
    <row r="2145">
      <c r="A2145" s="30" t="n"/>
      <c r="E2145" s="31" t="n"/>
      <c r="J2145" s="32" t="n"/>
      <c r="K2145" s="32" t="n"/>
      <c r="L2145" s="32" t="n"/>
      <c r="M2145" s="32" t="n"/>
      <c r="N2145" s="32" t="n"/>
      <c r="O2145" s="32" t="n"/>
      <c r="P2145" s="32" t="n"/>
      <c r="Q2145" s="32" t="n"/>
      <c r="U2145" s="31">
        <f>IF($A2145="","",SUM(X2145:AE2145))</f>
        <v/>
      </c>
      <c r="V2145" s="31">
        <f>IF($A2145="","",IF($H2145&lt;&gt;"Ausgabe",0,-$E2145-$U2145))</f>
        <v/>
      </c>
      <c r="W2145" s="33">
        <f>IF($A2145="","",DATE(YEAR($A2145),MONTH($A2145),1))</f>
        <v/>
      </c>
      <c r="X2145" s="34">
        <f>IF(OR($A2145="",$H2145&lt;&gt;"Ausgabe",J2145=""),0,IF(J2145="x",-$E2145/(COUNTIF($J2145:$Q2145,"x")+1),-$E2145*N(J2145)))</f>
        <v/>
      </c>
      <c r="Y2145" s="34">
        <f>IF(OR($A2145="",$H2145&lt;&gt;"Ausgabe",K2145=""),0,IF(K2145="x",-$E2145/(COUNTIF($J2145:$Q2145,"x")+1),-$E2145*N(K2145)))</f>
        <v/>
      </c>
      <c r="Z2145" s="34">
        <f>IF(OR($A2145="",$H2145&lt;&gt;"Ausgabe",L2145=""),0,IF(L2145="x",-$E2145/(COUNTIF($J2145:$Q2145,"x")+1),-$E2145*N(L2145)))</f>
        <v/>
      </c>
      <c r="AA2145" s="34">
        <f>IF(OR($A2145="",$H2145&lt;&gt;"Ausgabe",M2145=""),0,IF(M2145="x",-$E2145/(COUNTIF($J2145:$Q2145,"x")+1),-$E2145*N(M2145)))</f>
        <v/>
      </c>
      <c r="AB2145" s="34">
        <f>IF(OR($A2145="",$H2145&lt;&gt;"Ausgabe",N2145=""),0,IF(N2145="x",-$E2145/(COUNTIF($J2145:$Q2145,"x")+1),-$E2145*N(N2145)))</f>
        <v/>
      </c>
      <c r="AC2145" s="34">
        <f>IF(OR($A2145="",$H2145&lt;&gt;"Ausgabe",O2145=""),0,IF(O2145="x",-$E2145/(COUNTIF($J2145:$Q2145,"x")+1),-$E2145*N(O2145)))</f>
        <v/>
      </c>
      <c r="AD2145" s="34">
        <f>IF(OR($A2145="",$H2145&lt;&gt;"Ausgabe",P2145=""),0,IF(P2145="x",-$E2145/(COUNTIF($J2145:$Q2145,"x")+1),-$E2145*N(P2145)))</f>
        <v/>
      </c>
      <c r="AE2145" s="34">
        <f>IF(OR($A2145="",$H2145&lt;&gt;"Ausgabe",Q2145=""),0,IF(Q2145="x",-$E2145/(COUNTIF($J2145:$Q2145,"x")+1),-$E2145*N(Q2145)))</f>
        <v/>
      </c>
    </row>
    <row r="2146">
      <c r="A2146" s="30" t="n"/>
      <c r="E2146" s="31" t="n"/>
      <c r="J2146" s="32" t="n"/>
      <c r="K2146" s="32" t="n"/>
      <c r="L2146" s="32" t="n"/>
      <c r="M2146" s="32" t="n"/>
      <c r="N2146" s="32" t="n"/>
      <c r="O2146" s="32" t="n"/>
      <c r="P2146" s="32" t="n"/>
      <c r="Q2146" s="32" t="n"/>
      <c r="U2146" s="31">
        <f>IF($A2146="","",SUM(X2146:AE2146))</f>
        <v/>
      </c>
      <c r="V2146" s="31">
        <f>IF($A2146="","",IF($H2146&lt;&gt;"Ausgabe",0,-$E2146-$U2146))</f>
        <v/>
      </c>
      <c r="W2146" s="33">
        <f>IF($A2146="","",DATE(YEAR($A2146),MONTH($A2146),1))</f>
        <v/>
      </c>
      <c r="X2146" s="34">
        <f>IF(OR($A2146="",$H2146&lt;&gt;"Ausgabe",J2146=""),0,IF(J2146="x",-$E2146/(COUNTIF($J2146:$Q2146,"x")+1),-$E2146*N(J2146)))</f>
        <v/>
      </c>
      <c r="Y2146" s="34">
        <f>IF(OR($A2146="",$H2146&lt;&gt;"Ausgabe",K2146=""),0,IF(K2146="x",-$E2146/(COUNTIF($J2146:$Q2146,"x")+1),-$E2146*N(K2146)))</f>
        <v/>
      </c>
      <c r="Z2146" s="34">
        <f>IF(OR($A2146="",$H2146&lt;&gt;"Ausgabe",L2146=""),0,IF(L2146="x",-$E2146/(COUNTIF($J2146:$Q2146,"x")+1),-$E2146*N(L2146)))</f>
        <v/>
      </c>
      <c r="AA2146" s="34">
        <f>IF(OR($A2146="",$H2146&lt;&gt;"Ausgabe",M2146=""),0,IF(M2146="x",-$E2146/(COUNTIF($J2146:$Q2146,"x")+1),-$E2146*N(M2146)))</f>
        <v/>
      </c>
      <c r="AB2146" s="34">
        <f>IF(OR($A2146="",$H2146&lt;&gt;"Ausgabe",N2146=""),0,IF(N2146="x",-$E2146/(COUNTIF($J2146:$Q2146,"x")+1),-$E2146*N(N2146)))</f>
        <v/>
      </c>
      <c r="AC2146" s="34">
        <f>IF(OR($A2146="",$H2146&lt;&gt;"Ausgabe",O2146=""),0,IF(O2146="x",-$E2146/(COUNTIF($J2146:$Q2146,"x")+1),-$E2146*N(O2146)))</f>
        <v/>
      </c>
      <c r="AD2146" s="34">
        <f>IF(OR($A2146="",$H2146&lt;&gt;"Ausgabe",P2146=""),0,IF(P2146="x",-$E2146/(COUNTIF($J2146:$Q2146,"x")+1),-$E2146*N(P2146)))</f>
        <v/>
      </c>
      <c r="AE2146" s="34">
        <f>IF(OR($A2146="",$H2146&lt;&gt;"Ausgabe",Q2146=""),0,IF(Q2146="x",-$E2146/(COUNTIF($J2146:$Q2146,"x")+1),-$E2146*N(Q2146)))</f>
        <v/>
      </c>
    </row>
    <row r="2147">
      <c r="A2147" s="30" t="n"/>
      <c r="E2147" s="31" t="n"/>
      <c r="J2147" s="32" t="n"/>
      <c r="K2147" s="32" t="n"/>
      <c r="L2147" s="32" t="n"/>
      <c r="M2147" s="32" t="n"/>
      <c r="N2147" s="32" t="n"/>
      <c r="O2147" s="32" t="n"/>
      <c r="P2147" s="32" t="n"/>
      <c r="Q2147" s="32" t="n"/>
      <c r="U2147" s="31">
        <f>IF($A2147="","",SUM(X2147:AE2147))</f>
        <v/>
      </c>
      <c r="V2147" s="31">
        <f>IF($A2147="","",IF($H2147&lt;&gt;"Ausgabe",0,-$E2147-$U2147))</f>
        <v/>
      </c>
      <c r="W2147" s="33">
        <f>IF($A2147="","",DATE(YEAR($A2147),MONTH($A2147),1))</f>
        <v/>
      </c>
      <c r="X2147" s="34">
        <f>IF(OR($A2147="",$H2147&lt;&gt;"Ausgabe",J2147=""),0,IF(J2147="x",-$E2147/(COUNTIF($J2147:$Q2147,"x")+1),-$E2147*N(J2147)))</f>
        <v/>
      </c>
      <c r="Y2147" s="34">
        <f>IF(OR($A2147="",$H2147&lt;&gt;"Ausgabe",K2147=""),0,IF(K2147="x",-$E2147/(COUNTIF($J2147:$Q2147,"x")+1),-$E2147*N(K2147)))</f>
        <v/>
      </c>
      <c r="Z2147" s="34">
        <f>IF(OR($A2147="",$H2147&lt;&gt;"Ausgabe",L2147=""),0,IF(L2147="x",-$E2147/(COUNTIF($J2147:$Q2147,"x")+1),-$E2147*N(L2147)))</f>
        <v/>
      </c>
      <c r="AA2147" s="34">
        <f>IF(OR($A2147="",$H2147&lt;&gt;"Ausgabe",M2147=""),0,IF(M2147="x",-$E2147/(COUNTIF($J2147:$Q2147,"x")+1),-$E2147*N(M2147)))</f>
        <v/>
      </c>
      <c r="AB2147" s="34">
        <f>IF(OR($A2147="",$H2147&lt;&gt;"Ausgabe",N2147=""),0,IF(N2147="x",-$E2147/(COUNTIF($J2147:$Q2147,"x")+1),-$E2147*N(N2147)))</f>
        <v/>
      </c>
      <c r="AC2147" s="34">
        <f>IF(OR($A2147="",$H2147&lt;&gt;"Ausgabe",O2147=""),0,IF(O2147="x",-$E2147/(COUNTIF($J2147:$Q2147,"x")+1),-$E2147*N(O2147)))</f>
        <v/>
      </c>
      <c r="AD2147" s="34">
        <f>IF(OR($A2147="",$H2147&lt;&gt;"Ausgabe",P2147=""),0,IF(P2147="x",-$E2147/(COUNTIF($J2147:$Q2147,"x")+1),-$E2147*N(P2147)))</f>
        <v/>
      </c>
      <c r="AE2147" s="34">
        <f>IF(OR($A2147="",$H2147&lt;&gt;"Ausgabe",Q2147=""),0,IF(Q2147="x",-$E2147/(COUNTIF($J2147:$Q2147,"x")+1),-$E2147*N(Q2147)))</f>
        <v/>
      </c>
    </row>
    <row r="2148">
      <c r="A2148" s="30" t="n"/>
      <c r="E2148" s="31" t="n"/>
      <c r="J2148" s="32" t="n"/>
      <c r="K2148" s="32" t="n"/>
      <c r="L2148" s="32" t="n"/>
      <c r="M2148" s="32" t="n"/>
      <c r="N2148" s="32" t="n"/>
      <c r="O2148" s="32" t="n"/>
      <c r="P2148" s="32" t="n"/>
      <c r="Q2148" s="32" t="n"/>
      <c r="U2148" s="31">
        <f>IF($A2148="","",SUM(X2148:AE2148))</f>
        <v/>
      </c>
      <c r="V2148" s="31">
        <f>IF($A2148="","",IF($H2148&lt;&gt;"Ausgabe",0,-$E2148-$U2148))</f>
        <v/>
      </c>
      <c r="W2148" s="33">
        <f>IF($A2148="","",DATE(YEAR($A2148),MONTH($A2148),1))</f>
        <v/>
      </c>
      <c r="X2148" s="34">
        <f>IF(OR($A2148="",$H2148&lt;&gt;"Ausgabe",J2148=""),0,IF(J2148="x",-$E2148/(COUNTIF($J2148:$Q2148,"x")+1),-$E2148*N(J2148)))</f>
        <v/>
      </c>
      <c r="Y2148" s="34">
        <f>IF(OR($A2148="",$H2148&lt;&gt;"Ausgabe",K2148=""),0,IF(K2148="x",-$E2148/(COUNTIF($J2148:$Q2148,"x")+1),-$E2148*N(K2148)))</f>
        <v/>
      </c>
      <c r="Z2148" s="34">
        <f>IF(OR($A2148="",$H2148&lt;&gt;"Ausgabe",L2148=""),0,IF(L2148="x",-$E2148/(COUNTIF($J2148:$Q2148,"x")+1),-$E2148*N(L2148)))</f>
        <v/>
      </c>
      <c r="AA2148" s="34">
        <f>IF(OR($A2148="",$H2148&lt;&gt;"Ausgabe",M2148=""),0,IF(M2148="x",-$E2148/(COUNTIF($J2148:$Q2148,"x")+1),-$E2148*N(M2148)))</f>
        <v/>
      </c>
      <c r="AB2148" s="34">
        <f>IF(OR($A2148="",$H2148&lt;&gt;"Ausgabe",N2148=""),0,IF(N2148="x",-$E2148/(COUNTIF($J2148:$Q2148,"x")+1),-$E2148*N(N2148)))</f>
        <v/>
      </c>
      <c r="AC2148" s="34">
        <f>IF(OR($A2148="",$H2148&lt;&gt;"Ausgabe",O2148=""),0,IF(O2148="x",-$E2148/(COUNTIF($J2148:$Q2148,"x")+1),-$E2148*N(O2148)))</f>
        <v/>
      </c>
      <c r="AD2148" s="34">
        <f>IF(OR($A2148="",$H2148&lt;&gt;"Ausgabe",P2148=""),0,IF(P2148="x",-$E2148/(COUNTIF($J2148:$Q2148,"x")+1),-$E2148*N(P2148)))</f>
        <v/>
      </c>
      <c r="AE2148" s="34">
        <f>IF(OR($A2148="",$H2148&lt;&gt;"Ausgabe",Q2148=""),0,IF(Q2148="x",-$E2148/(COUNTIF($J2148:$Q2148,"x")+1),-$E2148*N(Q2148)))</f>
        <v/>
      </c>
    </row>
    <row r="2149">
      <c r="A2149" s="30" t="n"/>
      <c r="E2149" s="31" t="n"/>
      <c r="J2149" s="32" t="n"/>
      <c r="K2149" s="32" t="n"/>
      <c r="L2149" s="32" t="n"/>
      <c r="M2149" s="32" t="n"/>
      <c r="N2149" s="32" t="n"/>
      <c r="O2149" s="32" t="n"/>
      <c r="P2149" s="32" t="n"/>
      <c r="Q2149" s="32" t="n"/>
      <c r="U2149" s="31">
        <f>IF($A2149="","",SUM(X2149:AE2149))</f>
        <v/>
      </c>
      <c r="V2149" s="31">
        <f>IF($A2149="","",IF($H2149&lt;&gt;"Ausgabe",0,-$E2149-$U2149))</f>
        <v/>
      </c>
      <c r="W2149" s="33">
        <f>IF($A2149="","",DATE(YEAR($A2149),MONTH($A2149),1))</f>
        <v/>
      </c>
      <c r="X2149" s="34">
        <f>IF(OR($A2149="",$H2149&lt;&gt;"Ausgabe",J2149=""),0,IF(J2149="x",-$E2149/(COUNTIF($J2149:$Q2149,"x")+1),-$E2149*N(J2149)))</f>
        <v/>
      </c>
      <c r="Y2149" s="34">
        <f>IF(OR($A2149="",$H2149&lt;&gt;"Ausgabe",K2149=""),0,IF(K2149="x",-$E2149/(COUNTIF($J2149:$Q2149,"x")+1),-$E2149*N(K2149)))</f>
        <v/>
      </c>
      <c r="Z2149" s="34">
        <f>IF(OR($A2149="",$H2149&lt;&gt;"Ausgabe",L2149=""),0,IF(L2149="x",-$E2149/(COUNTIF($J2149:$Q2149,"x")+1),-$E2149*N(L2149)))</f>
        <v/>
      </c>
      <c r="AA2149" s="34">
        <f>IF(OR($A2149="",$H2149&lt;&gt;"Ausgabe",M2149=""),0,IF(M2149="x",-$E2149/(COUNTIF($J2149:$Q2149,"x")+1),-$E2149*N(M2149)))</f>
        <v/>
      </c>
      <c r="AB2149" s="34">
        <f>IF(OR($A2149="",$H2149&lt;&gt;"Ausgabe",N2149=""),0,IF(N2149="x",-$E2149/(COUNTIF($J2149:$Q2149,"x")+1),-$E2149*N(N2149)))</f>
        <v/>
      </c>
      <c r="AC2149" s="34">
        <f>IF(OR($A2149="",$H2149&lt;&gt;"Ausgabe",O2149=""),0,IF(O2149="x",-$E2149/(COUNTIF($J2149:$Q2149,"x")+1),-$E2149*N(O2149)))</f>
        <v/>
      </c>
      <c r="AD2149" s="34">
        <f>IF(OR($A2149="",$H2149&lt;&gt;"Ausgabe",P2149=""),0,IF(P2149="x",-$E2149/(COUNTIF($J2149:$Q2149,"x")+1),-$E2149*N(P2149)))</f>
        <v/>
      </c>
      <c r="AE2149" s="34">
        <f>IF(OR($A2149="",$H2149&lt;&gt;"Ausgabe",Q2149=""),0,IF(Q2149="x",-$E2149/(COUNTIF($J2149:$Q2149,"x")+1),-$E2149*N(Q2149)))</f>
        <v/>
      </c>
    </row>
    <row r="2150">
      <c r="A2150" s="30" t="n"/>
      <c r="E2150" s="31" t="n"/>
      <c r="J2150" s="32" t="n"/>
      <c r="K2150" s="32" t="n"/>
      <c r="L2150" s="32" t="n"/>
      <c r="M2150" s="32" t="n"/>
      <c r="N2150" s="32" t="n"/>
      <c r="O2150" s="32" t="n"/>
      <c r="P2150" s="32" t="n"/>
      <c r="Q2150" s="32" t="n"/>
      <c r="U2150" s="31">
        <f>IF($A2150="","",SUM(X2150:AE2150))</f>
        <v/>
      </c>
      <c r="V2150" s="31">
        <f>IF($A2150="","",IF($H2150&lt;&gt;"Ausgabe",0,-$E2150-$U2150))</f>
        <v/>
      </c>
      <c r="W2150" s="33">
        <f>IF($A2150="","",DATE(YEAR($A2150),MONTH($A2150),1))</f>
        <v/>
      </c>
      <c r="X2150" s="34">
        <f>IF(OR($A2150="",$H2150&lt;&gt;"Ausgabe",J2150=""),0,IF(J2150="x",-$E2150/(COUNTIF($J2150:$Q2150,"x")+1),-$E2150*N(J2150)))</f>
        <v/>
      </c>
      <c r="Y2150" s="34">
        <f>IF(OR($A2150="",$H2150&lt;&gt;"Ausgabe",K2150=""),0,IF(K2150="x",-$E2150/(COUNTIF($J2150:$Q2150,"x")+1),-$E2150*N(K2150)))</f>
        <v/>
      </c>
      <c r="Z2150" s="34">
        <f>IF(OR($A2150="",$H2150&lt;&gt;"Ausgabe",L2150=""),0,IF(L2150="x",-$E2150/(COUNTIF($J2150:$Q2150,"x")+1),-$E2150*N(L2150)))</f>
        <v/>
      </c>
      <c r="AA2150" s="34">
        <f>IF(OR($A2150="",$H2150&lt;&gt;"Ausgabe",M2150=""),0,IF(M2150="x",-$E2150/(COUNTIF($J2150:$Q2150,"x")+1),-$E2150*N(M2150)))</f>
        <v/>
      </c>
      <c r="AB2150" s="34">
        <f>IF(OR($A2150="",$H2150&lt;&gt;"Ausgabe",N2150=""),0,IF(N2150="x",-$E2150/(COUNTIF($J2150:$Q2150,"x")+1),-$E2150*N(N2150)))</f>
        <v/>
      </c>
      <c r="AC2150" s="34">
        <f>IF(OR($A2150="",$H2150&lt;&gt;"Ausgabe",O2150=""),0,IF(O2150="x",-$E2150/(COUNTIF($J2150:$Q2150,"x")+1),-$E2150*N(O2150)))</f>
        <v/>
      </c>
      <c r="AD2150" s="34">
        <f>IF(OR($A2150="",$H2150&lt;&gt;"Ausgabe",P2150=""),0,IF(P2150="x",-$E2150/(COUNTIF($J2150:$Q2150,"x")+1),-$E2150*N(P2150)))</f>
        <v/>
      </c>
      <c r="AE2150" s="34">
        <f>IF(OR($A2150="",$H2150&lt;&gt;"Ausgabe",Q2150=""),0,IF(Q2150="x",-$E2150/(COUNTIF($J2150:$Q2150,"x")+1),-$E2150*N(Q2150)))</f>
        <v/>
      </c>
    </row>
    <row r="2151">
      <c r="A2151" s="30" t="n"/>
      <c r="E2151" s="31" t="n"/>
      <c r="J2151" s="32" t="n"/>
      <c r="K2151" s="32" t="n"/>
      <c r="L2151" s="32" t="n"/>
      <c r="M2151" s="32" t="n"/>
      <c r="N2151" s="32" t="n"/>
      <c r="O2151" s="32" t="n"/>
      <c r="P2151" s="32" t="n"/>
      <c r="Q2151" s="32" t="n"/>
      <c r="U2151" s="31">
        <f>IF($A2151="","",SUM(X2151:AE2151))</f>
        <v/>
      </c>
      <c r="V2151" s="31">
        <f>IF($A2151="","",IF($H2151&lt;&gt;"Ausgabe",0,-$E2151-$U2151))</f>
        <v/>
      </c>
      <c r="W2151" s="33">
        <f>IF($A2151="","",DATE(YEAR($A2151),MONTH($A2151),1))</f>
        <v/>
      </c>
      <c r="X2151" s="34">
        <f>IF(OR($A2151="",$H2151&lt;&gt;"Ausgabe",J2151=""),0,IF(J2151="x",-$E2151/(COUNTIF($J2151:$Q2151,"x")+1),-$E2151*N(J2151)))</f>
        <v/>
      </c>
      <c r="Y2151" s="34">
        <f>IF(OR($A2151="",$H2151&lt;&gt;"Ausgabe",K2151=""),0,IF(K2151="x",-$E2151/(COUNTIF($J2151:$Q2151,"x")+1),-$E2151*N(K2151)))</f>
        <v/>
      </c>
      <c r="Z2151" s="34">
        <f>IF(OR($A2151="",$H2151&lt;&gt;"Ausgabe",L2151=""),0,IF(L2151="x",-$E2151/(COUNTIF($J2151:$Q2151,"x")+1),-$E2151*N(L2151)))</f>
        <v/>
      </c>
      <c r="AA2151" s="34">
        <f>IF(OR($A2151="",$H2151&lt;&gt;"Ausgabe",M2151=""),0,IF(M2151="x",-$E2151/(COUNTIF($J2151:$Q2151,"x")+1),-$E2151*N(M2151)))</f>
        <v/>
      </c>
      <c r="AB2151" s="34">
        <f>IF(OR($A2151="",$H2151&lt;&gt;"Ausgabe",N2151=""),0,IF(N2151="x",-$E2151/(COUNTIF($J2151:$Q2151,"x")+1),-$E2151*N(N2151)))</f>
        <v/>
      </c>
      <c r="AC2151" s="34">
        <f>IF(OR($A2151="",$H2151&lt;&gt;"Ausgabe",O2151=""),0,IF(O2151="x",-$E2151/(COUNTIF($J2151:$Q2151,"x")+1),-$E2151*N(O2151)))</f>
        <v/>
      </c>
      <c r="AD2151" s="34">
        <f>IF(OR($A2151="",$H2151&lt;&gt;"Ausgabe",P2151=""),0,IF(P2151="x",-$E2151/(COUNTIF($J2151:$Q2151,"x")+1),-$E2151*N(P2151)))</f>
        <v/>
      </c>
      <c r="AE2151" s="34">
        <f>IF(OR($A2151="",$H2151&lt;&gt;"Ausgabe",Q2151=""),0,IF(Q2151="x",-$E2151/(COUNTIF($J2151:$Q2151,"x")+1),-$E2151*N(Q2151)))</f>
        <v/>
      </c>
    </row>
    <row r="2152">
      <c r="A2152" s="30" t="n"/>
      <c r="E2152" s="31" t="n"/>
      <c r="J2152" s="32" t="n"/>
      <c r="K2152" s="32" t="n"/>
      <c r="L2152" s="32" t="n"/>
      <c r="M2152" s="32" t="n"/>
      <c r="N2152" s="32" t="n"/>
      <c r="O2152" s="32" t="n"/>
      <c r="P2152" s="32" t="n"/>
      <c r="Q2152" s="32" t="n"/>
      <c r="U2152" s="31">
        <f>IF($A2152="","",SUM(X2152:AE2152))</f>
        <v/>
      </c>
      <c r="V2152" s="31">
        <f>IF($A2152="","",IF($H2152&lt;&gt;"Ausgabe",0,-$E2152-$U2152))</f>
        <v/>
      </c>
      <c r="W2152" s="33">
        <f>IF($A2152="","",DATE(YEAR($A2152),MONTH($A2152),1))</f>
        <v/>
      </c>
      <c r="X2152" s="34">
        <f>IF(OR($A2152="",$H2152&lt;&gt;"Ausgabe",J2152=""),0,IF(J2152="x",-$E2152/(COUNTIF($J2152:$Q2152,"x")+1),-$E2152*N(J2152)))</f>
        <v/>
      </c>
      <c r="Y2152" s="34">
        <f>IF(OR($A2152="",$H2152&lt;&gt;"Ausgabe",K2152=""),0,IF(K2152="x",-$E2152/(COUNTIF($J2152:$Q2152,"x")+1),-$E2152*N(K2152)))</f>
        <v/>
      </c>
      <c r="Z2152" s="34">
        <f>IF(OR($A2152="",$H2152&lt;&gt;"Ausgabe",L2152=""),0,IF(L2152="x",-$E2152/(COUNTIF($J2152:$Q2152,"x")+1),-$E2152*N(L2152)))</f>
        <v/>
      </c>
      <c r="AA2152" s="34">
        <f>IF(OR($A2152="",$H2152&lt;&gt;"Ausgabe",M2152=""),0,IF(M2152="x",-$E2152/(COUNTIF($J2152:$Q2152,"x")+1),-$E2152*N(M2152)))</f>
        <v/>
      </c>
      <c r="AB2152" s="34">
        <f>IF(OR($A2152="",$H2152&lt;&gt;"Ausgabe",N2152=""),0,IF(N2152="x",-$E2152/(COUNTIF($J2152:$Q2152,"x")+1),-$E2152*N(N2152)))</f>
        <v/>
      </c>
      <c r="AC2152" s="34">
        <f>IF(OR($A2152="",$H2152&lt;&gt;"Ausgabe",O2152=""),0,IF(O2152="x",-$E2152/(COUNTIF($J2152:$Q2152,"x")+1),-$E2152*N(O2152)))</f>
        <v/>
      </c>
      <c r="AD2152" s="34">
        <f>IF(OR($A2152="",$H2152&lt;&gt;"Ausgabe",P2152=""),0,IF(P2152="x",-$E2152/(COUNTIF($J2152:$Q2152,"x")+1),-$E2152*N(P2152)))</f>
        <v/>
      </c>
      <c r="AE2152" s="34">
        <f>IF(OR($A2152="",$H2152&lt;&gt;"Ausgabe",Q2152=""),0,IF(Q2152="x",-$E2152/(COUNTIF($J2152:$Q2152,"x")+1),-$E2152*N(Q2152)))</f>
        <v/>
      </c>
    </row>
    <row r="2153">
      <c r="A2153" s="30" t="n"/>
      <c r="E2153" s="31" t="n"/>
      <c r="J2153" s="32" t="n"/>
      <c r="K2153" s="32" t="n"/>
      <c r="L2153" s="32" t="n"/>
      <c r="M2153" s="32" t="n"/>
      <c r="N2153" s="32" t="n"/>
      <c r="O2153" s="32" t="n"/>
      <c r="P2153" s="32" t="n"/>
      <c r="Q2153" s="32" t="n"/>
      <c r="U2153" s="31">
        <f>IF($A2153="","",SUM(X2153:AE2153))</f>
        <v/>
      </c>
      <c r="V2153" s="31">
        <f>IF($A2153="","",IF($H2153&lt;&gt;"Ausgabe",0,-$E2153-$U2153))</f>
        <v/>
      </c>
      <c r="W2153" s="33">
        <f>IF($A2153="","",DATE(YEAR($A2153),MONTH($A2153),1))</f>
        <v/>
      </c>
      <c r="X2153" s="34">
        <f>IF(OR($A2153="",$H2153&lt;&gt;"Ausgabe",J2153=""),0,IF(J2153="x",-$E2153/(COUNTIF($J2153:$Q2153,"x")+1),-$E2153*N(J2153)))</f>
        <v/>
      </c>
      <c r="Y2153" s="34">
        <f>IF(OR($A2153="",$H2153&lt;&gt;"Ausgabe",K2153=""),0,IF(K2153="x",-$E2153/(COUNTIF($J2153:$Q2153,"x")+1),-$E2153*N(K2153)))</f>
        <v/>
      </c>
      <c r="Z2153" s="34">
        <f>IF(OR($A2153="",$H2153&lt;&gt;"Ausgabe",L2153=""),0,IF(L2153="x",-$E2153/(COUNTIF($J2153:$Q2153,"x")+1),-$E2153*N(L2153)))</f>
        <v/>
      </c>
      <c r="AA2153" s="34">
        <f>IF(OR($A2153="",$H2153&lt;&gt;"Ausgabe",M2153=""),0,IF(M2153="x",-$E2153/(COUNTIF($J2153:$Q2153,"x")+1),-$E2153*N(M2153)))</f>
        <v/>
      </c>
      <c r="AB2153" s="34">
        <f>IF(OR($A2153="",$H2153&lt;&gt;"Ausgabe",N2153=""),0,IF(N2153="x",-$E2153/(COUNTIF($J2153:$Q2153,"x")+1),-$E2153*N(N2153)))</f>
        <v/>
      </c>
      <c r="AC2153" s="34">
        <f>IF(OR($A2153="",$H2153&lt;&gt;"Ausgabe",O2153=""),0,IF(O2153="x",-$E2153/(COUNTIF($J2153:$Q2153,"x")+1),-$E2153*N(O2153)))</f>
        <v/>
      </c>
      <c r="AD2153" s="34">
        <f>IF(OR($A2153="",$H2153&lt;&gt;"Ausgabe",P2153=""),0,IF(P2153="x",-$E2153/(COUNTIF($J2153:$Q2153,"x")+1),-$E2153*N(P2153)))</f>
        <v/>
      </c>
      <c r="AE2153" s="34">
        <f>IF(OR($A2153="",$H2153&lt;&gt;"Ausgabe",Q2153=""),0,IF(Q2153="x",-$E2153/(COUNTIF($J2153:$Q2153,"x")+1),-$E2153*N(Q2153)))</f>
        <v/>
      </c>
    </row>
    <row r="2154">
      <c r="A2154" s="30" t="n"/>
      <c r="E2154" s="31" t="n"/>
      <c r="J2154" s="32" t="n"/>
      <c r="K2154" s="32" t="n"/>
      <c r="L2154" s="32" t="n"/>
      <c r="M2154" s="32" t="n"/>
      <c r="N2154" s="32" t="n"/>
      <c r="O2154" s="32" t="n"/>
      <c r="P2154" s="32" t="n"/>
      <c r="Q2154" s="32" t="n"/>
      <c r="U2154" s="31">
        <f>IF($A2154="","",SUM(X2154:AE2154))</f>
        <v/>
      </c>
      <c r="V2154" s="31">
        <f>IF($A2154="","",IF($H2154&lt;&gt;"Ausgabe",0,-$E2154-$U2154))</f>
        <v/>
      </c>
      <c r="W2154" s="33">
        <f>IF($A2154="","",DATE(YEAR($A2154),MONTH($A2154),1))</f>
        <v/>
      </c>
      <c r="X2154" s="34">
        <f>IF(OR($A2154="",$H2154&lt;&gt;"Ausgabe",J2154=""),0,IF(J2154="x",-$E2154/(COUNTIF($J2154:$Q2154,"x")+1),-$E2154*N(J2154)))</f>
        <v/>
      </c>
      <c r="Y2154" s="34">
        <f>IF(OR($A2154="",$H2154&lt;&gt;"Ausgabe",K2154=""),0,IF(K2154="x",-$E2154/(COUNTIF($J2154:$Q2154,"x")+1),-$E2154*N(K2154)))</f>
        <v/>
      </c>
      <c r="Z2154" s="34">
        <f>IF(OR($A2154="",$H2154&lt;&gt;"Ausgabe",L2154=""),0,IF(L2154="x",-$E2154/(COUNTIF($J2154:$Q2154,"x")+1),-$E2154*N(L2154)))</f>
        <v/>
      </c>
      <c r="AA2154" s="34">
        <f>IF(OR($A2154="",$H2154&lt;&gt;"Ausgabe",M2154=""),0,IF(M2154="x",-$E2154/(COUNTIF($J2154:$Q2154,"x")+1),-$E2154*N(M2154)))</f>
        <v/>
      </c>
      <c r="AB2154" s="34">
        <f>IF(OR($A2154="",$H2154&lt;&gt;"Ausgabe",N2154=""),0,IF(N2154="x",-$E2154/(COUNTIF($J2154:$Q2154,"x")+1),-$E2154*N(N2154)))</f>
        <v/>
      </c>
      <c r="AC2154" s="34">
        <f>IF(OR($A2154="",$H2154&lt;&gt;"Ausgabe",O2154=""),0,IF(O2154="x",-$E2154/(COUNTIF($J2154:$Q2154,"x")+1),-$E2154*N(O2154)))</f>
        <v/>
      </c>
      <c r="AD2154" s="34">
        <f>IF(OR($A2154="",$H2154&lt;&gt;"Ausgabe",P2154=""),0,IF(P2154="x",-$E2154/(COUNTIF($J2154:$Q2154,"x")+1),-$E2154*N(P2154)))</f>
        <v/>
      </c>
      <c r="AE2154" s="34">
        <f>IF(OR($A2154="",$H2154&lt;&gt;"Ausgabe",Q2154=""),0,IF(Q2154="x",-$E2154/(COUNTIF($J2154:$Q2154,"x")+1),-$E2154*N(Q2154)))</f>
        <v/>
      </c>
    </row>
    <row r="2155">
      <c r="A2155" s="30" t="n"/>
      <c r="E2155" s="31" t="n"/>
      <c r="J2155" s="32" t="n"/>
      <c r="K2155" s="32" t="n"/>
      <c r="L2155" s="32" t="n"/>
      <c r="M2155" s="32" t="n"/>
      <c r="N2155" s="32" t="n"/>
      <c r="O2155" s="32" t="n"/>
      <c r="P2155" s="32" t="n"/>
      <c r="Q2155" s="32" t="n"/>
      <c r="U2155" s="31">
        <f>IF($A2155="","",SUM(X2155:AE2155))</f>
        <v/>
      </c>
      <c r="V2155" s="31">
        <f>IF($A2155="","",IF($H2155&lt;&gt;"Ausgabe",0,-$E2155-$U2155))</f>
        <v/>
      </c>
      <c r="W2155" s="33">
        <f>IF($A2155="","",DATE(YEAR($A2155),MONTH($A2155),1))</f>
        <v/>
      </c>
      <c r="X2155" s="34">
        <f>IF(OR($A2155="",$H2155&lt;&gt;"Ausgabe",J2155=""),0,IF(J2155="x",-$E2155/(COUNTIF($J2155:$Q2155,"x")+1),-$E2155*N(J2155)))</f>
        <v/>
      </c>
      <c r="Y2155" s="34">
        <f>IF(OR($A2155="",$H2155&lt;&gt;"Ausgabe",K2155=""),0,IF(K2155="x",-$E2155/(COUNTIF($J2155:$Q2155,"x")+1),-$E2155*N(K2155)))</f>
        <v/>
      </c>
      <c r="Z2155" s="34">
        <f>IF(OR($A2155="",$H2155&lt;&gt;"Ausgabe",L2155=""),0,IF(L2155="x",-$E2155/(COUNTIF($J2155:$Q2155,"x")+1),-$E2155*N(L2155)))</f>
        <v/>
      </c>
      <c r="AA2155" s="34">
        <f>IF(OR($A2155="",$H2155&lt;&gt;"Ausgabe",M2155=""),0,IF(M2155="x",-$E2155/(COUNTIF($J2155:$Q2155,"x")+1),-$E2155*N(M2155)))</f>
        <v/>
      </c>
      <c r="AB2155" s="34">
        <f>IF(OR($A2155="",$H2155&lt;&gt;"Ausgabe",N2155=""),0,IF(N2155="x",-$E2155/(COUNTIF($J2155:$Q2155,"x")+1),-$E2155*N(N2155)))</f>
        <v/>
      </c>
      <c r="AC2155" s="34">
        <f>IF(OR($A2155="",$H2155&lt;&gt;"Ausgabe",O2155=""),0,IF(O2155="x",-$E2155/(COUNTIF($J2155:$Q2155,"x")+1),-$E2155*N(O2155)))</f>
        <v/>
      </c>
      <c r="AD2155" s="34">
        <f>IF(OR($A2155="",$H2155&lt;&gt;"Ausgabe",P2155=""),0,IF(P2155="x",-$E2155/(COUNTIF($J2155:$Q2155,"x")+1),-$E2155*N(P2155)))</f>
        <v/>
      </c>
      <c r="AE2155" s="34">
        <f>IF(OR($A2155="",$H2155&lt;&gt;"Ausgabe",Q2155=""),0,IF(Q2155="x",-$E2155/(COUNTIF($J2155:$Q2155,"x")+1),-$E2155*N(Q2155)))</f>
        <v/>
      </c>
    </row>
    <row r="2156">
      <c r="A2156" s="30" t="n"/>
      <c r="E2156" s="31" t="n"/>
      <c r="J2156" s="32" t="n"/>
      <c r="K2156" s="32" t="n"/>
      <c r="L2156" s="32" t="n"/>
      <c r="M2156" s="32" t="n"/>
      <c r="N2156" s="32" t="n"/>
      <c r="O2156" s="32" t="n"/>
      <c r="P2156" s="32" t="n"/>
      <c r="Q2156" s="32" t="n"/>
      <c r="U2156" s="31">
        <f>IF($A2156="","",SUM(X2156:AE2156))</f>
        <v/>
      </c>
      <c r="V2156" s="31">
        <f>IF($A2156="","",IF($H2156&lt;&gt;"Ausgabe",0,-$E2156-$U2156))</f>
        <v/>
      </c>
      <c r="W2156" s="33">
        <f>IF($A2156="","",DATE(YEAR($A2156),MONTH($A2156),1))</f>
        <v/>
      </c>
      <c r="X2156" s="34">
        <f>IF(OR($A2156="",$H2156&lt;&gt;"Ausgabe",J2156=""),0,IF(J2156="x",-$E2156/(COUNTIF($J2156:$Q2156,"x")+1),-$E2156*N(J2156)))</f>
        <v/>
      </c>
      <c r="Y2156" s="34">
        <f>IF(OR($A2156="",$H2156&lt;&gt;"Ausgabe",K2156=""),0,IF(K2156="x",-$E2156/(COUNTIF($J2156:$Q2156,"x")+1),-$E2156*N(K2156)))</f>
        <v/>
      </c>
      <c r="Z2156" s="34">
        <f>IF(OR($A2156="",$H2156&lt;&gt;"Ausgabe",L2156=""),0,IF(L2156="x",-$E2156/(COUNTIF($J2156:$Q2156,"x")+1),-$E2156*N(L2156)))</f>
        <v/>
      </c>
      <c r="AA2156" s="34">
        <f>IF(OR($A2156="",$H2156&lt;&gt;"Ausgabe",M2156=""),0,IF(M2156="x",-$E2156/(COUNTIF($J2156:$Q2156,"x")+1),-$E2156*N(M2156)))</f>
        <v/>
      </c>
      <c r="AB2156" s="34">
        <f>IF(OR($A2156="",$H2156&lt;&gt;"Ausgabe",N2156=""),0,IF(N2156="x",-$E2156/(COUNTIF($J2156:$Q2156,"x")+1),-$E2156*N(N2156)))</f>
        <v/>
      </c>
      <c r="AC2156" s="34">
        <f>IF(OR($A2156="",$H2156&lt;&gt;"Ausgabe",O2156=""),0,IF(O2156="x",-$E2156/(COUNTIF($J2156:$Q2156,"x")+1),-$E2156*N(O2156)))</f>
        <v/>
      </c>
      <c r="AD2156" s="34">
        <f>IF(OR($A2156="",$H2156&lt;&gt;"Ausgabe",P2156=""),0,IF(P2156="x",-$E2156/(COUNTIF($J2156:$Q2156,"x")+1),-$E2156*N(P2156)))</f>
        <v/>
      </c>
      <c r="AE2156" s="34">
        <f>IF(OR($A2156="",$H2156&lt;&gt;"Ausgabe",Q2156=""),0,IF(Q2156="x",-$E2156/(COUNTIF($J2156:$Q2156,"x")+1),-$E2156*N(Q2156)))</f>
        <v/>
      </c>
    </row>
    <row r="2157">
      <c r="A2157" s="30" t="n"/>
      <c r="E2157" s="31" t="n"/>
      <c r="J2157" s="32" t="n"/>
      <c r="K2157" s="32" t="n"/>
      <c r="L2157" s="32" t="n"/>
      <c r="M2157" s="32" t="n"/>
      <c r="N2157" s="32" t="n"/>
      <c r="O2157" s="32" t="n"/>
      <c r="P2157" s="32" t="n"/>
      <c r="Q2157" s="32" t="n"/>
      <c r="U2157" s="31">
        <f>IF($A2157="","",SUM(X2157:AE2157))</f>
        <v/>
      </c>
      <c r="V2157" s="31">
        <f>IF($A2157="","",IF($H2157&lt;&gt;"Ausgabe",0,-$E2157-$U2157))</f>
        <v/>
      </c>
      <c r="W2157" s="33">
        <f>IF($A2157="","",DATE(YEAR($A2157),MONTH($A2157),1))</f>
        <v/>
      </c>
      <c r="X2157" s="34">
        <f>IF(OR($A2157="",$H2157&lt;&gt;"Ausgabe",J2157=""),0,IF(J2157="x",-$E2157/(COUNTIF($J2157:$Q2157,"x")+1),-$E2157*N(J2157)))</f>
        <v/>
      </c>
      <c r="Y2157" s="34">
        <f>IF(OR($A2157="",$H2157&lt;&gt;"Ausgabe",K2157=""),0,IF(K2157="x",-$E2157/(COUNTIF($J2157:$Q2157,"x")+1),-$E2157*N(K2157)))</f>
        <v/>
      </c>
      <c r="Z2157" s="34">
        <f>IF(OR($A2157="",$H2157&lt;&gt;"Ausgabe",L2157=""),0,IF(L2157="x",-$E2157/(COUNTIF($J2157:$Q2157,"x")+1),-$E2157*N(L2157)))</f>
        <v/>
      </c>
      <c r="AA2157" s="34">
        <f>IF(OR($A2157="",$H2157&lt;&gt;"Ausgabe",M2157=""),0,IF(M2157="x",-$E2157/(COUNTIF($J2157:$Q2157,"x")+1),-$E2157*N(M2157)))</f>
        <v/>
      </c>
      <c r="AB2157" s="34">
        <f>IF(OR($A2157="",$H2157&lt;&gt;"Ausgabe",N2157=""),0,IF(N2157="x",-$E2157/(COUNTIF($J2157:$Q2157,"x")+1),-$E2157*N(N2157)))</f>
        <v/>
      </c>
      <c r="AC2157" s="34">
        <f>IF(OR($A2157="",$H2157&lt;&gt;"Ausgabe",O2157=""),0,IF(O2157="x",-$E2157/(COUNTIF($J2157:$Q2157,"x")+1),-$E2157*N(O2157)))</f>
        <v/>
      </c>
      <c r="AD2157" s="34">
        <f>IF(OR($A2157="",$H2157&lt;&gt;"Ausgabe",P2157=""),0,IF(P2157="x",-$E2157/(COUNTIF($J2157:$Q2157,"x")+1),-$E2157*N(P2157)))</f>
        <v/>
      </c>
      <c r="AE2157" s="34">
        <f>IF(OR($A2157="",$H2157&lt;&gt;"Ausgabe",Q2157=""),0,IF(Q2157="x",-$E2157/(COUNTIF($J2157:$Q2157,"x")+1),-$E2157*N(Q2157)))</f>
        <v/>
      </c>
    </row>
    <row r="2158">
      <c r="A2158" s="30" t="n"/>
      <c r="E2158" s="31" t="n"/>
      <c r="J2158" s="32" t="n"/>
      <c r="K2158" s="32" t="n"/>
      <c r="L2158" s="32" t="n"/>
      <c r="M2158" s="32" t="n"/>
      <c r="N2158" s="32" t="n"/>
      <c r="O2158" s="32" t="n"/>
      <c r="P2158" s="32" t="n"/>
      <c r="Q2158" s="32" t="n"/>
      <c r="U2158" s="31">
        <f>IF($A2158="","",SUM(X2158:AE2158))</f>
        <v/>
      </c>
      <c r="V2158" s="31">
        <f>IF($A2158="","",IF($H2158&lt;&gt;"Ausgabe",0,-$E2158-$U2158))</f>
        <v/>
      </c>
      <c r="W2158" s="33">
        <f>IF($A2158="","",DATE(YEAR($A2158),MONTH($A2158),1))</f>
        <v/>
      </c>
      <c r="X2158" s="34">
        <f>IF(OR($A2158="",$H2158&lt;&gt;"Ausgabe",J2158=""),0,IF(J2158="x",-$E2158/(COUNTIF($J2158:$Q2158,"x")+1),-$E2158*N(J2158)))</f>
        <v/>
      </c>
      <c r="Y2158" s="34">
        <f>IF(OR($A2158="",$H2158&lt;&gt;"Ausgabe",K2158=""),0,IF(K2158="x",-$E2158/(COUNTIF($J2158:$Q2158,"x")+1),-$E2158*N(K2158)))</f>
        <v/>
      </c>
      <c r="Z2158" s="34">
        <f>IF(OR($A2158="",$H2158&lt;&gt;"Ausgabe",L2158=""),0,IF(L2158="x",-$E2158/(COUNTIF($J2158:$Q2158,"x")+1),-$E2158*N(L2158)))</f>
        <v/>
      </c>
      <c r="AA2158" s="34">
        <f>IF(OR($A2158="",$H2158&lt;&gt;"Ausgabe",M2158=""),0,IF(M2158="x",-$E2158/(COUNTIF($J2158:$Q2158,"x")+1),-$E2158*N(M2158)))</f>
        <v/>
      </c>
      <c r="AB2158" s="34">
        <f>IF(OR($A2158="",$H2158&lt;&gt;"Ausgabe",N2158=""),0,IF(N2158="x",-$E2158/(COUNTIF($J2158:$Q2158,"x")+1),-$E2158*N(N2158)))</f>
        <v/>
      </c>
      <c r="AC2158" s="34">
        <f>IF(OR($A2158="",$H2158&lt;&gt;"Ausgabe",O2158=""),0,IF(O2158="x",-$E2158/(COUNTIF($J2158:$Q2158,"x")+1),-$E2158*N(O2158)))</f>
        <v/>
      </c>
      <c r="AD2158" s="34">
        <f>IF(OR($A2158="",$H2158&lt;&gt;"Ausgabe",P2158=""),0,IF(P2158="x",-$E2158/(COUNTIF($J2158:$Q2158,"x")+1),-$E2158*N(P2158)))</f>
        <v/>
      </c>
      <c r="AE2158" s="34">
        <f>IF(OR($A2158="",$H2158&lt;&gt;"Ausgabe",Q2158=""),0,IF(Q2158="x",-$E2158/(COUNTIF($J2158:$Q2158,"x")+1),-$E2158*N(Q2158)))</f>
        <v/>
      </c>
    </row>
    <row r="2159">
      <c r="A2159" s="30" t="n"/>
      <c r="E2159" s="31" t="n"/>
      <c r="J2159" s="32" t="n"/>
      <c r="K2159" s="32" t="n"/>
      <c r="L2159" s="32" t="n"/>
      <c r="M2159" s="32" t="n"/>
      <c r="N2159" s="32" t="n"/>
      <c r="O2159" s="32" t="n"/>
      <c r="P2159" s="32" t="n"/>
      <c r="Q2159" s="32" t="n"/>
      <c r="U2159" s="31">
        <f>IF($A2159="","",SUM(X2159:AE2159))</f>
        <v/>
      </c>
      <c r="V2159" s="31">
        <f>IF($A2159="","",IF($H2159&lt;&gt;"Ausgabe",0,-$E2159-$U2159))</f>
        <v/>
      </c>
      <c r="W2159" s="33">
        <f>IF($A2159="","",DATE(YEAR($A2159),MONTH($A2159),1))</f>
        <v/>
      </c>
      <c r="X2159" s="34">
        <f>IF(OR($A2159="",$H2159&lt;&gt;"Ausgabe",J2159=""),0,IF(J2159="x",-$E2159/(COUNTIF($J2159:$Q2159,"x")+1),-$E2159*N(J2159)))</f>
        <v/>
      </c>
      <c r="Y2159" s="34">
        <f>IF(OR($A2159="",$H2159&lt;&gt;"Ausgabe",K2159=""),0,IF(K2159="x",-$E2159/(COUNTIF($J2159:$Q2159,"x")+1),-$E2159*N(K2159)))</f>
        <v/>
      </c>
      <c r="Z2159" s="34">
        <f>IF(OR($A2159="",$H2159&lt;&gt;"Ausgabe",L2159=""),0,IF(L2159="x",-$E2159/(COUNTIF($J2159:$Q2159,"x")+1),-$E2159*N(L2159)))</f>
        <v/>
      </c>
      <c r="AA2159" s="34">
        <f>IF(OR($A2159="",$H2159&lt;&gt;"Ausgabe",M2159=""),0,IF(M2159="x",-$E2159/(COUNTIF($J2159:$Q2159,"x")+1),-$E2159*N(M2159)))</f>
        <v/>
      </c>
      <c r="AB2159" s="34">
        <f>IF(OR($A2159="",$H2159&lt;&gt;"Ausgabe",N2159=""),0,IF(N2159="x",-$E2159/(COUNTIF($J2159:$Q2159,"x")+1),-$E2159*N(N2159)))</f>
        <v/>
      </c>
      <c r="AC2159" s="34">
        <f>IF(OR($A2159="",$H2159&lt;&gt;"Ausgabe",O2159=""),0,IF(O2159="x",-$E2159/(COUNTIF($J2159:$Q2159,"x")+1),-$E2159*N(O2159)))</f>
        <v/>
      </c>
      <c r="AD2159" s="34">
        <f>IF(OR($A2159="",$H2159&lt;&gt;"Ausgabe",P2159=""),0,IF(P2159="x",-$E2159/(COUNTIF($J2159:$Q2159,"x")+1),-$E2159*N(P2159)))</f>
        <v/>
      </c>
      <c r="AE2159" s="34">
        <f>IF(OR($A2159="",$H2159&lt;&gt;"Ausgabe",Q2159=""),0,IF(Q2159="x",-$E2159/(COUNTIF($J2159:$Q2159,"x")+1),-$E2159*N(Q2159)))</f>
        <v/>
      </c>
    </row>
    <row r="2160">
      <c r="A2160" s="30" t="n"/>
      <c r="E2160" s="31" t="n"/>
      <c r="J2160" s="32" t="n"/>
      <c r="K2160" s="32" t="n"/>
      <c r="L2160" s="32" t="n"/>
      <c r="M2160" s="32" t="n"/>
      <c r="N2160" s="32" t="n"/>
      <c r="O2160" s="32" t="n"/>
      <c r="P2160" s="32" t="n"/>
      <c r="Q2160" s="32" t="n"/>
      <c r="U2160" s="31">
        <f>IF($A2160="","",SUM(X2160:AE2160))</f>
        <v/>
      </c>
      <c r="V2160" s="31">
        <f>IF($A2160="","",IF($H2160&lt;&gt;"Ausgabe",0,-$E2160-$U2160))</f>
        <v/>
      </c>
      <c r="W2160" s="33">
        <f>IF($A2160="","",DATE(YEAR($A2160),MONTH($A2160),1))</f>
        <v/>
      </c>
      <c r="X2160" s="34">
        <f>IF(OR($A2160="",$H2160&lt;&gt;"Ausgabe",J2160=""),0,IF(J2160="x",-$E2160/(COUNTIF($J2160:$Q2160,"x")+1),-$E2160*N(J2160)))</f>
        <v/>
      </c>
      <c r="Y2160" s="34">
        <f>IF(OR($A2160="",$H2160&lt;&gt;"Ausgabe",K2160=""),0,IF(K2160="x",-$E2160/(COUNTIF($J2160:$Q2160,"x")+1),-$E2160*N(K2160)))</f>
        <v/>
      </c>
      <c r="Z2160" s="34">
        <f>IF(OR($A2160="",$H2160&lt;&gt;"Ausgabe",L2160=""),0,IF(L2160="x",-$E2160/(COUNTIF($J2160:$Q2160,"x")+1),-$E2160*N(L2160)))</f>
        <v/>
      </c>
      <c r="AA2160" s="34">
        <f>IF(OR($A2160="",$H2160&lt;&gt;"Ausgabe",M2160=""),0,IF(M2160="x",-$E2160/(COUNTIF($J2160:$Q2160,"x")+1),-$E2160*N(M2160)))</f>
        <v/>
      </c>
      <c r="AB2160" s="34">
        <f>IF(OR($A2160="",$H2160&lt;&gt;"Ausgabe",N2160=""),0,IF(N2160="x",-$E2160/(COUNTIF($J2160:$Q2160,"x")+1),-$E2160*N(N2160)))</f>
        <v/>
      </c>
      <c r="AC2160" s="34">
        <f>IF(OR($A2160="",$H2160&lt;&gt;"Ausgabe",O2160=""),0,IF(O2160="x",-$E2160/(COUNTIF($J2160:$Q2160,"x")+1),-$E2160*N(O2160)))</f>
        <v/>
      </c>
      <c r="AD2160" s="34">
        <f>IF(OR($A2160="",$H2160&lt;&gt;"Ausgabe",P2160=""),0,IF(P2160="x",-$E2160/(COUNTIF($J2160:$Q2160,"x")+1),-$E2160*N(P2160)))</f>
        <v/>
      </c>
      <c r="AE2160" s="34">
        <f>IF(OR($A2160="",$H2160&lt;&gt;"Ausgabe",Q2160=""),0,IF(Q2160="x",-$E2160/(COUNTIF($J2160:$Q2160,"x")+1),-$E2160*N(Q2160)))</f>
        <v/>
      </c>
    </row>
    <row r="2161">
      <c r="A2161" s="30" t="n"/>
      <c r="E2161" s="31" t="n"/>
      <c r="J2161" s="32" t="n"/>
      <c r="K2161" s="32" t="n"/>
      <c r="L2161" s="32" t="n"/>
      <c r="M2161" s="32" t="n"/>
      <c r="N2161" s="32" t="n"/>
      <c r="O2161" s="32" t="n"/>
      <c r="P2161" s="32" t="n"/>
      <c r="Q2161" s="32" t="n"/>
      <c r="U2161" s="31">
        <f>IF($A2161="","",SUM(X2161:AE2161))</f>
        <v/>
      </c>
      <c r="V2161" s="31">
        <f>IF($A2161="","",IF($H2161&lt;&gt;"Ausgabe",0,-$E2161-$U2161))</f>
        <v/>
      </c>
      <c r="W2161" s="33">
        <f>IF($A2161="","",DATE(YEAR($A2161),MONTH($A2161),1))</f>
        <v/>
      </c>
      <c r="X2161" s="34">
        <f>IF(OR($A2161="",$H2161&lt;&gt;"Ausgabe",J2161=""),0,IF(J2161="x",-$E2161/(COUNTIF($J2161:$Q2161,"x")+1),-$E2161*N(J2161)))</f>
        <v/>
      </c>
      <c r="Y2161" s="34">
        <f>IF(OR($A2161="",$H2161&lt;&gt;"Ausgabe",K2161=""),0,IF(K2161="x",-$E2161/(COUNTIF($J2161:$Q2161,"x")+1),-$E2161*N(K2161)))</f>
        <v/>
      </c>
      <c r="Z2161" s="34">
        <f>IF(OR($A2161="",$H2161&lt;&gt;"Ausgabe",L2161=""),0,IF(L2161="x",-$E2161/(COUNTIF($J2161:$Q2161,"x")+1),-$E2161*N(L2161)))</f>
        <v/>
      </c>
      <c r="AA2161" s="34">
        <f>IF(OR($A2161="",$H2161&lt;&gt;"Ausgabe",M2161=""),0,IF(M2161="x",-$E2161/(COUNTIF($J2161:$Q2161,"x")+1),-$E2161*N(M2161)))</f>
        <v/>
      </c>
      <c r="AB2161" s="34">
        <f>IF(OR($A2161="",$H2161&lt;&gt;"Ausgabe",N2161=""),0,IF(N2161="x",-$E2161/(COUNTIF($J2161:$Q2161,"x")+1),-$E2161*N(N2161)))</f>
        <v/>
      </c>
      <c r="AC2161" s="34">
        <f>IF(OR($A2161="",$H2161&lt;&gt;"Ausgabe",O2161=""),0,IF(O2161="x",-$E2161/(COUNTIF($J2161:$Q2161,"x")+1),-$E2161*N(O2161)))</f>
        <v/>
      </c>
      <c r="AD2161" s="34">
        <f>IF(OR($A2161="",$H2161&lt;&gt;"Ausgabe",P2161=""),0,IF(P2161="x",-$E2161/(COUNTIF($J2161:$Q2161,"x")+1),-$E2161*N(P2161)))</f>
        <v/>
      </c>
      <c r="AE2161" s="34">
        <f>IF(OR($A2161="",$H2161&lt;&gt;"Ausgabe",Q2161=""),0,IF(Q2161="x",-$E2161/(COUNTIF($J2161:$Q2161,"x")+1),-$E2161*N(Q2161)))</f>
        <v/>
      </c>
    </row>
    <row r="2162">
      <c r="A2162" s="30" t="n"/>
      <c r="E2162" s="31" t="n"/>
      <c r="J2162" s="32" t="n"/>
      <c r="K2162" s="32" t="n"/>
      <c r="L2162" s="32" t="n"/>
      <c r="M2162" s="32" t="n"/>
      <c r="N2162" s="32" t="n"/>
      <c r="O2162" s="32" t="n"/>
      <c r="P2162" s="32" t="n"/>
      <c r="Q2162" s="32" t="n"/>
      <c r="U2162" s="31">
        <f>IF($A2162="","",SUM(X2162:AE2162))</f>
        <v/>
      </c>
      <c r="V2162" s="31">
        <f>IF($A2162="","",IF($H2162&lt;&gt;"Ausgabe",0,-$E2162-$U2162))</f>
        <v/>
      </c>
      <c r="W2162" s="33">
        <f>IF($A2162="","",DATE(YEAR($A2162),MONTH($A2162),1))</f>
        <v/>
      </c>
      <c r="X2162" s="34">
        <f>IF(OR($A2162="",$H2162&lt;&gt;"Ausgabe",J2162=""),0,IF(J2162="x",-$E2162/(COUNTIF($J2162:$Q2162,"x")+1),-$E2162*N(J2162)))</f>
        <v/>
      </c>
      <c r="Y2162" s="34">
        <f>IF(OR($A2162="",$H2162&lt;&gt;"Ausgabe",K2162=""),0,IF(K2162="x",-$E2162/(COUNTIF($J2162:$Q2162,"x")+1),-$E2162*N(K2162)))</f>
        <v/>
      </c>
      <c r="Z2162" s="34">
        <f>IF(OR($A2162="",$H2162&lt;&gt;"Ausgabe",L2162=""),0,IF(L2162="x",-$E2162/(COUNTIF($J2162:$Q2162,"x")+1),-$E2162*N(L2162)))</f>
        <v/>
      </c>
      <c r="AA2162" s="34">
        <f>IF(OR($A2162="",$H2162&lt;&gt;"Ausgabe",M2162=""),0,IF(M2162="x",-$E2162/(COUNTIF($J2162:$Q2162,"x")+1),-$E2162*N(M2162)))</f>
        <v/>
      </c>
      <c r="AB2162" s="34">
        <f>IF(OR($A2162="",$H2162&lt;&gt;"Ausgabe",N2162=""),0,IF(N2162="x",-$E2162/(COUNTIF($J2162:$Q2162,"x")+1),-$E2162*N(N2162)))</f>
        <v/>
      </c>
      <c r="AC2162" s="34">
        <f>IF(OR($A2162="",$H2162&lt;&gt;"Ausgabe",O2162=""),0,IF(O2162="x",-$E2162/(COUNTIF($J2162:$Q2162,"x")+1),-$E2162*N(O2162)))</f>
        <v/>
      </c>
      <c r="AD2162" s="34">
        <f>IF(OR($A2162="",$H2162&lt;&gt;"Ausgabe",P2162=""),0,IF(P2162="x",-$E2162/(COUNTIF($J2162:$Q2162,"x")+1),-$E2162*N(P2162)))</f>
        <v/>
      </c>
      <c r="AE2162" s="34">
        <f>IF(OR($A2162="",$H2162&lt;&gt;"Ausgabe",Q2162=""),0,IF(Q2162="x",-$E2162/(COUNTIF($J2162:$Q2162,"x")+1),-$E2162*N(Q2162)))</f>
        <v/>
      </c>
    </row>
    <row r="2163">
      <c r="A2163" s="30" t="n"/>
      <c r="E2163" s="31" t="n"/>
      <c r="J2163" s="32" t="n"/>
      <c r="K2163" s="32" t="n"/>
      <c r="L2163" s="32" t="n"/>
      <c r="M2163" s="32" t="n"/>
      <c r="N2163" s="32" t="n"/>
      <c r="O2163" s="32" t="n"/>
      <c r="P2163" s="32" t="n"/>
      <c r="Q2163" s="32" t="n"/>
      <c r="U2163" s="31">
        <f>IF($A2163="","",SUM(X2163:AE2163))</f>
        <v/>
      </c>
      <c r="V2163" s="31">
        <f>IF($A2163="","",IF($H2163&lt;&gt;"Ausgabe",0,-$E2163-$U2163))</f>
        <v/>
      </c>
      <c r="W2163" s="33">
        <f>IF($A2163="","",DATE(YEAR($A2163),MONTH($A2163),1))</f>
        <v/>
      </c>
      <c r="X2163" s="34">
        <f>IF(OR($A2163="",$H2163&lt;&gt;"Ausgabe",J2163=""),0,IF(J2163="x",-$E2163/(COUNTIF($J2163:$Q2163,"x")+1),-$E2163*N(J2163)))</f>
        <v/>
      </c>
      <c r="Y2163" s="34">
        <f>IF(OR($A2163="",$H2163&lt;&gt;"Ausgabe",K2163=""),0,IF(K2163="x",-$E2163/(COUNTIF($J2163:$Q2163,"x")+1),-$E2163*N(K2163)))</f>
        <v/>
      </c>
      <c r="Z2163" s="34">
        <f>IF(OR($A2163="",$H2163&lt;&gt;"Ausgabe",L2163=""),0,IF(L2163="x",-$E2163/(COUNTIF($J2163:$Q2163,"x")+1),-$E2163*N(L2163)))</f>
        <v/>
      </c>
      <c r="AA2163" s="34">
        <f>IF(OR($A2163="",$H2163&lt;&gt;"Ausgabe",M2163=""),0,IF(M2163="x",-$E2163/(COUNTIF($J2163:$Q2163,"x")+1),-$E2163*N(M2163)))</f>
        <v/>
      </c>
      <c r="AB2163" s="34">
        <f>IF(OR($A2163="",$H2163&lt;&gt;"Ausgabe",N2163=""),0,IF(N2163="x",-$E2163/(COUNTIF($J2163:$Q2163,"x")+1),-$E2163*N(N2163)))</f>
        <v/>
      </c>
      <c r="AC2163" s="34">
        <f>IF(OR($A2163="",$H2163&lt;&gt;"Ausgabe",O2163=""),0,IF(O2163="x",-$E2163/(COUNTIF($J2163:$Q2163,"x")+1),-$E2163*N(O2163)))</f>
        <v/>
      </c>
      <c r="AD2163" s="34">
        <f>IF(OR($A2163="",$H2163&lt;&gt;"Ausgabe",P2163=""),0,IF(P2163="x",-$E2163/(COUNTIF($J2163:$Q2163,"x")+1),-$E2163*N(P2163)))</f>
        <v/>
      </c>
      <c r="AE2163" s="34">
        <f>IF(OR($A2163="",$H2163&lt;&gt;"Ausgabe",Q2163=""),0,IF(Q2163="x",-$E2163/(COUNTIF($J2163:$Q2163,"x")+1),-$E2163*N(Q2163)))</f>
        <v/>
      </c>
    </row>
    <row r="2164">
      <c r="A2164" s="30" t="n"/>
      <c r="E2164" s="31" t="n"/>
      <c r="J2164" s="32" t="n"/>
      <c r="K2164" s="32" t="n"/>
      <c r="L2164" s="32" t="n"/>
      <c r="M2164" s="32" t="n"/>
      <c r="N2164" s="32" t="n"/>
      <c r="O2164" s="32" t="n"/>
      <c r="P2164" s="32" t="n"/>
      <c r="Q2164" s="32" t="n"/>
      <c r="U2164" s="31">
        <f>IF($A2164="","",SUM(X2164:AE2164))</f>
        <v/>
      </c>
      <c r="V2164" s="31">
        <f>IF($A2164="","",IF($H2164&lt;&gt;"Ausgabe",0,-$E2164-$U2164))</f>
        <v/>
      </c>
      <c r="W2164" s="33">
        <f>IF($A2164="","",DATE(YEAR($A2164),MONTH($A2164),1))</f>
        <v/>
      </c>
      <c r="X2164" s="34">
        <f>IF(OR($A2164="",$H2164&lt;&gt;"Ausgabe",J2164=""),0,IF(J2164="x",-$E2164/(COUNTIF($J2164:$Q2164,"x")+1),-$E2164*N(J2164)))</f>
        <v/>
      </c>
      <c r="Y2164" s="34">
        <f>IF(OR($A2164="",$H2164&lt;&gt;"Ausgabe",K2164=""),0,IF(K2164="x",-$E2164/(COUNTIF($J2164:$Q2164,"x")+1),-$E2164*N(K2164)))</f>
        <v/>
      </c>
      <c r="Z2164" s="34">
        <f>IF(OR($A2164="",$H2164&lt;&gt;"Ausgabe",L2164=""),0,IF(L2164="x",-$E2164/(COUNTIF($J2164:$Q2164,"x")+1),-$E2164*N(L2164)))</f>
        <v/>
      </c>
      <c r="AA2164" s="34">
        <f>IF(OR($A2164="",$H2164&lt;&gt;"Ausgabe",M2164=""),0,IF(M2164="x",-$E2164/(COUNTIF($J2164:$Q2164,"x")+1),-$E2164*N(M2164)))</f>
        <v/>
      </c>
      <c r="AB2164" s="34">
        <f>IF(OR($A2164="",$H2164&lt;&gt;"Ausgabe",N2164=""),0,IF(N2164="x",-$E2164/(COUNTIF($J2164:$Q2164,"x")+1),-$E2164*N(N2164)))</f>
        <v/>
      </c>
      <c r="AC2164" s="34">
        <f>IF(OR($A2164="",$H2164&lt;&gt;"Ausgabe",O2164=""),0,IF(O2164="x",-$E2164/(COUNTIF($J2164:$Q2164,"x")+1),-$E2164*N(O2164)))</f>
        <v/>
      </c>
      <c r="AD2164" s="34">
        <f>IF(OR($A2164="",$H2164&lt;&gt;"Ausgabe",P2164=""),0,IF(P2164="x",-$E2164/(COUNTIF($J2164:$Q2164,"x")+1),-$E2164*N(P2164)))</f>
        <v/>
      </c>
      <c r="AE2164" s="34">
        <f>IF(OR($A2164="",$H2164&lt;&gt;"Ausgabe",Q2164=""),0,IF(Q2164="x",-$E2164/(COUNTIF($J2164:$Q2164,"x")+1),-$E2164*N(Q2164)))</f>
        <v/>
      </c>
    </row>
    <row r="2165">
      <c r="A2165" s="30" t="n"/>
      <c r="E2165" s="31" t="n"/>
      <c r="J2165" s="32" t="n"/>
      <c r="K2165" s="32" t="n"/>
      <c r="L2165" s="32" t="n"/>
      <c r="M2165" s="32" t="n"/>
      <c r="N2165" s="32" t="n"/>
      <c r="O2165" s="32" t="n"/>
      <c r="P2165" s="32" t="n"/>
      <c r="Q2165" s="32" t="n"/>
      <c r="U2165" s="31">
        <f>IF($A2165="","",SUM(X2165:AE2165))</f>
        <v/>
      </c>
      <c r="V2165" s="31">
        <f>IF($A2165="","",IF($H2165&lt;&gt;"Ausgabe",0,-$E2165-$U2165))</f>
        <v/>
      </c>
      <c r="W2165" s="33">
        <f>IF($A2165="","",DATE(YEAR($A2165),MONTH($A2165),1))</f>
        <v/>
      </c>
      <c r="X2165" s="34">
        <f>IF(OR($A2165="",$H2165&lt;&gt;"Ausgabe",J2165=""),0,IF(J2165="x",-$E2165/(COUNTIF($J2165:$Q2165,"x")+1),-$E2165*N(J2165)))</f>
        <v/>
      </c>
      <c r="Y2165" s="34">
        <f>IF(OR($A2165="",$H2165&lt;&gt;"Ausgabe",K2165=""),0,IF(K2165="x",-$E2165/(COUNTIF($J2165:$Q2165,"x")+1),-$E2165*N(K2165)))</f>
        <v/>
      </c>
      <c r="Z2165" s="34">
        <f>IF(OR($A2165="",$H2165&lt;&gt;"Ausgabe",L2165=""),0,IF(L2165="x",-$E2165/(COUNTIF($J2165:$Q2165,"x")+1),-$E2165*N(L2165)))</f>
        <v/>
      </c>
      <c r="AA2165" s="34">
        <f>IF(OR($A2165="",$H2165&lt;&gt;"Ausgabe",M2165=""),0,IF(M2165="x",-$E2165/(COUNTIF($J2165:$Q2165,"x")+1),-$E2165*N(M2165)))</f>
        <v/>
      </c>
      <c r="AB2165" s="34">
        <f>IF(OR($A2165="",$H2165&lt;&gt;"Ausgabe",N2165=""),0,IF(N2165="x",-$E2165/(COUNTIF($J2165:$Q2165,"x")+1),-$E2165*N(N2165)))</f>
        <v/>
      </c>
      <c r="AC2165" s="34">
        <f>IF(OR($A2165="",$H2165&lt;&gt;"Ausgabe",O2165=""),0,IF(O2165="x",-$E2165/(COUNTIF($J2165:$Q2165,"x")+1),-$E2165*N(O2165)))</f>
        <v/>
      </c>
      <c r="AD2165" s="34">
        <f>IF(OR($A2165="",$H2165&lt;&gt;"Ausgabe",P2165=""),0,IF(P2165="x",-$E2165/(COUNTIF($J2165:$Q2165,"x")+1),-$E2165*N(P2165)))</f>
        <v/>
      </c>
      <c r="AE2165" s="34">
        <f>IF(OR($A2165="",$H2165&lt;&gt;"Ausgabe",Q2165=""),0,IF(Q2165="x",-$E2165/(COUNTIF($J2165:$Q2165,"x")+1),-$E2165*N(Q2165)))</f>
        <v/>
      </c>
    </row>
    <row r="2166">
      <c r="A2166" s="30" t="n"/>
      <c r="E2166" s="31" t="n"/>
      <c r="J2166" s="32" t="n"/>
      <c r="K2166" s="32" t="n"/>
      <c r="L2166" s="32" t="n"/>
      <c r="M2166" s="32" t="n"/>
      <c r="N2166" s="32" t="n"/>
      <c r="O2166" s="32" t="n"/>
      <c r="P2166" s="32" t="n"/>
      <c r="Q2166" s="32" t="n"/>
      <c r="U2166" s="31">
        <f>IF($A2166="","",SUM(X2166:AE2166))</f>
        <v/>
      </c>
      <c r="V2166" s="31">
        <f>IF($A2166="","",IF($H2166&lt;&gt;"Ausgabe",0,-$E2166-$U2166))</f>
        <v/>
      </c>
      <c r="W2166" s="33">
        <f>IF($A2166="","",DATE(YEAR($A2166),MONTH($A2166),1))</f>
        <v/>
      </c>
      <c r="X2166" s="34">
        <f>IF(OR($A2166="",$H2166&lt;&gt;"Ausgabe",J2166=""),0,IF(J2166="x",-$E2166/(COUNTIF($J2166:$Q2166,"x")+1),-$E2166*N(J2166)))</f>
        <v/>
      </c>
      <c r="Y2166" s="34">
        <f>IF(OR($A2166="",$H2166&lt;&gt;"Ausgabe",K2166=""),0,IF(K2166="x",-$E2166/(COUNTIF($J2166:$Q2166,"x")+1),-$E2166*N(K2166)))</f>
        <v/>
      </c>
      <c r="Z2166" s="34">
        <f>IF(OR($A2166="",$H2166&lt;&gt;"Ausgabe",L2166=""),0,IF(L2166="x",-$E2166/(COUNTIF($J2166:$Q2166,"x")+1),-$E2166*N(L2166)))</f>
        <v/>
      </c>
      <c r="AA2166" s="34">
        <f>IF(OR($A2166="",$H2166&lt;&gt;"Ausgabe",M2166=""),0,IF(M2166="x",-$E2166/(COUNTIF($J2166:$Q2166,"x")+1),-$E2166*N(M2166)))</f>
        <v/>
      </c>
      <c r="AB2166" s="34">
        <f>IF(OR($A2166="",$H2166&lt;&gt;"Ausgabe",N2166=""),0,IF(N2166="x",-$E2166/(COUNTIF($J2166:$Q2166,"x")+1),-$E2166*N(N2166)))</f>
        <v/>
      </c>
      <c r="AC2166" s="34">
        <f>IF(OR($A2166="",$H2166&lt;&gt;"Ausgabe",O2166=""),0,IF(O2166="x",-$E2166/(COUNTIF($J2166:$Q2166,"x")+1),-$E2166*N(O2166)))</f>
        <v/>
      </c>
      <c r="AD2166" s="34">
        <f>IF(OR($A2166="",$H2166&lt;&gt;"Ausgabe",P2166=""),0,IF(P2166="x",-$E2166/(COUNTIF($J2166:$Q2166,"x")+1),-$E2166*N(P2166)))</f>
        <v/>
      </c>
      <c r="AE2166" s="34">
        <f>IF(OR($A2166="",$H2166&lt;&gt;"Ausgabe",Q2166=""),0,IF(Q2166="x",-$E2166/(COUNTIF($J2166:$Q2166,"x")+1),-$E2166*N(Q2166)))</f>
        <v/>
      </c>
    </row>
    <row r="2167">
      <c r="A2167" s="30" t="n"/>
      <c r="E2167" s="31" t="n"/>
      <c r="J2167" s="32" t="n"/>
      <c r="K2167" s="32" t="n"/>
      <c r="L2167" s="32" t="n"/>
      <c r="M2167" s="32" t="n"/>
      <c r="N2167" s="32" t="n"/>
      <c r="O2167" s="32" t="n"/>
      <c r="P2167" s="32" t="n"/>
      <c r="Q2167" s="32" t="n"/>
      <c r="U2167" s="31">
        <f>IF($A2167="","",SUM(X2167:AE2167))</f>
        <v/>
      </c>
      <c r="V2167" s="31">
        <f>IF($A2167="","",IF($H2167&lt;&gt;"Ausgabe",0,-$E2167-$U2167))</f>
        <v/>
      </c>
      <c r="W2167" s="33">
        <f>IF($A2167="","",DATE(YEAR($A2167),MONTH($A2167),1))</f>
        <v/>
      </c>
      <c r="X2167" s="34">
        <f>IF(OR($A2167="",$H2167&lt;&gt;"Ausgabe",J2167=""),0,IF(J2167="x",-$E2167/(COUNTIF($J2167:$Q2167,"x")+1),-$E2167*N(J2167)))</f>
        <v/>
      </c>
      <c r="Y2167" s="34">
        <f>IF(OR($A2167="",$H2167&lt;&gt;"Ausgabe",K2167=""),0,IF(K2167="x",-$E2167/(COUNTIF($J2167:$Q2167,"x")+1),-$E2167*N(K2167)))</f>
        <v/>
      </c>
      <c r="Z2167" s="34">
        <f>IF(OR($A2167="",$H2167&lt;&gt;"Ausgabe",L2167=""),0,IF(L2167="x",-$E2167/(COUNTIF($J2167:$Q2167,"x")+1),-$E2167*N(L2167)))</f>
        <v/>
      </c>
      <c r="AA2167" s="34">
        <f>IF(OR($A2167="",$H2167&lt;&gt;"Ausgabe",M2167=""),0,IF(M2167="x",-$E2167/(COUNTIF($J2167:$Q2167,"x")+1),-$E2167*N(M2167)))</f>
        <v/>
      </c>
      <c r="AB2167" s="34">
        <f>IF(OR($A2167="",$H2167&lt;&gt;"Ausgabe",N2167=""),0,IF(N2167="x",-$E2167/(COUNTIF($J2167:$Q2167,"x")+1),-$E2167*N(N2167)))</f>
        <v/>
      </c>
      <c r="AC2167" s="34">
        <f>IF(OR($A2167="",$H2167&lt;&gt;"Ausgabe",O2167=""),0,IF(O2167="x",-$E2167/(COUNTIF($J2167:$Q2167,"x")+1),-$E2167*N(O2167)))</f>
        <v/>
      </c>
      <c r="AD2167" s="34">
        <f>IF(OR($A2167="",$H2167&lt;&gt;"Ausgabe",P2167=""),0,IF(P2167="x",-$E2167/(COUNTIF($J2167:$Q2167,"x")+1),-$E2167*N(P2167)))</f>
        <v/>
      </c>
      <c r="AE2167" s="34">
        <f>IF(OR($A2167="",$H2167&lt;&gt;"Ausgabe",Q2167=""),0,IF(Q2167="x",-$E2167/(COUNTIF($J2167:$Q2167,"x")+1),-$E2167*N(Q2167)))</f>
        <v/>
      </c>
    </row>
    <row r="2168">
      <c r="A2168" s="30" t="n"/>
      <c r="E2168" s="31" t="n"/>
      <c r="J2168" s="32" t="n"/>
      <c r="K2168" s="32" t="n"/>
      <c r="L2168" s="32" t="n"/>
      <c r="M2168" s="32" t="n"/>
      <c r="N2168" s="32" t="n"/>
      <c r="O2168" s="32" t="n"/>
      <c r="P2168" s="32" t="n"/>
      <c r="Q2168" s="32" t="n"/>
      <c r="U2168" s="31">
        <f>IF($A2168="","",SUM(X2168:AE2168))</f>
        <v/>
      </c>
      <c r="V2168" s="31">
        <f>IF($A2168="","",IF($H2168&lt;&gt;"Ausgabe",0,-$E2168-$U2168))</f>
        <v/>
      </c>
      <c r="W2168" s="33">
        <f>IF($A2168="","",DATE(YEAR($A2168),MONTH($A2168),1))</f>
        <v/>
      </c>
      <c r="X2168" s="34">
        <f>IF(OR($A2168="",$H2168&lt;&gt;"Ausgabe",J2168=""),0,IF(J2168="x",-$E2168/(COUNTIF($J2168:$Q2168,"x")+1),-$E2168*N(J2168)))</f>
        <v/>
      </c>
      <c r="Y2168" s="34">
        <f>IF(OR($A2168="",$H2168&lt;&gt;"Ausgabe",K2168=""),0,IF(K2168="x",-$E2168/(COUNTIF($J2168:$Q2168,"x")+1),-$E2168*N(K2168)))</f>
        <v/>
      </c>
      <c r="Z2168" s="34">
        <f>IF(OR($A2168="",$H2168&lt;&gt;"Ausgabe",L2168=""),0,IF(L2168="x",-$E2168/(COUNTIF($J2168:$Q2168,"x")+1),-$E2168*N(L2168)))</f>
        <v/>
      </c>
      <c r="AA2168" s="34">
        <f>IF(OR($A2168="",$H2168&lt;&gt;"Ausgabe",M2168=""),0,IF(M2168="x",-$E2168/(COUNTIF($J2168:$Q2168,"x")+1),-$E2168*N(M2168)))</f>
        <v/>
      </c>
      <c r="AB2168" s="34">
        <f>IF(OR($A2168="",$H2168&lt;&gt;"Ausgabe",N2168=""),0,IF(N2168="x",-$E2168/(COUNTIF($J2168:$Q2168,"x")+1),-$E2168*N(N2168)))</f>
        <v/>
      </c>
      <c r="AC2168" s="34">
        <f>IF(OR($A2168="",$H2168&lt;&gt;"Ausgabe",O2168=""),0,IF(O2168="x",-$E2168/(COUNTIF($J2168:$Q2168,"x")+1),-$E2168*N(O2168)))</f>
        <v/>
      </c>
      <c r="AD2168" s="34">
        <f>IF(OR($A2168="",$H2168&lt;&gt;"Ausgabe",P2168=""),0,IF(P2168="x",-$E2168/(COUNTIF($J2168:$Q2168,"x")+1),-$E2168*N(P2168)))</f>
        <v/>
      </c>
      <c r="AE2168" s="34">
        <f>IF(OR($A2168="",$H2168&lt;&gt;"Ausgabe",Q2168=""),0,IF(Q2168="x",-$E2168/(COUNTIF($J2168:$Q2168,"x")+1),-$E2168*N(Q2168)))</f>
        <v/>
      </c>
    </row>
    <row r="2169">
      <c r="A2169" s="30" t="n"/>
      <c r="E2169" s="31" t="n"/>
      <c r="J2169" s="32" t="n"/>
      <c r="K2169" s="32" t="n"/>
      <c r="L2169" s="32" t="n"/>
      <c r="M2169" s="32" t="n"/>
      <c r="N2169" s="32" t="n"/>
      <c r="O2169" s="32" t="n"/>
      <c r="P2169" s="32" t="n"/>
      <c r="Q2169" s="32" t="n"/>
      <c r="U2169" s="31">
        <f>IF($A2169="","",SUM(X2169:AE2169))</f>
        <v/>
      </c>
      <c r="V2169" s="31">
        <f>IF($A2169="","",IF($H2169&lt;&gt;"Ausgabe",0,-$E2169-$U2169))</f>
        <v/>
      </c>
      <c r="W2169" s="33">
        <f>IF($A2169="","",DATE(YEAR($A2169),MONTH($A2169),1))</f>
        <v/>
      </c>
      <c r="X2169" s="34">
        <f>IF(OR($A2169="",$H2169&lt;&gt;"Ausgabe",J2169=""),0,IF(J2169="x",-$E2169/(COUNTIF($J2169:$Q2169,"x")+1),-$E2169*N(J2169)))</f>
        <v/>
      </c>
      <c r="Y2169" s="34">
        <f>IF(OR($A2169="",$H2169&lt;&gt;"Ausgabe",K2169=""),0,IF(K2169="x",-$E2169/(COUNTIF($J2169:$Q2169,"x")+1),-$E2169*N(K2169)))</f>
        <v/>
      </c>
      <c r="Z2169" s="34">
        <f>IF(OR($A2169="",$H2169&lt;&gt;"Ausgabe",L2169=""),0,IF(L2169="x",-$E2169/(COUNTIF($J2169:$Q2169,"x")+1),-$E2169*N(L2169)))</f>
        <v/>
      </c>
      <c r="AA2169" s="34">
        <f>IF(OR($A2169="",$H2169&lt;&gt;"Ausgabe",M2169=""),0,IF(M2169="x",-$E2169/(COUNTIF($J2169:$Q2169,"x")+1),-$E2169*N(M2169)))</f>
        <v/>
      </c>
      <c r="AB2169" s="34">
        <f>IF(OR($A2169="",$H2169&lt;&gt;"Ausgabe",N2169=""),0,IF(N2169="x",-$E2169/(COUNTIF($J2169:$Q2169,"x")+1),-$E2169*N(N2169)))</f>
        <v/>
      </c>
      <c r="AC2169" s="34">
        <f>IF(OR($A2169="",$H2169&lt;&gt;"Ausgabe",O2169=""),0,IF(O2169="x",-$E2169/(COUNTIF($J2169:$Q2169,"x")+1),-$E2169*N(O2169)))</f>
        <v/>
      </c>
      <c r="AD2169" s="34">
        <f>IF(OR($A2169="",$H2169&lt;&gt;"Ausgabe",P2169=""),0,IF(P2169="x",-$E2169/(COUNTIF($J2169:$Q2169,"x")+1),-$E2169*N(P2169)))</f>
        <v/>
      </c>
      <c r="AE2169" s="34">
        <f>IF(OR($A2169="",$H2169&lt;&gt;"Ausgabe",Q2169=""),0,IF(Q2169="x",-$E2169/(COUNTIF($J2169:$Q2169,"x")+1),-$E2169*N(Q2169)))</f>
        <v/>
      </c>
    </row>
    <row r="2170">
      <c r="A2170" s="30" t="n"/>
      <c r="E2170" s="31" t="n"/>
      <c r="J2170" s="32" t="n"/>
      <c r="K2170" s="32" t="n"/>
      <c r="L2170" s="32" t="n"/>
      <c r="M2170" s="32" t="n"/>
      <c r="N2170" s="32" t="n"/>
      <c r="O2170" s="32" t="n"/>
      <c r="P2170" s="32" t="n"/>
      <c r="Q2170" s="32" t="n"/>
      <c r="U2170" s="31">
        <f>IF($A2170="","",SUM(X2170:AE2170))</f>
        <v/>
      </c>
      <c r="V2170" s="31">
        <f>IF($A2170="","",IF($H2170&lt;&gt;"Ausgabe",0,-$E2170-$U2170))</f>
        <v/>
      </c>
      <c r="W2170" s="33">
        <f>IF($A2170="","",DATE(YEAR($A2170),MONTH($A2170),1))</f>
        <v/>
      </c>
      <c r="X2170" s="34">
        <f>IF(OR($A2170="",$H2170&lt;&gt;"Ausgabe",J2170=""),0,IF(J2170="x",-$E2170/(COUNTIF($J2170:$Q2170,"x")+1),-$E2170*N(J2170)))</f>
        <v/>
      </c>
      <c r="Y2170" s="34">
        <f>IF(OR($A2170="",$H2170&lt;&gt;"Ausgabe",K2170=""),0,IF(K2170="x",-$E2170/(COUNTIF($J2170:$Q2170,"x")+1),-$E2170*N(K2170)))</f>
        <v/>
      </c>
      <c r="Z2170" s="34">
        <f>IF(OR($A2170="",$H2170&lt;&gt;"Ausgabe",L2170=""),0,IF(L2170="x",-$E2170/(COUNTIF($J2170:$Q2170,"x")+1),-$E2170*N(L2170)))</f>
        <v/>
      </c>
      <c r="AA2170" s="34">
        <f>IF(OR($A2170="",$H2170&lt;&gt;"Ausgabe",M2170=""),0,IF(M2170="x",-$E2170/(COUNTIF($J2170:$Q2170,"x")+1),-$E2170*N(M2170)))</f>
        <v/>
      </c>
      <c r="AB2170" s="34">
        <f>IF(OR($A2170="",$H2170&lt;&gt;"Ausgabe",N2170=""),0,IF(N2170="x",-$E2170/(COUNTIF($J2170:$Q2170,"x")+1),-$E2170*N(N2170)))</f>
        <v/>
      </c>
      <c r="AC2170" s="34">
        <f>IF(OR($A2170="",$H2170&lt;&gt;"Ausgabe",O2170=""),0,IF(O2170="x",-$E2170/(COUNTIF($J2170:$Q2170,"x")+1),-$E2170*N(O2170)))</f>
        <v/>
      </c>
      <c r="AD2170" s="34">
        <f>IF(OR($A2170="",$H2170&lt;&gt;"Ausgabe",P2170=""),0,IF(P2170="x",-$E2170/(COUNTIF($J2170:$Q2170,"x")+1),-$E2170*N(P2170)))</f>
        <v/>
      </c>
      <c r="AE2170" s="34">
        <f>IF(OR($A2170="",$H2170&lt;&gt;"Ausgabe",Q2170=""),0,IF(Q2170="x",-$E2170/(COUNTIF($J2170:$Q2170,"x")+1),-$E2170*N(Q2170)))</f>
        <v/>
      </c>
    </row>
    <row r="2171">
      <c r="A2171" s="30" t="n"/>
      <c r="E2171" s="31" t="n"/>
      <c r="J2171" s="32" t="n"/>
      <c r="K2171" s="32" t="n"/>
      <c r="L2171" s="32" t="n"/>
      <c r="M2171" s="32" t="n"/>
      <c r="N2171" s="32" t="n"/>
      <c r="O2171" s="32" t="n"/>
      <c r="P2171" s="32" t="n"/>
      <c r="Q2171" s="32" t="n"/>
      <c r="U2171" s="31">
        <f>IF($A2171="","",SUM(X2171:AE2171))</f>
        <v/>
      </c>
      <c r="V2171" s="31">
        <f>IF($A2171="","",IF($H2171&lt;&gt;"Ausgabe",0,-$E2171-$U2171))</f>
        <v/>
      </c>
      <c r="W2171" s="33">
        <f>IF($A2171="","",DATE(YEAR($A2171),MONTH($A2171),1))</f>
        <v/>
      </c>
      <c r="X2171" s="34">
        <f>IF(OR($A2171="",$H2171&lt;&gt;"Ausgabe",J2171=""),0,IF(J2171="x",-$E2171/(COUNTIF($J2171:$Q2171,"x")+1),-$E2171*N(J2171)))</f>
        <v/>
      </c>
      <c r="Y2171" s="34">
        <f>IF(OR($A2171="",$H2171&lt;&gt;"Ausgabe",K2171=""),0,IF(K2171="x",-$E2171/(COUNTIF($J2171:$Q2171,"x")+1),-$E2171*N(K2171)))</f>
        <v/>
      </c>
      <c r="Z2171" s="34">
        <f>IF(OR($A2171="",$H2171&lt;&gt;"Ausgabe",L2171=""),0,IF(L2171="x",-$E2171/(COUNTIF($J2171:$Q2171,"x")+1),-$E2171*N(L2171)))</f>
        <v/>
      </c>
      <c r="AA2171" s="34">
        <f>IF(OR($A2171="",$H2171&lt;&gt;"Ausgabe",M2171=""),0,IF(M2171="x",-$E2171/(COUNTIF($J2171:$Q2171,"x")+1),-$E2171*N(M2171)))</f>
        <v/>
      </c>
      <c r="AB2171" s="34">
        <f>IF(OR($A2171="",$H2171&lt;&gt;"Ausgabe",N2171=""),0,IF(N2171="x",-$E2171/(COUNTIF($J2171:$Q2171,"x")+1),-$E2171*N(N2171)))</f>
        <v/>
      </c>
      <c r="AC2171" s="34">
        <f>IF(OR($A2171="",$H2171&lt;&gt;"Ausgabe",O2171=""),0,IF(O2171="x",-$E2171/(COUNTIF($J2171:$Q2171,"x")+1),-$E2171*N(O2171)))</f>
        <v/>
      </c>
      <c r="AD2171" s="34">
        <f>IF(OR($A2171="",$H2171&lt;&gt;"Ausgabe",P2171=""),0,IF(P2171="x",-$E2171/(COUNTIF($J2171:$Q2171,"x")+1),-$E2171*N(P2171)))</f>
        <v/>
      </c>
      <c r="AE2171" s="34">
        <f>IF(OR($A2171="",$H2171&lt;&gt;"Ausgabe",Q2171=""),0,IF(Q2171="x",-$E2171/(COUNTIF($J2171:$Q2171,"x")+1),-$E2171*N(Q2171)))</f>
        <v/>
      </c>
    </row>
    <row r="2172">
      <c r="A2172" s="30" t="n"/>
      <c r="E2172" s="31" t="n"/>
      <c r="J2172" s="32" t="n"/>
      <c r="K2172" s="32" t="n"/>
      <c r="L2172" s="32" t="n"/>
      <c r="M2172" s="32" t="n"/>
      <c r="N2172" s="32" t="n"/>
      <c r="O2172" s="32" t="n"/>
      <c r="P2172" s="32" t="n"/>
      <c r="Q2172" s="32" t="n"/>
      <c r="U2172" s="31">
        <f>IF($A2172="","",SUM(X2172:AE2172))</f>
        <v/>
      </c>
      <c r="V2172" s="31">
        <f>IF($A2172="","",IF($H2172&lt;&gt;"Ausgabe",0,-$E2172-$U2172))</f>
        <v/>
      </c>
      <c r="W2172" s="33">
        <f>IF($A2172="","",DATE(YEAR($A2172),MONTH($A2172),1))</f>
        <v/>
      </c>
      <c r="X2172" s="34">
        <f>IF(OR($A2172="",$H2172&lt;&gt;"Ausgabe",J2172=""),0,IF(J2172="x",-$E2172/(COUNTIF($J2172:$Q2172,"x")+1),-$E2172*N(J2172)))</f>
        <v/>
      </c>
      <c r="Y2172" s="34">
        <f>IF(OR($A2172="",$H2172&lt;&gt;"Ausgabe",K2172=""),0,IF(K2172="x",-$E2172/(COUNTIF($J2172:$Q2172,"x")+1),-$E2172*N(K2172)))</f>
        <v/>
      </c>
      <c r="Z2172" s="34">
        <f>IF(OR($A2172="",$H2172&lt;&gt;"Ausgabe",L2172=""),0,IF(L2172="x",-$E2172/(COUNTIF($J2172:$Q2172,"x")+1),-$E2172*N(L2172)))</f>
        <v/>
      </c>
      <c r="AA2172" s="34">
        <f>IF(OR($A2172="",$H2172&lt;&gt;"Ausgabe",M2172=""),0,IF(M2172="x",-$E2172/(COUNTIF($J2172:$Q2172,"x")+1),-$E2172*N(M2172)))</f>
        <v/>
      </c>
      <c r="AB2172" s="34">
        <f>IF(OR($A2172="",$H2172&lt;&gt;"Ausgabe",N2172=""),0,IF(N2172="x",-$E2172/(COUNTIF($J2172:$Q2172,"x")+1),-$E2172*N(N2172)))</f>
        <v/>
      </c>
      <c r="AC2172" s="34">
        <f>IF(OR($A2172="",$H2172&lt;&gt;"Ausgabe",O2172=""),0,IF(O2172="x",-$E2172/(COUNTIF($J2172:$Q2172,"x")+1),-$E2172*N(O2172)))</f>
        <v/>
      </c>
      <c r="AD2172" s="34">
        <f>IF(OR($A2172="",$H2172&lt;&gt;"Ausgabe",P2172=""),0,IF(P2172="x",-$E2172/(COUNTIF($J2172:$Q2172,"x")+1),-$E2172*N(P2172)))</f>
        <v/>
      </c>
      <c r="AE2172" s="34">
        <f>IF(OR($A2172="",$H2172&lt;&gt;"Ausgabe",Q2172=""),0,IF(Q2172="x",-$E2172/(COUNTIF($J2172:$Q2172,"x")+1),-$E2172*N(Q2172)))</f>
        <v/>
      </c>
    </row>
    <row r="2173">
      <c r="A2173" s="30" t="n"/>
      <c r="E2173" s="31" t="n"/>
      <c r="J2173" s="32" t="n"/>
      <c r="K2173" s="32" t="n"/>
      <c r="L2173" s="32" t="n"/>
      <c r="M2173" s="32" t="n"/>
      <c r="N2173" s="32" t="n"/>
      <c r="O2173" s="32" t="n"/>
      <c r="P2173" s="32" t="n"/>
      <c r="Q2173" s="32" t="n"/>
      <c r="U2173" s="31">
        <f>IF($A2173="","",SUM(X2173:AE2173))</f>
        <v/>
      </c>
      <c r="V2173" s="31">
        <f>IF($A2173="","",IF($H2173&lt;&gt;"Ausgabe",0,-$E2173-$U2173))</f>
        <v/>
      </c>
      <c r="W2173" s="33">
        <f>IF($A2173="","",DATE(YEAR($A2173),MONTH($A2173),1))</f>
        <v/>
      </c>
      <c r="X2173" s="34">
        <f>IF(OR($A2173="",$H2173&lt;&gt;"Ausgabe",J2173=""),0,IF(J2173="x",-$E2173/(COUNTIF($J2173:$Q2173,"x")+1),-$E2173*N(J2173)))</f>
        <v/>
      </c>
      <c r="Y2173" s="34">
        <f>IF(OR($A2173="",$H2173&lt;&gt;"Ausgabe",K2173=""),0,IF(K2173="x",-$E2173/(COUNTIF($J2173:$Q2173,"x")+1),-$E2173*N(K2173)))</f>
        <v/>
      </c>
      <c r="Z2173" s="34">
        <f>IF(OR($A2173="",$H2173&lt;&gt;"Ausgabe",L2173=""),0,IF(L2173="x",-$E2173/(COUNTIF($J2173:$Q2173,"x")+1),-$E2173*N(L2173)))</f>
        <v/>
      </c>
      <c r="AA2173" s="34">
        <f>IF(OR($A2173="",$H2173&lt;&gt;"Ausgabe",M2173=""),0,IF(M2173="x",-$E2173/(COUNTIF($J2173:$Q2173,"x")+1),-$E2173*N(M2173)))</f>
        <v/>
      </c>
      <c r="AB2173" s="34">
        <f>IF(OR($A2173="",$H2173&lt;&gt;"Ausgabe",N2173=""),0,IF(N2173="x",-$E2173/(COUNTIF($J2173:$Q2173,"x")+1),-$E2173*N(N2173)))</f>
        <v/>
      </c>
      <c r="AC2173" s="34">
        <f>IF(OR($A2173="",$H2173&lt;&gt;"Ausgabe",O2173=""),0,IF(O2173="x",-$E2173/(COUNTIF($J2173:$Q2173,"x")+1),-$E2173*N(O2173)))</f>
        <v/>
      </c>
      <c r="AD2173" s="34">
        <f>IF(OR($A2173="",$H2173&lt;&gt;"Ausgabe",P2173=""),0,IF(P2173="x",-$E2173/(COUNTIF($J2173:$Q2173,"x")+1),-$E2173*N(P2173)))</f>
        <v/>
      </c>
      <c r="AE2173" s="34">
        <f>IF(OR($A2173="",$H2173&lt;&gt;"Ausgabe",Q2173=""),0,IF(Q2173="x",-$E2173/(COUNTIF($J2173:$Q2173,"x")+1),-$E2173*N(Q2173)))</f>
        <v/>
      </c>
    </row>
    <row r="2174">
      <c r="A2174" s="30" t="n"/>
      <c r="E2174" s="31" t="n"/>
      <c r="J2174" s="32" t="n"/>
      <c r="K2174" s="32" t="n"/>
      <c r="L2174" s="32" t="n"/>
      <c r="M2174" s="32" t="n"/>
      <c r="N2174" s="32" t="n"/>
      <c r="O2174" s="32" t="n"/>
      <c r="P2174" s="32" t="n"/>
      <c r="Q2174" s="32" t="n"/>
      <c r="U2174" s="31">
        <f>IF($A2174="","",SUM(X2174:AE2174))</f>
        <v/>
      </c>
      <c r="V2174" s="31">
        <f>IF($A2174="","",IF($H2174&lt;&gt;"Ausgabe",0,-$E2174-$U2174))</f>
        <v/>
      </c>
      <c r="W2174" s="33">
        <f>IF($A2174="","",DATE(YEAR($A2174),MONTH($A2174),1))</f>
        <v/>
      </c>
      <c r="X2174" s="34">
        <f>IF(OR($A2174="",$H2174&lt;&gt;"Ausgabe",J2174=""),0,IF(J2174="x",-$E2174/(COUNTIF($J2174:$Q2174,"x")+1),-$E2174*N(J2174)))</f>
        <v/>
      </c>
      <c r="Y2174" s="34">
        <f>IF(OR($A2174="",$H2174&lt;&gt;"Ausgabe",K2174=""),0,IF(K2174="x",-$E2174/(COUNTIF($J2174:$Q2174,"x")+1),-$E2174*N(K2174)))</f>
        <v/>
      </c>
      <c r="Z2174" s="34">
        <f>IF(OR($A2174="",$H2174&lt;&gt;"Ausgabe",L2174=""),0,IF(L2174="x",-$E2174/(COUNTIF($J2174:$Q2174,"x")+1),-$E2174*N(L2174)))</f>
        <v/>
      </c>
      <c r="AA2174" s="34">
        <f>IF(OR($A2174="",$H2174&lt;&gt;"Ausgabe",M2174=""),0,IF(M2174="x",-$E2174/(COUNTIF($J2174:$Q2174,"x")+1),-$E2174*N(M2174)))</f>
        <v/>
      </c>
      <c r="AB2174" s="34">
        <f>IF(OR($A2174="",$H2174&lt;&gt;"Ausgabe",N2174=""),0,IF(N2174="x",-$E2174/(COUNTIF($J2174:$Q2174,"x")+1),-$E2174*N(N2174)))</f>
        <v/>
      </c>
      <c r="AC2174" s="34">
        <f>IF(OR($A2174="",$H2174&lt;&gt;"Ausgabe",O2174=""),0,IF(O2174="x",-$E2174/(COUNTIF($J2174:$Q2174,"x")+1),-$E2174*N(O2174)))</f>
        <v/>
      </c>
      <c r="AD2174" s="34">
        <f>IF(OR($A2174="",$H2174&lt;&gt;"Ausgabe",P2174=""),0,IF(P2174="x",-$E2174/(COUNTIF($J2174:$Q2174,"x")+1),-$E2174*N(P2174)))</f>
        <v/>
      </c>
      <c r="AE2174" s="34">
        <f>IF(OR($A2174="",$H2174&lt;&gt;"Ausgabe",Q2174=""),0,IF(Q2174="x",-$E2174/(COUNTIF($J2174:$Q2174,"x")+1),-$E2174*N(Q2174)))</f>
        <v/>
      </c>
    </row>
    <row r="2175">
      <c r="A2175" s="30" t="n"/>
      <c r="E2175" s="31" t="n"/>
      <c r="J2175" s="32" t="n"/>
      <c r="K2175" s="32" t="n"/>
      <c r="L2175" s="32" t="n"/>
      <c r="M2175" s="32" t="n"/>
      <c r="N2175" s="32" t="n"/>
      <c r="O2175" s="32" t="n"/>
      <c r="P2175" s="32" t="n"/>
      <c r="Q2175" s="32" t="n"/>
      <c r="U2175" s="31">
        <f>IF($A2175="","",SUM(X2175:AE2175))</f>
        <v/>
      </c>
      <c r="V2175" s="31">
        <f>IF($A2175="","",IF($H2175&lt;&gt;"Ausgabe",0,-$E2175-$U2175))</f>
        <v/>
      </c>
      <c r="W2175" s="33">
        <f>IF($A2175="","",DATE(YEAR($A2175),MONTH($A2175),1))</f>
        <v/>
      </c>
      <c r="X2175" s="34">
        <f>IF(OR($A2175="",$H2175&lt;&gt;"Ausgabe",J2175=""),0,IF(J2175="x",-$E2175/(COUNTIF($J2175:$Q2175,"x")+1),-$E2175*N(J2175)))</f>
        <v/>
      </c>
      <c r="Y2175" s="34">
        <f>IF(OR($A2175="",$H2175&lt;&gt;"Ausgabe",K2175=""),0,IF(K2175="x",-$E2175/(COUNTIF($J2175:$Q2175,"x")+1),-$E2175*N(K2175)))</f>
        <v/>
      </c>
      <c r="Z2175" s="34">
        <f>IF(OR($A2175="",$H2175&lt;&gt;"Ausgabe",L2175=""),0,IF(L2175="x",-$E2175/(COUNTIF($J2175:$Q2175,"x")+1),-$E2175*N(L2175)))</f>
        <v/>
      </c>
      <c r="AA2175" s="34">
        <f>IF(OR($A2175="",$H2175&lt;&gt;"Ausgabe",M2175=""),0,IF(M2175="x",-$E2175/(COUNTIF($J2175:$Q2175,"x")+1),-$E2175*N(M2175)))</f>
        <v/>
      </c>
      <c r="AB2175" s="34">
        <f>IF(OR($A2175="",$H2175&lt;&gt;"Ausgabe",N2175=""),0,IF(N2175="x",-$E2175/(COUNTIF($J2175:$Q2175,"x")+1),-$E2175*N(N2175)))</f>
        <v/>
      </c>
      <c r="AC2175" s="34">
        <f>IF(OR($A2175="",$H2175&lt;&gt;"Ausgabe",O2175=""),0,IF(O2175="x",-$E2175/(COUNTIF($J2175:$Q2175,"x")+1),-$E2175*N(O2175)))</f>
        <v/>
      </c>
      <c r="AD2175" s="34">
        <f>IF(OR($A2175="",$H2175&lt;&gt;"Ausgabe",P2175=""),0,IF(P2175="x",-$E2175/(COUNTIF($J2175:$Q2175,"x")+1),-$E2175*N(P2175)))</f>
        <v/>
      </c>
      <c r="AE2175" s="34">
        <f>IF(OR($A2175="",$H2175&lt;&gt;"Ausgabe",Q2175=""),0,IF(Q2175="x",-$E2175/(COUNTIF($J2175:$Q2175,"x")+1),-$E2175*N(Q2175)))</f>
        <v/>
      </c>
    </row>
    <row r="2176">
      <c r="A2176" s="30" t="n"/>
      <c r="E2176" s="31" t="n"/>
      <c r="J2176" s="32" t="n"/>
      <c r="K2176" s="32" t="n"/>
      <c r="L2176" s="32" t="n"/>
      <c r="M2176" s="32" t="n"/>
      <c r="N2176" s="32" t="n"/>
      <c r="O2176" s="32" t="n"/>
      <c r="P2176" s="32" t="n"/>
      <c r="Q2176" s="32" t="n"/>
      <c r="U2176" s="31">
        <f>IF($A2176="","",SUM(X2176:AE2176))</f>
        <v/>
      </c>
      <c r="V2176" s="31">
        <f>IF($A2176="","",IF($H2176&lt;&gt;"Ausgabe",0,-$E2176-$U2176))</f>
        <v/>
      </c>
      <c r="W2176" s="33">
        <f>IF($A2176="","",DATE(YEAR($A2176),MONTH($A2176),1))</f>
        <v/>
      </c>
      <c r="X2176" s="34">
        <f>IF(OR($A2176="",$H2176&lt;&gt;"Ausgabe",J2176=""),0,IF(J2176="x",-$E2176/(COUNTIF($J2176:$Q2176,"x")+1),-$E2176*N(J2176)))</f>
        <v/>
      </c>
      <c r="Y2176" s="34">
        <f>IF(OR($A2176="",$H2176&lt;&gt;"Ausgabe",K2176=""),0,IF(K2176="x",-$E2176/(COUNTIF($J2176:$Q2176,"x")+1),-$E2176*N(K2176)))</f>
        <v/>
      </c>
      <c r="Z2176" s="34">
        <f>IF(OR($A2176="",$H2176&lt;&gt;"Ausgabe",L2176=""),0,IF(L2176="x",-$E2176/(COUNTIF($J2176:$Q2176,"x")+1),-$E2176*N(L2176)))</f>
        <v/>
      </c>
      <c r="AA2176" s="34">
        <f>IF(OR($A2176="",$H2176&lt;&gt;"Ausgabe",M2176=""),0,IF(M2176="x",-$E2176/(COUNTIF($J2176:$Q2176,"x")+1),-$E2176*N(M2176)))</f>
        <v/>
      </c>
      <c r="AB2176" s="34">
        <f>IF(OR($A2176="",$H2176&lt;&gt;"Ausgabe",N2176=""),0,IF(N2176="x",-$E2176/(COUNTIF($J2176:$Q2176,"x")+1),-$E2176*N(N2176)))</f>
        <v/>
      </c>
      <c r="AC2176" s="34">
        <f>IF(OR($A2176="",$H2176&lt;&gt;"Ausgabe",O2176=""),0,IF(O2176="x",-$E2176/(COUNTIF($J2176:$Q2176,"x")+1),-$E2176*N(O2176)))</f>
        <v/>
      </c>
      <c r="AD2176" s="34">
        <f>IF(OR($A2176="",$H2176&lt;&gt;"Ausgabe",P2176=""),0,IF(P2176="x",-$E2176/(COUNTIF($J2176:$Q2176,"x")+1),-$E2176*N(P2176)))</f>
        <v/>
      </c>
      <c r="AE2176" s="34">
        <f>IF(OR($A2176="",$H2176&lt;&gt;"Ausgabe",Q2176=""),0,IF(Q2176="x",-$E2176/(COUNTIF($J2176:$Q2176,"x")+1),-$E2176*N(Q2176)))</f>
        <v/>
      </c>
    </row>
    <row r="2177">
      <c r="A2177" s="30" t="n"/>
      <c r="E2177" s="31" t="n"/>
      <c r="J2177" s="32" t="n"/>
      <c r="K2177" s="32" t="n"/>
      <c r="L2177" s="32" t="n"/>
      <c r="M2177" s="32" t="n"/>
      <c r="N2177" s="32" t="n"/>
      <c r="O2177" s="32" t="n"/>
      <c r="P2177" s="32" t="n"/>
      <c r="Q2177" s="32" t="n"/>
      <c r="U2177" s="31">
        <f>IF($A2177="","",SUM(X2177:AE2177))</f>
        <v/>
      </c>
      <c r="V2177" s="31">
        <f>IF($A2177="","",IF($H2177&lt;&gt;"Ausgabe",0,-$E2177-$U2177))</f>
        <v/>
      </c>
      <c r="W2177" s="33">
        <f>IF($A2177="","",DATE(YEAR($A2177),MONTH($A2177),1))</f>
        <v/>
      </c>
      <c r="X2177" s="34">
        <f>IF(OR($A2177="",$H2177&lt;&gt;"Ausgabe",J2177=""),0,IF(J2177="x",-$E2177/(COUNTIF($J2177:$Q2177,"x")+1),-$E2177*N(J2177)))</f>
        <v/>
      </c>
      <c r="Y2177" s="34">
        <f>IF(OR($A2177="",$H2177&lt;&gt;"Ausgabe",K2177=""),0,IF(K2177="x",-$E2177/(COUNTIF($J2177:$Q2177,"x")+1),-$E2177*N(K2177)))</f>
        <v/>
      </c>
      <c r="Z2177" s="34">
        <f>IF(OR($A2177="",$H2177&lt;&gt;"Ausgabe",L2177=""),0,IF(L2177="x",-$E2177/(COUNTIF($J2177:$Q2177,"x")+1),-$E2177*N(L2177)))</f>
        <v/>
      </c>
      <c r="AA2177" s="34">
        <f>IF(OR($A2177="",$H2177&lt;&gt;"Ausgabe",M2177=""),0,IF(M2177="x",-$E2177/(COUNTIF($J2177:$Q2177,"x")+1),-$E2177*N(M2177)))</f>
        <v/>
      </c>
      <c r="AB2177" s="34">
        <f>IF(OR($A2177="",$H2177&lt;&gt;"Ausgabe",N2177=""),0,IF(N2177="x",-$E2177/(COUNTIF($J2177:$Q2177,"x")+1),-$E2177*N(N2177)))</f>
        <v/>
      </c>
      <c r="AC2177" s="34">
        <f>IF(OR($A2177="",$H2177&lt;&gt;"Ausgabe",O2177=""),0,IF(O2177="x",-$E2177/(COUNTIF($J2177:$Q2177,"x")+1),-$E2177*N(O2177)))</f>
        <v/>
      </c>
      <c r="AD2177" s="34">
        <f>IF(OR($A2177="",$H2177&lt;&gt;"Ausgabe",P2177=""),0,IF(P2177="x",-$E2177/(COUNTIF($J2177:$Q2177,"x")+1),-$E2177*N(P2177)))</f>
        <v/>
      </c>
      <c r="AE2177" s="34">
        <f>IF(OR($A2177="",$H2177&lt;&gt;"Ausgabe",Q2177=""),0,IF(Q2177="x",-$E2177/(COUNTIF($J2177:$Q2177,"x")+1),-$E2177*N(Q2177)))</f>
        <v/>
      </c>
    </row>
    <row r="2178">
      <c r="A2178" s="30" t="n"/>
      <c r="E2178" s="31" t="n"/>
      <c r="J2178" s="32" t="n"/>
      <c r="K2178" s="32" t="n"/>
      <c r="L2178" s="32" t="n"/>
      <c r="M2178" s="32" t="n"/>
      <c r="N2178" s="32" t="n"/>
      <c r="O2178" s="32" t="n"/>
      <c r="P2178" s="32" t="n"/>
      <c r="Q2178" s="32" t="n"/>
      <c r="U2178" s="31">
        <f>IF($A2178="","",SUM(X2178:AE2178))</f>
        <v/>
      </c>
      <c r="V2178" s="31">
        <f>IF($A2178="","",IF($H2178&lt;&gt;"Ausgabe",0,-$E2178-$U2178))</f>
        <v/>
      </c>
      <c r="W2178" s="33">
        <f>IF($A2178="","",DATE(YEAR($A2178),MONTH($A2178),1))</f>
        <v/>
      </c>
      <c r="X2178" s="34">
        <f>IF(OR($A2178="",$H2178&lt;&gt;"Ausgabe",J2178=""),0,IF(J2178="x",-$E2178/(COUNTIF($J2178:$Q2178,"x")+1),-$E2178*N(J2178)))</f>
        <v/>
      </c>
      <c r="Y2178" s="34">
        <f>IF(OR($A2178="",$H2178&lt;&gt;"Ausgabe",K2178=""),0,IF(K2178="x",-$E2178/(COUNTIF($J2178:$Q2178,"x")+1),-$E2178*N(K2178)))</f>
        <v/>
      </c>
      <c r="Z2178" s="34">
        <f>IF(OR($A2178="",$H2178&lt;&gt;"Ausgabe",L2178=""),0,IF(L2178="x",-$E2178/(COUNTIF($J2178:$Q2178,"x")+1),-$E2178*N(L2178)))</f>
        <v/>
      </c>
      <c r="AA2178" s="34">
        <f>IF(OR($A2178="",$H2178&lt;&gt;"Ausgabe",M2178=""),0,IF(M2178="x",-$E2178/(COUNTIF($J2178:$Q2178,"x")+1),-$E2178*N(M2178)))</f>
        <v/>
      </c>
      <c r="AB2178" s="34">
        <f>IF(OR($A2178="",$H2178&lt;&gt;"Ausgabe",N2178=""),0,IF(N2178="x",-$E2178/(COUNTIF($J2178:$Q2178,"x")+1),-$E2178*N(N2178)))</f>
        <v/>
      </c>
      <c r="AC2178" s="34">
        <f>IF(OR($A2178="",$H2178&lt;&gt;"Ausgabe",O2178=""),0,IF(O2178="x",-$E2178/(COUNTIF($J2178:$Q2178,"x")+1),-$E2178*N(O2178)))</f>
        <v/>
      </c>
      <c r="AD2178" s="34">
        <f>IF(OR($A2178="",$H2178&lt;&gt;"Ausgabe",P2178=""),0,IF(P2178="x",-$E2178/(COUNTIF($J2178:$Q2178,"x")+1),-$E2178*N(P2178)))</f>
        <v/>
      </c>
      <c r="AE2178" s="34">
        <f>IF(OR($A2178="",$H2178&lt;&gt;"Ausgabe",Q2178=""),0,IF(Q2178="x",-$E2178/(COUNTIF($J2178:$Q2178,"x")+1),-$E2178*N(Q2178)))</f>
        <v/>
      </c>
    </row>
    <row r="2179">
      <c r="A2179" s="30" t="n"/>
      <c r="E2179" s="31" t="n"/>
      <c r="J2179" s="32" t="n"/>
      <c r="K2179" s="32" t="n"/>
      <c r="L2179" s="32" t="n"/>
      <c r="M2179" s="32" t="n"/>
      <c r="N2179" s="32" t="n"/>
      <c r="O2179" s="32" t="n"/>
      <c r="P2179" s="32" t="n"/>
      <c r="Q2179" s="32" t="n"/>
      <c r="U2179" s="31">
        <f>IF($A2179="","",SUM(X2179:AE2179))</f>
        <v/>
      </c>
      <c r="V2179" s="31">
        <f>IF($A2179="","",IF($H2179&lt;&gt;"Ausgabe",0,-$E2179-$U2179))</f>
        <v/>
      </c>
      <c r="W2179" s="33">
        <f>IF($A2179="","",DATE(YEAR($A2179),MONTH($A2179),1))</f>
        <v/>
      </c>
      <c r="X2179" s="34">
        <f>IF(OR($A2179="",$H2179&lt;&gt;"Ausgabe",J2179=""),0,IF(J2179="x",-$E2179/(COUNTIF($J2179:$Q2179,"x")+1),-$E2179*N(J2179)))</f>
        <v/>
      </c>
      <c r="Y2179" s="34">
        <f>IF(OR($A2179="",$H2179&lt;&gt;"Ausgabe",K2179=""),0,IF(K2179="x",-$E2179/(COUNTIF($J2179:$Q2179,"x")+1),-$E2179*N(K2179)))</f>
        <v/>
      </c>
      <c r="Z2179" s="34">
        <f>IF(OR($A2179="",$H2179&lt;&gt;"Ausgabe",L2179=""),0,IF(L2179="x",-$E2179/(COUNTIF($J2179:$Q2179,"x")+1),-$E2179*N(L2179)))</f>
        <v/>
      </c>
      <c r="AA2179" s="34">
        <f>IF(OR($A2179="",$H2179&lt;&gt;"Ausgabe",M2179=""),0,IF(M2179="x",-$E2179/(COUNTIF($J2179:$Q2179,"x")+1),-$E2179*N(M2179)))</f>
        <v/>
      </c>
      <c r="AB2179" s="34">
        <f>IF(OR($A2179="",$H2179&lt;&gt;"Ausgabe",N2179=""),0,IF(N2179="x",-$E2179/(COUNTIF($J2179:$Q2179,"x")+1),-$E2179*N(N2179)))</f>
        <v/>
      </c>
      <c r="AC2179" s="34">
        <f>IF(OR($A2179="",$H2179&lt;&gt;"Ausgabe",O2179=""),0,IF(O2179="x",-$E2179/(COUNTIF($J2179:$Q2179,"x")+1),-$E2179*N(O2179)))</f>
        <v/>
      </c>
      <c r="AD2179" s="34">
        <f>IF(OR($A2179="",$H2179&lt;&gt;"Ausgabe",P2179=""),0,IF(P2179="x",-$E2179/(COUNTIF($J2179:$Q2179,"x")+1),-$E2179*N(P2179)))</f>
        <v/>
      </c>
      <c r="AE2179" s="34">
        <f>IF(OR($A2179="",$H2179&lt;&gt;"Ausgabe",Q2179=""),0,IF(Q2179="x",-$E2179/(COUNTIF($J2179:$Q2179,"x")+1),-$E2179*N(Q2179)))</f>
        <v/>
      </c>
    </row>
    <row r="2180">
      <c r="A2180" s="30" t="n"/>
      <c r="E2180" s="31" t="n"/>
      <c r="J2180" s="32" t="n"/>
      <c r="K2180" s="32" t="n"/>
      <c r="L2180" s="32" t="n"/>
      <c r="M2180" s="32" t="n"/>
      <c r="N2180" s="32" t="n"/>
      <c r="O2180" s="32" t="n"/>
      <c r="P2180" s="32" t="n"/>
      <c r="Q2180" s="32" t="n"/>
      <c r="U2180" s="31">
        <f>IF($A2180="","",SUM(X2180:AE2180))</f>
        <v/>
      </c>
      <c r="V2180" s="31">
        <f>IF($A2180="","",IF($H2180&lt;&gt;"Ausgabe",0,-$E2180-$U2180))</f>
        <v/>
      </c>
      <c r="W2180" s="33">
        <f>IF($A2180="","",DATE(YEAR($A2180),MONTH($A2180),1))</f>
        <v/>
      </c>
      <c r="X2180" s="34">
        <f>IF(OR($A2180="",$H2180&lt;&gt;"Ausgabe",J2180=""),0,IF(J2180="x",-$E2180/(COUNTIF($J2180:$Q2180,"x")+1),-$E2180*N(J2180)))</f>
        <v/>
      </c>
      <c r="Y2180" s="34">
        <f>IF(OR($A2180="",$H2180&lt;&gt;"Ausgabe",K2180=""),0,IF(K2180="x",-$E2180/(COUNTIF($J2180:$Q2180,"x")+1),-$E2180*N(K2180)))</f>
        <v/>
      </c>
      <c r="Z2180" s="34">
        <f>IF(OR($A2180="",$H2180&lt;&gt;"Ausgabe",L2180=""),0,IF(L2180="x",-$E2180/(COUNTIF($J2180:$Q2180,"x")+1),-$E2180*N(L2180)))</f>
        <v/>
      </c>
      <c r="AA2180" s="34">
        <f>IF(OR($A2180="",$H2180&lt;&gt;"Ausgabe",M2180=""),0,IF(M2180="x",-$E2180/(COUNTIF($J2180:$Q2180,"x")+1),-$E2180*N(M2180)))</f>
        <v/>
      </c>
      <c r="AB2180" s="34">
        <f>IF(OR($A2180="",$H2180&lt;&gt;"Ausgabe",N2180=""),0,IF(N2180="x",-$E2180/(COUNTIF($J2180:$Q2180,"x")+1),-$E2180*N(N2180)))</f>
        <v/>
      </c>
      <c r="AC2180" s="34">
        <f>IF(OR($A2180="",$H2180&lt;&gt;"Ausgabe",O2180=""),0,IF(O2180="x",-$E2180/(COUNTIF($J2180:$Q2180,"x")+1),-$E2180*N(O2180)))</f>
        <v/>
      </c>
      <c r="AD2180" s="34">
        <f>IF(OR($A2180="",$H2180&lt;&gt;"Ausgabe",P2180=""),0,IF(P2180="x",-$E2180/(COUNTIF($J2180:$Q2180,"x")+1),-$E2180*N(P2180)))</f>
        <v/>
      </c>
      <c r="AE2180" s="34">
        <f>IF(OR($A2180="",$H2180&lt;&gt;"Ausgabe",Q2180=""),0,IF(Q2180="x",-$E2180/(COUNTIF($J2180:$Q2180,"x")+1),-$E2180*N(Q2180)))</f>
        <v/>
      </c>
    </row>
    <row r="2181">
      <c r="A2181" s="30" t="n"/>
      <c r="E2181" s="31" t="n"/>
      <c r="J2181" s="32" t="n"/>
      <c r="K2181" s="32" t="n"/>
      <c r="L2181" s="32" t="n"/>
      <c r="M2181" s="32" t="n"/>
      <c r="N2181" s="32" t="n"/>
      <c r="O2181" s="32" t="n"/>
      <c r="P2181" s="32" t="n"/>
      <c r="Q2181" s="32" t="n"/>
      <c r="U2181" s="31">
        <f>IF($A2181="","",SUM(X2181:AE2181))</f>
        <v/>
      </c>
      <c r="V2181" s="31">
        <f>IF($A2181="","",IF($H2181&lt;&gt;"Ausgabe",0,-$E2181-$U2181))</f>
        <v/>
      </c>
      <c r="W2181" s="33">
        <f>IF($A2181="","",DATE(YEAR($A2181),MONTH($A2181),1))</f>
        <v/>
      </c>
      <c r="X2181" s="34">
        <f>IF(OR($A2181="",$H2181&lt;&gt;"Ausgabe",J2181=""),0,IF(J2181="x",-$E2181/(COUNTIF($J2181:$Q2181,"x")+1),-$E2181*N(J2181)))</f>
        <v/>
      </c>
      <c r="Y2181" s="34">
        <f>IF(OR($A2181="",$H2181&lt;&gt;"Ausgabe",K2181=""),0,IF(K2181="x",-$E2181/(COUNTIF($J2181:$Q2181,"x")+1),-$E2181*N(K2181)))</f>
        <v/>
      </c>
      <c r="Z2181" s="34">
        <f>IF(OR($A2181="",$H2181&lt;&gt;"Ausgabe",L2181=""),0,IF(L2181="x",-$E2181/(COUNTIF($J2181:$Q2181,"x")+1),-$E2181*N(L2181)))</f>
        <v/>
      </c>
      <c r="AA2181" s="34">
        <f>IF(OR($A2181="",$H2181&lt;&gt;"Ausgabe",M2181=""),0,IF(M2181="x",-$E2181/(COUNTIF($J2181:$Q2181,"x")+1),-$E2181*N(M2181)))</f>
        <v/>
      </c>
      <c r="AB2181" s="34">
        <f>IF(OR($A2181="",$H2181&lt;&gt;"Ausgabe",N2181=""),0,IF(N2181="x",-$E2181/(COUNTIF($J2181:$Q2181,"x")+1),-$E2181*N(N2181)))</f>
        <v/>
      </c>
      <c r="AC2181" s="34">
        <f>IF(OR($A2181="",$H2181&lt;&gt;"Ausgabe",O2181=""),0,IF(O2181="x",-$E2181/(COUNTIF($J2181:$Q2181,"x")+1),-$E2181*N(O2181)))</f>
        <v/>
      </c>
      <c r="AD2181" s="34">
        <f>IF(OR($A2181="",$H2181&lt;&gt;"Ausgabe",P2181=""),0,IF(P2181="x",-$E2181/(COUNTIF($J2181:$Q2181,"x")+1),-$E2181*N(P2181)))</f>
        <v/>
      </c>
      <c r="AE2181" s="34">
        <f>IF(OR($A2181="",$H2181&lt;&gt;"Ausgabe",Q2181=""),0,IF(Q2181="x",-$E2181/(COUNTIF($J2181:$Q2181,"x")+1),-$E2181*N(Q2181)))</f>
        <v/>
      </c>
    </row>
    <row r="2182">
      <c r="A2182" s="30" t="n"/>
      <c r="E2182" s="31" t="n"/>
      <c r="J2182" s="32" t="n"/>
      <c r="K2182" s="32" t="n"/>
      <c r="L2182" s="32" t="n"/>
      <c r="M2182" s="32" t="n"/>
      <c r="N2182" s="32" t="n"/>
      <c r="O2182" s="32" t="n"/>
      <c r="P2182" s="32" t="n"/>
      <c r="Q2182" s="32" t="n"/>
      <c r="U2182" s="31">
        <f>IF($A2182="","",SUM(X2182:AE2182))</f>
        <v/>
      </c>
      <c r="V2182" s="31">
        <f>IF($A2182="","",IF($H2182&lt;&gt;"Ausgabe",0,-$E2182-$U2182))</f>
        <v/>
      </c>
      <c r="W2182" s="33">
        <f>IF($A2182="","",DATE(YEAR($A2182),MONTH($A2182),1))</f>
        <v/>
      </c>
      <c r="X2182" s="34">
        <f>IF(OR($A2182="",$H2182&lt;&gt;"Ausgabe",J2182=""),0,IF(J2182="x",-$E2182/(COUNTIF($J2182:$Q2182,"x")+1),-$E2182*N(J2182)))</f>
        <v/>
      </c>
      <c r="Y2182" s="34">
        <f>IF(OR($A2182="",$H2182&lt;&gt;"Ausgabe",K2182=""),0,IF(K2182="x",-$E2182/(COUNTIF($J2182:$Q2182,"x")+1),-$E2182*N(K2182)))</f>
        <v/>
      </c>
      <c r="Z2182" s="34">
        <f>IF(OR($A2182="",$H2182&lt;&gt;"Ausgabe",L2182=""),0,IF(L2182="x",-$E2182/(COUNTIF($J2182:$Q2182,"x")+1),-$E2182*N(L2182)))</f>
        <v/>
      </c>
      <c r="AA2182" s="34">
        <f>IF(OR($A2182="",$H2182&lt;&gt;"Ausgabe",M2182=""),0,IF(M2182="x",-$E2182/(COUNTIF($J2182:$Q2182,"x")+1),-$E2182*N(M2182)))</f>
        <v/>
      </c>
      <c r="AB2182" s="34">
        <f>IF(OR($A2182="",$H2182&lt;&gt;"Ausgabe",N2182=""),0,IF(N2182="x",-$E2182/(COUNTIF($J2182:$Q2182,"x")+1),-$E2182*N(N2182)))</f>
        <v/>
      </c>
      <c r="AC2182" s="34">
        <f>IF(OR($A2182="",$H2182&lt;&gt;"Ausgabe",O2182=""),0,IF(O2182="x",-$E2182/(COUNTIF($J2182:$Q2182,"x")+1),-$E2182*N(O2182)))</f>
        <v/>
      </c>
      <c r="AD2182" s="34">
        <f>IF(OR($A2182="",$H2182&lt;&gt;"Ausgabe",P2182=""),0,IF(P2182="x",-$E2182/(COUNTIF($J2182:$Q2182,"x")+1),-$E2182*N(P2182)))</f>
        <v/>
      </c>
      <c r="AE2182" s="34">
        <f>IF(OR($A2182="",$H2182&lt;&gt;"Ausgabe",Q2182=""),0,IF(Q2182="x",-$E2182/(COUNTIF($J2182:$Q2182,"x")+1),-$E2182*N(Q2182)))</f>
        <v/>
      </c>
    </row>
    <row r="2183">
      <c r="A2183" s="30" t="n"/>
      <c r="E2183" s="31" t="n"/>
      <c r="J2183" s="32" t="n"/>
      <c r="K2183" s="32" t="n"/>
      <c r="L2183" s="32" t="n"/>
      <c r="M2183" s="32" t="n"/>
      <c r="N2183" s="32" t="n"/>
      <c r="O2183" s="32" t="n"/>
      <c r="P2183" s="32" t="n"/>
      <c r="Q2183" s="32" t="n"/>
      <c r="U2183" s="31">
        <f>IF($A2183="","",SUM(X2183:AE2183))</f>
        <v/>
      </c>
      <c r="V2183" s="31">
        <f>IF($A2183="","",IF($H2183&lt;&gt;"Ausgabe",0,-$E2183-$U2183))</f>
        <v/>
      </c>
      <c r="W2183" s="33">
        <f>IF($A2183="","",DATE(YEAR($A2183),MONTH($A2183),1))</f>
        <v/>
      </c>
      <c r="X2183" s="34">
        <f>IF(OR($A2183="",$H2183&lt;&gt;"Ausgabe",J2183=""),0,IF(J2183="x",-$E2183/(COUNTIF($J2183:$Q2183,"x")+1),-$E2183*N(J2183)))</f>
        <v/>
      </c>
      <c r="Y2183" s="34">
        <f>IF(OR($A2183="",$H2183&lt;&gt;"Ausgabe",K2183=""),0,IF(K2183="x",-$E2183/(COUNTIF($J2183:$Q2183,"x")+1),-$E2183*N(K2183)))</f>
        <v/>
      </c>
      <c r="Z2183" s="34">
        <f>IF(OR($A2183="",$H2183&lt;&gt;"Ausgabe",L2183=""),0,IF(L2183="x",-$E2183/(COUNTIF($J2183:$Q2183,"x")+1),-$E2183*N(L2183)))</f>
        <v/>
      </c>
      <c r="AA2183" s="34">
        <f>IF(OR($A2183="",$H2183&lt;&gt;"Ausgabe",M2183=""),0,IF(M2183="x",-$E2183/(COUNTIF($J2183:$Q2183,"x")+1),-$E2183*N(M2183)))</f>
        <v/>
      </c>
      <c r="AB2183" s="34">
        <f>IF(OR($A2183="",$H2183&lt;&gt;"Ausgabe",N2183=""),0,IF(N2183="x",-$E2183/(COUNTIF($J2183:$Q2183,"x")+1),-$E2183*N(N2183)))</f>
        <v/>
      </c>
      <c r="AC2183" s="34">
        <f>IF(OR($A2183="",$H2183&lt;&gt;"Ausgabe",O2183=""),0,IF(O2183="x",-$E2183/(COUNTIF($J2183:$Q2183,"x")+1),-$E2183*N(O2183)))</f>
        <v/>
      </c>
      <c r="AD2183" s="34">
        <f>IF(OR($A2183="",$H2183&lt;&gt;"Ausgabe",P2183=""),0,IF(P2183="x",-$E2183/(COUNTIF($J2183:$Q2183,"x")+1),-$E2183*N(P2183)))</f>
        <v/>
      </c>
      <c r="AE2183" s="34">
        <f>IF(OR($A2183="",$H2183&lt;&gt;"Ausgabe",Q2183=""),0,IF(Q2183="x",-$E2183/(COUNTIF($J2183:$Q2183,"x")+1),-$E2183*N(Q2183)))</f>
        <v/>
      </c>
    </row>
    <row r="2184">
      <c r="A2184" s="30" t="n"/>
      <c r="E2184" s="31" t="n"/>
      <c r="J2184" s="32" t="n"/>
      <c r="K2184" s="32" t="n"/>
      <c r="L2184" s="32" t="n"/>
      <c r="M2184" s="32" t="n"/>
      <c r="N2184" s="32" t="n"/>
      <c r="O2184" s="32" t="n"/>
      <c r="P2184" s="32" t="n"/>
      <c r="Q2184" s="32" t="n"/>
      <c r="U2184" s="31">
        <f>IF($A2184="","",SUM(X2184:AE2184))</f>
        <v/>
      </c>
      <c r="V2184" s="31">
        <f>IF($A2184="","",IF($H2184&lt;&gt;"Ausgabe",0,-$E2184-$U2184))</f>
        <v/>
      </c>
      <c r="W2184" s="33">
        <f>IF($A2184="","",DATE(YEAR($A2184),MONTH($A2184),1))</f>
        <v/>
      </c>
      <c r="X2184" s="34">
        <f>IF(OR($A2184="",$H2184&lt;&gt;"Ausgabe",J2184=""),0,IF(J2184="x",-$E2184/(COUNTIF($J2184:$Q2184,"x")+1),-$E2184*N(J2184)))</f>
        <v/>
      </c>
      <c r="Y2184" s="34">
        <f>IF(OR($A2184="",$H2184&lt;&gt;"Ausgabe",K2184=""),0,IF(K2184="x",-$E2184/(COUNTIF($J2184:$Q2184,"x")+1),-$E2184*N(K2184)))</f>
        <v/>
      </c>
      <c r="Z2184" s="34">
        <f>IF(OR($A2184="",$H2184&lt;&gt;"Ausgabe",L2184=""),0,IF(L2184="x",-$E2184/(COUNTIF($J2184:$Q2184,"x")+1),-$E2184*N(L2184)))</f>
        <v/>
      </c>
      <c r="AA2184" s="34">
        <f>IF(OR($A2184="",$H2184&lt;&gt;"Ausgabe",M2184=""),0,IF(M2184="x",-$E2184/(COUNTIF($J2184:$Q2184,"x")+1),-$E2184*N(M2184)))</f>
        <v/>
      </c>
      <c r="AB2184" s="34">
        <f>IF(OR($A2184="",$H2184&lt;&gt;"Ausgabe",N2184=""),0,IF(N2184="x",-$E2184/(COUNTIF($J2184:$Q2184,"x")+1),-$E2184*N(N2184)))</f>
        <v/>
      </c>
      <c r="AC2184" s="34">
        <f>IF(OR($A2184="",$H2184&lt;&gt;"Ausgabe",O2184=""),0,IF(O2184="x",-$E2184/(COUNTIF($J2184:$Q2184,"x")+1),-$E2184*N(O2184)))</f>
        <v/>
      </c>
      <c r="AD2184" s="34">
        <f>IF(OR($A2184="",$H2184&lt;&gt;"Ausgabe",P2184=""),0,IF(P2184="x",-$E2184/(COUNTIF($J2184:$Q2184,"x")+1),-$E2184*N(P2184)))</f>
        <v/>
      </c>
      <c r="AE2184" s="34">
        <f>IF(OR($A2184="",$H2184&lt;&gt;"Ausgabe",Q2184=""),0,IF(Q2184="x",-$E2184/(COUNTIF($J2184:$Q2184,"x")+1),-$E2184*N(Q2184)))</f>
        <v/>
      </c>
    </row>
    <row r="2185">
      <c r="A2185" s="30" t="n"/>
      <c r="E2185" s="31" t="n"/>
      <c r="J2185" s="32" t="n"/>
      <c r="K2185" s="32" t="n"/>
      <c r="L2185" s="32" t="n"/>
      <c r="M2185" s="32" t="n"/>
      <c r="N2185" s="32" t="n"/>
      <c r="O2185" s="32" t="n"/>
      <c r="P2185" s="32" t="n"/>
      <c r="Q2185" s="32" t="n"/>
      <c r="U2185" s="31">
        <f>IF($A2185="","",SUM(X2185:AE2185))</f>
        <v/>
      </c>
      <c r="V2185" s="31">
        <f>IF($A2185="","",IF($H2185&lt;&gt;"Ausgabe",0,-$E2185-$U2185))</f>
        <v/>
      </c>
      <c r="W2185" s="33">
        <f>IF($A2185="","",DATE(YEAR($A2185),MONTH($A2185),1))</f>
        <v/>
      </c>
      <c r="X2185" s="34">
        <f>IF(OR($A2185="",$H2185&lt;&gt;"Ausgabe",J2185=""),0,IF(J2185="x",-$E2185/(COUNTIF($J2185:$Q2185,"x")+1),-$E2185*N(J2185)))</f>
        <v/>
      </c>
      <c r="Y2185" s="34">
        <f>IF(OR($A2185="",$H2185&lt;&gt;"Ausgabe",K2185=""),0,IF(K2185="x",-$E2185/(COUNTIF($J2185:$Q2185,"x")+1),-$E2185*N(K2185)))</f>
        <v/>
      </c>
      <c r="Z2185" s="34">
        <f>IF(OR($A2185="",$H2185&lt;&gt;"Ausgabe",L2185=""),0,IF(L2185="x",-$E2185/(COUNTIF($J2185:$Q2185,"x")+1),-$E2185*N(L2185)))</f>
        <v/>
      </c>
      <c r="AA2185" s="34">
        <f>IF(OR($A2185="",$H2185&lt;&gt;"Ausgabe",M2185=""),0,IF(M2185="x",-$E2185/(COUNTIF($J2185:$Q2185,"x")+1),-$E2185*N(M2185)))</f>
        <v/>
      </c>
      <c r="AB2185" s="34">
        <f>IF(OR($A2185="",$H2185&lt;&gt;"Ausgabe",N2185=""),0,IF(N2185="x",-$E2185/(COUNTIF($J2185:$Q2185,"x")+1),-$E2185*N(N2185)))</f>
        <v/>
      </c>
      <c r="AC2185" s="34">
        <f>IF(OR($A2185="",$H2185&lt;&gt;"Ausgabe",O2185=""),0,IF(O2185="x",-$E2185/(COUNTIF($J2185:$Q2185,"x")+1),-$E2185*N(O2185)))</f>
        <v/>
      </c>
      <c r="AD2185" s="34">
        <f>IF(OR($A2185="",$H2185&lt;&gt;"Ausgabe",P2185=""),0,IF(P2185="x",-$E2185/(COUNTIF($J2185:$Q2185,"x")+1),-$E2185*N(P2185)))</f>
        <v/>
      </c>
      <c r="AE2185" s="34">
        <f>IF(OR($A2185="",$H2185&lt;&gt;"Ausgabe",Q2185=""),0,IF(Q2185="x",-$E2185/(COUNTIF($J2185:$Q2185,"x")+1),-$E2185*N(Q2185)))</f>
        <v/>
      </c>
    </row>
    <row r="2186">
      <c r="A2186" s="30" t="n"/>
      <c r="E2186" s="31" t="n"/>
      <c r="J2186" s="32" t="n"/>
      <c r="K2186" s="32" t="n"/>
      <c r="L2186" s="32" t="n"/>
      <c r="M2186" s="32" t="n"/>
      <c r="N2186" s="32" t="n"/>
      <c r="O2186" s="32" t="n"/>
      <c r="P2186" s="32" t="n"/>
      <c r="Q2186" s="32" t="n"/>
      <c r="U2186" s="31">
        <f>IF($A2186="","",SUM(X2186:AE2186))</f>
        <v/>
      </c>
      <c r="V2186" s="31">
        <f>IF($A2186="","",IF($H2186&lt;&gt;"Ausgabe",0,-$E2186-$U2186))</f>
        <v/>
      </c>
      <c r="W2186" s="33">
        <f>IF($A2186="","",DATE(YEAR($A2186),MONTH($A2186),1))</f>
        <v/>
      </c>
      <c r="X2186" s="34">
        <f>IF(OR($A2186="",$H2186&lt;&gt;"Ausgabe",J2186=""),0,IF(J2186="x",-$E2186/(COUNTIF($J2186:$Q2186,"x")+1),-$E2186*N(J2186)))</f>
        <v/>
      </c>
      <c r="Y2186" s="34">
        <f>IF(OR($A2186="",$H2186&lt;&gt;"Ausgabe",K2186=""),0,IF(K2186="x",-$E2186/(COUNTIF($J2186:$Q2186,"x")+1),-$E2186*N(K2186)))</f>
        <v/>
      </c>
      <c r="Z2186" s="34">
        <f>IF(OR($A2186="",$H2186&lt;&gt;"Ausgabe",L2186=""),0,IF(L2186="x",-$E2186/(COUNTIF($J2186:$Q2186,"x")+1),-$E2186*N(L2186)))</f>
        <v/>
      </c>
      <c r="AA2186" s="34">
        <f>IF(OR($A2186="",$H2186&lt;&gt;"Ausgabe",M2186=""),0,IF(M2186="x",-$E2186/(COUNTIF($J2186:$Q2186,"x")+1),-$E2186*N(M2186)))</f>
        <v/>
      </c>
      <c r="AB2186" s="34">
        <f>IF(OR($A2186="",$H2186&lt;&gt;"Ausgabe",N2186=""),0,IF(N2186="x",-$E2186/(COUNTIF($J2186:$Q2186,"x")+1),-$E2186*N(N2186)))</f>
        <v/>
      </c>
      <c r="AC2186" s="34">
        <f>IF(OR($A2186="",$H2186&lt;&gt;"Ausgabe",O2186=""),0,IF(O2186="x",-$E2186/(COUNTIF($J2186:$Q2186,"x")+1),-$E2186*N(O2186)))</f>
        <v/>
      </c>
      <c r="AD2186" s="34">
        <f>IF(OR($A2186="",$H2186&lt;&gt;"Ausgabe",P2186=""),0,IF(P2186="x",-$E2186/(COUNTIF($J2186:$Q2186,"x")+1),-$E2186*N(P2186)))</f>
        <v/>
      </c>
      <c r="AE2186" s="34">
        <f>IF(OR($A2186="",$H2186&lt;&gt;"Ausgabe",Q2186=""),0,IF(Q2186="x",-$E2186/(COUNTIF($J2186:$Q2186,"x")+1),-$E2186*N(Q2186)))</f>
        <v/>
      </c>
    </row>
    <row r="2187">
      <c r="A2187" s="30" t="n"/>
      <c r="E2187" s="31" t="n"/>
      <c r="J2187" s="32" t="n"/>
      <c r="K2187" s="32" t="n"/>
      <c r="L2187" s="32" t="n"/>
      <c r="M2187" s="32" t="n"/>
      <c r="N2187" s="32" t="n"/>
      <c r="O2187" s="32" t="n"/>
      <c r="P2187" s="32" t="n"/>
      <c r="Q2187" s="32" t="n"/>
      <c r="U2187" s="31">
        <f>IF($A2187="","",SUM(X2187:AE2187))</f>
        <v/>
      </c>
      <c r="V2187" s="31">
        <f>IF($A2187="","",IF($H2187&lt;&gt;"Ausgabe",0,-$E2187-$U2187))</f>
        <v/>
      </c>
      <c r="W2187" s="33">
        <f>IF($A2187="","",DATE(YEAR($A2187),MONTH($A2187),1))</f>
        <v/>
      </c>
      <c r="X2187" s="34">
        <f>IF(OR($A2187="",$H2187&lt;&gt;"Ausgabe",J2187=""),0,IF(J2187="x",-$E2187/(COUNTIF($J2187:$Q2187,"x")+1),-$E2187*N(J2187)))</f>
        <v/>
      </c>
      <c r="Y2187" s="34">
        <f>IF(OR($A2187="",$H2187&lt;&gt;"Ausgabe",K2187=""),0,IF(K2187="x",-$E2187/(COUNTIF($J2187:$Q2187,"x")+1),-$E2187*N(K2187)))</f>
        <v/>
      </c>
      <c r="Z2187" s="34">
        <f>IF(OR($A2187="",$H2187&lt;&gt;"Ausgabe",L2187=""),0,IF(L2187="x",-$E2187/(COUNTIF($J2187:$Q2187,"x")+1),-$E2187*N(L2187)))</f>
        <v/>
      </c>
      <c r="AA2187" s="34">
        <f>IF(OR($A2187="",$H2187&lt;&gt;"Ausgabe",M2187=""),0,IF(M2187="x",-$E2187/(COUNTIF($J2187:$Q2187,"x")+1),-$E2187*N(M2187)))</f>
        <v/>
      </c>
      <c r="AB2187" s="34">
        <f>IF(OR($A2187="",$H2187&lt;&gt;"Ausgabe",N2187=""),0,IF(N2187="x",-$E2187/(COUNTIF($J2187:$Q2187,"x")+1),-$E2187*N(N2187)))</f>
        <v/>
      </c>
      <c r="AC2187" s="34">
        <f>IF(OR($A2187="",$H2187&lt;&gt;"Ausgabe",O2187=""),0,IF(O2187="x",-$E2187/(COUNTIF($J2187:$Q2187,"x")+1),-$E2187*N(O2187)))</f>
        <v/>
      </c>
      <c r="AD2187" s="34">
        <f>IF(OR($A2187="",$H2187&lt;&gt;"Ausgabe",P2187=""),0,IF(P2187="x",-$E2187/(COUNTIF($J2187:$Q2187,"x")+1),-$E2187*N(P2187)))</f>
        <v/>
      </c>
      <c r="AE2187" s="34">
        <f>IF(OR($A2187="",$H2187&lt;&gt;"Ausgabe",Q2187=""),0,IF(Q2187="x",-$E2187/(COUNTIF($J2187:$Q2187,"x")+1),-$E2187*N(Q2187)))</f>
        <v/>
      </c>
    </row>
    <row r="2188">
      <c r="A2188" s="30" t="n"/>
      <c r="E2188" s="31" t="n"/>
      <c r="J2188" s="32" t="n"/>
      <c r="K2188" s="32" t="n"/>
      <c r="L2188" s="32" t="n"/>
      <c r="M2188" s="32" t="n"/>
      <c r="N2188" s="32" t="n"/>
      <c r="O2188" s="32" t="n"/>
      <c r="P2188" s="32" t="n"/>
      <c r="Q2188" s="32" t="n"/>
      <c r="U2188" s="31">
        <f>IF($A2188="","",SUM(X2188:AE2188))</f>
        <v/>
      </c>
      <c r="V2188" s="31">
        <f>IF($A2188="","",IF($H2188&lt;&gt;"Ausgabe",0,-$E2188-$U2188))</f>
        <v/>
      </c>
      <c r="W2188" s="33">
        <f>IF($A2188="","",DATE(YEAR($A2188),MONTH($A2188),1))</f>
        <v/>
      </c>
      <c r="X2188" s="34">
        <f>IF(OR($A2188="",$H2188&lt;&gt;"Ausgabe",J2188=""),0,IF(J2188="x",-$E2188/(COUNTIF($J2188:$Q2188,"x")+1),-$E2188*N(J2188)))</f>
        <v/>
      </c>
      <c r="Y2188" s="34">
        <f>IF(OR($A2188="",$H2188&lt;&gt;"Ausgabe",K2188=""),0,IF(K2188="x",-$E2188/(COUNTIF($J2188:$Q2188,"x")+1),-$E2188*N(K2188)))</f>
        <v/>
      </c>
      <c r="Z2188" s="34">
        <f>IF(OR($A2188="",$H2188&lt;&gt;"Ausgabe",L2188=""),0,IF(L2188="x",-$E2188/(COUNTIF($J2188:$Q2188,"x")+1),-$E2188*N(L2188)))</f>
        <v/>
      </c>
      <c r="AA2188" s="34">
        <f>IF(OR($A2188="",$H2188&lt;&gt;"Ausgabe",M2188=""),0,IF(M2188="x",-$E2188/(COUNTIF($J2188:$Q2188,"x")+1),-$E2188*N(M2188)))</f>
        <v/>
      </c>
      <c r="AB2188" s="34">
        <f>IF(OR($A2188="",$H2188&lt;&gt;"Ausgabe",N2188=""),0,IF(N2188="x",-$E2188/(COUNTIF($J2188:$Q2188,"x")+1),-$E2188*N(N2188)))</f>
        <v/>
      </c>
      <c r="AC2188" s="34">
        <f>IF(OR($A2188="",$H2188&lt;&gt;"Ausgabe",O2188=""),0,IF(O2188="x",-$E2188/(COUNTIF($J2188:$Q2188,"x")+1),-$E2188*N(O2188)))</f>
        <v/>
      </c>
      <c r="AD2188" s="34">
        <f>IF(OR($A2188="",$H2188&lt;&gt;"Ausgabe",P2188=""),0,IF(P2188="x",-$E2188/(COUNTIF($J2188:$Q2188,"x")+1),-$E2188*N(P2188)))</f>
        <v/>
      </c>
      <c r="AE2188" s="34">
        <f>IF(OR($A2188="",$H2188&lt;&gt;"Ausgabe",Q2188=""),0,IF(Q2188="x",-$E2188/(COUNTIF($J2188:$Q2188,"x")+1),-$E2188*N(Q2188)))</f>
        <v/>
      </c>
    </row>
    <row r="2189">
      <c r="A2189" s="30" t="n"/>
      <c r="E2189" s="31" t="n"/>
      <c r="J2189" s="32" t="n"/>
      <c r="K2189" s="32" t="n"/>
      <c r="L2189" s="32" t="n"/>
      <c r="M2189" s="32" t="n"/>
      <c r="N2189" s="32" t="n"/>
      <c r="O2189" s="32" t="n"/>
      <c r="P2189" s="32" t="n"/>
      <c r="Q2189" s="32" t="n"/>
      <c r="U2189" s="31">
        <f>IF($A2189="","",SUM(X2189:AE2189))</f>
        <v/>
      </c>
      <c r="V2189" s="31">
        <f>IF($A2189="","",IF($H2189&lt;&gt;"Ausgabe",0,-$E2189-$U2189))</f>
        <v/>
      </c>
      <c r="W2189" s="33">
        <f>IF($A2189="","",DATE(YEAR($A2189),MONTH($A2189),1))</f>
        <v/>
      </c>
      <c r="X2189" s="34">
        <f>IF(OR($A2189="",$H2189&lt;&gt;"Ausgabe",J2189=""),0,IF(J2189="x",-$E2189/(COUNTIF($J2189:$Q2189,"x")+1),-$E2189*N(J2189)))</f>
        <v/>
      </c>
      <c r="Y2189" s="34">
        <f>IF(OR($A2189="",$H2189&lt;&gt;"Ausgabe",K2189=""),0,IF(K2189="x",-$E2189/(COUNTIF($J2189:$Q2189,"x")+1),-$E2189*N(K2189)))</f>
        <v/>
      </c>
      <c r="Z2189" s="34">
        <f>IF(OR($A2189="",$H2189&lt;&gt;"Ausgabe",L2189=""),0,IF(L2189="x",-$E2189/(COUNTIF($J2189:$Q2189,"x")+1),-$E2189*N(L2189)))</f>
        <v/>
      </c>
      <c r="AA2189" s="34">
        <f>IF(OR($A2189="",$H2189&lt;&gt;"Ausgabe",M2189=""),0,IF(M2189="x",-$E2189/(COUNTIF($J2189:$Q2189,"x")+1),-$E2189*N(M2189)))</f>
        <v/>
      </c>
      <c r="AB2189" s="34">
        <f>IF(OR($A2189="",$H2189&lt;&gt;"Ausgabe",N2189=""),0,IF(N2189="x",-$E2189/(COUNTIF($J2189:$Q2189,"x")+1),-$E2189*N(N2189)))</f>
        <v/>
      </c>
      <c r="AC2189" s="34">
        <f>IF(OR($A2189="",$H2189&lt;&gt;"Ausgabe",O2189=""),0,IF(O2189="x",-$E2189/(COUNTIF($J2189:$Q2189,"x")+1),-$E2189*N(O2189)))</f>
        <v/>
      </c>
      <c r="AD2189" s="34">
        <f>IF(OR($A2189="",$H2189&lt;&gt;"Ausgabe",P2189=""),0,IF(P2189="x",-$E2189/(COUNTIF($J2189:$Q2189,"x")+1),-$E2189*N(P2189)))</f>
        <v/>
      </c>
      <c r="AE2189" s="34">
        <f>IF(OR($A2189="",$H2189&lt;&gt;"Ausgabe",Q2189=""),0,IF(Q2189="x",-$E2189/(COUNTIF($J2189:$Q2189,"x")+1),-$E2189*N(Q2189)))</f>
        <v/>
      </c>
    </row>
    <row r="2190">
      <c r="A2190" s="30" t="n"/>
      <c r="E2190" s="31" t="n"/>
      <c r="J2190" s="32" t="n"/>
      <c r="K2190" s="32" t="n"/>
      <c r="L2190" s="32" t="n"/>
      <c r="M2190" s="32" t="n"/>
      <c r="N2190" s="32" t="n"/>
      <c r="O2190" s="32" t="n"/>
      <c r="P2190" s="32" t="n"/>
      <c r="Q2190" s="32" t="n"/>
      <c r="U2190" s="31">
        <f>IF($A2190="","",SUM(X2190:AE2190))</f>
        <v/>
      </c>
      <c r="V2190" s="31">
        <f>IF($A2190="","",IF($H2190&lt;&gt;"Ausgabe",0,-$E2190-$U2190))</f>
        <v/>
      </c>
      <c r="W2190" s="33">
        <f>IF($A2190="","",DATE(YEAR($A2190),MONTH($A2190),1))</f>
        <v/>
      </c>
      <c r="X2190" s="34">
        <f>IF(OR($A2190="",$H2190&lt;&gt;"Ausgabe",J2190=""),0,IF(J2190="x",-$E2190/(COUNTIF($J2190:$Q2190,"x")+1),-$E2190*N(J2190)))</f>
        <v/>
      </c>
      <c r="Y2190" s="34">
        <f>IF(OR($A2190="",$H2190&lt;&gt;"Ausgabe",K2190=""),0,IF(K2190="x",-$E2190/(COUNTIF($J2190:$Q2190,"x")+1),-$E2190*N(K2190)))</f>
        <v/>
      </c>
      <c r="Z2190" s="34">
        <f>IF(OR($A2190="",$H2190&lt;&gt;"Ausgabe",L2190=""),0,IF(L2190="x",-$E2190/(COUNTIF($J2190:$Q2190,"x")+1),-$E2190*N(L2190)))</f>
        <v/>
      </c>
      <c r="AA2190" s="34">
        <f>IF(OR($A2190="",$H2190&lt;&gt;"Ausgabe",M2190=""),0,IF(M2190="x",-$E2190/(COUNTIF($J2190:$Q2190,"x")+1),-$E2190*N(M2190)))</f>
        <v/>
      </c>
      <c r="AB2190" s="34">
        <f>IF(OR($A2190="",$H2190&lt;&gt;"Ausgabe",N2190=""),0,IF(N2190="x",-$E2190/(COUNTIF($J2190:$Q2190,"x")+1),-$E2190*N(N2190)))</f>
        <v/>
      </c>
      <c r="AC2190" s="34">
        <f>IF(OR($A2190="",$H2190&lt;&gt;"Ausgabe",O2190=""),0,IF(O2190="x",-$E2190/(COUNTIF($J2190:$Q2190,"x")+1),-$E2190*N(O2190)))</f>
        <v/>
      </c>
      <c r="AD2190" s="34">
        <f>IF(OR($A2190="",$H2190&lt;&gt;"Ausgabe",P2190=""),0,IF(P2190="x",-$E2190/(COUNTIF($J2190:$Q2190,"x")+1),-$E2190*N(P2190)))</f>
        <v/>
      </c>
      <c r="AE2190" s="34">
        <f>IF(OR($A2190="",$H2190&lt;&gt;"Ausgabe",Q2190=""),0,IF(Q2190="x",-$E2190/(COUNTIF($J2190:$Q2190,"x")+1),-$E2190*N(Q2190)))</f>
        <v/>
      </c>
    </row>
    <row r="2191">
      <c r="A2191" s="30" t="n"/>
      <c r="E2191" s="31" t="n"/>
      <c r="J2191" s="32" t="n"/>
      <c r="K2191" s="32" t="n"/>
      <c r="L2191" s="32" t="n"/>
      <c r="M2191" s="32" t="n"/>
      <c r="N2191" s="32" t="n"/>
      <c r="O2191" s="32" t="n"/>
      <c r="P2191" s="32" t="n"/>
      <c r="Q2191" s="32" t="n"/>
      <c r="U2191" s="31">
        <f>IF($A2191="","",SUM(X2191:AE2191))</f>
        <v/>
      </c>
      <c r="V2191" s="31">
        <f>IF($A2191="","",IF($H2191&lt;&gt;"Ausgabe",0,-$E2191-$U2191))</f>
        <v/>
      </c>
      <c r="W2191" s="33">
        <f>IF($A2191="","",DATE(YEAR($A2191),MONTH($A2191),1))</f>
        <v/>
      </c>
      <c r="X2191" s="34">
        <f>IF(OR($A2191="",$H2191&lt;&gt;"Ausgabe",J2191=""),0,IF(J2191="x",-$E2191/(COUNTIF($J2191:$Q2191,"x")+1),-$E2191*N(J2191)))</f>
        <v/>
      </c>
      <c r="Y2191" s="34">
        <f>IF(OR($A2191="",$H2191&lt;&gt;"Ausgabe",K2191=""),0,IF(K2191="x",-$E2191/(COUNTIF($J2191:$Q2191,"x")+1),-$E2191*N(K2191)))</f>
        <v/>
      </c>
      <c r="Z2191" s="34">
        <f>IF(OR($A2191="",$H2191&lt;&gt;"Ausgabe",L2191=""),0,IF(L2191="x",-$E2191/(COUNTIF($J2191:$Q2191,"x")+1),-$E2191*N(L2191)))</f>
        <v/>
      </c>
      <c r="AA2191" s="34">
        <f>IF(OR($A2191="",$H2191&lt;&gt;"Ausgabe",M2191=""),0,IF(M2191="x",-$E2191/(COUNTIF($J2191:$Q2191,"x")+1),-$E2191*N(M2191)))</f>
        <v/>
      </c>
      <c r="AB2191" s="34">
        <f>IF(OR($A2191="",$H2191&lt;&gt;"Ausgabe",N2191=""),0,IF(N2191="x",-$E2191/(COUNTIF($J2191:$Q2191,"x")+1),-$E2191*N(N2191)))</f>
        <v/>
      </c>
      <c r="AC2191" s="34">
        <f>IF(OR($A2191="",$H2191&lt;&gt;"Ausgabe",O2191=""),0,IF(O2191="x",-$E2191/(COUNTIF($J2191:$Q2191,"x")+1),-$E2191*N(O2191)))</f>
        <v/>
      </c>
      <c r="AD2191" s="34">
        <f>IF(OR($A2191="",$H2191&lt;&gt;"Ausgabe",P2191=""),0,IF(P2191="x",-$E2191/(COUNTIF($J2191:$Q2191,"x")+1),-$E2191*N(P2191)))</f>
        <v/>
      </c>
      <c r="AE2191" s="34">
        <f>IF(OR($A2191="",$H2191&lt;&gt;"Ausgabe",Q2191=""),0,IF(Q2191="x",-$E2191/(COUNTIF($J2191:$Q2191,"x")+1),-$E2191*N(Q2191)))</f>
        <v/>
      </c>
    </row>
    <row r="2192">
      <c r="A2192" s="30" t="n"/>
      <c r="E2192" s="31" t="n"/>
      <c r="J2192" s="32" t="n"/>
      <c r="K2192" s="32" t="n"/>
      <c r="L2192" s="32" t="n"/>
      <c r="M2192" s="32" t="n"/>
      <c r="N2192" s="32" t="n"/>
      <c r="O2192" s="32" t="n"/>
      <c r="P2192" s="32" t="n"/>
      <c r="Q2192" s="32" t="n"/>
      <c r="U2192" s="31">
        <f>IF($A2192="","",SUM(X2192:AE2192))</f>
        <v/>
      </c>
      <c r="V2192" s="31">
        <f>IF($A2192="","",IF($H2192&lt;&gt;"Ausgabe",0,-$E2192-$U2192))</f>
        <v/>
      </c>
      <c r="W2192" s="33">
        <f>IF($A2192="","",DATE(YEAR($A2192),MONTH($A2192),1))</f>
        <v/>
      </c>
      <c r="X2192" s="34">
        <f>IF(OR($A2192="",$H2192&lt;&gt;"Ausgabe",J2192=""),0,IF(J2192="x",-$E2192/(COUNTIF($J2192:$Q2192,"x")+1),-$E2192*N(J2192)))</f>
        <v/>
      </c>
      <c r="Y2192" s="34">
        <f>IF(OR($A2192="",$H2192&lt;&gt;"Ausgabe",K2192=""),0,IF(K2192="x",-$E2192/(COUNTIF($J2192:$Q2192,"x")+1),-$E2192*N(K2192)))</f>
        <v/>
      </c>
      <c r="Z2192" s="34">
        <f>IF(OR($A2192="",$H2192&lt;&gt;"Ausgabe",L2192=""),0,IF(L2192="x",-$E2192/(COUNTIF($J2192:$Q2192,"x")+1),-$E2192*N(L2192)))</f>
        <v/>
      </c>
      <c r="AA2192" s="34">
        <f>IF(OR($A2192="",$H2192&lt;&gt;"Ausgabe",M2192=""),0,IF(M2192="x",-$E2192/(COUNTIF($J2192:$Q2192,"x")+1),-$E2192*N(M2192)))</f>
        <v/>
      </c>
      <c r="AB2192" s="34">
        <f>IF(OR($A2192="",$H2192&lt;&gt;"Ausgabe",N2192=""),0,IF(N2192="x",-$E2192/(COUNTIF($J2192:$Q2192,"x")+1),-$E2192*N(N2192)))</f>
        <v/>
      </c>
      <c r="AC2192" s="34">
        <f>IF(OR($A2192="",$H2192&lt;&gt;"Ausgabe",O2192=""),0,IF(O2192="x",-$E2192/(COUNTIF($J2192:$Q2192,"x")+1),-$E2192*N(O2192)))</f>
        <v/>
      </c>
      <c r="AD2192" s="34">
        <f>IF(OR($A2192="",$H2192&lt;&gt;"Ausgabe",P2192=""),0,IF(P2192="x",-$E2192/(COUNTIF($J2192:$Q2192,"x")+1),-$E2192*N(P2192)))</f>
        <v/>
      </c>
      <c r="AE2192" s="34">
        <f>IF(OR($A2192="",$H2192&lt;&gt;"Ausgabe",Q2192=""),0,IF(Q2192="x",-$E2192/(COUNTIF($J2192:$Q2192,"x")+1),-$E2192*N(Q2192)))</f>
        <v/>
      </c>
    </row>
    <row r="2193">
      <c r="A2193" s="30" t="n"/>
      <c r="E2193" s="31" t="n"/>
      <c r="J2193" s="32" t="n"/>
      <c r="K2193" s="32" t="n"/>
      <c r="L2193" s="32" t="n"/>
      <c r="M2193" s="32" t="n"/>
      <c r="N2193" s="32" t="n"/>
      <c r="O2193" s="32" t="n"/>
      <c r="P2193" s="32" t="n"/>
      <c r="Q2193" s="32" t="n"/>
      <c r="U2193" s="31">
        <f>IF($A2193="","",SUM(X2193:AE2193))</f>
        <v/>
      </c>
      <c r="V2193" s="31">
        <f>IF($A2193="","",IF($H2193&lt;&gt;"Ausgabe",0,-$E2193-$U2193))</f>
        <v/>
      </c>
      <c r="W2193" s="33">
        <f>IF($A2193="","",DATE(YEAR($A2193),MONTH($A2193),1))</f>
        <v/>
      </c>
      <c r="X2193" s="34">
        <f>IF(OR($A2193="",$H2193&lt;&gt;"Ausgabe",J2193=""),0,IF(J2193="x",-$E2193/(COUNTIF($J2193:$Q2193,"x")+1),-$E2193*N(J2193)))</f>
        <v/>
      </c>
      <c r="Y2193" s="34">
        <f>IF(OR($A2193="",$H2193&lt;&gt;"Ausgabe",K2193=""),0,IF(K2193="x",-$E2193/(COUNTIF($J2193:$Q2193,"x")+1),-$E2193*N(K2193)))</f>
        <v/>
      </c>
      <c r="Z2193" s="34">
        <f>IF(OR($A2193="",$H2193&lt;&gt;"Ausgabe",L2193=""),0,IF(L2193="x",-$E2193/(COUNTIF($J2193:$Q2193,"x")+1),-$E2193*N(L2193)))</f>
        <v/>
      </c>
      <c r="AA2193" s="34">
        <f>IF(OR($A2193="",$H2193&lt;&gt;"Ausgabe",M2193=""),0,IF(M2193="x",-$E2193/(COUNTIF($J2193:$Q2193,"x")+1),-$E2193*N(M2193)))</f>
        <v/>
      </c>
      <c r="AB2193" s="34">
        <f>IF(OR($A2193="",$H2193&lt;&gt;"Ausgabe",N2193=""),0,IF(N2193="x",-$E2193/(COUNTIF($J2193:$Q2193,"x")+1),-$E2193*N(N2193)))</f>
        <v/>
      </c>
      <c r="AC2193" s="34">
        <f>IF(OR($A2193="",$H2193&lt;&gt;"Ausgabe",O2193=""),0,IF(O2193="x",-$E2193/(COUNTIF($J2193:$Q2193,"x")+1),-$E2193*N(O2193)))</f>
        <v/>
      </c>
      <c r="AD2193" s="34">
        <f>IF(OR($A2193="",$H2193&lt;&gt;"Ausgabe",P2193=""),0,IF(P2193="x",-$E2193/(COUNTIF($J2193:$Q2193,"x")+1),-$E2193*N(P2193)))</f>
        <v/>
      </c>
      <c r="AE2193" s="34">
        <f>IF(OR($A2193="",$H2193&lt;&gt;"Ausgabe",Q2193=""),0,IF(Q2193="x",-$E2193/(COUNTIF($J2193:$Q2193,"x")+1),-$E2193*N(Q2193)))</f>
        <v/>
      </c>
    </row>
    <row r="2194">
      <c r="A2194" s="30" t="n"/>
      <c r="E2194" s="31" t="n"/>
      <c r="J2194" s="32" t="n"/>
      <c r="K2194" s="32" t="n"/>
      <c r="L2194" s="32" t="n"/>
      <c r="M2194" s="32" t="n"/>
      <c r="N2194" s="32" t="n"/>
      <c r="O2194" s="32" t="n"/>
      <c r="P2194" s="32" t="n"/>
      <c r="Q2194" s="32" t="n"/>
      <c r="U2194" s="31">
        <f>IF($A2194="","",SUM(X2194:AE2194))</f>
        <v/>
      </c>
      <c r="V2194" s="31">
        <f>IF($A2194="","",IF($H2194&lt;&gt;"Ausgabe",0,-$E2194-$U2194))</f>
        <v/>
      </c>
      <c r="W2194" s="33">
        <f>IF($A2194="","",DATE(YEAR($A2194),MONTH($A2194),1))</f>
        <v/>
      </c>
      <c r="X2194" s="34">
        <f>IF(OR($A2194="",$H2194&lt;&gt;"Ausgabe",J2194=""),0,IF(J2194="x",-$E2194/(COUNTIF($J2194:$Q2194,"x")+1),-$E2194*N(J2194)))</f>
        <v/>
      </c>
      <c r="Y2194" s="34">
        <f>IF(OR($A2194="",$H2194&lt;&gt;"Ausgabe",K2194=""),0,IF(K2194="x",-$E2194/(COUNTIF($J2194:$Q2194,"x")+1),-$E2194*N(K2194)))</f>
        <v/>
      </c>
      <c r="Z2194" s="34">
        <f>IF(OR($A2194="",$H2194&lt;&gt;"Ausgabe",L2194=""),0,IF(L2194="x",-$E2194/(COUNTIF($J2194:$Q2194,"x")+1),-$E2194*N(L2194)))</f>
        <v/>
      </c>
      <c r="AA2194" s="34">
        <f>IF(OR($A2194="",$H2194&lt;&gt;"Ausgabe",M2194=""),0,IF(M2194="x",-$E2194/(COUNTIF($J2194:$Q2194,"x")+1),-$E2194*N(M2194)))</f>
        <v/>
      </c>
      <c r="AB2194" s="34">
        <f>IF(OR($A2194="",$H2194&lt;&gt;"Ausgabe",N2194=""),0,IF(N2194="x",-$E2194/(COUNTIF($J2194:$Q2194,"x")+1),-$E2194*N(N2194)))</f>
        <v/>
      </c>
      <c r="AC2194" s="34">
        <f>IF(OR($A2194="",$H2194&lt;&gt;"Ausgabe",O2194=""),0,IF(O2194="x",-$E2194/(COUNTIF($J2194:$Q2194,"x")+1),-$E2194*N(O2194)))</f>
        <v/>
      </c>
      <c r="AD2194" s="34">
        <f>IF(OR($A2194="",$H2194&lt;&gt;"Ausgabe",P2194=""),0,IF(P2194="x",-$E2194/(COUNTIF($J2194:$Q2194,"x")+1),-$E2194*N(P2194)))</f>
        <v/>
      </c>
      <c r="AE2194" s="34">
        <f>IF(OR($A2194="",$H2194&lt;&gt;"Ausgabe",Q2194=""),0,IF(Q2194="x",-$E2194/(COUNTIF($J2194:$Q2194,"x")+1),-$E2194*N(Q2194)))</f>
        <v/>
      </c>
    </row>
    <row r="2195">
      <c r="A2195" s="30" t="n"/>
      <c r="E2195" s="31" t="n"/>
      <c r="J2195" s="32" t="n"/>
      <c r="K2195" s="32" t="n"/>
      <c r="L2195" s="32" t="n"/>
      <c r="M2195" s="32" t="n"/>
      <c r="N2195" s="32" t="n"/>
      <c r="O2195" s="32" t="n"/>
      <c r="P2195" s="32" t="n"/>
      <c r="Q2195" s="32" t="n"/>
      <c r="U2195" s="31">
        <f>IF($A2195="","",SUM(X2195:AE2195))</f>
        <v/>
      </c>
      <c r="V2195" s="31">
        <f>IF($A2195="","",IF($H2195&lt;&gt;"Ausgabe",0,-$E2195-$U2195))</f>
        <v/>
      </c>
      <c r="W2195" s="33">
        <f>IF($A2195="","",DATE(YEAR($A2195),MONTH($A2195),1))</f>
        <v/>
      </c>
      <c r="X2195" s="34">
        <f>IF(OR($A2195="",$H2195&lt;&gt;"Ausgabe",J2195=""),0,IF(J2195="x",-$E2195/(COUNTIF($J2195:$Q2195,"x")+1),-$E2195*N(J2195)))</f>
        <v/>
      </c>
      <c r="Y2195" s="34">
        <f>IF(OR($A2195="",$H2195&lt;&gt;"Ausgabe",K2195=""),0,IF(K2195="x",-$E2195/(COUNTIF($J2195:$Q2195,"x")+1),-$E2195*N(K2195)))</f>
        <v/>
      </c>
      <c r="Z2195" s="34">
        <f>IF(OR($A2195="",$H2195&lt;&gt;"Ausgabe",L2195=""),0,IF(L2195="x",-$E2195/(COUNTIF($J2195:$Q2195,"x")+1),-$E2195*N(L2195)))</f>
        <v/>
      </c>
      <c r="AA2195" s="34">
        <f>IF(OR($A2195="",$H2195&lt;&gt;"Ausgabe",M2195=""),0,IF(M2195="x",-$E2195/(COUNTIF($J2195:$Q2195,"x")+1),-$E2195*N(M2195)))</f>
        <v/>
      </c>
      <c r="AB2195" s="34">
        <f>IF(OR($A2195="",$H2195&lt;&gt;"Ausgabe",N2195=""),0,IF(N2195="x",-$E2195/(COUNTIF($J2195:$Q2195,"x")+1),-$E2195*N(N2195)))</f>
        <v/>
      </c>
      <c r="AC2195" s="34">
        <f>IF(OR($A2195="",$H2195&lt;&gt;"Ausgabe",O2195=""),0,IF(O2195="x",-$E2195/(COUNTIF($J2195:$Q2195,"x")+1),-$E2195*N(O2195)))</f>
        <v/>
      </c>
      <c r="AD2195" s="34">
        <f>IF(OR($A2195="",$H2195&lt;&gt;"Ausgabe",P2195=""),0,IF(P2195="x",-$E2195/(COUNTIF($J2195:$Q2195,"x")+1),-$E2195*N(P2195)))</f>
        <v/>
      </c>
      <c r="AE2195" s="34">
        <f>IF(OR($A2195="",$H2195&lt;&gt;"Ausgabe",Q2195=""),0,IF(Q2195="x",-$E2195/(COUNTIF($J2195:$Q2195,"x")+1),-$E2195*N(Q2195)))</f>
        <v/>
      </c>
    </row>
    <row r="2196">
      <c r="A2196" s="30" t="n"/>
      <c r="E2196" s="31" t="n"/>
      <c r="J2196" s="32" t="n"/>
      <c r="K2196" s="32" t="n"/>
      <c r="L2196" s="32" t="n"/>
      <c r="M2196" s="32" t="n"/>
      <c r="N2196" s="32" t="n"/>
      <c r="O2196" s="32" t="n"/>
      <c r="P2196" s="32" t="n"/>
      <c r="Q2196" s="32" t="n"/>
      <c r="U2196" s="31">
        <f>IF($A2196="","",SUM(X2196:AE2196))</f>
        <v/>
      </c>
      <c r="V2196" s="31">
        <f>IF($A2196="","",IF($H2196&lt;&gt;"Ausgabe",0,-$E2196-$U2196))</f>
        <v/>
      </c>
      <c r="W2196" s="33">
        <f>IF($A2196="","",DATE(YEAR($A2196),MONTH($A2196),1))</f>
        <v/>
      </c>
      <c r="X2196" s="34">
        <f>IF(OR($A2196="",$H2196&lt;&gt;"Ausgabe",J2196=""),0,IF(J2196="x",-$E2196/(COUNTIF($J2196:$Q2196,"x")+1),-$E2196*N(J2196)))</f>
        <v/>
      </c>
      <c r="Y2196" s="34">
        <f>IF(OR($A2196="",$H2196&lt;&gt;"Ausgabe",K2196=""),0,IF(K2196="x",-$E2196/(COUNTIF($J2196:$Q2196,"x")+1),-$E2196*N(K2196)))</f>
        <v/>
      </c>
      <c r="Z2196" s="34">
        <f>IF(OR($A2196="",$H2196&lt;&gt;"Ausgabe",L2196=""),0,IF(L2196="x",-$E2196/(COUNTIF($J2196:$Q2196,"x")+1),-$E2196*N(L2196)))</f>
        <v/>
      </c>
      <c r="AA2196" s="34">
        <f>IF(OR($A2196="",$H2196&lt;&gt;"Ausgabe",M2196=""),0,IF(M2196="x",-$E2196/(COUNTIF($J2196:$Q2196,"x")+1),-$E2196*N(M2196)))</f>
        <v/>
      </c>
      <c r="AB2196" s="34">
        <f>IF(OR($A2196="",$H2196&lt;&gt;"Ausgabe",N2196=""),0,IF(N2196="x",-$E2196/(COUNTIF($J2196:$Q2196,"x")+1),-$E2196*N(N2196)))</f>
        <v/>
      </c>
      <c r="AC2196" s="34">
        <f>IF(OR($A2196="",$H2196&lt;&gt;"Ausgabe",O2196=""),0,IF(O2196="x",-$E2196/(COUNTIF($J2196:$Q2196,"x")+1),-$E2196*N(O2196)))</f>
        <v/>
      </c>
      <c r="AD2196" s="34">
        <f>IF(OR($A2196="",$H2196&lt;&gt;"Ausgabe",P2196=""),0,IF(P2196="x",-$E2196/(COUNTIF($J2196:$Q2196,"x")+1),-$E2196*N(P2196)))</f>
        <v/>
      </c>
      <c r="AE2196" s="34">
        <f>IF(OR($A2196="",$H2196&lt;&gt;"Ausgabe",Q2196=""),0,IF(Q2196="x",-$E2196/(COUNTIF($J2196:$Q2196,"x")+1),-$E2196*N(Q2196)))</f>
        <v/>
      </c>
    </row>
    <row r="2197">
      <c r="A2197" s="30" t="n"/>
      <c r="E2197" s="31" t="n"/>
      <c r="J2197" s="32" t="n"/>
      <c r="K2197" s="32" t="n"/>
      <c r="L2197" s="32" t="n"/>
      <c r="M2197" s="32" t="n"/>
      <c r="N2197" s="32" t="n"/>
      <c r="O2197" s="32" t="n"/>
      <c r="P2197" s="32" t="n"/>
      <c r="Q2197" s="32" t="n"/>
      <c r="U2197" s="31">
        <f>IF($A2197="","",SUM(X2197:AE2197))</f>
        <v/>
      </c>
      <c r="V2197" s="31">
        <f>IF($A2197="","",IF($H2197&lt;&gt;"Ausgabe",0,-$E2197-$U2197))</f>
        <v/>
      </c>
      <c r="W2197" s="33">
        <f>IF($A2197="","",DATE(YEAR($A2197),MONTH($A2197),1))</f>
        <v/>
      </c>
      <c r="X2197" s="34">
        <f>IF(OR($A2197="",$H2197&lt;&gt;"Ausgabe",J2197=""),0,IF(J2197="x",-$E2197/(COUNTIF($J2197:$Q2197,"x")+1),-$E2197*N(J2197)))</f>
        <v/>
      </c>
      <c r="Y2197" s="34">
        <f>IF(OR($A2197="",$H2197&lt;&gt;"Ausgabe",K2197=""),0,IF(K2197="x",-$E2197/(COUNTIF($J2197:$Q2197,"x")+1),-$E2197*N(K2197)))</f>
        <v/>
      </c>
      <c r="Z2197" s="34">
        <f>IF(OR($A2197="",$H2197&lt;&gt;"Ausgabe",L2197=""),0,IF(L2197="x",-$E2197/(COUNTIF($J2197:$Q2197,"x")+1),-$E2197*N(L2197)))</f>
        <v/>
      </c>
      <c r="AA2197" s="34">
        <f>IF(OR($A2197="",$H2197&lt;&gt;"Ausgabe",M2197=""),0,IF(M2197="x",-$E2197/(COUNTIF($J2197:$Q2197,"x")+1),-$E2197*N(M2197)))</f>
        <v/>
      </c>
      <c r="AB2197" s="34">
        <f>IF(OR($A2197="",$H2197&lt;&gt;"Ausgabe",N2197=""),0,IF(N2197="x",-$E2197/(COUNTIF($J2197:$Q2197,"x")+1),-$E2197*N(N2197)))</f>
        <v/>
      </c>
      <c r="AC2197" s="34">
        <f>IF(OR($A2197="",$H2197&lt;&gt;"Ausgabe",O2197=""),0,IF(O2197="x",-$E2197/(COUNTIF($J2197:$Q2197,"x")+1),-$E2197*N(O2197)))</f>
        <v/>
      </c>
      <c r="AD2197" s="34">
        <f>IF(OR($A2197="",$H2197&lt;&gt;"Ausgabe",P2197=""),0,IF(P2197="x",-$E2197/(COUNTIF($J2197:$Q2197,"x")+1),-$E2197*N(P2197)))</f>
        <v/>
      </c>
      <c r="AE2197" s="34">
        <f>IF(OR($A2197="",$H2197&lt;&gt;"Ausgabe",Q2197=""),0,IF(Q2197="x",-$E2197/(COUNTIF($J2197:$Q2197,"x")+1),-$E2197*N(Q2197)))</f>
        <v/>
      </c>
    </row>
    <row r="2198">
      <c r="A2198" s="30" t="n"/>
      <c r="E2198" s="31" t="n"/>
      <c r="J2198" s="32" t="n"/>
      <c r="K2198" s="32" t="n"/>
      <c r="L2198" s="32" t="n"/>
      <c r="M2198" s="32" t="n"/>
      <c r="N2198" s="32" t="n"/>
      <c r="O2198" s="32" t="n"/>
      <c r="P2198" s="32" t="n"/>
      <c r="Q2198" s="32" t="n"/>
      <c r="U2198" s="31">
        <f>IF($A2198="","",SUM(X2198:AE2198))</f>
        <v/>
      </c>
      <c r="V2198" s="31">
        <f>IF($A2198="","",IF($H2198&lt;&gt;"Ausgabe",0,-$E2198-$U2198))</f>
        <v/>
      </c>
      <c r="W2198" s="33">
        <f>IF($A2198="","",DATE(YEAR($A2198),MONTH($A2198),1))</f>
        <v/>
      </c>
      <c r="X2198" s="34">
        <f>IF(OR($A2198="",$H2198&lt;&gt;"Ausgabe",J2198=""),0,IF(J2198="x",-$E2198/(COUNTIF($J2198:$Q2198,"x")+1),-$E2198*N(J2198)))</f>
        <v/>
      </c>
      <c r="Y2198" s="34">
        <f>IF(OR($A2198="",$H2198&lt;&gt;"Ausgabe",K2198=""),0,IF(K2198="x",-$E2198/(COUNTIF($J2198:$Q2198,"x")+1),-$E2198*N(K2198)))</f>
        <v/>
      </c>
      <c r="Z2198" s="34">
        <f>IF(OR($A2198="",$H2198&lt;&gt;"Ausgabe",L2198=""),0,IF(L2198="x",-$E2198/(COUNTIF($J2198:$Q2198,"x")+1),-$E2198*N(L2198)))</f>
        <v/>
      </c>
      <c r="AA2198" s="34">
        <f>IF(OR($A2198="",$H2198&lt;&gt;"Ausgabe",M2198=""),0,IF(M2198="x",-$E2198/(COUNTIF($J2198:$Q2198,"x")+1),-$E2198*N(M2198)))</f>
        <v/>
      </c>
      <c r="AB2198" s="34">
        <f>IF(OR($A2198="",$H2198&lt;&gt;"Ausgabe",N2198=""),0,IF(N2198="x",-$E2198/(COUNTIF($J2198:$Q2198,"x")+1),-$E2198*N(N2198)))</f>
        <v/>
      </c>
      <c r="AC2198" s="34">
        <f>IF(OR($A2198="",$H2198&lt;&gt;"Ausgabe",O2198=""),0,IF(O2198="x",-$E2198/(COUNTIF($J2198:$Q2198,"x")+1),-$E2198*N(O2198)))</f>
        <v/>
      </c>
      <c r="AD2198" s="34">
        <f>IF(OR($A2198="",$H2198&lt;&gt;"Ausgabe",P2198=""),0,IF(P2198="x",-$E2198/(COUNTIF($J2198:$Q2198,"x")+1),-$E2198*N(P2198)))</f>
        <v/>
      </c>
      <c r="AE2198" s="34">
        <f>IF(OR($A2198="",$H2198&lt;&gt;"Ausgabe",Q2198=""),0,IF(Q2198="x",-$E2198/(COUNTIF($J2198:$Q2198,"x")+1),-$E2198*N(Q2198)))</f>
        <v/>
      </c>
    </row>
    <row r="2199">
      <c r="A2199" s="30" t="n"/>
      <c r="E2199" s="31" t="n"/>
      <c r="J2199" s="32" t="n"/>
      <c r="K2199" s="32" t="n"/>
      <c r="L2199" s="32" t="n"/>
      <c r="M2199" s="32" t="n"/>
      <c r="N2199" s="32" t="n"/>
      <c r="O2199" s="32" t="n"/>
      <c r="P2199" s="32" t="n"/>
      <c r="Q2199" s="32" t="n"/>
      <c r="U2199" s="31">
        <f>IF($A2199="","",SUM(X2199:AE2199))</f>
        <v/>
      </c>
      <c r="V2199" s="31">
        <f>IF($A2199="","",IF($H2199&lt;&gt;"Ausgabe",0,-$E2199-$U2199))</f>
        <v/>
      </c>
      <c r="W2199" s="33">
        <f>IF($A2199="","",DATE(YEAR($A2199),MONTH($A2199),1))</f>
        <v/>
      </c>
      <c r="X2199" s="34">
        <f>IF(OR($A2199="",$H2199&lt;&gt;"Ausgabe",J2199=""),0,IF(J2199="x",-$E2199/(COUNTIF($J2199:$Q2199,"x")+1),-$E2199*N(J2199)))</f>
        <v/>
      </c>
      <c r="Y2199" s="34">
        <f>IF(OR($A2199="",$H2199&lt;&gt;"Ausgabe",K2199=""),0,IF(K2199="x",-$E2199/(COUNTIF($J2199:$Q2199,"x")+1),-$E2199*N(K2199)))</f>
        <v/>
      </c>
      <c r="Z2199" s="34">
        <f>IF(OR($A2199="",$H2199&lt;&gt;"Ausgabe",L2199=""),0,IF(L2199="x",-$E2199/(COUNTIF($J2199:$Q2199,"x")+1),-$E2199*N(L2199)))</f>
        <v/>
      </c>
      <c r="AA2199" s="34">
        <f>IF(OR($A2199="",$H2199&lt;&gt;"Ausgabe",M2199=""),0,IF(M2199="x",-$E2199/(COUNTIF($J2199:$Q2199,"x")+1),-$E2199*N(M2199)))</f>
        <v/>
      </c>
      <c r="AB2199" s="34">
        <f>IF(OR($A2199="",$H2199&lt;&gt;"Ausgabe",N2199=""),0,IF(N2199="x",-$E2199/(COUNTIF($J2199:$Q2199,"x")+1),-$E2199*N(N2199)))</f>
        <v/>
      </c>
      <c r="AC2199" s="34">
        <f>IF(OR($A2199="",$H2199&lt;&gt;"Ausgabe",O2199=""),0,IF(O2199="x",-$E2199/(COUNTIF($J2199:$Q2199,"x")+1),-$E2199*N(O2199)))</f>
        <v/>
      </c>
      <c r="AD2199" s="34">
        <f>IF(OR($A2199="",$H2199&lt;&gt;"Ausgabe",P2199=""),0,IF(P2199="x",-$E2199/(COUNTIF($J2199:$Q2199,"x")+1),-$E2199*N(P2199)))</f>
        <v/>
      </c>
      <c r="AE2199" s="34">
        <f>IF(OR($A2199="",$H2199&lt;&gt;"Ausgabe",Q2199=""),0,IF(Q2199="x",-$E2199/(COUNTIF($J2199:$Q2199,"x")+1),-$E2199*N(Q2199)))</f>
        <v/>
      </c>
    </row>
    <row r="2200">
      <c r="A2200" s="30" t="n"/>
      <c r="E2200" s="31" t="n"/>
      <c r="J2200" s="32" t="n"/>
      <c r="K2200" s="32" t="n"/>
      <c r="L2200" s="32" t="n"/>
      <c r="M2200" s="32" t="n"/>
      <c r="N2200" s="32" t="n"/>
      <c r="O2200" s="32" t="n"/>
      <c r="P2200" s="32" t="n"/>
      <c r="Q2200" s="32" t="n"/>
      <c r="U2200" s="31">
        <f>IF($A2200="","",SUM(X2200:AE2200))</f>
        <v/>
      </c>
      <c r="V2200" s="31">
        <f>IF($A2200="","",IF($H2200&lt;&gt;"Ausgabe",0,-$E2200-$U2200))</f>
        <v/>
      </c>
      <c r="W2200" s="33">
        <f>IF($A2200="","",DATE(YEAR($A2200),MONTH($A2200),1))</f>
        <v/>
      </c>
      <c r="X2200" s="34">
        <f>IF(OR($A2200="",$H2200&lt;&gt;"Ausgabe",J2200=""),0,IF(J2200="x",-$E2200/(COUNTIF($J2200:$Q2200,"x")+1),-$E2200*N(J2200)))</f>
        <v/>
      </c>
      <c r="Y2200" s="34">
        <f>IF(OR($A2200="",$H2200&lt;&gt;"Ausgabe",K2200=""),0,IF(K2200="x",-$E2200/(COUNTIF($J2200:$Q2200,"x")+1),-$E2200*N(K2200)))</f>
        <v/>
      </c>
      <c r="Z2200" s="34">
        <f>IF(OR($A2200="",$H2200&lt;&gt;"Ausgabe",L2200=""),0,IF(L2200="x",-$E2200/(COUNTIF($J2200:$Q2200,"x")+1),-$E2200*N(L2200)))</f>
        <v/>
      </c>
      <c r="AA2200" s="34">
        <f>IF(OR($A2200="",$H2200&lt;&gt;"Ausgabe",M2200=""),0,IF(M2200="x",-$E2200/(COUNTIF($J2200:$Q2200,"x")+1),-$E2200*N(M2200)))</f>
        <v/>
      </c>
      <c r="AB2200" s="34">
        <f>IF(OR($A2200="",$H2200&lt;&gt;"Ausgabe",N2200=""),0,IF(N2200="x",-$E2200/(COUNTIF($J2200:$Q2200,"x")+1),-$E2200*N(N2200)))</f>
        <v/>
      </c>
      <c r="AC2200" s="34">
        <f>IF(OR($A2200="",$H2200&lt;&gt;"Ausgabe",O2200=""),0,IF(O2200="x",-$E2200/(COUNTIF($J2200:$Q2200,"x")+1),-$E2200*N(O2200)))</f>
        <v/>
      </c>
      <c r="AD2200" s="34">
        <f>IF(OR($A2200="",$H2200&lt;&gt;"Ausgabe",P2200=""),0,IF(P2200="x",-$E2200/(COUNTIF($J2200:$Q2200,"x")+1),-$E2200*N(P2200)))</f>
        <v/>
      </c>
      <c r="AE2200" s="34">
        <f>IF(OR($A2200="",$H2200&lt;&gt;"Ausgabe",Q2200=""),0,IF(Q2200="x",-$E2200/(COUNTIF($J2200:$Q2200,"x")+1),-$E2200*N(Q2200)))</f>
        <v/>
      </c>
    </row>
    <row r="2201">
      <c r="A2201" s="30" t="n"/>
      <c r="E2201" s="31" t="n"/>
      <c r="J2201" s="32" t="n"/>
      <c r="K2201" s="32" t="n"/>
      <c r="L2201" s="32" t="n"/>
      <c r="M2201" s="32" t="n"/>
      <c r="N2201" s="32" t="n"/>
      <c r="O2201" s="32" t="n"/>
      <c r="P2201" s="32" t="n"/>
      <c r="Q2201" s="32" t="n"/>
      <c r="U2201" s="31">
        <f>IF($A2201="","",SUM(X2201:AE2201))</f>
        <v/>
      </c>
      <c r="V2201" s="31">
        <f>IF($A2201="","",IF($H2201&lt;&gt;"Ausgabe",0,-$E2201-$U2201))</f>
        <v/>
      </c>
      <c r="W2201" s="33">
        <f>IF($A2201="","",DATE(YEAR($A2201),MONTH($A2201),1))</f>
        <v/>
      </c>
      <c r="X2201" s="34">
        <f>IF(OR($A2201="",$H2201&lt;&gt;"Ausgabe",J2201=""),0,IF(J2201="x",-$E2201/(COUNTIF($J2201:$Q2201,"x")+1),-$E2201*N(J2201)))</f>
        <v/>
      </c>
      <c r="Y2201" s="34">
        <f>IF(OR($A2201="",$H2201&lt;&gt;"Ausgabe",K2201=""),0,IF(K2201="x",-$E2201/(COUNTIF($J2201:$Q2201,"x")+1),-$E2201*N(K2201)))</f>
        <v/>
      </c>
      <c r="Z2201" s="34">
        <f>IF(OR($A2201="",$H2201&lt;&gt;"Ausgabe",L2201=""),0,IF(L2201="x",-$E2201/(COUNTIF($J2201:$Q2201,"x")+1),-$E2201*N(L2201)))</f>
        <v/>
      </c>
      <c r="AA2201" s="34">
        <f>IF(OR($A2201="",$H2201&lt;&gt;"Ausgabe",M2201=""),0,IF(M2201="x",-$E2201/(COUNTIF($J2201:$Q2201,"x")+1),-$E2201*N(M2201)))</f>
        <v/>
      </c>
      <c r="AB2201" s="34">
        <f>IF(OR($A2201="",$H2201&lt;&gt;"Ausgabe",N2201=""),0,IF(N2201="x",-$E2201/(COUNTIF($J2201:$Q2201,"x")+1),-$E2201*N(N2201)))</f>
        <v/>
      </c>
      <c r="AC2201" s="34">
        <f>IF(OR($A2201="",$H2201&lt;&gt;"Ausgabe",O2201=""),0,IF(O2201="x",-$E2201/(COUNTIF($J2201:$Q2201,"x")+1),-$E2201*N(O2201)))</f>
        <v/>
      </c>
      <c r="AD2201" s="34">
        <f>IF(OR($A2201="",$H2201&lt;&gt;"Ausgabe",P2201=""),0,IF(P2201="x",-$E2201/(COUNTIF($J2201:$Q2201,"x")+1),-$E2201*N(P2201)))</f>
        <v/>
      </c>
      <c r="AE2201" s="34">
        <f>IF(OR($A2201="",$H2201&lt;&gt;"Ausgabe",Q2201=""),0,IF(Q2201="x",-$E2201/(COUNTIF($J2201:$Q2201,"x")+1),-$E2201*N(Q2201)))</f>
        <v/>
      </c>
    </row>
    <row r="2202">
      <c r="A2202" s="30" t="n"/>
      <c r="E2202" s="31" t="n"/>
      <c r="J2202" s="32" t="n"/>
      <c r="K2202" s="32" t="n"/>
      <c r="L2202" s="32" t="n"/>
      <c r="M2202" s="32" t="n"/>
      <c r="N2202" s="32" t="n"/>
      <c r="O2202" s="32" t="n"/>
      <c r="P2202" s="32" t="n"/>
      <c r="Q2202" s="32" t="n"/>
      <c r="U2202" s="31">
        <f>IF($A2202="","",SUM(X2202:AE2202))</f>
        <v/>
      </c>
      <c r="V2202" s="31">
        <f>IF($A2202="","",IF($H2202&lt;&gt;"Ausgabe",0,-$E2202-$U2202))</f>
        <v/>
      </c>
      <c r="W2202" s="33">
        <f>IF($A2202="","",DATE(YEAR($A2202),MONTH($A2202),1))</f>
        <v/>
      </c>
      <c r="X2202" s="34">
        <f>IF(OR($A2202="",$H2202&lt;&gt;"Ausgabe",J2202=""),0,IF(J2202="x",-$E2202/(COUNTIF($J2202:$Q2202,"x")+1),-$E2202*N(J2202)))</f>
        <v/>
      </c>
      <c r="Y2202" s="34">
        <f>IF(OR($A2202="",$H2202&lt;&gt;"Ausgabe",K2202=""),0,IF(K2202="x",-$E2202/(COUNTIF($J2202:$Q2202,"x")+1),-$E2202*N(K2202)))</f>
        <v/>
      </c>
      <c r="Z2202" s="34">
        <f>IF(OR($A2202="",$H2202&lt;&gt;"Ausgabe",L2202=""),0,IF(L2202="x",-$E2202/(COUNTIF($J2202:$Q2202,"x")+1),-$E2202*N(L2202)))</f>
        <v/>
      </c>
      <c r="AA2202" s="34">
        <f>IF(OR($A2202="",$H2202&lt;&gt;"Ausgabe",M2202=""),0,IF(M2202="x",-$E2202/(COUNTIF($J2202:$Q2202,"x")+1),-$E2202*N(M2202)))</f>
        <v/>
      </c>
      <c r="AB2202" s="34">
        <f>IF(OR($A2202="",$H2202&lt;&gt;"Ausgabe",N2202=""),0,IF(N2202="x",-$E2202/(COUNTIF($J2202:$Q2202,"x")+1),-$E2202*N(N2202)))</f>
        <v/>
      </c>
      <c r="AC2202" s="34">
        <f>IF(OR($A2202="",$H2202&lt;&gt;"Ausgabe",O2202=""),0,IF(O2202="x",-$E2202/(COUNTIF($J2202:$Q2202,"x")+1),-$E2202*N(O2202)))</f>
        <v/>
      </c>
      <c r="AD2202" s="34">
        <f>IF(OR($A2202="",$H2202&lt;&gt;"Ausgabe",P2202=""),0,IF(P2202="x",-$E2202/(COUNTIF($J2202:$Q2202,"x")+1),-$E2202*N(P2202)))</f>
        <v/>
      </c>
      <c r="AE2202" s="34">
        <f>IF(OR($A2202="",$H2202&lt;&gt;"Ausgabe",Q2202=""),0,IF(Q2202="x",-$E2202/(COUNTIF($J2202:$Q2202,"x")+1),-$E2202*N(Q2202)))</f>
        <v/>
      </c>
    </row>
    <row r="2203">
      <c r="A2203" s="30" t="n"/>
      <c r="E2203" s="31" t="n"/>
      <c r="J2203" s="32" t="n"/>
      <c r="K2203" s="32" t="n"/>
      <c r="L2203" s="32" t="n"/>
      <c r="M2203" s="32" t="n"/>
      <c r="N2203" s="32" t="n"/>
      <c r="O2203" s="32" t="n"/>
      <c r="P2203" s="32" t="n"/>
      <c r="Q2203" s="32" t="n"/>
      <c r="U2203" s="31">
        <f>IF($A2203="","",SUM(X2203:AE2203))</f>
        <v/>
      </c>
      <c r="V2203" s="31">
        <f>IF($A2203="","",IF($H2203&lt;&gt;"Ausgabe",0,-$E2203-$U2203))</f>
        <v/>
      </c>
      <c r="W2203" s="33">
        <f>IF($A2203="","",DATE(YEAR($A2203),MONTH($A2203),1))</f>
        <v/>
      </c>
      <c r="X2203" s="34">
        <f>IF(OR($A2203="",$H2203&lt;&gt;"Ausgabe",J2203=""),0,IF(J2203="x",-$E2203/(COUNTIF($J2203:$Q2203,"x")+1),-$E2203*N(J2203)))</f>
        <v/>
      </c>
      <c r="Y2203" s="34">
        <f>IF(OR($A2203="",$H2203&lt;&gt;"Ausgabe",K2203=""),0,IF(K2203="x",-$E2203/(COUNTIF($J2203:$Q2203,"x")+1),-$E2203*N(K2203)))</f>
        <v/>
      </c>
      <c r="Z2203" s="34">
        <f>IF(OR($A2203="",$H2203&lt;&gt;"Ausgabe",L2203=""),0,IF(L2203="x",-$E2203/(COUNTIF($J2203:$Q2203,"x")+1),-$E2203*N(L2203)))</f>
        <v/>
      </c>
      <c r="AA2203" s="34">
        <f>IF(OR($A2203="",$H2203&lt;&gt;"Ausgabe",M2203=""),0,IF(M2203="x",-$E2203/(COUNTIF($J2203:$Q2203,"x")+1),-$E2203*N(M2203)))</f>
        <v/>
      </c>
      <c r="AB2203" s="34">
        <f>IF(OR($A2203="",$H2203&lt;&gt;"Ausgabe",N2203=""),0,IF(N2203="x",-$E2203/(COUNTIF($J2203:$Q2203,"x")+1),-$E2203*N(N2203)))</f>
        <v/>
      </c>
      <c r="AC2203" s="34">
        <f>IF(OR($A2203="",$H2203&lt;&gt;"Ausgabe",O2203=""),0,IF(O2203="x",-$E2203/(COUNTIF($J2203:$Q2203,"x")+1),-$E2203*N(O2203)))</f>
        <v/>
      </c>
      <c r="AD2203" s="34">
        <f>IF(OR($A2203="",$H2203&lt;&gt;"Ausgabe",P2203=""),0,IF(P2203="x",-$E2203/(COUNTIF($J2203:$Q2203,"x")+1),-$E2203*N(P2203)))</f>
        <v/>
      </c>
      <c r="AE2203" s="34">
        <f>IF(OR($A2203="",$H2203&lt;&gt;"Ausgabe",Q2203=""),0,IF(Q2203="x",-$E2203/(COUNTIF($J2203:$Q2203,"x")+1),-$E2203*N(Q2203)))</f>
        <v/>
      </c>
    </row>
    <row r="2204">
      <c r="A2204" s="30" t="n"/>
      <c r="E2204" s="31" t="n"/>
      <c r="J2204" s="32" t="n"/>
      <c r="K2204" s="32" t="n"/>
      <c r="L2204" s="32" t="n"/>
      <c r="M2204" s="32" t="n"/>
      <c r="N2204" s="32" t="n"/>
      <c r="O2204" s="32" t="n"/>
      <c r="P2204" s="32" t="n"/>
      <c r="Q2204" s="32" t="n"/>
      <c r="U2204" s="31">
        <f>IF($A2204="","",SUM(X2204:AE2204))</f>
        <v/>
      </c>
      <c r="V2204" s="31">
        <f>IF($A2204="","",IF($H2204&lt;&gt;"Ausgabe",0,-$E2204-$U2204))</f>
        <v/>
      </c>
      <c r="W2204" s="33">
        <f>IF($A2204="","",DATE(YEAR($A2204),MONTH($A2204),1))</f>
        <v/>
      </c>
      <c r="X2204" s="34">
        <f>IF(OR($A2204="",$H2204&lt;&gt;"Ausgabe",J2204=""),0,IF(J2204="x",-$E2204/(COUNTIF($J2204:$Q2204,"x")+1),-$E2204*N(J2204)))</f>
        <v/>
      </c>
      <c r="Y2204" s="34">
        <f>IF(OR($A2204="",$H2204&lt;&gt;"Ausgabe",K2204=""),0,IF(K2204="x",-$E2204/(COUNTIF($J2204:$Q2204,"x")+1),-$E2204*N(K2204)))</f>
        <v/>
      </c>
      <c r="Z2204" s="34">
        <f>IF(OR($A2204="",$H2204&lt;&gt;"Ausgabe",L2204=""),0,IF(L2204="x",-$E2204/(COUNTIF($J2204:$Q2204,"x")+1),-$E2204*N(L2204)))</f>
        <v/>
      </c>
      <c r="AA2204" s="34">
        <f>IF(OR($A2204="",$H2204&lt;&gt;"Ausgabe",M2204=""),0,IF(M2204="x",-$E2204/(COUNTIF($J2204:$Q2204,"x")+1),-$E2204*N(M2204)))</f>
        <v/>
      </c>
      <c r="AB2204" s="34">
        <f>IF(OR($A2204="",$H2204&lt;&gt;"Ausgabe",N2204=""),0,IF(N2204="x",-$E2204/(COUNTIF($J2204:$Q2204,"x")+1),-$E2204*N(N2204)))</f>
        <v/>
      </c>
      <c r="AC2204" s="34">
        <f>IF(OR($A2204="",$H2204&lt;&gt;"Ausgabe",O2204=""),0,IF(O2204="x",-$E2204/(COUNTIF($J2204:$Q2204,"x")+1),-$E2204*N(O2204)))</f>
        <v/>
      </c>
      <c r="AD2204" s="34">
        <f>IF(OR($A2204="",$H2204&lt;&gt;"Ausgabe",P2204=""),0,IF(P2204="x",-$E2204/(COUNTIF($J2204:$Q2204,"x")+1),-$E2204*N(P2204)))</f>
        <v/>
      </c>
      <c r="AE2204" s="34">
        <f>IF(OR($A2204="",$H2204&lt;&gt;"Ausgabe",Q2204=""),0,IF(Q2204="x",-$E2204/(COUNTIF($J2204:$Q2204,"x")+1),-$E2204*N(Q2204)))</f>
        <v/>
      </c>
    </row>
    <row r="2205">
      <c r="A2205" s="30" t="n"/>
      <c r="E2205" s="31" t="n"/>
      <c r="J2205" s="32" t="n"/>
      <c r="K2205" s="32" t="n"/>
      <c r="L2205" s="32" t="n"/>
      <c r="M2205" s="32" t="n"/>
      <c r="N2205" s="32" t="n"/>
      <c r="O2205" s="32" t="n"/>
      <c r="P2205" s="32" t="n"/>
      <c r="Q2205" s="32" t="n"/>
      <c r="U2205" s="31">
        <f>IF($A2205="","",SUM(X2205:AE2205))</f>
        <v/>
      </c>
      <c r="V2205" s="31">
        <f>IF($A2205="","",IF($H2205&lt;&gt;"Ausgabe",0,-$E2205-$U2205))</f>
        <v/>
      </c>
      <c r="W2205" s="33">
        <f>IF($A2205="","",DATE(YEAR($A2205),MONTH($A2205),1))</f>
        <v/>
      </c>
      <c r="X2205" s="34">
        <f>IF(OR($A2205="",$H2205&lt;&gt;"Ausgabe",J2205=""),0,IF(J2205="x",-$E2205/(COUNTIF($J2205:$Q2205,"x")+1),-$E2205*N(J2205)))</f>
        <v/>
      </c>
      <c r="Y2205" s="34">
        <f>IF(OR($A2205="",$H2205&lt;&gt;"Ausgabe",K2205=""),0,IF(K2205="x",-$E2205/(COUNTIF($J2205:$Q2205,"x")+1),-$E2205*N(K2205)))</f>
        <v/>
      </c>
      <c r="Z2205" s="34">
        <f>IF(OR($A2205="",$H2205&lt;&gt;"Ausgabe",L2205=""),0,IF(L2205="x",-$E2205/(COUNTIF($J2205:$Q2205,"x")+1),-$E2205*N(L2205)))</f>
        <v/>
      </c>
      <c r="AA2205" s="34">
        <f>IF(OR($A2205="",$H2205&lt;&gt;"Ausgabe",M2205=""),0,IF(M2205="x",-$E2205/(COUNTIF($J2205:$Q2205,"x")+1),-$E2205*N(M2205)))</f>
        <v/>
      </c>
      <c r="AB2205" s="34">
        <f>IF(OR($A2205="",$H2205&lt;&gt;"Ausgabe",N2205=""),0,IF(N2205="x",-$E2205/(COUNTIF($J2205:$Q2205,"x")+1),-$E2205*N(N2205)))</f>
        <v/>
      </c>
      <c r="AC2205" s="34">
        <f>IF(OR($A2205="",$H2205&lt;&gt;"Ausgabe",O2205=""),0,IF(O2205="x",-$E2205/(COUNTIF($J2205:$Q2205,"x")+1),-$E2205*N(O2205)))</f>
        <v/>
      </c>
      <c r="AD2205" s="34">
        <f>IF(OR($A2205="",$H2205&lt;&gt;"Ausgabe",P2205=""),0,IF(P2205="x",-$E2205/(COUNTIF($J2205:$Q2205,"x")+1),-$E2205*N(P2205)))</f>
        <v/>
      </c>
      <c r="AE2205" s="34">
        <f>IF(OR($A2205="",$H2205&lt;&gt;"Ausgabe",Q2205=""),0,IF(Q2205="x",-$E2205/(COUNTIF($J2205:$Q2205,"x")+1),-$E2205*N(Q2205)))</f>
        <v/>
      </c>
    </row>
    <row r="2206">
      <c r="A2206" s="30" t="n"/>
      <c r="E2206" s="31" t="n"/>
      <c r="J2206" s="32" t="n"/>
      <c r="K2206" s="32" t="n"/>
      <c r="L2206" s="32" t="n"/>
      <c r="M2206" s="32" t="n"/>
      <c r="N2206" s="32" t="n"/>
      <c r="O2206" s="32" t="n"/>
      <c r="P2206" s="32" t="n"/>
      <c r="Q2206" s="32" t="n"/>
      <c r="U2206" s="31">
        <f>IF($A2206="","",SUM(X2206:AE2206))</f>
        <v/>
      </c>
      <c r="V2206" s="31">
        <f>IF($A2206="","",IF($H2206&lt;&gt;"Ausgabe",0,-$E2206-$U2206))</f>
        <v/>
      </c>
      <c r="W2206" s="33">
        <f>IF($A2206="","",DATE(YEAR($A2206),MONTH($A2206),1))</f>
        <v/>
      </c>
      <c r="X2206" s="34">
        <f>IF(OR($A2206="",$H2206&lt;&gt;"Ausgabe",J2206=""),0,IF(J2206="x",-$E2206/(COUNTIF($J2206:$Q2206,"x")+1),-$E2206*N(J2206)))</f>
        <v/>
      </c>
      <c r="Y2206" s="34">
        <f>IF(OR($A2206="",$H2206&lt;&gt;"Ausgabe",K2206=""),0,IF(K2206="x",-$E2206/(COUNTIF($J2206:$Q2206,"x")+1),-$E2206*N(K2206)))</f>
        <v/>
      </c>
      <c r="Z2206" s="34">
        <f>IF(OR($A2206="",$H2206&lt;&gt;"Ausgabe",L2206=""),0,IF(L2206="x",-$E2206/(COUNTIF($J2206:$Q2206,"x")+1),-$E2206*N(L2206)))</f>
        <v/>
      </c>
      <c r="AA2206" s="34">
        <f>IF(OR($A2206="",$H2206&lt;&gt;"Ausgabe",M2206=""),0,IF(M2206="x",-$E2206/(COUNTIF($J2206:$Q2206,"x")+1),-$E2206*N(M2206)))</f>
        <v/>
      </c>
      <c r="AB2206" s="34">
        <f>IF(OR($A2206="",$H2206&lt;&gt;"Ausgabe",N2206=""),0,IF(N2206="x",-$E2206/(COUNTIF($J2206:$Q2206,"x")+1),-$E2206*N(N2206)))</f>
        <v/>
      </c>
      <c r="AC2206" s="34">
        <f>IF(OR($A2206="",$H2206&lt;&gt;"Ausgabe",O2206=""),0,IF(O2206="x",-$E2206/(COUNTIF($J2206:$Q2206,"x")+1),-$E2206*N(O2206)))</f>
        <v/>
      </c>
      <c r="AD2206" s="34">
        <f>IF(OR($A2206="",$H2206&lt;&gt;"Ausgabe",P2206=""),0,IF(P2206="x",-$E2206/(COUNTIF($J2206:$Q2206,"x")+1),-$E2206*N(P2206)))</f>
        <v/>
      </c>
      <c r="AE2206" s="34">
        <f>IF(OR($A2206="",$H2206&lt;&gt;"Ausgabe",Q2206=""),0,IF(Q2206="x",-$E2206/(COUNTIF($J2206:$Q2206,"x")+1),-$E2206*N(Q2206)))</f>
        <v/>
      </c>
    </row>
    <row r="2207">
      <c r="A2207" s="30" t="n"/>
      <c r="E2207" s="31" t="n"/>
      <c r="J2207" s="32" t="n"/>
      <c r="K2207" s="32" t="n"/>
      <c r="L2207" s="32" t="n"/>
      <c r="M2207" s="32" t="n"/>
      <c r="N2207" s="32" t="n"/>
      <c r="O2207" s="32" t="n"/>
      <c r="P2207" s="32" t="n"/>
      <c r="Q2207" s="32" t="n"/>
      <c r="U2207" s="31">
        <f>IF($A2207="","",SUM(X2207:AE2207))</f>
        <v/>
      </c>
      <c r="V2207" s="31">
        <f>IF($A2207="","",IF($H2207&lt;&gt;"Ausgabe",0,-$E2207-$U2207))</f>
        <v/>
      </c>
      <c r="W2207" s="33">
        <f>IF($A2207="","",DATE(YEAR($A2207),MONTH($A2207),1))</f>
        <v/>
      </c>
      <c r="X2207" s="34">
        <f>IF(OR($A2207="",$H2207&lt;&gt;"Ausgabe",J2207=""),0,IF(J2207="x",-$E2207/(COUNTIF($J2207:$Q2207,"x")+1),-$E2207*N(J2207)))</f>
        <v/>
      </c>
      <c r="Y2207" s="34">
        <f>IF(OR($A2207="",$H2207&lt;&gt;"Ausgabe",K2207=""),0,IF(K2207="x",-$E2207/(COUNTIF($J2207:$Q2207,"x")+1),-$E2207*N(K2207)))</f>
        <v/>
      </c>
      <c r="Z2207" s="34">
        <f>IF(OR($A2207="",$H2207&lt;&gt;"Ausgabe",L2207=""),0,IF(L2207="x",-$E2207/(COUNTIF($J2207:$Q2207,"x")+1),-$E2207*N(L2207)))</f>
        <v/>
      </c>
      <c r="AA2207" s="34">
        <f>IF(OR($A2207="",$H2207&lt;&gt;"Ausgabe",M2207=""),0,IF(M2207="x",-$E2207/(COUNTIF($J2207:$Q2207,"x")+1),-$E2207*N(M2207)))</f>
        <v/>
      </c>
      <c r="AB2207" s="34">
        <f>IF(OR($A2207="",$H2207&lt;&gt;"Ausgabe",N2207=""),0,IF(N2207="x",-$E2207/(COUNTIF($J2207:$Q2207,"x")+1),-$E2207*N(N2207)))</f>
        <v/>
      </c>
      <c r="AC2207" s="34">
        <f>IF(OR($A2207="",$H2207&lt;&gt;"Ausgabe",O2207=""),0,IF(O2207="x",-$E2207/(COUNTIF($J2207:$Q2207,"x")+1),-$E2207*N(O2207)))</f>
        <v/>
      </c>
      <c r="AD2207" s="34">
        <f>IF(OR($A2207="",$H2207&lt;&gt;"Ausgabe",P2207=""),0,IF(P2207="x",-$E2207/(COUNTIF($J2207:$Q2207,"x")+1),-$E2207*N(P2207)))</f>
        <v/>
      </c>
      <c r="AE2207" s="34">
        <f>IF(OR($A2207="",$H2207&lt;&gt;"Ausgabe",Q2207=""),0,IF(Q2207="x",-$E2207/(COUNTIF($J2207:$Q2207,"x")+1),-$E2207*N(Q2207)))</f>
        <v/>
      </c>
    </row>
    <row r="2208">
      <c r="A2208" s="30" t="n"/>
      <c r="E2208" s="31" t="n"/>
      <c r="J2208" s="32" t="n"/>
      <c r="K2208" s="32" t="n"/>
      <c r="L2208" s="32" t="n"/>
      <c r="M2208" s="32" t="n"/>
      <c r="N2208" s="32" t="n"/>
      <c r="O2208" s="32" t="n"/>
      <c r="P2208" s="32" t="n"/>
      <c r="Q2208" s="32" t="n"/>
      <c r="U2208" s="31">
        <f>IF($A2208="","",SUM(X2208:AE2208))</f>
        <v/>
      </c>
      <c r="V2208" s="31">
        <f>IF($A2208="","",IF($H2208&lt;&gt;"Ausgabe",0,-$E2208-$U2208))</f>
        <v/>
      </c>
      <c r="W2208" s="33">
        <f>IF($A2208="","",DATE(YEAR($A2208),MONTH($A2208),1))</f>
        <v/>
      </c>
      <c r="X2208" s="34">
        <f>IF(OR($A2208="",$H2208&lt;&gt;"Ausgabe",J2208=""),0,IF(J2208="x",-$E2208/(COUNTIF($J2208:$Q2208,"x")+1),-$E2208*N(J2208)))</f>
        <v/>
      </c>
      <c r="Y2208" s="34">
        <f>IF(OR($A2208="",$H2208&lt;&gt;"Ausgabe",K2208=""),0,IF(K2208="x",-$E2208/(COUNTIF($J2208:$Q2208,"x")+1),-$E2208*N(K2208)))</f>
        <v/>
      </c>
      <c r="Z2208" s="34">
        <f>IF(OR($A2208="",$H2208&lt;&gt;"Ausgabe",L2208=""),0,IF(L2208="x",-$E2208/(COUNTIF($J2208:$Q2208,"x")+1),-$E2208*N(L2208)))</f>
        <v/>
      </c>
      <c r="AA2208" s="34">
        <f>IF(OR($A2208="",$H2208&lt;&gt;"Ausgabe",M2208=""),0,IF(M2208="x",-$E2208/(COUNTIF($J2208:$Q2208,"x")+1),-$E2208*N(M2208)))</f>
        <v/>
      </c>
      <c r="AB2208" s="34">
        <f>IF(OR($A2208="",$H2208&lt;&gt;"Ausgabe",N2208=""),0,IF(N2208="x",-$E2208/(COUNTIF($J2208:$Q2208,"x")+1),-$E2208*N(N2208)))</f>
        <v/>
      </c>
      <c r="AC2208" s="34">
        <f>IF(OR($A2208="",$H2208&lt;&gt;"Ausgabe",O2208=""),0,IF(O2208="x",-$E2208/(COUNTIF($J2208:$Q2208,"x")+1),-$E2208*N(O2208)))</f>
        <v/>
      </c>
      <c r="AD2208" s="34">
        <f>IF(OR($A2208="",$H2208&lt;&gt;"Ausgabe",P2208=""),0,IF(P2208="x",-$E2208/(COUNTIF($J2208:$Q2208,"x")+1),-$E2208*N(P2208)))</f>
        <v/>
      </c>
      <c r="AE2208" s="34">
        <f>IF(OR($A2208="",$H2208&lt;&gt;"Ausgabe",Q2208=""),0,IF(Q2208="x",-$E2208/(COUNTIF($J2208:$Q2208,"x")+1),-$E2208*N(Q2208)))</f>
        <v/>
      </c>
    </row>
    <row r="2209">
      <c r="A2209" s="30" t="n"/>
      <c r="E2209" s="31" t="n"/>
      <c r="J2209" s="32" t="n"/>
      <c r="K2209" s="32" t="n"/>
      <c r="L2209" s="32" t="n"/>
      <c r="M2209" s="32" t="n"/>
      <c r="N2209" s="32" t="n"/>
      <c r="O2209" s="32" t="n"/>
      <c r="P2209" s="32" t="n"/>
      <c r="Q2209" s="32" t="n"/>
      <c r="U2209" s="31">
        <f>IF($A2209="","",SUM(X2209:AE2209))</f>
        <v/>
      </c>
      <c r="V2209" s="31">
        <f>IF($A2209="","",IF($H2209&lt;&gt;"Ausgabe",0,-$E2209-$U2209))</f>
        <v/>
      </c>
      <c r="W2209" s="33">
        <f>IF($A2209="","",DATE(YEAR($A2209),MONTH($A2209),1))</f>
        <v/>
      </c>
      <c r="X2209" s="34">
        <f>IF(OR($A2209="",$H2209&lt;&gt;"Ausgabe",J2209=""),0,IF(J2209="x",-$E2209/(COUNTIF($J2209:$Q2209,"x")+1),-$E2209*N(J2209)))</f>
        <v/>
      </c>
      <c r="Y2209" s="34">
        <f>IF(OR($A2209="",$H2209&lt;&gt;"Ausgabe",K2209=""),0,IF(K2209="x",-$E2209/(COUNTIF($J2209:$Q2209,"x")+1),-$E2209*N(K2209)))</f>
        <v/>
      </c>
      <c r="Z2209" s="34">
        <f>IF(OR($A2209="",$H2209&lt;&gt;"Ausgabe",L2209=""),0,IF(L2209="x",-$E2209/(COUNTIF($J2209:$Q2209,"x")+1),-$E2209*N(L2209)))</f>
        <v/>
      </c>
      <c r="AA2209" s="34">
        <f>IF(OR($A2209="",$H2209&lt;&gt;"Ausgabe",M2209=""),0,IF(M2209="x",-$E2209/(COUNTIF($J2209:$Q2209,"x")+1),-$E2209*N(M2209)))</f>
        <v/>
      </c>
      <c r="AB2209" s="34">
        <f>IF(OR($A2209="",$H2209&lt;&gt;"Ausgabe",N2209=""),0,IF(N2209="x",-$E2209/(COUNTIF($J2209:$Q2209,"x")+1),-$E2209*N(N2209)))</f>
        <v/>
      </c>
      <c r="AC2209" s="34">
        <f>IF(OR($A2209="",$H2209&lt;&gt;"Ausgabe",O2209=""),0,IF(O2209="x",-$E2209/(COUNTIF($J2209:$Q2209,"x")+1),-$E2209*N(O2209)))</f>
        <v/>
      </c>
      <c r="AD2209" s="34">
        <f>IF(OR($A2209="",$H2209&lt;&gt;"Ausgabe",P2209=""),0,IF(P2209="x",-$E2209/(COUNTIF($J2209:$Q2209,"x")+1),-$E2209*N(P2209)))</f>
        <v/>
      </c>
      <c r="AE2209" s="34">
        <f>IF(OR($A2209="",$H2209&lt;&gt;"Ausgabe",Q2209=""),0,IF(Q2209="x",-$E2209/(COUNTIF($J2209:$Q2209,"x")+1),-$E2209*N(Q2209)))</f>
        <v/>
      </c>
    </row>
    <row r="2210">
      <c r="A2210" s="30" t="n"/>
      <c r="E2210" s="31" t="n"/>
      <c r="J2210" s="32" t="n"/>
      <c r="K2210" s="32" t="n"/>
      <c r="L2210" s="32" t="n"/>
      <c r="M2210" s="32" t="n"/>
      <c r="N2210" s="32" t="n"/>
      <c r="O2210" s="32" t="n"/>
      <c r="P2210" s="32" t="n"/>
      <c r="Q2210" s="32" t="n"/>
      <c r="U2210" s="31">
        <f>IF($A2210="","",SUM(X2210:AE2210))</f>
        <v/>
      </c>
      <c r="V2210" s="31">
        <f>IF($A2210="","",IF($H2210&lt;&gt;"Ausgabe",0,-$E2210-$U2210))</f>
        <v/>
      </c>
      <c r="W2210" s="33">
        <f>IF($A2210="","",DATE(YEAR($A2210),MONTH($A2210),1))</f>
        <v/>
      </c>
      <c r="X2210" s="34">
        <f>IF(OR($A2210="",$H2210&lt;&gt;"Ausgabe",J2210=""),0,IF(J2210="x",-$E2210/(COUNTIF($J2210:$Q2210,"x")+1),-$E2210*N(J2210)))</f>
        <v/>
      </c>
      <c r="Y2210" s="34">
        <f>IF(OR($A2210="",$H2210&lt;&gt;"Ausgabe",K2210=""),0,IF(K2210="x",-$E2210/(COUNTIF($J2210:$Q2210,"x")+1),-$E2210*N(K2210)))</f>
        <v/>
      </c>
      <c r="Z2210" s="34">
        <f>IF(OR($A2210="",$H2210&lt;&gt;"Ausgabe",L2210=""),0,IF(L2210="x",-$E2210/(COUNTIF($J2210:$Q2210,"x")+1),-$E2210*N(L2210)))</f>
        <v/>
      </c>
      <c r="AA2210" s="34">
        <f>IF(OR($A2210="",$H2210&lt;&gt;"Ausgabe",M2210=""),0,IF(M2210="x",-$E2210/(COUNTIF($J2210:$Q2210,"x")+1),-$E2210*N(M2210)))</f>
        <v/>
      </c>
      <c r="AB2210" s="34">
        <f>IF(OR($A2210="",$H2210&lt;&gt;"Ausgabe",N2210=""),0,IF(N2210="x",-$E2210/(COUNTIF($J2210:$Q2210,"x")+1),-$E2210*N(N2210)))</f>
        <v/>
      </c>
      <c r="AC2210" s="34">
        <f>IF(OR($A2210="",$H2210&lt;&gt;"Ausgabe",O2210=""),0,IF(O2210="x",-$E2210/(COUNTIF($J2210:$Q2210,"x")+1),-$E2210*N(O2210)))</f>
        <v/>
      </c>
      <c r="AD2210" s="34">
        <f>IF(OR($A2210="",$H2210&lt;&gt;"Ausgabe",P2210=""),0,IF(P2210="x",-$E2210/(COUNTIF($J2210:$Q2210,"x")+1),-$E2210*N(P2210)))</f>
        <v/>
      </c>
      <c r="AE2210" s="34">
        <f>IF(OR($A2210="",$H2210&lt;&gt;"Ausgabe",Q2210=""),0,IF(Q2210="x",-$E2210/(COUNTIF($J2210:$Q2210,"x")+1),-$E2210*N(Q2210)))</f>
        <v/>
      </c>
    </row>
    <row r="2211">
      <c r="A2211" s="30" t="n"/>
      <c r="E2211" s="31" t="n"/>
      <c r="J2211" s="32" t="n"/>
      <c r="K2211" s="32" t="n"/>
      <c r="L2211" s="32" t="n"/>
      <c r="M2211" s="32" t="n"/>
      <c r="N2211" s="32" t="n"/>
      <c r="O2211" s="32" t="n"/>
      <c r="P2211" s="32" t="n"/>
      <c r="Q2211" s="32" t="n"/>
      <c r="U2211" s="31">
        <f>IF($A2211="","",SUM(X2211:AE2211))</f>
        <v/>
      </c>
      <c r="V2211" s="31">
        <f>IF($A2211="","",IF($H2211&lt;&gt;"Ausgabe",0,-$E2211-$U2211))</f>
        <v/>
      </c>
      <c r="W2211" s="33">
        <f>IF($A2211="","",DATE(YEAR($A2211),MONTH($A2211),1))</f>
        <v/>
      </c>
      <c r="X2211" s="34">
        <f>IF(OR($A2211="",$H2211&lt;&gt;"Ausgabe",J2211=""),0,IF(J2211="x",-$E2211/(COUNTIF($J2211:$Q2211,"x")+1),-$E2211*N(J2211)))</f>
        <v/>
      </c>
      <c r="Y2211" s="34">
        <f>IF(OR($A2211="",$H2211&lt;&gt;"Ausgabe",K2211=""),0,IF(K2211="x",-$E2211/(COUNTIF($J2211:$Q2211,"x")+1),-$E2211*N(K2211)))</f>
        <v/>
      </c>
      <c r="Z2211" s="34">
        <f>IF(OR($A2211="",$H2211&lt;&gt;"Ausgabe",L2211=""),0,IF(L2211="x",-$E2211/(COUNTIF($J2211:$Q2211,"x")+1),-$E2211*N(L2211)))</f>
        <v/>
      </c>
      <c r="AA2211" s="34">
        <f>IF(OR($A2211="",$H2211&lt;&gt;"Ausgabe",M2211=""),0,IF(M2211="x",-$E2211/(COUNTIF($J2211:$Q2211,"x")+1),-$E2211*N(M2211)))</f>
        <v/>
      </c>
      <c r="AB2211" s="34">
        <f>IF(OR($A2211="",$H2211&lt;&gt;"Ausgabe",N2211=""),0,IF(N2211="x",-$E2211/(COUNTIF($J2211:$Q2211,"x")+1),-$E2211*N(N2211)))</f>
        <v/>
      </c>
      <c r="AC2211" s="34">
        <f>IF(OR($A2211="",$H2211&lt;&gt;"Ausgabe",O2211=""),0,IF(O2211="x",-$E2211/(COUNTIF($J2211:$Q2211,"x")+1),-$E2211*N(O2211)))</f>
        <v/>
      </c>
      <c r="AD2211" s="34">
        <f>IF(OR($A2211="",$H2211&lt;&gt;"Ausgabe",P2211=""),0,IF(P2211="x",-$E2211/(COUNTIF($J2211:$Q2211,"x")+1),-$E2211*N(P2211)))</f>
        <v/>
      </c>
      <c r="AE2211" s="34">
        <f>IF(OR($A2211="",$H2211&lt;&gt;"Ausgabe",Q2211=""),0,IF(Q2211="x",-$E2211/(COUNTIF($J2211:$Q2211,"x")+1),-$E2211*N(Q2211)))</f>
        <v/>
      </c>
    </row>
    <row r="2212">
      <c r="A2212" s="30" t="n"/>
      <c r="E2212" s="31" t="n"/>
      <c r="J2212" s="32" t="n"/>
      <c r="K2212" s="32" t="n"/>
      <c r="L2212" s="32" t="n"/>
      <c r="M2212" s="32" t="n"/>
      <c r="N2212" s="32" t="n"/>
      <c r="O2212" s="32" t="n"/>
      <c r="P2212" s="32" t="n"/>
      <c r="Q2212" s="32" t="n"/>
      <c r="U2212" s="31">
        <f>IF($A2212="","",SUM(X2212:AE2212))</f>
        <v/>
      </c>
      <c r="V2212" s="31">
        <f>IF($A2212="","",IF($H2212&lt;&gt;"Ausgabe",0,-$E2212-$U2212))</f>
        <v/>
      </c>
      <c r="W2212" s="33">
        <f>IF($A2212="","",DATE(YEAR($A2212),MONTH($A2212),1))</f>
        <v/>
      </c>
      <c r="X2212" s="34">
        <f>IF(OR($A2212="",$H2212&lt;&gt;"Ausgabe",J2212=""),0,IF(J2212="x",-$E2212/(COUNTIF($J2212:$Q2212,"x")+1),-$E2212*N(J2212)))</f>
        <v/>
      </c>
      <c r="Y2212" s="34">
        <f>IF(OR($A2212="",$H2212&lt;&gt;"Ausgabe",K2212=""),0,IF(K2212="x",-$E2212/(COUNTIF($J2212:$Q2212,"x")+1),-$E2212*N(K2212)))</f>
        <v/>
      </c>
      <c r="Z2212" s="34">
        <f>IF(OR($A2212="",$H2212&lt;&gt;"Ausgabe",L2212=""),0,IF(L2212="x",-$E2212/(COUNTIF($J2212:$Q2212,"x")+1),-$E2212*N(L2212)))</f>
        <v/>
      </c>
      <c r="AA2212" s="34">
        <f>IF(OR($A2212="",$H2212&lt;&gt;"Ausgabe",M2212=""),0,IF(M2212="x",-$E2212/(COUNTIF($J2212:$Q2212,"x")+1),-$E2212*N(M2212)))</f>
        <v/>
      </c>
      <c r="AB2212" s="34">
        <f>IF(OR($A2212="",$H2212&lt;&gt;"Ausgabe",N2212=""),0,IF(N2212="x",-$E2212/(COUNTIF($J2212:$Q2212,"x")+1),-$E2212*N(N2212)))</f>
        <v/>
      </c>
      <c r="AC2212" s="34">
        <f>IF(OR($A2212="",$H2212&lt;&gt;"Ausgabe",O2212=""),0,IF(O2212="x",-$E2212/(COUNTIF($J2212:$Q2212,"x")+1),-$E2212*N(O2212)))</f>
        <v/>
      </c>
      <c r="AD2212" s="34">
        <f>IF(OR($A2212="",$H2212&lt;&gt;"Ausgabe",P2212=""),0,IF(P2212="x",-$E2212/(COUNTIF($J2212:$Q2212,"x")+1),-$E2212*N(P2212)))</f>
        <v/>
      </c>
      <c r="AE2212" s="34">
        <f>IF(OR($A2212="",$H2212&lt;&gt;"Ausgabe",Q2212=""),0,IF(Q2212="x",-$E2212/(COUNTIF($J2212:$Q2212,"x")+1),-$E2212*N(Q2212)))</f>
        <v/>
      </c>
    </row>
    <row r="2213">
      <c r="A2213" s="30" t="n"/>
      <c r="E2213" s="31" t="n"/>
      <c r="J2213" s="32" t="n"/>
      <c r="K2213" s="32" t="n"/>
      <c r="L2213" s="32" t="n"/>
      <c r="M2213" s="32" t="n"/>
      <c r="N2213" s="32" t="n"/>
      <c r="O2213" s="32" t="n"/>
      <c r="P2213" s="32" t="n"/>
      <c r="Q2213" s="32" t="n"/>
      <c r="U2213" s="31">
        <f>IF($A2213="","",SUM(X2213:AE2213))</f>
        <v/>
      </c>
      <c r="V2213" s="31">
        <f>IF($A2213="","",IF($H2213&lt;&gt;"Ausgabe",0,-$E2213-$U2213))</f>
        <v/>
      </c>
      <c r="W2213" s="33">
        <f>IF($A2213="","",DATE(YEAR($A2213),MONTH($A2213),1))</f>
        <v/>
      </c>
      <c r="X2213" s="34">
        <f>IF(OR($A2213="",$H2213&lt;&gt;"Ausgabe",J2213=""),0,IF(J2213="x",-$E2213/(COUNTIF($J2213:$Q2213,"x")+1),-$E2213*N(J2213)))</f>
        <v/>
      </c>
      <c r="Y2213" s="34">
        <f>IF(OR($A2213="",$H2213&lt;&gt;"Ausgabe",K2213=""),0,IF(K2213="x",-$E2213/(COUNTIF($J2213:$Q2213,"x")+1),-$E2213*N(K2213)))</f>
        <v/>
      </c>
      <c r="Z2213" s="34">
        <f>IF(OR($A2213="",$H2213&lt;&gt;"Ausgabe",L2213=""),0,IF(L2213="x",-$E2213/(COUNTIF($J2213:$Q2213,"x")+1),-$E2213*N(L2213)))</f>
        <v/>
      </c>
      <c r="AA2213" s="34">
        <f>IF(OR($A2213="",$H2213&lt;&gt;"Ausgabe",M2213=""),0,IF(M2213="x",-$E2213/(COUNTIF($J2213:$Q2213,"x")+1),-$E2213*N(M2213)))</f>
        <v/>
      </c>
      <c r="AB2213" s="34">
        <f>IF(OR($A2213="",$H2213&lt;&gt;"Ausgabe",N2213=""),0,IF(N2213="x",-$E2213/(COUNTIF($J2213:$Q2213,"x")+1),-$E2213*N(N2213)))</f>
        <v/>
      </c>
      <c r="AC2213" s="34">
        <f>IF(OR($A2213="",$H2213&lt;&gt;"Ausgabe",O2213=""),0,IF(O2213="x",-$E2213/(COUNTIF($J2213:$Q2213,"x")+1),-$E2213*N(O2213)))</f>
        <v/>
      </c>
      <c r="AD2213" s="34">
        <f>IF(OR($A2213="",$H2213&lt;&gt;"Ausgabe",P2213=""),0,IF(P2213="x",-$E2213/(COUNTIF($J2213:$Q2213,"x")+1),-$E2213*N(P2213)))</f>
        <v/>
      </c>
      <c r="AE2213" s="34">
        <f>IF(OR($A2213="",$H2213&lt;&gt;"Ausgabe",Q2213=""),0,IF(Q2213="x",-$E2213/(COUNTIF($J2213:$Q2213,"x")+1),-$E2213*N(Q2213)))</f>
        <v/>
      </c>
    </row>
    <row r="2214">
      <c r="A2214" s="30" t="n"/>
      <c r="E2214" s="31" t="n"/>
      <c r="J2214" s="32" t="n"/>
      <c r="K2214" s="32" t="n"/>
      <c r="L2214" s="32" t="n"/>
      <c r="M2214" s="32" t="n"/>
      <c r="N2214" s="32" t="n"/>
      <c r="O2214" s="32" t="n"/>
      <c r="P2214" s="32" t="n"/>
      <c r="Q2214" s="32" t="n"/>
      <c r="U2214" s="31">
        <f>IF($A2214="","",SUM(X2214:AE2214))</f>
        <v/>
      </c>
      <c r="V2214" s="31">
        <f>IF($A2214="","",IF($H2214&lt;&gt;"Ausgabe",0,-$E2214-$U2214))</f>
        <v/>
      </c>
      <c r="W2214" s="33">
        <f>IF($A2214="","",DATE(YEAR($A2214),MONTH($A2214),1))</f>
        <v/>
      </c>
      <c r="X2214" s="34">
        <f>IF(OR($A2214="",$H2214&lt;&gt;"Ausgabe",J2214=""),0,IF(J2214="x",-$E2214/(COUNTIF($J2214:$Q2214,"x")+1),-$E2214*N(J2214)))</f>
        <v/>
      </c>
      <c r="Y2214" s="34">
        <f>IF(OR($A2214="",$H2214&lt;&gt;"Ausgabe",K2214=""),0,IF(K2214="x",-$E2214/(COUNTIF($J2214:$Q2214,"x")+1),-$E2214*N(K2214)))</f>
        <v/>
      </c>
      <c r="Z2214" s="34">
        <f>IF(OR($A2214="",$H2214&lt;&gt;"Ausgabe",L2214=""),0,IF(L2214="x",-$E2214/(COUNTIF($J2214:$Q2214,"x")+1),-$E2214*N(L2214)))</f>
        <v/>
      </c>
      <c r="AA2214" s="34">
        <f>IF(OR($A2214="",$H2214&lt;&gt;"Ausgabe",M2214=""),0,IF(M2214="x",-$E2214/(COUNTIF($J2214:$Q2214,"x")+1),-$E2214*N(M2214)))</f>
        <v/>
      </c>
      <c r="AB2214" s="34">
        <f>IF(OR($A2214="",$H2214&lt;&gt;"Ausgabe",N2214=""),0,IF(N2214="x",-$E2214/(COUNTIF($J2214:$Q2214,"x")+1),-$E2214*N(N2214)))</f>
        <v/>
      </c>
      <c r="AC2214" s="34">
        <f>IF(OR($A2214="",$H2214&lt;&gt;"Ausgabe",O2214=""),0,IF(O2214="x",-$E2214/(COUNTIF($J2214:$Q2214,"x")+1),-$E2214*N(O2214)))</f>
        <v/>
      </c>
      <c r="AD2214" s="34">
        <f>IF(OR($A2214="",$H2214&lt;&gt;"Ausgabe",P2214=""),0,IF(P2214="x",-$E2214/(COUNTIF($J2214:$Q2214,"x")+1),-$E2214*N(P2214)))</f>
        <v/>
      </c>
      <c r="AE2214" s="34">
        <f>IF(OR($A2214="",$H2214&lt;&gt;"Ausgabe",Q2214=""),0,IF(Q2214="x",-$E2214/(COUNTIF($J2214:$Q2214,"x")+1),-$E2214*N(Q2214)))</f>
        <v/>
      </c>
    </row>
    <row r="2215">
      <c r="A2215" s="30" t="n"/>
      <c r="E2215" s="31" t="n"/>
      <c r="J2215" s="32" t="n"/>
      <c r="K2215" s="32" t="n"/>
      <c r="L2215" s="32" t="n"/>
      <c r="M2215" s="32" t="n"/>
      <c r="N2215" s="32" t="n"/>
      <c r="O2215" s="32" t="n"/>
      <c r="P2215" s="32" t="n"/>
      <c r="Q2215" s="32" t="n"/>
      <c r="U2215" s="31">
        <f>IF($A2215="","",SUM(X2215:AE2215))</f>
        <v/>
      </c>
      <c r="V2215" s="31">
        <f>IF($A2215="","",IF($H2215&lt;&gt;"Ausgabe",0,-$E2215-$U2215))</f>
        <v/>
      </c>
      <c r="W2215" s="33">
        <f>IF($A2215="","",DATE(YEAR($A2215),MONTH($A2215),1))</f>
        <v/>
      </c>
      <c r="X2215" s="34">
        <f>IF(OR($A2215="",$H2215&lt;&gt;"Ausgabe",J2215=""),0,IF(J2215="x",-$E2215/(COUNTIF($J2215:$Q2215,"x")+1),-$E2215*N(J2215)))</f>
        <v/>
      </c>
      <c r="Y2215" s="34">
        <f>IF(OR($A2215="",$H2215&lt;&gt;"Ausgabe",K2215=""),0,IF(K2215="x",-$E2215/(COUNTIF($J2215:$Q2215,"x")+1),-$E2215*N(K2215)))</f>
        <v/>
      </c>
      <c r="Z2215" s="34">
        <f>IF(OR($A2215="",$H2215&lt;&gt;"Ausgabe",L2215=""),0,IF(L2215="x",-$E2215/(COUNTIF($J2215:$Q2215,"x")+1),-$E2215*N(L2215)))</f>
        <v/>
      </c>
      <c r="AA2215" s="34">
        <f>IF(OR($A2215="",$H2215&lt;&gt;"Ausgabe",M2215=""),0,IF(M2215="x",-$E2215/(COUNTIF($J2215:$Q2215,"x")+1),-$E2215*N(M2215)))</f>
        <v/>
      </c>
      <c r="AB2215" s="34">
        <f>IF(OR($A2215="",$H2215&lt;&gt;"Ausgabe",N2215=""),0,IF(N2215="x",-$E2215/(COUNTIF($J2215:$Q2215,"x")+1),-$E2215*N(N2215)))</f>
        <v/>
      </c>
      <c r="AC2215" s="34">
        <f>IF(OR($A2215="",$H2215&lt;&gt;"Ausgabe",O2215=""),0,IF(O2215="x",-$E2215/(COUNTIF($J2215:$Q2215,"x")+1),-$E2215*N(O2215)))</f>
        <v/>
      </c>
      <c r="AD2215" s="34">
        <f>IF(OR($A2215="",$H2215&lt;&gt;"Ausgabe",P2215=""),0,IF(P2215="x",-$E2215/(COUNTIF($J2215:$Q2215,"x")+1),-$E2215*N(P2215)))</f>
        <v/>
      </c>
      <c r="AE2215" s="34">
        <f>IF(OR($A2215="",$H2215&lt;&gt;"Ausgabe",Q2215=""),0,IF(Q2215="x",-$E2215/(COUNTIF($J2215:$Q2215,"x")+1),-$E2215*N(Q2215)))</f>
        <v/>
      </c>
    </row>
    <row r="2216">
      <c r="A2216" s="30" t="n"/>
      <c r="E2216" s="31" t="n"/>
      <c r="J2216" s="32" t="n"/>
      <c r="K2216" s="32" t="n"/>
      <c r="L2216" s="32" t="n"/>
      <c r="M2216" s="32" t="n"/>
      <c r="N2216" s="32" t="n"/>
      <c r="O2216" s="32" t="n"/>
      <c r="P2216" s="32" t="n"/>
      <c r="Q2216" s="32" t="n"/>
      <c r="U2216" s="31">
        <f>IF($A2216="","",SUM(X2216:AE2216))</f>
        <v/>
      </c>
      <c r="V2216" s="31">
        <f>IF($A2216="","",IF($H2216&lt;&gt;"Ausgabe",0,-$E2216-$U2216))</f>
        <v/>
      </c>
      <c r="W2216" s="33">
        <f>IF($A2216="","",DATE(YEAR($A2216),MONTH($A2216),1))</f>
        <v/>
      </c>
      <c r="X2216" s="34">
        <f>IF(OR($A2216="",$H2216&lt;&gt;"Ausgabe",J2216=""),0,IF(J2216="x",-$E2216/(COUNTIF($J2216:$Q2216,"x")+1),-$E2216*N(J2216)))</f>
        <v/>
      </c>
      <c r="Y2216" s="34">
        <f>IF(OR($A2216="",$H2216&lt;&gt;"Ausgabe",K2216=""),0,IF(K2216="x",-$E2216/(COUNTIF($J2216:$Q2216,"x")+1),-$E2216*N(K2216)))</f>
        <v/>
      </c>
      <c r="Z2216" s="34">
        <f>IF(OR($A2216="",$H2216&lt;&gt;"Ausgabe",L2216=""),0,IF(L2216="x",-$E2216/(COUNTIF($J2216:$Q2216,"x")+1),-$E2216*N(L2216)))</f>
        <v/>
      </c>
      <c r="AA2216" s="34">
        <f>IF(OR($A2216="",$H2216&lt;&gt;"Ausgabe",M2216=""),0,IF(M2216="x",-$E2216/(COUNTIF($J2216:$Q2216,"x")+1),-$E2216*N(M2216)))</f>
        <v/>
      </c>
      <c r="AB2216" s="34">
        <f>IF(OR($A2216="",$H2216&lt;&gt;"Ausgabe",N2216=""),0,IF(N2216="x",-$E2216/(COUNTIF($J2216:$Q2216,"x")+1),-$E2216*N(N2216)))</f>
        <v/>
      </c>
      <c r="AC2216" s="34">
        <f>IF(OR($A2216="",$H2216&lt;&gt;"Ausgabe",O2216=""),0,IF(O2216="x",-$E2216/(COUNTIF($J2216:$Q2216,"x")+1),-$E2216*N(O2216)))</f>
        <v/>
      </c>
      <c r="AD2216" s="34">
        <f>IF(OR($A2216="",$H2216&lt;&gt;"Ausgabe",P2216=""),0,IF(P2216="x",-$E2216/(COUNTIF($J2216:$Q2216,"x")+1),-$E2216*N(P2216)))</f>
        <v/>
      </c>
      <c r="AE2216" s="34">
        <f>IF(OR($A2216="",$H2216&lt;&gt;"Ausgabe",Q2216=""),0,IF(Q2216="x",-$E2216/(COUNTIF($J2216:$Q2216,"x")+1),-$E2216*N(Q2216)))</f>
        <v/>
      </c>
    </row>
    <row r="2217">
      <c r="A2217" s="30" t="n"/>
      <c r="E2217" s="31" t="n"/>
      <c r="J2217" s="32" t="n"/>
      <c r="K2217" s="32" t="n"/>
      <c r="L2217" s="32" t="n"/>
      <c r="M2217" s="32" t="n"/>
      <c r="N2217" s="32" t="n"/>
      <c r="O2217" s="32" t="n"/>
      <c r="P2217" s="32" t="n"/>
      <c r="Q2217" s="32" t="n"/>
      <c r="U2217" s="31">
        <f>IF($A2217="","",SUM(X2217:AE2217))</f>
        <v/>
      </c>
      <c r="V2217" s="31">
        <f>IF($A2217="","",IF($H2217&lt;&gt;"Ausgabe",0,-$E2217-$U2217))</f>
        <v/>
      </c>
      <c r="W2217" s="33">
        <f>IF($A2217="","",DATE(YEAR($A2217),MONTH($A2217),1))</f>
        <v/>
      </c>
      <c r="X2217" s="34">
        <f>IF(OR($A2217="",$H2217&lt;&gt;"Ausgabe",J2217=""),0,IF(J2217="x",-$E2217/(COUNTIF($J2217:$Q2217,"x")+1),-$E2217*N(J2217)))</f>
        <v/>
      </c>
      <c r="Y2217" s="34">
        <f>IF(OR($A2217="",$H2217&lt;&gt;"Ausgabe",K2217=""),0,IF(K2217="x",-$E2217/(COUNTIF($J2217:$Q2217,"x")+1),-$E2217*N(K2217)))</f>
        <v/>
      </c>
      <c r="Z2217" s="34">
        <f>IF(OR($A2217="",$H2217&lt;&gt;"Ausgabe",L2217=""),0,IF(L2217="x",-$E2217/(COUNTIF($J2217:$Q2217,"x")+1),-$E2217*N(L2217)))</f>
        <v/>
      </c>
      <c r="AA2217" s="34">
        <f>IF(OR($A2217="",$H2217&lt;&gt;"Ausgabe",M2217=""),0,IF(M2217="x",-$E2217/(COUNTIF($J2217:$Q2217,"x")+1),-$E2217*N(M2217)))</f>
        <v/>
      </c>
      <c r="AB2217" s="34">
        <f>IF(OR($A2217="",$H2217&lt;&gt;"Ausgabe",N2217=""),0,IF(N2217="x",-$E2217/(COUNTIF($J2217:$Q2217,"x")+1),-$E2217*N(N2217)))</f>
        <v/>
      </c>
      <c r="AC2217" s="34">
        <f>IF(OR($A2217="",$H2217&lt;&gt;"Ausgabe",O2217=""),0,IF(O2217="x",-$E2217/(COUNTIF($J2217:$Q2217,"x")+1),-$E2217*N(O2217)))</f>
        <v/>
      </c>
      <c r="AD2217" s="34">
        <f>IF(OR($A2217="",$H2217&lt;&gt;"Ausgabe",P2217=""),0,IF(P2217="x",-$E2217/(COUNTIF($J2217:$Q2217,"x")+1),-$E2217*N(P2217)))</f>
        <v/>
      </c>
      <c r="AE2217" s="34">
        <f>IF(OR($A2217="",$H2217&lt;&gt;"Ausgabe",Q2217=""),0,IF(Q2217="x",-$E2217/(COUNTIF($J2217:$Q2217,"x")+1),-$E2217*N(Q2217)))</f>
        <v/>
      </c>
    </row>
    <row r="2218">
      <c r="A2218" s="30" t="n"/>
      <c r="E2218" s="31" t="n"/>
      <c r="J2218" s="32" t="n"/>
      <c r="K2218" s="32" t="n"/>
      <c r="L2218" s="32" t="n"/>
      <c r="M2218" s="32" t="n"/>
      <c r="N2218" s="32" t="n"/>
      <c r="O2218" s="32" t="n"/>
      <c r="P2218" s="32" t="n"/>
      <c r="Q2218" s="32" t="n"/>
      <c r="U2218" s="31">
        <f>IF($A2218="","",SUM(X2218:AE2218))</f>
        <v/>
      </c>
      <c r="V2218" s="31">
        <f>IF($A2218="","",IF($H2218&lt;&gt;"Ausgabe",0,-$E2218-$U2218))</f>
        <v/>
      </c>
      <c r="W2218" s="33">
        <f>IF($A2218="","",DATE(YEAR($A2218),MONTH($A2218),1))</f>
        <v/>
      </c>
      <c r="X2218" s="34">
        <f>IF(OR($A2218="",$H2218&lt;&gt;"Ausgabe",J2218=""),0,IF(J2218="x",-$E2218/(COUNTIF($J2218:$Q2218,"x")+1),-$E2218*N(J2218)))</f>
        <v/>
      </c>
      <c r="Y2218" s="34">
        <f>IF(OR($A2218="",$H2218&lt;&gt;"Ausgabe",K2218=""),0,IF(K2218="x",-$E2218/(COUNTIF($J2218:$Q2218,"x")+1),-$E2218*N(K2218)))</f>
        <v/>
      </c>
      <c r="Z2218" s="34">
        <f>IF(OR($A2218="",$H2218&lt;&gt;"Ausgabe",L2218=""),0,IF(L2218="x",-$E2218/(COUNTIF($J2218:$Q2218,"x")+1),-$E2218*N(L2218)))</f>
        <v/>
      </c>
      <c r="AA2218" s="34">
        <f>IF(OR($A2218="",$H2218&lt;&gt;"Ausgabe",M2218=""),0,IF(M2218="x",-$E2218/(COUNTIF($J2218:$Q2218,"x")+1),-$E2218*N(M2218)))</f>
        <v/>
      </c>
      <c r="AB2218" s="34">
        <f>IF(OR($A2218="",$H2218&lt;&gt;"Ausgabe",N2218=""),0,IF(N2218="x",-$E2218/(COUNTIF($J2218:$Q2218,"x")+1),-$E2218*N(N2218)))</f>
        <v/>
      </c>
      <c r="AC2218" s="34">
        <f>IF(OR($A2218="",$H2218&lt;&gt;"Ausgabe",O2218=""),0,IF(O2218="x",-$E2218/(COUNTIF($J2218:$Q2218,"x")+1),-$E2218*N(O2218)))</f>
        <v/>
      </c>
      <c r="AD2218" s="34">
        <f>IF(OR($A2218="",$H2218&lt;&gt;"Ausgabe",P2218=""),0,IF(P2218="x",-$E2218/(COUNTIF($J2218:$Q2218,"x")+1),-$E2218*N(P2218)))</f>
        <v/>
      </c>
      <c r="AE2218" s="34">
        <f>IF(OR($A2218="",$H2218&lt;&gt;"Ausgabe",Q2218=""),0,IF(Q2218="x",-$E2218/(COUNTIF($J2218:$Q2218,"x")+1),-$E2218*N(Q2218)))</f>
        <v/>
      </c>
    </row>
    <row r="2219">
      <c r="A2219" s="30" t="n"/>
      <c r="E2219" s="31" t="n"/>
      <c r="J2219" s="32" t="n"/>
      <c r="K2219" s="32" t="n"/>
      <c r="L2219" s="32" t="n"/>
      <c r="M2219" s="32" t="n"/>
      <c r="N2219" s="32" t="n"/>
      <c r="O2219" s="32" t="n"/>
      <c r="P2219" s="32" t="n"/>
      <c r="Q2219" s="32" t="n"/>
      <c r="U2219" s="31">
        <f>IF($A2219="","",SUM(X2219:AE2219))</f>
        <v/>
      </c>
      <c r="V2219" s="31">
        <f>IF($A2219="","",IF($H2219&lt;&gt;"Ausgabe",0,-$E2219-$U2219))</f>
        <v/>
      </c>
      <c r="W2219" s="33">
        <f>IF($A2219="","",DATE(YEAR($A2219),MONTH($A2219),1))</f>
        <v/>
      </c>
      <c r="X2219" s="34">
        <f>IF(OR($A2219="",$H2219&lt;&gt;"Ausgabe",J2219=""),0,IF(J2219="x",-$E2219/(COUNTIF($J2219:$Q2219,"x")+1),-$E2219*N(J2219)))</f>
        <v/>
      </c>
      <c r="Y2219" s="34">
        <f>IF(OR($A2219="",$H2219&lt;&gt;"Ausgabe",K2219=""),0,IF(K2219="x",-$E2219/(COUNTIF($J2219:$Q2219,"x")+1),-$E2219*N(K2219)))</f>
        <v/>
      </c>
      <c r="Z2219" s="34">
        <f>IF(OR($A2219="",$H2219&lt;&gt;"Ausgabe",L2219=""),0,IF(L2219="x",-$E2219/(COUNTIF($J2219:$Q2219,"x")+1),-$E2219*N(L2219)))</f>
        <v/>
      </c>
      <c r="AA2219" s="34">
        <f>IF(OR($A2219="",$H2219&lt;&gt;"Ausgabe",M2219=""),0,IF(M2219="x",-$E2219/(COUNTIF($J2219:$Q2219,"x")+1),-$E2219*N(M2219)))</f>
        <v/>
      </c>
      <c r="AB2219" s="34">
        <f>IF(OR($A2219="",$H2219&lt;&gt;"Ausgabe",N2219=""),0,IF(N2219="x",-$E2219/(COUNTIF($J2219:$Q2219,"x")+1),-$E2219*N(N2219)))</f>
        <v/>
      </c>
      <c r="AC2219" s="34">
        <f>IF(OR($A2219="",$H2219&lt;&gt;"Ausgabe",O2219=""),0,IF(O2219="x",-$E2219/(COUNTIF($J2219:$Q2219,"x")+1),-$E2219*N(O2219)))</f>
        <v/>
      </c>
      <c r="AD2219" s="34">
        <f>IF(OR($A2219="",$H2219&lt;&gt;"Ausgabe",P2219=""),0,IF(P2219="x",-$E2219/(COUNTIF($J2219:$Q2219,"x")+1),-$E2219*N(P2219)))</f>
        <v/>
      </c>
      <c r="AE2219" s="34">
        <f>IF(OR($A2219="",$H2219&lt;&gt;"Ausgabe",Q2219=""),0,IF(Q2219="x",-$E2219/(COUNTIF($J2219:$Q2219,"x")+1),-$E2219*N(Q2219)))</f>
        <v/>
      </c>
    </row>
    <row r="2220">
      <c r="A2220" s="30" t="n"/>
      <c r="E2220" s="31" t="n"/>
      <c r="J2220" s="32" t="n"/>
      <c r="K2220" s="32" t="n"/>
      <c r="L2220" s="32" t="n"/>
      <c r="M2220" s="32" t="n"/>
      <c r="N2220" s="32" t="n"/>
      <c r="O2220" s="32" t="n"/>
      <c r="P2220" s="32" t="n"/>
      <c r="Q2220" s="32" t="n"/>
      <c r="U2220" s="31">
        <f>IF($A2220="","",SUM(X2220:AE2220))</f>
        <v/>
      </c>
      <c r="V2220" s="31">
        <f>IF($A2220="","",IF($H2220&lt;&gt;"Ausgabe",0,-$E2220-$U2220))</f>
        <v/>
      </c>
      <c r="W2220" s="33">
        <f>IF($A2220="","",DATE(YEAR($A2220),MONTH($A2220),1))</f>
        <v/>
      </c>
      <c r="X2220" s="34">
        <f>IF(OR($A2220="",$H2220&lt;&gt;"Ausgabe",J2220=""),0,IF(J2220="x",-$E2220/(COUNTIF($J2220:$Q2220,"x")+1),-$E2220*N(J2220)))</f>
        <v/>
      </c>
      <c r="Y2220" s="34">
        <f>IF(OR($A2220="",$H2220&lt;&gt;"Ausgabe",K2220=""),0,IF(K2220="x",-$E2220/(COUNTIF($J2220:$Q2220,"x")+1),-$E2220*N(K2220)))</f>
        <v/>
      </c>
      <c r="Z2220" s="34">
        <f>IF(OR($A2220="",$H2220&lt;&gt;"Ausgabe",L2220=""),0,IF(L2220="x",-$E2220/(COUNTIF($J2220:$Q2220,"x")+1),-$E2220*N(L2220)))</f>
        <v/>
      </c>
      <c r="AA2220" s="34">
        <f>IF(OR($A2220="",$H2220&lt;&gt;"Ausgabe",M2220=""),0,IF(M2220="x",-$E2220/(COUNTIF($J2220:$Q2220,"x")+1),-$E2220*N(M2220)))</f>
        <v/>
      </c>
      <c r="AB2220" s="34">
        <f>IF(OR($A2220="",$H2220&lt;&gt;"Ausgabe",N2220=""),0,IF(N2220="x",-$E2220/(COUNTIF($J2220:$Q2220,"x")+1),-$E2220*N(N2220)))</f>
        <v/>
      </c>
      <c r="AC2220" s="34">
        <f>IF(OR($A2220="",$H2220&lt;&gt;"Ausgabe",O2220=""),0,IF(O2220="x",-$E2220/(COUNTIF($J2220:$Q2220,"x")+1),-$E2220*N(O2220)))</f>
        <v/>
      </c>
      <c r="AD2220" s="34">
        <f>IF(OR($A2220="",$H2220&lt;&gt;"Ausgabe",P2220=""),0,IF(P2220="x",-$E2220/(COUNTIF($J2220:$Q2220,"x")+1),-$E2220*N(P2220)))</f>
        <v/>
      </c>
      <c r="AE2220" s="34">
        <f>IF(OR($A2220="",$H2220&lt;&gt;"Ausgabe",Q2220=""),0,IF(Q2220="x",-$E2220/(COUNTIF($J2220:$Q2220,"x")+1),-$E2220*N(Q2220)))</f>
        <v/>
      </c>
    </row>
    <row r="2221">
      <c r="A2221" s="30" t="n"/>
      <c r="E2221" s="31" t="n"/>
      <c r="J2221" s="32" t="n"/>
      <c r="K2221" s="32" t="n"/>
      <c r="L2221" s="32" t="n"/>
      <c r="M2221" s="32" t="n"/>
      <c r="N2221" s="32" t="n"/>
      <c r="O2221" s="32" t="n"/>
      <c r="P2221" s="32" t="n"/>
      <c r="Q2221" s="32" t="n"/>
      <c r="U2221" s="31">
        <f>IF($A2221="","",SUM(X2221:AE2221))</f>
        <v/>
      </c>
      <c r="V2221" s="31">
        <f>IF($A2221="","",IF($H2221&lt;&gt;"Ausgabe",0,-$E2221-$U2221))</f>
        <v/>
      </c>
      <c r="W2221" s="33">
        <f>IF($A2221="","",DATE(YEAR($A2221),MONTH($A2221),1))</f>
        <v/>
      </c>
      <c r="X2221" s="34">
        <f>IF(OR($A2221="",$H2221&lt;&gt;"Ausgabe",J2221=""),0,IF(J2221="x",-$E2221/(COUNTIF($J2221:$Q2221,"x")+1),-$E2221*N(J2221)))</f>
        <v/>
      </c>
      <c r="Y2221" s="34">
        <f>IF(OR($A2221="",$H2221&lt;&gt;"Ausgabe",K2221=""),0,IF(K2221="x",-$E2221/(COUNTIF($J2221:$Q2221,"x")+1),-$E2221*N(K2221)))</f>
        <v/>
      </c>
      <c r="Z2221" s="34">
        <f>IF(OR($A2221="",$H2221&lt;&gt;"Ausgabe",L2221=""),0,IF(L2221="x",-$E2221/(COUNTIF($J2221:$Q2221,"x")+1),-$E2221*N(L2221)))</f>
        <v/>
      </c>
      <c r="AA2221" s="34">
        <f>IF(OR($A2221="",$H2221&lt;&gt;"Ausgabe",M2221=""),0,IF(M2221="x",-$E2221/(COUNTIF($J2221:$Q2221,"x")+1),-$E2221*N(M2221)))</f>
        <v/>
      </c>
      <c r="AB2221" s="34">
        <f>IF(OR($A2221="",$H2221&lt;&gt;"Ausgabe",N2221=""),0,IF(N2221="x",-$E2221/(COUNTIF($J2221:$Q2221,"x")+1),-$E2221*N(N2221)))</f>
        <v/>
      </c>
      <c r="AC2221" s="34">
        <f>IF(OR($A2221="",$H2221&lt;&gt;"Ausgabe",O2221=""),0,IF(O2221="x",-$E2221/(COUNTIF($J2221:$Q2221,"x")+1),-$E2221*N(O2221)))</f>
        <v/>
      </c>
      <c r="AD2221" s="34">
        <f>IF(OR($A2221="",$H2221&lt;&gt;"Ausgabe",P2221=""),0,IF(P2221="x",-$E2221/(COUNTIF($J2221:$Q2221,"x")+1),-$E2221*N(P2221)))</f>
        <v/>
      </c>
      <c r="AE2221" s="34">
        <f>IF(OR($A2221="",$H2221&lt;&gt;"Ausgabe",Q2221=""),0,IF(Q2221="x",-$E2221/(COUNTIF($J2221:$Q2221,"x")+1),-$E2221*N(Q2221)))</f>
        <v/>
      </c>
    </row>
    <row r="2222">
      <c r="A2222" s="30" t="n"/>
      <c r="E2222" s="31" t="n"/>
      <c r="J2222" s="32" t="n"/>
      <c r="K2222" s="32" t="n"/>
      <c r="L2222" s="32" t="n"/>
      <c r="M2222" s="32" t="n"/>
      <c r="N2222" s="32" t="n"/>
      <c r="O2222" s="32" t="n"/>
      <c r="P2222" s="32" t="n"/>
      <c r="Q2222" s="32" t="n"/>
      <c r="U2222" s="31">
        <f>IF($A2222="","",SUM(X2222:AE2222))</f>
        <v/>
      </c>
      <c r="V2222" s="31">
        <f>IF($A2222="","",IF($H2222&lt;&gt;"Ausgabe",0,-$E2222-$U2222))</f>
        <v/>
      </c>
      <c r="W2222" s="33">
        <f>IF($A2222="","",DATE(YEAR($A2222),MONTH($A2222),1))</f>
        <v/>
      </c>
      <c r="X2222" s="34">
        <f>IF(OR($A2222="",$H2222&lt;&gt;"Ausgabe",J2222=""),0,IF(J2222="x",-$E2222/(COUNTIF($J2222:$Q2222,"x")+1),-$E2222*N(J2222)))</f>
        <v/>
      </c>
      <c r="Y2222" s="34">
        <f>IF(OR($A2222="",$H2222&lt;&gt;"Ausgabe",K2222=""),0,IF(K2222="x",-$E2222/(COUNTIF($J2222:$Q2222,"x")+1),-$E2222*N(K2222)))</f>
        <v/>
      </c>
      <c r="Z2222" s="34">
        <f>IF(OR($A2222="",$H2222&lt;&gt;"Ausgabe",L2222=""),0,IF(L2222="x",-$E2222/(COUNTIF($J2222:$Q2222,"x")+1),-$E2222*N(L2222)))</f>
        <v/>
      </c>
      <c r="AA2222" s="34">
        <f>IF(OR($A2222="",$H2222&lt;&gt;"Ausgabe",M2222=""),0,IF(M2222="x",-$E2222/(COUNTIF($J2222:$Q2222,"x")+1),-$E2222*N(M2222)))</f>
        <v/>
      </c>
      <c r="AB2222" s="34">
        <f>IF(OR($A2222="",$H2222&lt;&gt;"Ausgabe",N2222=""),0,IF(N2222="x",-$E2222/(COUNTIF($J2222:$Q2222,"x")+1),-$E2222*N(N2222)))</f>
        <v/>
      </c>
      <c r="AC2222" s="34">
        <f>IF(OR($A2222="",$H2222&lt;&gt;"Ausgabe",O2222=""),0,IF(O2222="x",-$E2222/(COUNTIF($J2222:$Q2222,"x")+1),-$E2222*N(O2222)))</f>
        <v/>
      </c>
      <c r="AD2222" s="34">
        <f>IF(OR($A2222="",$H2222&lt;&gt;"Ausgabe",P2222=""),0,IF(P2222="x",-$E2222/(COUNTIF($J2222:$Q2222,"x")+1),-$E2222*N(P2222)))</f>
        <v/>
      </c>
      <c r="AE2222" s="34">
        <f>IF(OR($A2222="",$H2222&lt;&gt;"Ausgabe",Q2222=""),0,IF(Q2222="x",-$E2222/(COUNTIF($J2222:$Q2222,"x")+1),-$E2222*N(Q2222)))</f>
        <v/>
      </c>
    </row>
    <row r="2223">
      <c r="A2223" s="30" t="n"/>
      <c r="E2223" s="31" t="n"/>
      <c r="J2223" s="32" t="n"/>
      <c r="K2223" s="32" t="n"/>
      <c r="L2223" s="32" t="n"/>
      <c r="M2223" s="32" t="n"/>
      <c r="N2223" s="32" t="n"/>
      <c r="O2223" s="32" t="n"/>
      <c r="P2223" s="32" t="n"/>
      <c r="Q2223" s="32" t="n"/>
      <c r="U2223" s="31">
        <f>IF($A2223="","",SUM(X2223:AE2223))</f>
        <v/>
      </c>
      <c r="V2223" s="31">
        <f>IF($A2223="","",IF($H2223&lt;&gt;"Ausgabe",0,-$E2223-$U2223))</f>
        <v/>
      </c>
      <c r="W2223" s="33">
        <f>IF($A2223="","",DATE(YEAR($A2223),MONTH($A2223),1))</f>
        <v/>
      </c>
      <c r="X2223" s="34">
        <f>IF(OR($A2223="",$H2223&lt;&gt;"Ausgabe",J2223=""),0,IF(J2223="x",-$E2223/(COUNTIF($J2223:$Q2223,"x")+1),-$E2223*N(J2223)))</f>
        <v/>
      </c>
      <c r="Y2223" s="34">
        <f>IF(OR($A2223="",$H2223&lt;&gt;"Ausgabe",K2223=""),0,IF(K2223="x",-$E2223/(COUNTIF($J2223:$Q2223,"x")+1),-$E2223*N(K2223)))</f>
        <v/>
      </c>
      <c r="Z2223" s="34">
        <f>IF(OR($A2223="",$H2223&lt;&gt;"Ausgabe",L2223=""),0,IF(L2223="x",-$E2223/(COUNTIF($J2223:$Q2223,"x")+1),-$E2223*N(L2223)))</f>
        <v/>
      </c>
      <c r="AA2223" s="34">
        <f>IF(OR($A2223="",$H2223&lt;&gt;"Ausgabe",M2223=""),0,IF(M2223="x",-$E2223/(COUNTIF($J2223:$Q2223,"x")+1),-$E2223*N(M2223)))</f>
        <v/>
      </c>
      <c r="AB2223" s="34">
        <f>IF(OR($A2223="",$H2223&lt;&gt;"Ausgabe",N2223=""),0,IF(N2223="x",-$E2223/(COUNTIF($J2223:$Q2223,"x")+1),-$E2223*N(N2223)))</f>
        <v/>
      </c>
      <c r="AC2223" s="34">
        <f>IF(OR($A2223="",$H2223&lt;&gt;"Ausgabe",O2223=""),0,IF(O2223="x",-$E2223/(COUNTIF($J2223:$Q2223,"x")+1),-$E2223*N(O2223)))</f>
        <v/>
      </c>
      <c r="AD2223" s="34">
        <f>IF(OR($A2223="",$H2223&lt;&gt;"Ausgabe",P2223=""),0,IF(P2223="x",-$E2223/(COUNTIF($J2223:$Q2223,"x")+1),-$E2223*N(P2223)))</f>
        <v/>
      </c>
      <c r="AE2223" s="34">
        <f>IF(OR($A2223="",$H2223&lt;&gt;"Ausgabe",Q2223=""),0,IF(Q2223="x",-$E2223/(COUNTIF($J2223:$Q2223,"x")+1),-$E2223*N(Q2223)))</f>
        <v/>
      </c>
    </row>
    <row r="2224">
      <c r="A2224" s="30" t="n"/>
      <c r="E2224" s="31" t="n"/>
      <c r="J2224" s="32" t="n"/>
      <c r="K2224" s="32" t="n"/>
      <c r="L2224" s="32" t="n"/>
      <c r="M2224" s="32" t="n"/>
      <c r="N2224" s="32" t="n"/>
      <c r="O2224" s="32" t="n"/>
      <c r="P2224" s="32" t="n"/>
      <c r="Q2224" s="32" t="n"/>
      <c r="U2224" s="31">
        <f>IF($A2224="","",SUM(X2224:AE2224))</f>
        <v/>
      </c>
      <c r="V2224" s="31">
        <f>IF($A2224="","",IF($H2224&lt;&gt;"Ausgabe",0,-$E2224-$U2224))</f>
        <v/>
      </c>
      <c r="W2224" s="33">
        <f>IF($A2224="","",DATE(YEAR($A2224),MONTH($A2224),1))</f>
        <v/>
      </c>
      <c r="X2224" s="34">
        <f>IF(OR($A2224="",$H2224&lt;&gt;"Ausgabe",J2224=""),0,IF(J2224="x",-$E2224/(COUNTIF($J2224:$Q2224,"x")+1),-$E2224*N(J2224)))</f>
        <v/>
      </c>
      <c r="Y2224" s="34">
        <f>IF(OR($A2224="",$H2224&lt;&gt;"Ausgabe",K2224=""),0,IF(K2224="x",-$E2224/(COUNTIF($J2224:$Q2224,"x")+1),-$E2224*N(K2224)))</f>
        <v/>
      </c>
      <c r="Z2224" s="34">
        <f>IF(OR($A2224="",$H2224&lt;&gt;"Ausgabe",L2224=""),0,IF(L2224="x",-$E2224/(COUNTIF($J2224:$Q2224,"x")+1),-$E2224*N(L2224)))</f>
        <v/>
      </c>
      <c r="AA2224" s="34">
        <f>IF(OR($A2224="",$H2224&lt;&gt;"Ausgabe",M2224=""),0,IF(M2224="x",-$E2224/(COUNTIF($J2224:$Q2224,"x")+1),-$E2224*N(M2224)))</f>
        <v/>
      </c>
      <c r="AB2224" s="34">
        <f>IF(OR($A2224="",$H2224&lt;&gt;"Ausgabe",N2224=""),0,IF(N2224="x",-$E2224/(COUNTIF($J2224:$Q2224,"x")+1),-$E2224*N(N2224)))</f>
        <v/>
      </c>
      <c r="AC2224" s="34">
        <f>IF(OR($A2224="",$H2224&lt;&gt;"Ausgabe",O2224=""),0,IF(O2224="x",-$E2224/(COUNTIF($J2224:$Q2224,"x")+1),-$E2224*N(O2224)))</f>
        <v/>
      </c>
      <c r="AD2224" s="34">
        <f>IF(OR($A2224="",$H2224&lt;&gt;"Ausgabe",P2224=""),0,IF(P2224="x",-$E2224/(COUNTIF($J2224:$Q2224,"x")+1),-$E2224*N(P2224)))</f>
        <v/>
      </c>
      <c r="AE2224" s="34">
        <f>IF(OR($A2224="",$H2224&lt;&gt;"Ausgabe",Q2224=""),0,IF(Q2224="x",-$E2224/(COUNTIF($J2224:$Q2224,"x")+1),-$E2224*N(Q2224)))</f>
        <v/>
      </c>
    </row>
    <row r="2225">
      <c r="A2225" s="30" t="n"/>
      <c r="E2225" s="31" t="n"/>
      <c r="J2225" s="32" t="n"/>
      <c r="K2225" s="32" t="n"/>
      <c r="L2225" s="32" t="n"/>
      <c r="M2225" s="32" t="n"/>
      <c r="N2225" s="32" t="n"/>
      <c r="O2225" s="32" t="n"/>
      <c r="P2225" s="32" t="n"/>
      <c r="Q2225" s="32" t="n"/>
      <c r="U2225" s="31">
        <f>IF($A2225="","",SUM(X2225:AE2225))</f>
        <v/>
      </c>
      <c r="V2225" s="31">
        <f>IF($A2225="","",IF($H2225&lt;&gt;"Ausgabe",0,-$E2225-$U2225))</f>
        <v/>
      </c>
      <c r="W2225" s="33">
        <f>IF($A2225="","",DATE(YEAR($A2225),MONTH($A2225),1))</f>
        <v/>
      </c>
      <c r="X2225" s="34">
        <f>IF(OR($A2225="",$H2225&lt;&gt;"Ausgabe",J2225=""),0,IF(J2225="x",-$E2225/(COUNTIF($J2225:$Q2225,"x")+1),-$E2225*N(J2225)))</f>
        <v/>
      </c>
      <c r="Y2225" s="34">
        <f>IF(OR($A2225="",$H2225&lt;&gt;"Ausgabe",K2225=""),0,IF(K2225="x",-$E2225/(COUNTIF($J2225:$Q2225,"x")+1),-$E2225*N(K2225)))</f>
        <v/>
      </c>
      <c r="Z2225" s="34">
        <f>IF(OR($A2225="",$H2225&lt;&gt;"Ausgabe",L2225=""),0,IF(L2225="x",-$E2225/(COUNTIF($J2225:$Q2225,"x")+1),-$E2225*N(L2225)))</f>
        <v/>
      </c>
      <c r="AA2225" s="34">
        <f>IF(OR($A2225="",$H2225&lt;&gt;"Ausgabe",M2225=""),0,IF(M2225="x",-$E2225/(COUNTIF($J2225:$Q2225,"x")+1),-$E2225*N(M2225)))</f>
        <v/>
      </c>
      <c r="AB2225" s="34">
        <f>IF(OR($A2225="",$H2225&lt;&gt;"Ausgabe",N2225=""),0,IF(N2225="x",-$E2225/(COUNTIF($J2225:$Q2225,"x")+1),-$E2225*N(N2225)))</f>
        <v/>
      </c>
      <c r="AC2225" s="34">
        <f>IF(OR($A2225="",$H2225&lt;&gt;"Ausgabe",O2225=""),0,IF(O2225="x",-$E2225/(COUNTIF($J2225:$Q2225,"x")+1),-$E2225*N(O2225)))</f>
        <v/>
      </c>
      <c r="AD2225" s="34">
        <f>IF(OR($A2225="",$H2225&lt;&gt;"Ausgabe",P2225=""),0,IF(P2225="x",-$E2225/(COUNTIF($J2225:$Q2225,"x")+1),-$E2225*N(P2225)))</f>
        <v/>
      </c>
      <c r="AE2225" s="34">
        <f>IF(OR($A2225="",$H2225&lt;&gt;"Ausgabe",Q2225=""),0,IF(Q2225="x",-$E2225/(COUNTIF($J2225:$Q2225,"x")+1),-$E2225*N(Q2225)))</f>
        <v/>
      </c>
    </row>
    <row r="2226">
      <c r="A2226" s="30" t="n"/>
      <c r="E2226" s="31" t="n"/>
      <c r="J2226" s="32" t="n"/>
      <c r="K2226" s="32" t="n"/>
      <c r="L2226" s="32" t="n"/>
      <c r="M2226" s="32" t="n"/>
      <c r="N2226" s="32" t="n"/>
      <c r="O2226" s="32" t="n"/>
      <c r="P2226" s="32" t="n"/>
      <c r="Q2226" s="32" t="n"/>
      <c r="U2226" s="31">
        <f>IF($A2226="","",SUM(X2226:AE2226))</f>
        <v/>
      </c>
      <c r="V2226" s="31">
        <f>IF($A2226="","",IF($H2226&lt;&gt;"Ausgabe",0,-$E2226-$U2226))</f>
        <v/>
      </c>
      <c r="W2226" s="33">
        <f>IF($A2226="","",DATE(YEAR($A2226),MONTH($A2226),1))</f>
        <v/>
      </c>
      <c r="X2226" s="34">
        <f>IF(OR($A2226="",$H2226&lt;&gt;"Ausgabe",J2226=""),0,IF(J2226="x",-$E2226/(COUNTIF($J2226:$Q2226,"x")+1),-$E2226*N(J2226)))</f>
        <v/>
      </c>
      <c r="Y2226" s="34">
        <f>IF(OR($A2226="",$H2226&lt;&gt;"Ausgabe",K2226=""),0,IF(K2226="x",-$E2226/(COUNTIF($J2226:$Q2226,"x")+1),-$E2226*N(K2226)))</f>
        <v/>
      </c>
      <c r="Z2226" s="34">
        <f>IF(OR($A2226="",$H2226&lt;&gt;"Ausgabe",L2226=""),0,IF(L2226="x",-$E2226/(COUNTIF($J2226:$Q2226,"x")+1),-$E2226*N(L2226)))</f>
        <v/>
      </c>
      <c r="AA2226" s="34">
        <f>IF(OR($A2226="",$H2226&lt;&gt;"Ausgabe",M2226=""),0,IF(M2226="x",-$E2226/(COUNTIF($J2226:$Q2226,"x")+1),-$E2226*N(M2226)))</f>
        <v/>
      </c>
      <c r="AB2226" s="34">
        <f>IF(OR($A2226="",$H2226&lt;&gt;"Ausgabe",N2226=""),0,IF(N2226="x",-$E2226/(COUNTIF($J2226:$Q2226,"x")+1),-$E2226*N(N2226)))</f>
        <v/>
      </c>
      <c r="AC2226" s="34">
        <f>IF(OR($A2226="",$H2226&lt;&gt;"Ausgabe",O2226=""),0,IF(O2226="x",-$E2226/(COUNTIF($J2226:$Q2226,"x")+1),-$E2226*N(O2226)))</f>
        <v/>
      </c>
      <c r="AD2226" s="34">
        <f>IF(OR($A2226="",$H2226&lt;&gt;"Ausgabe",P2226=""),0,IF(P2226="x",-$E2226/(COUNTIF($J2226:$Q2226,"x")+1),-$E2226*N(P2226)))</f>
        <v/>
      </c>
      <c r="AE2226" s="34">
        <f>IF(OR($A2226="",$H2226&lt;&gt;"Ausgabe",Q2226=""),0,IF(Q2226="x",-$E2226/(COUNTIF($J2226:$Q2226,"x")+1),-$E2226*N(Q2226)))</f>
        <v/>
      </c>
    </row>
    <row r="2227">
      <c r="A2227" s="30" t="n"/>
      <c r="E2227" s="31" t="n"/>
      <c r="J2227" s="32" t="n"/>
      <c r="K2227" s="32" t="n"/>
      <c r="L2227" s="32" t="n"/>
      <c r="M2227" s="32" t="n"/>
      <c r="N2227" s="32" t="n"/>
      <c r="O2227" s="32" t="n"/>
      <c r="P2227" s="32" t="n"/>
      <c r="Q2227" s="32" t="n"/>
      <c r="U2227" s="31">
        <f>IF($A2227="","",SUM(X2227:AE2227))</f>
        <v/>
      </c>
      <c r="V2227" s="31">
        <f>IF($A2227="","",IF($H2227&lt;&gt;"Ausgabe",0,-$E2227-$U2227))</f>
        <v/>
      </c>
      <c r="W2227" s="33">
        <f>IF($A2227="","",DATE(YEAR($A2227),MONTH($A2227),1))</f>
        <v/>
      </c>
      <c r="X2227" s="34">
        <f>IF(OR($A2227="",$H2227&lt;&gt;"Ausgabe",J2227=""),0,IF(J2227="x",-$E2227/(COUNTIF($J2227:$Q2227,"x")+1),-$E2227*N(J2227)))</f>
        <v/>
      </c>
      <c r="Y2227" s="34">
        <f>IF(OR($A2227="",$H2227&lt;&gt;"Ausgabe",K2227=""),0,IF(K2227="x",-$E2227/(COUNTIF($J2227:$Q2227,"x")+1),-$E2227*N(K2227)))</f>
        <v/>
      </c>
      <c r="Z2227" s="34">
        <f>IF(OR($A2227="",$H2227&lt;&gt;"Ausgabe",L2227=""),0,IF(L2227="x",-$E2227/(COUNTIF($J2227:$Q2227,"x")+1),-$E2227*N(L2227)))</f>
        <v/>
      </c>
      <c r="AA2227" s="34">
        <f>IF(OR($A2227="",$H2227&lt;&gt;"Ausgabe",M2227=""),0,IF(M2227="x",-$E2227/(COUNTIF($J2227:$Q2227,"x")+1),-$E2227*N(M2227)))</f>
        <v/>
      </c>
      <c r="AB2227" s="34">
        <f>IF(OR($A2227="",$H2227&lt;&gt;"Ausgabe",N2227=""),0,IF(N2227="x",-$E2227/(COUNTIF($J2227:$Q2227,"x")+1),-$E2227*N(N2227)))</f>
        <v/>
      </c>
      <c r="AC2227" s="34">
        <f>IF(OR($A2227="",$H2227&lt;&gt;"Ausgabe",O2227=""),0,IF(O2227="x",-$E2227/(COUNTIF($J2227:$Q2227,"x")+1),-$E2227*N(O2227)))</f>
        <v/>
      </c>
      <c r="AD2227" s="34">
        <f>IF(OR($A2227="",$H2227&lt;&gt;"Ausgabe",P2227=""),0,IF(P2227="x",-$E2227/(COUNTIF($J2227:$Q2227,"x")+1),-$E2227*N(P2227)))</f>
        <v/>
      </c>
      <c r="AE2227" s="34">
        <f>IF(OR($A2227="",$H2227&lt;&gt;"Ausgabe",Q2227=""),0,IF(Q2227="x",-$E2227/(COUNTIF($J2227:$Q2227,"x")+1),-$E2227*N(Q2227)))</f>
        <v/>
      </c>
    </row>
    <row r="2228">
      <c r="A2228" s="30" t="n"/>
      <c r="E2228" s="31" t="n"/>
      <c r="J2228" s="32" t="n"/>
      <c r="K2228" s="32" t="n"/>
      <c r="L2228" s="32" t="n"/>
      <c r="M2228" s="32" t="n"/>
      <c r="N2228" s="32" t="n"/>
      <c r="O2228" s="32" t="n"/>
      <c r="P2228" s="32" t="n"/>
      <c r="Q2228" s="32" t="n"/>
      <c r="U2228" s="31">
        <f>IF($A2228="","",SUM(X2228:AE2228))</f>
        <v/>
      </c>
      <c r="V2228" s="31">
        <f>IF($A2228="","",IF($H2228&lt;&gt;"Ausgabe",0,-$E2228-$U2228))</f>
        <v/>
      </c>
      <c r="W2228" s="33">
        <f>IF($A2228="","",DATE(YEAR($A2228),MONTH($A2228),1))</f>
        <v/>
      </c>
      <c r="X2228" s="34">
        <f>IF(OR($A2228="",$H2228&lt;&gt;"Ausgabe",J2228=""),0,IF(J2228="x",-$E2228/(COUNTIF($J2228:$Q2228,"x")+1),-$E2228*N(J2228)))</f>
        <v/>
      </c>
      <c r="Y2228" s="34">
        <f>IF(OR($A2228="",$H2228&lt;&gt;"Ausgabe",K2228=""),0,IF(K2228="x",-$E2228/(COUNTIF($J2228:$Q2228,"x")+1),-$E2228*N(K2228)))</f>
        <v/>
      </c>
      <c r="Z2228" s="34">
        <f>IF(OR($A2228="",$H2228&lt;&gt;"Ausgabe",L2228=""),0,IF(L2228="x",-$E2228/(COUNTIF($J2228:$Q2228,"x")+1),-$E2228*N(L2228)))</f>
        <v/>
      </c>
      <c r="AA2228" s="34">
        <f>IF(OR($A2228="",$H2228&lt;&gt;"Ausgabe",M2228=""),0,IF(M2228="x",-$E2228/(COUNTIF($J2228:$Q2228,"x")+1),-$E2228*N(M2228)))</f>
        <v/>
      </c>
      <c r="AB2228" s="34">
        <f>IF(OR($A2228="",$H2228&lt;&gt;"Ausgabe",N2228=""),0,IF(N2228="x",-$E2228/(COUNTIF($J2228:$Q2228,"x")+1),-$E2228*N(N2228)))</f>
        <v/>
      </c>
      <c r="AC2228" s="34">
        <f>IF(OR($A2228="",$H2228&lt;&gt;"Ausgabe",O2228=""),0,IF(O2228="x",-$E2228/(COUNTIF($J2228:$Q2228,"x")+1),-$E2228*N(O2228)))</f>
        <v/>
      </c>
      <c r="AD2228" s="34">
        <f>IF(OR($A2228="",$H2228&lt;&gt;"Ausgabe",P2228=""),0,IF(P2228="x",-$E2228/(COUNTIF($J2228:$Q2228,"x")+1),-$E2228*N(P2228)))</f>
        <v/>
      </c>
      <c r="AE2228" s="34">
        <f>IF(OR($A2228="",$H2228&lt;&gt;"Ausgabe",Q2228=""),0,IF(Q2228="x",-$E2228/(COUNTIF($J2228:$Q2228,"x")+1),-$E2228*N(Q2228)))</f>
        <v/>
      </c>
    </row>
    <row r="2229">
      <c r="A2229" s="30" t="n"/>
      <c r="E2229" s="31" t="n"/>
      <c r="J2229" s="32" t="n"/>
      <c r="K2229" s="32" t="n"/>
      <c r="L2229" s="32" t="n"/>
      <c r="M2229" s="32" t="n"/>
      <c r="N2229" s="32" t="n"/>
      <c r="O2229" s="32" t="n"/>
      <c r="P2229" s="32" t="n"/>
      <c r="Q2229" s="32" t="n"/>
      <c r="U2229" s="31">
        <f>IF($A2229="","",SUM(X2229:AE2229))</f>
        <v/>
      </c>
      <c r="V2229" s="31">
        <f>IF($A2229="","",IF($H2229&lt;&gt;"Ausgabe",0,-$E2229-$U2229))</f>
        <v/>
      </c>
      <c r="W2229" s="33">
        <f>IF($A2229="","",DATE(YEAR($A2229),MONTH($A2229),1))</f>
        <v/>
      </c>
      <c r="X2229" s="34">
        <f>IF(OR($A2229="",$H2229&lt;&gt;"Ausgabe",J2229=""),0,IF(J2229="x",-$E2229/(COUNTIF($J2229:$Q2229,"x")+1),-$E2229*N(J2229)))</f>
        <v/>
      </c>
      <c r="Y2229" s="34">
        <f>IF(OR($A2229="",$H2229&lt;&gt;"Ausgabe",K2229=""),0,IF(K2229="x",-$E2229/(COUNTIF($J2229:$Q2229,"x")+1),-$E2229*N(K2229)))</f>
        <v/>
      </c>
      <c r="Z2229" s="34">
        <f>IF(OR($A2229="",$H2229&lt;&gt;"Ausgabe",L2229=""),0,IF(L2229="x",-$E2229/(COUNTIF($J2229:$Q2229,"x")+1),-$E2229*N(L2229)))</f>
        <v/>
      </c>
      <c r="AA2229" s="34">
        <f>IF(OR($A2229="",$H2229&lt;&gt;"Ausgabe",M2229=""),0,IF(M2229="x",-$E2229/(COUNTIF($J2229:$Q2229,"x")+1),-$E2229*N(M2229)))</f>
        <v/>
      </c>
      <c r="AB2229" s="34">
        <f>IF(OR($A2229="",$H2229&lt;&gt;"Ausgabe",N2229=""),0,IF(N2229="x",-$E2229/(COUNTIF($J2229:$Q2229,"x")+1),-$E2229*N(N2229)))</f>
        <v/>
      </c>
      <c r="AC2229" s="34">
        <f>IF(OR($A2229="",$H2229&lt;&gt;"Ausgabe",O2229=""),0,IF(O2229="x",-$E2229/(COUNTIF($J2229:$Q2229,"x")+1),-$E2229*N(O2229)))</f>
        <v/>
      </c>
      <c r="AD2229" s="34">
        <f>IF(OR($A2229="",$H2229&lt;&gt;"Ausgabe",P2229=""),0,IF(P2229="x",-$E2229/(COUNTIF($J2229:$Q2229,"x")+1),-$E2229*N(P2229)))</f>
        <v/>
      </c>
      <c r="AE2229" s="34">
        <f>IF(OR($A2229="",$H2229&lt;&gt;"Ausgabe",Q2229=""),0,IF(Q2229="x",-$E2229/(COUNTIF($J2229:$Q2229,"x")+1),-$E2229*N(Q2229)))</f>
        <v/>
      </c>
    </row>
    <row r="2230">
      <c r="A2230" s="30" t="n"/>
      <c r="E2230" s="31" t="n"/>
      <c r="J2230" s="32" t="n"/>
      <c r="K2230" s="32" t="n"/>
      <c r="L2230" s="32" t="n"/>
      <c r="M2230" s="32" t="n"/>
      <c r="N2230" s="32" t="n"/>
      <c r="O2230" s="32" t="n"/>
      <c r="P2230" s="32" t="n"/>
      <c r="Q2230" s="32" t="n"/>
      <c r="U2230" s="31">
        <f>IF($A2230="","",SUM(X2230:AE2230))</f>
        <v/>
      </c>
      <c r="V2230" s="31">
        <f>IF($A2230="","",IF($H2230&lt;&gt;"Ausgabe",0,-$E2230-$U2230))</f>
        <v/>
      </c>
      <c r="W2230" s="33">
        <f>IF($A2230="","",DATE(YEAR($A2230),MONTH($A2230),1))</f>
        <v/>
      </c>
      <c r="X2230" s="34">
        <f>IF(OR($A2230="",$H2230&lt;&gt;"Ausgabe",J2230=""),0,IF(J2230="x",-$E2230/(COUNTIF($J2230:$Q2230,"x")+1),-$E2230*N(J2230)))</f>
        <v/>
      </c>
      <c r="Y2230" s="34">
        <f>IF(OR($A2230="",$H2230&lt;&gt;"Ausgabe",K2230=""),0,IF(K2230="x",-$E2230/(COUNTIF($J2230:$Q2230,"x")+1),-$E2230*N(K2230)))</f>
        <v/>
      </c>
      <c r="Z2230" s="34">
        <f>IF(OR($A2230="",$H2230&lt;&gt;"Ausgabe",L2230=""),0,IF(L2230="x",-$E2230/(COUNTIF($J2230:$Q2230,"x")+1),-$E2230*N(L2230)))</f>
        <v/>
      </c>
      <c r="AA2230" s="34">
        <f>IF(OR($A2230="",$H2230&lt;&gt;"Ausgabe",M2230=""),0,IF(M2230="x",-$E2230/(COUNTIF($J2230:$Q2230,"x")+1),-$E2230*N(M2230)))</f>
        <v/>
      </c>
      <c r="AB2230" s="34">
        <f>IF(OR($A2230="",$H2230&lt;&gt;"Ausgabe",N2230=""),0,IF(N2230="x",-$E2230/(COUNTIF($J2230:$Q2230,"x")+1),-$E2230*N(N2230)))</f>
        <v/>
      </c>
      <c r="AC2230" s="34">
        <f>IF(OR($A2230="",$H2230&lt;&gt;"Ausgabe",O2230=""),0,IF(O2230="x",-$E2230/(COUNTIF($J2230:$Q2230,"x")+1),-$E2230*N(O2230)))</f>
        <v/>
      </c>
      <c r="AD2230" s="34">
        <f>IF(OR($A2230="",$H2230&lt;&gt;"Ausgabe",P2230=""),0,IF(P2230="x",-$E2230/(COUNTIF($J2230:$Q2230,"x")+1),-$E2230*N(P2230)))</f>
        <v/>
      </c>
      <c r="AE2230" s="34">
        <f>IF(OR($A2230="",$H2230&lt;&gt;"Ausgabe",Q2230=""),0,IF(Q2230="x",-$E2230/(COUNTIF($J2230:$Q2230,"x")+1),-$E2230*N(Q2230)))</f>
        <v/>
      </c>
    </row>
    <row r="2231">
      <c r="A2231" s="30" t="n"/>
      <c r="E2231" s="31" t="n"/>
      <c r="J2231" s="32" t="n"/>
      <c r="K2231" s="32" t="n"/>
      <c r="L2231" s="32" t="n"/>
      <c r="M2231" s="32" t="n"/>
      <c r="N2231" s="32" t="n"/>
      <c r="O2231" s="32" t="n"/>
      <c r="P2231" s="32" t="n"/>
      <c r="Q2231" s="32" t="n"/>
      <c r="U2231" s="31">
        <f>IF($A2231="","",SUM(X2231:AE2231))</f>
        <v/>
      </c>
      <c r="V2231" s="31">
        <f>IF($A2231="","",IF($H2231&lt;&gt;"Ausgabe",0,-$E2231-$U2231))</f>
        <v/>
      </c>
      <c r="W2231" s="33">
        <f>IF($A2231="","",DATE(YEAR($A2231),MONTH($A2231),1))</f>
        <v/>
      </c>
      <c r="X2231" s="34">
        <f>IF(OR($A2231="",$H2231&lt;&gt;"Ausgabe",J2231=""),0,IF(J2231="x",-$E2231/(COUNTIF($J2231:$Q2231,"x")+1),-$E2231*N(J2231)))</f>
        <v/>
      </c>
      <c r="Y2231" s="34">
        <f>IF(OR($A2231="",$H2231&lt;&gt;"Ausgabe",K2231=""),0,IF(K2231="x",-$E2231/(COUNTIF($J2231:$Q2231,"x")+1),-$E2231*N(K2231)))</f>
        <v/>
      </c>
      <c r="Z2231" s="34">
        <f>IF(OR($A2231="",$H2231&lt;&gt;"Ausgabe",L2231=""),0,IF(L2231="x",-$E2231/(COUNTIF($J2231:$Q2231,"x")+1),-$E2231*N(L2231)))</f>
        <v/>
      </c>
      <c r="AA2231" s="34">
        <f>IF(OR($A2231="",$H2231&lt;&gt;"Ausgabe",M2231=""),0,IF(M2231="x",-$E2231/(COUNTIF($J2231:$Q2231,"x")+1),-$E2231*N(M2231)))</f>
        <v/>
      </c>
      <c r="AB2231" s="34">
        <f>IF(OR($A2231="",$H2231&lt;&gt;"Ausgabe",N2231=""),0,IF(N2231="x",-$E2231/(COUNTIF($J2231:$Q2231,"x")+1),-$E2231*N(N2231)))</f>
        <v/>
      </c>
      <c r="AC2231" s="34">
        <f>IF(OR($A2231="",$H2231&lt;&gt;"Ausgabe",O2231=""),0,IF(O2231="x",-$E2231/(COUNTIF($J2231:$Q2231,"x")+1),-$E2231*N(O2231)))</f>
        <v/>
      </c>
      <c r="AD2231" s="34">
        <f>IF(OR($A2231="",$H2231&lt;&gt;"Ausgabe",P2231=""),0,IF(P2231="x",-$E2231/(COUNTIF($J2231:$Q2231,"x")+1),-$E2231*N(P2231)))</f>
        <v/>
      </c>
      <c r="AE2231" s="34">
        <f>IF(OR($A2231="",$H2231&lt;&gt;"Ausgabe",Q2231=""),0,IF(Q2231="x",-$E2231/(COUNTIF($J2231:$Q2231,"x")+1),-$E2231*N(Q2231)))</f>
        <v/>
      </c>
    </row>
    <row r="2232">
      <c r="A2232" s="30" t="n"/>
      <c r="E2232" s="31" t="n"/>
      <c r="J2232" s="32" t="n"/>
      <c r="K2232" s="32" t="n"/>
      <c r="L2232" s="32" t="n"/>
      <c r="M2232" s="32" t="n"/>
      <c r="N2232" s="32" t="n"/>
      <c r="O2232" s="32" t="n"/>
      <c r="P2232" s="32" t="n"/>
      <c r="Q2232" s="32" t="n"/>
      <c r="U2232" s="31">
        <f>IF($A2232="","",SUM(X2232:AE2232))</f>
        <v/>
      </c>
      <c r="V2232" s="31">
        <f>IF($A2232="","",IF($H2232&lt;&gt;"Ausgabe",0,-$E2232-$U2232))</f>
        <v/>
      </c>
      <c r="W2232" s="33">
        <f>IF($A2232="","",DATE(YEAR($A2232),MONTH($A2232),1))</f>
        <v/>
      </c>
      <c r="X2232" s="34">
        <f>IF(OR($A2232="",$H2232&lt;&gt;"Ausgabe",J2232=""),0,IF(J2232="x",-$E2232/(COUNTIF($J2232:$Q2232,"x")+1),-$E2232*N(J2232)))</f>
        <v/>
      </c>
      <c r="Y2232" s="34">
        <f>IF(OR($A2232="",$H2232&lt;&gt;"Ausgabe",K2232=""),0,IF(K2232="x",-$E2232/(COUNTIF($J2232:$Q2232,"x")+1),-$E2232*N(K2232)))</f>
        <v/>
      </c>
      <c r="Z2232" s="34">
        <f>IF(OR($A2232="",$H2232&lt;&gt;"Ausgabe",L2232=""),0,IF(L2232="x",-$E2232/(COUNTIF($J2232:$Q2232,"x")+1),-$E2232*N(L2232)))</f>
        <v/>
      </c>
      <c r="AA2232" s="34">
        <f>IF(OR($A2232="",$H2232&lt;&gt;"Ausgabe",M2232=""),0,IF(M2232="x",-$E2232/(COUNTIF($J2232:$Q2232,"x")+1),-$E2232*N(M2232)))</f>
        <v/>
      </c>
      <c r="AB2232" s="34">
        <f>IF(OR($A2232="",$H2232&lt;&gt;"Ausgabe",N2232=""),0,IF(N2232="x",-$E2232/(COUNTIF($J2232:$Q2232,"x")+1),-$E2232*N(N2232)))</f>
        <v/>
      </c>
      <c r="AC2232" s="34">
        <f>IF(OR($A2232="",$H2232&lt;&gt;"Ausgabe",O2232=""),0,IF(O2232="x",-$E2232/(COUNTIF($J2232:$Q2232,"x")+1),-$E2232*N(O2232)))</f>
        <v/>
      </c>
      <c r="AD2232" s="34">
        <f>IF(OR($A2232="",$H2232&lt;&gt;"Ausgabe",P2232=""),0,IF(P2232="x",-$E2232/(COUNTIF($J2232:$Q2232,"x")+1),-$E2232*N(P2232)))</f>
        <v/>
      </c>
      <c r="AE2232" s="34">
        <f>IF(OR($A2232="",$H2232&lt;&gt;"Ausgabe",Q2232=""),0,IF(Q2232="x",-$E2232/(COUNTIF($J2232:$Q2232,"x")+1),-$E2232*N(Q2232)))</f>
        <v/>
      </c>
    </row>
    <row r="2233">
      <c r="A2233" s="30" t="n"/>
      <c r="E2233" s="31" t="n"/>
      <c r="J2233" s="32" t="n"/>
      <c r="K2233" s="32" t="n"/>
      <c r="L2233" s="32" t="n"/>
      <c r="M2233" s="32" t="n"/>
      <c r="N2233" s="32" t="n"/>
      <c r="O2233" s="32" t="n"/>
      <c r="P2233" s="32" t="n"/>
      <c r="Q2233" s="32" t="n"/>
      <c r="U2233" s="31">
        <f>IF($A2233="","",SUM(X2233:AE2233))</f>
        <v/>
      </c>
      <c r="V2233" s="31">
        <f>IF($A2233="","",IF($H2233&lt;&gt;"Ausgabe",0,-$E2233-$U2233))</f>
        <v/>
      </c>
      <c r="W2233" s="33">
        <f>IF($A2233="","",DATE(YEAR($A2233),MONTH($A2233),1))</f>
        <v/>
      </c>
      <c r="X2233" s="34">
        <f>IF(OR($A2233="",$H2233&lt;&gt;"Ausgabe",J2233=""),0,IF(J2233="x",-$E2233/(COUNTIF($J2233:$Q2233,"x")+1),-$E2233*N(J2233)))</f>
        <v/>
      </c>
      <c r="Y2233" s="34">
        <f>IF(OR($A2233="",$H2233&lt;&gt;"Ausgabe",K2233=""),0,IF(K2233="x",-$E2233/(COUNTIF($J2233:$Q2233,"x")+1),-$E2233*N(K2233)))</f>
        <v/>
      </c>
      <c r="Z2233" s="34">
        <f>IF(OR($A2233="",$H2233&lt;&gt;"Ausgabe",L2233=""),0,IF(L2233="x",-$E2233/(COUNTIF($J2233:$Q2233,"x")+1),-$E2233*N(L2233)))</f>
        <v/>
      </c>
      <c r="AA2233" s="34">
        <f>IF(OR($A2233="",$H2233&lt;&gt;"Ausgabe",M2233=""),0,IF(M2233="x",-$E2233/(COUNTIF($J2233:$Q2233,"x")+1),-$E2233*N(M2233)))</f>
        <v/>
      </c>
      <c r="AB2233" s="34">
        <f>IF(OR($A2233="",$H2233&lt;&gt;"Ausgabe",N2233=""),0,IF(N2233="x",-$E2233/(COUNTIF($J2233:$Q2233,"x")+1),-$E2233*N(N2233)))</f>
        <v/>
      </c>
      <c r="AC2233" s="34">
        <f>IF(OR($A2233="",$H2233&lt;&gt;"Ausgabe",O2233=""),0,IF(O2233="x",-$E2233/(COUNTIF($J2233:$Q2233,"x")+1),-$E2233*N(O2233)))</f>
        <v/>
      </c>
      <c r="AD2233" s="34">
        <f>IF(OR($A2233="",$H2233&lt;&gt;"Ausgabe",P2233=""),0,IF(P2233="x",-$E2233/(COUNTIF($J2233:$Q2233,"x")+1),-$E2233*N(P2233)))</f>
        <v/>
      </c>
      <c r="AE2233" s="34">
        <f>IF(OR($A2233="",$H2233&lt;&gt;"Ausgabe",Q2233=""),0,IF(Q2233="x",-$E2233/(COUNTIF($J2233:$Q2233,"x")+1),-$E2233*N(Q2233)))</f>
        <v/>
      </c>
    </row>
    <row r="2234">
      <c r="A2234" s="30" t="n"/>
      <c r="E2234" s="31" t="n"/>
      <c r="J2234" s="32" t="n"/>
      <c r="K2234" s="32" t="n"/>
      <c r="L2234" s="32" t="n"/>
      <c r="M2234" s="32" t="n"/>
      <c r="N2234" s="32" t="n"/>
      <c r="O2234" s="32" t="n"/>
      <c r="P2234" s="32" t="n"/>
      <c r="Q2234" s="32" t="n"/>
      <c r="U2234" s="31">
        <f>IF($A2234="","",SUM(X2234:AE2234))</f>
        <v/>
      </c>
      <c r="V2234" s="31">
        <f>IF($A2234="","",IF($H2234&lt;&gt;"Ausgabe",0,-$E2234-$U2234))</f>
        <v/>
      </c>
      <c r="W2234" s="33">
        <f>IF($A2234="","",DATE(YEAR($A2234),MONTH($A2234),1))</f>
        <v/>
      </c>
      <c r="X2234" s="34">
        <f>IF(OR($A2234="",$H2234&lt;&gt;"Ausgabe",J2234=""),0,IF(J2234="x",-$E2234/(COUNTIF($J2234:$Q2234,"x")+1),-$E2234*N(J2234)))</f>
        <v/>
      </c>
      <c r="Y2234" s="34">
        <f>IF(OR($A2234="",$H2234&lt;&gt;"Ausgabe",K2234=""),0,IF(K2234="x",-$E2234/(COUNTIF($J2234:$Q2234,"x")+1),-$E2234*N(K2234)))</f>
        <v/>
      </c>
      <c r="Z2234" s="34">
        <f>IF(OR($A2234="",$H2234&lt;&gt;"Ausgabe",L2234=""),0,IF(L2234="x",-$E2234/(COUNTIF($J2234:$Q2234,"x")+1),-$E2234*N(L2234)))</f>
        <v/>
      </c>
      <c r="AA2234" s="34">
        <f>IF(OR($A2234="",$H2234&lt;&gt;"Ausgabe",M2234=""),0,IF(M2234="x",-$E2234/(COUNTIF($J2234:$Q2234,"x")+1),-$E2234*N(M2234)))</f>
        <v/>
      </c>
      <c r="AB2234" s="34">
        <f>IF(OR($A2234="",$H2234&lt;&gt;"Ausgabe",N2234=""),0,IF(N2234="x",-$E2234/(COUNTIF($J2234:$Q2234,"x")+1),-$E2234*N(N2234)))</f>
        <v/>
      </c>
      <c r="AC2234" s="34">
        <f>IF(OR($A2234="",$H2234&lt;&gt;"Ausgabe",O2234=""),0,IF(O2234="x",-$E2234/(COUNTIF($J2234:$Q2234,"x")+1),-$E2234*N(O2234)))</f>
        <v/>
      </c>
      <c r="AD2234" s="34">
        <f>IF(OR($A2234="",$H2234&lt;&gt;"Ausgabe",P2234=""),0,IF(P2234="x",-$E2234/(COUNTIF($J2234:$Q2234,"x")+1),-$E2234*N(P2234)))</f>
        <v/>
      </c>
      <c r="AE2234" s="34">
        <f>IF(OR($A2234="",$H2234&lt;&gt;"Ausgabe",Q2234=""),0,IF(Q2234="x",-$E2234/(COUNTIF($J2234:$Q2234,"x")+1),-$E2234*N(Q2234)))</f>
        <v/>
      </c>
    </row>
    <row r="2235">
      <c r="A2235" s="30" t="n"/>
      <c r="E2235" s="31" t="n"/>
      <c r="J2235" s="32" t="n"/>
      <c r="K2235" s="32" t="n"/>
      <c r="L2235" s="32" t="n"/>
      <c r="M2235" s="32" t="n"/>
      <c r="N2235" s="32" t="n"/>
      <c r="O2235" s="32" t="n"/>
      <c r="P2235" s="32" t="n"/>
      <c r="Q2235" s="32" t="n"/>
      <c r="U2235" s="31">
        <f>IF($A2235="","",SUM(X2235:AE2235))</f>
        <v/>
      </c>
      <c r="V2235" s="31">
        <f>IF($A2235="","",IF($H2235&lt;&gt;"Ausgabe",0,-$E2235-$U2235))</f>
        <v/>
      </c>
      <c r="W2235" s="33">
        <f>IF($A2235="","",DATE(YEAR($A2235),MONTH($A2235),1))</f>
        <v/>
      </c>
      <c r="X2235" s="34">
        <f>IF(OR($A2235="",$H2235&lt;&gt;"Ausgabe",J2235=""),0,IF(J2235="x",-$E2235/(COUNTIF($J2235:$Q2235,"x")+1),-$E2235*N(J2235)))</f>
        <v/>
      </c>
      <c r="Y2235" s="34">
        <f>IF(OR($A2235="",$H2235&lt;&gt;"Ausgabe",K2235=""),0,IF(K2235="x",-$E2235/(COUNTIF($J2235:$Q2235,"x")+1),-$E2235*N(K2235)))</f>
        <v/>
      </c>
      <c r="Z2235" s="34">
        <f>IF(OR($A2235="",$H2235&lt;&gt;"Ausgabe",L2235=""),0,IF(L2235="x",-$E2235/(COUNTIF($J2235:$Q2235,"x")+1),-$E2235*N(L2235)))</f>
        <v/>
      </c>
      <c r="AA2235" s="34">
        <f>IF(OR($A2235="",$H2235&lt;&gt;"Ausgabe",M2235=""),0,IF(M2235="x",-$E2235/(COUNTIF($J2235:$Q2235,"x")+1),-$E2235*N(M2235)))</f>
        <v/>
      </c>
      <c r="AB2235" s="34">
        <f>IF(OR($A2235="",$H2235&lt;&gt;"Ausgabe",N2235=""),0,IF(N2235="x",-$E2235/(COUNTIF($J2235:$Q2235,"x")+1),-$E2235*N(N2235)))</f>
        <v/>
      </c>
      <c r="AC2235" s="34">
        <f>IF(OR($A2235="",$H2235&lt;&gt;"Ausgabe",O2235=""),0,IF(O2235="x",-$E2235/(COUNTIF($J2235:$Q2235,"x")+1),-$E2235*N(O2235)))</f>
        <v/>
      </c>
      <c r="AD2235" s="34">
        <f>IF(OR($A2235="",$H2235&lt;&gt;"Ausgabe",P2235=""),0,IF(P2235="x",-$E2235/(COUNTIF($J2235:$Q2235,"x")+1),-$E2235*N(P2235)))</f>
        <v/>
      </c>
      <c r="AE2235" s="34">
        <f>IF(OR($A2235="",$H2235&lt;&gt;"Ausgabe",Q2235=""),0,IF(Q2235="x",-$E2235/(COUNTIF($J2235:$Q2235,"x")+1),-$E2235*N(Q2235)))</f>
        <v/>
      </c>
    </row>
    <row r="2236">
      <c r="A2236" s="30" t="n"/>
      <c r="E2236" s="31" t="n"/>
      <c r="J2236" s="32" t="n"/>
      <c r="K2236" s="32" t="n"/>
      <c r="L2236" s="32" t="n"/>
      <c r="M2236" s="32" t="n"/>
      <c r="N2236" s="32" t="n"/>
      <c r="O2236" s="32" t="n"/>
      <c r="P2236" s="32" t="n"/>
      <c r="Q2236" s="32" t="n"/>
      <c r="U2236" s="31">
        <f>IF($A2236="","",SUM(X2236:AE2236))</f>
        <v/>
      </c>
      <c r="V2236" s="31">
        <f>IF($A2236="","",IF($H2236&lt;&gt;"Ausgabe",0,-$E2236-$U2236))</f>
        <v/>
      </c>
      <c r="W2236" s="33">
        <f>IF($A2236="","",DATE(YEAR($A2236),MONTH($A2236),1))</f>
        <v/>
      </c>
      <c r="X2236" s="34">
        <f>IF(OR($A2236="",$H2236&lt;&gt;"Ausgabe",J2236=""),0,IF(J2236="x",-$E2236/(COUNTIF($J2236:$Q2236,"x")+1),-$E2236*N(J2236)))</f>
        <v/>
      </c>
      <c r="Y2236" s="34">
        <f>IF(OR($A2236="",$H2236&lt;&gt;"Ausgabe",K2236=""),0,IF(K2236="x",-$E2236/(COUNTIF($J2236:$Q2236,"x")+1),-$E2236*N(K2236)))</f>
        <v/>
      </c>
      <c r="Z2236" s="34">
        <f>IF(OR($A2236="",$H2236&lt;&gt;"Ausgabe",L2236=""),0,IF(L2236="x",-$E2236/(COUNTIF($J2236:$Q2236,"x")+1),-$E2236*N(L2236)))</f>
        <v/>
      </c>
      <c r="AA2236" s="34">
        <f>IF(OR($A2236="",$H2236&lt;&gt;"Ausgabe",M2236=""),0,IF(M2236="x",-$E2236/(COUNTIF($J2236:$Q2236,"x")+1),-$E2236*N(M2236)))</f>
        <v/>
      </c>
      <c r="AB2236" s="34">
        <f>IF(OR($A2236="",$H2236&lt;&gt;"Ausgabe",N2236=""),0,IF(N2236="x",-$E2236/(COUNTIF($J2236:$Q2236,"x")+1),-$E2236*N(N2236)))</f>
        <v/>
      </c>
      <c r="AC2236" s="34">
        <f>IF(OR($A2236="",$H2236&lt;&gt;"Ausgabe",O2236=""),0,IF(O2236="x",-$E2236/(COUNTIF($J2236:$Q2236,"x")+1),-$E2236*N(O2236)))</f>
        <v/>
      </c>
      <c r="AD2236" s="34">
        <f>IF(OR($A2236="",$H2236&lt;&gt;"Ausgabe",P2236=""),0,IF(P2236="x",-$E2236/(COUNTIF($J2236:$Q2236,"x")+1),-$E2236*N(P2236)))</f>
        <v/>
      </c>
      <c r="AE2236" s="34">
        <f>IF(OR($A2236="",$H2236&lt;&gt;"Ausgabe",Q2236=""),0,IF(Q2236="x",-$E2236/(COUNTIF($J2236:$Q2236,"x")+1),-$E2236*N(Q2236)))</f>
        <v/>
      </c>
    </row>
    <row r="2237">
      <c r="A2237" s="30" t="n"/>
      <c r="E2237" s="31" t="n"/>
      <c r="J2237" s="32" t="n"/>
      <c r="K2237" s="32" t="n"/>
      <c r="L2237" s="32" t="n"/>
      <c r="M2237" s="32" t="n"/>
      <c r="N2237" s="32" t="n"/>
      <c r="O2237" s="32" t="n"/>
      <c r="P2237" s="32" t="n"/>
      <c r="Q2237" s="32" t="n"/>
      <c r="U2237" s="31">
        <f>IF($A2237="","",SUM(X2237:AE2237))</f>
        <v/>
      </c>
      <c r="V2237" s="31">
        <f>IF($A2237="","",IF($H2237&lt;&gt;"Ausgabe",0,-$E2237-$U2237))</f>
        <v/>
      </c>
      <c r="W2237" s="33">
        <f>IF($A2237="","",DATE(YEAR($A2237),MONTH($A2237),1))</f>
        <v/>
      </c>
      <c r="X2237" s="34">
        <f>IF(OR($A2237="",$H2237&lt;&gt;"Ausgabe",J2237=""),0,IF(J2237="x",-$E2237/(COUNTIF($J2237:$Q2237,"x")+1),-$E2237*N(J2237)))</f>
        <v/>
      </c>
      <c r="Y2237" s="34">
        <f>IF(OR($A2237="",$H2237&lt;&gt;"Ausgabe",K2237=""),0,IF(K2237="x",-$E2237/(COUNTIF($J2237:$Q2237,"x")+1),-$E2237*N(K2237)))</f>
        <v/>
      </c>
      <c r="Z2237" s="34">
        <f>IF(OR($A2237="",$H2237&lt;&gt;"Ausgabe",L2237=""),0,IF(L2237="x",-$E2237/(COUNTIF($J2237:$Q2237,"x")+1),-$E2237*N(L2237)))</f>
        <v/>
      </c>
      <c r="AA2237" s="34">
        <f>IF(OR($A2237="",$H2237&lt;&gt;"Ausgabe",M2237=""),0,IF(M2237="x",-$E2237/(COUNTIF($J2237:$Q2237,"x")+1),-$E2237*N(M2237)))</f>
        <v/>
      </c>
      <c r="AB2237" s="34">
        <f>IF(OR($A2237="",$H2237&lt;&gt;"Ausgabe",N2237=""),0,IF(N2237="x",-$E2237/(COUNTIF($J2237:$Q2237,"x")+1),-$E2237*N(N2237)))</f>
        <v/>
      </c>
      <c r="AC2237" s="34">
        <f>IF(OR($A2237="",$H2237&lt;&gt;"Ausgabe",O2237=""),0,IF(O2237="x",-$E2237/(COUNTIF($J2237:$Q2237,"x")+1),-$E2237*N(O2237)))</f>
        <v/>
      </c>
      <c r="AD2237" s="34">
        <f>IF(OR($A2237="",$H2237&lt;&gt;"Ausgabe",P2237=""),0,IF(P2237="x",-$E2237/(COUNTIF($J2237:$Q2237,"x")+1),-$E2237*N(P2237)))</f>
        <v/>
      </c>
      <c r="AE2237" s="34">
        <f>IF(OR($A2237="",$H2237&lt;&gt;"Ausgabe",Q2237=""),0,IF(Q2237="x",-$E2237/(COUNTIF($J2237:$Q2237,"x")+1),-$E2237*N(Q2237)))</f>
        <v/>
      </c>
    </row>
    <row r="2238">
      <c r="A2238" s="30" t="n"/>
      <c r="E2238" s="31" t="n"/>
      <c r="J2238" s="32" t="n"/>
      <c r="K2238" s="32" t="n"/>
      <c r="L2238" s="32" t="n"/>
      <c r="M2238" s="32" t="n"/>
      <c r="N2238" s="32" t="n"/>
      <c r="O2238" s="32" t="n"/>
      <c r="P2238" s="32" t="n"/>
      <c r="Q2238" s="32" t="n"/>
      <c r="U2238" s="31">
        <f>IF($A2238="","",SUM(X2238:AE2238))</f>
        <v/>
      </c>
      <c r="V2238" s="31">
        <f>IF($A2238="","",IF($H2238&lt;&gt;"Ausgabe",0,-$E2238-$U2238))</f>
        <v/>
      </c>
      <c r="W2238" s="33">
        <f>IF($A2238="","",DATE(YEAR($A2238),MONTH($A2238),1))</f>
        <v/>
      </c>
      <c r="X2238" s="34">
        <f>IF(OR($A2238="",$H2238&lt;&gt;"Ausgabe",J2238=""),0,IF(J2238="x",-$E2238/(COUNTIF($J2238:$Q2238,"x")+1),-$E2238*N(J2238)))</f>
        <v/>
      </c>
      <c r="Y2238" s="34">
        <f>IF(OR($A2238="",$H2238&lt;&gt;"Ausgabe",K2238=""),0,IF(K2238="x",-$E2238/(COUNTIF($J2238:$Q2238,"x")+1),-$E2238*N(K2238)))</f>
        <v/>
      </c>
      <c r="Z2238" s="34">
        <f>IF(OR($A2238="",$H2238&lt;&gt;"Ausgabe",L2238=""),0,IF(L2238="x",-$E2238/(COUNTIF($J2238:$Q2238,"x")+1),-$E2238*N(L2238)))</f>
        <v/>
      </c>
      <c r="AA2238" s="34">
        <f>IF(OR($A2238="",$H2238&lt;&gt;"Ausgabe",M2238=""),0,IF(M2238="x",-$E2238/(COUNTIF($J2238:$Q2238,"x")+1),-$E2238*N(M2238)))</f>
        <v/>
      </c>
      <c r="AB2238" s="34">
        <f>IF(OR($A2238="",$H2238&lt;&gt;"Ausgabe",N2238=""),0,IF(N2238="x",-$E2238/(COUNTIF($J2238:$Q2238,"x")+1),-$E2238*N(N2238)))</f>
        <v/>
      </c>
      <c r="AC2238" s="34">
        <f>IF(OR($A2238="",$H2238&lt;&gt;"Ausgabe",O2238=""),0,IF(O2238="x",-$E2238/(COUNTIF($J2238:$Q2238,"x")+1),-$E2238*N(O2238)))</f>
        <v/>
      </c>
      <c r="AD2238" s="34">
        <f>IF(OR($A2238="",$H2238&lt;&gt;"Ausgabe",P2238=""),0,IF(P2238="x",-$E2238/(COUNTIF($J2238:$Q2238,"x")+1),-$E2238*N(P2238)))</f>
        <v/>
      </c>
      <c r="AE2238" s="34">
        <f>IF(OR($A2238="",$H2238&lt;&gt;"Ausgabe",Q2238=""),0,IF(Q2238="x",-$E2238/(COUNTIF($J2238:$Q2238,"x")+1),-$E2238*N(Q2238)))</f>
        <v/>
      </c>
    </row>
    <row r="2239">
      <c r="A2239" s="30" t="n"/>
      <c r="E2239" s="31" t="n"/>
      <c r="J2239" s="32" t="n"/>
      <c r="K2239" s="32" t="n"/>
      <c r="L2239" s="32" t="n"/>
      <c r="M2239" s="32" t="n"/>
      <c r="N2239" s="32" t="n"/>
      <c r="O2239" s="32" t="n"/>
      <c r="P2239" s="32" t="n"/>
      <c r="Q2239" s="32" t="n"/>
      <c r="U2239" s="31">
        <f>IF($A2239="","",SUM(X2239:AE2239))</f>
        <v/>
      </c>
      <c r="V2239" s="31">
        <f>IF($A2239="","",IF($H2239&lt;&gt;"Ausgabe",0,-$E2239-$U2239))</f>
        <v/>
      </c>
      <c r="W2239" s="33">
        <f>IF($A2239="","",DATE(YEAR($A2239),MONTH($A2239),1))</f>
        <v/>
      </c>
      <c r="X2239" s="34">
        <f>IF(OR($A2239="",$H2239&lt;&gt;"Ausgabe",J2239=""),0,IF(J2239="x",-$E2239/(COUNTIF($J2239:$Q2239,"x")+1),-$E2239*N(J2239)))</f>
        <v/>
      </c>
      <c r="Y2239" s="34">
        <f>IF(OR($A2239="",$H2239&lt;&gt;"Ausgabe",K2239=""),0,IF(K2239="x",-$E2239/(COUNTIF($J2239:$Q2239,"x")+1),-$E2239*N(K2239)))</f>
        <v/>
      </c>
      <c r="Z2239" s="34">
        <f>IF(OR($A2239="",$H2239&lt;&gt;"Ausgabe",L2239=""),0,IF(L2239="x",-$E2239/(COUNTIF($J2239:$Q2239,"x")+1),-$E2239*N(L2239)))</f>
        <v/>
      </c>
      <c r="AA2239" s="34">
        <f>IF(OR($A2239="",$H2239&lt;&gt;"Ausgabe",M2239=""),0,IF(M2239="x",-$E2239/(COUNTIF($J2239:$Q2239,"x")+1),-$E2239*N(M2239)))</f>
        <v/>
      </c>
      <c r="AB2239" s="34">
        <f>IF(OR($A2239="",$H2239&lt;&gt;"Ausgabe",N2239=""),0,IF(N2239="x",-$E2239/(COUNTIF($J2239:$Q2239,"x")+1),-$E2239*N(N2239)))</f>
        <v/>
      </c>
      <c r="AC2239" s="34">
        <f>IF(OR($A2239="",$H2239&lt;&gt;"Ausgabe",O2239=""),0,IF(O2239="x",-$E2239/(COUNTIF($J2239:$Q2239,"x")+1),-$E2239*N(O2239)))</f>
        <v/>
      </c>
      <c r="AD2239" s="34">
        <f>IF(OR($A2239="",$H2239&lt;&gt;"Ausgabe",P2239=""),0,IF(P2239="x",-$E2239/(COUNTIF($J2239:$Q2239,"x")+1),-$E2239*N(P2239)))</f>
        <v/>
      </c>
      <c r="AE2239" s="34">
        <f>IF(OR($A2239="",$H2239&lt;&gt;"Ausgabe",Q2239=""),0,IF(Q2239="x",-$E2239/(COUNTIF($J2239:$Q2239,"x")+1),-$E2239*N(Q2239)))</f>
        <v/>
      </c>
    </row>
    <row r="2240">
      <c r="A2240" s="30" t="n"/>
      <c r="E2240" s="31" t="n"/>
      <c r="J2240" s="32" t="n"/>
      <c r="K2240" s="32" t="n"/>
      <c r="L2240" s="32" t="n"/>
      <c r="M2240" s="32" t="n"/>
      <c r="N2240" s="32" t="n"/>
      <c r="O2240" s="32" t="n"/>
      <c r="P2240" s="32" t="n"/>
      <c r="Q2240" s="32" t="n"/>
      <c r="U2240" s="31">
        <f>IF($A2240="","",SUM(X2240:AE2240))</f>
        <v/>
      </c>
      <c r="V2240" s="31">
        <f>IF($A2240="","",IF($H2240&lt;&gt;"Ausgabe",0,-$E2240-$U2240))</f>
        <v/>
      </c>
      <c r="W2240" s="33">
        <f>IF($A2240="","",DATE(YEAR($A2240),MONTH($A2240),1))</f>
        <v/>
      </c>
      <c r="X2240" s="34">
        <f>IF(OR($A2240="",$H2240&lt;&gt;"Ausgabe",J2240=""),0,IF(J2240="x",-$E2240/(COUNTIF($J2240:$Q2240,"x")+1),-$E2240*N(J2240)))</f>
        <v/>
      </c>
      <c r="Y2240" s="34">
        <f>IF(OR($A2240="",$H2240&lt;&gt;"Ausgabe",K2240=""),0,IF(K2240="x",-$E2240/(COUNTIF($J2240:$Q2240,"x")+1),-$E2240*N(K2240)))</f>
        <v/>
      </c>
      <c r="Z2240" s="34">
        <f>IF(OR($A2240="",$H2240&lt;&gt;"Ausgabe",L2240=""),0,IF(L2240="x",-$E2240/(COUNTIF($J2240:$Q2240,"x")+1),-$E2240*N(L2240)))</f>
        <v/>
      </c>
      <c r="AA2240" s="34">
        <f>IF(OR($A2240="",$H2240&lt;&gt;"Ausgabe",M2240=""),0,IF(M2240="x",-$E2240/(COUNTIF($J2240:$Q2240,"x")+1),-$E2240*N(M2240)))</f>
        <v/>
      </c>
      <c r="AB2240" s="34">
        <f>IF(OR($A2240="",$H2240&lt;&gt;"Ausgabe",N2240=""),0,IF(N2240="x",-$E2240/(COUNTIF($J2240:$Q2240,"x")+1),-$E2240*N(N2240)))</f>
        <v/>
      </c>
      <c r="AC2240" s="34">
        <f>IF(OR($A2240="",$H2240&lt;&gt;"Ausgabe",O2240=""),0,IF(O2240="x",-$E2240/(COUNTIF($J2240:$Q2240,"x")+1),-$E2240*N(O2240)))</f>
        <v/>
      </c>
      <c r="AD2240" s="34">
        <f>IF(OR($A2240="",$H2240&lt;&gt;"Ausgabe",P2240=""),0,IF(P2240="x",-$E2240/(COUNTIF($J2240:$Q2240,"x")+1),-$E2240*N(P2240)))</f>
        <v/>
      </c>
      <c r="AE2240" s="34">
        <f>IF(OR($A2240="",$H2240&lt;&gt;"Ausgabe",Q2240=""),0,IF(Q2240="x",-$E2240/(COUNTIF($J2240:$Q2240,"x")+1),-$E2240*N(Q2240)))</f>
        <v/>
      </c>
    </row>
    <row r="2241">
      <c r="A2241" s="30" t="n"/>
      <c r="E2241" s="31" t="n"/>
      <c r="J2241" s="32" t="n"/>
      <c r="K2241" s="32" t="n"/>
      <c r="L2241" s="32" t="n"/>
      <c r="M2241" s="32" t="n"/>
      <c r="N2241" s="32" t="n"/>
      <c r="O2241" s="32" t="n"/>
      <c r="P2241" s="32" t="n"/>
      <c r="Q2241" s="32" t="n"/>
      <c r="U2241" s="31">
        <f>IF($A2241="","",SUM(X2241:AE2241))</f>
        <v/>
      </c>
      <c r="V2241" s="31">
        <f>IF($A2241="","",IF($H2241&lt;&gt;"Ausgabe",0,-$E2241-$U2241))</f>
        <v/>
      </c>
      <c r="W2241" s="33">
        <f>IF($A2241="","",DATE(YEAR($A2241),MONTH($A2241),1))</f>
        <v/>
      </c>
      <c r="X2241" s="34">
        <f>IF(OR($A2241="",$H2241&lt;&gt;"Ausgabe",J2241=""),0,IF(J2241="x",-$E2241/(COUNTIF($J2241:$Q2241,"x")+1),-$E2241*N(J2241)))</f>
        <v/>
      </c>
      <c r="Y2241" s="34">
        <f>IF(OR($A2241="",$H2241&lt;&gt;"Ausgabe",K2241=""),0,IF(K2241="x",-$E2241/(COUNTIF($J2241:$Q2241,"x")+1),-$E2241*N(K2241)))</f>
        <v/>
      </c>
      <c r="Z2241" s="34">
        <f>IF(OR($A2241="",$H2241&lt;&gt;"Ausgabe",L2241=""),0,IF(L2241="x",-$E2241/(COUNTIF($J2241:$Q2241,"x")+1),-$E2241*N(L2241)))</f>
        <v/>
      </c>
      <c r="AA2241" s="34">
        <f>IF(OR($A2241="",$H2241&lt;&gt;"Ausgabe",M2241=""),0,IF(M2241="x",-$E2241/(COUNTIF($J2241:$Q2241,"x")+1),-$E2241*N(M2241)))</f>
        <v/>
      </c>
      <c r="AB2241" s="34">
        <f>IF(OR($A2241="",$H2241&lt;&gt;"Ausgabe",N2241=""),0,IF(N2241="x",-$E2241/(COUNTIF($J2241:$Q2241,"x")+1),-$E2241*N(N2241)))</f>
        <v/>
      </c>
      <c r="AC2241" s="34">
        <f>IF(OR($A2241="",$H2241&lt;&gt;"Ausgabe",O2241=""),0,IF(O2241="x",-$E2241/(COUNTIF($J2241:$Q2241,"x")+1),-$E2241*N(O2241)))</f>
        <v/>
      </c>
      <c r="AD2241" s="34">
        <f>IF(OR($A2241="",$H2241&lt;&gt;"Ausgabe",P2241=""),0,IF(P2241="x",-$E2241/(COUNTIF($J2241:$Q2241,"x")+1),-$E2241*N(P2241)))</f>
        <v/>
      </c>
      <c r="AE2241" s="34">
        <f>IF(OR($A2241="",$H2241&lt;&gt;"Ausgabe",Q2241=""),0,IF(Q2241="x",-$E2241/(COUNTIF($J2241:$Q2241,"x")+1),-$E2241*N(Q2241)))</f>
        <v/>
      </c>
    </row>
    <row r="2242">
      <c r="A2242" s="30" t="n"/>
      <c r="E2242" s="31" t="n"/>
      <c r="J2242" s="32" t="n"/>
      <c r="K2242" s="32" t="n"/>
      <c r="L2242" s="32" t="n"/>
      <c r="M2242" s="32" t="n"/>
      <c r="N2242" s="32" t="n"/>
      <c r="O2242" s="32" t="n"/>
      <c r="P2242" s="32" t="n"/>
      <c r="Q2242" s="32" t="n"/>
      <c r="U2242" s="31">
        <f>IF($A2242="","",SUM(X2242:AE2242))</f>
        <v/>
      </c>
      <c r="V2242" s="31">
        <f>IF($A2242="","",IF($H2242&lt;&gt;"Ausgabe",0,-$E2242-$U2242))</f>
        <v/>
      </c>
      <c r="W2242" s="33">
        <f>IF($A2242="","",DATE(YEAR($A2242),MONTH($A2242),1))</f>
        <v/>
      </c>
      <c r="X2242" s="34">
        <f>IF(OR($A2242="",$H2242&lt;&gt;"Ausgabe",J2242=""),0,IF(J2242="x",-$E2242/(COUNTIF($J2242:$Q2242,"x")+1),-$E2242*N(J2242)))</f>
        <v/>
      </c>
      <c r="Y2242" s="34">
        <f>IF(OR($A2242="",$H2242&lt;&gt;"Ausgabe",K2242=""),0,IF(K2242="x",-$E2242/(COUNTIF($J2242:$Q2242,"x")+1),-$E2242*N(K2242)))</f>
        <v/>
      </c>
      <c r="Z2242" s="34">
        <f>IF(OR($A2242="",$H2242&lt;&gt;"Ausgabe",L2242=""),0,IF(L2242="x",-$E2242/(COUNTIF($J2242:$Q2242,"x")+1),-$E2242*N(L2242)))</f>
        <v/>
      </c>
      <c r="AA2242" s="34">
        <f>IF(OR($A2242="",$H2242&lt;&gt;"Ausgabe",M2242=""),0,IF(M2242="x",-$E2242/(COUNTIF($J2242:$Q2242,"x")+1),-$E2242*N(M2242)))</f>
        <v/>
      </c>
      <c r="AB2242" s="34">
        <f>IF(OR($A2242="",$H2242&lt;&gt;"Ausgabe",N2242=""),0,IF(N2242="x",-$E2242/(COUNTIF($J2242:$Q2242,"x")+1),-$E2242*N(N2242)))</f>
        <v/>
      </c>
      <c r="AC2242" s="34">
        <f>IF(OR($A2242="",$H2242&lt;&gt;"Ausgabe",O2242=""),0,IF(O2242="x",-$E2242/(COUNTIF($J2242:$Q2242,"x")+1),-$E2242*N(O2242)))</f>
        <v/>
      </c>
      <c r="AD2242" s="34">
        <f>IF(OR($A2242="",$H2242&lt;&gt;"Ausgabe",P2242=""),0,IF(P2242="x",-$E2242/(COUNTIF($J2242:$Q2242,"x")+1),-$E2242*N(P2242)))</f>
        <v/>
      </c>
      <c r="AE2242" s="34">
        <f>IF(OR($A2242="",$H2242&lt;&gt;"Ausgabe",Q2242=""),0,IF(Q2242="x",-$E2242/(COUNTIF($J2242:$Q2242,"x")+1),-$E2242*N(Q2242)))</f>
        <v/>
      </c>
    </row>
    <row r="2243">
      <c r="A2243" s="30" t="n"/>
      <c r="E2243" s="31" t="n"/>
      <c r="J2243" s="32" t="n"/>
      <c r="K2243" s="32" t="n"/>
      <c r="L2243" s="32" t="n"/>
      <c r="M2243" s="32" t="n"/>
      <c r="N2243" s="32" t="n"/>
      <c r="O2243" s="32" t="n"/>
      <c r="P2243" s="32" t="n"/>
      <c r="Q2243" s="32" t="n"/>
      <c r="U2243" s="31">
        <f>IF($A2243="","",SUM(X2243:AE2243))</f>
        <v/>
      </c>
      <c r="V2243" s="31">
        <f>IF($A2243="","",IF($H2243&lt;&gt;"Ausgabe",0,-$E2243-$U2243))</f>
        <v/>
      </c>
      <c r="W2243" s="33">
        <f>IF($A2243="","",DATE(YEAR($A2243),MONTH($A2243),1))</f>
        <v/>
      </c>
      <c r="X2243" s="34">
        <f>IF(OR($A2243="",$H2243&lt;&gt;"Ausgabe",J2243=""),0,IF(J2243="x",-$E2243/(COUNTIF($J2243:$Q2243,"x")+1),-$E2243*N(J2243)))</f>
        <v/>
      </c>
      <c r="Y2243" s="34">
        <f>IF(OR($A2243="",$H2243&lt;&gt;"Ausgabe",K2243=""),0,IF(K2243="x",-$E2243/(COUNTIF($J2243:$Q2243,"x")+1),-$E2243*N(K2243)))</f>
        <v/>
      </c>
      <c r="Z2243" s="34">
        <f>IF(OR($A2243="",$H2243&lt;&gt;"Ausgabe",L2243=""),0,IF(L2243="x",-$E2243/(COUNTIF($J2243:$Q2243,"x")+1),-$E2243*N(L2243)))</f>
        <v/>
      </c>
      <c r="AA2243" s="34">
        <f>IF(OR($A2243="",$H2243&lt;&gt;"Ausgabe",M2243=""),0,IF(M2243="x",-$E2243/(COUNTIF($J2243:$Q2243,"x")+1),-$E2243*N(M2243)))</f>
        <v/>
      </c>
      <c r="AB2243" s="34">
        <f>IF(OR($A2243="",$H2243&lt;&gt;"Ausgabe",N2243=""),0,IF(N2243="x",-$E2243/(COUNTIF($J2243:$Q2243,"x")+1),-$E2243*N(N2243)))</f>
        <v/>
      </c>
      <c r="AC2243" s="34">
        <f>IF(OR($A2243="",$H2243&lt;&gt;"Ausgabe",O2243=""),0,IF(O2243="x",-$E2243/(COUNTIF($J2243:$Q2243,"x")+1),-$E2243*N(O2243)))</f>
        <v/>
      </c>
      <c r="AD2243" s="34">
        <f>IF(OR($A2243="",$H2243&lt;&gt;"Ausgabe",P2243=""),0,IF(P2243="x",-$E2243/(COUNTIF($J2243:$Q2243,"x")+1),-$E2243*N(P2243)))</f>
        <v/>
      </c>
      <c r="AE2243" s="34">
        <f>IF(OR($A2243="",$H2243&lt;&gt;"Ausgabe",Q2243=""),0,IF(Q2243="x",-$E2243/(COUNTIF($J2243:$Q2243,"x")+1),-$E2243*N(Q2243)))</f>
        <v/>
      </c>
    </row>
    <row r="2244">
      <c r="A2244" s="30" t="n"/>
      <c r="E2244" s="31" t="n"/>
      <c r="J2244" s="32" t="n"/>
      <c r="K2244" s="32" t="n"/>
      <c r="L2244" s="32" t="n"/>
      <c r="M2244" s="32" t="n"/>
      <c r="N2244" s="32" t="n"/>
      <c r="O2244" s="32" t="n"/>
      <c r="P2244" s="32" t="n"/>
      <c r="Q2244" s="32" t="n"/>
      <c r="U2244" s="31">
        <f>IF($A2244="","",SUM(X2244:AE2244))</f>
        <v/>
      </c>
      <c r="V2244" s="31">
        <f>IF($A2244="","",IF($H2244&lt;&gt;"Ausgabe",0,-$E2244-$U2244))</f>
        <v/>
      </c>
      <c r="W2244" s="33">
        <f>IF($A2244="","",DATE(YEAR($A2244),MONTH($A2244),1))</f>
        <v/>
      </c>
      <c r="X2244" s="34">
        <f>IF(OR($A2244="",$H2244&lt;&gt;"Ausgabe",J2244=""),0,IF(J2244="x",-$E2244/(COUNTIF($J2244:$Q2244,"x")+1),-$E2244*N(J2244)))</f>
        <v/>
      </c>
      <c r="Y2244" s="34">
        <f>IF(OR($A2244="",$H2244&lt;&gt;"Ausgabe",K2244=""),0,IF(K2244="x",-$E2244/(COUNTIF($J2244:$Q2244,"x")+1),-$E2244*N(K2244)))</f>
        <v/>
      </c>
      <c r="Z2244" s="34">
        <f>IF(OR($A2244="",$H2244&lt;&gt;"Ausgabe",L2244=""),0,IF(L2244="x",-$E2244/(COUNTIF($J2244:$Q2244,"x")+1),-$E2244*N(L2244)))</f>
        <v/>
      </c>
      <c r="AA2244" s="34">
        <f>IF(OR($A2244="",$H2244&lt;&gt;"Ausgabe",M2244=""),0,IF(M2244="x",-$E2244/(COUNTIF($J2244:$Q2244,"x")+1),-$E2244*N(M2244)))</f>
        <v/>
      </c>
      <c r="AB2244" s="34">
        <f>IF(OR($A2244="",$H2244&lt;&gt;"Ausgabe",N2244=""),0,IF(N2244="x",-$E2244/(COUNTIF($J2244:$Q2244,"x")+1),-$E2244*N(N2244)))</f>
        <v/>
      </c>
      <c r="AC2244" s="34">
        <f>IF(OR($A2244="",$H2244&lt;&gt;"Ausgabe",O2244=""),0,IF(O2244="x",-$E2244/(COUNTIF($J2244:$Q2244,"x")+1),-$E2244*N(O2244)))</f>
        <v/>
      </c>
      <c r="AD2244" s="34">
        <f>IF(OR($A2244="",$H2244&lt;&gt;"Ausgabe",P2244=""),0,IF(P2244="x",-$E2244/(COUNTIF($J2244:$Q2244,"x")+1),-$E2244*N(P2244)))</f>
        <v/>
      </c>
      <c r="AE2244" s="34">
        <f>IF(OR($A2244="",$H2244&lt;&gt;"Ausgabe",Q2244=""),0,IF(Q2244="x",-$E2244/(COUNTIF($J2244:$Q2244,"x")+1),-$E2244*N(Q2244)))</f>
        <v/>
      </c>
    </row>
    <row r="2245">
      <c r="A2245" s="30" t="n"/>
      <c r="E2245" s="31" t="n"/>
      <c r="J2245" s="32" t="n"/>
      <c r="K2245" s="32" t="n"/>
      <c r="L2245" s="32" t="n"/>
      <c r="M2245" s="32" t="n"/>
      <c r="N2245" s="32" t="n"/>
      <c r="O2245" s="32" t="n"/>
      <c r="P2245" s="32" t="n"/>
      <c r="Q2245" s="32" t="n"/>
      <c r="U2245" s="31">
        <f>IF($A2245="","",SUM(X2245:AE2245))</f>
        <v/>
      </c>
      <c r="V2245" s="31">
        <f>IF($A2245="","",IF($H2245&lt;&gt;"Ausgabe",0,-$E2245-$U2245))</f>
        <v/>
      </c>
      <c r="W2245" s="33">
        <f>IF($A2245="","",DATE(YEAR($A2245),MONTH($A2245),1))</f>
        <v/>
      </c>
      <c r="X2245" s="34">
        <f>IF(OR($A2245="",$H2245&lt;&gt;"Ausgabe",J2245=""),0,IF(J2245="x",-$E2245/(COUNTIF($J2245:$Q2245,"x")+1),-$E2245*N(J2245)))</f>
        <v/>
      </c>
      <c r="Y2245" s="34">
        <f>IF(OR($A2245="",$H2245&lt;&gt;"Ausgabe",K2245=""),0,IF(K2245="x",-$E2245/(COUNTIF($J2245:$Q2245,"x")+1),-$E2245*N(K2245)))</f>
        <v/>
      </c>
      <c r="Z2245" s="34">
        <f>IF(OR($A2245="",$H2245&lt;&gt;"Ausgabe",L2245=""),0,IF(L2245="x",-$E2245/(COUNTIF($J2245:$Q2245,"x")+1),-$E2245*N(L2245)))</f>
        <v/>
      </c>
      <c r="AA2245" s="34">
        <f>IF(OR($A2245="",$H2245&lt;&gt;"Ausgabe",M2245=""),0,IF(M2245="x",-$E2245/(COUNTIF($J2245:$Q2245,"x")+1),-$E2245*N(M2245)))</f>
        <v/>
      </c>
      <c r="AB2245" s="34">
        <f>IF(OR($A2245="",$H2245&lt;&gt;"Ausgabe",N2245=""),0,IF(N2245="x",-$E2245/(COUNTIF($J2245:$Q2245,"x")+1),-$E2245*N(N2245)))</f>
        <v/>
      </c>
      <c r="AC2245" s="34">
        <f>IF(OR($A2245="",$H2245&lt;&gt;"Ausgabe",O2245=""),0,IF(O2245="x",-$E2245/(COUNTIF($J2245:$Q2245,"x")+1),-$E2245*N(O2245)))</f>
        <v/>
      </c>
      <c r="AD2245" s="34">
        <f>IF(OR($A2245="",$H2245&lt;&gt;"Ausgabe",P2245=""),0,IF(P2245="x",-$E2245/(COUNTIF($J2245:$Q2245,"x")+1),-$E2245*N(P2245)))</f>
        <v/>
      </c>
      <c r="AE2245" s="34">
        <f>IF(OR($A2245="",$H2245&lt;&gt;"Ausgabe",Q2245=""),0,IF(Q2245="x",-$E2245/(COUNTIF($J2245:$Q2245,"x")+1),-$E2245*N(Q2245)))</f>
        <v/>
      </c>
    </row>
    <row r="2246">
      <c r="A2246" s="30" t="n"/>
      <c r="E2246" s="31" t="n"/>
      <c r="J2246" s="32" t="n"/>
      <c r="K2246" s="32" t="n"/>
      <c r="L2246" s="32" t="n"/>
      <c r="M2246" s="32" t="n"/>
      <c r="N2246" s="32" t="n"/>
      <c r="O2246" s="32" t="n"/>
      <c r="P2246" s="32" t="n"/>
      <c r="Q2246" s="32" t="n"/>
      <c r="U2246" s="31">
        <f>IF($A2246="","",SUM(X2246:AE2246))</f>
        <v/>
      </c>
      <c r="V2246" s="31">
        <f>IF($A2246="","",IF($H2246&lt;&gt;"Ausgabe",0,-$E2246-$U2246))</f>
        <v/>
      </c>
      <c r="W2246" s="33">
        <f>IF($A2246="","",DATE(YEAR($A2246),MONTH($A2246),1))</f>
        <v/>
      </c>
      <c r="X2246" s="34">
        <f>IF(OR($A2246="",$H2246&lt;&gt;"Ausgabe",J2246=""),0,IF(J2246="x",-$E2246/(COUNTIF($J2246:$Q2246,"x")+1),-$E2246*N(J2246)))</f>
        <v/>
      </c>
      <c r="Y2246" s="34">
        <f>IF(OR($A2246="",$H2246&lt;&gt;"Ausgabe",K2246=""),0,IF(K2246="x",-$E2246/(COUNTIF($J2246:$Q2246,"x")+1),-$E2246*N(K2246)))</f>
        <v/>
      </c>
      <c r="Z2246" s="34">
        <f>IF(OR($A2246="",$H2246&lt;&gt;"Ausgabe",L2246=""),0,IF(L2246="x",-$E2246/(COUNTIF($J2246:$Q2246,"x")+1),-$E2246*N(L2246)))</f>
        <v/>
      </c>
      <c r="AA2246" s="34">
        <f>IF(OR($A2246="",$H2246&lt;&gt;"Ausgabe",M2246=""),0,IF(M2246="x",-$E2246/(COUNTIF($J2246:$Q2246,"x")+1),-$E2246*N(M2246)))</f>
        <v/>
      </c>
      <c r="AB2246" s="34">
        <f>IF(OR($A2246="",$H2246&lt;&gt;"Ausgabe",N2246=""),0,IF(N2246="x",-$E2246/(COUNTIF($J2246:$Q2246,"x")+1),-$E2246*N(N2246)))</f>
        <v/>
      </c>
      <c r="AC2246" s="34">
        <f>IF(OR($A2246="",$H2246&lt;&gt;"Ausgabe",O2246=""),0,IF(O2246="x",-$E2246/(COUNTIF($J2246:$Q2246,"x")+1),-$E2246*N(O2246)))</f>
        <v/>
      </c>
      <c r="AD2246" s="34">
        <f>IF(OR($A2246="",$H2246&lt;&gt;"Ausgabe",P2246=""),0,IF(P2246="x",-$E2246/(COUNTIF($J2246:$Q2246,"x")+1),-$E2246*N(P2246)))</f>
        <v/>
      </c>
      <c r="AE2246" s="34">
        <f>IF(OR($A2246="",$H2246&lt;&gt;"Ausgabe",Q2246=""),0,IF(Q2246="x",-$E2246/(COUNTIF($J2246:$Q2246,"x")+1),-$E2246*N(Q2246)))</f>
        <v/>
      </c>
    </row>
    <row r="2247">
      <c r="A2247" s="30" t="n"/>
      <c r="E2247" s="31" t="n"/>
      <c r="J2247" s="32" t="n"/>
      <c r="K2247" s="32" t="n"/>
      <c r="L2247" s="32" t="n"/>
      <c r="M2247" s="32" t="n"/>
      <c r="N2247" s="32" t="n"/>
      <c r="O2247" s="32" t="n"/>
      <c r="P2247" s="32" t="n"/>
      <c r="Q2247" s="32" t="n"/>
      <c r="U2247" s="31">
        <f>IF($A2247="","",SUM(X2247:AE2247))</f>
        <v/>
      </c>
      <c r="V2247" s="31">
        <f>IF($A2247="","",IF($H2247&lt;&gt;"Ausgabe",0,-$E2247-$U2247))</f>
        <v/>
      </c>
      <c r="W2247" s="33">
        <f>IF($A2247="","",DATE(YEAR($A2247),MONTH($A2247),1))</f>
        <v/>
      </c>
      <c r="X2247" s="34">
        <f>IF(OR($A2247="",$H2247&lt;&gt;"Ausgabe",J2247=""),0,IF(J2247="x",-$E2247/(COUNTIF($J2247:$Q2247,"x")+1),-$E2247*N(J2247)))</f>
        <v/>
      </c>
      <c r="Y2247" s="34">
        <f>IF(OR($A2247="",$H2247&lt;&gt;"Ausgabe",K2247=""),0,IF(K2247="x",-$E2247/(COUNTIF($J2247:$Q2247,"x")+1),-$E2247*N(K2247)))</f>
        <v/>
      </c>
      <c r="Z2247" s="34">
        <f>IF(OR($A2247="",$H2247&lt;&gt;"Ausgabe",L2247=""),0,IF(L2247="x",-$E2247/(COUNTIF($J2247:$Q2247,"x")+1),-$E2247*N(L2247)))</f>
        <v/>
      </c>
      <c r="AA2247" s="34">
        <f>IF(OR($A2247="",$H2247&lt;&gt;"Ausgabe",M2247=""),0,IF(M2247="x",-$E2247/(COUNTIF($J2247:$Q2247,"x")+1),-$E2247*N(M2247)))</f>
        <v/>
      </c>
      <c r="AB2247" s="34">
        <f>IF(OR($A2247="",$H2247&lt;&gt;"Ausgabe",N2247=""),0,IF(N2247="x",-$E2247/(COUNTIF($J2247:$Q2247,"x")+1),-$E2247*N(N2247)))</f>
        <v/>
      </c>
      <c r="AC2247" s="34">
        <f>IF(OR($A2247="",$H2247&lt;&gt;"Ausgabe",O2247=""),0,IF(O2247="x",-$E2247/(COUNTIF($J2247:$Q2247,"x")+1),-$E2247*N(O2247)))</f>
        <v/>
      </c>
      <c r="AD2247" s="34">
        <f>IF(OR($A2247="",$H2247&lt;&gt;"Ausgabe",P2247=""),0,IF(P2247="x",-$E2247/(COUNTIF($J2247:$Q2247,"x")+1),-$E2247*N(P2247)))</f>
        <v/>
      </c>
      <c r="AE2247" s="34">
        <f>IF(OR($A2247="",$H2247&lt;&gt;"Ausgabe",Q2247=""),0,IF(Q2247="x",-$E2247/(COUNTIF($J2247:$Q2247,"x")+1),-$E2247*N(Q2247)))</f>
        <v/>
      </c>
    </row>
    <row r="2248">
      <c r="A2248" s="30" t="n"/>
      <c r="E2248" s="31" t="n"/>
      <c r="J2248" s="32" t="n"/>
      <c r="K2248" s="32" t="n"/>
      <c r="L2248" s="32" t="n"/>
      <c r="M2248" s="32" t="n"/>
      <c r="N2248" s="32" t="n"/>
      <c r="O2248" s="32" t="n"/>
      <c r="P2248" s="32" t="n"/>
      <c r="Q2248" s="32" t="n"/>
      <c r="U2248" s="31">
        <f>IF($A2248="","",SUM(X2248:AE2248))</f>
        <v/>
      </c>
      <c r="V2248" s="31">
        <f>IF($A2248="","",IF($H2248&lt;&gt;"Ausgabe",0,-$E2248-$U2248))</f>
        <v/>
      </c>
      <c r="W2248" s="33">
        <f>IF($A2248="","",DATE(YEAR($A2248),MONTH($A2248),1))</f>
        <v/>
      </c>
      <c r="X2248" s="34">
        <f>IF(OR($A2248="",$H2248&lt;&gt;"Ausgabe",J2248=""),0,IF(J2248="x",-$E2248/(COUNTIF($J2248:$Q2248,"x")+1),-$E2248*N(J2248)))</f>
        <v/>
      </c>
      <c r="Y2248" s="34">
        <f>IF(OR($A2248="",$H2248&lt;&gt;"Ausgabe",K2248=""),0,IF(K2248="x",-$E2248/(COUNTIF($J2248:$Q2248,"x")+1),-$E2248*N(K2248)))</f>
        <v/>
      </c>
      <c r="Z2248" s="34">
        <f>IF(OR($A2248="",$H2248&lt;&gt;"Ausgabe",L2248=""),0,IF(L2248="x",-$E2248/(COUNTIF($J2248:$Q2248,"x")+1),-$E2248*N(L2248)))</f>
        <v/>
      </c>
      <c r="AA2248" s="34">
        <f>IF(OR($A2248="",$H2248&lt;&gt;"Ausgabe",M2248=""),0,IF(M2248="x",-$E2248/(COUNTIF($J2248:$Q2248,"x")+1),-$E2248*N(M2248)))</f>
        <v/>
      </c>
      <c r="AB2248" s="34">
        <f>IF(OR($A2248="",$H2248&lt;&gt;"Ausgabe",N2248=""),0,IF(N2248="x",-$E2248/(COUNTIF($J2248:$Q2248,"x")+1),-$E2248*N(N2248)))</f>
        <v/>
      </c>
      <c r="AC2248" s="34">
        <f>IF(OR($A2248="",$H2248&lt;&gt;"Ausgabe",O2248=""),0,IF(O2248="x",-$E2248/(COUNTIF($J2248:$Q2248,"x")+1),-$E2248*N(O2248)))</f>
        <v/>
      </c>
      <c r="AD2248" s="34">
        <f>IF(OR($A2248="",$H2248&lt;&gt;"Ausgabe",P2248=""),0,IF(P2248="x",-$E2248/(COUNTIF($J2248:$Q2248,"x")+1),-$E2248*N(P2248)))</f>
        <v/>
      </c>
      <c r="AE2248" s="34">
        <f>IF(OR($A2248="",$H2248&lt;&gt;"Ausgabe",Q2248=""),0,IF(Q2248="x",-$E2248/(COUNTIF($J2248:$Q2248,"x")+1),-$E2248*N(Q2248)))</f>
        <v/>
      </c>
    </row>
    <row r="2249">
      <c r="A2249" s="30" t="n"/>
      <c r="E2249" s="31" t="n"/>
      <c r="J2249" s="32" t="n"/>
      <c r="K2249" s="32" t="n"/>
      <c r="L2249" s="32" t="n"/>
      <c r="M2249" s="32" t="n"/>
      <c r="N2249" s="32" t="n"/>
      <c r="O2249" s="32" t="n"/>
      <c r="P2249" s="32" t="n"/>
      <c r="Q2249" s="32" t="n"/>
      <c r="U2249" s="31">
        <f>IF($A2249="","",SUM(X2249:AE2249))</f>
        <v/>
      </c>
      <c r="V2249" s="31">
        <f>IF($A2249="","",IF($H2249&lt;&gt;"Ausgabe",0,-$E2249-$U2249))</f>
        <v/>
      </c>
      <c r="W2249" s="33">
        <f>IF($A2249="","",DATE(YEAR($A2249),MONTH($A2249),1))</f>
        <v/>
      </c>
      <c r="X2249" s="34">
        <f>IF(OR($A2249="",$H2249&lt;&gt;"Ausgabe",J2249=""),0,IF(J2249="x",-$E2249/(COUNTIF($J2249:$Q2249,"x")+1),-$E2249*N(J2249)))</f>
        <v/>
      </c>
      <c r="Y2249" s="34">
        <f>IF(OR($A2249="",$H2249&lt;&gt;"Ausgabe",K2249=""),0,IF(K2249="x",-$E2249/(COUNTIF($J2249:$Q2249,"x")+1),-$E2249*N(K2249)))</f>
        <v/>
      </c>
      <c r="Z2249" s="34">
        <f>IF(OR($A2249="",$H2249&lt;&gt;"Ausgabe",L2249=""),0,IF(L2249="x",-$E2249/(COUNTIF($J2249:$Q2249,"x")+1),-$E2249*N(L2249)))</f>
        <v/>
      </c>
      <c r="AA2249" s="34">
        <f>IF(OR($A2249="",$H2249&lt;&gt;"Ausgabe",M2249=""),0,IF(M2249="x",-$E2249/(COUNTIF($J2249:$Q2249,"x")+1),-$E2249*N(M2249)))</f>
        <v/>
      </c>
      <c r="AB2249" s="34">
        <f>IF(OR($A2249="",$H2249&lt;&gt;"Ausgabe",N2249=""),0,IF(N2249="x",-$E2249/(COUNTIF($J2249:$Q2249,"x")+1),-$E2249*N(N2249)))</f>
        <v/>
      </c>
      <c r="AC2249" s="34">
        <f>IF(OR($A2249="",$H2249&lt;&gt;"Ausgabe",O2249=""),0,IF(O2249="x",-$E2249/(COUNTIF($J2249:$Q2249,"x")+1),-$E2249*N(O2249)))</f>
        <v/>
      </c>
      <c r="AD2249" s="34">
        <f>IF(OR($A2249="",$H2249&lt;&gt;"Ausgabe",P2249=""),0,IF(P2249="x",-$E2249/(COUNTIF($J2249:$Q2249,"x")+1),-$E2249*N(P2249)))</f>
        <v/>
      </c>
      <c r="AE2249" s="34">
        <f>IF(OR($A2249="",$H2249&lt;&gt;"Ausgabe",Q2249=""),0,IF(Q2249="x",-$E2249/(COUNTIF($J2249:$Q2249,"x")+1),-$E2249*N(Q2249)))</f>
        <v/>
      </c>
    </row>
    <row r="2250">
      <c r="A2250" s="30" t="n"/>
      <c r="E2250" s="31" t="n"/>
      <c r="J2250" s="32" t="n"/>
      <c r="K2250" s="32" t="n"/>
      <c r="L2250" s="32" t="n"/>
      <c r="M2250" s="32" t="n"/>
      <c r="N2250" s="32" t="n"/>
      <c r="O2250" s="32" t="n"/>
      <c r="P2250" s="32" t="n"/>
      <c r="Q2250" s="32" t="n"/>
      <c r="U2250" s="31">
        <f>IF($A2250="","",SUM(X2250:AE2250))</f>
        <v/>
      </c>
      <c r="V2250" s="31">
        <f>IF($A2250="","",IF($H2250&lt;&gt;"Ausgabe",0,-$E2250-$U2250))</f>
        <v/>
      </c>
      <c r="W2250" s="33">
        <f>IF($A2250="","",DATE(YEAR($A2250),MONTH($A2250),1))</f>
        <v/>
      </c>
      <c r="X2250" s="34">
        <f>IF(OR($A2250="",$H2250&lt;&gt;"Ausgabe",J2250=""),0,IF(J2250="x",-$E2250/(COUNTIF($J2250:$Q2250,"x")+1),-$E2250*N(J2250)))</f>
        <v/>
      </c>
      <c r="Y2250" s="34">
        <f>IF(OR($A2250="",$H2250&lt;&gt;"Ausgabe",K2250=""),0,IF(K2250="x",-$E2250/(COUNTIF($J2250:$Q2250,"x")+1),-$E2250*N(K2250)))</f>
        <v/>
      </c>
      <c r="Z2250" s="34">
        <f>IF(OR($A2250="",$H2250&lt;&gt;"Ausgabe",L2250=""),0,IF(L2250="x",-$E2250/(COUNTIF($J2250:$Q2250,"x")+1),-$E2250*N(L2250)))</f>
        <v/>
      </c>
      <c r="AA2250" s="34">
        <f>IF(OR($A2250="",$H2250&lt;&gt;"Ausgabe",M2250=""),0,IF(M2250="x",-$E2250/(COUNTIF($J2250:$Q2250,"x")+1),-$E2250*N(M2250)))</f>
        <v/>
      </c>
      <c r="AB2250" s="34">
        <f>IF(OR($A2250="",$H2250&lt;&gt;"Ausgabe",N2250=""),0,IF(N2250="x",-$E2250/(COUNTIF($J2250:$Q2250,"x")+1),-$E2250*N(N2250)))</f>
        <v/>
      </c>
      <c r="AC2250" s="34">
        <f>IF(OR($A2250="",$H2250&lt;&gt;"Ausgabe",O2250=""),0,IF(O2250="x",-$E2250/(COUNTIF($J2250:$Q2250,"x")+1),-$E2250*N(O2250)))</f>
        <v/>
      </c>
      <c r="AD2250" s="34">
        <f>IF(OR($A2250="",$H2250&lt;&gt;"Ausgabe",P2250=""),0,IF(P2250="x",-$E2250/(COUNTIF($J2250:$Q2250,"x")+1),-$E2250*N(P2250)))</f>
        <v/>
      </c>
      <c r="AE2250" s="34">
        <f>IF(OR($A2250="",$H2250&lt;&gt;"Ausgabe",Q2250=""),0,IF(Q2250="x",-$E2250/(COUNTIF($J2250:$Q2250,"x")+1),-$E2250*N(Q2250)))</f>
        <v/>
      </c>
    </row>
    <row r="2251">
      <c r="A2251" s="30" t="n"/>
      <c r="E2251" s="31" t="n"/>
      <c r="J2251" s="32" t="n"/>
      <c r="K2251" s="32" t="n"/>
      <c r="L2251" s="32" t="n"/>
      <c r="M2251" s="32" t="n"/>
      <c r="N2251" s="32" t="n"/>
      <c r="O2251" s="32" t="n"/>
      <c r="P2251" s="32" t="n"/>
      <c r="Q2251" s="32" t="n"/>
      <c r="U2251" s="31">
        <f>IF($A2251="","",SUM(X2251:AE2251))</f>
        <v/>
      </c>
      <c r="V2251" s="31">
        <f>IF($A2251="","",IF($H2251&lt;&gt;"Ausgabe",0,-$E2251-$U2251))</f>
        <v/>
      </c>
      <c r="W2251" s="33">
        <f>IF($A2251="","",DATE(YEAR($A2251),MONTH($A2251),1))</f>
        <v/>
      </c>
      <c r="X2251" s="34">
        <f>IF(OR($A2251="",$H2251&lt;&gt;"Ausgabe",J2251=""),0,IF(J2251="x",-$E2251/(COUNTIF($J2251:$Q2251,"x")+1),-$E2251*N(J2251)))</f>
        <v/>
      </c>
      <c r="Y2251" s="34">
        <f>IF(OR($A2251="",$H2251&lt;&gt;"Ausgabe",K2251=""),0,IF(K2251="x",-$E2251/(COUNTIF($J2251:$Q2251,"x")+1),-$E2251*N(K2251)))</f>
        <v/>
      </c>
      <c r="Z2251" s="34">
        <f>IF(OR($A2251="",$H2251&lt;&gt;"Ausgabe",L2251=""),0,IF(L2251="x",-$E2251/(COUNTIF($J2251:$Q2251,"x")+1),-$E2251*N(L2251)))</f>
        <v/>
      </c>
      <c r="AA2251" s="34">
        <f>IF(OR($A2251="",$H2251&lt;&gt;"Ausgabe",M2251=""),0,IF(M2251="x",-$E2251/(COUNTIF($J2251:$Q2251,"x")+1),-$E2251*N(M2251)))</f>
        <v/>
      </c>
      <c r="AB2251" s="34">
        <f>IF(OR($A2251="",$H2251&lt;&gt;"Ausgabe",N2251=""),0,IF(N2251="x",-$E2251/(COUNTIF($J2251:$Q2251,"x")+1),-$E2251*N(N2251)))</f>
        <v/>
      </c>
      <c r="AC2251" s="34">
        <f>IF(OR($A2251="",$H2251&lt;&gt;"Ausgabe",O2251=""),0,IF(O2251="x",-$E2251/(COUNTIF($J2251:$Q2251,"x")+1),-$E2251*N(O2251)))</f>
        <v/>
      </c>
      <c r="AD2251" s="34">
        <f>IF(OR($A2251="",$H2251&lt;&gt;"Ausgabe",P2251=""),0,IF(P2251="x",-$E2251/(COUNTIF($J2251:$Q2251,"x")+1),-$E2251*N(P2251)))</f>
        <v/>
      </c>
      <c r="AE2251" s="34">
        <f>IF(OR($A2251="",$H2251&lt;&gt;"Ausgabe",Q2251=""),0,IF(Q2251="x",-$E2251/(COUNTIF($J2251:$Q2251,"x")+1),-$E2251*N(Q2251)))</f>
        <v/>
      </c>
    </row>
    <row r="2252">
      <c r="A2252" s="30" t="n"/>
      <c r="E2252" s="31" t="n"/>
      <c r="J2252" s="32" t="n"/>
      <c r="K2252" s="32" t="n"/>
      <c r="L2252" s="32" t="n"/>
      <c r="M2252" s="32" t="n"/>
      <c r="N2252" s="32" t="n"/>
      <c r="O2252" s="32" t="n"/>
      <c r="P2252" s="32" t="n"/>
      <c r="Q2252" s="32" t="n"/>
      <c r="U2252" s="31">
        <f>IF($A2252="","",SUM(X2252:AE2252))</f>
        <v/>
      </c>
      <c r="V2252" s="31">
        <f>IF($A2252="","",IF($H2252&lt;&gt;"Ausgabe",0,-$E2252-$U2252))</f>
        <v/>
      </c>
      <c r="W2252" s="33">
        <f>IF($A2252="","",DATE(YEAR($A2252),MONTH($A2252),1))</f>
        <v/>
      </c>
      <c r="X2252" s="34">
        <f>IF(OR($A2252="",$H2252&lt;&gt;"Ausgabe",J2252=""),0,IF(J2252="x",-$E2252/(COUNTIF($J2252:$Q2252,"x")+1),-$E2252*N(J2252)))</f>
        <v/>
      </c>
      <c r="Y2252" s="34">
        <f>IF(OR($A2252="",$H2252&lt;&gt;"Ausgabe",K2252=""),0,IF(K2252="x",-$E2252/(COUNTIF($J2252:$Q2252,"x")+1),-$E2252*N(K2252)))</f>
        <v/>
      </c>
      <c r="Z2252" s="34">
        <f>IF(OR($A2252="",$H2252&lt;&gt;"Ausgabe",L2252=""),0,IF(L2252="x",-$E2252/(COUNTIF($J2252:$Q2252,"x")+1),-$E2252*N(L2252)))</f>
        <v/>
      </c>
      <c r="AA2252" s="34">
        <f>IF(OR($A2252="",$H2252&lt;&gt;"Ausgabe",M2252=""),0,IF(M2252="x",-$E2252/(COUNTIF($J2252:$Q2252,"x")+1),-$E2252*N(M2252)))</f>
        <v/>
      </c>
      <c r="AB2252" s="34">
        <f>IF(OR($A2252="",$H2252&lt;&gt;"Ausgabe",N2252=""),0,IF(N2252="x",-$E2252/(COUNTIF($J2252:$Q2252,"x")+1),-$E2252*N(N2252)))</f>
        <v/>
      </c>
      <c r="AC2252" s="34">
        <f>IF(OR($A2252="",$H2252&lt;&gt;"Ausgabe",O2252=""),0,IF(O2252="x",-$E2252/(COUNTIF($J2252:$Q2252,"x")+1),-$E2252*N(O2252)))</f>
        <v/>
      </c>
      <c r="AD2252" s="34">
        <f>IF(OR($A2252="",$H2252&lt;&gt;"Ausgabe",P2252=""),0,IF(P2252="x",-$E2252/(COUNTIF($J2252:$Q2252,"x")+1),-$E2252*N(P2252)))</f>
        <v/>
      </c>
      <c r="AE2252" s="34">
        <f>IF(OR($A2252="",$H2252&lt;&gt;"Ausgabe",Q2252=""),0,IF(Q2252="x",-$E2252/(COUNTIF($J2252:$Q2252,"x")+1),-$E2252*N(Q2252)))</f>
        <v/>
      </c>
    </row>
    <row r="2253">
      <c r="A2253" s="30" t="n"/>
      <c r="E2253" s="31" t="n"/>
      <c r="J2253" s="32" t="n"/>
      <c r="K2253" s="32" t="n"/>
      <c r="L2253" s="32" t="n"/>
      <c r="M2253" s="32" t="n"/>
      <c r="N2253" s="32" t="n"/>
      <c r="O2253" s="32" t="n"/>
      <c r="P2253" s="32" t="n"/>
      <c r="Q2253" s="32" t="n"/>
      <c r="U2253" s="31">
        <f>IF($A2253="","",SUM(X2253:AE2253))</f>
        <v/>
      </c>
      <c r="V2253" s="31">
        <f>IF($A2253="","",IF($H2253&lt;&gt;"Ausgabe",0,-$E2253-$U2253))</f>
        <v/>
      </c>
      <c r="W2253" s="33">
        <f>IF($A2253="","",DATE(YEAR($A2253),MONTH($A2253),1))</f>
        <v/>
      </c>
      <c r="X2253" s="34">
        <f>IF(OR($A2253="",$H2253&lt;&gt;"Ausgabe",J2253=""),0,IF(J2253="x",-$E2253/(COUNTIF($J2253:$Q2253,"x")+1),-$E2253*N(J2253)))</f>
        <v/>
      </c>
      <c r="Y2253" s="34">
        <f>IF(OR($A2253="",$H2253&lt;&gt;"Ausgabe",K2253=""),0,IF(K2253="x",-$E2253/(COUNTIF($J2253:$Q2253,"x")+1),-$E2253*N(K2253)))</f>
        <v/>
      </c>
      <c r="Z2253" s="34">
        <f>IF(OR($A2253="",$H2253&lt;&gt;"Ausgabe",L2253=""),0,IF(L2253="x",-$E2253/(COUNTIF($J2253:$Q2253,"x")+1),-$E2253*N(L2253)))</f>
        <v/>
      </c>
      <c r="AA2253" s="34">
        <f>IF(OR($A2253="",$H2253&lt;&gt;"Ausgabe",M2253=""),0,IF(M2253="x",-$E2253/(COUNTIF($J2253:$Q2253,"x")+1),-$E2253*N(M2253)))</f>
        <v/>
      </c>
      <c r="AB2253" s="34">
        <f>IF(OR($A2253="",$H2253&lt;&gt;"Ausgabe",N2253=""),0,IF(N2253="x",-$E2253/(COUNTIF($J2253:$Q2253,"x")+1),-$E2253*N(N2253)))</f>
        <v/>
      </c>
      <c r="AC2253" s="34">
        <f>IF(OR($A2253="",$H2253&lt;&gt;"Ausgabe",O2253=""),0,IF(O2253="x",-$E2253/(COUNTIF($J2253:$Q2253,"x")+1),-$E2253*N(O2253)))</f>
        <v/>
      </c>
      <c r="AD2253" s="34">
        <f>IF(OR($A2253="",$H2253&lt;&gt;"Ausgabe",P2253=""),0,IF(P2253="x",-$E2253/(COUNTIF($J2253:$Q2253,"x")+1),-$E2253*N(P2253)))</f>
        <v/>
      </c>
      <c r="AE2253" s="34">
        <f>IF(OR($A2253="",$H2253&lt;&gt;"Ausgabe",Q2253=""),0,IF(Q2253="x",-$E2253/(COUNTIF($J2253:$Q2253,"x")+1),-$E2253*N(Q2253)))</f>
        <v/>
      </c>
    </row>
    <row r="2254">
      <c r="A2254" s="30" t="n"/>
      <c r="E2254" s="31" t="n"/>
      <c r="J2254" s="32" t="n"/>
      <c r="K2254" s="32" t="n"/>
      <c r="L2254" s="32" t="n"/>
      <c r="M2254" s="32" t="n"/>
      <c r="N2254" s="32" t="n"/>
      <c r="O2254" s="32" t="n"/>
      <c r="P2254" s="32" t="n"/>
      <c r="Q2254" s="32" t="n"/>
      <c r="U2254" s="31">
        <f>IF($A2254="","",SUM(X2254:AE2254))</f>
        <v/>
      </c>
      <c r="V2254" s="31">
        <f>IF($A2254="","",IF($H2254&lt;&gt;"Ausgabe",0,-$E2254-$U2254))</f>
        <v/>
      </c>
      <c r="W2254" s="33">
        <f>IF($A2254="","",DATE(YEAR($A2254),MONTH($A2254),1))</f>
        <v/>
      </c>
      <c r="X2254" s="34">
        <f>IF(OR($A2254="",$H2254&lt;&gt;"Ausgabe",J2254=""),0,IF(J2254="x",-$E2254/(COUNTIF($J2254:$Q2254,"x")+1),-$E2254*N(J2254)))</f>
        <v/>
      </c>
      <c r="Y2254" s="34">
        <f>IF(OR($A2254="",$H2254&lt;&gt;"Ausgabe",K2254=""),0,IF(K2254="x",-$E2254/(COUNTIF($J2254:$Q2254,"x")+1),-$E2254*N(K2254)))</f>
        <v/>
      </c>
      <c r="Z2254" s="34">
        <f>IF(OR($A2254="",$H2254&lt;&gt;"Ausgabe",L2254=""),0,IF(L2254="x",-$E2254/(COUNTIF($J2254:$Q2254,"x")+1),-$E2254*N(L2254)))</f>
        <v/>
      </c>
      <c r="AA2254" s="34">
        <f>IF(OR($A2254="",$H2254&lt;&gt;"Ausgabe",M2254=""),0,IF(M2254="x",-$E2254/(COUNTIF($J2254:$Q2254,"x")+1),-$E2254*N(M2254)))</f>
        <v/>
      </c>
      <c r="AB2254" s="34">
        <f>IF(OR($A2254="",$H2254&lt;&gt;"Ausgabe",N2254=""),0,IF(N2254="x",-$E2254/(COUNTIF($J2254:$Q2254,"x")+1),-$E2254*N(N2254)))</f>
        <v/>
      </c>
      <c r="AC2254" s="34">
        <f>IF(OR($A2254="",$H2254&lt;&gt;"Ausgabe",O2254=""),0,IF(O2254="x",-$E2254/(COUNTIF($J2254:$Q2254,"x")+1),-$E2254*N(O2254)))</f>
        <v/>
      </c>
      <c r="AD2254" s="34">
        <f>IF(OR($A2254="",$H2254&lt;&gt;"Ausgabe",P2254=""),0,IF(P2254="x",-$E2254/(COUNTIF($J2254:$Q2254,"x")+1),-$E2254*N(P2254)))</f>
        <v/>
      </c>
      <c r="AE2254" s="34">
        <f>IF(OR($A2254="",$H2254&lt;&gt;"Ausgabe",Q2254=""),0,IF(Q2254="x",-$E2254/(COUNTIF($J2254:$Q2254,"x")+1),-$E2254*N(Q2254)))</f>
        <v/>
      </c>
    </row>
    <row r="2255">
      <c r="A2255" s="30" t="n"/>
      <c r="E2255" s="31" t="n"/>
      <c r="J2255" s="32" t="n"/>
      <c r="K2255" s="32" t="n"/>
      <c r="L2255" s="32" t="n"/>
      <c r="M2255" s="32" t="n"/>
      <c r="N2255" s="32" t="n"/>
      <c r="O2255" s="32" t="n"/>
      <c r="P2255" s="32" t="n"/>
      <c r="Q2255" s="32" t="n"/>
      <c r="U2255" s="31">
        <f>IF($A2255="","",SUM(X2255:AE2255))</f>
        <v/>
      </c>
      <c r="V2255" s="31">
        <f>IF($A2255="","",IF($H2255&lt;&gt;"Ausgabe",0,-$E2255-$U2255))</f>
        <v/>
      </c>
      <c r="W2255" s="33">
        <f>IF($A2255="","",DATE(YEAR($A2255),MONTH($A2255),1))</f>
        <v/>
      </c>
      <c r="X2255" s="34">
        <f>IF(OR($A2255="",$H2255&lt;&gt;"Ausgabe",J2255=""),0,IF(J2255="x",-$E2255/(COUNTIF($J2255:$Q2255,"x")+1),-$E2255*N(J2255)))</f>
        <v/>
      </c>
      <c r="Y2255" s="34">
        <f>IF(OR($A2255="",$H2255&lt;&gt;"Ausgabe",K2255=""),0,IF(K2255="x",-$E2255/(COUNTIF($J2255:$Q2255,"x")+1),-$E2255*N(K2255)))</f>
        <v/>
      </c>
      <c r="Z2255" s="34">
        <f>IF(OR($A2255="",$H2255&lt;&gt;"Ausgabe",L2255=""),0,IF(L2255="x",-$E2255/(COUNTIF($J2255:$Q2255,"x")+1),-$E2255*N(L2255)))</f>
        <v/>
      </c>
      <c r="AA2255" s="34">
        <f>IF(OR($A2255="",$H2255&lt;&gt;"Ausgabe",M2255=""),0,IF(M2255="x",-$E2255/(COUNTIF($J2255:$Q2255,"x")+1),-$E2255*N(M2255)))</f>
        <v/>
      </c>
      <c r="AB2255" s="34">
        <f>IF(OR($A2255="",$H2255&lt;&gt;"Ausgabe",N2255=""),0,IF(N2255="x",-$E2255/(COUNTIF($J2255:$Q2255,"x")+1),-$E2255*N(N2255)))</f>
        <v/>
      </c>
      <c r="AC2255" s="34">
        <f>IF(OR($A2255="",$H2255&lt;&gt;"Ausgabe",O2255=""),0,IF(O2255="x",-$E2255/(COUNTIF($J2255:$Q2255,"x")+1),-$E2255*N(O2255)))</f>
        <v/>
      </c>
      <c r="AD2255" s="34">
        <f>IF(OR($A2255="",$H2255&lt;&gt;"Ausgabe",P2255=""),0,IF(P2255="x",-$E2255/(COUNTIF($J2255:$Q2255,"x")+1),-$E2255*N(P2255)))</f>
        <v/>
      </c>
      <c r="AE2255" s="34">
        <f>IF(OR($A2255="",$H2255&lt;&gt;"Ausgabe",Q2255=""),0,IF(Q2255="x",-$E2255/(COUNTIF($J2255:$Q2255,"x")+1),-$E2255*N(Q2255)))</f>
        <v/>
      </c>
    </row>
    <row r="2256">
      <c r="A2256" s="30" t="n"/>
      <c r="E2256" s="31" t="n"/>
      <c r="J2256" s="32" t="n"/>
      <c r="K2256" s="32" t="n"/>
      <c r="L2256" s="32" t="n"/>
      <c r="M2256" s="32" t="n"/>
      <c r="N2256" s="32" t="n"/>
      <c r="O2256" s="32" t="n"/>
      <c r="P2256" s="32" t="n"/>
      <c r="Q2256" s="32" t="n"/>
      <c r="U2256" s="31">
        <f>IF($A2256="","",SUM(X2256:AE2256))</f>
        <v/>
      </c>
      <c r="V2256" s="31">
        <f>IF($A2256="","",IF($H2256&lt;&gt;"Ausgabe",0,-$E2256-$U2256))</f>
        <v/>
      </c>
      <c r="W2256" s="33">
        <f>IF($A2256="","",DATE(YEAR($A2256),MONTH($A2256),1))</f>
        <v/>
      </c>
      <c r="X2256" s="34">
        <f>IF(OR($A2256="",$H2256&lt;&gt;"Ausgabe",J2256=""),0,IF(J2256="x",-$E2256/(COUNTIF($J2256:$Q2256,"x")+1),-$E2256*N(J2256)))</f>
        <v/>
      </c>
      <c r="Y2256" s="34">
        <f>IF(OR($A2256="",$H2256&lt;&gt;"Ausgabe",K2256=""),0,IF(K2256="x",-$E2256/(COUNTIF($J2256:$Q2256,"x")+1),-$E2256*N(K2256)))</f>
        <v/>
      </c>
      <c r="Z2256" s="34">
        <f>IF(OR($A2256="",$H2256&lt;&gt;"Ausgabe",L2256=""),0,IF(L2256="x",-$E2256/(COUNTIF($J2256:$Q2256,"x")+1),-$E2256*N(L2256)))</f>
        <v/>
      </c>
      <c r="AA2256" s="34">
        <f>IF(OR($A2256="",$H2256&lt;&gt;"Ausgabe",M2256=""),0,IF(M2256="x",-$E2256/(COUNTIF($J2256:$Q2256,"x")+1),-$E2256*N(M2256)))</f>
        <v/>
      </c>
      <c r="AB2256" s="34">
        <f>IF(OR($A2256="",$H2256&lt;&gt;"Ausgabe",N2256=""),0,IF(N2256="x",-$E2256/(COUNTIF($J2256:$Q2256,"x")+1),-$E2256*N(N2256)))</f>
        <v/>
      </c>
      <c r="AC2256" s="34">
        <f>IF(OR($A2256="",$H2256&lt;&gt;"Ausgabe",O2256=""),0,IF(O2256="x",-$E2256/(COUNTIF($J2256:$Q2256,"x")+1),-$E2256*N(O2256)))</f>
        <v/>
      </c>
      <c r="AD2256" s="34">
        <f>IF(OR($A2256="",$H2256&lt;&gt;"Ausgabe",P2256=""),0,IF(P2256="x",-$E2256/(COUNTIF($J2256:$Q2256,"x")+1),-$E2256*N(P2256)))</f>
        <v/>
      </c>
      <c r="AE2256" s="34">
        <f>IF(OR($A2256="",$H2256&lt;&gt;"Ausgabe",Q2256=""),0,IF(Q2256="x",-$E2256/(COUNTIF($J2256:$Q2256,"x")+1),-$E2256*N(Q2256)))</f>
        <v/>
      </c>
    </row>
    <row r="2257">
      <c r="A2257" s="30" t="n"/>
      <c r="E2257" s="31" t="n"/>
      <c r="J2257" s="32" t="n"/>
      <c r="K2257" s="32" t="n"/>
      <c r="L2257" s="32" t="n"/>
      <c r="M2257" s="32" t="n"/>
      <c r="N2257" s="32" t="n"/>
      <c r="O2257" s="32" t="n"/>
      <c r="P2257" s="32" t="n"/>
      <c r="Q2257" s="32" t="n"/>
      <c r="U2257" s="31">
        <f>IF($A2257="","",SUM(X2257:AE2257))</f>
        <v/>
      </c>
      <c r="V2257" s="31">
        <f>IF($A2257="","",IF($H2257&lt;&gt;"Ausgabe",0,-$E2257-$U2257))</f>
        <v/>
      </c>
      <c r="W2257" s="33">
        <f>IF($A2257="","",DATE(YEAR($A2257),MONTH($A2257),1))</f>
        <v/>
      </c>
      <c r="X2257" s="34">
        <f>IF(OR($A2257="",$H2257&lt;&gt;"Ausgabe",J2257=""),0,IF(J2257="x",-$E2257/(COUNTIF($J2257:$Q2257,"x")+1),-$E2257*N(J2257)))</f>
        <v/>
      </c>
      <c r="Y2257" s="34">
        <f>IF(OR($A2257="",$H2257&lt;&gt;"Ausgabe",K2257=""),0,IF(K2257="x",-$E2257/(COUNTIF($J2257:$Q2257,"x")+1),-$E2257*N(K2257)))</f>
        <v/>
      </c>
      <c r="Z2257" s="34">
        <f>IF(OR($A2257="",$H2257&lt;&gt;"Ausgabe",L2257=""),0,IF(L2257="x",-$E2257/(COUNTIF($J2257:$Q2257,"x")+1),-$E2257*N(L2257)))</f>
        <v/>
      </c>
      <c r="AA2257" s="34">
        <f>IF(OR($A2257="",$H2257&lt;&gt;"Ausgabe",M2257=""),0,IF(M2257="x",-$E2257/(COUNTIF($J2257:$Q2257,"x")+1),-$E2257*N(M2257)))</f>
        <v/>
      </c>
      <c r="AB2257" s="34">
        <f>IF(OR($A2257="",$H2257&lt;&gt;"Ausgabe",N2257=""),0,IF(N2257="x",-$E2257/(COUNTIF($J2257:$Q2257,"x")+1),-$E2257*N(N2257)))</f>
        <v/>
      </c>
      <c r="AC2257" s="34">
        <f>IF(OR($A2257="",$H2257&lt;&gt;"Ausgabe",O2257=""),0,IF(O2257="x",-$E2257/(COUNTIF($J2257:$Q2257,"x")+1),-$E2257*N(O2257)))</f>
        <v/>
      </c>
      <c r="AD2257" s="34">
        <f>IF(OR($A2257="",$H2257&lt;&gt;"Ausgabe",P2257=""),0,IF(P2257="x",-$E2257/(COUNTIF($J2257:$Q2257,"x")+1),-$E2257*N(P2257)))</f>
        <v/>
      </c>
      <c r="AE2257" s="34">
        <f>IF(OR($A2257="",$H2257&lt;&gt;"Ausgabe",Q2257=""),0,IF(Q2257="x",-$E2257/(COUNTIF($J2257:$Q2257,"x")+1),-$E2257*N(Q2257)))</f>
        <v/>
      </c>
    </row>
    <row r="2258">
      <c r="A2258" s="30" t="n"/>
      <c r="E2258" s="31" t="n"/>
      <c r="J2258" s="32" t="n"/>
      <c r="K2258" s="32" t="n"/>
      <c r="L2258" s="32" t="n"/>
      <c r="M2258" s="32" t="n"/>
      <c r="N2258" s="32" t="n"/>
      <c r="O2258" s="32" t="n"/>
      <c r="P2258" s="32" t="n"/>
      <c r="Q2258" s="32" t="n"/>
      <c r="U2258" s="31">
        <f>IF($A2258="","",SUM(X2258:AE2258))</f>
        <v/>
      </c>
      <c r="V2258" s="31">
        <f>IF($A2258="","",IF($H2258&lt;&gt;"Ausgabe",0,-$E2258-$U2258))</f>
        <v/>
      </c>
      <c r="W2258" s="33">
        <f>IF($A2258="","",DATE(YEAR($A2258),MONTH($A2258),1))</f>
        <v/>
      </c>
      <c r="X2258" s="34">
        <f>IF(OR($A2258="",$H2258&lt;&gt;"Ausgabe",J2258=""),0,IF(J2258="x",-$E2258/(COUNTIF($J2258:$Q2258,"x")+1),-$E2258*N(J2258)))</f>
        <v/>
      </c>
      <c r="Y2258" s="34">
        <f>IF(OR($A2258="",$H2258&lt;&gt;"Ausgabe",K2258=""),0,IF(K2258="x",-$E2258/(COUNTIF($J2258:$Q2258,"x")+1),-$E2258*N(K2258)))</f>
        <v/>
      </c>
      <c r="Z2258" s="34">
        <f>IF(OR($A2258="",$H2258&lt;&gt;"Ausgabe",L2258=""),0,IF(L2258="x",-$E2258/(COUNTIF($J2258:$Q2258,"x")+1),-$E2258*N(L2258)))</f>
        <v/>
      </c>
      <c r="AA2258" s="34">
        <f>IF(OR($A2258="",$H2258&lt;&gt;"Ausgabe",M2258=""),0,IF(M2258="x",-$E2258/(COUNTIF($J2258:$Q2258,"x")+1),-$E2258*N(M2258)))</f>
        <v/>
      </c>
      <c r="AB2258" s="34">
        <f>IF(OR($A2258="",$H2258&lt;&gt;"Ausgabe",N2258=""),0,IF(N2258="x",-$E2258/(COUNTIF($J2258:$Q2258,"x")+1),-$E2258*N(N2258)))</f>
        <v/>
      </c>
      <c r="AC2258" s="34">
        <f>IF(OR($A2258="",$H2258&lt;&gt;"Ausgabe",O2258=""),0,IF(O2258="x",-$E2258/(COUNTIF($J2258:$Q2258,"x")+1),-$E2258*N(O2258)))</f>
        <v/>
      </c>
      <c r="AD2258" s="34">
        <f>IF(OR($A2258="",$H2258&lt;&gt;"Ausgabe",P2258=""),0,IF(P2258="x",-$E2258/(COUNTIF($J2258:$Q2258,"x")+1),-$E2258*N(P2258)))</f>
        <v/>
      </c>
      <c r="AE2258" s="34">
        <f>IF(OR($A2258="",$H2258&lt;&gt;"Ausgabe",Q2258=""),0,IF(Q2258="x",-$E2258/(COUNTIF($J2258:$Q2258,"x")+1),-$E2258*N(Q2258)))</f>
        <v/>
      </c>
    </row>
    <row r="2259">
      <c r="A2259" s="30" t="n"/>
      <c r="E2259" s="31" t="n"/>
      <c r="J2259" s="32" t="n"/>
      <c r="K2259" s="32" t="n"/>
      <c r="L2259" s="32" t="n"/>
      <c r="M2259" s="32" t="n"/>
      <c r="N2259" s="32" t="n"/>
      <c r="O2259" s="32" t="n"/>
      <c r="P2259" s="32" t="n"/>
      <c r="Q2259" s="32" t="n"/>
      <c r="U2259" s="31">
        <f>IF($A2259="","",SUM(X2259:AE2259))</f>
        <v/>
      </c>
      <c r="V2259" s="31">
        <f>IF($A2259="","",IF($H2259&lt;&gt;"Ausgabe",0,-$E2259-$U2259))</f>
        <v/>
      </c>
      <c r="W2259" s="33">
        <f>IF($A2259="","",DATE(YEAR($A2259),MONTH($A2259),1))</f>
        <v/>
      </c>
      <c r="X2259" s="34">
        <f>IF(OR($A2259="",$H2259&lt;&gt;"Ausgabe",J2259=""),0,IF(J2259="x",-$E2259/(COUNTIF($J2259:$Q2259,"x")+1),-$E2259*N(J2259)))</f>
        <v/>
      </c>
      <c r="Y2259" s="34">
        <f>IF(OR($A2259="",$H2259&lt;&gt;"Ausgabe",K2259=""),0,IF(K2259="x",-$E2259/(COUNTIF($J2259:$Q2259,"x")+1),-$E2259*N(K2259)))</f>
        <v/>
      </c>
      <c r="Z2259" s="34">
        <f>IF(OR($A2259="",$H2259&lt;&gt;"Ausgabe",L2259=""),0,IF(L2259="x",-$E2259/(COUNTIF($J2259:$Q2259,"x")+1),-$E2259*N(L2259)))</f>
        <v/>
      </c>
      <c r="AA2259" s="34">
        <f>IF(OR($A2259="",$H2259&lt;&gt;"Ausgabe",M2259=""),0,IF(M2259="x",-$E2259/(COUNTIF($J2259:$Q2259,"x")+1),-$E2259*N(M2259)))</f>
        <v/>
      </c>
      <c r="AB2259" s="34">
        <f>IF(OR($A2259="",$H2259&lt;&gt;"Ausgabe",N2259=""),0,IF(N2259="x",-$E2259/(COUNTIF($J2259:$Q2259,"x")+1),-$E2259*N(N2259)))</f>
        <v/>
      </c>
      <c r="AC2259" s="34">
        <f>IF(OR($A2259="",$H2259&lt;&gt;"Ausgabe",O2259=""),0,IF(O2259="x",-$E2259/(COUNTIF($J2259:$Q2259,"x")+1),-$E2259*N(O2259)))</f>
        <v/>
      </c>
      <c r="AD2259" s="34">
        <f>IF(OR($A2259="",$H2259&lt;&gt;"Ausgabe",P2259=""),0,IF(P2259="x",-$E2259/(COUNTIF($J2259:$Q2259,"x")+1),-$E2259*N(P2259)))</f>
        <v/>
      </c>
      <c r="AE2259" s="34">
        <f>IF(OR($A2259="",$H2259&lt;&gt;"Ausgabe",Q2259=""),0,IF(Q2259="x",-$E2259/(COUNTIF($J2259:$Q2259,"x")+1),-$E2259*N(Q2259)))</f>
        <v/>
      </c>
    </row>
    <row r="2260">
      <c r="A2260" s="30" t="n"/>
      <c r="E2260" s="31" t="n"/>
      <c r="J2260" s="32" t="n"/>
      <c r="K2260" s="32" t="n"/>
      <c r="L2260" s="32" t="n"/>
      <c r="M2260" s="32" t="n"/>
      <c r="N2260" s="32" t="n"/>
      <c r="O2260" s="32" t="n"/>
      <c r="P2260" s="32" t="n"/>
      <c r="Q2260" s="32" t="n"/>
      <c r="U2260" s="31">
        <f>IF($A2260="","",SUM(X2260:AE2260))</f>
        <v/>
      </c>
      <c r="V2260" s="31">
        <f>IF($A2260="","",IF($H2260&lt;&gt;"Ausgabe",0,-$E2260-$U2260))</f>
        <v/>
      </c>
      <c r="W2260" s="33">
        <f>IF($A2260="","",DATE(YEAR($A2260),MONTH($A2260),1))</f>
        <v/>
      </c>
      <c r="X2260" s="34">
        <f>IF(OR($A2260="",$H2260&lt;&gt;"Ausgabe",J2260=""),0,IF(J2260="x",-$E2260/(COUNTIF($J2260:$Q2260,"x")+1),-$E2260*N(J2260)))</f>
        <v/>
      </c>
      <c r="Y2260" s="34">
        <f>IF(OR($A2260="",$H2260&lt;&gt;"Ausgabe",K2260=""),0,IF(K2260="x",-$E2260/(COUNTIF($J2260:$Q2260,"x")+1),-$E2260*N(K2260)))</f>
        <v/>
      </c>
      <c r="Z2260" s="34">
        <f>IF(OR($A2260="",$H2260&lt;&gt;"Ausgabe",L2260=""),0,IF(L2260="x",-$E2260/(COUNTIF($J2260:$Q2260,"x")+1),-$E2260*N(L2260)))</f>
        <v/>
      </c>
      <c r="AA2260" s="34">
        <f>IF(OR($A2260="",$H2260&lt;&gt;"Ausgabe",M2260=""),0,IF(M2260="x",-$E2260/(COUNTIF($J2260:$Q2260,"x")+1),-$E2260*N(M2260)))</f>
        <v/>
      </c>
      <c r="AB2260" s="34">
        <f>IF(OR($A2260="",$H2260&lt;&gt;"Ausgabe",N2260=""),0,IF(N2260="x",-$E2260/(COUNTIF($J2260:$Q2260,"x")+1),-$E2260*N(N2260)))</f>
        <v/>
      </c>
      <c r="AC2260" s="34">
        <f>IF(OR($A2260="",$H2260&lt;&gt;"Ausgabe",O2260=""),0,IF(O2260="x",-$E2260/(COUNTIF($J2260:$Q2260,"x")+1),-$E2260*N(O2260)))</f>
        <v/>
      </c>
      <c r="AD2260" s="34">
        <f>IF(OR($A2260="",$H2260&lt;&gt;"Ausgabe",P2260=""),0,IF(P2260="x",-$E2260/(COUNTIF($J2260:$Q2260,"x")+1),-$E2260*N(P2260)))</f>
        <v/>
      </c>
      <c r="AE2260" s="34">
        <f>IF(OR($A2260="",$H2260&lt;&gt;"Ausgabe",Q2260=""),0,IF(Q2260="x",-$E2260/(COUNTIF($J2260:$Q2260,"x")+1),-$E2260*N(Q2260)))</f>
        <v/>
      </c>
    </row>
    <row r="2261">
      <c r="A2261" s="30" t="n"/>
      <c r="E2261" s="31" t="n"/>
      <c r="J2261" s="32" t="n"/>
      <c r="K2261" s="32" t="n"/>
      <c r="L2261" s="32" t="n"/>
      <c r="M2261" s="32" t="n"/>
      <c r="N2261" s="32" t="n"/>
      <c r="O2261" s="32" t="n"/>
      <c r="P2261" s="32" t="n"/>
      <c r="Q2261" s="32" t="n"/>
      <c r="U2261" s="31">
        <f>IF($A2261="","",SUM(X2261:AE2261))</f>
        <v/>
      </c>
      <c r="V2261" s="31">
        <f>IF($A2261="","",IF($H2261&lt;&gt;"Ausgabe",0,-$E2261-$U2261))</f>
        <v/>
      </c>
      <c r="W2261" s="33">
        <f>IF($A2261="","",DATE(YEAR($A2261),MONTH($A2261),1))</f>
        <v/>
      </c>
      <c r="X2261" s="34">
        <f>IF(OR($A2261="",$H2261&lt;&gt;"Ausgabe",J2261=""),0,IF(J2261="x",-$E2261/(COUNTIF($J2261:$Q2261,"x")+1),-$E2261*N(J2261)))</f>
        <v/>
      </c>
      <c r="Y2261" s="34">
        <f>IF(OR($A2261="",$H2261&lt;&gt;"Ausgabe",K2261=""),0,IF(K2261="x",-$E2261/(COUNTIF($J2261:$Q2261,"x")+1),-$E2261*N(K2261)))</f>
        <v/>
      </c>
      <c r="Z2261" s="34">
        <f>IF(OR($A2261="",$H2261&lt;&gt;"Ausgabe",L2261=""),0,IF(L2261="x",-$E2261/(COUNTIF($J2261:$Q2261,"x")+1),-$E2261*N(L2261)))</f>
        <v/>
      </c>
      <c r="AA2261" s="34">
        <f>IF(OR($A2261="",$H2261&lt;&gt;"Ausgabe",M2261=""),0,IF(M2261="x",-$E2261/(COUNTIF($J2261:$Q2261,"x")+1),-$E2261*N(M2261)))</f>
        <v/>
      </c>
      <c r="AB2261" s="34">
        <f>IF(OR($A2261="",$H2261&lt;&gt;"Ausgabe",N2261=""),0,IF(N2261="x",-$E2261/(COUNTIF($J2261:$Q2261,"x")+1),-$E2261*N(N2261)))</f>
        <v/>
      </c>
      <c r="AC2261" s="34">
        <f>IF(OR($A2261="",$H2261&lt;&gt;"Ausgabe",O2261=""),0,IF(O2261="x",-$E2261/(COUNTIF($J2261:$Q2261,"x")+1),-$E2261*N(O2261)))</f>
        <v/>
      </c>
      <c r="AD2261" s="34">
        <f>IF(OR($A2261="",$H2261&lt;&gt;"Ausgabe",P2261=""),0,IF(P2261="x",-$E2261/(COUNTIF($J2261:$Q2261,"x")+1),-$E2261*N(P2261)))</f>
        <v/>
      </c>
      <c r="AE2261" s="34">
        <f>IF(OR($A2261="",$H2261&lt;&gt;"Ausgabe",Q2261=""),0,IF(Q2261="x",-$E2261/(COUNTIF($J2261:$Q2261,"x")+1),-$E2261*N(Q2261)))</f>
        <v/>
      </c>
    </row>
    <row r="2262">
      <c r="A2262" s="30" t="n"/>
      <c r="E2262" s="31" t="n"/>
      <c r="J2262" s="32" t="n"/>
      <c r="K2262" s="32" t="n"/>
      <c r="L2262" s="32" t="n"/>
      <c r="M2262" s="32" t="n"/>
      <c r="N2262" s="32" t="n"/>
      <c r="O2262" s="32" t="n"/>
      <c r="P2262" s="32" t="n"/>
      <c r="Q2262" s="32" t="n"/>
      <c r="U2262" s="31">
        <f>IF($A2262="","",SUM(X2262:AE2262))</f>
        <v/>
      </c>
      <c r="V2262" s="31">
        <f>IF($A2262="","",IF($H2262&lt;&gt;"Ausgabe",0,-$E2262-$U2262))</f>
        <v/>
      </c>
      <c r="W2262" s="33">
        <f>IF($A2262="","",DATE(YEAR($A2262),MONTH($A2262),1))</f>
        <v/>
      </c>
      <c r="X2262" s="34">
        <f>IF(OR($A2262="",$H2262&lt;&gt;"Ausgabe",J2262=""),0,IF(J2262="x",-$E2262/(COUNTIF($J2262:$Q2262,"x")+1),-$E2262*N(J2262)))</f>
        <v/>
      </c>
      <c r="Y2262" s="34">
        <f>IF(OR($A2262="",$H2262&lt;&gt;"Ausgabe",K2262=""),0,IF(K2262="x",-$E2262/(COUNTIF($J2262:$Q2262,"x")+1),-$E2262*N(K2262)))</f>
        <v/>
      </c>
      <c r="Z2262" s="34">
        <f>IF(OR($A2262="",$H2262&lt;&gt;"Ausgabe",L2262=""),0,IF(L2262="x",-$E2262/(COUNTIF($J2262:$Q2262,"x")+1),-$E2262*N(L2262)))</f>
        <v/>
      </c>
      <c r="AA2262" s="34">
        <f>IF(OR($A2262="",$H2262&lt;&gt;"Ausgabe",M2262=""),0,IF(M2262="x",-$E2262/(COUNTIF($J2262:$Q2262,"x")+1),-$E2262*N(M2262)))</f>
        <v/>
      </c>
      <c r="AB2262" s="34">
        <f>IF(OR($A2262="",$H2262&lt;&gt;"Ausgabe",N2262=""),0,IF(N2262="x",-$E2262/(COUNTIF($J2262:$Q2262,"x")+1),-$E2262*N(N2262)))</f>
        <v/>
      </c>
      <c r="AC2262" s="34">
        <f>IF(OR($A2262="",$H2262&lt;&gt;"Ausgabe",O2262=""),0,IF(O2262="x",-$E2262/(COUNTIF($J2262:$Q2262,"x")+1),-$E2262*N(O2262)))</f>
        <v/>
      </c>
      <c r="AD2262" s="34">
        <f>IF(OR($A2262="",$H2262&lt;&gt;"Ausgabe",P2262=""),0,IF(P2262="x",-$E2262/(COUNTIF($J2262:$Q2262,"x")+1),-$E2262*N(P2262)))</f>
        <v/>
      </c>
      <c r="AE2262" s="34">
        <f>IF(OR($A2262="",$H2262&lt;&gt;"Ausgabe",Q2262=""),0,IF(Q2262="x",-$E2262/(COUNTIF($J2262:$Q2262,"x")+1),-$E2262*N(Q2262)))</f>
        <v/>
      </c>
    </row>
    <row r="2263">
      <c r="A2263" s="30" t="n"/>
      <c r="E2263" s="31" t="n"/>
      <c r="J2263" s="32" t="n"/>
      <c r="K2263" s="32" t="n"/>
      <c r="L2263" s="32" t="n"/>
      <c r="M2263" s="32" t="n"/>
      <c r="N2263" s="32" t="n"/>
      <c r="O2263" s="32" t="n"/>
      <c r="P2263" s="32" t="n"/>
      <c r="Q2263" s="32" t="n"/>
      <c r="U2263" s="31">
        <f>IF($A2263="","",SUM(X2263:AE2263))</f>
        <v/>
      </c>
      <c r="V2263" s="31">
        <f>IF($A2263="","",IF($H2263&lt;&gt;"Ausgabe",0,-$E2263-$U2263))</f>
        <v/>
      </c>
      <c r="W2263" s="33">
        <f>IF($A2263="","",DATE(YEAR($A2263),MONTH($A2263),1))</f>
        <v/>
      </c>
      <c r="X2263" s="34">
        <f>IF(OR($A2263="",$H2263&lt;&gt;"Ausgabe",J2263=""),0,IF(J2263="x",-$E2263/(COUNTIF($J2263:$Q2263,"x")+1),-$E2263*N(J2263)))</f>
        <v/>
      </c>
      <c r="Y2263" s="34">
        <f>IF(OR($A2263="",$H2263&lt;&gt;"Ausgabe",K2263=""),0,IF(K2263="x",-$E2263/(COUNTIF($J2263:$Q2263,"x")+1),-$E2263*N(K2263)))</f>
        <v/>
      </c>
      <c r="Z2263" s="34">
        <f>IF(OR($A2263="",$H2263&lt;&gt;"Ausgabe",L2263=""),0,IF(L2263="x",-$E2263/(COUNTIF($J2263:$Q2263,"x")+1),-$E2263*N(L2263)))</f>
        <v/>
      </c>
      <c r="AA2263" s="34">
        <f>IF(OR($A2263="",$H2263&lt;&gt;"Ausgabe",M2263=""),0,IF(M2263="x",-$E2263/(COUNTIF($J2263:$Q2263,"x")+1),-$E2263*N(M2263)))</f>
        <v/>
      </c>
      <c r="AB2263" s="34">
        <f>IF(OR($A2263="",$H2263&lt;&gt;"Ausgabe",N2263=""),0,IF(N2263="x",-$E2263/(COUNTIF($J2263:$Q2263,"x")+1),-$E2263*N(N2263)))</f>
        <v/>
      </c>
      <c r="AC2263" s="34">
        <f>IF(OR($A2263="",$H2263&lt;&gt;"Ausgabe",O2263=""),0,IF(O2263="x",-$E2263/(COUNTIF($J2263:$Q2263,"x")+1),-$E2263*N(O2263)))</f>
        <v/>
      </c>
      <c r="AD2263" s="34">
        <f>IF(OR($A2263="",$H2263&lt;&gt;"Ausgabe",P2263=""),0,IF(P2263="x",-$E2263/(COUNTIF($J2263:$Q2263,"x")+1),-$E2263*N(P2263)))</f>
        <v/>
      </c>
      <c r="AE2263" s="34">
        <f>IF(OR($A2263="",$H2263&lt;&gt;"Ausgabe",Q2263=""),0,IF(Q2263="x",-$E2263/(COUNTIF($J2263:$Q2263,"x")+1),-$E2263*N(Q2263)))</f>
        <v/>
      </c>
    </row>
    <row r="2264">
      <c r="A2264" s="30" t="n"/>
      <c r="E2264" s="31" t="n"/>
      <c r="J2264" s="32" t="n"/>
      <c r="K2264" s="32" t="n"/>
      <c r="L2264" s="32" t="n"/>
      <c r="M2264" s="32" t="n"/>
      <c r="N2264" s="32" t="n"/>
      <c r="O2264" s="32" t="n"/>
      <c r="P2264" s="32" t="n"/>
      <c r="Q2264" s="32" t="n"/>
      <c r="U2264" s="31">
        <f>IF($A2264="","",SUM(X2264:AE2264))</f>
        <v/>
      </c>
      <c r="V2264" s="31">
        <f>IF($A2264="","",IF($H2264&lt;&gt;"Ausgabe",0,-$E2264-$U2264))</f>
        <v/>
      </c>
      <c r="W2264" s="33">
        <f>IF($A2264="","",DATE(YEAR($A2264),MONTH($A2264),1))</f>
        <v/>
      </c>
      <c r="X2264" s="34">
        <f>IF(OR($A2264="",$H2264&lt;&gt;"Ausgabe",J2264=""),0,IF(J2264="x",-$E2264/(COUNTIF($J2264:$Q2264,"x")+1),-$E2264*N(J2264)))</f>
        <v/>
      </c>
      <c r="Y2264" s="34">
        <f>IF(OR($A2264="",$H2264&lt;&gt;"Ausgabe",K2264=""),0,IF(K2264="x",-$E2264/(COUNTIF($J2264:$Q2264,"x")+1),-$E2264*N(K2264)))</f>
        <v/>
      </c>
      <c r="Z2264" s="34">
        <f>IF(OR($A2264="",$H2264&lt;&gt;"Ausgabe",L2264=""),0,IF(L2264="x",-$E2264/(COUNTIF($J2264:$Q2264,"x")+1),-$E2264*N(L2264)))</f>
        <v/>
      </c>
      <c r="AA2264" s="34">
        <f>IF(OR($A2264="",$H2264&lt;&gt;"Ausgabe",M2264=""),0,IF(M2264="x",-$E2264/(COUNTIF($J2264:$Q2264,"x")+1),-$E2264*N(M2264)))</f>
        <v/>
      </c>
      <c r="AB2264" s="34">
        <f>IF(OR($A2264="",$H2264&lt;&gt;"Ausgabe",N2264=""),0,IF(N2264="x",-$E2264/(COUNTIF($J2264:$Q2264,"x")+1),-$E2264*N(N2264)))</f>
        <v/>
      </c>
      <c r="AC2264" s="34">
        <f>IF(OR($A2264="",$H2264&lt;&gt;"Ausgabe",O2264=""),0,IF(O2264="x",-$E2264/(COUNTIF($J2264:$Q2264,"x")+1),-$E2264*N(O2264)))</f>
        <v/>
      </c>
      <c r="AD2264" s="34">
        <f>IF(OR($A2264="",$H2264&lt;&gt;"Ausgabe",P2264=""),0,IF(P2264="x",-$E2264/(COUNTIF($J2264:$Q2264,"x")+1),-$E2264*N(P2264)))</f>
        <v/>
      </c>
      <c r="AE2264" s="34">
        <f>IF(OR($A2264="",$H2264&lt;&gt;"Ausgabe",Q2264=""),0,IF(Q2264="x",-$E2264/(COUNTIF($J2264:$Q2264,"x")+1),-$E2264*N(Q2264)))</f>
        <v/>
      </c>
    </row>
    <row r="2265">
      <c r="A2265" s="30" t="n"/>
      <c r="E2265" s="31" t="n"/>
      <c r="J2265" s="32" t="n"/>
      <c r="K2265" s="32" t="n"/>
      <c r="L2265" s="32" t="n"/>
      <c r="M2265" s="32" t="n"/>
      <c r="N2265" s="32" t="n"/>
      <c r="O2265" s="32" t="n"/>
      <c r="P2265" s="32" t="n"/>
      <c r="Q2265" s="32" t="n"/>
      <c r="U2265" s="31">
        <f>IF($A2265="","",SUM(X2265:AE2265))</f>
        <v/>
      </c>
      <c r="V2265" s="31">
        <f>IF($A2265="","",IF($H2265&lt;&gt;"Ausgabe",0,-$E2265-$U2265))</f>
        <v/>
      </c>
      <c r="W2265" s="33">
        <f>IF($A2265="","",DATE(YEAR($A2265),MONTH($A2265),1))</f>
        <v/>
      </c>
      <c r="X2265" s="34">
        <f>IF(OR($A2265="",$H2265&lt;&gt;"Ausgabe",J2265=""),0,IF(J2265="x",-$E2265/(COUNTIF($J2265:$Q2265,"x")+1),-$E2265*N(J2265)))</f>
        <v/>
      </c>
      <c r="Y2265" s="34">
        <f>IF(OR($A2265="",$H2265&lt;&gt;"Ausgabe",K2265=""),0,IF(K2265="x",-$E2265/(COUNTIF($J2265:$Q2265,"x")+1),-$E2265*N(K2265)))</f>
        <v/>
      </c>
      <c r="Z2265" s="34">
        <f>IF(OR($A2265="",$H2265&lt;&gt;"Ausgabe",L2265=""),0,IF(L2265="x",-$E2265/(COUNTIF($J2265:$Q2265,"x")+1),-$E2265*N(L2265)))</f>
        <v/>
      </c>
      <c r="AA2265" s="34">
        <f>IF(OR($A2265="",$H2265&lt;&gt;"Ausgabe",M2265=""),0,IF(M2265="x",-$E2265/(COUNTIF($J2265:$Q2265,"x")+1),-$E2265*N(M2265)))</f>
        <v/>
      </c>
      <c r="AB2265" s="34">
        <f>IF(OR($A2265="",$H2265&lt;&gt;"Ausgabe",N2265=""),0,IF(N2265="x",-$E2265/(COUNTIF($J2265:$Q2265,"x")+1),-$E2265*N(N2265)))</f>
        <v/>
      </c>
      <c r="AC2265" s="34">
        <f>IF(OR($A2265="",$H2265&lt;&gt;"Ausgabe",O2265=""),0,IF(O2265="x",-$E2265/(COUNTIF($J2265:$Q2265,"x")+1),-$E2265*N(O2265)))</f>
        <v/>
      </c>
      <c r="AD2265" s="34">
        <f>IF(OR($A2265="",$H2265&lt;&gt;"Ausgabe",P2265=""),0,IF(P2265="x",-$E2265/(COUNTIF($J2265:$Q2265,"x")+1),-$E2265*N(P2265)))</f>
        <v/>
      </c>
      <c r="AE2265" s="34">
        <f>IF(OR($A2265="",$H2265&lt;&gt;"Ausgabe",Q2265=""),0,IF(Q2265="x",-$E2265/(COUNTIF($J2265:$Q2265,"x")+1),-$E2265*N(Q2265)))</f>
        <v/>
      </c>
    </row>
    <row r="2266">
      <c r="A2266" s="30" t="n"/>
      <c r="E2266" s="31" t="n"/>
      <c r="J2266" s="32" t="n"/>
      <c r="K2266" s="32" t="n"/>
      <c r="L2266" s="32" t="n"/>
      <c r="M2266" s="32" t="n"/>
      <c r="N2266" s="32" t="n"/>
      <c r="O2266" s="32" t="n"/>
      <c r="P2266" s="32" t="n"/>
      <c r="Q2266" s="32" t="n"/>
      <c r="U2266" s="31">
        <f>IF($A2266="","",SUM(X2266:AE2266))</f>
        <v/>
      </c>
      <c r="V2266" s="31">
        <f>IF($A2266="","",IF($H2266&lt;&gt;"Ausgabe",0,-$E2266-$U2266))</f>
        <v/>
      </c>
      <c r="W2266" s="33">
        <f>IF($A2266="","",DATE(YEAR($A2266),MONTH($A2266),1))</f>
        <v/>
      </c>
      <c r="X2266" s="34">
        <f>IF(OR($A2266="",$H2266&lt;&gt;"Ausgabe",J2266=""),0,IF(J2266="x",-$E2266/(COUNTIF($J2266:$Q2266,"x")+1),-$E2266*N(J2266)))</f>
        <v/>
      </c>
      <c r="Y2266" s="34">
        <f>IF(OR($A2266="",$H2266&lt;&gt;"Ausgabe",K2266=""),0,IF(K2266="x",-$E2266/(COUNTIF($J2266:$Q2266,"x")+1),-$E2266*N(K2266)))</f>
        <v/>
      </c>
      <c r="Z2266" s="34">
        <f>IF(OR($A2266="",$H2266&lt;&gt;"Ausgabe",L2266=""),0,IF(L2266="x",-$E2266/(COUNTIF($J2266:$Q2266,"x")+1),-$E2266*N(L2266)))</f>
        <v/>
      </c>
      <c r="AA2266" s="34">
        <f>IF(OR($A2266="",$H2266&lt;&gt;"Ausgabe",M2266=""),0,IF(M2266="x",-$E2266/(COUNTIF($J2266:$Q2266,"x")+1),-$E2266*N(M2266)))</f>
        <v/>
      </c>
      <c r="AB2266" s="34">
        <f>IF(OR($A2266="",$H2266&lt;&gt;"Ausgabe",N2266=""),0,IF(N2266="x",-$E2266/(COUNTIF($J2266:$Q2266,"x")+1),-$E2266*N(N2266)))</f>
        <v/>
      </c>
      <c r="AC2266" s="34">
        <f>IF(OR($A2266="",$H2266&lt;&gt;"Ausgabe",O2266=""),0,IF(O2266="x",-$E2266/(COUNTIF($J2266:$Q2266,"x")+1),-$E2266*N(O2266)))</f>
        <v/>
      </c>
      <c r="AD2266" s="34">
        <f>IF(OR($A2266="",$H2266&lt;&gt;"Ausgabe",P2266=""),0,IF(P2266="x",-$E2266/(COUNTIF($J2266:$Q2266,"x")+1),-$E2266*N(P2266)))</f>
        <v/>
      </c>
      <c r="AE2266" s="34">
        <f>IF(OR($A2266="",$H2266&lt;&gt;"Ausgabe",Q2266=""),0,IF(Q2266="x",-$E2266/(COUNTIF($J2266:$Q2266,"x")+1),-$E2266*N(Q2266)))</f>
        <v/>
      </c>
    </row>
    <row r="2267">
      <c r="A2267" s="30" t="n"/>
      <c r="E2267" s="31" t="n"/>
      <c r="J2267" s="32" t="n"/>
      <c r="K2267" s="32" t="n"/>
      <c r="L2267" s="32" t="n"/>
      <c r="M2267" s="32" t="n"/>
      <c r="N2267" s="32" t="n"/>
      <c r="O2267" s="32" t="n"/>
      <c r="P2267" s="32" t="n"/>
      <c r="Q2267" s="32" t="n"/>
      <c r="U2267" s="31">
        <f>IF($A2267="","",SUM(X2267:AE2267))</f>
        <v/>
      </c>
      <c r="V2267" s="31">
        <f>IF($A2267="","",IF($H2267&lt;&gt;"Ausgabe",0,-$E2267-$U2267))</f>
        <v/>
      </c>
      <c r="W2267" s="33">
        <f>IF($A2267="","",DATE(YEAR($A2267),MONTH($A2267),1))</f>
        <v/>
      </c>
      <c r="X2267" s="34">
        <f>IF(OR($A2267="",$H2267&lt;&gt;"Ausgabe",J2267=""),0,IF(J2267="x",-$E2267/(COUNTIF($J2267:$Q2267,"x")+1),-$E2267*N(J2267)))</f>
        <v/>
      </c>
      <c r="Y2267" s="34">
        <f>IF(OR($A2267="",$H2267&lt;&gt;"Ausgabe",K2267=""),0,IF(K2267="x",-$E2267/(COUNTIF($J2267:$Q2267,"x")+1),-$E2267*N(K2267)))</f>
        <v/>
      </c>
      <c r="Z2267" s="34">
        <f>IF(OR($A2267="",$H2267&lt;&gt;"Ausgabe",L2267=""),0,IF(L2267="x",-$E2267/(COUNTIF($J2267:$Q2267,"x")+1),-$E2267*N(L2267)))</f>
        <v/>
      </c>
      <c r="AA2267" s="34">
        <f>IF(OR($A2267="",$H2267&lt;&gt;"Ausgabe",M2267=""),0,IF(M2267="x",-$E2267/(COUNTIF($J2267:$Q2267,"x")+1),-$E2267*N(M2267)))</f>
        <v/>
      </c>
      <c r="AB2267" s="34">
        <f>IF(OR($A2267="",$H2267&lt;&gt;"Ausgabe",N2267=""),0,IF(N2267="x",-$E2267/(COUNTIF($J2267:$Q2267,"x")+1),-$E2267*N(N2267)))</f>
        <v/>
      </c>
      <c r="AC2267" s="34">
        <f>IF(OR($A2267="",$H2267&lt;&gt;"Ausgabe",O2267=""),0,IF(O2267="x",-$E2267/(COUNTIF($J2267:$Q2267,"x")+1),-$E2267*N(O2267)))</f>
        <v/>
      </c>
      <c r="AD2267" s="34">
        <f>IF(OR($A2267="",$H2267&lt;&gt;"Ausgabe",P2267=""),0,IF(P2267="x",-$E2267/(COUNTIF($J2267:$Q2267,"x")+1),-$E2267*N(P2267)))</f>
        <v/>
      </c>
      <c r="AE2267" s="34">
        <f>IF(OR($A2267="",$H2267&lt;&gt;"Ausgabe",Q2267=""),0,IF(Q2267="x",-$E2267/(COUNTIF($J2267:$Q2267,"x")+1),-$E2267*N(Q2267)))</f>
        <v/>
      </c>
    </row>
    <row r="2268">
      <c r="A2268" s="30" t="n"/>
      <c r="E2268" s="31" t="n"/>
      <c r="J2268" s="32" t="n"/>
      <c r="K2268" s="32" t="n"/>
      <c r="L2268" s="32" t="n"/>
      <c r="M2268" s="32" t="n"/>
      <c r="N2268" s="32" t="n"/>
      <c r="O2268" s="32" t="n"/>
      <c r="P2268" s="32" t="n"/>
      <c r="Q2268" s="32" t="n"/>
      <c r="U2268" s="31">
        <f>IF($A2268="","",SUM(X2268:AE2268))</f>
        <v/>
      </c>
      <c r="V2268" s="31">
        <f>IF($A2268="","",IF($H2268&lt;&gt;"Ausgabe",0,-$E2268-$U2268))</f>
        <v/>
      </c>
      <c r="W2268" s="33">
        <f>IF($A2268="","",DATE(YEAR($A2268),MONTH($A2268),1))</f>
        <v/>
      </c>
      <c r="X2268" s="34">
        <f>IF(OR($A2268="",$H2268&lt;&gt;"Ausgabe",J2268=""),0,IF(J2268="x",-$E2268/(COUNTIF($J2268:$Q2268,"x")+1),-$E2268*N(J2268)))</f>
        <v/>
      </c>
      <c r="Y2268" s="34">
        <f>IF(OR($A2268="",$H2268&lt;&gt;"Ausgabe",K2268=""),0,IF(K2268="x",-$E2268/(COUNTIF($J2268:$Q2268,"x")+1),-$E2268*N(K2268)))</f>
        <v/>
      </c>
      <c r="Z2268" s="34">
        <f>IF(OR($A2268="",$H2268&lt;&gt;"Ausgabe",L2268=""),0,IF(L2268="x",-$E2268/(COUNTIF($J2268:$Q2268,"x")+1),-$E2268*N(L2268)))</f>
        <v/>
      </c>
      <c r="AA2268" s="34">
        <f>IF(OR($A2268="",$H2268&lt;&gt;"Ausgabe",M2268=""),0,IF(M2268="x",-$E2268/(COUNTIF($J2268:$Q2268,"x")+1),-$E2268*N(M2268)))</f>
        <v/>
      </c>
      <c r="AB2268" s="34">
        <f>IF(OR($A2268="",$H2268&lt;&gt;"Ausgabe",N2268=""),0,IF(N2268="x",-$E2268/(COUNTIF($J2268:$Q2268,"x")+1),-$E2268*N(N2268)))</f>
        <v/>
      </c>
      <c r="AC2268" s="34">
        <f>IF(OR($A2268="",$H2268&lt;&gt;"Ausgabe",O2268=""),0,IF(O2268="x",-$E2268/(COUNTIF($J2268:$Q2268,"x")+1),-$E2268*N(O2268)))</f>
        <v/>
      </c>
      <c r="AD2268" s="34">
        <f>IF(OR($A2268="",$H2268&lt;&gt;"Ausgabe",P2268=""),0,IF(P2268="x",-$E2268/(COUNTIF($J2268:$Q2268,"x")+1),-$E2268*N(P2268)))</f>
        <v/>
      </c>
      <c r="AE2268" s="34">
        <f>IF(OR($A2268="",$H2268&lt;&gt;"Ausgabe",Q2268=""),0,IF(Q2268="x",-$E2268/(COUNTIF($J2268:$Q2268,"x")+1),-$E2268*N(Q2268)))</f>
        <v/>
      </c>
    </row>
    <row r="2269">
      <c r="A2269" s="30" t="n"/>
      <c r="E2269" s="31" t="n"/>
      <c r="J2269" s="32" t="n"/>
      <c r="K2269" s="32" t="n"/>
      <c r="L2269" s="32" t="n"/>
      <c r="M2269" s="32" t="n"/>
      <c r="N2269" s="32" t="n"/>
      <c r="O2269" s="32" t="n"/>
      <c r="P2269" s="32" t="n"/>
      <c r="Q2269" s="32" t="n"/>
      <c r="U2269" s="31">
        <f>IF($A2269="","",SUM(X2269:AE2269))</f>
        <v/>
      </c>
      <c r="V2269" s="31">
        <f>IF($A2269="","",IF($H2269&lt;&gt;"Ausgabe",0,-$E2269-$U2269))</f>
        <v/>
      </c>
      <c r="W2269" s="33">
        <f>IF($A2269="","",DATE(YEAR($A2269),MONTH($A2269),1))</f>
        <v/>
      </c>
      <c r="X2269" s="34">
        <f>IF(OR($A2269="",$H2269&lt;&gt;"Ausgabe",J2269=""),0,IF(J2269="x",-$E2269/(COUNTIF($J2269:$Q2269,"x")+1),-$E2269*N(J2269)))</f>
        <v/>
      </c>
      <c r="Y2269" s="34">
        <f>IF(OR($A2269="",$H2269&lt;&gt;"Ausgabe",K2269=""),0,IF(K2269="x",-$E2269/(COUNTIF($J2269:$Q2269,"x")+1),-$E2269*N(K2269)))</f>
        <v/>
      </c>
      <c r="Z2269" s="34">
        <f>IF(OR($A2269="",$H2269&lt;&gt;"Ausgabe",L2269=""),0,IF(L2269="x",-$E2269/(COUNTIF($J2269:$Q2269,"x")+1),-$E2269*N(L2269)))</f>
        <v/>
      </c>
      <c r="AA2269" s="34">
        <f>IF(OR($A2269="",$H2269&lt;&gt;"Ausgabe",M2269=""),0,IF(M2269="x",-$E2269/(COUNTIF($J2269:$Q2269,"x")+1),-$E2269*N(M2269)))</f>
        <v/>
      </c>
      <c r="AB2269" s="34">
        <f>IF(OR($A2269="",$H2269&lt;&gt;"Ausgabe",N2269=""),0,IF(N2269="x",-$E2269/(COUNTIF($J2269:$Q2269,"x")+1),-$E2269*N(N2269)))</f>
        <v/>
      </c>
      <c r="AC2269" s="34">
        <f>IF(OR($A2269="",$H2269&lt;&gt;"Ausgabe",O2269=""),0,IF(O2269="x",-$E2269/(COUNTIF($J2269:$Q2269,"x")+1),-$E2269*N(O2269)))</f>
        <v/>
      </c>
      <c r="AD2269" s="34">
        <f>IF(OR($A2269="",$H2269&lt;&gt;"Ausgabe",P2269=""),0,IF(P2269="x",-$E2269/(COUNTIF($J2269:$Q2269,"x")+1),-$E2269*N(P2269)))</f>
        <v/>
      </c>
      <c r="AE2269" s="34">
        <f>IF(OR($A2269="",$H2269&lt;&gt;"Ausgabe",Q2269=""),0,IF(Q2269="x",-$E2269/(COUNTIF($J2269:$Q2269,"x")+1),-$E2269*N(Q2269)))</f>
        <v/>
      </c>
    </row>
    <row r="2270">
      <c r="A2270" s="30" t="n"/>
      <c r="E2270" s="31" t="n"/>
      <c r="J2270" s="32" t="n"/>
      <c r="K2270" s="32" t="n"/>
      <c r="L2270" s="32" t="n"/>
      <c r="M2270" s="32" t="n"/>
      <c r="N2270" s="32" t="n"/>
      <c r="O2270" s="32" t="n"/>
      <c r="P2270" s="32" t="n"/>
      <c r="Q2270" s="32" t="n"/>
      <c r="U2270" s="31">
        <f>IF($A2270="","",SUM(X2270:AE2270))</f>
        <v/>
      </c>
      <c r="V2270" s="31">
        <f>IF($A2270="","",IF($H2270&lt;&gt;"Ausgabe",0,-$E2270-$U2270))</f>
        <v/>
      </c>
      <c r="W2270" s="33">
        <f>IF($A2270="","",DATE(YEAR($A2270),MONTH($A2270),1))</f>
        <v/>
      </c>
      <c r="X2270" s="34">
        <f>IF(OR($A2270="",$H2270&lt;&gt;"Ausgabe",J2270=""),0,IF(J2270="x",-$E2270/(COUNTIF($J2270:$Q2270,"x")+1),-$E2270*N(J2270)))</f>
        <v/>
      </c>
      <c r="Y2270" s="34">
        <f>IF(OR($A2270="",$H2270&lt;&gt;"Ausgabe",K2270=""),0,IF(K2270="x",-$E2270/(COUNTIF($J2270:$Q2270,"x")+1),-$E2270*N(K2270)))</f>
        <v/>
      </c>
      <c r="Z2270" s="34">
        <f>IF(OR($A2270="",$H2270&lt;&gt;"Ausgabe",L2270=""),0,IF(L2270="x",-$E2270/(COUNTIF($J2270:$Q2270,"x")+1),-$E2270*N(L2270)))</f>
        <v/>
      </c>
      <c r="AA2270" s="34">
        <f>IF(OR($A2270="",$H2270&lt;&gt;"Ausgabe",M2270=""),0,IF(M2270="x",-$E2270/(COUNTIF($J2270:$Q2270,"x")+1),-$E2270*N(M2270)))</f>
        <v/>
      </c>
      <c r="AB2270" s="34">
        <f>IF(OR($A2270="",$H2270&lt;&gt;"Ausgabe",N2270=""),0,IF(N2270="x",-$E2270/(COUNTIF($J2270:$Q2270,"x")+1),-$E2270*N(N2270)))</f>
        <v/>
      </c>
      <c r="AC2270" s="34">
        <f>IF(OR($A2270="",$H2270&lt;&gt;"Ausgabe",O2270=""),0,IF(O2270="x",-$E2270/(COUNTIF($J2270:$Q2270,"x")+1),-$E2270*N(O2270)))</f>
        <v/>
      </c>
      <c r="AD2270" s="34">
        <f>IF(OR($A2270="",$H2270&lt;&gt;"Ausgabe",P2270=""),0,IF(P2270="x",-$E2270/(COUNTIF($J2270:$Q2270,"x")+1),-$E2270*N(P2270)))</f>
        <v/>
      </c>
      <c r="AE2270" s="34">
        <f>IF(OR($A2270="",$H2270&lt;&gt;"Ausgabe",Q2270=""),0,IF(Q2270="x",-$E2270/(COUNTIF($J2270:$Q2270,"x")+1),-$E2270*N(Q2270)))</f>
        <v/>
      </c>
    </row>
    <row r="2271">
      <c r="A2271" s="30" t="n"/>
      <c r="E2271" s="31" t="n"/>
      <c r="J2271" s="32" t="n"/>
      <c r="K2271" s="32" t="n"/>
      <c r="L2271" s="32" t="n"/>
      <c r="M2271" s="32" t="n"/>
      <c r="N2271" s="32" t="n"/>
      <c r="O2271" s="32" t="n"/>
      <c r="P2271" s="32" t="n"/>
      <c r="Q2271" s="32" t="n"/>
      <c r="U2271" s="31">
        <f>IF($A2271="","",SUM(X2271:AE2271))</f>
        <v/>
      </c>
      <c r="V2271" s="31">
        <f>IF($A2271="","",IF($H2271&lt;&gt;"Ausgabe",0,-$E2271-$U2271))</f>
        <v/>
      </c>
      <c r="W2271" s="33">
        <f>IF($A2271="","",DATE(YEAR($A2271),MONTH($A2271),1))</f>
        <v/>
      </c>
      <c r="X2271" s="34">
        <f>IF(OR($A2271="",$H2271&lt;&gt;"Ausgabe",J2271=""),0,IF(J2271="x",-$E2271/(COUNTIF($J2271:$Q2271,"x")+1),-$E2271*N(J2271)))</f>
        <v/>
      </c>
      <c r="Y2271" s="34">
        <f>IF(OR($A2271="",$H2271&lt;&gt;"Ausgabe",K2271=""),0,IF(K2271="x",-$E2271/(COUNTIF($J2271:$Q2271,"x")+1),-$E2271*N(K2271)))</f>
        <v/>
      </c>
      <c r="Z2271" s="34">
        <f>IF(OR($A2271="",$H2271&lt;&gt;"Ausgabe",L2271=""),0,IF(L2271="x",-$E2271/(COUNTIF($J2271:$Q2271,"x")+1),-$E2271*N(L2271)))</f>
        <v/>
      </c>
      <c r="AA2271" s="34">
        <f>IF(OR($A2271="",$H2271&lt;&gt;"Ausgabe",M2271=""),0,IF(M2271="x",-$E2271/(COUNTIF($J2271:$Q2271,"x")+1),-$E2271*N(M2271)))</f>
        <v/>
      </c>
      <c r="AB2271" s="34">
        <f>IF(OR($A2271="",$H2271&lt;&gt;"Ausgabe",N2271=""),0,IF(N2271="x",-$E2271/(COUNTIF($J2271:$Q2271,"x")+1),-$E2271*N(N2271)))</f>
        <v/>
      </c>
      <c r="AC2271" s="34">
        <f>IF(OR($A2271="",$H2271&lt;&gt;"Ausgabe",O2271=""),0,IF(O2271="x",-$E2271/(COUNTIF($J2271:$Q2271,"x")+1),-$E2271*N(O2271)))</f>
        <v/>
      </c>
      <c r="AD2271" s="34">
        <f>IF(OR($A2271="",$H2271&lt;&gt;"Ausgabe",P2271=""),0,IF(P2271="x",-$E2271/(COUNTIF($J2271:$Q2271,"x")+1),-$E2271*N(P2271)))</f>
        <v/>
      </c>
      <c r="AE2271" s="34">
        <f>IF(OR($A2271="",$H2271&lt;&gt;"Ausgabe",Q2271=""),0,IF(Q2271="x",-$E2271/(COUNTIF($J2271:$Q2271,"x")+1),-$E2271*N(Q2271)))</f>
        <v/>
      </c>
    </row>
    <row r="2272">
      <c r="A2272" s="30" t="n"/>
      <c r="E2272" s="31" t="n"/>
      <c r="J2272" s="32" t="n"/>
      <c r="K2272" s="32" t="n"/>
      <c r="L2272" s="32" t="n"/>
      <c r="M2272" s="32" t="n"/>
      <c r="N2272" s="32" t="n"/>
      <c r="O2272" s="32" t="n"/>
      <c r="P2272" s="32" t="n"/>
      <c r="Q2272" s="32" t="n"/>
      <c r="U2272" s="31">
        <f>IF($A2272="","",SUM(X2272:AE2272))</f>
        <v/>
      </c>
      <c r="V2272" s="31">
        <f>IF($A2272="","",IF($H2272&lt;&gt;"Ausgabe",0,-$E2272-$U2272))</f>
        <v/>
      </c>
      <c r="W2272" s="33">
        <f>IF($A2272="","",DATE(YEAR($A2272),MONTH($A2272),1))</f>
        <v/>
      </c>
      <c r="X2272" s="34">
        <f>IF(OR($A2272="",$H2272&lt;&gt;"Ausgabe",J2272=""),0,IF(J2272="x",-$E2272/(COUNTIF($J2272:$Q2272,"x")+1),-$E2272*N(J2272)))</f>
        <v/>
      </c>
      <c r="Y2272" s="34">
        <f>IF(OR($A2272="",$H2272&lt;&gt;"Ausgabe",K2272=""),0,IF(K2272="x",-$E2272/(COUNTIF($J2272:$Q2272,"x")+1),-$E2272*N(K2272)))</f>
        <v/>
      </c>
      <c r="Z2272" s="34">
        <f>IF(OR($A2272="",$H2272&lt;&gt;"Ausgabe",L2272=""),0,IF(L2272="x",-$E2272/(COUNTIF($J2272:$Q2272,"x")+1),-$E2272*N(L2272)))</f>
        <v/>
      </c>
      <c r="AA2272" s="34">
        <f>IF(OR($A2272="",$H2272&lt;&gt;"Ausgabe",M2272=""),0,IF(M2272="x",-$E2272/(COUNTIF($J2272:$Q2272,"x")+1),-$E2272*N(M2272)))</f>
        <v/>
      </c>
      <c r="AB2272" s="34">
        <f>IF(OR($A2272="",$H2272&lt;&gt;"Ausgabe",N2272=""),0,IF(N2272="x",-$E2272/(COUNTIF($J2272:$Q2272,"x")+1),-$E2272*N(N2272)))</f>
        <v/>
      </c>
      <c r="AC2272" s="34">
        <f>IF(OR($A2272="",$H2272&lt;&gt;"Ausgabe",O2272=""),0,IF(O2272="x",-$E2272/(COUNTIF($J2272:$Q2272,"x")+1),-$E2272*N(O2272)))</f>
        <v/>
      </c>
      <c r="AD2272" s="34">
        <f>IF(OR($A2272="",$H2272&lt;&gt;"Ausgabe",P2272=""),0,IF(P2272="x",-$E2272/(COUNTIF($J2272:$Q2272,"x")+1),-$E2272*N(P2272)))</f>
        <v/>
      </c>
      <c r="AE2272" s="34">
        <f>IF(OR($A2272="",$H2272&lt;&gt;"Ausgabe",Q2272=""),0,IF(Q2272="x",-$E2272/(COUNTIF($J2272:$Q2272,"x")+1),-$E2272*N(Q2272)))</f>
        <v/>
      </c>
    </row>
    <row r="2273">
      <c r="A2273" s="30" t="n"/>
      <c r="E2273" s="31" t="n"/>
      <c r="J2273" s="32" t="n"/>
      <c r="K2273" s="32" t="n"/>
      <c r="L2273" s="32" t="n"/>
      <c r="M2273" s="32" t="n"/>
      <c r="N2273" s="32" t="n"/>
      <c r="O2273" s="32" t="n"/>
      <c r="P2273" s="32" t="n"/>
      <c r="Q2273" s="32" t="n"/>
      <c r="U2273" s="31">
        <f>IF($A2273="","",SUM(X2273:AE2273))</f>
        <v/>
      </c>
      <c r="V2273" s="31">
        <f>IF($A2273="","",IF($H2273&lt;&gt;"Ausgabe",0,-$E2273-$U2273))</f>
        <v/>
      </c>
      <c r="W2273" s="33">
        <f>IF($A2273="","",DATE(YEAR($A2273),MONTH($A2273),1))</f>
        <v/>
      </c>
      <c r="X2273" s="34">
        <f>IF(OR($A2273="",$H2273&lt;&gt;"Ausgabe",J2273=""),0,IF(J2273="x",-$E2273/(COUNTIF($J2273:$Q2273,"x")+1),-$E2273*N(J2273)))</f>
        <v/>
      </c>
      <c r="Y2273" s="34">
        <f>IF(OR($A2273="",$H2273&lt;&gt;"Ausgabe",K2273=""),0,IF(K2273="x",-$E2273/(COUNTIF($J2273:$Q2273,"x")+1),-$E2273*N(K2273)))</f>
        <v/>
      </c>
      <c r="Z2273" s="34">
        <f>IF(OR($A2273="",$H2273&lt;&gt;"Ausgabe",L2273=""),0,IF(L2273="x",-$E2273/(COUNTIF($J2273:$Q2273,"x")+1),-$E2273*N(L2273)))</f>
        <v/>
      </c>
      <c r="AA2273" s="34">
        <f>IF(OR($A2273="",$H2273&lt;&gt;"Ausgabe",M2273=""),0,IF(M2273="x",-$E2273/(COUNTIF($J2273:$Q2273,"x")+1),-$E2273*N(M2273)))</f>
        <v/>
      </c>
      <c r="AB2273" s="34">
        <f>IF(OR($A2273="",$H2273&lt;&gt;"Ausgabe",N2273=""),0,IF(N2273="x",-$E2273/(COUNTIF($J2273:$Q2273,"x")+1),-$E2273*N(N2273)))</f>
        <v/>
      </c>
      <c r="AC2273" s="34">
        <f>IF(OR($A2273="",$H2273&lt;&gt;"Ausgabe",O2273=""),0,IF(O2273="x",-$E2273/(COUNTIF($J2273:$Q2273,"x")+1),-$E2273*N(O2273)))</f>
        <v/>
      </c>
      <c r="AD2273" s="34">
        <f>IF(OR($A2273="",$H2273&lt;&gt;"Ausgabe",P2273=""),0,IF(P2273="x",-$E2273/(COUNTIF($J2273:$Q2273,"x")+1),-$E2273*N(P2273)))</f>
        <v/>
      </c>
      <c r="AE2273" s="34">
        <f>IF(OR($A2273="",$H2273&lt;&gt;"Ausgabe",Q2273=""),0,IF(Q2273="x",-$E2273/(COUNTIF($J2273:$Q2273,"x")+1),-$E2273*N(Q2273)))</f>
        <v/>
      </c>
    </row>
    <row r="2274">
      <c r="A2274" s="30" t="n"/>
      <c r="E2274" s="31" t="n"/>
      <c r="J2274" s="32" t="n"/>
      <c r="K2274" s="32" t="n"/>
      <c r="L2274" s="32" t="n"/>
      <c r="M2274" s="32" t="n"/>
      <c r="N2274" s="32" t="n"/>
      <c r="O2274" s="32" t="n"/>
      <c r="P2274" s="32" t="n"/>
      <c r="Q2274" s="32" t="n"/>
      <c r="U2274" s="31">
        <f>IF($A2274="","",SUM(X2274:AE2274))</f>
        <v/>
      </c>
      <c r="V2274" s="31">
        <f>IF($A2274="","",IF($H2274&lt;&gt;"Ausgabe",0,-$E2274-$U2274))</f>
        <v/>
      </c>
      <c r="W2274" s="33">
        <f>IF($A2274="","",DATE(YEAR($A2274),MONTH($A2274),1))</f>
        <v/>
      </c>
      <c r="X2274" s="34">
        <f>IF(OR($A2274="",$H2274&lt;&gt;"Ausgabe",J2274=""),0,IF(J2274="x",-$E2274/(COUNTIF($J2274:$Q2274,"x")+1),-$E2274*N(J2274)))</f>
        <v/>
      </c>
      <c r="Y2274" s="34">
        <f>IF(OR($A2274="",$H2274&lt;&gt;"Ausgabe",K2274=""),0,IF(K2274="x",-$E2274/(COUNTIF($J2274:$Q2274,"x")+1),-$E2274*N(K2274)))</f>
        <v/>
      </c>
      <c r="Z2274" s="34">
        <f>IF(OR($A2274="",$H2274&lt;&gt;"Ausgabe",L2274=""),0,IF(L2274="x",-$E2274/(COUNTIF($J2274:$Q2274,"x")+1),-$E2274*N(L2274)))</f>
        <v/>
      </c>
      <c r="AA2274" s="34">
        <f>IF(OR($A2274="",$H2274&lt;&gt;"Ausgabe",M2274=""),0,IF(M2274="x",-$E2274/(COUNTIF($J2274:$Q2274,"x")+1),-$E2274*N(M2274)))</f>
        <v/>
      </c>
      <c r="AB2274" s="34">
        <f>IF(OR($A2274="",$H2274&lt;&gt;"Ausgabe",N2274=""),0,IF(N2274="x",-$E2274/(COUNTIF($J2274:$Q2274,"x")+1),-$E2274*N(N2274)))</f>
        <v/>
      </c>
      <c r="AC2274" s="34">
        <f>IF(OR($A2274="",$H2274&lt;&gt;"Ausgabe",O2274=""),0,IF(O2274="x",-$E2274/(COUNTIF($J2274:$Q2274,"x")+1),-$E2274*N(O2274)))</f>
        <v/>
      </c>
      <c r="AD2274" s="34">
        <f>IF(OR($A2274="",$H2274&lt;&gt;"Ausgabe",P2274=""),0,IF(P2274="x",-$E2274/(COUNTIF($J2274:$Q2274,"x")+1),-$E2274*N(P2274)))</f>
        <v/>
      </c>
      <c r="AE2274" s="34">
        <f>IF(OR($A2274="",$H2274&lt;&gt;"Ausgabe",Q2274=""),0,IF(Q2274="x",-$E2274/(COUNTIF($J2274:$Q2274,"x")+1),-$E2274*N(Q2274)))</f>
        <v/>
      </c>
    </row>
    <row r="2275">
      <c r="A2275" s="30" t="n"/>
      <c r="E2275" s="31" t="n"/>
      <c r="J2275" s="32" t="n"/>
      <c r="K2275" s="32" t="n"/>
      <c r="L2275" s="32" t="n"/>
      <c r="M2275" s="32" t="n"/>
      <c r="N2275" s="32" t="n"/>
      <c r="O2275" s="32" t="n"/>
      <c r="P2275" s="32" t="n"/>
      <c r="Q2275" s="32" t="n"/>
      <c r="U2275" s="31">
        <f>IF($A2275="","",SUM(X2275:AE2275))</f>
        <v/>
      </c>
      <c r="V2275" s="31">
        <f>IF($A2275="","",IF($H2275&lt;&gt;"Ausgabe",0,-$E2275-$U2275))</f>
        <v/>
      </c>
      <c r="W2275" s="33">
        <f>IF($A2275="","",DATE(YEAR($A2275),MONTH($A2275),1))</f>
        <v/>
      </c>
      <c r="X2275" s="34">
        <f>IF(OR($A2275="",$H2275&lt;&gt;"Ausgabe",J2275=""),0,IF(J2275="x",-$E2275/(COUNTIF($J2275:$Q2275,"x")+1),-$E2275*N(J2275)))</f>
        <v/>
      </c>
      <c r="Y2275" s="34">
        <f>IF(OR($A2275="",$H2275&lt;&gt;"Ausgabe",K2275=""),0,IF(K2275="x",-$E2275/(COUNTIF($J2275:$Q2275,"x")+1),-$E2275*N(K2275)))</f>
        <v/>
      </c>
      <c r="Z2275" s="34">
        <f>IF(OR($A2275="",$H2275&lt;&gt;"Ausgabe",L2275=""),0,IF(L2275="x",-$E2275/(COUNTIF($J2275:$Q2275,"x")+1),-$E2275*N(L2275)))</f>
        <v/>
      </c>
      <c r="AA2275" s="34">
        <f>IF(OR($A2275="",$H2275&lt;&gt;"Ausgabe",M2275=""),0,IF(M2275="x",-$E2275/(COUNTIF($J2275:$Q2275,"x")+1),-$E2275*N(M2275)))</f>
        <v/>
      </c>
      <c r="AB2275" s="34">
        <f>IF(OR($A2275="",$H2275&lt;&gt;"Ausgabe",N2275=""),0,IF(N2275="x",-$E2275/(COUNTIF($J2275:$Q2275,"x")+1),-$E2275*N(N2275)))</f>
        <v/>
      </c>
      <c r="AC2275" s="34">
        <f>IF(OR($A2275="",$H2275&lt;&gt;"Ausgabe",O2275=""),0,IF(O2275="x",-$E2275/(COUNTIF($J2275:$Q2275,"x")+1),-$E2275*N(O2275)))</f>
        <v/>
      </c>
      <c r="AD2275" s="34">
        <f>IF(OR($A2275="",$H2275&lt;&gt;"Ausgabe",P2275=""),0,IF(P2275="x",-$E2275/(COUNTIF($J2275:$Q2275,"x")+1),-$E2275*N(P2275)))</f>
        <v/>
      </c>
      <c r="AE2275" s="34">
        <f>IF(OR($A2275="",$H2275&lt;&gt;"Ausgabe",Q2275=""),0,IF(Q2275="x",-$E2275/(COUNTIF($J2275:$Q2275,"x")+1),-$E2275*N(Q2275)))</f>
        <v/>
      </c>
    </row>
    <row r="2276">
      <c r="A2276" s="30" t="n"/>
      <c r="E2276" s="31" t="n"/>
      <c r="J2276" s="32" t="n"/>
      <c r="K2276" s="32" t="n"/>
      <c r="L2276" s="32" t="n"/>
      <c r="M2276" s="32" t="n"/>
      <c r="N2276" s="32" t="n"/>
      <c r="O2276" s="32" t="n"/>
      <c r="P2276" s="32" t="n"/>
      <c r="Q2276" s="32" t="n"/>
      <c r="U2276" s="31">
        <f>IF($A2276="","",SUM(X2276:AE2276))</f>
        <v/>
      </c>
      <c r="V2276" s="31">
        <f>IF($A2276="","",IF($H2276&lt;&gt;"Ausgabe",0,-$E2276-$U2276))</f>
        <v/>
      </c>
      <c r="W2276" s="33">
        <f>IF($A2276="","",DATE(YEAR($A2276),MONTH($A2276),1))</f>
        <v/>
      </c>
      <c r="X2276" s="34">
        <f>IF(OR($A2276="",$H2276&lt;&gt;"Ausgabe",J2276=""),0,IF(J2276="x",-$E2276/(COUNTIF($J2276:$Q2276,"x")+1),-$E2276*N(J2276)))</f>
        <v/>
      </c>
      <c r="Y2276" s="34">
        <f>IF(OR($A2276="",$H2276&lt;&gt;"Ausgabe",K2276=""),0,IF(K2276="x",-$E2276/(COUNTIF($J2276:$Q2276,"x")+1),-$E2276*N(K2276)))</f>
        <v/>
      </c>
      <c r="Z2276" s="34">
        <f>IF(OR($A2276="",$H2276&lt;&gt;"Ausgabe",L2276=""),0,IF(L2276="x",-$E2276/(COUNTIF($J2276:$Q2276,"x")+1),-$E2276*N(L2276)))</f>
        <v/>
      </c>
      <c r="AA2276" s="34">
        <f>IF(OR($A2276="",$H2276&lt;&gt;"Ausgabe",M2276=""),0,IF(M2276="x",-$E2276/(COUNTIF($J2276:$Q2276,"x")+1),-$E2276*N(M2276)))</f>
        <v/>
      </c>
      <c r="AB2276" s="34">
        <f>IF(OR($A2276="",$H2276&lt;&gt;"Ausgabe",N2276=""),0,IF(N2276="x",-$E2276/(COUNTIF($J2276:$Q2276,"x")+1),-$E2276*N(N2276)))</f>
        <v/>
      </c>
      <c r="AC2276" s="34">
        <f>IF(OR($A2276="",$H2276&lt;&gt;"Ausgabe",O2276=""),0,IF(O2276="x",-$E2276/(COUNTIF($J2276:$Q2276,"x")+1),-$E2276*N(O2276)))</f>
        <v/>
      </c>
      <c r="AD2276" s="34">
        <f>IF(OR($A2276="",$H2276&lt;&gt;"Ausgabe",P2276=""),0,IF(P2276="x",-$E2276/(COUNTIF($J2276:$Q2276,"x")+1),-$E2276*N(P2276)))</f>
        <v/>
      </c>
      <c r="AE2276" s="34">
        <f>IF(OR($A2276="",$H2276&lt;&gt;"Ausgabe",Q2276=""),0,IF(Q2276="x",-$E2276/(COUNTIF($J2276:$Q2276,"x")+1),-$E2276*N(Q2276)))</f>
        <v/>
      </c>
    </row>
    <row r="2277">
      <c r="A2277" s="30" t="n"/>
      <c r="E2277" s="31" t="n"/>
      <c r="J2277" s="32" t="n"/>
      <c r="K2277" s="32" t="n"/>
      <c r="L2277" s="32" t="n"/>
      <c r="M2277" s="32" t="n"/>
      <c r="N2277" s="32" t="n"/>
      <c r="O2277" s="32" t="n"/>
      <c r="P2277" s="32" t="n"/>
      <c r="Q2277" s="32" t="n"/>
      <c r="U2277" s="31">
        <f>IF($A2277="","",SUM(X2277:AE2277))</f>
        <v/>
      </c>
      <c r="V2277" s="31">
        <f>IF($A2277="","",IF($H2277&lt;&gt;"Ausgabe",0,-$E2277-$U2277))</f>
        <v/>
      </c>
      <c r="W2277" s="33">
        <f>IF($A2277="","",DATE(YEAR($A2277),MONTH($A2277),1))</f>
        <v/>
      </c>
      <c r="X2277" s="34">
        <f>IF(OR($A2277="",$H2277&lt;&gt;"Ausgabe",J2277=""),0,IF(J2277="x",-$E2277/(COUNTIF($J2277:$Q2277,"x")+1),-$E2277*N(J2277)))</f>
        <v/>
      </c>
      <c r="Y2277" s="34">
        <f>IF(OR($A2277="",$H2277&lt;&gt;"Ausgabe",K2277=""),0,IF(K2277="x",-$E2277/(COUNTIF($J2277:$Q2277,"x")+1),-$E2277*N(K2277)))</f>
        <v/>
      </c>
      <c r="Z2277" s="34">
        <f>IF(OR($A2277="",$H2277&lt;&gt;"Ausgabe",L2277=""),0,IF(L2277="x",-$E2277/(COUNTIF($J2277:$Q2277,"x")+1),-$E2277*N(L2277)))</f>
        <v/>
      </c>
      <c r="AA2277" s="34">
        <f>IF(OR($A2277="",$H2277&lt;&gt;"Ausgabe",M2277=""),0,IF(M2277="x",-$E2277/(COUNTIF($J2277:$Q2277,"x")+1),-$E2277*N(M2277)))</f>
        <v/>
      </c>
      <c r="AB2277" s="34">
        <f>IF(OR($A2277="",$H2277&lt;&gt;"Ausgabe",N2277=""),0,IF(N2277="x",-$E2277/(COUNTIF($J2277:$Q2277,"x")+1),-$E2277*N(N2277)))</f>
        <v/>
      </c>
      <c r="AC2277" s="34">
        <f>IF(OR($A2277="",$H2277&lt;&gt;"Ausgabe",O2277=""),0,IF(O2277="x",-$E2277/(COUNTIF($J2277:$Q2277,"x")+1),-$E2277*N(O2277)))</f>
        <v/>
      </c>
      <c r="AD2277" s="34">
        <f>IF(OR($A2277="",$H2277&lt;&gt;"Ausgabe",P2277=""),0,IF(P2277="x",-$E2277/(COUNTIF($J2277:$Q2277,"x")+1),-$E2277*N(P2277)))</f>
        <v/>
      </c>
      <c r="AE2277" s="34">
        <f>IF(OR($A2277="",$H2277&lt;&gt;"Ausgabe",Q2277=""),0,IF(Q2277="x",-$E2277/(COUNTIF($J2277:$Q2277,"x")+1),-$E2277*N(Q2277)))</f>
        <v/>
      </c>
    </row>
    <row r="2278">
      <c r="A2278" s="30" t="n"/>
      <c r="E2278" s="31" t="n"/>
      <c r="J2278" s="32" t="n"/>
      <c r="K2278" s="32" t="n"/>
      <c r="L2278" s="32" t="n"/>
      <c r="M2278" s="32" t="n"/>
      <c r="N2278" s="32" t="n"/>
      <c r="O2278" s="32" t="n"/>
      <c r="P2278" s="32" t="n"/>
      <c r="Q2278" s="32" t="n"/>
      <c r="U2278" s="31">
        <f>IF($A2278="","",SUM(X2278:AE2278))</f>
        <v/>
      </c>
      <c r="V2278" s="31">
        <f>IF($A2278="","",IF($H2278&lt;&gt;"Ausgabe",0,-$E2278-$U2278))</f>
        <v/>
      </c>
      <c r="W2278" s="33">
        <f>IF($A2278="","",DATE(YEAR($A2278),MONTH($A2278),1))</f>
        <v/>
      </c>
      <c r="X2278" s="34">
        <f>IF(OR($A2278="",$H2278&lt;&gt;"Ausgabe",J2278=""),0,IF(J2278="x",-$E2278/(COUNTIF($J2278:$Q2278,"x")+1),-$E2278*N(J2278)))</f>
        <v/>
      </c>
      <c r="Y2278" s="34">
        <f>IF(OR($A2278="",$H2278&lt;&gt;"Ausgabe",K2278=""),0,IF(K2278="x",-$E2278/(COUNTIF($J2278:$Q2278,"x")+1),-$E2278*N(K2278)))</f>
        <v/>
      </c>
      <c r="Z2278" s="34">
        <f>IF(OR($A2278="",$H2278&lt;&gt;"Ausgabe",L2278=""),0,IF(L2278="x",-$E2278/(COUNTIF($J2278:$Q2278,"x")+1),-$E2278*N(L2278)))</f>
        <v/>
      </c>
      <c r="AA2278" s="34">
        <f>IF(OR($A2278="",$H2278&lt;&gt;"Ausgabe",M2278=""),0,IF(M2278="x",-$E2278/(COUNTIF($J2278:$Q2278,"x")+1),-$E2278*N(M2278)))</f>
        <v/>
      </c>
      <c r="AB2278" s="34">
        <f>IF(OR($A2278="",$H2278&lt;&gt;"Ausgabe",N2278=""),0,IF(N2278="x",-$E2278/(COUNTIF($J2278:$Q2278,"x")+1),-$E2278*N(N2278)))</f>
        <v/>
      </c>
      <c r="AC2278" s="34">
        <f>IF(OR($A2278="",$H2278&lt;&gt;"Ausgabe",O2278=""),0,IF(O2278="x",-$E2278/(COUNTIF($J2278:$Q2278,"x")+1),-$E2278*N(O2278)))</f>
        <v/>
      </c>
      <c r="AD2278" s="34">
        <f>IF(OR($A2278="",$H2278&lt;&gt;"Ausgabe",P2278=""),0,IF(P2278="x",-$E2278/(COUNTIF($J2278:$Q2278,"x")+1),-$E2278*N(P2278)))</f>
        <v/>
      </c>
      <c r="AE2278" s="34">
        <f>IF(OR($A2278="",$H2278&lt;&gt;"Ausgabe",Q2278=""),0,IF(Q2278="x",-$E2278/(COUNTIF($J2278:$Q2278,"x")+1),-$E2278*N(Q2278)))</f>
        <v/>
      </c>
    </row>
    <row r="2279">
      <c r="A2279" s="30" t="n"/>
      <c r="E2279" s="31" t="n"/>
      <c r="J2279" s="32" t="n"/>
      <c r="K2279" s="32" t="n"/>
      <c r="L2279" s="32" t="n"/>
      <c r="M2279" s="32" t="n"/>
      <c r="N2279" s="32" t="n"/>
      <c r="O2279" s="32" t="n"/>
      <c r="P2279" s="32" t="n"/>
      <c r="Q2279" s="32" t="n"/>
      <c r="U2279" s="31">
        <f>IF($A2279="","",SUM(X2279:AE2279))</f>
        <v/>
      </c>
      <c r="V2279" s="31">
        <f>IF($A2279="","",IF($H2279&lt;&gt;"Ausgabe",0,-$E2279-$U2279))</f>
        <v/>
      </c>
      <c r="W2279" s="33">
        <f>IF($A2279="","",DATE(YEAR($A2279),MONTH($A2279),1))</f>
        <v/>
      </c>
      <c r="X2279" s="34">
        <f>IF(OR($A2279="",$H2279&lt;&gt;"Ausgabe",J2279=""),0,IF(J2279="x",-$E2279/(COUNTIF($J2279:$Q2279,"x")+1),-$E2279*N(J2279)))</f>
        <v/>
      </c>
      <c r="Y2279" s="34">
        <f>IF(OR($A2279="",$H2279&lt;&gt;"Ausgabe",K2279=""),0,IF(K2279="x",-$E2279/(COUNTIF($J2279:$Q2279,"x")+1),-$E2279*N(K2279)))</f>
        <v/>
      </c>
      <c r="Z2279" s="34">
        <f>IF(OR($A2279="",$H2279&lt;&gt;"Ausgabe",L2279=""),0,IF(L2279="x",-$E2279/(COUNTIF($J2279:$Q2279,"x")+1),-$E2279*N(L2279)))</f>
        <v/>
      </c>
      <c r="AA2279" s="34">
        <f>IF(OR($A2279="",$H2279&lt;&gt;"Ausgabe",M2279=""),0,IF(M2279="x",-$E2279/(COUNTIF($J2279:$Q2279,"x")+1),-$E2279*N(M2279)))</f>
        <v/>
      </c>
      <c r="AB2279" s="34">
        <f>IF(OR($A2279="",$H2279&lt;&gt;"Ausgabe",N2279=""),0,IF(N2279="x",-$E2279/(COUNTIF($J2279:$Q2279,"x")+1),-$E2279*N(N2279)))</f>
        <v/>
      </c>
      <c r="AC2279" s="34">
        <f>IF(OR($A2279="",$H2279&lt;&gt;"Ausgabe",O2279=""),0,IF(O2279="x",-$E2279/(COUNTIF($J2279:$Q2279,"x")+1),-$E2279*N(O2279)))</f>
        <v/>
      </c>
      <c r="AD2279" s="34">
        <f>IF(OR($A2279="",$H2279&lt;&gt;"Ausgabe",P2279=""),0,IF(P2279="x",-$E2279/(COUNTIF($J2279:$Q2279,"x")+1),-$E2279*N(P2279)))</f>
        <v/>
      </c>
      <c r="AE2279" s="34">
        <f>IF(OR($A2279="",$H2279&lt;&gt;"Ausgabe",Q2279=""),0,IF(Q2279="x",-$E2279/(COUNTIF($J2279:$Q2279,"x")+1),-$E2279*N(Q2279)))</f>
        <v/>
      </c>
    </row>
    <row r="2280">
      <c r="A2280" s="30" t="n"/>
      <c r="E2280" s="31" t="n"/>
      <c r="J2280" s="32" t="n"/>
      <c r="K2280" s="32" t="n"/>
      <c r="L2280" s="32" t="n"/>
      <c r="M2280" s="32" t="n"/>
      <c r="N2280" s="32" t="n"/>
      <c r="O2280" s="32" t="n"/>
      <c r="P2280" s="32" t="n"/>
      <c r="Q2280" s="32" t="n"/>
      <c r="U2280" s="31">
        <f>IF($A2280="","",SUM(X2280:AE2280))</f>
        <v/>
      </c>
      <c r="V2280" s="31">
        <f>IF($A2280="","",IF($H2280&lt;&gt;"Ausgabe",0,-$E2280-$U2280))</f>
        <v/>
      </c>
      <c r="W2280" s="33">
        <f>IF($A2280="","",DATE(YEAR($A2280),MONTH($A2280),1))</f>
        <v/>
      </c>
      <c r="X2280" s="34">
        <f>IF(OR($A2280="",$H2280&lt;&gt;"Ausgabe",J2280=""),0,IF(J2280="x",-$E2280/(COUNTIF($J2280:$Q2280,"x")+1),-$E2280*N(J2280)))</f>
        <v/>
      </c>
      <c r="Y2280" s="34">
        <f>IF(OR($A2280="",$H2280&lt;&gt;"Ausgabe",K2280=""),0,IF(K2280="x",-$E2280/(COUNTIF($J2280:$Q2280,"x")+1),-$E2280*N(K2280)))</f>
        <v/>
      </c>
      <c r="Z2280" s="34">
        <f>IF(OR($A2280="",$H2280&lt;&gt;"Ausgabe",L2280=""),0,IF(L2280="x",-$E2280/(COUNTIF($J2280:$Q2280,"x")+1),-$E2280*N(L2280)))</f>
        <v/>
      </c>
      <c r="AA2280" s="34">
        <f>IF(OR($A2280="",$H2280&lt;&gt;"Ausgabe",M2280=""),0,IF(M2280="x",-$E2280/(COUNTIF($J2280:$Q2280,"x")+1),-$E2280*N(M2280)))</f>
        <v/>
      </c>
      <c r="AB2280" s="34">
        <f>IF(OR($A2280="",$H2280&lt;&gt;"Ausgabe",N2280=""),0,IF(N2280="x",-$E2280/(COUNTIF($J2280:$Q2280,"x")+1),-$E2280*N(N2280)))</f>
        <v/>
      </c>
      <c r="AC2280" s="34">
        <f>IF(OR($A2280="",$H2280&lt;&gt;"Ausgabe",O2280=""),0,IF(O2280="x",-$E2280/(COUNTIF($J2280:$Q2280,"x")+1),-$E2280*N(O2280)))</f>
        <v/>
      </c>
      <c r="AD2280" s="34">
        <f>IF(OR($A2280="",$H2280&lt;&gt;"Ausgabe",P2280=""),0,IF(P2280="x",-$E2280/(COUNTIF($J2280:$Q2280,"x")+1),-$E2280*N(P2280)))</f>
        <v/>
      </c>
      <c r="AE2280" s="34">
        <f>IF(OR($A2280="",$H2280&lt;&gt;"Ausgabe",Q2280=""),0,IF(Q2280="x",-$E2280/(COUNTIF($J2280:$Q2280,"x")+1),-$E2280*N(Q2280)))</f>
        <v/>
      </c>
    </row>
    <row r="2281">
      <c r="A2281" s="30" t="n"/>
      <c r="E2281" s="31" t="n"/>
      <c r="J2281" s="32" t="n"/>
      <c r="K2281" s="32" t="n"/>
      <c r="L2281" s="32" t="n"/>
      <c r="M2281" s="32" t="n"/>
      <c r="N2281" s="32" t="n"/>
      <c r="O2281" s="32" t="n"/>
      <c r="P2281" s="32" t="n"/>
      <c r="Q2281" s="32" t="n"/>
      <c r="U2281" s="31">
        <f>IF($A2281="","",SUM(X2281:AE2281))</f>
        <v/>
      </c>
      <c r="V2281" s="31">
        <f>IF($A2281="","",IF($H2281&lt;&gt;"Ausgabe",0,-$E2281-$U2281))</f>
        <v/>
      </c>
      <c r="W2281" s="33">
        <f>IF($A2281="","",DATE(YEAR($A2281),MONTH($A2281),1))</f>
        <v/>
      </c>
      <c r="X2281" s="34">
        <f>IF(OR($A2281="",$H2281&lt;&gt;"Ausgabe",J2281=""),0,IF(J2281="x",-$E2281/(COUNTIF($J2281:$Q2281,"x")+1),-$E2281*N(J2281)))</f>
        <v/>
      </c>
      <c r="Y2281" s="34">
        <f>IF(OR($A2281="",$H2281&lt;&gt;"Ausgabe",K2281=""),0,IF(K2281="x",-$E2281/(COUNTIF($J2281:$Q2281,"x")+1),-$E2281*N(K2281)))</f>
        <v/>
      </c>
      <c r="Z2281" s="34">
        <f>IF(OR($A2281="",$H2281&lt;&gt;"Ausgabe",L2281=""),0,IF(L2281="x",-$E2281/(COUNTIF($J2281:$Q2281,"x")+1),-$E2281*N(L2281)))</f>
        <v/>
      </c>
      <c r="AA2281" s="34">
        <f>IF(OR($A2281="",$H2281&lt;&gt;"Ausgabe",M2281=""),0,IF(M2281="x",-$E2281/(COUNTIF($J2281:$Q2281,"x")+1),-$E2281*N(M2281)))</f>
        <v/>
      </c>
      <c r="AB2281" s="34">
        <f>IF(OR($A2281="",$H2281&lt;&gt;"Ausgabe",N2281=""),0,IF(N2281="x",-$E2281/(COUNTIF($J2281:$Q2281,"x")+1),-$E2281*N(N2281)))</f>
        <v/>
      </c>
      <c r="AC2281" s="34">
        <f>IF(OR($A2281="",$H2281&lt;&gt;"Ausgabe",O2281=""),0,IF(O2281="x",-$E2281/(COUNTIF($J2281:$Q2281,"x")+1),-$E2281*N(O2281)))</f>
        <v/>
      </c>
      <c r="AD2281" s="34">
        <f>IF(OR($A2281="",$H2281&lt;&gt;"Ausgabe",P2281=""),0,IF(P2281="x",-$E2281/(COUNTIF($J2281:$Q2281,"x")+1),-$E2281*N(P2281)))</f>
        <v/>
      </c>
      <c r="AE2281" s="34">
        <f>IF(OR($A2281="",$H2281&lt;&gt;"Ausgabe",Q2281=""),0,IF(Q2281="x",-$E2281/(COUNTIF($J2281:$Q2281,"x")+1),-$E2281*N(Q2281)))</f>
        <v/>
      </c>
    </row>
    <row r="2282">
      <c r="A2282" s="30" t="n"/>
      <c r="E2282" s="31" t="n"/>
      <c r="J2282" s="32" t="n"/>
      <c r="K2282" s="32" t="n"/>
      <c r="L2282" s="32" t="n"/>
      <c r="M2282" s="32" t="n"/>
      <c r="N2282" s="32" t="n"/>
      <c r="O2282" s="32" t="n"/>
      <c r="P2282" s="32" t="n"/>
      <c r="Q2282" s="32" t="n"/>
      <c r="U2282" s="31">
        <f>IF($A2282="","",SUM(X2282:AE2282))</f>
        <v/>
      </c>
      <c r="V2282" s="31">
        <f>IF($A2282="","",IF($H2282&lt;&gt;"Ausgabe",0,-$E2282-$U2282))</f>
        <v/>
      </c>
      <c r="W2282" s="33">
        <f>IF($A2282="","",DATE(YEAR($A2282),MONTH($A2282),1))</f>
        <v/>
      </c>
      <c r="X2282" s="34">
        <f>IF(OR($A2282="",$H2282&lt;&gt;"Ausgabe",J2282=""),0,IF(J2282="x",-$E2282/(COUNTIF($J2282:$Q2282,"x")+1),-$E2282*N(J2282)))</f>
        <v/>
      </c>
      <c r="Y2282" s="34">
        <f>IF(OR($A2282="",$H2282&lt;&gt;"Ausgabe",K2282=""),0,IF(K2282="x",-$E2282/(COUNTIF($J2282:$Q2282,"x")+1),-$E2282*N(K2282)))</f>
        <v/>
      </c>
      <c r="Z2282" s="34">
        <f>IF(OR($A2282="",$H2282&lt;&gt;"Ausgabe",L2282=""),0,IF(L2282="x",-$E2282/(COUNTIF($J2282:$Q2282,"x")+1),-$E2282*N(L2282)))</f>
        <v/>
      </c>
      <c r="AA2282" s="34">
        <f>IF(OR($A2282="",$H2282&lt;&gt;"Ausgabe",M2282=""),0,IF(M2282="x",-$E2282/(COUNTIF($J2282:$Q2282,"x")+1),-$E2282*N(M2282)))</f>
        <v/>
      </c>
      <c r="AB2282" s="34">
        <f>IF(OR($A2282="",$H2282&lt;&gt;"Ausgabe",N2282=""),0,IF(N2282="x",-$E2282/(COUNTIF($J2282:$Q2282,"x")+1),-$E2282*N(N2282)))</f>
        <v/>
      </c>
      <c r="AC2282" s="34">
        <f>IF(OR($A2282="",$H2282&lt;&gt;"Ausgabe",O2282=""),0,IF(O2282="x",-$E2282/(COUNTIF($J2282:$Q2282,"x")+1),-$E2282*N(O2282)))</f>
        <v/>
      </c>
      <c r="AD2282" s="34">
        <f>IF(OR($A2282="",$H2282&lt;&gt;"Ausgabe",P2282=""),0,IF(P2282="x",-$E2282/(COUNTIF($J2282:$Q2282,"x")+1),-$E2282*N(P2282)))</f>
        <v/>
      </c>
      <c r="AE2282" s="34">
        <f>IF(OR($A2282="",$H2282&lt;&gt;"Ausgabe",Q2282=""),0,IF(Q2282="x",-$E2282/(COUNTIF($J2282:$Q2282,"x")+1),-$E2282*N(Q2282)))</f>
        <v/>
      </c>
    </row>
    <row r="2283">
      <c r="A2283" s="30" t="n"/>
      <c r="E2283" s="31" t="n"/>
      <c r="J2283" s="32" t="n"/>
      <c r="K2283" s="32" t="n"/>
      <c r="L2283" s="32" t="n"/>
      <c r="M2283" s="32" t="n"/>
      <c r="N2283" s="32" t="n"/>
      <c r="O2283" s="32" t="n"/>
      <c r="P2283" s="32" t="n"/>
      <c r="Q2283" s="32" t="n"/>
      <c r="U2283" s="31">
        <f>IF($A2283="","",SUM(X2283:AE2283))</f>
        <v/>
      </c>
      <c r="V2283" s="31">
        <f>IF($A2283="","",IF($H2283&lt;&gt;"Ausgabe",0,-$E2283-$U2283))</f>
        <v/>
      </c>
      <c r="W2283" s="33">
        <f>IF($A2283="","",DATE(YEAR($A2283),MONTH($A2283),1))</f>
        <v/>
      </c>
      <c r="X2283" s="34">
        <f>IF(OR($A2283="",$H2283&lt;&gt;"Ausgabe",J2283=""),0,IF(J2283="x",-$E2283/(COUNTIF($J2283:$Q2283,"x")+1),-$E2283*N(J2283)))</f>
        <v/>
      </c>
      <c r="Y2283" s="34">
        <f>IF(OR($A2283="",$H2283&lt;&gt;"Ausgabe",K2283=""),0,IF(K2283="x",-$E2283/(COUNTIF($J2283:$Q2283,"x")+1),-$E2283*N(K2283)))</f>
        <v/>
      </c>
      <c r="Z2283" s="34">
        <f>IF(OR($A2283="",$H2283&lt;&gt;"Ausgabe",L2283=""),0,IF(L2283="x",-$E2283/(COUNTIF($J2283:$Q2283,"x")+1),-$E2283*N(L2283)))</f>
        <v/>
      </c>
      <c r="AA2283" s="34">
        <f>IF(OR($A2283="",$H2283&lt;&gt;"Ausgabe",M2283=""),0,IF(M2283="x",-$E2283/(COUNTIF($J2283:$Q2283,"x")+1),-$E2283*N(M2283)))</f>
        <v/>
      </c>
      <c r="AB2283" s="34">
        <f>IF(OR($A2283="",$H2283&lt;&gt;"Ausgabe",N2283=""),0,IF(N2283="x",-$E2283/(COUNTIF($J2283:$Q2283,"x")+1),-$E2283*N(N2283)))</f>
        <v/>
      </c>
      <c r="AC2283" s="34">
        <f>IF(OR($A2283="",$H2283&lt;&gt;"Ausgabe",O2283=""),0,IF(O2283="x",-$E2283/(COUNTIF($J2283:$Q2283,"x")+1),-$E2283*N(O2283)))</f>
        <v/>
      </c>
      <c r="AD2283" s="34">
        <f>IF(OR($A2283="",$H2283&lt;&gt;"Ausgabe",P2283=""),0,IF(P2283="x",-$E2283/(COUNTIF($J2283:$Q2283,"x")+1),-$E2283*N(P2283)))</f>
        <v/>
      </c>
      <c r="AE2283" s="34">
        <f>IF(OR($A2283="",$H2283&lt;&gt;"Ausgabe",Q2283=""),0,IF(Q2283="x",-$E2283/(COUNTIF($J2283:$Q2283,"x")+1),-$E2283*N(Q2283)))</f>
        <v/>
      </c>
    </row>
    <row r="2284">
      <c r="A2284" s="30" t="n"/>
      <c r="E2284" s="31" t="n"/>
      <c r="J2284" s="32" t="n"/>
      <c r="K2284" s="32" t="n"/>
      <c r="L2284" s="32" t="n"/>
      <c r="M2284" s="32" t="n"/>
      <c r="N2284" s="32" t="n"/>
      <c r="O2284" s="32" t="n"/>
      <c r="P2284" s="32" t="n"/>
      <c r="Q2284" s="32" t="n"/>
      <c r="U2284" s="31">
        <f>IF($A2284="","",SUM(X2284:AE2284))</f>
        <v/>
      </c>
      <c r="V2284" s="31">
        <f>IF($A2284="","",IF($H2284&lt;&gt;"Ausgabe",0,-$E2284-$U2284))</f>
        <v/>
      </c>
      <c r="W2284" s="33">
        <f>IF($A2284="","",DATE(YEAR($A2284),MONTH($A2284),1))</f>
        <v/>
      </c>
      <c r="X2284" s="34">
        <f>IF(OR($A2284="",$H2284&lt;&gt;"Ausgabe",J2284=""),0,IF(J2284="x",-$E2284/(COUNTIF($J2284:$Q2284,"x")+1),-$E2284*N(J2284)))</f>
        <v/>
      </c>
      <c r="Y2284" s="34">
        <f>IF(OR($A2284="",$H2284&lt;&gt;"Ausgabe",K2284=""),0,IF(K2284="x",-$E2284/(COUNTIF($J2284:$Q2284,"x")+1),-$E2284*N(K2284)))</f>
        <v/>
      </c>
      <c r="Z2284" s="34">
        <f>IF(OR($A2284="",$H2284&lt;&gt;"Ausgabe",L2284=""),0,IF(L2284="x",-$E2284/(COUNTIF($J2284:$Q2284,"x")+1),-$E2284*N(L2284)))</f>
        <v/>
      </c>
      <c r="AA2284" s="34">
        <f>IF(OR($A2284="",$H2284&lt;&gt;"Ausgabe",M2284=""),0,IF(M2284="x",-$E2284/(COUNTIF($J2284:$Q2284,"x")+1),-$E2284*N(M2284)))</f>
        <v/>
      </c>
      <c r="AB2284" s="34">
        <f>IF(OR($A2284="",$H2284&lt;&gt;"Ausgabe",N2284=""),0,IF(N2284="x",-$E2284/(COUNTIF($J2284:$Q2284,"x")+1),-$E2284*N(N2284)))</f>
        <v/>
      </c>
      <c r="AC2284" s="34">
        <f>IF(OR($A2284="",$H2284&lt;&gt;"Ausgabe",O2284=""),0,IF(O2284="x",-$E2284/(COUNTIF($J2284:$Q2284,"x")+1),-$E2284*N(O2284)))</f>
        <v/>
      </c>
      <c r="AD2284" s="34">
        <f>IF(OR($A2284="",$H2284&lt;&gt;"Ausgabe",P2284=""),0,IF(P2284="x",-$E2284/(COUNTIF($J2284:$Q2284,"x")+1),-$E2284*N(P2284)))</f>
        <v/>
      </c>
      <c r="AE2284" s="34">
        <f>IF(OR($A2284="",$H2284&lt;&gt;"Ausgabe",Q2284=""),0,IF(Q2284="x",-$E2284/(COUNTIF($J2284:$Q2284,"x")+1),-$E2284*N(Q2284)))</f>
        <v/>
      </c>
    </row>
    <row r="2285">
      <c r="A2285" s="30" t="n"/>
      <c r="E2285" s="31" t="n"/>
      <c r="J2285" s="32" t="n"/>
      <c r="K2285" s="32" t="n"/>
      <c r="L2285" s="32" t="n"/>
      <c r="M2285" s="32" t="n"/>
      <c r="N2285" s="32" t="n"/>
      <c r="O2285" s="32" t="n"/>
      <c r="P2285" s="32" t="n"/>
      <c r="Q2285" s="32" t="n"/>
      <c r="U2285" s="31">
        <f>IF($A2285="","",SUM(X2285:AE2285))</f>
        <v/>
      </c>
      <c r="V2285" s="31">
        <f>IF($A2285="","",IF($H2285&lt;&gt;"Ausgabe",0,-$E2285-$U2285))</f>
        <v/>
      </c>
      <c r="W2285" s="33">
        <f>IF($A2285="","",DATE(YEAR($A2285),MONTH($A2285),1))</f>
        <v/>
      </c>
      <c r="X2285" s="34">
        <f>IF(OR($A2285="",$H2285&lt;&gt;"Ausgabe",J2285=""),0,IF(J2285="x",-$E2285/(COUNTIF($J2285:$Q2285,"x")+1),-$E2285*N(J2285)))</f>
        <v/>
      </c>
      <c r="Y2285" s="34">
        <f>IF(OR($A2285="",$H2285&lt;&gt;"Ausgabe",K2285=""),0,IF(K2285="x",-$E2285/(COUNTIF($J2285:$Q2285,"x")+1),-$E2285*N(K2285)))</f>
        <v/>
      </c>
      <c r="Z2285" s="34">
        <f>IF(OR($A2285="",$H2285&lt;&gt;"Ausgabe",L2285=""),0,IF(L2285="x",-$E2285/(COUNTIF($J2285:$Q2285,"x")+1),-$E2285*N(L2285)))</f>
        <v/>
      </c>
      <c r="AA2285" s="34">
        <f>IF(OR($A2285="",$H2285&lt;&gt;"Ausgabe",M2285=""),0,IF(M2285="x",-$E2285/(COUNTIF($J2285:$Q2285,"x")+1),-$E2285*N(M2285)))</f>
        <v/>
      </c>
      <c r="AB2285" s="34">
        <f>IF(OR($A2285="",$H2285&lt;&gt;"Ausgabe",N2285=""),0,IF(N2285="x",-$E2285/(COUNTIF($J2285:$Q2285,"x")+1),-$E2285*N(N2285)))</f>
        <v/>
      </c>
      <c r="AC2285" s="34">
        <f>IF(OR($A2285="",$H2285&lt;&gt;"Ausgabe",O2285=""),0,IF(O2285="x",-$E2285/(COUNTIF($J2285:$Q2285,"x")+1),-$E2285*N(O2285)))</f>
        <v/>
      </c>
      <c r="AD2285" s="34">
        <f>IF(OR($A2285="",$H2285&lt;&gt;"Ausgabe",P2285=""),0,IF(P2285="x",-$E2285/(COUNTIF($J2285:$Q2285,"x")+1),-$E2285*N(P2285)))</f>
        <v/>
      </c>
      <c r="AE2285" s="34">
        <f>IF(OR($A2285="",$H2285&lt;&gt;"Ausgabe",Q2285=""),0,IF(Q2285="x",-$E2285/(COUNTIF($J2285:$Q2285,"x")+1),-$E2285*N(Q2285)))</f>
        <v/>
      </c>
    </row>
    <row r="2286">
      <c r="A2286" s="30" t="n"/>
      <c r="E2286" s="31" t="n"/>
      <c r="J2286" s="32" t="n"/>
      <c r="K2286" s="32" t="n"/>
      <c r="L2286" s="32" t="n"/>
      <c r="M2286" s="32" t="n"/>
      <c r="N2286" s="32" t="n"/>
      <c r="O2286" s="32" t="n"/>
      <c r="P2286" s="32" t="n"/>
      <c r="Q2286" s="32" t="n"/>
      <c r="U2286" s="31">
        <f>IF($A2286="","",SUM(X2286:AE2286))</f>
        <v/>
      </c>
      <c r="V2286" s="31">
        <f>IF($A2286="","",IF($H2286&lt;&gt;"Ausgabe",0,-$E2286-$U2286))</f>
        <v/>
      </c>
      <c r="W2286" s="33">
        <f>IF($A2286="","",DATE(YEAR($A2286),MONTH($A2286),1))</f>
        <v/>
      </c>
      <c r="X2286" s="34">
        <f>IF(OR($A2286="",$H2286&lt;&gt;"Ausgabe",J2286=""),0,IF(J2286="x",-$E2286/(COUNTIF($J2286:$Q2286,"x")+1),-$E2286*N(J2286)))</f>
        <v/>
      </c>
      <c r="Y2286" s="34">
        <f>IF(OR($A2286="",$H2286&lt;&gt;"Ausgabe",K2286=""),0,IF(K2286="x",-$E2286/(COUNTIF($J2286:$Q2286,"x")+1),-$E2286*N(K2286)))</f>
        <v/>
      </c>
      <c r="Z2286" s="34">
        <f>IF(OR($A2286="",$H2286&lt;&gt;"Ausgabe",L2286=""),0,IF(L2286="x",-$E2286/(COUNTIF($J2286:$Q2286,"x")+1),-$E2286*N(L2286)))</f>
        <v/>
      </c>
      <c r="AA2286" s="34">
        <f>IF(OR($A2286="",$H2286&lt;&gt;"Ausgabe",M2286=""),0,IF(M2286="x",-$E2286/(COUNTIF($J2286:$Q2286,"x")+1),-$E2286*N(M2286)))</f>
        <v/>
      </c>
      <c r="AB2286" s="34">
        <f>IF(OR($A2286="",$H2286&lt;&gt;"Ausgabe",N2286=""),0,IF(N2286="x",-$E2286/(COUNTIF($J2286:$Q2286,"x")+1),-$E2286*N(N2286)))</f>
        <v/>
      </c>
      <c r="AC2286" s="34">
        <f>IF(OR($A2286="",$H2286&lt;&gt;"Ausgabe",O2286=""),0,IF(O2286="x",-$E2286/(COUNTIF($J2286:$Q2286,"x")+1),-$E2286*N(O2286)))</f>
        <v/>
      </c>
      <c r="AD2286" s="34">
        <f>IF(OR($A2286="",$H2286&lt;&gt;"Ausgabe",P2286=""),0,IF(P2286="x",-$E2286/(COUNTIF($J2286:$Q2286,"x")+1),-$E2286*N(P2286)))</f>
        <v/>
      </c>
      <c r="AE2286" s="34">
        <f>IF(OR($A2286="",$H2286&lt;&gt;"Ausgabe",Q2286=""),0,IF(Q2286="x",-$E2286/(COUNTIF($J2286:$Q2286,"x")+1),-$E2286*N(Q2286)))</f>
        <v/>
      </c>
    </row>
    <row r="2287">
      <c r="A2287" s="30" t="n"/>
      <c r="E2287" s="31" t="n"/>
      <c r="J2287" s="32" t="n"/>
      <c r="K2287" s="32" t="n"/>
      <c r="L2287" s="32" t="n"/>
      <c r="M2287" s="32" t="n"/>
      <c r="N2287" s="32" t="n"/>
      <c r="O2287" s="32" t="n"/>
      <c r="P2287" s="32" t="n"/>
      <c r="Q2287" s="32" t="n"/>
      <c r="U2287" s="31">
        <f>IF($A2287="","",SUM(X2287:AE2287))</f>
        <v/>
      </c>
      <c r="V2287" s="31">
        <f>IF($A2287="","",IF($H2287&lt;&gt;"Ausgabe",0,-$E2287-$U2287))</f>
        <v/>
      </c>
      <c r="W2287" s="33">
        <f>IF($A2287="","",DATE(YEAR($A2287),MONTH($A2287),1))</f>
        <v/>
      </c>
      <c r="X2287" s="34">
        <f>IF(OR($A2287="",$H2287&lt;&gt;"Ausgabe",J2287=""),0,IF(J2287="x",-$E2287/(COUNTIF($J2287:$Q2287,"x")+1),-$E2287*N(J2287)))</f>
        <v/>
      </c>
      <c r="Y2287" s="34">
        <f>IF(OR($A2287="",$H2287&lt;&gt;"Ausgabe",K2287=""),0,IF(K2287="x",-$E2287/(COUNTIF($J2287:$Q2287,"x")+1),-$E2287*N(K2287)))</f>
        <v/>
      </c>
      <c r="Z2287" s="34">
        <f>IF(OR($A2287="",$H2287&lt;&gt;"Ausgabe",L2287=""),0,IF(L2287="x",-$E2287/(COUNTIF($J2287:$Q2287,"x")+1),-$E2287*N(L2287)))</f>
        <v/>
      </c>
      <c r="AA2287" s="34">
        <f>IF(OR($A2287="",$H2287&lt;&gt;"Ausgabe",M2287=""),0,IF(M2287="x",-$E2287/(COUNTIF($J2287:$Q2287,"x")+1),-$E2287*N(M2287)))</f>
        <v/>
      </c>
      <c r="AB2287" s="34">
        <f>IF(OR($A2287="",$H2287&lt;&gt;"Ausgabe",N2287=""),0,IF(N2287="x",-$E2287/(COUNTIF($J2287:$Q2287,"x")+1),-$E2287*N(N2287)))</f>
        <v/>
      </c>
      <c r="AC2287" s="34">
        <f>IF(OR($A2287="",$H2287&lt;&gt;"Ausgabe",O2287=""),0,IF(O2287="x",-$E2287/(COUNTIF($J2287:$Q2287,"x")+1),-$E2287*N(O2287)))</f>
        <v/>
      </c>
      <c r="AD2287" s="34">
        <f>IF(OR($A2287="",$H2287&lt;&gt;"Ausgabe",P2287=""),0,IF(P2287="x",-$E2287/(COUNTIF($J2287:$Q2287,"x")+1),-$E2287*N(P2287)))</f>
        <v/>
      </c>
      <c r="AE2287" s="34">
        <f>IF(OR($A2287="",$H2287&lt;&gt;"Ausgabe",Q2287=""),0,IF(Q2287="x",-$E2287/(COUNTIF($J2287:$Q2287,"x")+1),-$E2287*N(Q2287)))</f>
        <v/>
      </c>
    </row>
    <row r="2288">
      <c r="A2288" s="30" t="n"/>
      <c r="E2288" s="31" t="n"/>
      <c r="J2288" s="32" t="n"/>
      <c r="K2288" s="32" t="n"/>
      <c r="L2288" s="32" t="n"/>
      <c r="M2288" s="32" t="n"/>
      <c r="N2288" s="32" t="n"/>
      <c r="O2288" s="32" t="n"/>
      <c r="P2288" s="32" t="n"/>
      <c r="Q2288" s="32" t="n"/>
      <c r="U2288" s="31">
        <f>IF($A2288="","",SUM(X2288:AE2288))</f>
        <v/>
      </c>
      <c r="V2288" s="31">
        <f>IF($A2288="","",IF($H2288&lt;&gt;"Ausgabe",0,-$E2288-$U2288))</f>
        <v/>
      </c>
      <c r="W2288" s="33">
        <f>IF($A2288="","",DATE(YEAR($A2288),MONTH($A2288),1))</f>
        <v/>
      </c>
      <c r="X2288" s="34">
        <f>IF(OR($A2288="",$H2288&lt;&gt;"Ausgabe",J2288=""),0,IF(J2288="x",-$E2288/(COUNTIF($J2288:$Q2288,"x")+1),-$E2288*N(J2288)))</f>
        <v/>
      </c>
      <c r="Y2288" s="34">
        <f>IF(OR($A2288="",$H2288&lt;&gt;"Ausgabe",K2288=""),0,IF(K2288="x",-$E2288/(COUNTIF($J2288:$Q2288,"x")+1),-$E2288*N(K2288)))</f>
        <v/>
      </c>
      <c r="Z2288" s="34">
        <f>IF(OR($A2288="",$H2288&lt;&gt;"Ausgabe",L2288=""),0,IF(L2288="x",-$E2288/(COUNTIF($J2288:$Q2288,"x")+1),-$E2288*N(L2288)))</f>
        <v/>
      </c>
      <c r="AA2288" s="34">
        <f>IF(OR($A2288="",$H2288&lt;&gt;"Ausgabe",M2288=""),0,IF(M2288="x",-$E2288/(COUNTIF($J2288:$Q2288,"x")+1),-$E2288*N(M2288)))</f>
        <v/>
      </c>
      <c r="AB2288" s="34">
        <f>IF(OR($A2288="",$H2288&lt;&gt;"Ausgabe",N2288=""),0,IF(N2288="x",-$E2288/(COUNTIF($J2288:$Q2288,"x")+1),-$E2288*N(N2288)))</f>
        <v/>
      </c>
      <c r="AC2288" s="34">
        <f>IF(OR($A2288="",$H2288&lt;&gt;"Ausgabe",O2288=""),0,IF(O2288="x",-$E2288/(COUNTIF($J2288:$Q2288,"x")+1),-$E2288*N(O2288)))</f>
        <v/>
      </c>
      <c r="AD2288" s="34">
        <f>IF(OR($A2288="",$H2288&lt;&gt;"Ausgabe",P2288=""),0,IF(P2288="x",-$E2288/(COUNTIF($J2288:$Q2288,"x")+1),-$E2288*N(P2288)))</f>
        <v/>
      </c>
      <c r="AE2288" s="34">
        <f>IF(OR($A2288="",$H2288&lt;&gt;"Ausgabe",Q2288=""),0,IF(Q2288="x",-$E2288/(COUNTIF($J2288:$Q2288,"x")+1),-$E2288*N(Q2288)))</f>
        <v/>
      </c>
    </row>
    <row r="2289">
      <c r="A2289" s="30" t="n"/>
      <c r="E2289" s="31" t="n"/>
      <c r="J2289" s="32" t="n"/>
      <c r="K2289" s="32" t="n"/>
      <c r="L2289" s="32" t="n"/>
      <c r="M2289" s="32" t="n"/>
      <c r="N2289" s="32" t="n"/>
      <c r="O2289" s="32" t="n"/>
      <c r="P2289" s="32" t="n"/>
      <c r="Q2289" s="32" t="n"/>
      <c r="U2289" s="31">
        <f>IF($A2289="","",SUM(X2289:AE2289))</f>
        <v/>
      </c>
      <c r="V2289" s="31">
        <f>IF($A2289="","",IF($H2289&lt;&gt;"Ausgabe",0,-$E2289-$U2289))</f>
        <v/>
      </c>
      <c r="W2289" s="33">
        <f>IF($A2289="","",DATE(YEAR($A2289),MONTH($A2289),1))</f>
        <v/>
      </c>
      <c r="X2289" s="34">
        <f>IF(OR($A2289="",$H2289&lt;&gt;"Ausgabe",J2289=""),0,IF(J2289="x",-$E2289/(COUNTIF($J2289:$Q2289,"x")+1),-$E2289*N(J2289)))</f>
        <v/>
      </c>
      <c r="Y2289" s="34">
        <f>IF(OR($A2289="",$H2289&lt;&gt;"Ausgabe",K2289=""),0,IF(K2289="x",-$E2289/(COUNTIF($J2289:$Q2289,"x")+1),-$E2289*N(K2289)))</f>
        <v/>
      </c>
      <c r="Z2289" s="34">
        <f>IF(OR($A2289="",$H2289&lt;&gt;"Ausgabe",L2289=""),0,IF(L2289="x",-$E2289/(COUNTIF($J2289:$Q2289,"x")+1),-$E2289*N(L2289)))</f>
        <v/>
      </c>
      <c r="AA2289" s="34">
        <f>IF(OR($A2289="",$H2289&lt;&gt;"Ausgabe",M2289=""),0,IF(M2289="x",-$E2289/(COUNTIF($J2289:$Q2289,"x")+1),-$E2289*N(M2289)))</f>
        <v/>
      </c>
      <c r="AB2289" s="34">
        <f>IF(OR($A2289="",$H2289&lt;&gt;"Ausgabe",N2289=""),0,IF(N2289="x",-$E2289/(COUNTIF($J2289:$Q2289,"x")+1),-$E2289*N(N2289)))</f>
        <v/>
      </c>
      <c r="AC2289" s="34">
        <f>IF(OR($A2289="",$H2289&lt;&gt;"Ausgabe",O2289=""),0,IF(O2289="x",-$E2289/(COUNTIF($J2289:$Q2289,"x")+1),-$E2289*N(O2289)))</f>
        <v/>
      </c>
      <c r="AD2289" s="34">
        <f>IF(OR($A2289="",$H2289&lt;&gt;"Ausgabe",P2289=""),0,IF(P2289="x",-$E2289/(COUNTIF($J2289:$Q2289,"x")+1),-$E2289*N(P2289)))</f>
        <v/>
      </c>
      <c r="AE2289" s="34">
        <f>IF(OR($A2289="",$H2289&lt;&gt;"Ausgabe",Q2289=""),0,IF(Q2289="x",-$E2289/(COUNTIF($J2289:$Q2289,"x")+1),-$E2289*N(Q2289)))</f>
        <v/>
      </c>
    </row>
    <row r="2290">
      <c r="A2290" s="30" t="n"/>
      <c r="E2290" s="31" t="n"/>
      <c r="J2290" s="32" t="n"/>
      <c r="K2290" s="32" t="n"/>
      <c r="L2290" s="32" t="n"/>
      <c r="M2290" s="32" t="n"/>
      <c r="N2290" s="32" t="n"/>
      <c r="O2290" s="32" t="n"/>
      <c r="P2290" s="32" t="n"/>
      <c r="Q2290" s="32" t="n"/>
      <c r="U2290" s="31">
        <f>IF($A2290="","",SUM(X2290:AE2290))</f>
        <v/>
      </c>
      <c r="V2290" s="31">
        <f>IF($A2290="","",IF($H2290&lt;&gt;"Ausgabe",0,-$E2290-$U2290))</f>
        <v/>
      </c>
      <c r="W2290" s="33">
        <f>IF($A2290="","",DATE(YEAR($A2290),MONTH($A2290),1))</f>
        <v/>
      </c>
      <c r="X2290" s="34">
        <f>IF(OR($A2290="",$H2290&lt;&gt;"Ausgabe",J2290=""),0,IF(J2290="x",-$E2290/(COUNTIF($J2290:$Q2290,"x")+1),-$E2290*N(J2290)))</f>
        <v/>
      </c>
      <c r="Y2290" s="34">
        <f>IF(OR($A2290="",$H2290&lt;&gt;"Ausgabe",K2290=""),0,IF(K2290="x",-$E2290/(COUNTIF($J2290:$Q2290,"x")+1),-$E2290*N(K2290)))</f>
        <v/>
      </c>
      <c r="Z2290" s="34">
        <f>IF(OR($A2290="",$H2290&lt;&gt;"Ausgabe",L2290=""),0,IF(L2290="x",-$E2290/(COUNTIF($J2290:$Q2290,"x")+1),-$E2290*N(L2290)))</f>
        <v/>
      </c>
      <c r="AA2290" s="34">
        <f>IF(OR($A2290="",$H2290&lt;&gt;"Ausgabe",M2290=""),0,IF(M2290="x",-$E2290/(COUNTIF($J2290:$Q2290,"x")+1),-$E2290*N(M2290)))</f>
        <v/>
      </c>
      <c r="AB2290" s="34">
        <f>IF(OR($A2290="",$H2290&lt;&gt;"Ausgabe",N2290=""),0,IF(N2290="x",-$E2290/(COUNTIF($J2290:$Q2290,"x")+1),-$E2290*N(N2290)))</f>
        <v/>
      </c>
      <c r="AC2290" s="34">
        <f>IF(OR($A2290="",$H2290&lt;&gt;"Ausgabe",O2290=""),0,IF(O2290="x",-$E2290/(COUNTIF($J2290:$Q2290,"x")+1),-$E2290*N(O2290)))</f>
        <v/>
      </c>
      <c r="AD2290" s="34">
        <f>IF(OR($A2290="",$H2290&lt;&gt;"Ausgabe",P2290=""),0,IF(P2290="x",-$E2290/(COUNTIF($J2290:$Q2290,"x")+1),-$E2290*N(P2290)))</f>
        <v/>
      </c>
      <c r="AE2290" s="34">
        <f>IF(OR($A2290="",$H2290&lt;&gt;"Ausgabe",Q2290=""),0,IF(Q2290="x",-$E2290/(COUNTIF($J2290:$Q2290,"x")+1),-$E2290*N(Q2290)))</f>
        <v/>
      </c>
    </row>
    <row r="2291">
      <c r="A2291" s="30" t="n"/>
      <c r="E2291" s="31" t="n"/>
      <c r="J2291" s="32" t="n"/>
      <c r="K2291" s="32" t="n"/>
      <c r="L2291" s="32" t="n"/>
      <c r="M2291" s="32" t="n"/>
      <c r="N2291" s="32" t="n"/>
      <c r="O2291" s="32" t="n"/>
      <c r="P2291" s="32" t="n"/>
      <c r="Q2291" s="32" t="n"/>
      <c r="U2291" s="31">
        <f>IF($A2291="","",SUM(X2291:AE2291))</f>
        <v/>
      </c>
      <c r="V2291" s="31">
        <f>IF($A2291="","",IF($H2291&lt;&gt;"Ausgabe",0,-$E2291-$U2291))</f>
        <v/>
      </c>
      <c r="W2291" s="33">
        <f>IF($A2291="","",DATE(YEAR($A2291),MONTH($A2291),1))</f>
        <v/>
      </c>
      <c r="X2291" s="34">
        <f>IF(OR($A2291="",$H2291&lt;&gt;"Ausgabe",J2291=""),0,IF(J2291="x",-$E2291/(COUNTIF($J2291:$Q2291,"x")+1),-$E2291*N(J2291)))</f>
        <v/>
      </c>
      <c r="Y2291" s="34">
        <f>IF(OR($A2291="",$H2291&lt;&gt;"Ausgabe",K2291=""),0,IF(K2291="x",-$E2291/(COUNTIF($J2291:$Q2291,"x")+1),-$E2291*N(K2291)))</f>
        <v/>
      </c>
      <c r="Z2291" s="34">
        <f>IF(OR($A2291="",$H2291&lt;&gt;"Ausgabe",L2291=""),0,IF(L2291="x",-$E2291/(COUNTIF($J2291:$Q2291,"x")+1),-$E2291*N(L2291)))</f>
        <v/>
      </c>
      <c r="AA2291" s="34">
        <f>IF(OR($A2291="",$H2291&lt;&gt;"Ausgabe",M2291=""),0,IF(M2291="x",-$E2291/(COUNTIF($J2291:$Q2291,"x")+1),-$E2291*N(M2291)))</f>
        <v/>
      </c>
      <c r="AB2291" s="34">
        <f>IF(OR($A2291="",$H2291&lt;&gt;"Ausgabe",N2291=""),0,IF(N2291="x",-$E2291/(COUNTIF($J2291:$Q2291,"x")+1),-$E2291*N(N2291)))</f>
        <v/>
      </c>
      <c r="AC2291" s="34">
        <f>IF(OR($A2291="",$H2291&lt;&gt;"Ausgabe",O2291=""),0,IF(O2291="x",-$E2291/(COUNTIF($J2291:$Q2291,"x")+1),-$E2291*N(O2291)))</f>
        <v/>
      </c>
      <c r="AD2291" s="34">
        <f>IF(OR($A2291="",$H2291&lt;&gt;"Ausgabe",P2291=""),0,IF(P2291="x",-$E2291/(COUNTIF($J2291:$Q2291,"x")+1),-$E2291*N(P2291)))</f>
        <v/>
      </c>
      <c r="AE2291" s="34">
        <f>IF(OR($A2291="",$H2291&lt;&gt;"Ausgabe",Q2291=""),0,IF(Q2291="x",-$E2291/(COUNTIF($J2291:$Q2291,"x")+1),-$E2291*N(Q2291)))</f>
        <v/>
      </c>
    </row>
    <row r="2292">
      <c r="A2292" s="30" t="n"/>
      <c r="E2292" s="31" t="n"/>
      <c r="J2292" s="32" t="n"/>
      <c r="K2292" s="32" t="n"/>
      <c r="L2292" s="32" t="n"/>
      <c r="M2292" s="32" t="n"/>
      <c r="N2292" s="32" t="n"/>
      <c r="O2292" s="32" t="n"/>
      <c r="P2292" s="32" t="n"/>
      <c r="Q2292" s="32" t="n"/>
      <c r="U2292" s="31">
        <f>IF($A2292="","",SUM(X2292:AE2292))</f>
        <v/>
      </c>
      <c r="V2292" s="31">
        <f>IF($A2292="","",IF($H2292&lt;&gt;"Ausgabe",0,-$E2292-$U2292))</f>
        <v/>
      </c>
      <c r="W2292" s="33">
        <f>IF($A2292="","",DATE(YEAR($A2292),MONTH($A2292),1))</f>
        <v/>
      </c>
      <c r="X2292" s="34">
        <f>IF(OR($A2292="",$H2292&lt;&gt;"Ausgabe",J2292=""),0,IF(J2292="x",-$E2292/(COUNTIF($J2292:$Q2292,"x")+1),-$E2292*N(J2292)))</f>
        <v/>
      </c>
      <c r="Y2292" s="34">
        <f>IF(OR($A2292="",$H2292&lt;&gt;"Ausgabe",K2292=""),0,IF(K2292="x",-$E2292/(COUNTIF($J2292:$Q2292,"x")+1),-$E2292*N(K2292)))</f>
        <v/>
      </c>
      <c r="Z2292" s="34">
        <f>IF(OR($A2292="",$H2292&lt;&gt;"Ausgabe",L2292=""),0,IF(L2292="x",-$E2292/(COUNTIF($J2292:$Q2292,"x")+1),-$E2292*N(L2292)))</f>
        <v/>
      </c>
      <c r="AA2292" s="34">
        <f>IF(OR($A2292="",$H2292&lt;&gt;"Ausgabe",M2292=""),0,IF(M2292="x",-$E2292/(COUNTIF($J2292:$Q2292,"x")+1),-$E2292*N(M2292)))</f>
        <v/>
      </c>
      <c r="AB2292" s="34">
        <f>IF(OR($A2292="",$H2292&lt;&gt;"Ausgabe",N2292=""),0,IF(N2292="x",-$E2292/(COUNTIF($J2292:$Q2292,"x")+1),-$E2292*N(N2292)))</f>
        <v/>
      </c>
      <c r="AC2292" s="34">
        <f>IF(OR($A2292="",$H2292&lt;&gt;"Ausgabe",O2292=""),0,IF(O2292="x",-$E2292/(COUNTIF($J2292:$Q2292,"x")+1),-$E2292*N(O2292)))</f>
        <v/>
      </c>
      <c r="AD2292" s="34">
        <f>IF(OR($A2292="",$H2292&lt;&gt;"Ausgabe",P2292=""),0,IF(P2292="x",-$E2292/(COUNTIF($J2292:$Q2292,"x")+1),-$E2292*N(P2292)))</f>
        <v/>
      </c>
      <c r="AE2292" s="34">
        <f>IF(OR($A2292="",$H2292&lt;&gt;"Ausgabe",Q2292=""),0,IF(Q2292="x",-$E2292/(COUNTIF($J2292:$Q2292,"x")+1),-$E2292*N(Q2292)))</f>
        <v/>
      </c>
    </row>
    <row r="2293">
      <c r="A2293" s="30" t="n"/>
      <c r="E2293" s="31" t="n"/>
      <c r="J2293" s="32" t="n"/>
      <c r="K2293" s="32" t="n"/>
      <c r="L2293" s="32" t="n"/>
      <c r="M2293" s="32" t="n"/>
      <c r="N2293" s="32" t="n"/>
      <c r="O2293" s="32" t="n"/>
      <c r="P2293" s="32" t="n"/>
      <c r="Q2293" s="32" t="n"/>
      <c r="U2293" s="31">
        <f>IF($A2293="","",SUM(X2293:AE2293))</f>
        <v/>
      </c>
      <c r="V2293" s="31">
        <f>IF($A2293="","",IF($H2293&lt;&gt;"Ausgabe",0,-$E2293-$U2293))</f>
        <v/>
      </c>
      <c r="W2293" s="33">
        <f>IF($A2293="","",DATE(YEAR($A2293),MONTH($A2293),1))</f>
        <v/>
      </c>
      <c r="X2293" s="34">
        <f>IF(OR($A2293="",$H2293&lt;&gt;"Ausgabe",J2293=""),0,IF(J2293="x",-$E2293/(COUNTIF($J2293:$Q2293,"x")+1),-$E2293*N(J2293)))</f>
        <v/>
      </c>
      <c r="Y2293" s="34">
        <f>IF(OR($A2293="",$H2293&lt;&gt;"Ausgabe",K2293=""),0,IF(K2293="x",-$E2293/(COUNTIF($J2293:$Q2293,"x")+1),-$E2293*N(K2293)))</f>
        <v/>
      </c>
      <c r="Z2293" s="34">
        <f>IF(OR($A2293="",$H2293&lt;&gt;"Ausgabe",L2293=""),0,IF(L2293="x",-$E2293/(COUNTIF($J2293:$Q2293,"x")+1),-$E2293*N(L2293)))</f>
        <v/>
      </c>
      <c r="AA2293" s="34">
        <f>IF(OR($A2293="",$H2293&lt;&gt;"Ausgabe",M2293=""),0,IF(M2293="x",-$E2293/(COUNTIF($J2293:$Q2293,"x")+1),-$E2293*N(M2293)))</f>
        <v/>
      </c>
      <c r="AB2293" s="34">
        <f>IF(OR($A2293="",$H2293&lt;&gt;"Ausgabe",N2293=""),0,IF(N2293="x",-$E2293/(COUNTIF($J2293:$Q2293,"x")+1),-$E2293*N(N2293)))</f>
        <v/>
      </c>
      <c r="AC2293" s="34">
        <f>IF(OR($A2293="",$H2293&lt;&gt;"Ausgabe",O2293=""),0,IF(O2293="x",-$E2293/(COUNTIF($J2293:$Q2293,"x")+1),-$E2293*N(O2293)))</f>
        <v/>
      </c>
      <c r="AD2293" s="34">
        <f>IF(OR($A2293="",$H2293&lt;&gt;"Ausgabe",P2293=""),0,IF(P2293="x",-$E2293/(COUNTIF($J2293:$Q2293,"x")+1),-$E2293*N(P2293)))</f>
        <v/>
      </c>
      <c r="AE2293" s="34">
        <f>IF(OR($A2293="",$H2293&lt;&gt;"Ausgabe",Q2293=""),0,IF(Q2293="x",-$E2293/(COUNTIF($J2293:$Q2293,"x")+1),-$E2293*N(Q2293)))</f>
        <v/>
      </c>
    </row>
    <row r="2294">
      <c r="A2294" s="30" t="n"/>
      <c r="E2294" s="31" t="n"/>
      <c r="J2294" s="32" t="n"/>
      <c r="K2294" s="32" t="n"/>
      <c r="L2294" s="32" t="n"/>
      <c r="M2294" s="32" t="n"/>
      <c r="N2294" s="32" t="n"/>
      <c r="O2294" s="32" t="n"/>
      <c r="P2294" s="32" t="n"/>
      <c r="Q2294" s="32" t="n"/>
      <c r="U2294" s="31">
        <f>IF($A2294="","",SUM(X2294:AE2294))</f>
        <v/>
      </c>
      <c r="V2294" s="31">
        <f>IF($A2294="","",IF($H2294&lt;&gt;"Ausgabe",0,-$E2294-$U2294))</f>
        <v/>
      </c>
      <c r="W2294" s="33">
        <f>IF($A2294="","",DATE(YEAR($A2294),MONTH($A2294),1))</f>
        <v/>
      </c>
      <c r="X2294" s="34">
        <f>IF(OR($A2294="",$H2294&lt;&gt;"Ausgabe",J2294=""),0,IF(J2294="x",-$E2294/(COUNTIF($J2294:$Q2294,"x")+1),-$E2294*N(J2294)))</f>
        <v/>
      </c>
      <c r="Y2294" s="34">
        <f>IF(OR($A2294="",$H2294&lt;&gt;"Ausgabe",K2294=""),0,IF(K2294="x",-$E2294/(COUNTIF($J2294:$Q2294,"x")+1),-$E2294*N(K2294)))</f>
        <v/>
      </c>
      <c r="Z2294" s="34">
        <f>IF(OR($A2294="",$H2294&lt;&gt;"Ausgabe",L2294=""),0,IF(L2294="x",-$E2294/(COUNTIF($J2294:$Q2294,"x")+1),-$E2294*N(L2294)))</f>
        <v/>
      </c>
      <c r="AA2294" s="34">
        <f>IF(OR($A2294="",$H2294&lt;&gt;"Ausgabe",M2294=""),0,IF(M2294="x",-$E2294/(COUNTIF($J2294:$Q2294,"x")+1),-$E2294*N(M2294)))</f>
        <v/>
      </c>
      <c r="AB2294" s="34">
        <f>IF(OR($A2294="",$H2294&lt;&gt;"Ausgabe",N2294=""),0,IF(N2294="x",-$E2294/(COUNTIF($J2294:$Q2294,"x")+1),-$E2294*N(N2294)))</f>
        <v/>
      </c>
      <c r="AC2294" s="34">
        <f>IF(OR($A2294="",$H2294&lt;&gt;"Ausgabe",O2294=""),0,IF(O2294="x",-$E2294/(COUNTIF($J2294:$Q2294,"x")+1),-$E2294*N(O2294)))</f>
        <v/>
      </c>
      <c r="AD2294" s="34">
        <f>IF(OR($A2294="",$H2294&lt;&gt;"Ausgabe",P2294=""),0,IF(P2294="x",-$E2294/(COUNTIF($J2294:$Q2294,"x")+1),-$E2294*N(P2294)))</f>
        <v/>
      </c>
      <c r="AE2294" s="34">
        <f>IF(OR($A2294="",$H2294&lt;&gt;"Ausgabe",Q2294=""),0,IF(Q2294="x",-$E2294/(COUNTIF($J2294:$Q2294,"x")+1),-$E2294*N(Q2294)))</f>
        <v/>
      </c>
    </row>
    <row r="2295">
      <c r="A2295" s="30" t="n"/>
      <c r="E2295" s="31" t="n"/>
      <c r="J2295" s="32" t="n"/>
      <c r="K2295" s="32" t="n"/>
      <c r="L2295" s="32" t="n"/>
      <c r="M2295" s="32" t="n"/>
      <c r="N2295" s="32" t="n"/>
      <c r="O2295" s="32" t="n"/>
      <c r="P2295" s="32" t="n"/>
      <c r="Q2295" s="32" t="n"/>
      <c r="U2295" s="31">
        <f>IF($A2295="","",SUM(X2295:AE2295))</f>
        <v/>
      </c>
      <c r="V2295" s="31">
        <f>IF($A2295="","",IF($H2295&lt;&gt;"Ausgabe",0,-$E2295-$U2295))</f>
        <v/>
      </c>
      <c r="W2295" s="33">
        <f>IF($A2295="","",DATE(YEAR($A2295),MONTH($A2295),1))</f>
        <v/>
      </c>
      <c r="X2295" s="34">
        <f>IF(OR($A2295="",$H2295&lt;&gt;"Ausgabe",J2295=""),0,IF(J2295="x",-$E2295/(COUNTIF($J2295:$Q2295,"x")+1),-$E2295*N(J2295)))</f>
        <v/>
      </c>
      <c r="Y2295" s="34">
        <f>IF(OR($A2295="",$H2295&lt;&gt;"Ausgabe",K2295=""),0,IF(K2295="x",-$E2295/(COUNTIF($J2295:$Q2295,"x")+1),-$E2295*N(K2295)))</f>
        <v/>
      </c>
      <c r="Z2295" s="34">
        <f>IF(OR($A2295="",$H2295&lt;&gt;"Ausgabe",L2295=""),0,IF(L2295="x",-$E2295/(COUNTIF($J2295:$Q2295,"x")+1),-$E2295*N(L2295)))</f>
        <v/>
      </c>
      <c r="AA2295" s="34">
        <f>IF(OR($A2295="",$H2295&lt;&gt;"Ausgabe",M2295=""),0,IF(M2295="x",-$E2295/(COUNTIF($J2295:$Q2295,"x")+1),-$E2295*N(M2295)))</f>
        <v/>
      </c>
      <c r="AB2295" s="34">
        <f>IF(OR($A2295="",$H2295&lt;&gt;"Ausgabe",N2295=""),0,IF(N2295="x",-$E2295/(COUNTIF($J2295:$Q2295,"x")+1),-$E2295*N(N2295)))</f>
        <v/>
      </c>
      <c r="AC2295" s="34">
        <f>IF(OR($A2295="",$H2295&lt;&gt;"Ausgabe",O2295=""),0,IF(O2295="x",-$E2295/(COUNTIF($J2295:$Q2295,"x")+1),-$E2295*N(O2295)))</f>
        <v/>
      </c>
      <c r="AD2295" s="34">
        <f>IF(OR($A2295="",$H2295&lt;&gt;"Ausgabe",P2295=""),0,IF(P2295="x",-$E2295/(COUNTIF($J2295:$Q2295,"x")+1),-$E2295*N(P2295)))</f>
        <v/>
      </c>
      <c r="AE2295" s="34">
        <f>IF(OR($A2295="",$H2295&lt;&gt;"Ausgabe",Q2295=""),0,IF(Q2295="x",-$E2295/(COUNTIF($J2295:$Q2295,"x")+1),-$E2295*N(Q2295)))</f>
        <v/>
      </c>
    </row>
    <row r="2296">
      <c r="A2296" s="30" t="n"/>
      <c r="E2296" s="31" t="n"/>
      <c r="J2296" s="32" t="n"/>
      <c r="K2296" s="32" t="n"/>
      <c r="L2296" s="32" t="n"/>
      <c r="M2296" s="32" t="n"/>
      <c r="N2296" s="32" t="n"/>
      <c r="O2296" s="32" t="n"/>
      <c r="P2296" s="32" t="n"/>
      <c r="Q2296" s="32" t="n"/>
      <c r="U2296" s="31">
        <f>IF($A2296="","",SUM(X2296:AE2296))</f>
        <v/>
      </c>
      <c r="V2296" s="31">
        <f>IF($A2296="","",IF($H2296&lt;&gt;"Ausgabe",0,-$E2296-$U2296))</f>
        <v/>
      </c>
      <c r="W2296" s="33">
        <f>IF($A2296="","",DATE(YEAR($A2296),MONTH($A2296),1))</f>
        <v/>
      </c>
      <c r="X2296" s="34">
        <f>IF(OR($A2296="",$H2296&lt;&gt;"Ausgabe",J2296=""),0,IF(J2296="x",-$E2296/(COUNTIF($J2296:$Q2296,"x")+1),-$E2296*N(J2296)))</f>
        <v/>
      </c>
      <c r="Y2296" s="34">
        <f>IF(OR($A2296="",$H2296&lt;&gt;"Ausgabe",K2296=""),0,IF(K2296="x",-$E2296/(COUNTIF($J2296:$Q2296,"x")+1),-$E2296*N(K2296)))</f>
        <v/>
      </c>
      <c r="Z2296" s="34">
        <f>IF(OR($A2296="",$H2296&lt;&gt;"Ausgabe",L2296=""),0,IF(L2296="x",-$E2296/(COUNTIF($J2296:$Q2296,"x")+1),-$E2296*N(L2296)))</f>
        <v/>
      </c>
      <c r="AA2296" s="34">
        <f>IF(OR($A2296="",$H2296&lt;&gt;"Ausgabe",M2296=""),0,IF(M2296="x",-$E2296/(COUNTIF($J2296:$Q2296,"x")+1),-$E2296*N(M2296)))</f>
        <v/>
      </c>
      <c r="AB2296" s="34">
        <f>IF(OR($A2296="",$H2296&lt;&gt;"Ausgabe",N2296=""),0,IF(N2296="x",-$E2296/(COUNTIF($J2296:$Q2296,"x")+1),-$E2296*N(N2296)))</f>
        <v/>
      </c>
      <c r="AC2296" s="34">
        <f>IF(OR($A2296="",$H2296&lt;&gt;"Ausgabe",O2296=""),0,IF(O2296="x",-$E2296/(COUNTIF($J2296:$Q2296,"x")+1),-$E2296*N(O2296)))</f>
        <v/>
      </c>
      <c r="AD2296" s="34">
        <f>IF(OR($A2296="",$H2296&lt;&gt;"Ausgabe",P2296=""),0,IF(P2296="x",-$E2296/(COUNTIF($J2296:$Q2296,"x")+1),-$E2296*N(P2296)))</f>
        <v/>
      </c>
      <c r="AE2296" s="34">
        <f>IF(OR($A2296="",$H2296&lt;&gt;"Ausgabe",Q2296=""),0,IF(Q2296="x",-$E2296/(COUNTIF($J2296:$Q2296,"x")+1),-$E2296*N(Q2296)))</f>
        <v/>
      </c>
    </row>
    <row r="2297">
      <c r="A2297" s="30" t="n"/>
      <c r="E2297" s="31" t="n"/>
      <c r="J2297" s="32" t="n"/>
      <c r="K2297" s="32" t="n"/>
      <c r="L2297" s="32" t="n"/>
      <c r="M2297" s="32" t="n"/>
      <c r="N2297" s="32" t="n"/>
      <c r="O2297" s="32" t="n"/>
      <c r="P2297" s="32" t="n"/>
      <c r="Q2297" s="32" t="n"/>
      <c r="U2297" s="31">
        <f>IF($A2297="","",SUM(X2297:AE2297))</f>
        <v/>
      </c>
      <c r="V2297" s="31">
        <f>IF($A2297="","",IF($H2297&lt;&gt;"Ausgabe",0,-$E2297-$U2297))</f>
        <v/>
      </c>
      <c r="W2297" s="33">
        <f>IF($A2297="","",DATE(YEAR($A2297),MONTH($A2297),1))</f>
        <v/>
      </c>
      <c r="X2297" s="34">
        <f>IF(OR($A2297="",$H2297&lt;&gt;"Ausgabe",J2297=""),0,IF(J2297="x",-$E2297/(COUNTIF($J2297:$Q2297,"x")+1),-$E2297*N(J2297)))</f>
        <v/>
      </c>
      <c r="Y2297" s="34">
        <f>IF(OR($A2297="",$H2297&lt;&gt;"Ausgabe",K2297=""),0,IF(K2297="x",-$E2297/(COUNTIF($J2297:$Q2297,"x")+1),-$E2297*N(K2297)))</f>
        <v/>
      </c>
      <c r="Z2297" s="34">
        <f>IF(OR($A2297="",$H2297&lt;&gt;"Ausgabe",L2297=""),0,IF(L2297="x",-$E2297/(COUNTIF($J2297:$Q2297,"x")+1),-$E2297*N(L2297)))</f>
        <v/>
      </c>
      <c r="AA2297" s="34">
        <f>IF(OR($A2297="",$H2297&lt;&gt;"Ausgabe",M2297=""),0,IF(M2297="x",-$E2297/(COUNTIF($J2297:$Q2297,"x")+1),-$E2297*N(M2297)))</f>
        <v/>
      </c>
      <c r="AB2297" s="34">
        <f>IF(OR($A2297="",$H2297&lt;&gt;"Ausgabe",N2297=""),0,IF(N2297="x",-$E2297/(COUNTIF($J2297:$Q2297,"x")+1),-$E2297*N(N2297)))</f>
        <v/>
      </c>
      <c r="AC2297" s="34">
        <f>IF(OR($A2297="",$H2297&lt;&gt;"Ausgabe",O2297=""),0,IF(O2297="x",-$E2297/(COUNTIF($J2297:$Q2297,"x")+1),-$E2297*N(O2297)))</f>
        <v/>
      </c>
      <c r="AD2297" s="34">
        <f>IF(OR($A2297="",$H2297&lt;&gt;"Ausgabe",P2297=""),0,IF(P2297="x",-$E2297/(COUNTIF($J2297:$Q2297,"x")+1),-$E2297*N(P2297)))</f>
        <v/>
      </c>
      <c r="AE2297" s="34">
        <f>IF(OR($A2297="",$H2297&lt;&gt;"Ausgabe",Q2297=""),0,IF(Q2297="x",-$E2297/(COUNTIF($J2297:$Q2297,"x")+1),-$E2297*N(Q2297)))</f>
        <v/>
      </c>
    </row>
    <row r="2298">
      <c r="A2298" s="30" t="n"/>
      <c r="E2298" s="31" t="n"/>
      <c r="J2298" s="32" t="n"/>
      <c r="K2298" s="32" t="n"/>
      <c r="L2298" s="32" t="n"/>
      <c r="M2298" s="32" t="n"/>
      <c r="N2298" s="32" t="n"/>
      <c r="O2298" s="32" t="n"/>
      <c r="P2298" s="32" t="n"/>
      <c r="Q2298" s="32" t="n"/>
      <c r="U2298" s="31">
        <f>IF($A2298="","",SUM(X2298:AE2298))</f>
        <v/>
      </c>
      <c r="V2298" s="31">
        <f>IF($A2298="","",IF($H2298&lt;&gt;"Ausgabe",0,-$E2298-$U2298))</f>
        <v/>
      </c>
      <c r="W2298" s="33">
        <f>IF($A2298="","",DATE(YEAR($A2298),MONTH($A2298),1))</f>
        <v/>
      </c>
      <c r="X2298" s="34">
        <f>IF(OR($A2298="",$H2298&lt;&gt;"Ausgabe",J2298=""),0,IF(J2298="x",-$E2298/(COUNTIF($J2298:$Q2298,"x")+1),-$E2298*N(J2298)))</f>
        <v/>
      </c>
      <c r="Y2298" s="34">
        <f>IF(OR($A2298="",$H2298&lt;&gt;"Ausgabe",K2298=""),0,IF(K2298="x",-$E2298/(COUNTIF($J2298:$Q2298,"x")+1),-$E2298*N(K2298)))</f>
        <v/>
      </c>
      <c r="Z2298" s="34">
        <f>IF(OR($A2298="",$H2298&lt;&gt;"Ausgabe",L2298=""),0,IF(L2298="x",-$E2298/(COUNTIF($J2298:$Q2298,"x")+1),-$E2298*N(L2298)))</f>
        <v/>
      </c>
      <c r="AA2298" s="34">
        <f>IF(OR($A2298="",$H2298&lt;&gt;"Ausgabe",M2298=""),0,IF(M2298="x",-$E2298/(COUNTIF($J2298:$Q2298,"x")+1),-$E2298*N(M2298)))</f>
        <v/>
      </c>
      <c r="AB2298" s="34">
        <f>IF(OR($A2298="",$H2298&lt;&gt;"Ausgabe",N2298=""),0,IF(N2298="x",-$E2298/(COUNTIF($J2298:$Q2298,"x")+1),-$E2298*N(N2298)))</f>
        <v/>
      </c>
      <c r="AC2298" s="34">
        <f>IF(OR($A2298="",$H2298&lt;&gt;"Ausgabe",O2298=""),0,IF(O2298="x",-$E2298/(COUNTIF($J2298:$Q2298,"x")+1),-$E2298*N(O2298)))</f>
        <v/>
      </c>
      <c r="AD2298" s="34">
        <f>IF(OR($A2298="",$H2298&lt;&gt;"Ausgabe",P2298=""),0,IF(P2298="x",-$E2298/(COUNTIF($J2298:$Q2298,"x")+1),-$E2298*N(P2298)))</f>
        <v/>
      </c>
      <c r="AE2298" s="34">
        <f>IF(OR($A2298="",$H2298&lt;&gt;"Ausgabe",Q2298=""),0,IF(Q2298="x",-$E2298/(COUNTIF($J2298:$Q2298,"x")+1),-$E2298*N(Q2298)))</f>
        <v/>
      </c>
    </row>
    <row r="2299">
      <c r="A2299" s="30" t="n"/>
      <c r="E2299" s="31" t="n"/>
      <c r="J2299" s="32" t="n"/>
      <c r="K2299" s="32" t="n"/>
      <c r="L2299" s="32" t="n"/>
      <c r="M2299" s="32" t="n"/>
      <c r="N2299" s="32" t="n"/>
      <c r="O2299" s="32" t="n"/>
      <c r="P2299" s="32" t="n"/>
      <c r="Q2299" s="32" t="n"/>
      <c r="U2299" s="31">
        <f>IF($A2299="","",SUM(X2299:AE2299))</f>
        <v/>
      </c>
      <c r="V2299" s="31">
        <f>IF($A2299="","",IF($H2299&lt;&gt;"Ausgabe",0,-$E2299-$U2299))</f>
        <v/>
      </c>
      <c r="W2299" s="33">
        <f>IF($A2299="","",DATE(YEAR($A2299),MONTH($A2299),1))</f>
        <v/>
      </c>
      <c r="X2299" s="34">
        <f>IF(OR($A2299="",$H2299&lt;&gt;"Ausgabe",J2299=""),0,IF(J2299="x",-$E2299/(COUNTIF($J2299:$Q2299,"x")+1),-$E2299*N(J2299)))</f>
        <v/>
      </c>
      <c r="Y2299" s="34">
        <f>IF(OR($A2299="",$H2299&lt;&gt;"Ausgabe",K2299=""),0,IF(K2299="x",-$E2299/(COUNTIF($J2299:$Q2299,"x")+1),-$E2299*N(K2299)))</f>
        <v/>
      </c>
      <c r="Z2299" s="34">
        <f>IF(OR($A2299="",$H2299&lt;&gt;"Ausgabe",L2299=""),0,IF(L2299="x",-$E2299/(COUNTIF($J2299:$Q2299,"x")+1),-$E2299*N(L2299)))</f>
        <v/>
      </c>
      <c r="AA2299" s="34">
        <f>IF(OR($A2299="",$H2299&lt;&gt;"Ausgabe",M2299=""),0,IF(M2299="x",-$E2299/(COUNTIF($J2299:$Q2299,"x")+1),-$E2299*N(M2299)))</f>
        <v/>
      </c>
      <c r="AB2299" s="34">
        <f>IF(OR($A2299="",$H2299&lt;&gt;"Ausgabe",N2299=""),0,IF(N2299="x",-$E2299/(COUNTIF($J2299:$Q2299,"x")+1),-$E2299*N(N2299)))</f>
        <v/>
      </c>
      <c r="AC2299" s="34">
        <f>IF(OR($A2299="",$H2299&lt;&gt;"Ausgabe",O2299=""),0,IF(O2299="x",-$E2299/(COUNTIF($J2299:$Q2299,"x")+1),-$E2299*N(O2299)))</f>
        <v/>
      </c>
      <c r="AD2299" s="34">
        <f>IF(OR($A2299="",$H2299&lt;&gt;"Ausgabe",P2299=""),0,IF(P2299="x",-$E2299/(COUNTIF($J2299:$Q2299,"x")+1),-$E2299*N(P2299)))</f>
        <v/>
      </c>
      <c r="AE2299" s="34">
        <f>IF(OR($A2299="",$H2299&lt;&gt;"Ausgabe",Q2299=""),0,IF(Q2299="x",-$E2299/(COUNTIF($J2299:$Q2299,"x")+1),-$E2299*N(Q2299)))</f>
        <v/>
      </c>
    </row>
    <row r="2300">
      <c r="A2300" s="30" t="n"/>
      <c r="E2300" s="31" t="n"/>
      <c r="J2300" s="32" t="n"/>
      <c r="K2300" s="32" t="n"/>
      <c r="L2300" s="32" t="n"/>
      <c r="M2300" s="32" t="n"/>
      <c r="N2300" s="32" t="n"/>
      <c r="O2300" s="32" t="n"/>
      <c r="P2300" s="32" t="n"/>
      <c r="Q2300" s="32" t="n"/>
      <c r="U2300" s="31">
        <f>IF($A2300="","",SUM(X2300:AE2300))</f>
        <v/>
      </c>
      <c r="V2300" s="31">
        <f>IF($A2300="","",IF($H2300&lt;&gt;"Ausgabe",0,-$E2300-$U2300))</f>
        <v/>
      </c>
      <c r="W2300" s="33">
        <f>IF($A2300="","",DATE(YEAR($A2300),MONTH($A2300),1))</f>
        <v/>
      </c>
      <c r="X2300" s="34">
        <f>IF(OR($A2300="",$H2300&lt;&gt;"Ausgabe",J2300=""),0,IF(J2300="x",-$E2300/(COUNTIF($J2300:$Q2300,"x")+1),-$E2300*N(J2300)))</f>
        <v/>
      </c>
      <c r="Y2300" s="34">
        <f>IF(OR($A2300="",$H2300&lt;&gt;"Ausgabe",K2300=""),0,IF(K2300="x",-$E2300/(COUNTIF($J2300:$Q2300,"x")+1),-$E2300*N(K2300)))</f>
        <v/>
      </c>
      <c r="Z2300" s="34">
        <f>IF(OR($A2300="",$H2300&lt;&gt;"Ausgabe",L2300=""),0,IF(L2300="x",-$E2300/(COUNTIF($J2300:$Q2300,"x")+1),-$E2300*N(L2300)))</f>
        <v/>
      </c>
      <c r="AA2300" s="34">
        <f>IF(OR($A2300="",$H2300&lt;&gt;"Ausgabe",M2300=""),0,IF(M2300="x",-$E2300/(COUNTIF($J2300:$Q2300,"x")+1),-$E2300*N(M2300)))</f>
        <v/>
      </c>
      <c r="AB2300" s="34">
        <f>IF(OR($A2300="",$H2300&lt;&gt;"Ausgabe",N2300=""),0,IF(N2300="x",-$E2300/(COUNTIF($J2300:$Q2300,"x")+1),-$E2300*N(N2300)))</f>
        <v/>
      </c>
      <c r="AC2300" s="34">
        <f>IF(OR($A2300="",$H2300&lt;&gt;"Ausgabe",O2300=""),0,IF(O2300="x",-$E2300/(COUNTIF($J2300:$Q2300,"x")+1),-$E2300*N(O2300)))</f>
        <v/>
      </c>
      <c r="AD2300" s="34">
        <f>IF(OR($A2300="",$H2300&lt;&gt;"Ausgabe",P2300=""),0,IF(P2300="x",-$E2300/(COUNTIF($J2300:$Q2300,"x")+1),-$E2300*N(P2300)))</f>
        <v/>
      </c>
      <c r="AE2300" s="34">
        <f>IF(OR($A2300="",$H2300&lt;&gt;"Ausgabe",Q2300=""),0,IF(Q2300="x",-$E2300/(COUNTIF($J2300:$Q2300,"x")+1),-$E2300*N(Q2300)))</f>
        <v/>
      </c>
    </row>
    <row r="2301">
      <c r="A2301" s="30" t="n"/>
      <c r="E2301" s="31" t="n"/>
      <c r="J2301" s="32" t="n"/>
      <c r="K2301" s="32" t="n"/>
      <c r="L2301" s="32" t="n"/>
      <c r="M2301" s="32" t="n"/>
      <c r="N2301" s="32" t="n"/>
      <c r="O2301" s="32" t="n"/>
      <c r="P2301" s="32" t="n"/>
      <c r="Q2301" s="32" t="n"/>
      <c r="U2301" s="31">
        <f>IF($A2301="","",SUM(X2301:AE2301))</f>
        <v/>
      </c>
      <c r="V2301" s="31">
        <f>IF($A2301="","",IF($H2301&lt;&gt;"Ausgabe",0,-$E2301-$U2301))</f>
        <v/>
      </c>
      <c r="W2301" s="33">
        <f>IF($A2301="","",DATE(YEAR($A2301),MONTH($A2301),1))</f>
        <v/>
      </c>
      <c r="X2301" s="34">
        <f>IF(OR($A2301="",$H2301&lt;&gt;"Ausgabe",J2301=""),0,IF(J2301="x",-$E2301/(COUNTIF($J2301:$Q2301,"x")+1),-$E2301*N(J2301)))</f>
        <v/>
      </c>
      <c r="Y2301" s="34">
        <f>IF(OR($A2301="",$H2301&lt;&gt;"Ausgabe",K2301=""),0,IF(K2301="x",-$E2301/(COUNTIF($J2301:$Q2301,"x")+1),-$E2301*N(K2301)))</f>
        <v/>
      </c>
      <c r="Z2301" s="34">
        <f>IF(OR($A2301="",$H2301&lt;&gt;"Ausgabe",L2301=""),0,IF(L2301="x",-$E2301/(COUNTIF($J2301:$Q2301,"x")+1),-$E2301*N(L2301)))</f>
        <v/>
      </c>
      <c r="AA2301" s="34">
        <f>IF(OR($A2301="",$H2301&lt;&gt;"Ausgabe",M2301=""),0,IF(M2301="x",-$E2301/(COUNTIF($J2301:$Q2301,"x")+1),-$E2301*N(M2301)))</f>
        <v/>
      </c>
      <c r="AB2301" s="34">
        <f>IF(OR($A2301="",$H2301&lt;&gt;"Ausgabe",N2301=""),0,IF(N2301="x",-$E2301/(COUNTIF($J2301:$Q2301,"x")+1),-$E2301*N(N2301)))</f>
        <v/>
      </c>
      <c r="AC2301" s="34">
        <f>IF(OR($A2301="",$H2301&lt;&gt;"Ausgabe",O2301=""),0,IF(O2301="x",-$E2301/(COUNTIF($J2301:$Q2301,"x")+1),-$E2301*N(O2301)))</f>
        <v/>
      </c>
      <c r="AD2301" s="34">
        <f>IF(OR($A2301="",$H2301&lt;&gt;"Ausgabe",P2301=""),0,IF(P2301="x",-$E2301/(COUNTIF($J2301:$Q2301,"x")+1),-$E2301*N(P2301)))</f>
        <v/>
      </c>
      <c r="AE2301" s="34">
        <f>IF(OR($A2301="",$H2301&lt;&gt;"Ausgabe",Q2301=""),0,IF(Q2301="x",-$E2301/(COUNTIF($J2301:$Q2301,"x")+1),-$E2301*N(Q2301)))</f>
        <v/>
      </c>
    </row>
    <row r="2302">
      <c r="A2302" s="30" t="n"/>
      <c r="E2302" s="31" t="n"/>
      <c r="J2302" s="32" t="n"/>
      <c r="K2302" s="32" t="n"/>
      <c r="L2302" s="32" t="n"/>
      <c r="M2302" s="32" t="n"/>
      <c r="N2302" s="32" t="n"/>
      <c r="O2302" s="32" t="n"/>
      <c r="P2302" s="32" t="n"/>
      <c r="Q2302" s="32" t="n"/>
      <c r="U2302" s="31">
        <f>IF($A2302="","",SUM(X2302:AE2302))</f>
        <v/>
      </c>
      <c r="V2302" s="31">
        <f>IF($A2302="","",IF($H2302&lt;&gt;"Ausgabe",0,-$E2302-$U2302))</f>
        <v/>
      </c>
      <c r="W2302" s="33">
        <f>IF($A2302="","",DATE(YEAR($A2302),MONTH($A2302),1))</f>
        <v/>
      </c>
      <c r="X2302" s="34">
        <f>IF(OR($A2302="",$H2302&lt;&gt;"Ausgabe",J2302=""),0,IF(J2302="x",-$E2302/(COUNTIF($J2302:$Q2302,"x")+1),-$E2302*N(J2302)))</f>
        <v/>
      </c>
      <c r="Y2302" s="34">
        <f>IF(OR($A2302="",$H2302&lt;&gt;"Ausgabe",K2302=""),0,IF(K2302="x",-$E2302/(COUNTIF($J2302:$Q2302,"x")+1),-$E2302*N(K2302)))</f>
        <v/>
      </c>
      <c r="Z2302" s="34">
        <f>IF(OR($A2302="",$H2302&lt;&gt;"Ausgabe",L2302=""),0,IF(L2302="x",-$E2302/(COUNTIF($J2302:$Q2302,"x")+1),-$E2302*N(L2302)))</f>
        <v/>
      </c>
      <c r="AA2302" s="34">
        <f>IF(OR($A2302="",$H2302&lt;&gt;"Ausgabe",M2302=""),0,IF(M2302="x",-$E2302/(COUNTIF($J2302:$Q2302,"x")+1),-$E2302*N(M2302)))</f>
        <v/>
      </c>
      <c r="AB2302" s="34">
        <f>IF(OR($A2302="",$H2302&lt;&gt;"Ausgabe",N2302=""),0,IF(N2302="x",-$E2302/(COUNTIF($J2302:$Q2302,"x")+1),-$E2302*N(N2302)))</f>
        <v/>
      </c>
      <c r="AC2302" s="34">
        <f>IF(OR($A2302="",$H2302&lt;&gt;"Ausgabe",O2302=""),0,IF(O2302="x",-$E2302/(COUNTIF($J2302:$Q2302,"x")+1),-$E2302*N(O2302)))</f>
        <v/>
      </c>
      <c r="AD2302" s="34">
        <f>IF(OR($A2302="",$H2302&lt;&gt;"Ausgabe",P2302=""),0,IF(P2302="x",-$E2302/(COUNTIF($J2302:$Q2302,"x")+1),-$E2302*N(P2302)))</f>
        <v/>
      </c>
      <c r="AE2302" s="34">
        <f>IF(OR($A2302="",$H2302&lt;&gt;"Ausgabe",Q2302=""),0,IF(Q2302="x",-$E2302/(COUNTIF($J2302:$Q2302,"x")+1),-$E2302*N(Q2302)))</f>
        <v/>
      </c>
    </row>
    <row r="2303">
      <c r="A2303" s="30" t="n"/>
      <c r="E2303" s="31" t="n"/>
      <c r="J2303" s="32" t="n"/>
      <c r="K2303" s="32" t="n"/>
      <c r="L2303" s="32" t="n"/>
      <c r="M2303" s="32" t="n"/>
      <c r="N2303" s="32" t="n"/>
      <c r="O2303" s="32" t="n"/>
      <c r="P2303" s="32" t="n"/>
      <c r="Q2303" s="32" t="n"/>
      <c r="U2303" s="31">
        <f>IF($A2303="","",SUM(X2303:AE2303))</f>
        <v/>
      </c>
      <c r="V2303" s="31">
        <f>IF($A2303="","",IF($H2303&lt;&gt;"Ausgabe",0,-$E2303-$U2303))</f>
        <v/>
      </c>
      <c r="W2303" s="33">
        <f>IF($A2303="","",DATE(YEAR($A2303),MONTH($A2303),1))</f>
        <v/>
      </c>
      <c r="X2303" s="34">
        <f>IF(OR($A2303="",$H2303&lt;&gt;"Ausgabe",J2303=""),0,IF(J2303="x",-$E2303/(COUNTIF($J2303:$Q2303,"x")+1),-$E2303*N(J2303)))</f>
        <v/>
      </c>
      <c r="Y2303" s="34">
        <f>IF(OR($A2303="",$H2303&lt;&gt;"Ausgabe",K2303=""),0,IF(K2303="x",-$E2303/(COUNTIF($J2303:$Q2303,"x")+1),-$E2303*N(K2303)))</f>
        <v/>
      </c>
      <c r="Z2303" s="34">
        <f>IF(OR($A2303="",$H2303&lt;&gt;"Ausgabe",L2303=""),0,IF(L2303="x",-$E2303/(COUNTIF($J2303:$Q2303,"x")+1),-$E2303*N(L2303)))</f>
        <v/>
      </c>
      <c r="AA2303" s="34">
        <f>IF(OR($A2303="",$H2303&lt;&gt;"Ausgabe",M2303=""),0,IF(M2303="x",-$E2303/(COUNTIF($J2303:$Q2303,"x")+1),-$E2303*N(M2303)))</f>
        <v/>
      </c>
      <c r="AB2303" s="34">
        <f>IF(OR($A2303="",$H2303&lt;&gt;"Ausgabe",N2303=""),0,IF(N2303="x",-$E2303/(COUNTIF($J2303:$Q2303,"x")+1),-$E2303*N(N2303)))</f>
        <v/>
      </c>
      <c r="AC2303" s="34">
        <f>IF(OR($A2303="",$H2303&lt;&gt;"Ausgabe",O2303=""),0,IF(O2303="x",-$E2303/(COUNTIF($J2303:$Q2303,"x")+1),-$E2303*N(O2303)))</f>
        <v/>
      </c>
      <c r="AD2303" s="34">
        <f>IF(OR($A2303="",$H2303&lt;&gt;"Ausgabe",P2303=""),0,IF(P2303="x",-$E2303/(COUNTIF($J2303:$Q2303,"x")+1),-$E2303*N(P2303)))</f>
        <v/>
      </c>
      <c r="AE2303" s="34">
        <f>IF(OR($A2303="",$H2303&lt;&gt;"Ausgabe",Q2303=""),0,IF(Q2303="x",-$E2303/(COUNTIF($J2303:$Q2303,"x")+1),-$E2303*N(Q2303)))</f>
        <v/>
      </c>
    </row>
    <row r="2304">
      <c r="A2304" s="30" t="n"/>
      <c r="E2304" s="31" t="n"/>
      <c r="J2304" s="32" t="n"/>
      <c r="K2304" s="32" t="n"/>
      <c r="L2304" s="32" t="n"/>
      <c r="M2304" s="32" t="n"/>
      <c r="N2304" s="32" t="n"/>
      <c r="O2304" s="32" t="n"/>
      <c r="P2304" s="32" t="n"/>
      <c r="Q2304" s="32" t="n"/>
      <c r="U2304" s="31">
        <f>IF($A2304="","",SUM(X2304:AE2304))</f>
        <v/>
      </c>
      <c r="V2304" s="31">
        <f>IF($A2304="","",IF($H2304&lt;&gt;"Ausgabe",0,-$E2304-$U2304))</f>
        <v/>
      </c>
      <c r="W2304" s="33">
        <f>IF($A2304="","",DATE(YEAR($A2304),MONTH($A2304),1))</f>
        <v/>
      </c>
      <c r="X2304" s="34">
        <f>IF(OR($A2304="",$H2304&lt;&gt;"Ausgabe",J2304=""),0,IF(J2304="x",-$E2304/(COUNTIF($J2304:$Q2304,"x")+1),-$E2304*N(J2304)))</f>
        <v/>
      </c>
      <c r="Y2304" s="34">
        <f>IF(OR($A2304="",$H2304&lt;&gt;"Ausgabe",K2304=""),0,IF(K2304="x",-$E2304/(COUNTIF($J2304:$Q2304,"x")+1),-$E2304*N(K2304)))</f>
        <v/>
      </c>
      <c r="Z2304" s="34">
        <f>IF(OR($A2304="",$H2304&lt;&gt;"Ausgabe",L2304=""),0,IF(L2304="x",-$E2304/(COUNTIF($J2304:$Q2304,"x")+1),-$E2304*N(L2304)))</f>
        <v/>
      </c>
      <c r="AA2304" s="34">
        <f>IF(OR($A2304="",$H2304&lt;&gt;"Ausgabe",M2304=""),0,IF(M2304="x",-$E2304/(COUNTIF($J2304:$Q2304,"x")+1),-$E2304*N(M2304)))</f>
        <v/>
      </c>
      <c r="AB2304" s="34">
        <f>IF(OR($A2304="",$H2304&lt;&gt;"Ausgabe",N2304=""),0,IF(N2304="x",-$E2304/(COUNTIF($J2304:$Q2304,"x")+1),-$E2304*N(N2304)))</f>
        <v/>
      </c>
      <c r="AC2304" s="34">
        <f>IF(OR($A2304="",$H2304&lt;&gt;"Ausgabe",O2304=""),0,IF(O2304="x",-$E2304/(COUNTIF($J2304:$Q2304,"x")+1),-$E2304*N(O2304)))</f>
        <v/>
      </c>
      <c r="AD2304" s="34">
        <f>IF(OR($A2304="",$H2304&lt;&gt;"Ausgabe",P2304=""),0,IF(P2304="x",-$E2304/(COUNTIF($J2304:$Q2304,"x")+1),-$E2304*N(P2304)))</f>
        <v/>
      </c>
      <c r="AE2304" s="34">
        <f>IF(OR($A2304="",$H2304&lt;&gt;"Ausgabe",Q2304=""),0,IF(Q2304="x",-$E2304/(COUNTIF($J2304:$Q2304,"x")+1),-$E2304*N(Q2304)))</f>
        <v/>
      </c>
    </row>
    <row r="2305">
      <c r="A2305" s="30" t="n"/>
      <c r="E2305" s="31" t="n"/>
      <c r="J2305" s="32" t="n"/>
      <c r="K2305" s="32" t="n"/>
      <c r="L2305" s="32" t="n"/>
      <c r="M2305" s="32" t="n"/>
      <c r="N2305" s="32" t="n"/>
      <c r="O2305" s="32" t="n"/>
      <c r="P2305" s="32" t="n"/>
      <c r="Q2305" s="32" t="n"/>
      <c r="U2305" s="31">
        <f>IF($A2305="","",SUM(X2305:AE2305))</f>
        <v/>
      </c>
      <c r="V2305" s="31">
        <f>IF($A2305="","",IF($H2305&lt;&gt;"Ausgabe",0,-$E2305-$U2305))</f>
        <v/>
      </c>
      <c r="W2305" s="33">
        <f>IF($A2305="","",DATE(YEAR($A2305),MONTH($A2305),1))</f>
        <v/>
      </c>
      <c r="X2305" s="34">
        <f>IF(OR($A2305="",$H2305&lt;&gt;"Ausgabe",J2305=""),0,IF(J2305="x",-$E2305/(COUNTIF($J2305:$Q2305,"x")+1),-$E2305*N(J2305)))</f>
        <v/>
      </c>
      <c r="Y2305" s="34">
        <f>IF(OR($A2305="",$H2305&lt;&gt;"Ausgabe",K2305=""),0,IF(K2305="x",-$E2305/(COUNTIF($J2305:$Q2305,"x")+1),-$E2305*N(K2305)))</f>
        <v/>
      </c>
      <c r="Z2305" s="34">
        <f>IF(OR($A2305="",$H2305&lt;&gt;"Ausgabe",L2305=""),0,IF(L2305="x",-$E2305/(COUNTIF($J2305:$Q2305,"x")+1),-$E2305*N(L2305)))</f>
        <v/>
      </c>
      <c r="AA2305" s="34">
        <f>IF(OR($A2305="",$H2305&lt;&gt;"Ausgabe",M2305=""),0,IF(M2305="x",-$E2305/(COUNTIF($J2305:$Q2305,"x")+1),-$E2305*N(M2305)))</f>
        <v/>
      </c>
      <c r="AB2305" s="34">
        <f>IF(OR($A2305="",$H2305&lt;&gt;"Ausgabe",N2305=""),0,IF(N2305="x",-$E2305/(COUNTIF($J2305:$Q2305,"x")+1),-$E2305*N(N2305)))</f>
        <v/>
      </c>
      <c r="AC2305" s="34">
        <f>IF(OR($A2305="",$H2305&lt;&gt;"Ausgabe",O2305=""),0,IF(O2305="x",-$E2305/(COUNTIF($J2305:$Q2305,"x")+1),-$E2305*N(O2305)))</f>
        <v/>
      </c>
      <c r="AD2305" s="34">
        <f>IF(OR($A2305="",$H2305&lt;&gt;"Ausgabe",P2305=""),0,IF(P2305="x",-$E2305/(COUNTIF($J2305:$Q2305,"x")+1),-$E2305*N(P2305)))</f>
        <v/>
      </c>
      <c r="AE2305" s="34">
        <f>IF(OR($A2305="",$H2305&lt;&gt;"Ausgabe",Q2305=""),0,IF(Q2305="x",-$E2305/(COUNTIF($J2305:$Q2305,"x")+1),-$E2305*N(Q2305)))</f>
        <v/>
      </c>
    </row>
    <row r="2306">
      <c r="A2306" s="30" t="n"/>
      <c r="E2306" s="31" t="n"/>
      <c r="J2306" s="32" t="n"/>
      <c r="K2306" s="32" t="n"/>
      <c r="L2306" s="32" t="n"/>
      <c r="M2306" s="32" t="n"/>
      <c r="N2306" s="32" t="n"/>
      <c r="O2306" s="32" t="n"/>
      <c r="P2306" s="32" t="n"/>
      <c r="Q2306" s="32" t="n"/>
      <c r="U2306" s="31">
        <f>IF($A2306="","",SUM(X2306:AE2306))</f>
        <v/>
      </c>
      <c r="V2306" s="31">
        <f>IF($A2306="","",IF($H2306&lt;&gt;"Ausgabe",0,-$E2306-$U2306))</f>
        <v/>
      </c>
      <c r="W2306" s="33">
        <f>IF($A2306="","",DATE(YEAR($A2306),MONTH($A2306),1))</f>
        <v/>
      </c>
      <c r="X2306" s="34">
        <f>IF(OR($A2306="",$H2306&lt;&gt;"Ausgabe",J2306=""),0,IF(J2306="x",-$E2306/(COUNTIF($J2306:$Q2306,"x")+1),-$E2306*N(J2306)))</f>
        <v/>
      </c>
      <c r="Y2306" s="34">
        <f>IF(OR($A2306="",$H2306&lt;&gt;"Ausgabe",K2306=""),0,IF(K2306="x",-$E2306/(COUNTIF($J2306:$Q2306,"x")+1),-$E2306*N(K2306)))</f>
        <v/>
      </c>
      <c r="Z2306" s="34">
        <f>IF(OR($A2306="",$H2306&lt;&gt;"Ausgabe",L2306=""),0,IF(L2306="x",-$E2306/(COUNTIF($J2306:$Q2306,"x")+1),-$E2306*N(L2306)))</f>
        <v/>
      </c>
      <c r="AA2306" s="34">
        <f>IF(OR($A2306="",$H2306&lt;&gt;"Ausgabe",M2306=""),0,IF(M2306="x",-$E2306/(COUNTIF($J2306:$Q2306,"x")+1),-$E2306*N(M2306)))</f>
        <v/>
      </c>
      <c r="AB2306" s="34">
        <f>IF(OR($A2306="",$H2306&lt;&gt;"Ausgabe",N2306=""),0,IF(N2306="x",-$E2306/(COUNTIF($J2306:$Q2306,"x")+1),-$E2306*N(N2306)))</f>
        <v/>
      </c>
      <c r="AC2306" s="34">
        <f>IF(OR($A2306="",$H2306&lt;&gt;"Ausgabe",O2306=""),0,IF(O2306="x",-$E2306/(COUNTIF($J2306:$Q2306,"x")+1),-$E2306*N(O2306)))</f>
        <v/>
      </c>
      <c r="AD2306" s="34">
        <f>IF(OR($A2306="",$H2306&lt;&gt;"Ausgabe",P2306=""),0,IF(P2306="x",-$E2306/(COUNTIF($J2306:$Q2306,"x")+1),-$E2306*N(P2306)))</f>
        <v/>
      </c>
      <c r="AE2306" s="34">
        <f>IF(OR($A2306="",$H2306&lt;&gt;"Ausgabe",Q2306=""),0,IF(Q2306="x",-$E2306/(COUNTIF($J2306:$Q2306,"x")+1),-$E2306*N(Q2306)))</f>
        <v/>
      </c>
    </row>
    <row r="2307">
      <c r="A2307" s="30" t="n"/>
      <c r="E2307" s="31" t="n"/>
      <c r="J2307" s="32" t="n"/>
      <c r="K2307" s="32" t="n"/>
      <c r="L2307" s="32" t="n"/>
      <c r="M2307" s="32" t="n"/>
      <c r="N2307" s="32" t="n"/>
      <c r="O2307" s="32" t="n"/>
      <c r="P2307" s="32" t="n"/>
      <c r="Q2307" s="32" t="n"/>
      <c r="U2307" s="31">
        <f>IF($A2307="","",SUM(X2307:AE2307))</f>
        <v/>
      </c>
      <c r="V2307" s="31">
        <f>IF($A2307="","",IF($H2307&lt;&gt;"Ausgabe",0,-$E2307-$U2307))</f>
        <v/>
      </c>
      <c r="W2307" s="33">
        <f>IF($A2307="","",DATE(YEAR($A2307),MONTH($A2307),1))</f>
        <v/>
      </c>
      <c r="X2307" s="34">
        <f>IF(OR($A2307="",$H2307&lt;&gt;"Ausgabe",J2307=""),0,IF(J2307="x",-$E2307/(COUNTIF($J2307:$Q2307,"x")+1),-$E2307*N(J2307)))</f>
        <v/>
      </c>
      <c r="Y2307" s="34">
        <f>IF(OR($A2307="",$H2307&lt;&gt;"Ausgabe",K2307=""),0,IF(K2307="x",-$E2307/(COUNTIF($J2307:$Q2307,"x")+1),-$E2307*N(K2307)))</f>
        <v/>
      </c>
      <c r="Z2307" s="34">
        <f>IF(OR($A2307="",$H2307&lt;&gt;"Ausgabe",L2307=""),0,IF(L2307="x",-$E2307/(COUNTIF($J2307:$Q2307,"x")+1),-$E2307*N(L2307)))</f>
        <v/>
      </c>
      <c r="AA2307" s="34">
        <f>IF(OR($A2307="",$H2307&lt;&gt;"Ausgabe",M2307=""),0,IF(M2307="x",-$E2307/(COUNTIF($J2307:$Q2307,"x")+1),-$E2307*N(M2307)))</f>
        <v/>
      </c>
      <c r="AB2307" s="34">
        <f>IF(OR($A2307="",$H2307&lt;&gt;"Ausgabe",N2307=""),0,IF(N2307="x",-$E2307/(COUNTIF($J2307:$Q2307,"x")+1),-$E2307*N(N2307)))</f>
        <v/>
      </c>
      <c r="AC2307" s="34">
        <f>IF(OR($A2307="",$H2307&lt;&gt;"Ausgabe",O2307=""),0,IF(O2307="x",-$E2307/(COUNTIF($J2307:$Q2307,"x")+1),-$E2307*N(O2307)))</f>
        <v/>
      </c>
      <c r="AD2307" s="34">
        <f>IF(OR($A2307="",$H2307&lt;&gt;"Ausgabe",P2307=""),0,IF(P2307="x",-$E2307/(COUNTIF($J2307:$Q2307,"x")+1),-$E2307*N(P2307)))</f>
        <v/>
      </c>
      <c r="AE2307" s="34">
        <f>IF(OR($A2307="",$H2307&lt;&gt;"Ausgabe",Q2307=""),0,IF(Q2307="x",-$E2307/(COUNTIF($J2307:$Q2307,"x")+1),-$E2307*N(Q2307)))</f>
        <v/>
      </c>
    </row>
    <row r="2308">
      <c r="A2308" s="30" t="n"/>
      <c r="E2308" s="31" t="n"/>
      <c r="J2308" s="32" t="n"/>
      <c r="K2308" s="32" t="n"/>
      <c r="L2308" s="32" t="n"/>
      <c r="M2308" s="32" t="n"/>
      <c r="N2308" s="32" t="n"/>
      <c r="O2308" s="32" t="n"/>
      <c r="P2308" s="32" t="n"/>
      <c r="Q2308" s="32" t="n"/>
      <c r="U2308" s="31">
        <f>IF($A2308="","",SUM(X2308:AE2308))</f>
        <v/>
      </c>
      <c r="V2308" s="31">
        <f>IF($A2308="","",IF($H2308&lt;&gt;"Ausgabe",0,-$E2308-$U2308))</f>
        <v/>
      </c>
      <c r="W2308" s="33">
        <f>IF($A2308="","",DATE(YEAR($A2308),MONTH($A2308),1))</f>
        <v/>
      </c>
      <c r="X2308" s="34">
        <f>IF(OR($A2308="",$H2308&lt;&gt;"Ausgabe",J2308=""),0,IF(J2308="x",-$E2308/(COUNTIF($J2308:$Q2308,"x")+1),-$E2308*N(J2308)))</f>
        <v/>
      </c>
      <c r="Y2308" s="34">
        <f>IF(OR($A2308="",$H2308&lt;&gt;"Ausgabe",K2308=""),0,IF(K2308="x",-$E2308/(COUNTIF($J2308:$Q2308,"x")+1),-$E2308*N(K2308)))</f>
        <v/>
      </c>
      <c r="Z2308" s="34">
        <f>IF(OR($A2308="",$H2308&lt;&gt;"Ausgabe",L2308=""),0,IF(L2308="x",-$E2308/(COUNTIF($J2308:$Q2308,"x")+1),-$E2308*N(L2308)))</f>
        <v/>
      </c>
      <c r="AA2308" s="34">
        <f>IF(OR($A2308="",$H2308&lt;&gt;"Ausgabe",M2308=""),0,IF(M2308="x",-$E2308/(COUNTIF($J2308:$Q2308,"x")+1),-$E2308*N(M2308)))</f>
        <v/>
      </c>
      <c r="AB2308" s="34">
        <f>IF(OR($A2308="",$H2308&lt;&gt;"Ausgabe",N2308=""),0,IF(N2308="x",-$E2308/(COUNTIF($J2308:$Q2308,"x")+1),-$E2308*N(N2308)))</f>
        <v/>
      </c>
      <c r="AC2308" s="34">
        <f>IF(OR($A2308="",$H2308&lt;&gt;"Ausgabe",O2308=""),0,IF(O2308="x",-$E2308/(COUNTIF($J2308:$Q2308,"x")+1),-$E2308*N(O2308)))</f>
        <v/>
      </c>
      <c r="AD2308" s="34">
        <f>IF(OR($A2308="",$H2308&lt;&gt;"Ausgabe",P2308=""),0,IF(P2308="x",-$E2308/(COUNTIF($J2308:$Q2308,"x")+1),-$E2308*N(P2308)))</f>
        <v/>
      </c>
      <c r="AE2308" s="34">
        <f>IF(OR($A2308="",$H2308&lt;&gt;"Ausgabe",Q2308=""),0,IF(Q2308="x",-$E2308/(COUNTIF($J2308:$Q2308,"x")+1),-$E2308*N(Q2308)))</f>
        <v/>
      </c>
    </row>
    <row r="2309">
      <c r="A2309" s="30" t="n"/>
      <c r="E2309" s="31" t="n"/>
      <c r="J2309" s="32" t="n"/>
      <c r="K2309" s="32" t="n"/>
      <c r="L2309" s="32" t="n"/>
      <c r="M2309" s="32" t="n"/>
      <c r="N2309" s="32" t="n"/>
      <c r="O2309" s="32" t="n"/>
      <c r="P2309" s="32" t="n"/>
      <c r="Q2309" s="32" t="n"/>
      <c r="U2309" s="31">
        <f>IF($A2309="","",SUM(X2309:AE2309))</f>
        <v/>
      </c>
      <c r="V2309" s="31">
        <f>IF($A2309="","",IF($H2309&lt;&gt;"Ausgabe",0,-$E2309-$U2309))</f>
        <v/>
      </c>
      <c r="W2309" s="33">
        <f>IF($A2309="","",DATE(YEAR($A2309),MONTH($A2309),1))</f>
        <v/>
      </c>
      <c r="X2309" s="34">
        <f>IF(OR($A2309="",$H2309&lt;&gt;"Ausgabe",J2309=""),0,IF(J2309="x",-$E2309/(COUNTIF($J2309:$Q2309,"x")+1),-$E2309*N(J2309)))</f>
        <v/>
      </c>
      <c r="Y2309" s="34">
        <f>IF(OR($A2309="",$H2309&lt;&gt;"Ausgabe",K2309=""),0,IF(K2309="x",-$E2309/(COUNTIF($J2309:$Q2309,"x")+1),-$E2309*N(K2309)))</f>
        <v/>
      </c>
      <c r="Z2309" s="34">
        <f>IF(OR($A2309="",$H2309&lt;&gt;"Ausgabe",L2309=""),0,IF(L2309="x",-$E2309/(COUNTIF($J2309:$Q2309,"x")+1),-$E2309*N(L2309)))</f>
        <v/>
      </c>
      <c r="AA2309" s="34">
        <f>IF(OR($A2309="",$H2309&lt;&gt;"Ausgabe",M2309=""),0,IF(M2309="x",-$E2309/(COUNTIF($J2309:$Q2309,"x")+1),-$E2309*N(M2309)))</f>
        <v/>
      </c>
      <c r="AB2309" s="34">
        <f>IF(OR($A2309="",$H2309&lt;&gt;"Ausgabe",N2309=""),0,IF(N2309="x",-$E2309/(COUNTIF($J2309:$Q2309,"x")+1),-$E2309*N(N2309)))</f>
        <v/>
      </c>
      <c r="AC2309" s="34">
        <f>IF(OR($A2309="",$H2309&lt;&gt;"Ausgabe",O2309=""),0,IF(O2309="x",-$E2309/(COUNTIF($J2309:$Q2309,"x")+1),-$E2309*N(O2309)))</f>
        <v/>
      </c>
      <c r="AD2309" s="34">
        <f>IF(OR($A2309="",$H2309&lt;&gt;"Ausgabe",P2309=""),0,IF(P2309="x",-$E2309/(COUNTIF($J2309:$Q2309,"x")+1),-$E2309*N(P2309)))</f>
        <v/>
      </c>
      <c r="AE2309" s="34">
        <f>IF(OR($A2309="",$H2309&lt;&gt;"Ausgabe",Q2309=""),0,IF(Q2309="x",-$E2309/(COUNTIF($J2309:$Q2309,"x")+1),-$E2309*N(Q2309)))</f>
        <v/>
      </c>
    </row>
    <row r="2310">
      <c r="A2310" s="30" t="n"/>
      <c r="E2310" s="31" t="n"/>
      <c r="J2310" s="32" t="n"/>
      <c r="K2310" s="32" t="n"/>
      <c r="L2310" s="32" t="n"/>
      <c r="M2310" s="32" t="n"/>
      <c r="N2310" s="32" t="n"/>
      <c r="O2310" s="32" t="n"/>
      <c r="P2310" s="32" t="n"/>
      <c r="Q2310" s="32" t="n"/>
      <c r="U2310" s="31">
        <f>IF($A2310="","",SUM(X2310:AE2310))</f>
        <v/>
      </c>
      <c r="V2310" s="31">
        <f>IF($A2310="","",IF($H2310&lt;&gt;"Ausgabe",0,-$E2310-$U2310))</f>
        <v/>
      </c>
      <c r="W2310" s="33">
        <f>IF($A2310="","",DATE(YEAR($A2310),MONTH($A2310),1))</f>
        <v/>
      </c>
      <c r="X2310" s="34">
        <f>IF(OR($A2310="",$H2310&lt;&gt;"Ausgabe",J2310=""),0,IF(J2310="x",-$E2310/(COUNTIF($J2310:$Q2310,"x")+1),-$E2310*N(J2310)))</f>
        <v/>
      </c>
      <c r="Y2310" s="34">
        <f>IF(OR($A2310="",$H2310&lt;&gt;"Ausgabe",K2310=""),0,IF(K2310="x",-$E2310/(COUNTIF($J2310:$Q2310,"x")+1),-$E2310*N(K2310)))</f>
        <v/>
      </c>
      <c r="Z2310" s="34">
        <f>IF(OR($A2310="",$H2310&lt;&gt;"Ausgabe",L2310=""),0,IF(L2310="x",-$E2310/(COUNTIF($J2310:$Q2310,"x")+1),-$E2310*N(L2310)))</f>
        <v/>
      </c>
      <c r="AA2310" s="34">
        <f>IF(OR($A2310="",$H2310&lt;&gt;"Ausgabe",M2310=""),0,IF(M2310="x",-$E2310/(COUNTIF($J2310:$Q2310,"x")+1),-$E2310*N(M2310)))</f>
        <v/>
      </c>
      <c r="AB2310" s="34">
        <f>IF(OR($A2310="",$H2310&lt;&gt;"Ausgabe",N2310=""),0,IF(N2310="x",-$E2310/(COUNTIF($J2310:$Q2310,"x")+1),-$E2310*N(N2310)))</f>
        <v/>
      </c>
      <c r="AC2310" s="34">
        <f>IF(OR($A2310="",$H2310&lt;&gt;"Ausgabe",O2310=""),0,IF(O2310="x",-$E2310/(COUNTIF($J2310:$Q2310,"x")+1),-$E2310*N(O2310)))</f>
        <v/>
      </c>
      <c r="AD2310" s="34">
        <f>IF(OR($A2310="",$H2310&lt;&gt;"Ausgabe",P2310=""),0,IF(P2310="x",-$E2310/(COUNTIF($J2310:$Q2310,"x")+1),-$E2310*N(P2310)))</f>
        <v/>
      </c>
      <c r="AE2310" s="34">
        <f>IF(OR($A2310="",$H2310&lt;&gt;"Ausgabe",Q2310=""),0,IF(Q2310="x",-$E2310/(COUNTIF($J2310:$Q2310,"x")+1),-$E2310*N(Q2310)))</f>
        <v/>
      </c>
    </row>
    <row r="2311">
      <c r="A2311" s="30" t="n"/>
      <c r="E2311" s="31" t="n"/>
      <c r="J2311" s="32" t="n"/>
      <c r="K2311" s="32" t="n"/>
      <c r="L2311" s="32" t="n"/>
      <c r="M2311" s="32" t="n"/>
      <c r="N2311" s="32" t="n"/>
      <c r="O2311" s="32" t="n"/>
      <c r="P2311" s="32" t="n"/>
      <c r="Q2311" s="32" t="n"/>
      <c r="U2311" s="31">
        <f>IF($A2311="","",SUM(X2311:AE2311))</f>
        <v/>
      </c>
      <c r="V2311" s="31">
        <f>IF($A2311="","",IF($H2311&lt;&gt;"Ausgabe",0,-$E2311-$U2311))</f>
        <v/>
      </c>
      <c r="W2311" s="33">
        <f>IF($A2311="","",DATE(YEAR($A2311),MONTH($A2311),1))</f>
        <v/>
      </c>
      <c r="X2311" s="34">
        <f>IF(OR($A2311="",$H2311&lt;&gt;"Ausgabe",J2311=""),0,IF(J2311="x",-$E2311/(COUNTIF($J2311:$Q2311,"x")+1),-$E2311*N(J2311)))</f>
        <v/>
      </c>
      <c r="Y2311" s="34">
        <f>IF(OR($A2311="",$H2311&lt;&gt;"Ausgabe",K2311=""),0,IF(K2311="x",-$E2311/(COUNTIF($J2311:$Q2311,"x")+1),-$E2311*N(K2311)))</f>
        <v/>
      </c>
      <c r="Z2311" s="34">
        <f>IF(OR($A2311="",$H2311&lt;&gt;"Ausgabe",L2311=""),0,IF(L2311="x",-$E2311/(COUNTIF($J2311:$Q2311,"x")+1),-$E2311*N(L2311)))</f>
        <v/>
      </c>
      <c r="AA2311" s="34">
        <f>IF(OR($A2311="",$H2311&lt;&gt;"Ausgabe",M2311=""),0,IF(M2311="x",-$E2311/(COUNTIF($J2311:$Q2311,"x")+1),-$E2311*N(M2311)))</f>
        <v/>
      </c>
      <c r="AB2311" s="34">
        <f>IF(OR($A2311="",$H2311&lt;&gt;"Ausgabe",N2311=""),0,IF(N2311="x",-$E2311/(COUNTIF($J2311:$Q2311,"x")+1),-$E2311*N(N2311)))</f>
        <v/>
      </c>
      <c r="AC2311" s="34">
        <f>IF(OR($A2311="",$H2311&lt;&gt;"Ausgabe",O2311=""),0,IF(O2311="x",-$E2311/(COUNTIF($J2311:$Q2311,"x")+1),-$E2311*N(O2311)))</f>
        <v/>
      </c>
      <c r="AD2311" s="34">
        <f>IF(OR($A2311="",$H2311&lt;&gt;"Ausgabe",P2311=""),0,IF(P2311="x",-$E2311/(COUNTIF($J2311:$Q2311,"x")+1),-$E2311*N(P2311)))</f>
        <v/>
      </c>
      <c r="AE2311" s="34">
        <f>IF(OR($A2311="",$H2311&lt;&gt;"Ausgabe",Q2311=""),0,IF(Q2311="x",-$E2311/(COUNTIF($J2311:$Q2311,"x")+1),-$E2311*N(Q2311)))</f>
        <v/>
      </c>
    </row>
    <row r="2312">
      <c r="A2312" s="30" t="n"/>
      <c r="E2312" s="31" t="n"/>
      <c r="J2312" s="32" t="n"/>
      <c r="K2312" s="32" t="n"/>
      <c r="L2312" s="32" t="n"/>
      <c r="M2312" s="32" t="n"/>
      <c r="N2312" s="32" t="n"/>
      <c r="O2312" s="32" t="n"/>
      <c r="P2312" s="32" t="n"/>
      <c r="Q2312" s="32" t="n"/>
      <c r="U2312" s="31">
        <f>IF($A2312="","",SUM(X2312:AE2312))</f>
        <v/>
      </c>
      <c r="V2312" s="31">
        <f>IF($A2312="","",IF($H2312&lt;&gt;"Ausgabe",0,-$E2312-$U2312))</f>
        <v/>
      </c>
      <c r="W2312" s="33">
        <f>IF($A2312="","",DATE(YEAR($A2312),MONTH($A2312),1))</f>
        <v/>
      </c>
      <c r="X2312" s="34">
        <f>IF(OR($A2312="",$H2312&lt;&gt;"Ausgabe",J2312=""),0,IF(J2312="x",-$E2312/(COUNTIF($J2312:$Q2312,"x")+1),-$E2312*N(J2312)))</f>
        <v/>
      </c>
      <c r="Y2312" s="34">
        <f>IF(OR($A2312="",$H2312&lt;&gt;"Ausgabe",K2312=""),0,IF(K2312="x",-$E2312/(COUNTIF($J2312:$Q2312,"x")+1),-$E2312*N(K2312)))</f>
        <v/>
      </c>
      <c r="Z2312" s="34">
        <f>IF(OR($A2312="",$H2312&lt;&gt;"Ausgabe",L2312=""),0,IF(L2312="x",-$E2312/(COUNTIF($J2312:$Q2312,"x")+1),-$E2312*N(L2312)))</f>
        <v/>
      </c>
      <c r="AA2312" s="34">
        <f>IF(OR($A2312="",$H2312&lt;&gt;"Ausgabe",M2312=""),0,IF(M2312="x",-$E2312/(COUNTIF($J2312:$Q2312,"x")+1),-$E2312*N(M2312)))</f>
        <v/>
      </c>
      <c r="AB2312" s="34">
        <f>IF(OR($A2312="",$H2312&lt;&gt;"Ausgabe",N2312=""),0,IF(N2312="x",-$E2312/(COUNTIF($J2312:$Q2312,"x")+1),-$E2312*N(N2312)))</f>
        <v/>
      </c>
      <c r="AC2312" s="34">
        <f>IF(OR($A2312="",$H2312&lt;&gt;"Ausgabe",O2312=""),0,IF(O2312="x",-$E2312/(COUNTIF($J2312:$Q2312,"x")+1),-$E2312*N(O2312)))</f>
        <v/>
      </c>
      <c r="AD2312" s="34">
        <f>IF(OR($A2312="",$H2312&lt;&gt;"Ausgabe",P2312=""),0,IF(P2312="x",-$E2312/(COUNTIF($J2312:$Q2312,"x")+1),-$E2312*N(P2312)))</f>
        <v/>
      </c>
      <c r="AE2312" s="34">
        <f>IF(OR($A2312="",$H2312&lt;&gt;"Ausgabe",Q2312=""),0,IF(Q2312="x",-$E2312/(COUNTIF($J2312:$Q2312,"x")+1),-$E2312*N(Q2312)))</f>
        <v/>
      </c>
    </row>
    <row r="2313">
      <c r="A2313" s="30" t="n"/>
      <c r="E2313" s="31" t="n"/>
      <c r="J2313" s="32" t="n"/>
      <c r="K2313" s="32" t="n"/>
      <c r="L2313" s="32" t="n"/>
      <c r="M2313" s="32" t="n"/>
      <c r="N2313" s="32" t="n"/>
      <c r="O2313" s="32" t="n"/>
      <c r="P2313" s="32" t="n"/>
      <c r="Q2313" s="32" t="n"/>
      <c r="U2313" s="31">
        <f>IF($A2313="","",SUM(X2313:AE2313))</f>
        <v/>
      </c>
      <c r="V2313" s="31">
        <f>IF($A2313="","",IF($H2313&lt;&gt;"Ausgabe",0,-$E2313-$U2313))</f>
        <v/>
      </c>
      <c r="W2313" s="33">
        <f>IF($A2313="","",DATE(YEAR($A2313),MONTH($A2313),1))</f>
        <v/>
      </c>
      <c r="X2313" s="34">
        <f>IF(OR($A2313="",$H2313&lt;&gt;"Ausgabe",J2313=""),0,IF(J2313="x",-$E2313/(COUNTIF($J2313:$Q2313,"x")+1),-$E2313*N(J2313)))</f>
        <v/>
      </c>
      <c r="Y2313" s="34">
        <f>IF(OR($A2313="",$H2313&lt;&gt;"Ausgabe",K2313=""),0,IF(K2313="x",-$E2313/(COUNTIF($J2313:$Q2313,"x")+1),-$E2313*N(K2313)))</f>
        <v/>
      </c>
      <c r="Z2313" s="34">
        <f>IF(OR($A2313="",$H2313&lt;&gt;"Ausgabe",L2313=""),0,IF(L2313="x",-$E2313/(COUNTIF($J2313:$Q2313,"x")+1),-$E2313*N(L2313)))</f>
        <v/>
      </c>
      <c r="AA2313" s="34">
        <f>IF(OR($A2313="",$H2313&lt;&gt;"Ausgabe",M2313=""),0,IF(M2313="x",-$E2313/(COUNTIF($J2313:$Q2313,"x")+1),-$E2313*N(M2313)))</f>
        <v/>
      </c>
      <c r="AB2313" s="34">
        <f>IF(OR($A2313="",$H2313&lt;&gt;"Ausgabe",N2313=""),0,IF(N2313="x",-$E2313/(COUNTIF($J2313:$Q2313,"x")+1),-$E2313*N(N2313)))</f>
        <v/>
      </c>
      <c r="AC2313" s="34">
        <f>IF(OR($A2313="",$H2313&lt;&gt;"Ausgabe",O2313=""),0,IF(O2313="x",-$E2313/(COUNTIF($J2313:$Q2313,"x")+1),-$E2313*N(O2313)))</f>
        <v/>
      </c>
      <c r="AD2313" s="34">
        <f>IF(OR($A2313="",$H2313&lt;&gt;"Ausgabe",P2313=""),0,IF(P2313="x",-$E2313/(COUNTIF($J2313:$Q2313,"x")+1),-$E2313*N(P2313)))</f>
        <v/>
      </c>
      <c r="AE2313" s="34">
        <f>IF(OR($A2313="",$H2313&lt;&gt;"Ausgabe",Q2313=""),0,IF(Q2313="x",-$E2313/(COUNTIF($J2313:$Q2313,"x")+1),-$E2313*N(Q2313)))</f>
        <v/>
      </c>
    </row>
    <row r="2314">
      <c r="A2314" s="30" t="n"/>
      <c r="E2314" s="31" t="n"/>
      <c r="J2314" s="32" t="n"/>
      <c r="K2314" s="32" t="n"/>
      <c r="L2314" s="32" t="n"/>
      <c r="M2314" s="32" t="n"/>
      <c r="N2314" s="32" t="n"/>
      <c r="O2314" s="32" t="n"/>
      <c r="P2314" s="32" t="n"/>
      <c r="Q2314" s="32" t="n"/>
      <c r="U2314" s="31">
        <f>IF($A2314="","",SUM(X2314:AE2314))</f>
        <v/>
      </c>
      <c r="V2314" s="31">
        <f>IF($A2314="","",IF($H2314&lt;&gt;"Ausgabe",0,-$E2314-$U2314))</f>
        <v/>
      </c>
      <c r="W2314" s="33">
        <f>IF($A2314="","",DATE(YEAR($A2314),MONTH($A2314),1))</f>
        <v/>
      </c>
      <c r="X2314" s="34">
        <f>IF(OR($A2314="",$H2314&lt;&gt;"Ausgabe",J2314=""),0,IF(J2314="x",-$E2314/(COUNTIF($J2314:$Q2314,"x")+1),-$E2314*N(J2314)))</f>
        <v/>
      </c>
      <c r="Y2314" s="34">
        <f>IF(OR($A2314="",$H2314&lt;&gt;"Ausgabe",K2314=""),0,IF(K2314="x",-$E2314/(COUNTIF($J2314:$Q2314,"x")+1),-$E2314*N(K2314)))</f>
        <v/>
      </c>
      <c r="Z2314" s="34">
        <f>IF(OR($A2314="",$H2314&lt;&gt;"Ausgabe",L2314=""),0,IF(L2314="x",-$E2314/(COUNTIF($J2314:$Q2314,"x")+1),-$E2314*N(L2314)))</f>
        <v/>
      </c>
      <c r="AA2314" s="34">
        <f>IF(OR($A2314="",$H2314&lt;&gt;"Ausgabe",M2314=""),0,IF(M2314="x",-$E2314/(COUNTIF($J2314:$Q2314,"x")+1),-$E2314*N(M2314)))</f>
        <v/>
      </c>
      <c r="AB2314" s="34">
        <f>IF(OR($A2314="",$H2314&lt;&gt;"Ausgabe",N2314=""),0,IF(N2314="x",-$E2314/(COUNTIF($J2314:$Q2314,"x")+1),-$E2314*N(N2314)))</f>
        <v/>
      </c>
      <c r="AC2314" s="34">
        <f>IF(OR($A2314="",$H2314&lt;&gt;"Ausgabe",O2314=""),0,IF(O2314="x",-$E2314/(COUNTIF($J2314:$Q2314,"x")+1),-$E2314*N(O2314)))</f>
        <v/>
      </c>
      <c r="AD2314" s="34">
        <f>IF(OR($A2314="",$H2314&lt;&gt;"Ausgabe",P2314=""),0,IF(P2314="x",-$E2314/(COUNTIF($J2314:$Q2314,"x")+1),-$E2314*N(P2314)))</f>
        <v/>
      </c>
      <c r="AE2314" s="34">
        <f>IF(OR($A2314="",$H2314&lt;&gt;"Ausgabe",Q2314=""),0,IF(Q2314="x",-$E2314/(COUNTIF($J2314:$Q2314,"x")+1),-$E2314*N(Q2314)))</f>
        <v/>
      </c>
    </row>
    <row r="2315">
      <c r="A2315" s="30" t="n"/>
      <c r="E2315" s="31" t="n"/>
      <c r="J2315" s="32" t="n"/>
      <c r="K2315" s="32" t="n"/>
      <c r="L2315" s="32" t="n"/>
      <c r="M2315" s="32" t="n"/>
      <c r="N2315" s="32" t="n"/>
      <c r="O2315" s="32" t="n"/>
      <c r="P2315" s="32" t="n"/>
      <c r="Q2315" s="32" t="n"/>
      <c r="U2315" s="31">
        <f>IF($A2315="","",SUM(X2315:AE2315))</f>
        <v/>
      </c>
      <c r="V2315" s="31">
        <f>IF($A2315="","",IF($H2315&lt;&gt;"Ausgabe",0,-$E2315-$U2315))</f>
        <v/>
      </c>
      <c r="W2315" s="33">
        <f>IF($A2315="","",DATE(YEAR($A2315),MONTH($A2315),1))</f>
        <v/>
      </c>
      <c r="X2315" s="34">
        <f>IF(OR($A2315="",$H2315&lt;&gt;"Ausgabe",J2315=""),0,IF(J2315="x",-$E2315/(COUNTIF($J2315:$Q2315,"x")+1),-$E2315*N(J2315)))</f>
        <v/>
      </c>
      <c r="Y2315" s="34">
        <f>IF(OR($A2315="",$H2315&lt;&gt;"Ausgabe",K2315=""),0,IF(K2315="x",-$E2315/(COUNTIF($J2315:$Q2315,"x")+1),-$E2315*N(K2315)))</f>
        <v/>
      </c>
      <c r="Z2315" s="34">
        <f>IF(OR($A2315="",$H2315&lt;&gt;"Ausgabe",L2315=""),0,IF(L2315="x",-$E2315/(COUNTIF($J2315:$Q2315,"x")+1),-$E2315*N(L2315)))</f>
        <v/>
      </c>
      <c r="AA2315" s="34">
        <f>IF(OR($A2315="",$H2315&lt;&gt;"Ausgabe",M2315=""),0,IF(M2315="x",-$E2315/(COUNTIF($J2315:$Q2315,"x")+1),-$E2315*N(M2315)))</f>
        <v/>
      </c>
      <c r="AB2315" s="34">
        <f>IF(OR($A2315="",$H2315&lt;&gt;"Ausgabe",N2315=""),0,IF(N2315="x",-$E2315/(COUNTIF($J2315:$Q2315,"x")+1),-$E2315*N(N2315)))</f>
        <v/>
      </c>
      <c r="AC2315" s="34">
        <f>IF(OR($A2315="",$H2315&lt;&gt;"Ausgabe",O2315=""),0,IF(O2315="x",-$E2315/(COUNTIF($J2315:$Q2315,"x")+1),-$E2315*N(O2315)))</f>
        <v/>
      </c>
      <c r="AD2315" s="34">
        <f>IF(OR($A2315="",$H2315&lt;&gt;"Ausgabe",P2315=""),0,IF(P2315="x",-$E2315/(COUNTIF($J2315:$Q2315,"x")+1),-$E2315*N(P2315)))</f>
        <v/>
      </c>
      <c r="AE2315" s="34">
        <f>IF(OR($A2315="",$H2315&lt;&gt;"Ausgabe",Q2315=""),0,IF(Q2315="x",-$E2315/(COUNTIF($J2315:$Q2315,"x")+1),-$E2315*N(Q2315)))</f>
        <v/>
      </c>
    </row>
    <row r="2316">
      <c r="A2316" s="30" t="n"/>
      <c r="E2316" s="31" t="n"/>
      <c r="J2316" s="32" t="n"/>
      <c r="K2316" s="32" t="n"/>
      <c r="L2316" s="32" t="n"/>
      <c r="M2316" s="32" t="n"/>
      <c r="N2316" s="32" t="n"/>
      <c r="O2316" s="32" t="n"/>
      <c r="P2316" s="32" t="n"/>
      <c r="Q2316" s="32" t="n"/>
      <c r="U2316" s="31">
        <f>IF($A2316="","",SUM(X2316:AE2316))</f>
        <v/>
      </c>
      <c r="V2316" s="31">
        <f>IF($A2316="","",IF($H2316&lt;&gt;"Ausgabe",0,-$E2316-$U2316))</f>
        <v/>
      </c>
      <c r="W2316" s="33">
        <f>IF($A2316="","",DATE(YEAR($A2316),MONTH($A2316),1))</f>
        <v/>
      </c>
      <c r="X2316" s="34">
        <f>IF(OR($A2316="",$H2316&lt;&gt;"Ausgabe",J2316=""),0,IF(J2316="x",-$E2316/(COUNTIF($J2316:$Q2316,"x")+1),-$E2316*N(J2316)))</f>
        <v/>
      </c>
      <c r="Y2316" s="34">
        <f>IF(OR($A2316="",$H2316&lt;&gt;"Ausgabe",K2316=""),0,IF(K2316="x",-$E2316/(COUNTIF($J2316:$Q2316,"x")+1),-$E2316*N(K2316)))</f>
        <v/>
      </c>
      <c r="Z2316" s="34">
        <f>IF(OR($A2316="",$H2316&lt;&gt;"Ausgabe",L2316=""),0,IF(L2316="x",-$E2316/(COUNTIF($J2316:$Q2316,"x")+1),-$E2316*N(L2316)))</f>
        <v/>
      </c>
      <c r="AA2316" s="34">
        <f>IF(OR($A2316="",$H2316&lt;&gt;"Ausgabe",M2316=""),0,IF(M2316="x",-$E2316/(COUNTIF($J2316:$Q2316,"x")+1),-$E2316*N(M2316)))</f>
        <v/>
      </c>
      <c r="AB2316" s="34">
        <f>IF(OR($A2316="",$H2316&lt;&gt;"Ausgabe",N2316=""),0,IF(N2316="x",-$E2316/(COUNTIF($J2316:$Q2316,"x")+1),-$E2316*N(N2316)))</f>
        <v/>
      </c>
      <c r="AC2316" s="34">
        <f>IF(OR($A2316="",$H2316&lt;&gt;"Ausgabe",O2316=""),0,IF(O2316="x",-$E2316/(COUNTIF($J2316:$Q2316,"x")+1),-$E2316*N(O2316)))</f>
        <v/>
      </c>
      <c r="AD2316" s="34">
        <f>IF(OR($A2316="",$H2316&lt;&gt;"Ausgabe",P2316=""),0,IF(P2316="x",-$E2316/(COUNTIF($J2316:$Q2316,"x")+1),-$E2316*N(P2316)))</f>
        <v/>
      </c>
      <c r="AE2316" s="34">
        <f>IF(OR($A2316="",$H2316&lt;&gt;"Ausgabe",Q2316=""),0,IF(Q2316="x",-$E2316/(COUNTIF($J2316:$Q2316,"x")+1),-$E2316*N(Q2316)))</f>
        <v/>
      </c>
    </row>
    <row r="2317">
      <c r="A2317" s="30" t="n"/>
      <c r="E2317" s="31" t="n"/>
      <c r="J2317" s="32" t="n"/>
      <c r="K2317" s="32" t="n"/>
      <c r="L2317" s="32" t="n"/>
      <c r="M2317" s="32" t="n"/>
      <c r="N2317" s="32" t="n"/>
      <c r="O2317" s="32" t="n"/>
      <c r="P2317" s="32" t="n"/>
      <c r="Q2317" s="32" t="n"/>
      <c r="U2317" s="31">
        <f>IF($A2317="","",SUM(X2317:AE2317))</f>
        <v/>
      </c>
      <c r="V2317" s="31">
        <f>IF($A2317="","",IF($H2317&lt;&gt;"Ausgabe",0,-$E2317-$U2317))</f>
        <v/>
      </c>
      <c r="W2317" s="33">
        <f>IF($A2317="","",DATE(YEAR($A2317),MONTH($A2317),1))</f>
        <v/>
      </c>
      <c r="X2317" s="34">
        <f>IF(OR($A2317="",$H2317&lt;&gt;"Ausgabe",J2317=""),0,IF(J2317="x",-$E2317/(COUNTIF($J2317:$Q2317,"x")+1),-$E2317*N(J2317)))</f>
        <v/>
      </c>
      <c r="Y2317" s="34">
        <f>IF(OR($A2317="",$H2317&lt;&gt;"Ausgabe",K2317=""),0,IF(K2317="x",-$E2317/(COUNTIF($J2317:$Q2317,"x")+1),-$E2317*N(K2317)))</f>
        <v/>
      </c>
      <c r="Z2317" s="34">
        <f>IF(OR($A2317="",$H2317&lt;&gt;"Ausgabe",L2317=""),0,IF(L2317="x",-$E2317/(COUNTIF($J2317:$Q2317,"x")+1),-$E2317*N(L2317)))</f>
        <v/>
      </c>
      <c r="AA2317" s="34">
        <f>IF(OR($A2317="",$H2317&lt;&gt;"Ausgabe",M2317=""),0,IF(M2317="x",-$E2317/(COUNTIF($J2317:$Q2317,"x")+1),-$E2317*N(M2317)))</f>
        <v/>
      </c>
      <c r="AB2317" s="34">
        <f>IF(OR($A2317="",$H2317&lt;&gt;"Ausgabe",N2317=""),0,IF(N2317="x",-$E2317/(COUNTIF($J2317:$Q2317,"x")+1),-$E2317*N(N2317)))</f>
        <v/>
      </c>
      <c r="AC2317" s="34">
        <f>IF(OR($A2317="",$H2317&lt;&gt;"Ausgabe",O2317=""),0,IF(O2317="x",-$E2317/(COUNTIF($J2317:$Q2317,"x")+1),-$E2317*N(O2317)))</f>
        <v/>
      </c>
      <c r="AD2317" s="34">
        <f>IF(OR($A2317="",$H2317&lt;&gt;"Ausgabe",P2317=""),0,IF(P2317="x",-$E2317/(COUNTIF($J2317:$Q2317,"x")+1),-$E2317*N(P2317)))</f>
        <v/>
      </c>
      <c r="AE2317" s="34">
        <f>IF(OR($A2317="",$H2317&lt;&gt;"Ausgabe",Q2317=""),0,IF(Q2317="x",-$E2317/(COUNTIF($J2317:$Q2317,"x")+1),-$E2317*N(Q2317)))</f>
        <v/>
      </c>
    </row>
    <row r="2318">
      <c r="A2318" s="30" t="n"/>
      <c r="E2318" s="31" t="n"/>
      <c r="J2318" s="32" t="n"/>
      <c r="K2318" s="32" t="n"/>
      <c r="L2318" s="32" t="n"/>
      <c r="M2318" s="32" t="n"/>
      <c r="N2318" s="32" t="n"/>
      <c r="O2318" s="32" t="n"/>
      <c r="P2318" s="32" t="n"/>
      <c r="Q2318" s="32" t="n"/>
      <c r="U2318" s="31">
        <f>IF($A2318="","",SUM(X2318:AE2318))</f>
        <v/>
      </c>
      <c r="V2318" s="31">
        <f>IF($A2318="","",IF($H2318&lt;&gt;"Ausgabe",0,-$E2318-$U2318))</f>
        <v/>
      </c>
      <c r="W2318" s="33">
        <f>IF($A2318="","",DATE(YEAR($A2318),MONTH($A2318),1))</f>
        <v/>
      </c>
      <c r="X2318" s="34">
        <f>IF(OR($A2318="",$H2318&lt;&gt;"Ausgabe",J2318=""),0,IF(J2318="x",-$E2318/(COUNTIF($J2318:$Q2318,"x")+1),-$E2318*N(J2318)))</f>
        <v/>
      </c>
      <c r="Y2318" s="34">
        <f>IF(OR($A2318="",$H2318&lt;&gt;"Ausgabe",K2318=""),0,IF(K2318="x",-$E2318/(COUNTIF($J2318:$Q2318,"x")+1),-$E2318*N(K2318)))</f>
        <v/>
      </c>
      <c r="Z2318" s="34">
        <f>IF(OR($A2318="",$H2318&lt;&gt;"Ausgabe",L2318=""),0,IF(L2318="x",-$E2318/(COUNTIF($J2318:$Q2318,"x")+1),-$E2318*N(L2318)))</f>
        <v/>
      </c>
      <c r="AA2318" s="34">
        <f>IF(OR($A2318="",$H2318&lt;&gt;"Ausgabe",M2318=""),0,IF(M2318="x",-$E2318/(COUNTIF($J2318:$Q2318,"x")+1),-$E2318*N(M2318)))</f>
        <v/>
      </c>
      <c r="AB2318" s="34">
        <f>IF(OR($A2318="",$H2318&lt;&gt;"Ausgabe",N2318=""),0,IF(N2318="x",-$E2318/(COUNTIF($J2318:$Q2318,"x")+1),-$E2318*N(N2318)))</f>
        <v/>
      </c>
      <c r="AC2318" s="34">
        <f>IF(OR($A2318="",$H2318&lt;&gt;"Ausgabe",O2318=""),0,IF(O2318="x",-$E2318/(COUNTIF($J2318:$Q2318,"x")+1),-$E2318*N(O2318)))</f>
        <v/>
      </c>
      <c r="AD2318" s="34">
        <f>IF(OR($A2318="",$H2318&lt;&gt;"Ausgabe",P2318=""),0,IF(P2318="x",-$E2318/(COUNTIF($J2318:$Q2318,"x")+1),-$E2318*N(P2318)))</f>
        <v/>
      </c>
      <c r="AE2318" s="34">
        <f>IF(OR($A2318="",$H2318&lt;&gt;"Ausgabe",Q2318=""),0,IF(Q2318="x",-$E2318/(COUNTIF($J2318:$Q2318,"x")+1),-$E2318*N(Q2318)))</f>
        <v/>
      </c>
    </row>
    <row r="2319">
      <c r="A2319" s="30" t="n"/>
      <c r="E2319" s="31" t="n"/>
      <c r="J2319" s="32" t="n"/>
      <c r="K2319" s="32" t="n"/>
      <c r="L2319" s="32" t="n"/>
      <c r="M2319" s="32" t="n"/>
      <c r="N2319" s="32" t="n"/>
      <c r="O2319" s="32" t="n"/>
      <c r="P2319" s="32" t="n"/>
      <c r="Q2319" s="32" t="n"/>
      <c r="U2319" s="31">
        <f>IF($A2319="","",SUM(X2319:AE2319))</f>
        <v/>
      </c>
      <c r="V2319" s="31">
        <f>IF($A2319="","",IF($H2319&lt;&gt;"Ausgabe",0,-$E2319-$U2319))</f>
        <v/>
      </c>
      <c r="W2319" s="33">
        <f>IF($A2319="","",DATE(YEAR($A2319),MONTH($A2319),1))</f>
        <v/>
      </c>
      <c r="X2319" s="34">
        <f>IF(OR($A2319="",$H2319&lt;&gt;"Ausgabe",J2319=""),0,IF(J2319="x",-$E2319/(COUNTIF($J2319:$Q2319,"x")+1),-$E2319*N(J2319)))</f>
        <v/>
      </c>
      <c r="Y2319" s="34">
        <f>IF(OR($A2319="",$H2319&lt;&gt;"Ausgabe",K2319=""),0,IF(K2319="x",-$E2319/(COUNTIF($J2319:$Q2319,"x")+1),-$E2319*N(K2319)))</f>
        <v/>
      </c>
      <c r="Z2319" s="34">
        <f>IF(OR($A2319="",$H2319&lt;&gt;"Ausgabe",L2319=""),0,IF(L2319="x",-$E2319/(COUNTIF($J2319:$Q2319,"x")+1),-$E2319*N(L2319)))</f>
        <v/>
      </c>
      <c r="AA2319" s="34">
        <f>IF(OR($A2319="",$H2319&lt;&gt;"Ausgabe",M2319=""),0,IF(M2319="x",-$E2319/(COUNTIF($J2319:$Q2319,"x")+1),-$E2319*N(M2319)))</f>
        <v/>
      </c>
      <c r="AB2319" s="34">
        <f>IF(OR($A2319="",$H2319&lt;&gt;"Ausgabe",N2319=""),0,IF(N2319="x",-$E2319/(COUNTIF($J2319:$Q2319,"x")+1),-$E2319*N(N2319)))</f>
        <v/>
      </c>
      <c r="AC2319" s="34">
        <f>IF(OR($A2319="",$H2319&lt;&gt;"Ausgabe",O2319=""),0,IF(O2319="x",-$E2319/(COUNTIF($J2319:$Q2319,"x")+1),-$E2319*N(O2319)))</f>
        <v/>
      </c>
      <c r="AD2319" s="34">
        <f>IF(OR($A2319="",$H2319&lt;&gt;"Ausgabe",P2319=""),0,IF(P2319="x",-$E2319/(COUNTIF($J2319:$Q2319,"x")+1),-$E2319*N(P2319)))</f>
        <v/>
      </c>
      <c r="AE2319" s="34">
        <f>IF(OR($A2319="",$H2319&lt;&gt;"Ausgabe",Q2319=""),0,IF(Q2319="x",-$E2319/(COUNTIF($J2319:$Q2319,"x")+1),-$E2319*N(Q2319)))</f>
        <v/>
      </c>
    </row>
    <row r="2320">
      <c r="A2320" s="30" t="n"/>
      <c r="E2320" s="31" t="n"/>
      <c r="J2320" s="32" t="n"/>
      <c r="K2320" s="32" t="n"/>
      <c r="L2320" s="32" t="n"/>
      <c r="M2320" s="32" t="n"/>
      <c r="N2320" s="32" t="n"/>
      <c r="O2320" s="32" t="n"/>
      <c r="P2320" s="32" t="n"/>
      <c r="Q2320" s="32" t="n"/>
      <c r="U2320" s="31">
        <f>IF($A2320="","",SUM(X2320:AE2320))</f>
        <v/>
      </c>
      <c r="V2320" s="31">
        <f>IF($A2320="","",IF($H2320&lt;&gt;"Ausgabe",0,-$E2320-$U2320))</f>
        <v/>
      </c>
      <c r="W2320" s="33">
        <f>IF($A2320="","",DATE(YEAR($A2320),MONTH($A2320),1))</f>
        <v/>
      </c>
      <c r="X2320" s="34">
        <f>IF(OR($A2320="",$H2320&lt;&gt;"Ausgabe",J2320=""),0,IF(J2320="x",-$E2320/(COUNTIF($J2320:$Q2320,"x")+1),-$E2320*N(J2320)))</f>
        <v/>
      </c>
      <c r="Y2320" s="34">
        <f>IF(OR($A2320="",$H2320&lt;&gt;"Ausgabe",K2320=""),0,IF(K2320="x",-$E2320/(COUNTIF($J2320:$Q2320,"x")+1),-$E2320*N(K2320)))</f>
        <v/>
      </c>
      <c r="Z2320" s="34">
        <f>IF(OR($A2320="",$H2320&lt;&gt;"Ausgabe",L2320=""),0,IF(L2320="x",-$E2320/(COUNTIF($J2320:$Q2320,"x")+1),-$E2320*N(L2320)))</f>
        <v/>
      </c>
      <c r="AA2320" s="34">
        <f>IF(OR($A2320="",$H2320&lt;&gt;"Ausgabe",M2320=""),0,IF(M2320="x",-$E2320/(COUNTIF($J2320:$Q2320,"x")+1),-$E2320*N(M2320)))</f>
        <v/>
      </c>
      <c r="AB2320" s="34">
        <f>IF(OR($A2320="",$H2320&lt;&gt;"Ausgabe",N2320=""),0,IF(N2320="x",-$E2320/(COUNTIF($J2320:$Q2320,"x")+1),-$E2320*N(N2320)))</f>
        <v/>
      </c>
      <c r="AC2320" s="34">
        <f>IF(OR($A2320="",$H2320&lt;&gt;"Ausgabe",O2320=""),0,IF(O2320="x",-$E2320/(COUNTIF($J2320:$Q2320,"x")+1),-$E2320*N(O2320)))</f>
        <v/>
      </c>
      <c r="AD2320" s="34">
        <f>IF(OR($A2320="",$H2320&lt;&gt;"Ausgabe",P2320=""),0,IF(P2320="x",-$E2320/(COUNTIF($J2320:$Q2320,"x")+1),-$E2320*N(P2320)))</f>
        <v/>
      </c>
      <c r="AE2320" s="34">
        <f>IF(OR($A2320="",$H2320&lt;&gt;"Ausgabe",Q2320=""),0,IF(Q2320="x",-$E2320/(COUNTIF($J2320:$Q2320,"x")+1),-$E2320*N(Q2320)))</f>
        <v/>
      </c>
    </row>
    <row r="2321">
      <c r="A2321" s="30" t="n"/>
      <c r="E2321" s="31" t="n"/>
      <c r="J2321" s="32" t="n"/>
      <c r="K2321" s="32" t="n"/>
      <c r="L2321" s="32" t="n"/>
      <c r="M2321" s="32" t="n"/>
      <c r="N2321" s="32" t="n"/>
      <c r="O2321" s="32" t="n"/>
      <c r="P2321" s="32" t="n"/>
      <c r="Q2321" s="32" t="n"/>
      <c r="U2321" s="31">
        <f>IF($A2321="","",SUM(X2321:AE2321))</f>
        <v/>
      </c>
      <c r="V2321" s="31">
        <f>IF($A2321="","",IF($H2321&lt;&gt;"Ausgabe",0,-$E2321-$U2321))</f>
        <v/>
      </c>
      <c r="W2321" s="33">
        <f>IF($A2321="","",DATE(YEAR($A2321),MONTH($A2321),1))</f>
        <v/>
      </c>
      <c r="X2321" s="34">
        <f>IF(OR($A2321="",$H2321&lt;&gt;"Ausgabe",J2321=""),0,IF(J2321="x",-$E2321/(COUNTIF($J2321:$Q2321,"x")+1),-$E2321*N(J2321)))</f>
        <v/>
      </c>
      <c r="Y2321" s="34">
        <f>IF(OR($A2321="",$H2321&lt;&gt;"Ausgabe",K2321=""),0,IF(K2321="x",-$E2321/(COUNTIF($J2321:$Q2321,"x")+1),-$E2321*N(K2321)))</f>
        <v/>
      </c>
      <c r="Z2321" s="34">
        <f>IF(OR($A2321="",$H2321&lt;&gt;"Ausgabe",L2321=""),0,IF(L2321="x",-$E2321/(COUNTIF($J2321:$Q2321,"x")+1),-$E2321*N(L2321)))</f>
        <v/>
      </c>
      <c r="AA2321" s="34">
        <f>IF(OR($A2321="",$H2321&lt;&gt;"Ausgabe",M2321=""),0,IF(M2321="x",-$E2321/(COUNTIF($J2321:$Q2321,"x")+1),-$E2321*N(M2321)))</f>
        <v/>
      </c>
      <c r="AB2321" s="34">
        <f>IF(OR($A2321="",$H2321&lt;&gt;"Ausgabe",N2321=""),0,IF(N2321="x",-$E2321/(COUNTIF($J2321:$Q2321,"x")+1),-$E2321*N(N2321)))</f>
        <v/>
      </c>
      <c r="AC2321" s="34">
        <f>IF(OR($A2321="",$H2321&lt;&gt;"Ausgabe",O2321=""),0,IF(O2321="x",-$E2321/(COUNTIF($J2321:$Q2321,"x")+1),-$E2321*N(O2321)))</f>
        <v/>
      </c>
      <c r="AD2321" s="34">
        <f>IF(OR($A2321="",$H2321&lt;&gt;"Ausgabe",P2321=""),0,IF(P2321="x",-$E2321/(COUNTIF($J2321:$Q2321,"x")+1),-$E2321*N(P2321)))</f>
        <v/>
      </c>
      <c r="AE2321" s="34">
        <f>IF(OR($A2321="",$H2321&lt;&gt;"Ausgabe",Q2321=""),0,IF(Q2321="x",-$E2321/(COUNTIF($J2321:$Q2321,"x")+1),-$E2321*N(Q2321)))</f>
        <v/>
      </c>
    </row>
    <row r="2322">
      <c r="A2322" s="30" t="n"/>
      <c r="E2322" s="31" t="n"/>
      <c r="J2322" s="32" t="n"/>
      <c r="K2322" s="32" t="n"/>
      <c r="L2322" s="32" t="n"/>
      <c r="M2322" s="32" t="n"/>
      <c r="N2322" s="32" t="n"/>
      <c r="O2322" s="32" t="n"/>
      <c r="P2322" s="32" t="n"/>
      <c r="Q2322" s="32" t="n"/>
      <c r="U2322" s="31">
        <f>IF($A2322="","",SUM(X2322:AE2322))</f>
        <v/>
      </c>
      <c r="V2322" s="31">
        <f>IF($A2322="","",IF($H2322&lt;&gt;"Ausgabe",0,-$E2322-$U2322))</f>
        <v/>
      </c>
      <c r="W2322" s="33">
        <f>IF($A2322="","",DATE(YEAR($A2322),MONTH($A2322),1))</f>
        <v/>
      </c>
      <c r="X2322" s="34">
        <f>IF(OR($A2322="",$H2322&lt;&gt;"Ausgabe",J2322=""),0,IF(J2322="x",-$E2322/(COUNTIF($J2322:$Q2322,"x")+1),-$E2322*N(J2322)))</f>
        <v/>
      </c>
      <c r="Y2322" s="34">
        <f>IF(OR($A2322="",$H2322&lt;&gt;"Ausgabe",K2322=""),0,IF(K2322="x",-$E2322/(COUNTIF($J2322:$Q2322,"x")+1),-$E2322*N(K2322)))</f>
        <v/>
      </c>
      <c r="Z2322" s="34">
        <f>IF(OR($A2322="",$H2322&lt;&gt;"Ausgabe",L2322=""),0,IF(L2322="x",-$E2322/(COUNTIF($J2322:$Q2322,"x")+1),-$E2322*N(L2322)))</f>
        <v/>
      </c>
      <c r="AA2322" s="34">
        <f>IF(OR($A2322="",$H2322&lt;&gt;"Ausgabe",M2322=""),0,IF(M2322="x",-$E2322/(COUNTIF($J2322:$Q2322,"x")+1),-$E2322*N(M2322)))</f>
        <v/>
      </c>
      <c r="AB2322" s="34">
        <f>IF(OR($A2322="",$H2322&lt;&gt;"Ausgabe",N2322=""),0,IF(N2322="x",-$E2322/(COUNTIF($J2322:$Q2322,"x")+1),-$E2322*N(N2322)))</f>
        <v/>
      </c>
      <c r="AC2322" s="34">
        <f>IF(OR($A2322="",$H2322&lt;&gt;"Ausgabe",O2322=""),0,IF(O2322="x",-$E2322/(COUNTIF($J2322:$Q2322,"x")+1),-$E2322*N(O2322)))</f>
        <v/>
      </c>
      <c r="AD2322" s="34">
        <f>IF(OR($A2322="",$H2322&lt;&gt;"Ausgabe",P2322=""),0,IF(P2322="x",-$E2322/(COUNTIF($J2322:$Q2322,"x")+1),-$E2322*N(P2322)))</f>
        <v/>
      </c>
      <c r="AE2322" s="34">
        <f>IF(OR($A2322="",$H2322&lt;&gt;"Ausgabe",Q2322=""),0,IF(Q2322="x",-$E2322/(COUNTIF($J2322:$Q2322,"x")+1),-$E2322*N(Q2322)))</f>
        <v/>
      </c>
    </row>
    <row r="2323">
      <c r="A2323" s="30" t="n"/>
      <c r="E2323" s="31" t="n"/>
      <c r="J2323" s="32" t="n"/>
      <c r="K2323" s="32" t="n"/>
      <c r="L2323" s="32" t="n"/>
      <c r="M2323" s="32" t="n"/>
      <c r="N2323" s="32" t="n"/>
      <c r="O2323" s="32" t="n"/>
      <c r="P2323" s="32" t="n"/>
      <c r="Q2323" s="32" t="n"/>
      <c r="U2323" s="31">
        <f>IF($A2323="","",SUM(X2323:AE2323))</f>
        <v/>
      </c>
      <c r="V2323" s="31">
        <f>IF($A2323="","",IF($H2323&lt;&gt;"Ausgabe",0,-$E2323-$U2323))</f>
        <v/>
      </c>
      <c r="W2323" s="33">
        <f>IF($A2323="","",DATE(YEAR($A2323),MONTH($A2323),1))</f>
        <v/>
      </c>
      <c r="X2323" s="34">
        <f>IF(OR($A2323="",$H2323&lt;&gt;"Ausgabe",J2323=""),0,IF(J2323="x",-$E2323/(COUNTIF($J2323:$Q2323,"x")+1),-$E2323*N(J2323)))</f>
        <v/>
      </c>
      <c r="Y2323" s="34">
        <f>IF(OR($A2323="",$H2323&lt;&gt;"Ausgabe",K2323=""),0,IF(K2323="x",-$E2323/(COUNTIF($J2323:$Q2323,"x")+1),-$E2323*N(K2323)))</f>
        <v/>
      </c>
      <c r="Z2323" s="34">
        <f>IF(OR($A2323="",$H2323&lt;&gt;"Ausgabe",L2323=""),0,IF(L2323="x",-$E2323/(COUNTIF($J2323:$Q2323,"x")+1),-$E2323*N(L2323)))</f>
        <v/>
      </c>
      <c r="AA2323" s="34">
        <f>IF(OR($A2323="",$H2323&lt;&gt;"Ausgabe",M2323=""),0,IF(M2323="x",-$E2323/(COUNTIF($J2323:$Q2323,"x")+1),-$E2323*N(M2323)))</f>
        <v/>
      </c>
      <c r="AB2323" s="34">
        <f>IF(OR($A2323="",$H2323&lt;&gt;"Ausgabe",N2323=""),0,IF(N2323="x",-$E2323/(COUNTIF($J2323:$Q2323,"x")+1),-$E2323*N(N2323)))</f>
        <v/>
      </c>
      <c r="AC2323" s="34">
        <f>IF(OR($A2323="",$H2323&lt;&gt;"Ausgabe",O2323=""),0,IF(O2323="x",-$E2323/(COUNTIF($J2323:$Q2323,"x")+1),-$E2323*N(O2323)))</f>
        <v/>
      </c>
      <c r="AD2323" s="34">
        <f>IF(OR($A2323="",$H2323&lt;&gt;"Ausgabe",P2323=""),0,IF(P2323="x",-$E2323/(COUNTIF($J2323:$Q2323,"x")+1),-$E2323*N(P2323)))</f>
        <v/>
      </c>
      <c r="AE2323" s="34">
        <f>IF(OR($A2323="",$H2323&lt;&gt;"Ausgabe",Q2323=""),0,IF(Q2323="x",-$E2323/(COUNTIF($J2323:$Q2323,"x")+1),-$E2323*N(Q2323)))</f>
        <v/>
      </c>
    </row>
    <row r="2324">
      <c r="A2324" s="30" t="n"/>
      <c r="E2324" s="31" t="n"/>
      <c r="J2324" s="32" t="n"/>
      <c r="K2324" s="32" t="n"/>
      <c r="L2324" s="32" t="n"/>
      <c r="M2324" s="32" t="n"/>
      <c r="N2324" s="32" t="n"/>
      <c r="O2324" s="32" t="n"/>
      <c r="P2324" s="32" t="n"/>
      <c r="Q2324" s="32" t="n"/>
      <c r="U2324" s="31">
        <f>IF($A2324="","",SUM(X2324:AE2324))</f>
        <v/>
      </c>
      <c r="V2324" s="31">
        <f>IF($A2324="","",IF($H2324&lt;&gt;"Ausgabe",0,-$E2324-$U2324))</f>
        <v/>
      </c>
      <c r="W2324" s="33">
        <f>IF($A2324="","",DATE(YEAR($A2324),MONTH($A2324),1))</f>
        <v/>
      </c>
      <c r="X2324" s="34">
        <f>IF(OR($A2324="",$H2324&lt;&gt;"Ausgabe",J2324=""),0,IF(J2324="x",-$E2324/(COUNTIF($J2324:$Q2324,"x")+1),-$E2324*N(J2324)))</f>
        <v/>
      </c>
      <c r="Y2324" s="34">
        <f>IF(OR($A2324="",$H2324&lt;&gt;"Ausgabe",K2324=""),0,IF(K2324="x",-$E2324/(COUNTIF($J2324:$Q2324,"x")+1),-$E2324*N(K2324)))</f>
        <v/>
      </c>
      <c r="Z2324" s="34">
        <f>IF(OR($A2324="",$H2324&lt;&gt;"Ausgabe",L2324=""),0,IF(L2324="x",-$E2324/(COUNTIF($J2324:$Q2324,"x")+1),-$E2324*N(L2324)))</f>
        <v/>
      </c>
      <c r="AA2324" s="34">
        <f>IF(OR($A2324="",$H2324&lt;&gt;"Ausgabe",M2324=""),0,IF(M2324="x",-$E2324/(COUNTIF($J2324:$Q2324,"x")+1),-$E2324*N(M2324)))</f>
        <v/>
      </c>
      <c r="AB2324" s="34">
        <f>IF(OR($A2324="",$H2324&lt;&gt;"Ausgabe",N2324=""),0,IF(N2324="x",-$E2324/(COUNTIF($J2324:$Q2324,"x")+1),-$E2324*N(N2324)))</f>
        <v/>
      </c>
      <c r="AC2324" s="34">
        <f>IF(OR($A2324="",$H2324&lt;&gt;"Ausgabe",O2324=""),0,IF(O2324="x",-$E2324/(COUNTIF($J2324:$Q2324,"x")+1),-$E2324*N(O2324)))</f>
        <v/>
      </c>
      <c r="AD2324" s="34">
        <f>IF(OR($A2324="",$H2324&lt;&gt;"Ausgabe",P2324=""),0,IF(P2324="x",-$E2324/(COUNTIF($J2324:$Q2324,"x")+1),-$E2324*N(P2324)))</f>
        <v/>
      </c>
      <c r="AE2324" s="34">
        <f>IF(OR($A2324="",$H2324&lt;&gt;"Ausgabe",Q2324=""),0,IF(Q2324="x",-$E2324/(COUNTIF($J2324:$Q2324,"x")+1),-$E2324*N(Q2324)))</f>
        <v/>
      </c>
    </row>
    <row r="2325">
      <c r="A2325" s="30" t="n"/>
      <c r="E2325" s="31" t="n"/>
      <c r="J2325" s="32" t="n"/>
      <c r="K2325" s="32" t="n"/>
      <c r="L2325" s="32" t="n"/>
      <c r="M2325" s="32" t="n"/>
      <c r="N2325" s="32" t="n"/>
      <c r="O2325" s="32" t="n"/>
      <c r="P2325" s="32" t="n"/>
      <c r="Q2325" s="32" t="n"/>
      <c r="U2325" s="31">
        <f>IF($A2325="","",SUM(X2325:AE2325))</f>
        <v/>
      </c>
      <c r="V2325" s="31">
        <f>IF($A2325="","",IF($H2325&lt;&gt;"Ausgabe",0,-$E2325-$U2325))</f>
        <v/>
      </c>
      <c r="W2325" s="33">
        <f>IF($A2325="","",DATE(YEAR($A2325),MONTH($A2325),1))</f>
        <v/>
      </c>
      <c r="X2325" s="34">
        <f>IF(OR($A2325="",$H2325&lt;&gt;"Ausgabe",J2325=""),0,IF(J2325="x",-$E2325/(COUNTIF($J2325:$Q2325,"x")+1),-$E2325*N(J2325)))</f>
        <v/>
      </c>
      <c r="Y2325" s="34">
        <f>IF(OR($A2325="",$H2325&lt;&gt;"Ausgabe",K2325=""),0,IF(K2325="x",-$E2325/(COUNTIF($J2325:$Q2325,"x")+1),-$E2325*N(K2325)))</f>
        <v/>
      </c>
      <c r="Z2325" s="34">
        <f>IF(OR($A2325="",$H2325&lt;&gt;"Ausgabe",L2325=""),0,IF(L2325="x",-$E2325/(COUNTIF($J2325:$Q2325,"x")+1),-$E2325*N(L2325)))</f>
        <v/>
      </c>
      <c r="AA2325" s="34">
        <f>IF(OR($A2325="",$H2325&lt;&gt;"Ausgabe",M2325=""),0,IF(M2325="x",-$E2325/(COUNTIF($J2325:$Q2325,"x")+1),-$E2325*N(M2325)))</f>
        <v/>
      </c>
      <c r="AB2325" s="34">
        <f>IF(OR($A2325="",$H2325&lt;&gt;"Ausgabe",N2325=""),0,IF(N2325="x",-$E2325/(COUNTIF($J2325:$Q2325,"x")+1),-$E2325*N(N2325)))</f>
        <v/>
      </c>
      <c r="AC2325" s="34">
        <f>IF(OR($A2325="",$H2325&lt;&gt;"Ausgabe",O2325=""),0,IF(O2325="x",-$E2325/(COUNTIF($J2325:$Q2325,"x")+1),-$E2325*N(O2325)))</f>
        <v/>
      </c>
      <c r="AD2325" s="34">
        <f>IF(OR($A2325="",$H2325&lt;&gt;"Ausgabe",P2325=""),0,IF(P2325="x",-$E2325/(COUNTIF($J2325:$Q2325,"x")+1),-$E2325*N(P2325)))</f>
        <v/>
      </c>
      <c r="AE2325" s="34">
        <f>IF(OR($A2325="",$H2325&lt;&gt;"Ausgabe",Q2325=""),0,IF(Q2325="x",-$E2325/(COUNTIF($J2325:$Q2325,"x")+1),-$E2325*N(Q2325)))</f>
        <v/>
      </c>
    </row>
    <row r="2326">
      <c r="A2326" s="30" t="n"/>
      <c r="E2326" s="31" t="n"/>
      <c r="J2326" s="32" t="n"/>
      <c r="K2326" s="32" t="n"/>
      <c r="L2326" s="32" t="n"/>
      <c r="M2326" s="32" t="n"/>
      <c r="N2326" s="32" t="n"/>
      <c r="O2326" s="32" t="n"/>
      <c r="P2326" s="32" t="n"/>
      <c r="Q2326" s="32" t="n"/>
      <c r="U2326" s="31">
        <f>IF($A2326="","",SUM(X2326:AE2326))</f>
        <v/>
      </c>
      <c r="V2326" s="31">
        <f>IF($A2326="","",IF($H2326&lt;&gt;"Ausgabe",0,-$E2326-$U2326))</f>
        <v/>
      </c>
      <c r="W2326" s="33">
        <f>IF($A2326="","",DATE(YEAR($A2326),MONTH($A2326),1))</f>
        <v/>
      </c>
      <c r="X2326" s="34">
        <f>IF(OR($A2326="",$H2326&lt;&gt;"Ausgabe",J2326=""),0,IF(J2326="x",-$E2326/(COUNTIF($J2326:$Q2326,"x")+1),-$E2326*N(J2326)))</f>
        <v/>
      </c>
      <c r="Y2326" s="34">
        <f>IF(OR($A2326="",$H2326&lt;&gt;"Ausgabe",K2326=""),0,IF(K2326="x",-$E2326/(COUNTIF($J2326:$Q2326,"x")+1),-$E2326*N(K2326)))</f>
        <v/>
      </c>
      <c r="Z2326" s="34">
        <f>IF(OR($A2326="",$H2326&lt;&gt;"Ausgabe",L2326=""),0,IF(L2326="x",-$E2326/(COUNTIF($J2326:$Q2326,"x")+1),-$E2326*N(L2326)))</f>
        <v/>
      </c>
      <c r="AA2326" s="34">
        <f>IF(OR($A2326="",$H2326&lt;&gt;"Ausgabe",M2326=""),0,IF(M2326="x",-$E2326/(COUNTIF($J2326:$Q2326,"x")+1),-$E2326*N(M2326)))</f>
        <v/>
      </c>
      <c r="AB2326" s="34">
        <f>IF(OR($A2326="",$H2326&lt;&gt;"Ausgabe",N2326=""),0,IF(N2326="x",-$E2326/(COUNTIF($J2326:$Q2326,"x")+1),-$E2326*N(N2326)))</f>
        <v/>
      </c>
      <c r="AC2326" s="34">
        <f>IF(OR($A2326="",$H2326&lt;&gt;"Ausgabe",O2326=""),0,IF(O2326="x",-$E2326/(COUNTIF($J2326:$Q2326,"x")+1),-$E2326*N(O2326)))</f>
        <v/>
      </c>
      <c r="AD2326" s="34">
        <f>IF(OR($A2326="",$H2326&lt;&gt;"Ausgabe",P2326=""),0,IF(P2326="x",-$E2326/(COUNTIF($J2326:$Q2326,"x")+1),-$E2326*N(P2326)))</f>
        <v/>
      </c>
      <c r="AE2326" s="34">
        <f>IF(OR($A2326="",$H2326&lt;&gt;"Ausgabe",Q2326=""),0,IF(Q2326="x",-$E2326/(COUNTIF($J2326:$Q2326,"x")+1),-$E2326*N(Q2326)))</f>
        <v/>
      </c>
    </row>
    <row r="2327">
      <c r="A2327" s="30" t="n"/>
      <c r="E2327" s="31" t="n"/>
      <c r="J2327" s="32" t="n"/>
      <c r="K2327" s="32" t="n"/>
      <c r="L2327" s="32" t="n"/>
      <c r="M2327" s="32" t="n"/>
      <c r="N2327" s="32" t="n"/>
      <c r="O2327" s="32" t="n"/>
      <c r="P2327" s="32" t="n"/>
      <c r="Q2327" s="32" t="n"/>
      <c r="U2327" s="31">
        <f>IF($A2327="","",SUM(X2327:AE2327))</f>
        <v/>
      </c>
      <c r="V2327" s="31">
        <f>IF($A2327="","",IF($H2327&lt;&gt;"Ausgabe",0,-$E2327-$U2327))</f>
        <v/>
      </c>
      <c r="W2327" s="33">
        <f>IF($A2327="","",DATE(YEAR($A2327),MONTH($A2327),1))</f>
        <v/>
      </c>
      <c r="X2327" s="34">
        <f>IF(OR($A2327="",$H2327&lt;&gt;"Ausgabe",J2327=""),0,IF(J2327="x",-$E2327/(COUNTIF($J2327:$Q2327,"x")+1),-$E2327*N(J2327)))</f>
        <v/>
      </c>
      <c r="Y2327" s="34">
        <f>IF(OR($A2327="",$H2327&lt;&gt;"Ausgabe",K2327=""),0,IF(K2327="x",-$E2327/(COUNTIF($J2327:$Q2327,"x")+1),-$E2327*N(K2327)))</f>
        <v/>
      </c>
      <c r="Z2327" s="34">
        <f>IF(OR($A2327="",$H2327&lt;&gt;"Ausgabe",L2327=""),0,IF(L2327="x",-$E2327/(COUNTIF($J2327:$Q2327,"x")+1),-$E2327*N(L2327)))</f>
        <v/>
      </c>
      <c r="AA2327" s="34">
        <f>IF(OR($A2327="",$H2327&lt;&gt;"Ausgabe",M2327=""),0,IF(M2327="x",-$E2327/(COUNTIF($J2327:$Q2327,"x")+1),-$E2327*N(M2327)))</f>
        <v/>
      </c>
      <c r="AB2327" s="34">
        <f>IF(OR($A2327="",$H2327&lt;&gt;"Ausgabe",N2327=""),0,IF(N2327="x",-$E2327/(COUNTIF($J2327:$Q2327,"x")+1),-$E2327*N(N2327)))</f>
        <v/>
      </c>
      <c r="AC2327" s="34">
        <f>IF(OR($A2327="",$H2327&lt;&gt;"Ausgabe",O2327=""),0,IF(O2327="x",-$E2327/(COUNTIF($J2327:$Q2327,"x")+1),-$E2327*N(O2327)))</f>
        <v/>
      </c>
      <c r="AD2327" s="34">
        <f>IF(OR($A2327="",$H2327&lt;&gt;"Ausgabe",P2327=""),0,IF(P2327="x",-$E2327/(COUNTIF($J2327:$Q2327,"x")+1),-$E2327*N(P2327)))</f>
        <v/>
      </c>
      <c r="AE2327" s="34">
        <f>IF(OR($A2327="",$H2327&lt;&gt;"Ausgabe",Q2327=""),0,IF(Q2327="x",-$E2327/(COUNTIF($J2327:$Q2327,"x")+1),-$E2327*N(Q2327)))</f>
        <v/>
      </c>
    </row>
    <row r="2328">
      <c r="A2328" s="30" t="n"/>
      <c r="E2328" s="31" t="n"/>
      <c r="J2328" s="32" t="n"/>
      <c r="K2328" s="32" t="n"/>
      <c r="L2328" s="32" t="n"/>
      <c r="M2328" s="32" t="n"/>
      <c r="N2328" s="32" t="n"/>
      <c r="O2328" s="32" t="n"/>
      <c r="P2328" s="32" t="n"/>
      <c r="Q2328" s="32" t="n"/>
      <c r="U2328" s="31">
        <f>IF($A2328="","",SUM(X2328:AE2328))</f>
        <v/>
      </c>
      <c r="V2328" s="31">
        <f>IF($A2328="","",IF($H2328&lt;&gt;"Ausgabe",0,-$E2328-$U2328))</f>
        <v/>
      </c>
      <c r="W2328" s="33">
        <f>IF($A2328="","",DATE(YEAR($A2328),MONTH($A2328),1))</f>
        <v/>
      </c>
      <c r="X2328" s="34">
        <f>IF(OR($A2328="",$H2328&lt;&gt;"Ausgabe",J2328=""),0,IF(J2328="x",-$E2328/(COUNTIF($J2328:$Q2328,"x")+1),-$E2328*N(J2328)))</f>
        <v/>
      </c>
      <c r="Y2328" s="34">
        <f>IF(OR($A2328="",$H2328&lt;&gt;"Ausgabe",K2328=""),0,IF(K2328="x",-$E2328/(COUNTIF($J2328:$Q2328,"x")+1),-$E2328*N(K2328)))</f>
        <v/>
      </c>
      <c r="Z2328" s="34">
        <f>IF(OR($A2328="",$H2328&lt;&gt;"Ausgabe",L2328=""),0,IF(L2328="x",-$E2328/(COUNTIF($J2328:$Q2328,"x")+1),-$E2328*N(L2328)))</f>
        <v/>
      </c>
      <c r="AA2328" s="34">
        <f>IF(OR($A2328="",$H2328&lt;&gt;"Ausgabe",M2328=""),0,IF(M2328="x",-$E2328/(COUNTIF($J2328:$Q2328,"x")+1),-$E2328*N(M2328)))</f>
        <v/>
      </c>
      <c r="AB2328" s="34">
        <f>IF(OR($A2328="",$H2328&lt;&gt;"Ausgabe",N2328=""),0,IF(N2328="x",-$E2328/(COUNTIF($J2328:$Q2328,"x")+1),-$E2328*N(N2328)))</f>
        <v/>
      </c>
      <c r="AC2328" s="34">
        <f>IF(OR($A2328="",$H2328&lt;&gt;"Ausgabe",O2328=""),0,IF(O2328="x",-$E2328/(COUNTIF($J2328:$Q2328,"x")+1),-$E2328*N(O2328)))</f>
        <v/>
      </c>
      <c r="AD2328" s="34">
        <f>IF(OR($A2328="",$H2328&lt;&gt;"Ausgabe",P2328=""),0,IF(P2328="x",-$E2328/(COUNTIF($J2328:$Q2328,"x")+1),-$E2328*N(P2328)))</f>
        <v/>
      </c>
      <c r="AE2328" s="34">
        <f>IF(OR($A2328="",$H2328&lt;&gt;"Ausgabe",Q2328=""),0,IF(Q2328="x",-$E2328/(COUNTIF($J2328:$Q2328,"x")+1),-$E2328*N(Q2328)))</f>
        <v/>
      </c>
    </row>
    <row r="2329">
      <c r="A2329" s="30" t="n"/>
      <c r="E2329" s="31" t="n"/>
      <c r="J2329" s="32" t="n"/>
      <c r="K2329" s="32" t="n"/>
      <c r="L2329" s="32" t="n"/>
      <c r="M2329" s="32" t="n"/>
      <c r="N2329" s="32" t="n"/>
      <c r="O2329" s="32" t="n"/>
      <c r="P2329" s="32" t="n"/>
      <c r="Q2329" s="32" t="n"/>
      <c r="U2329" s="31">
        <f>IF($A2329="","",SUM(X2329:AE2329))</f>
        <v/>
      </c>
      <c r="V2329" s="31">
        <f>IF($A2329="","",IF($H2329&lt;&gt;"Ausgabe",0,-$E2329-$U2329))</f>
        <v/>
      </c>
      <c r="W2329" s="33">
        <f>IF($A2329="","",DATE(YEAR($A2329),MONTH($A2329),1))</f>
        <v/>
      </c>
      <c r="X2329" s="34">
        <f>IF(OR($A2329="",$H2329&lt;&gt;"Ausgabe",J2329=""),0,IF(J2329="x",-$E2329/(COUNTIF($J2329:$Q2329,"x")+1),-$E2329*N(J2329)))</f>
        <v/>
      </c>
      <c r="Y2329" s="34">
        <f>IF(OR($A2329="",$H2329&lt;&gt;"Ausgabe",K2329=""),0,IF(K2329="x",-$E2329/(COUNTIF($J2329:$Q2329,"x")+1),-$E2329*N(K2329)))</f>
        <v/>
      </c>
      <c r="Z2329" s="34">
        <f>IF(OR($A2329="",$H2329&lt;&gt;"Ausgabe",L2329=""),0,IF(L2329="x",-$E2329/(COUNTIF($J2329:$Q2329,"x")+1),-$E2329*N(L2329)))</f>
        <v/>
      </c>
      <c r="AA2329" s="34">
        <f>IF(OR($A2329="",$H2329&lt;&gt;"Ausgabe",M2329=""),0,IF(M2329="x",-$E2329/(COUNTIF($J2329:$Q2329,"x")+1),-$E2329*N(M2329)))</f>
        <v/>
      </c>
      <c r="AB2329" s="34">
        <f>IF(OR($A2329="",$H2329&lt;&gt;"Ausgabe",N2329=""),0,IF(N2329="x",-$E2329/(COUNTIF($J2329:$Q2329,"x")+1),-$E2329*N(N2329)))</f>
        <v/>
      </c>
      <c r="AC2329" s="34">
        <f>IF(OR($A2329="",$H2329&lt;&gt;"Ausgabe",O2329=""),0,IF(O2329="x",-$E2329/(COUNTIF($J2329:$Q2329,"x")+1),-$E2329*N(O2329)))</f>
        <v/>
      </c>
      <c r="AD2329" s="34">
        <f>IF(OR($A2329="",$H2329&lt;&gt;"Ausgabe",P2329=""),0,IF(P2329="x",-$E2329/(COUNTIF($J2329:$Q2329,"x")+1),-$E2329*N(P2329)))</f>
        <v/>
      </c>
      <c r="AE2329" s="34">
        <f>IF(OR($A2329="",$H2329&lt;&gt;"Ausgabe",Q2329=""),0,IF(Q2329="x",-$E2329/(COUNTIF($J2329:$Q2329,"x")+1),-$E2329*N(Q2329)))</f>
        <v/>
      </c>
    </row>
    <row r="2330">
      <c r="A2330" s="30" t="n"/>
      <c r="E2330" s="31" t="n"/>
      <c r="J2330" s="32" t="n"/>
      <c r="K2330" s="32" t="n"/>
      <c r="L2330" s="32" t="n"/>
      <c r="M2330" s="32" t="n"/>
      <c r="N2330" s="32" t="n"/>
      <c r="O2330" s="32" t="n"/>
      <c r="P2330" s="32" t="n"/>
      <c r="Q2330" s="32" t="n"/>
      <c r="U2330" s="31">
        <f>IF($A2330="","",SUM(X2330:AE2330))</f>
        <v/>
      </c>
      <c r="V2330" s="31">
        <f>IF($A2330="","",IF($H2330&lt;&gt;"Ausgabe",0,-$E2330-$U2330))</f>
        <v/>
      </c>
      <c r="W2330" s="33">
        <f>IF($A2330="","",DATE(YEAR($A2330),MONTH($A2330),1))</f>
        <v/>
      </c>
      <c r="X2330" s="34">
        <f>IF(OR($A2330="",$H2330&lt;&gt;"Ausgabe",J2330=""),0,IF(J2330="x",-$E2330/(COUNTIF($J2330:$Q2330,"x")+1),-$E2330*N(J2330)))</f>
        <v/>
      </c>
      <c r="Y2330" s="34">
        <f>IF(OR($A2330="",$H2330&lt;&gt;"Ausgabe",K2330=""),0,IF(K2330="x",-$E2330/(COUNTIF($J2330:$Q2330,"x")+1),-$E2330*N(K2330)))</f>
        <v/>
      </c>
      <c r="Z2330" s="34">
        <f>IF(OR($A2330="",$H2330&lt;&gt;"Ausgabe",L2330=""),0,IF(L2330="x",-$E2330/(COUNTIF($J2330:$Q2330,"x")+1),-$E2330*N(L2330)))</f>
        <v/>
      </c>
      <c r="AA2330" s="34">
        <f>IF(OR($A2330="",$H2330&lt;&gt;"Ausgabe",M2330=""),0,IF(M2330="x",-$E2330/(COUNTIF($J2330:$Q2330,"x")+1),-$E2330*N(M2330)))</f>
        <v/>
      </c>
      <c r="AB2330" s="34">
        <f>IF(OR($A2330="",$H2330&lt;&gt;"Ausgabe",N2330=""),0,IF(N2330="x",-$E2330/(COUNTIF($J2330:$Q2330,"x")+1),-$E2330*N(N2330)))</f>
        <v/>
      </c>
      <c r="AC2330" s="34">
        <f>IF(OR($A2330="",$H2330&lt;&gt;"Ausgabe",O2330=""),0,IF(O2330="x",-$E2330/(COUNTIF($J2330:$Q2330,"x")+1),-$E2330*N(O2330)))</f>
        <v/>
      </c>
      <c r="AD2330" s="34">
        <f>IF(OR($A2330="",$H2330&lt;&gt;"Ausgabe",P2330=""),0,IF(P2330="x",-$E2330/(COUNTIF($J2330:$Q2330,"x")+1),-$E2330*N(P2330)))</f>
        <v/>
      </c>
      <c r="AE2330" s="34">
        <f>IF(OR($A2330="",$H2330&lt;&gt;"Ausgabe",Q2330=""),0,IF(Q2330="x",-$E2330/(COUNTIF($J2330:$Q2330,"x")+1),-$E2330*N(Q2330)))</f>
        <v/>
      </c>
    </row>
    <row r="2331">
      <c r="A2331" s="30" t="n"/>
      <c r="E2331" s="31" t="n"/>
      <c r="J2331" s="32" t="n"/>
      <c r="K2331" s="32" t="n"/>
      <c r="L2331" s="32" t="n"/>
      <c r="M2331" s="32" t="n"/>
      <c r="N2331" s="32" t="n"/>
      <c r="O2331" s="32" t="n"/>
      <c r="P2331" s="32" t="n"/>
      <c r="Q2331" s="32" t="n"/>
      <c r="U2331" s="31">
        <f>IF($A2331="","",SUM(X2331:AE2331))</f>
        <v/>
      </c>
      <c r="V2331" s="31">
        <f>IF($A2331="","",IF($H2331&lt;&gt;"Ausgabe",0,-$E2331-$U2331))</f>
        <v/>
      </c>
      <c r="W2331" s="33">
        <f>IF($A2331="","",DATE(YEAR($A2331),MONTH($A2331),1))</f>
        <v/>
      </c>
      <c r="X2331" s="34">
        <f>IF(OR($A2331="",$H2331&lt;&gt;"Ausgabe",J2331=""),0,IF(J2331="x",-$E2331/(COUNTIF($J2331:$Q2331,"x")+1),-$E2331*N(J2331)))</f>
        <v/>
      </c>
      <c r="Y2331" s="34">
        <f>IF(OR($A2331="",$H2331&lt;&gt;"Ausgabe",K2331=""),0,IF(K2331="x",-$E2331/(COUNTIF($J2331:$Q2331,"x")+1),-$E2331*N(K2331)))</f>
        <v/>
      </c>
      <c r="Z2331" s="34">
        <f>IF(OR($A2331="",$H2331&lt;&gt;"Ausgabe",L2331=""),0,IF(L2331="x",-$E2331/(COUNTIF($J2331:$Q2331,"x")+1),-$E2331*N(L2331)))</f>
        <v/>
      </c>
      <c r="AA2331" s="34">
        <f>IF(OR($A2331="",$H2331&lt;&gt;"Ausgabe",M2331=""),0,IF(M2331="x",-$E2331/(COUNTIF($J2331:$Q2331,"x")+1),-$E2331*N(M2331)))</f>
        <v/>
      </c>
      <c r="AB2331" s="34">
        <f>IF(OR($A2331="",$H2331&lt;&gt;"Ausgabe",N2331=""),0,IF(N2331="x",-$E2331/(COUNTIF($J2331:$Q2331,"x")+1),-$E2331*N(N2331)))</f>
        <v/>
      </c>
      <c r="AC2331" s="34">
        <f>IF(OR($A2331="",$H2331&lt;&gt;"Ausgabe",O2331=""),0,IF(O2331="x",-$E2331/(COUNTIF($J2331:$Q2331,"x")+1),-$E2331*N(O2331)))</f>
        <v/>
      </c>
      <c r="AD2331" s="34">
        <f>IF(OR($A2331="",$H2331&lt;&gt;"Ausgabe",P2331=""),0,IF(P2331="x",-$E2331/(COUNTIF($J2331:$Q2331,"x")+1),-$E2331*N(P2331)))</f>
        <v/>
      </c>
      <c r="AE2331" s="34">
        <f>IF(OR($A2331="",$H2331&lt;&gt;"Ausgabe",Q2331=""),0,IF(Q2331="x",-$E2331/(COUNTIF($J2331:$Q2331,"x")+1),-$E2331*N(Q2331)))</f>
        <v/>
      </c>
    </row>
    <row r="2332">
      <c r="A2332" s="30" t="n"/>
      <c r="E2332" s="31" t="n"/>
      <c r="J2332" s="32" t="n"/>
      <c r="K2332" s="32" t="n"/>
      <c r="L2332" s="32" t="n"/>
      <c r="M2332" s="32" t="n"/>
      <c r="N2332" s="32" t="n"/>
      <c r="O2332" s="32" t="n"/>
      <c r="P2332" s="32" t="n"/>
      <c r="Q2332" s="32" t="n"/>
      <c r="U2332" s="31">
        <f>IF($A2332="","",SUM(X2332:AE2332))</f>
        <v/>
      </c>
      <c r="V2332" s="31">
        <f>IF($A2332="","",IF($H2332&lt;&gt;"Ausgabe",0,-$E2332-$U2332))</f>
        <v/>
      </c>
      <c r="W2332" s="33">
        <f>IF($A2332="","",DATE(YEAR($A2332),MONTH($A2332),1))</f>
        <v/>
      </c>
      <c r="X2332" s="34">
        <f>IF(OR($A2332="",$H2332&lt;&gt;"Ausgabe",J2332=""),0,IF(J2332="x",-$E2332/(COUNTIF($J2332:$Q2332,"x")+1),-$E2332*N(J2332)))</f>
        <v/>
      </c>
      <c r="Y2332" s="34">
        <f>IF(OR($A2332="",$H2332&lt;&gt;"Ausgabe",K2332=""),0,IF(K2332="x",-$E2332/(COUNTIF($J2332:$Q2332,"x")+1),-$E2332*N(K2332)))</f>
        <v/>
      </c>
      <c r="Z2332" s="34">
        <f>IF(OR($A2332="",$H2332&lt;&gt;"Ausgabe",L2332=""),0,IF(L2332="x",-$E2332/(COUNTIF($J2332:$Q2332,"x")+1),-$E2332*N(L2332)))</f>
        <v/>
      </c>
      <c r="AA2332" s="34">
        <f>IF(OR($A2332="",$H2332&lt;&gt;"Ausgabe",M2332=""),0,IF(M2332="x",-$E2332/(COUNTIF($J2332:$Q2332,"x")+1),-$E2332*N(M2332)))</f>
        <v/>
      </c>
      <c r="AB2332" s="34">
        <f>IF(OR($A2332="",$H2332&lt;&gt;"Ausgabe",N2332=""),0,IF(N2332="x",-$E2332/(COUNTIF($J2332:$Q2332,"x")+1),-$E2332*N(N2332)))</f>
        <v/>
      </c>
      <c r="AC2332" s="34">
        <f>IF(OR($A2332="",$H2332&lt;&gt;"Ausgabe",O2332=""),0,IF(O2332="x",-$E2332/(COUNTIF($J2332:$Q2332,"x")+1),-$E2332*N(O2332)))</f>
        <v/>
      </c>
      <c r="AD2332" s="34">
        <f>IF(OR($A2332="",$H2332&lt;&gt;"Ausgabe",P2332=""),0,IF(P2332="x",-$E2332/(COUNTIF($J2332:$Q2332,"x")+1),-$E2332*N(P2332)))</f>
        <v/>
      </c>
      <c r="AE2332" s="34">
        <f>IF(OR($A2332="",$H2332&lt;&gt;"Ausgabe",Q2332=""),0,IF(Q2332="x",-$E2332/(COUNTIF($J2332:$Q2332,"x")+1),-$E2332*N(Q2332)))</f>
        <v/>
      </c>
    </row>
    <row r="2333">
      <c r="A2333" s="30" t="n"/>
      <c r="E2333" s="31" t="n"/>
      <c r="J2333" s="32" t="n"/>
      <c r="K2333" s="32" t="n"/>
      <c r="L2333" s="32" t="n"/>
      <c r="M2333" s="32" t="n"/>
      <c r="N2333" s="32" t="n"/>
      <c r="O2333" s="32" t="n"/>
      <c r="P2333" s="32" t="n"/>
      <c r="Q2333" s="32" t="n"/>
      <c r="U2333" s="31">
        <f>IF($A2333="","",SUM(X2333:AE2333))</f>
        <v/>
      </c>
      <c r="V2333" s="31">
        <f>IF($A2333="","",IF($H2333&lt;&gt;"Ausgabe",0,-$E2333-$U2333))</f>
        <v/>
      </c>
      <c r="W2333" s="33">
        <f>IF($A2333="","",DATE(YEAR($A2333),MONTH($A2333),1))</f>
        <v/>
      </c>
      <c r="X2333" s="34">
        <f>IF(OR($A2333="",$H2333&lt;&gt;"Ausgabe",J2333=""),0,IF(J2333="x",-$E2333/(COUNTIF($J2333:$Q2333,"x")+1),-$E2333*N(J2333)))</f>
        <v/>
      </c>
      <c r="Y2333" s="34">
        <f>IF(OR($A2333="",$H2333&lt;&gt;"Ausgabe",K2333=""),0,IF(K2333="x",-$E2333/(COUNTIF($J2333:$Q2333,"x")+1),-$E2333*N(K2333)))</f>
        <v/>
      </c>
      <c r="Z2333" s="34">
        <f>IF(OR($A2333="",$H2333&lt;&gt;"Ausgabe",L2333=""),0,IF(L2333="x",-$E2333/(COUNTIF($J2333:$Q2333,"x")+1),-$E2333*N(L2333)))</f>
        <v/>
      </c>
      <c r="AA2333" s="34">
        <f>IF(OR($A2333="",$H2333&lt;&gt;"Ausgabe",M2333=""),0,IF(M2333="x",-$E2333/(COUNTIF($J2333:$Q2333,"x")+1),-$E2333*N(M2333)))</f>
        <v/>
      </c>
      <c r="AB2333" s="34">
        <f>IF(OR($A2333="",$H2333&lt;&gt;"Ausgabe",N2333=""),0,IF(N2333="x",-$E2333/(COUNTIF($J2333:$Q2333,"x")+1),-$E2333*N(N2333)))</f>
        <v/>
      </c>
      <c r="AC2333" s="34">
        <f>IF(OR($A2333="",$H2333&lt;&gt;"Ausgabe",O2333=""),0,IF(O2333="x",-$E2333/(COUNTIF($J2333:$Q2333,"x")+1),-$E2333*N(O2333)))</f>
        <v/>
      </c>
      <c r="AD2333" s="34">
        <f>IF(OR($A2333="",$H2333&lt;&gt;"Ausgabe",P2333=""),0,IF(P2333="x",-$E2333/(COUNTIF($J2333:$Q2333,"x")+1),-$E2333*N(P2333)))</f>
        <v/>
      </c>
      <c r="AE2333" s="34">
        <f>IF(OR($A2333="",$H2333&lt;&gt;"Ausgabe",Q2333=""),0,IF(Q2333="x",-$E2333/(COUNTIF($J2333:$Q2333,"x")+1),-$E2333*N(Q2333)))</f>
        <v/>
      </c>
    </row>
    <row r="2334">
      <c r="A2334" s="30" t="n"/>
      <c r="E2334" s="31" t="n"/>
      <c r="J2334" s="32" t="n"/>
      <c r="K2334" s="32" t="n"/>
      <c r="L2334" s="32" t="n"/>
      <c r="M2334" s="32" t="n"/>
      <c r="N2334" s="32" t="n"/>
      <c r="O2334" s="32" t="n"/>
      <c r="P2334" s="32" t="n"/>
      <c r="Q2334" s="32" t="n"/>
      <c r="U2334" s="31">
        <f>IF($A2334="","",SUM(X2334:AE2334))</f>
        <v/>
      </c>
      <c r="V2334" s="31">
        <f>IF($A2334="","",IF($H2334&lt;&gt;"Ausgabe",0,-$E2334-$U2334))</f>
        <v/>
      </c>
      <c r="W2334" s="33">
        <f>IF($A2334="","",DATE(YEAR($A2334),MONTH($A2334),1))</f>
        <v/>
      </c>
      <c r="X2334" s="34">
        <f>IF(OR($A2334="",$H2334&lt;&gt;"Ausgabe",J2334=""),0,IF(J2334="x",-$E2334/(COUNTIF($J2334:$Q2334,"x")+1),-$E2334*N(J2334)))</f>
        <v/>
      </c>
      <c r="Y2334" s="34">
        <f>IF(OR($A2334="",$H2334&lt;&gt;"Ausgabe",K2334=""),0,IF(K2334="x",-$E2334/(COUNTIF($J2334:$Q2334,"x")+1),-$E2334*N(K2334)))</f>
        <v/>
      </c>
      <c r="Z2334" s="34">
        <f>IF(OR($A2334="",$H2334&lt;&gt;"Ausgabe",L2334=""),0,IF(L2334="x",-$E2334/(COUNTIF($J2334:$Q2334,"x")+1),-$E2334*N(L2334)))</f>
        <v/>
      </c>
      <c r="AA2334" s="34">
        <f>IF(OR($A2334="",$H2334&lt;&gt;"Ausgabe",M2334=""),0,IF(M2334="x",-$E2334/(COUNTIF($J2334:$Q2334,"x")+1),-$E2334*N(M2334)))</f>
        <v/>
      </c>
      <c r="AB2334" s="34">
        <f>IF(OR($A2334="",$H2334&lt;&gt;"Ausgabe",N2334=""),0,IF(N2334="x",-$E2334/(COUNTIF($J2334:$Q2334,"x")+1),-$E2334*N(N2334)))</f>
        <v/>
      </c>
      <c r="AC2334" s="34">
        <f>IF(OR($A2334="",$H2334&lt;&gt;"Ausgabe",O2334=""),0,IF(O2334="x",-$E2334/(COUNTIF($J2334:$Q2334,"x")+1),-$E2334*N(O2334)))</f>
        <v/>
      </c>
      <c r="AD2334" s="34">
        <f>IF(OR($A2334="",$H2334&lt;&gt;"Ausgabe",P2334=""),0,IF(P2334="x",-$E2334/(COUNTIF($J2334:$Q2334,"x")+1),-$E2334*N(P2334)))</f>
        <v/>
      </c>
      <c r="AE2334" s="34">
        <f>IF(OR($A2334="",$H2334&lt;&gt;"Ausgabe",Q2334=""),0,IF(Q2334="x",-$E2334/(COUNTIF($J2334:$Q2334,"x")+1),-$E2334*N(Q2334)))</f>
        <v/>
      </c>
    </row>
    <row r="2335">
      <c r="A2335" s="30" t="n"/>
      <c r="E2335" s="31" t="n"/>
      <c r="J2335" s="32" t="n"/>
      <c r="K2335" s="32" t="n"/>
      <c r="L2335" s="32" t="n"/>
      <c r="M2335" s="32" t="n"/>
      <c r="N2335" s="32" t="n"/>
      <c r="O2335" s="32" t="n"/>
      <c r="P2335" s="32" t="n"/>
      <c r="Q2335" s="32" t="n"/>
      <c r="U2335" s="31">
        <f>IF($A2335="","",SUM(X2335:AE2335))</f>
        <v/>
      </c>
      <c r="V2335" s="31">
        <f>IF($A2335="","",IF($H2335&lt;&gt;"Ausgabe",0,-$E2335-$U2335))</f>
        <v/>
      </c>
      <c r="W2335" s="33">
        <f>IF($A2335="","",DATE(YEAR($A2335),MONTH($A2335),1))</f>
        <v/>
      </c>
      <c r="X2335" s="34">
        <f>IF(OR($A2335="",$H2335&lt;&gt;"Ausgabe",J2335=""),0,IF(J2335="x",-$E2335/(COUNTIF($J2335:$Q2335,"x")+1),-$E2335*N(J2335)))</f>
        <v/>
      </c>
      <c r="Y2335" s="34">
        <f>IF(OR($A2335="",$H2335&lt;&gt;"Ausgabe",K2335=""),0,IF(K2335="x",-$E2335/(COUNTIF($J2335:$Q2335,"x")+1),-$E2335*N(K2335)))</f>
        <v/>
      </c>
      <c r="Z2335" s="34">
        <f>IF(OR($A2335="",$H2335&lt;&gt;"Ausgabe",L2335=""),0,IF(L2335="x",-$E2335/(COUNTIF($J2335:$Q2335,"x")+1),-$E2335*N(L2335)))</f>
        <v/>
      </c>
      <c r="AA2335" s="34">
        <f>IF(OR($A2335="",$H2335&lt;&gt;"Ausgabe",M2335=""),0,IF(M2335="x",-$E2335/(COUNTIF($J2335:$Q2335,"x")+1),-$E2335*N(M2335)))</f>
        <v/>
      </c>
      <c r="AB2335" s="34">
        <f>IF(OR($A2335="",$H2335&lt;&gt;"Ausgabe",N2335=""),0,IF(N2335="x",-$E2335/(COUNTIF($J2335:$Q2335,"x")+1),-$E2335*N(N2335)))</f>
        <v/>
      </c>
      <c r="AC2335" s="34">
        <f>IF(OR($A2335="",$H2335&lt;&gt;"Ausgabe",O2335=""),0,IF(O2335="x",-$E2335/(COUNTIF($J2335:$Q2335,"x")+1),-$E2335*N(O2335)))</f>
        <v/>
      </c>
      <c r="AD2335" s="34">
        <f>IF(OR($A2335="",$H2335&lt;&gt;"Ausgabe",P2335=""),0,IF(P2335="x",-$E2335/(COUNTIF($J2335:$Q2335,"x")+1),-$E2335*N(P2335)))</f>
        <v/>
      </c>
      <c r="AE2335" s="34">
        <f>IF(OR($A2335="",$H2335&lt;&gt;"Ausgabe",Q2335=""),0,IF(Q2335="x",-$E2335/(COUNTIF($J2335:$Q2335,"x")+1),-$E2335*N(Q2335)))</f>
        <v/>
      </c>
    </row>
    <row r="2336">
      <c r="A2336" s="30" t="n"/>
      <c r="E2336" s="31" t="n"/>
      <c r="J2336" s="32" t="n"/>
      <c r="K2336" s="32" t="n"/>
      <c r="L2336" s="32" t="n"/>
      <c r="M2336" s="32" t="n"/>
      <c r="N2336" s="32" t="n"/>
      <c r="O2336" s="32" t="n"/>
      <c r="P2336" s="32" t="n"/>
      <c r="Q2336" s="32" t="n"/>
      <c r="U2336" s="31">
        <f>IF($A2336="","",SUM(X2336:AE2336))</f>
        <v/>
      </c>
      <c r="V2336" s="31">
        <f>IF($A2336="","",IF($H2336&lt;&gt;"Ausgabe",0,-$E2336-$U2336))</f>
        <v/>
      </c>
      <c r="W2336" s="33">
        <f>IF($A2336="","",DATE(YEAR($A2336),MONTH($A2336),1))</f>
        <v/>
      </c>
      <c r="X2336" s="34">
        <f>IF(OR($A2336="",$H2336&lt;&gt;"Ausgabe",J2336=""),0,IF(J2336="x",-$E2336/(COUNTIF($J2336:$Q2336,"x")+1),-$E2336*N(J2336)))</f>
        <v/>
      </c>
      <c r="Y2336" s="34">
        <f>IF(OR($A2336="",$H2336&lt;&gt;"Ausgabe",K2336=""),0,IF(K2336="x",-$E2336/(COUNTIF($J2336:$Q2336,"x")+1),-$E2336*N(K2336)))</f>
        <v/>
      </c>
      <c r="Z2336" s="34">
        <f>IF(OR($A2336="",$H2336&lt;&gt;"Ausgabe",L2336=""),0,IF(L2336="x",-$E2336/(COUNTIF($J2336:$Q2336,"x")+1),-$E2336*N(L2336)))</f>
        <v/>
      </c>
      <c r="AA2336" s="34">
        <f>IF(OR($A2336="",$H2336&lt;&gt;"Ausgabe",M2336=""),0,IF(M2336="x",-$E2336/(COUNTIF($J2336:$Q2336,"x")+1),-$E2336*N(M2336)))</f>
        <v/>
      </c>
      <c r="AB2336" s="34">
        <f>IF(OR($A2336="",$H2336&lt;&gt;"Ausgabe",N2336=""),0,IF(N2336="x",-$E2336/(COUNTIF($J2336:$Q2336,"x")+1),-$E2336*N(N2336)))</f>
        <v/>
      </c>
      <c r="AC2336" s="34">
        <f>IF(OR($A2336="",$H2336&lt;&gt;"Ausgabe",O2336=""),0,IF(O2336="x",-$E2336/(COUNTIF($J2336:$Q2336,"x")+1),-$E2336*N(O2336)))</f>
        <v/>
      </c>
      <c r="AD2336" s="34">
        <f>IF(OR($A2336="",$H2336&lt;&gt;"Ausgabe",P2336=""),0,IF(P2336="x",-$E2336/(COUNTIF($J2336:$Q2336,"x")+1),-$E2336*N(P2336)))</f>
        <v/>
      </c>
      <c r="AE2336" s="34">
        <f>IF(OR($A2336="",$H2336&lt;&gt;"Ausgabe",Q2336=""),0,IF(Q2336="x",-$E2336/(COUNTIF($J2336:$Q2336,"x")+1),-$E2336*N(Q2336)))</f>
        <v/>
      </c>
    </row>
    <row r="2337">
      <c r="A2337" s="30" t="n"/>
      <c r="E2337" s="31" t="n"/>
      <c r="J2337" s="32" t="n"/>
      <c r="K2337" s="32" t="n"/>
      <c r="L2337" s="32" t="n"/>
      <c r="M2337" s="32" t="n"/>
      <c r="N2337" s="32" t="n"/>
      <c r="O2337" s="32" t="n"/>
      <c r="P2337" s="32" t="n"/>
      <c r="Q2337" s="32" t="n"/>
      <c r="U2337" s="31">
        <f>IF($A2337="","",SUM(X2337:AE2337))</f>
        <v/>
      </c>
      <c r="V2337" s="31">
        <f>IF($A2337="","",IF($H2337&lt;&gt;"Ausgabe",0,-$E2337-$U2337))</f>
        <v/>
      </c>
      <c r="W2337" s="33">
        <f>IF($A2337="","",DATE(YEAR($A2337),MONTH($A2337),1))</f>
        <v/>
      </c>
      <c r="X2337" s="34">
        <f>IF(OR($A2337="",$H2337&lt;&gt;"Ausgabe",J2337=""),0,IF(J2337="x",-$E2337/(COUNTIF($J2337:$Q2337,"x")+1),-$E2337*N(J2337)))</f>
        <v/>
      </c>
      <c r="Y2337" s="34">
        <f>IF(OR($A2337="",$H2337&lt;&gt;"Ausgabe",K2337=""),0,IF(K2337="x",-$E2337/(COUNTIF($J2337:$Q2337,"x")+1),-$E2337*N(K2337)))</f>
        <v/>
      </c>
      <c r="Z2337" s="34">
        <f>IF(OR($A2337="",$H2337&lt;&gt;"Ausgabe",L2337=""),0,IF(L2337="x",-$E2337/(COUNTIF($J2337:$Q2337,"x")+1),-$E2337*N(L2337)))</f>
        <v/>
      </c>
      <c r="AA2337" s="34">
        <f>IF(OR($A2337="",$H2337&lt;&gt;"Ausgabe",M2337=""),0,IF(M2337="x",-$E2337/(COUNTIF($J2337:$Q2337,"x")+1),-$E2337*N(M2337)))</f>
        <v/>
      </c>
      <c r="AB2337" s="34">
        <f>IF(OR($A2337="",$H2337&lt;&gt;"Ausgabe",N2337=""),0,IF(N2337="x",-$E2337/(COUNTIF($J2337:$Q2337,"x")+1),-$E2337*N(N2337)))</f>
        <v/>
      </c>
      <c r="AC2337" s="34">
        <f>IF(OR($A2337="",$H2337&lt;&gt;"Ausgabe",O2337=""),0,IF(O2337="x",-$E2337/(COUNTIF($J2337:$Q2337,"x")+1),-$E2337*N(O2337)))</f>
        <v/>
      </c>
      <c r="AD2337" s="34">
        <f>IF(OR($A2337="",$H2337&lt;&gt;"Ausgabe",P2337=""),0,IF(P2337="x",-$E2337/(COUNTIF($J2337:$Q2337,"x")+1),-$E2337*N(P2337)))</f>
        <v/>
      </c>
      <c r="AE2337" s="34">
        <f>IF(OR($A2337="",$H2337&lt;&gt;"Ausgabe",Q2337=""),0,IF(Q2337="x",-$E2337/(COUNTIF($J2337:$Q2337,"x")+1),-$E2337*N(Q2337)))</f>
        <v/>
      </c>
    </row>
    <row r="2338">
      <c r="A2338" s="30" t="n"/>
      <c r="E2338" s="31" t="n"/>
      <c r="J2338" s="32" t="n"/>
      <c r="K2338" s="32" t="n"/>
      <c r="L2338" s="32" t="n"/>
      <c r="M2338" s="32" t="n"/>
      <c r="N2338" s="32" t="n"/>
      <c r="O2338" s="32" t="n"/>
      <c r="P2338" s="32" t="n"/>
      <c r="Q2338" s="32" t="n"/>
      <c r="U2338" s="31">
        <f>IF($A2338="","",SUM(X2338:AE2338))</f>
        <v/>
      </c>
      <c r="V2338" s="31">
        <f>IF($A2338="","",IF($H2338&lt;&gt;"Ausgabe",0,-$E2338-$U2338))</f>
        <v/>
      </c>
      <c r="W2338" s="33">
        <f>IF($A2338="","",DATE(YEAR($A2338),MONTH($A2338),1))</f>
        <v/>
      </c>
      <c r="X2338" s="34">
        <f>IF(OR($A2338="",$H2338&lt;&gt;"Ausgabe",J2338=""),0,IF(J2338="x",-$E2338/(COUNTIF($J2338:$Q2338,"x")+1),-$E2338*N(J2338)))</f>
        <v/>
      </c>
      <c r="Y2338" s="34">
        <f>IF(OR($A2338="",$H2338&lt;&gt;"Ausgabe",K2338=""),0,IF(K2338="x",-$E2338/(COUNTIF($J2338:$Q2338,"x")+1),-$E2338*N(K2338)))</f>
        <v/>
      </c>
      <c r="Z2338" s="34">
        <f>IF(OR($A2338="",$H2338&lt;&gt;"Ausgabe",L2338=""),0,IF(L2338="x",-$E2338/(COUNTIF($J2338:$Q2338,"x")+1),-$E2338*N(L2338)))</f>
        <v/>
      </c>
      <c r="AA2338" s="34">
        <f>IF(OR($A2338="",$H2338&lt;&gt;"Ausgabe",M2338=""),0,IF(M2338="x",-$E2338/(COUNTIF($J2338:$Q2338,"x")+1),-$E2338*N(M2338)))</f>
        <v/>
      </c>
      <c r="AB2338" s="34">
        <f>IF(OR($A2338="",$H2338&lt;&gt;"Ausgabe",N2338=""),0,IF(N2338="x",-$E2338/(COUNTIF($J2338:$Q2338,"x")+1),-$E2338*N(N2338)))</f>
        <v/>
      </c>
      <c r="AC2338" s="34">
        <f>IF(OR($A2338="",$H2338&lt;&gt;"Ausgabe",O2338=""),0,IF(O2338="x",-$E2338/(COUNTIF($J2338:$Q2338,"x")+1),-$E2338*N(O2338)))</f>
        <v/>
      </c>
      <c r="AD2338" s="34">
        <f>IF(OR($A2338="",$H2338&lt;&gt;"Ausgabe",P2338=""),0,IF(P2338="x",-$E2338/(COUNTIF($J2338:$Q2338,"x")+1),-$E2338*N(P2338)))</f>
        <v/>
      </c>
      <c r="AE2338" s="34">
        <f>IF(OR($A2338="",$H2338&lt;&gt;"Ausgabe",Q2338=""),0,IF(Q2338="x",-$E2338/(COUNTIF($J2338:$Q2338,"x")+1),-$E2338*N(Q2338)))</f>
        <v/>
      </c>
    </row>
    <row r="2339">
      <c r="A2339" s="30" t="n"/>
      <c r="E2339" s="31" t="n"/>
      <c r="J2339" s="32" t="n"/>
      <c r="K2339" s="32" t="n"/>
      <c r="L2339" s="32" t="n"/>
      <c r="M2339" s="32" t="n"/>
      <c r="N2339" s="32" t="n"/>
      <c r="O2339" s="32" t="n"/>
      <c r="P2339" s="32" t="n"/>
      <c r="Q2339" s="32" t="n"/>
      <c r="U2339" s="31">
        <f>IF($A2339="","",SUM(X2339:AE2339))</f>
        <v/>
      </c>
      <c r="V2339" s="31">
        <f>IF($A2339="","",IF($H2339&lt;&gt;"Ausgabe",0,-$E2339-$U2339))</f>
        <v/>
      </c>
      <c r="W2339" s="33">
        <f>IF($A2339="","",DATE(YEAR($A2339),MONTH($A2339),1))</f>
        <v/>
      </c>
      <c r="X2339" s="34">
        <f>IF(OR($A2339="",$H2339&lt;&gt;"Ausgabe",J2339=""),0,IF(J2339="x",-$E2339/(COUNTIF($J2339:$Q2339,"x")+1),-$E2339*N(J2339)))</f>
        <v/>
      </c>
      <c r="Y2339" s="34">
        <f>IF(OR($A2339="",$H2339&lt;&gt;"Ausgabe",K2339=""),0,IF(K2339="x",-$E2339/(COUNTIF($J2339:$Q2339,"x")+1),-$E2339*N(K2339)))</f>
        <v/>
      </c>
      <c r="Z2339" s="34">
        <f>IF(OR($A2339="",$H2339&lt;&gt;"Ausgabe",L2339=""),0,IF(L2339="x",-$E2339/(COUNTIF($J2339:$Q2339,"x")+1),-$E2339*N(L2339)))</f>
        <v/>
      </c>
      <c r="AA2339" s="34">
        <f>IF(OR($A2339="",$H2339&lt;&gt;"Ausgabe",M2339=""),0,IF(M2339="x",-$E2339/(COUNTIF($J2339:$Q2339,"x")+1),-$E2339*N(M2339)))</f>
        <v/>
      </c>
      <c r="AB2339" s="34">
        <f>IF(OR($A2339="",$H2339&lt;&gt;"Ausgabe",N2339=""),0,IF(N2339="x",-$E2339/(COUNTIF($J2339:$Q2339,"x")+1),-$E2339*N(N2339)))</f>
        <v/>
      </c>
      <c r="AC2339" s="34">
        <f>IF(OR($A2339="",$H2339&lt;&gt;"Ausgabe",O2339=""),0,IF(O2339="x",-$E2339/(COUNTIF($J2339:$Q2339,"x")+1),-$E2339*N(O2339)))</f>
        <v/>
      </c>
      <c r="AD2339" s="34">
        <f>IF(OR($A2339="",$H2339&lt;&gt;"Ausgabe",P2339=""),0,IF(P2339="x",-$E2339/(COUNTIF($J2339:$Q2339,"x")+1),-$E2339*N(P2339)))</f>
        <v/>
      </c>
      <c r="AE2339" s="34">
        <f>IF(OR($A2339="",$H2339&lt;&gt;"Ausgabe",Q2339=""),0,IF(Q2339="x",-$E2339/(COUNTIF($J2339:$Q2339,"x")+1),-$E2339*N(Q2339)))</f>
        <v/>
      </c>
    </row>
    <row r="2340">
      <c r="A2340" s="30" t="n"/>
      <c r="E2340" s="31" t="n"/>
      <c r="J2340" s="32" t="n"/>
      <c r="K2340" s="32" t="n"/>
      <c r="L2340" s="32" t="n"/>
      <c r="M2340" s="32" t="n"/>
      <c r="N2340" s="32" t="n"/>
      <c r="O2340" s="32" t="n"/>
      <c r="P2340" s="32" t="n"/>
      <c r="Q2340" s="32" t="n"/>
      <c r="U2340" s="31">
        <f>IF($A2340="","",SUM(X2340:AE2340))</f>
        <v/>
      </c>
      <c r="V2340" s="31">
        <f>IF($A2340="","",IF($H2340&lt;&gt;"Ausgabe",0,-$E2340-$U2340))</f>
        <v/>
      </c>
      <c r="W2340" s="33">
        <f>IF($A2340="","",DATE(YEAR($A2340),MONTH($A2340),1))</f>
        <v/>
      </c>
      <c r="X2340" s="34">
        <f>IF(OR($A2340="",$H2340&lt;&gt;"Ausgabe",J2340=""),0,IF(J2340="x",-$E2340/(COUNTIF($J2340:$Q2340,"x")+1),-$E2340*N(J2340)))</f>
        <v/>
      </c>
      <c r="Y2340" s="34">
        <f>IF(OR($A2340="",$H2340&lt;&gt;"Ausgabe",K2340=""),0,IF(K2340="x",-$E2340/(COUNTIF($J2340:$Q2340,"x")+1),-$E2340*N(K2340)))</f>
        <v/>
      </c>
      <c r="Z2340" s="34">
        <f>IF(OR($A2340="",$H2340&lt;&gt;"Ausgabe",L2340=""),0,IF(L2340="x",-$E2340/(COUNTIF($J2340:$Q2340,"x")+1),-$E2340*N(L2340)))</f>
        <v/>
      </c>
      <c r="AA2340" s="34">
        <f>IF(OR($A2340="",$H2340&lt;&gt;"Ausgabe",M2340=""),0,IF(M2340="x",-$E2340/(COUNTIF($J2340:$Q2340,"x")+1),-$E2340*N(M2340)))</f>
        <v/>
      </c>
      <c r="AB2340" s="34">
        <f>IF(OR($A2340="",$H2340&lt;&gt;"Ausgabe",N2340=""),0,IF(N2340="x",-$E2340/(COUNTIF($J2340:$Q2340,"x")+1),-$E2340*N(N2340)))</f>
        <v/>
      </c>
      <c r="AC2340" s="34">
        <f>IF(OR($A2340="",$H2340&lt;&gt;"Ausgabe",O2340=""),0,IF(O2340="x",-$E2340/(COUNTIF($J2340:$Q2340,"x")+1),-$E2340*N(O2340)))</f>
        <v/>
      </c>
      <c r="AD2340" s="34">
        <f>IF(OR($A2340="",$H2340&lt;&gt;"Ausgabe",P2340=""),0,IF(P2340="x",-$E2340/(COUNTIF($J2340:$Q2340,"x")+1),-$E2340*N(P2340)))</f>
        <v/>
      </c>
      <c r="AE2340" s="34">
        <f>IF(OR($A2340="",$H2340&lt;&gt;"Ausgabe",Q2340=""),0,IF(Q2340="x",-$E2340/(COUNTIF($J2340:$Q2340,"x")+1),-$E2340*N(Q2340)))</f>
        <v/>
      </c>
    </row>
    <row r="2341">
      <c r="A2341" s="30" t="n"/>
      <c r="E2341" s="31" t="n"/>
      <c r="J2341" s="32" t="n"/>
      <c r="K2341" s="32" t="n"/>
      <c r="L2341" s="32" t="n"/>
      <c r="M2341" s="32" t="n"/>
      <c r="N2341" s="32" t="n"/>
      <c r="O2341" s="32" t="n"/>
      <c r="P2341" s="32" t="n"/>
      <c r="Q2341" s="32" t="n"/>
      <c r="U2341" s="31">
        <f>IF($A2341="","",SUM(X2341:AE2341))</f>
        <v/>
      </c>
      <c r="V2341" s="31">
        <f>IF($A2341="","",IF($H2341&lt;&gt;"Ausgabe",0,-$E2341-$U2341))</f>
        <v/>
      </c>
      <c r="W2341" s="33">
        <f>IF($A2341="","",DATE(YEAR($A2341),MONTH($A2341),1))</f>
        <v/>
      </c>
      <c r="X2341" s="34">
        <f>IF(OR($A2341="",$H2341&lt;&gt;"Ausgabe",J2341=""),0,IF(J2341="x",-$E2341/(COUNTIF($J2341:$Q2341,"x")+1),-$E2341*N(J2341)))</f>
        <v/>
      </c>
      <c r="Y2341" s="34">
        <f>IF(OR($A2341="",$H2341&lt;&gt;"Ausgabe",K2341=""),0,IF(K2341="x",-$E2341/(COUNTIF($J2341:$Q2341,"x")+1),-$E2341*N(K2341)))</f>
        <v/>
      </c>
      <c r="Z2341" s="34">
        <f>IF(OR($A2341="",$H2341&lt;&gt;"Ausgabe",L2341=""),0,IF(L2341="x",-$E2341/(COUNTIF($J2341:$Q2341,"x")+1),-$E2341*N(L2341)))</f>
        <v/>
      </c>
      <c r="AA2341" s="34">
        <f>IF(OR($A2341="",$H2341&lt;&gt;"Ausgabe",M2341=""),0,IF(M2341="x",-$E2341/(COUNTIF($J2341:$Q2341,"x")+1),-$E2341*N(M2341)))</f>
        <v/>
      </c>
      <c r="AB2341" s="34">
        <f>IF(OR($A2341="",$H2341&lt;&gt;"Ausgabe",N2341=""),0,IF(N2341="x",-$E2341/(COUNTIF($J2341:$Q2341,"x")+1),-$E2341*N(N2341)))</f>
        <v/>
      </c>
      <c r="AC2341" s="34">
        <f>IF(OR($A2341="",$H2341&lt;&gt;"Ausgabe",O2341=""),0,IF(O2341="x",-$E2341/(COUNTIF($J2341:$Q2341,"x")+1),-$E2341*N(O2341)))</f>
        <v/>
      </c>
      <c r="AD2341" s="34">
        <f>IF(OR($A2341="",$H2341&lt;&gt;"Ausgabe",P2341=""),0,IF(P2341="x",-$E2341/(COUNTIF($J2341:$Q2341,"x")+1),-$E2341*N(P2341)))</f>
        <v/>
      </c>
      <c r="AE2341" s="34">
        <f>IF(OR($A2341="",$H2341&lt;&gt;"Ausgabe",Q2341=""),0,IF(Q2341="x",-$E2341/(COUNTIF($J2341:$Q2341,"x")+1),-$E2341*N(Q2341)))</f>
        <v/>
      </c>
    </row>
    <row r="2342">
      <c r="A2342" s="30" t="n"/>
      <c r="E2342" s="31" t="n"/>
      <c r="J2342" s="32" t="n"/>
      <c r="K2342" s="32" t="n"/>
      <c r="L2342" s="32" t="n"/>
      <c r="M2342" s="32" t="n"/>
      <c r="N2342" s="32" t="n"/>
      <c r="O2342" s="32" t="n"/>
      <c r="P2342" s="32" t="n"/>
      <c r="Q2342" s="32" t="n"/>
      <c r="U2342" s="31">
        <f>IF($A2342="","",SUM(X2342:AE2342))</f>
        <v/>
      </c>
      <c r="V2342" s="31">
        <f>IF($A2342="","",IF($H2342&lt;&gt;"Ausgabe",0,-$E2342-$U2342))</f>
        <v/>
      </c>
      <c r="W2342" s="33">
        <f>IF($A2342="","",DATE(YEAR($A2342),MONTH($A2342),1))</f>
        <v/>
      </c>
      <c r="X2342" s="34">
        <f>IF(OR($A2342="",$H2342&lt;&gt;"Ausgabe",J2342=""),0,IF(J2342="x",-$E2342/(COUNTIF($J2342:$Q2342,"x")+1),-$E2342*N(J2342)))</f>
        <v/>
      </c>
      <c r="Y2342" s="34">
        <f>IF(OR($A2342="",$H2342&lt;&gt;"Ausgabe",K2342=""),0,IF(K2342="x",-$E2342/(COUNTIF($J2342:$Q2342,"x")+1),-$E2342*N(K2342)))</f>
        <v/>
      </c>
      <c r="Z2342" s="34">
        <f>IF(OR($A2342="",$H2342&lt;&gt;"Ausgabe",L2342=""),0,IF(L2342="x",-$E2342/(COUNTIF($J2342:$Q2342,"x")+1),-$E2342*N(L2342)))</f>
        <v/>
      </c>
      <c r="AA2342" s="34">
        <f>IF(OR($A2342="",$H2342&lt;&gt;"Ausgabe",M2342=""),0,IF(M2342="x",-$E2342/(COUNTIF($J2342:$Q2342,"x")+1),-$E2342*N(M2342)))</f>
        <v/>
      </c>
      <c r="AB2342" s="34">
        <f>IF(OR($A2342="",$H2342&lt;&gt;"Ausgabe",N2342=""),0,IF(N2342="x",-$E2342/(COUNTIF($J2342:$Q2342,"x")+1),-$E2342*N(N2342)))</f>
        <v/>
      </c>
      <c r="AC2342" s="34">
        <f>IF(OR($A2342="",$H2342&lt;&gt;"Ausgabe",O2342=""),0,IF(O2342="x",-$E2342/(COUNTIF($J2342:$Q2342,"x")+1),-$E2342*N(O2342)))</f>
        <v/>
      </c>
      <c r="AD2342" s="34">
        <f>IF(OR($A2342="",$H2342&lt;&gt;"Ausgabe",P2342=""),0,IF(P2342="x",-$E2342/(COUNTIF($J2342:$Q2342,"x")+1),-$E2342*N(P2342)))</f>
        <v/>
      </c>
      <c r="AE2342" s="34">
        <f>IF(OR($A2342="",$H2342&lt;&gt;"Ausgabe",Q2342=""),0,IF(Q2342="x",-$E2342/(COUNTIF($J2342:$Q2342,"x")+1),-$E2342*N(Q2342)))</f>
        <v/>
      </c>
    </row>
    <row r="2343">
      <c r="A2343" s="30" t="n"/>
      <c r="E2343" s="31" t="n"/>
      <c r="J2343" s="32" t="n"/>
      <c r="K2343" s="32" t="n"/>
      <c r="L2343" s="32" t="n"/>
      <c r="M2343" s="32" t="n"/>
      <c r="N2343" s="32" t="n"/>
      <c r="O2343" s="32" t="n"/>
      <c r="P2343" s="32" t="n"/>
      <c r="Q2343" s="32" t="n"/>
      <c r="U2343" s="31">
        <f>IF($A2343="","",SUM(X2343:AE2343))</f>
        <v/>
      </c>
      <c r="V2343" s="31">
        <f>IF($A2343="","",IF($H2343&lt;&gt;"Ausgabe",0,-$E2343-$U2343))</f>
        <v/>
      </c>
      <c r="W2343" s="33">
        <f>IF($A2343="","",DATE(YEAR($A2343),MONTH($A2343),1))</f>
        <v/>
      </c>
      <c r="X2343" s="34">
        <f>IF(OR($A2343="",$H2343&lt;&gt;"Ausgabe",J2343=""),0,IF(J2343="x",-$E2343/(COUNTIF($J2343:$Q2343,"x")+1),-$E2343*N(J2343)))</f>
        <v/>
      </c>
      <c r="Y2343" s="34">
        <f>IF(OR($A2343="",$H2343&lt;&gt;"Ausgabe",K2343=""),0,IF(K2343="x",-$E2343/(COUNTIF($J2343:$Q2343,"x")+1),-$E2343*N(K2343)))</f>
        <v/>
      </c>
      <c r="Z2343" s="34">
        <f>IF(OR($A2343="",$H2343&lt;&gt;"Ausgabe",L2343=""),0,IF(L2343="x",-$E2343/(COUNTIF($J2343:$Q2343,"x")+1),-$E2343*N(L2343)))</f>
        <v/>
      </c>
      <c r="AA2343" s="34">
        <f>IF(OR($A2343="",$H2343&lt;&gt;"Ausgabe",M2343=""),0,IF(M2343="x",-$E2343/(COUNTIF($J2343:$Q2343,"x")+1),-$E2343*N(M2343)))</f>
        <v/>
      </c>
      <c r="AB2343" s="34">
        <f>IF(OR($A2343="",$H2343&lt;&gt;"Ausgabe",N2343=""),0,IF(N2343="x",-$E2343/(COUNTIF($J2343:$Q2343,"x")+1),-$E2343*N(N2343)))</f>
        <v/>
      </c>
      <c r="AC2343" s="34">
        <f>IF(OR($A2343="",$H2343&lt;&gt;"Ausgabe",O2343=""),0,IF(O2343="x",-$E2343/(COUNTIF($J2343:$Q2343,"x")+1),-$E2343*N(O2343)))</f>
        <v/>
      </c>
      <c r="AD2343" s="34">
        <f>IF(OR($A2343="",$H2343&lt;&gt;"Ausgabe",P2343=""),0,IF(P2343="x",-$E2343/(COUNTIF($J2343:$Q2343,"x")+1),-$E2343*N(P2343)))</f>
        <v/>
      </c>
      <c r="AE2343" s="34">
        <f>IF(OR($A2343="",$H2343&lt;&gt;"Ausgabe",Q2343=""),0,IF(Q2343="x",-$E2343/(COUNTIF($J2343:$Q2343,"x")+1),-$E2343*N(Q2343)))</f>
        <v/>
      </c>
    </row>
    <row r="2344">
      <c r="A2344" s="30" t="n"/>
      <c r="E2344" s="31" t="n"/>
      <c r="J2344" s="32" t="n"/>
      <c r="K2344" s="32" t="n"/>
      <c r="L2344" s="32" t="n"/>
      <c r="M2344" s="32" t="n"/>
      <c r="N2344" s="32" t="n"/>
      <c r="O2344" s="32" t="n"/>
      <c r="P2344" s="32" t="n"/>
      <c r="Q2344" s="32" t="n"/>
      <c r="U2344" s="31">
        <f>IF($A2344="","",SUM(X2344:AE2344))</f>
        <v/>
      </c>
      <c r="V2344" s="31">
        <f>IF($A2344="","",IF($H2344&lt;&gt;"Ausgabe",0,-$E2344-$U2344))</f>
        <v/>
      </c>
      <c r="W2344" s="33">
        <f>IF($A2344="","",DATE(YEAR($A2344),MONTH($A2344),1))</f>
        <v/>
      </c>
      <c r="X2344" s="34">
        <f>IF(OR($A2344="",$H2344&lt;&gt;"Ausgabe",J2344=""),0,IF(J2344="x",-$E2344/(COUNTIF($J2344:$Q2344,"x")+1),-$E2344*N(J2344)))</f>
        <v/>
      </c>
      <c r="Y2344" s="34">
        <f>IF(OR($A2344="",$H2344&lt;&gt;"Ausgabe",K2344=""),0,IF(K2344="x",-$E2344/(COUNTIF($J2344:$Q2344,"x")+1),-$E2344*N(K2344)))</f>
        <v/>
      </c>
      <c r="Z2344" s="34">
        <f>IF(OR($A2344="",$H2344&lt;&gt;"Ausgabe",L2344=""),0,IF(L2344="x",-$E2344/(COUNTIF($J2344:$Q2344,"x")+1),-$E2344*N(L2344)))</f>
        <v/>
      </c>
      <c r="AA2344" s="34">
        <f>IF(OR($A2344="",$H2344&lt;&gt;"Ausgabe",M2344=""),0,IF(M2344="x",-$E2344/(COUNTIF($J2344:$Q2344,"x")+1),-$E2344*N(M2344)))</f>
        <v/>
      </c>
      <c r="AB2344" s="34">
        <f>IF(OR($A2344="",$H2344&lt;&gt;"Ausgabe",N2344=""),0,IF(N2344="x",-$E2344/(COUNTIF($J2344:$Q2344,"x")+1),-$E2344*N(N2344)))</f>
        <v/>
      </c>
      <c r="AC2344" s="34">
        <f>IF(OR($A2344="",$H2344&lt;&gt;"Ausgabe",O2344=""),0,IF(O2344="x",-$E2344/(COUNTIF($J2344:$Q2344,"x")+1),-$E2344*N(O2344)))</f>
        <v/>
      </c>
      <c r="AD2344" s="34">
        <f>IF(OR($A2344="",$H2344&lt;&gt;"Ausgabe",P2344=""),0,IF(P2344="x",-$E2344/(COUNTIF($J2344:$Q2344,"x")+1),-$E2344*N(P2344)))</f>
        <v/>
      </c>
      <c r="AE2344" s="34">
        <f>IF(OR($A2344="",$H2344&lt;&gt;"Ausgabe",Q2344=""),0,IF(Q2344="x",-$E2344/(COUNTIF($J2344:$Q2344,"x")+1),-$E2344*N(Q2344)))</f>
        <v/>
      </c>
    </row>
    <row r="2345">
      <c r="A2345" s="30" t="n"/>
      <c r="E2345" s="31" t="n"/>
      <c r="J2345" s="32" t="n"/>
      <c r="K2345" s="32" t="n"/>
      <c r="L2345" s="32" t="n"/>
      <c r="M2345" s="32" t="n"/>
      <c r="N2345" s="32" t="n"/>
      <c r="O2345" s="32" t="n"/>
      <c r="P2345" s="32" t="n"/>
      <c r="Q2345" s="32" t="n"/>
      <c r="U2345" s="31">
        <f>IF($A2345="","",SUM(X2345:AE2345))</f>
        <v/>
      </c>
      <c r="V2345" s="31">
        <f>IF($A2345="","",IF($H2345&lt;&gt;"Ausgabe",0,-$E2345-$U2345))</f>
        <v/>
      </c>
      <c r="W2345" s="33">
        <f>IF($A2345="","",DATE(YEAR($A2345),MONTH($A2345),1))</f>
        <v/>
      </c>
      <c r="X2345" s="34">
        <f>IF(OR($A2345="",$H2345&lt;&gt;"Ausgabe",J2345=""),0,IF(J2345="x",-$E2345/(COUNTIF($J2345:$Q2345,"x")+1),-$E2345*N(J2345)))</f>
        <v/>
      </c>
      <c r="Y2345" s="34">
        <f>IF(OR($A2345="",$H2345&lt;&gt;"Ausgabe",K2345=""),0,IF(K2345="x",-$E2345/(COUNTIF($J2345:$Q2345,"x")+1),-$E2345*N(K2345)))</f>
        <v/>
      </c>
      <c r="Z2345" s="34">
        <f>IF(OR($A2345="",$H2345&lt;&gt;"Ausgabe",L2345=""),0,IF(L2345="x",-$E2345/(COUNTIF($J2345:$Q2345,"x")+1),-$E2345*N(L2345)))</f>
        <v/>
      </c>
      <c r="AA2345" s="34">
        <f>IF(OR($A2345="",$H2345&lt;&gt;"Ausgabe",M2345=""),0,IF(M2345="x",-$E2345/(COUNTIF($J2345:$Q2345,"x")+1),-$E2345*N(M2345)))</f>
        <v/>
      </c>
      <c r="AB2345" s="34">
        <f>IF(OR($A2345="",$H2345&lt;&gt;"Ausgabe",N2345=""),0,IF(N2345="x",-$E2345/(COUNTIF($J2345:$Q2345,"x")+1),-$E2345*N(N2345)))</f>
        <v/>
      </c>
      <c r="AC2345" s="34">
        <f>IF(OR($A2345="",$H2345&lt;&gt;"Ausgabe",O2345=""),0,IF(O2345="x",-$E2345/(COUNTIF($J2345:$Q2345,"x")+1),-$E2345*N(O2345)))</f>
        <v/>
      </c>
      <c r="AD2345" s="34">
        <f>IF(OR($A2345="",$H2345&lt;&gt;"Ausgabe",P2345=""),0,IF(P2345="x",-$E2345/(COUNTIF($J2345:$Q2345,"x")+1),-$E2345*N(P2345)))</f>
        <v/>
      </c>
      <c r="AE2345" s="34">
        <f>IF(OR($A2345="",$H2345&lt;&gt;"Ausgabe",Q2345=""),0,IF(Q2345="x",-$E2345/(COUNTIF($J2345:$Q2345,"x")+1),-$E2345*N(Q2345)))</f>
        <v/>
      </c>
    </row>
    <row r="2346">
      <c r="A2346" s="30" t="n"/>
      <c r="E2346" s="31" t="n"/>
      <c r="J2346" s="32" t="n"/>
      <c r="K2346" s="32" t="n"/>
      <c r="L2346" s="32" t="n"/>
      <c r="M2346" s="32" t="n"/>
      <c r="N2346" s="32" t="n"/>
      <c r="O2346" s="32" t="n"/>
      <c r="P2346" s="32" t="n"/>
      <c r="Q2346" s="32" t="n"/>
      <c r="U2346" s="31">
        <f>IF($A2346="","",SUM(X2346:AE2346))</f>
        <v/>
      </c>
      <c r="V2346" s="31">
        <f>IF($A2346="","",IF($H2346&lt;&gt;"Ausgabe",0,-$E2346-$U2346))</f>
        <v/>
      </c>
      <c r="W2346" s="33">
        <f>IF($A2346="","",DATE(YEAR($A2346),MONTH($A2346),1))</f>
        <v/>
      </c>
      <c r="X2346" s="34">
        <f>IF(OR($A2346="",$H2346&lt;&gt;"Ausgabe",J2346=""),0,IF(J2346="x",-$E2346/(COUNTIF($J2346:$Q2346,"x")+1),-$E2346*N(J2346)))</f>
        <v/>
      </c>
      <c r="Y2346" s="34">
        <f>IF(OR($A2346="",$H2346&lt;&gt;"Ausgabe",K2346=""),0,IF(K2346="x",-$E2346/(COUNTIF($J2346:$Q2346,"x")+1),-$E2346*N(K2346)))</f>
        <v/>
      </c>
      <c r="Z2346" s="34">
        <f>IF(OR($A2346="",$H2346&lt;&gt;"Ausgabe",L2346=""),0,IF(L2346="x",-$E2346/(COUNTIF($J2346:$Q2346,"x")+1),-$E2346*N(L2346)))</f>
        <v/>
      </c>
      <c r="AA2346" s="34">
        <f>IF(OR($A2346="",$H2346&lt;&gt;"Ausgabe",M2346=""),0,IF(M2346="x",-$E2346/(COUNTIF($J2346:$Q2346,"x")+1),-$E2346*N(M2346)))</f>
        <v/>
      </c>
      <c r="AB2346" s="34">
        <f>IF(OR($A2346="",$H2346&lt;&gt;"Ausgabe",N2346=""),0,IF(N2346="x",-$E2346/(COUNTIF($J2346:$Q2346,"x")+1),-$E2346*N(N2346)))</f>
        <v/>
      </c>
      <c r="AC2346" s="34">
        <f>IF(OR($A2346="",$H2346&lt;&gt;"Ausgabe",O2346=""),0,IF(O2346="x",-$E2346/(COUNTIF($J2346:$Q2346,"x")+1),-$E2346*N(O2346)))</f>
        <v/>
      </c>
      <c r="AD2346" s="34">
        <f>IF(OR($A2346="",$H2346&lt;&gt;"Ausgabe",P2346=""),0,IF(P2346="x",-$E2346/(COUNTIF($J2346:$Q2346,"x")+1),-$E2346*N(P2346)))</f>
        <v/>
      </c>
      <c r="AE2346" s="34">
        <f>IF(OR($A2346="",$H2346&lt;&gt;"Ausgabe",Q2346=""),0,IF(Q2346="x",-$E2346/(COUNTIF($J2346:$Q2346,"x")+1),-$E2346*N(Q2346)))</f>
        <v/>
      </c>
    </row>
    <row r="2347">
      <c r="A2347" s="30" t="n"/>
      <c r="E2347" s="31" t="n"/>
      <c r="J2347" s="32" t="n"/>
      <c r="K2347" s="32" t="n"/>
      <c r="L2347" s="32" t="n"/>
      <c r="M2347" s="32" t="n"/>
      <c r="N2347" s="32" t="n"/>
      <c r="O2347" s="32" t="n"/>
      <c r="P2347" s="32" t="n"/>
      <c r="Q2347" s="32" t="n"/>
      <c r="U2347" s="31">
        <f>IF($A2347="","",SUM(X2347:AE2347))</f>
        <v/>
      </c>
      <c r="V2347" s="31">
        <f>IF($A2347="","",IF($H2347&lt;&gt;"Ausgabe",0,-$E2347-$U2347))</f>
        <v/>
      </c>
      <c r="W2347" s="33">
        <f>IF($A2347="","",DATE(YEAR($A2347),MONTH($A2347),1))</f>
        <v/>
      </c>
      <c r="X2347" s="34">
        <f>IF(OR($A2347="",$H2347&lt;&gt;"Ausgabe",J2347=""),0,IF(J2347="x",-$E2347/(COUNTIF($J2347:$Q2347,"x")+1),-$E2347*N(J2347)))</f>
        <v/>
      </c>
      <c r="Y2347" s="34">
        <f>IF(OR($A2347="",$H2347&lt;&gt;"Ausgabe",K2347=""),0,IF(K2347="x",-$E2347/(COUNTIF($J2347:$Q2347,"x")+1),-$E2347*N(K2347)))</f>
        <v/>
      </c>
      <c r="Z2347" s="34">
        <f>IF(OR($A2347="",$H2347&lt;&gt;"Ausgabe",L2347=""),0,IF(L2347="x",-$E2347/(COUNTIF($J2347:$Q2347,"x")+1),-$E2347*N(L2347)))</f>
        <v/>
      </c>
      <c r="AA2347" s="34">
        <f>IF(OR($A2347="",$H2347&lt;&gt;"Ausgabe",M2347=""),0,IF(M2347="x",-$E2347/(COUNTIF($J2347:$Q2347,"x")+1),-$E2347*N(M2347)))</f>
        <v/>
      </c>
      <c r="AB2347" s="34">
        <f>IF(OR($A2347="",$H2347&lt;&gt;"Ausgabe",N2347=""),0,IF(N2347="x",-$E2347/(COUNTIF($J2347:$Q2347,"x")+1),-$E2347*N(N2347)))</f>
        <v/>
      </c>
      <c r="AC2347" s="34">
        <f>IF(OR($A2347="",$H2347&lt;&gt;"Ausgabe",O2347=""),0,IF(O2347="x",-$E2347/(COUNTIF($J2347:$Q2347,"x")+1),-$E2347*N(O2347)))</f>
        <v/>
      </c>
      <c r="AD2347" s="34">
        <f>IF(OR($A2347="",$H2347&lt;&gt;"Ausgabe",P2347=""),0,IF(P2347="x",-$E2347/(COUNTIF($J2347:$Q2347,"x")+1),-$E2347*N(P2347)))</f>
        <v/>
      </c>
      <c r="AE2347" s="34">
        <f>IF(OR($A2347="",$H2347&lt;&gt;"Ausgabe",Q2347=""),0,IF(Q2347="x",-$E2347/(COUNTIF($J2347:$Q2347,"x")+1),-$E2347*N(Q2347)))</f>
        <v/>
      </c>
    </row>
    <row r="2348">
      <c r="A2348" s="30" t="n"/>
      <c r="E2348" s="31" t="n"/>
      <c r="J2348" s="32" t="n"/>
      <c r="K2348" s="32" t="n"/>
      <c r="L2348" s="32" t="n"/>
      <c r="M2348" s="32" t="n"/>
      <c r="N2348" s="32" t="n"/>
      <c r="O2348" s="32" t="n"/>
      <c r="P2348" s="32" t="n"/>
      <c r="Q2348" s="32" t="n"/>
      <c r="U2348" s="31">
        <f>IF($A2348="","",SUM(X2348:AE2348))</f>
        <v/>
      </c>
      <c r="V2348" s="31">
        <f>IF($A2348="","",IF($H2348&lt;&gt;"Ausgabe",0,-$E2348-$U2348))</f>
        <v/>
      </c>
      <c r="W2348" s="33">
        <f>IF($A2348="","",DATE(YEAR($A2348),MONTH($A2348),1))</f>
        <v/>
      </c>
      <c r="X2348" s="34">
        <f>IF(OR($A2348="",$H2348&lt;&gt;"Ausgabe",J2348=""),0,IF(J2348="x",-$E2348/(COUNTIF($J2348:$Q2348,"x")+1),-$E2348*N(J2348)))</f>
        <v/>
      </c>
      <c r="Y2348" s="34">
        <f>IF(OR($A2348="",$H2348&lt;&gt;"Ausgabe",K2348=""),0,IF(K2348="x",-$E2348/(COUNTIF($J2348:$Q2348,"x")+1),-$E2348*N(K2348)))</f>
        <v/>
      </c>
      <c r="Z2348" s="34">
        <f>IF(OR($A2348="",$H2348&lt;&gt;"Ausgabe",L2348=""),0,IF(L2348="x",-$E2348/(COUNTIF($J2348:$Q2348,"x")+1),-$E2348*N(L2348)))</f>
        <v/>
      </c>
      <c r="AA2348" s="34">
        <f>IF(OR($A2348="",$H2348&lt;&gt;"Ausgabe",M2348=""),0,IF(M2348="x",-$E2348/(COUNTIF($J2348:$Q2348,"x")+1),-$E2348*N(M2348)))</f>
        <v/>
      </c>
      <c r="AB2348" s="34">
        <f>IF(OR($A2348="",$H2348&lt;&gt;"Ausgabe",N2348=""),0,IF(N2348="x",-$E2348/(COUNTIF($J2348:$Q2348,"x")+1),-$E2348*N(N2348)))</f>
        <v/>
      </c>
      <c r="AC2348" s="34">
        <f>IF(OR($A2348="",$H2348&lt;&gt;"Ausgabe",O2348=""),0,IF(O2348="x",-$E2348/(COUNTIF($J2348:$Q2348,"x")+1),-$E2348*N(O2348)))</f>
        <v/>
      </c>
      <c r="AD2348" s="34">
        <f>IF(OR($A2348="",$H2348&lt;&gt;"Ausgabe",P2348=""),0,IF(P2348="x",-$E2348/(COUNTIF($J2348:$Q2348,"x")+1),-$E2348*N(P2348)))</f>
        <v/>
      </c>
      <c r="AE2348" s="34">
        <f>IF(OR($A2348="",$H2348&lt;&gt;"Ausgabe",Q2348=""),0,IF(Q2348="x",-$E2348/(COUNTIF($J2348:$Q2348,"x")+1),-$E2348*N(Q2348)))</f>
        <v/>
      </c>
    </row>
    <row r="2349">
      <c r="A2349" s="30" t="n"/>
      <c r="E2349" s="31" t="n"/>
      <c r="J2349" s="32" t="n"/>
      <c r="K2349" s="32" t="n"/>
      <c r="L2349" s="32" t="n"/>
      <c r="M2349" s="32" t="n"/>
      <c r="N2349" s="32" t="n"/>
      <c r="O2349" s="32" t="n"/>
      <c r="P2349" s="32" t="n"/>
      <c r="Q2349" s="32" t="n"/>
      <c r="U2349" s="31">
        <f>IF($A2349="","",SUM(X2349:AE2349))</f>
        <v/>
      </c>
      <c r="V2349" s="31">
        <f>IF($A2349="","",IF($H2349&lt;&gt;"Ausgabe",0,-$E2349-$U2349))</f>
        <v/>
      </c>
      <c r="W2349" s="33">
        <f>IF($A2349="","",DATE(YEAR($A2349),MONTH($A2349),1))</f>
        <v/>
      </c>
      <c r="X2349" s="34">
        <f>IF(OR($A2349="",$H2349&lt;&gt;"Ausgabe",J2349=""),0,IF(J2349="x",-$E2349/(COUNTIF($J2349:$Q2349,"x")+1),-$E2349*N(J2349)))</f>
        <v/>
      </c>
      <c r="Y2349" s="34">
        <f>IF(OR($A2349="",$H2349&lt;&gt;"Ausgabe",K2349=""),0,IF(K2349="x",-$E2349/(COUNTIF($J2349:$Q2349,"x")+1),-$E2349*N(K2349)))</f>
        <v/>
      </c>
      <c r="Z2349" s="34">
        <f>IF(OR($A2349="",$H2349&lt;&gt;"Ausgabe",L2349=""),0,IF(L2349="x",-$E2349/(COUNTIF($J2349:$Q2349,"x")+1),-$E2349*N(L2349)))</f>
        <v/>
      </c>
      <c r="AA2349" s="34">
        <f>IF(OR($A2349="",$H2349&lt;&gt;"Ausgabe",M2349=""),0,IF(M2349="x",-$E2349/(COUNTIF($J2349:$Q2349,"x")+1),-$E2349*N(M2349)))</f>
        <v/>
      </c>
      <c r="AB2349" s="34">
        <f>IF(OR($A2349="",$H2349&lt;&gt;"Ausgabe",N2349=""),0,IF(N2349="x",-$E2349/(COUNTIF($J2349:$Q2349,"x")+1),-$E2349*N(N2349)))</f>
        <v/>
      </c>
      <c r="AC2349" s="34">
        <f>IF(OR($A2349="",$H2349&lt;&gt;"Ausgabe",O2349=""),0,IF(O2349="x",-$E2349/(COUNTIF($J2349:$Q2349,"x")+1),-$E2349*N(O2349)))</f>
        <v/>
      </c>
      <c r="AD2349" s="34">
        <f>IF(OR($A2349="",$H2349&lt;&gt;"Ausgabe",P2349=""),0,IF(P2349="x",-$E2349/(COUNTIF($J2349:$Q2349,"x")+1),-$E2349*N(P2349)))</f>
        <v/>
      </c>
      <c r="AE2349" s="34">
        <f>IF(OR($A2349="",$H2349&lt;&gt;"Ausgabe",Q2349=""),0,IF(Q2349="x",-$E2349/(COUNTIF($J2349:$Q2349,"x")+1),-$E2349*N(Q2349)))</f>
        <v/>
      </c>
    </row>
    <row r="2350">
      <c r="A2350" s="30" t="n"/>
      <c r="E2350" s="31" t="n"/>
      <c r="J2350" s="32" t="n"/>
      <c r="K2350" s="32" t="n"/>
      <c r="L2350" s="32" t="n"/>
      <c r="M2350" s="32" t="n"/>
      <c r="N2350" s="32" t="n"/>
      <c r="O2350" s="32" t="n"/>
      <c r="P2350" s="32" t="n"/>
      <c r="Q2350" s="32" t="n"/>
      <c r="U2350" s="31">
        <f>IF($A2350="","",SUM(X2350:AE2350))</f>
        <v/>
      </c>
      <c r="V2350" s="31">
        <f>IF($A2350="","",IF($H2350&lt;&gt;"Ausgabe",0,-$E2350-$U2350))</f>
        <v/>
      </c>
      <c r="W2350" s="33">
        <f>IF($A2350="","",DATE(YEAR($A2350),MONTH($A2350),1))</f>
        <v/>
      </c>
      <c r="X2350" s="34">
        <f>IF(OR($A2350="",$H2350&lt;&gt;"Ausgabe",J2350=""),0,IF(J2350="x",-$E2350/(COUNTIF($J2350:$Q2350,"x")+1),-$E2350*N(J2350)))</f>
        <v/>
      </c>
      <c r="Y2350" s="34">
        <f>IF(OR($A2350="",$H2350&lt;&gt;"Ausgabe",K2350=""),0,IF(K2350="x",-$E2350/(COUNTIF($J2350:$Q2350,"x")+1),-$E2350*N(K2350)))</f>
        <v/>
      </c>
      <c r="Z2350" s="34">
        <f>IF(OR($A2350="",$H2350&lt;&gt;"Ausgabe",L2350=""),0,IF(L2350="x",-$E2350/(COUNTIF($J2350:$Q2350,"x")+1),-$E2350*N(L2350)))</f>
        <v/>
      </c>
      <c r="AA2350" s="34">
        <f>IF(OR($A2350="",$H2350&lt;&gt;"Ausgabe",M2350=""),0,IF(M2350="x",-$E2350/(COUNTIF($J2350:$Q2350,"x")+1),-$E2350*N(M2350)))</f>
        <v/>
      </c>
      <c r="AB2350" s="34">
        <f>IF(OR($A2350="",$H2350&lt;&gt;"Ausgabe",N2350=""),0,IF(N2350="x",-$E2350/(COUNTIF($J2350:$Q2350,"x")+1),-$E2350*N(N2350)))</f>
        <v/>
      </c>
      <c r="AC2350" s="34">
        <f>IF(OR($A2350="",$H2350&lt;&gt;"Ausgabe",O2350=""),0,IF(O2350="x",-$E2350/(COUNTIF($J2350:$Q2350,"x")+1),-$E2350*N(O2350)))</f>
        <v/>
      </c>
      <c r="AD2350" s="34">
        <f>IF(OR($A2350="",$H2350&lt;&gt;"Ausgabe",P2350=""),0,IF(P2350="x",-$E2350/(COUNTIF($J2350:$Q2350,"x")+1),-$E2350*N(P2350)))</f>
        <v/>
      </c>
      <c r="AE2350" s="34">
        <f>IF(OR($A2350="",$H2350&lt;&gt;"Ausgabe",Q2350=""),0,IF(Q2350="x",-$E2350/(COUNTIF($J2350:$Q2350,"x")+1),-$E2350*N(Q2350)))</f>
        <v/>
      </c>
    </row>
    <row r="2351">
      <c r="A2351" s="30" t="n"/>
      <c r="E2351" s="31" t="n"/>
      <c r="J2351" s="32" t="n"/>
      <c r="K2351" s="32" t="n"/>
      <c r="L2351" s="32" t="n"/>
      <c r="M2351" s="32" t="n"/>
      <c r="N2351" s="32" t="n"/>
      <c r="O2351" s="32" t="n"/>
      <c r="P2351" s="32" t="n"/>
      <c r="Q2351" s="32" t="n"/>
      <c r="U2351" s="31">
        <f>IF($A2351="","",SUM(X2351:AE2351))</f>
        <v/>
      </c>
      <c r="V2351" s="31">
        <f>IF($A2351="","",IF($H2351&lt;&gt;"Ausgabe",0,-$E2351-$U2351))</f>
        <v/>
      </c>
      <c r="W2351" s="33">
        <f>IF($A2351="","",DATE(YEAR($A2351),MONTH($A2351),1))</f>
        <v/>
      </c>
      <c r="X2351" s="34">
        <f>IF(OR($A2351="",$H2351&lt;&gt;"Ausgabe",J2351=""),0,IF(J2351="x",-$E2351/(COUNTIF($J2351:$Q2351,"x")+1),-$E2351*N(J2351)))</f>
        <v/>
      </c>
      <c r="Y2351" s="34">
        <f>IF(OR($A2351="",$H2351&lt;&gt;"Ausgabe",K2351=""),0,IF(K2351="x",-$E2351/(COUNTIF($J2351:$Q2351,"x")+1),-$E2351*N(K2351)))</f>
        <v/>
      </c>
      <c r="Z2351" s="34">
        <f>IF(OR($A2351="",$H2351&lt;&gt;"Ausgabe",L2351=""),0,IF(L2351="x",-$E2351/(COUNTIF($J2351:$Q2351,"x")+1),-$E2351*N(L2351)))</f>
        <v/>
      </c>
      <c r="AA2351" s="34">
        <f>IF(OR($A2351="",$H2351&lt;&gt;"Ausgabe",M2351=""),0,IF(M2351="x",-$E2351/(COUNTIF($J2351:$Q2351,"x")+1),-$E2351*N(M2351)))</f>
        <v/>
      </c>
      <c r="AB2351" s="34">
        <f>IF(OR($A2351="",$H2351&lt;&gt;"Ausgabe",N2351=""),0,IF(N2351="x",-$E2351/(COUNTIF($J2351:$Q2351,"x")+1),-$E2351*N(N2351)))</f>
        <v/>
      </c>
      <c r="AC2351" s="34">
        <f>IF(OR($A2351="",$H2351&lt;&gt;"Ausgabe",O2351=""),0,IF(O2351="x",-$E2351/(COUNTIF($J2351:$Q2351,"x")+1),-$E2351*N(O2351)))</f>
        <v/>
      </c>
      <c r="AD2351" s="34">
        <f>IF(OR($A2351="",$H2351&lt;&gt;"Ausgabe",P2351=""),0,IF(P2351="x",-$E2351/(COUNTIF($J2351:$Q2351,"x")+1),-$E2351*N(P2351)))</f>
        <v/>
      </c>
      <c r="AE2351" s="34">
        <f>IF(OR($A2351="",$H2351&lt;&gt;"Ausgabe",Q2351=""),0,IF(Q2351="x",-$E2351/(COUNTIF($J2351:$Q2351,"x")+1),-$E2351*N(Q2351)))</f>
        <v/>
      </c>
    </row>
    <row r="2352">
      <c r="A2352" s="30" t="n"/>
      <c r="E2352" s="31" t="n"/>
      <c r="J2352" s="32" t="n"/>
      <c r="K2352" s="32" t="n"/>
      <c r="L2352" s="32" t="n"/>
      <c r="M2352" s="32" t="n"/>
      <c r="N2352" s="32" t="n"/>
      <c r="O2352" s="32" t="n"/>
      <c r="P2352" s="32" t="n"/>
      <c r="Q2352" s="32" t="n"/>
      <c r="U2352" s="31">
        <f>IF($A2352="","",SUM(X2352:AE2352))</f>
        <v/>
      </c>
      <c r="V2352" s="31">
        <f>IF($A2352="","",IF($H2352&lt;&gt;"Ausgabe",0,-$E2352-$U2352))</f>
        <v/>
      </c>
      <c r="W2352" s="33">
        <f>IF($A2352="","",DATE(YEAR($A2352),MONTH($A2352),1))</f>
        <v/>
      </c>
      <c r="X2352" s="34">
        <f>IF(OR($A2352="",$H2352&lt;&gt;"Ausgabe",J2352=""),0,IF(J2352="x",-$E2352/(COUNTIF($J2352:$Q2352,"x")+1),-$E2352*N(J2352)))</f>
        <v/>
      </c>
      <c r="Y2352" s="34">
        <f>IF(OR($A2352="",$H2352&lt;&gt;"Ausgabe",K2352=""),0,IF(K2352="x",-$E2352/(COUNTIF($J2352:$Q2352,"x")+1),-$E2352*N(K2352)))</f>
        <v/>
      </c>
      <c r="Z2352" s="34">
        <f>IF(OR($A2352="",$H2352&lt;&gt;"Ausgabe",L2352=""),0,IF(L2352="x",-$E2352/(COUNTIF($J2352:$Q2352,"x")+1),-$E2352*N(L2352)))</f>
        <v/>
      </c>
      <c r="AA2352" s="34">
        <f>IF(OR($A2352="",$H2352&lt;&gt;"Ausgabe",M2352=""),0,IF(M2352="x",-$E2352/(COUNTIF($J2352:$Q2352,"x")+1),-$E2352*N(M2352)))</f>
        <v/>
      </c>
      <c r="AB2352" s="34">
        <f>IF(OR($A2352="",$H2352&lt;&gt;"Ausgabe",N2352=""),0,IF(N2352="x",-$E2352/(COUNTIF($J2352:$Q2352,"x")+1),-$E2352*N(N2352)))</f>
        <v/>
      </c>
      <c r="AC2352" s="34">
        <f>IF(OR($A2352="",$H2352&lt;&gt;"Ausgabe",O2352=""),0,IF(O2352="x",-$E2352/(COUNTIF($J2352:$Q2352,"x")+1),-$E2352*N(O2352)))</f>
        <v/>
      </c>
      <c r="AD2352" s="34">
        <f>IF(OR($A2352="",$H2352&lt;&gt;"Ausgabe",P2352=""),0,IF(P2352="x",-$E2352/(COUNTIF($J2352:$Q2352,"x")+1),-$E2352*N(P2352)))</f>
        <v/>
      </c>
      <c r="AE2352" s="34">
        <f>IF(OR($A2352="",$H2352&lt;&gt;"Ausgabe",Q2352=""),0,IF(Q2352="x",-$E2352/(COUNTIF($J2352:$Q2352,"x")+1),-$E2352*N(Q2352)))</f>
        <v/>
      </c>
    </row>
    <row r="2353">
      <c r="A2353" s="30" t="n"/>
      <c r="E2353" s="31" t="n"/>
      <c r="J2353" s="32" t="n"/>
      <c r="K2353" s="32" t="n"/>
      <c r="L2353" s="32" t="n"/>
      <c r="M2353" s="32" t="n"/>
      <c r="N2353" s="32" t="n"/>
      <c r="O2353" s="32" t="n"/>
      <c r="P2353" s="32" t="n"/>
      <c r="Q2353" s="32" t="n"/>
      <c r="U2353" s="31">
        <f>IF($A2353="","",SUM(X2353:AE2353))</f>
        <v/>
      </c>
      <c r="V2353" s="31">
        <f>IF($A2353="","",IF($H2353&lt;&gt;"Ausgabe",0,-$E2353-$U2353))</f>
        <v/>
      </c>
      <c r="W2353" s="33">
        <f>IF($A2353="","",DATE(YEAR($A2353),MONTH($A2353),1))</f>
        <v/>
      </c>
      <c r="X2353" s="34">
        <f>IF(OR($A2353="",$H2353&lt;&gt;"Ausgabe",J2353=""),0,IF(J2353="x",-$E2353/(COUNTIF($J2353:$Q2353,"x")+1),-$E2353*N(J2353)))</f>
        <v/>
      </c>
      <c r="Y2353" s="34">
        <f>IF(OR($A2353="",$H2353&lt;&gt;"Ausgabe",K2353=""),0,IF(K2353="x",-$E2353/(COUNTIF($J2353:$Q2353,"x")+1),-$E2353*N(K2353)))</f>
        <v/>
      </c>
      <c r="Z2353" s="34">
        <f>IF(OR($A2353="",$H2353&lt;&gt;"Ausgabe",L2353=""),0,IF(L2353="x",-$E2353/(COUNTIF($J2353:$Q2353,"x")+1),-$E2353*N(L2353)))</f>
        <v/>
      </c>
      <c r="AA2353" s="34">
        <f>IF(OR($A2353="",$H2353&lt;&gt;"Ausgabe",M2353=""),0,IF(M2353="x",-$E2353/(COUNTIF($J2353:$Q2353,"x")+1),-$E2353*N(M2353)))</f>
        <v/>
      </c>
      <c r="AB2353" s="34">
        <f>IF(OR($A2353="",$H2353&lt;&gt;"Ausgabe",N2353=""),0,IF(N2353="x",-$E2353/(COUNTIF($J2353:$Q2353,"x")+1),-$E2353*N(N2353)))</f>
        <v/>
      </c>
      <c r="AC2353" s="34">
        <f>IF(OR($A2353="",$H2353&lt;&gt;"Ausgabe",O2353=""),0,IF(O2353="x",-$E2353/(COUNTIF($J2353:$Q2353,"x")+1),-$E2353*N(O2353)))</f>
        <v/>
      </c>
      <c r="AD2353" s="34">
        <f>IF(OR($A2353="",$H2353&lt;&gt;"Ausgabe",P2353=""),0,IF(P2353="x",-$E2353/(COUNTIF($J2353:$Q2353,"x")+1),-$E2353*N(P2353)))</f>
        <v/>
      </c>
      <c r="AE2353" s="34">
        <f>IF(OR($A2353="",$H2353&lt;&gt;"Ausgabe",Q2353=""),0,IF(Q2353="x",-$E2353/(COUNTIF($J2353:$Q2353,"x")+1),-$E2353*N(Q2353)))</f>
        <v/>
      </c>
    </row>
    <row r="2354">
      <c r="A2354" s="30" t="n"/>
      <c r="E2354" s="31" t="n"/>
      <c r="J2354" s="32" t="n"/>
      <c r="K2354" s="32" t="n"/>
      <c r="L2354" s="32" t="n"/>
      <c r="M2354" s="32" t="n"/>
      <c r="N2354" s="32" t="n"/>
      <c r="O2354" s="32" t="n"/>
      <c r="P2354" s="32" t="n"/>
      <c r="Q2354" s="32" t="n"/>
      <c r="U2354" s="31">
        <f>IF($A2354="","",SUM(X2354:AE2354))</f>
        <v/>
      </c>
      <c r="V2354" s="31">
        <f>IF($A2354="","",IF($H2354&lt;&gt;"Ausgabe",0,-$E2354-$U2354))</f>
        <v/>
      </c>
      <c r="W2354" s="33">
        <f>IF($A2354="","",DATE(YEAR($A2354),MONTH($A2354),1))</f>
        <v/>
      </c>
      <c r="X2354" s="34">
        <f>IF(OR($A2354="",$H2354&lt;&gt;"Ausgabe",J2354=""),0,IF(J2354="x",-$E2354/(COUNTIF($J2354:$Q2354,"x")+1),-$E2354*N(J2354)))</f>
        <v/>
      </c>
      <c r="Y2354" s="34">
        <f>IF(OR($A2354="",$H2354&lt;&gt;"Ausgabe",K2354=""),0,IF(K2354="x",-$E2354/(COUNTIF($J2354:$Q2354,"x")+1),-$E2354*N(K2354)))</f>
        <v/>
      </c>
      <c r="Z2354" s="34">
        <f>IF(OR($A2354="",$H2354&lt;&gt;"Ausgabe",L2354=""),0,IF(L2354="x",-$E2354/(COUNTIF($J2354:$Q2354,"x")+1),-$E2354*N(L2354)))</f>
        <v/>
      </c>
      <c r="AA2354" s="34">
        <f>IF(OR($A2354="",$H2354&lt;&gt;"Ausgabe",M2354=""),0,IF(M2354="x",-$E2354/(COUNTIF($J2354:$Q2354,"x")+1),-$E2354*N(M2354)))</f>
        <v/>
      </c>
      <c r="AB2354" s="34">
        <f>IF(OR($A2354="",$H2354&lt;&gt;"Ausgabe",N2354=""),0,IF(N2354="x",-$E2354/(COUNTIF($J2354:$Q2354,"x")+1),-$E2354*N(N2354)))</f>
        <v/>
      </c>
      <c r="AC2354" s="34">
        <f>IF(OR($A2354="",$H2354&lt;&gt;"Ausgabe",O2354=""),0,IF(O2354="x",-$E2354/(COUNTIF($J2354:$Q2354,"x")+1),-$E2354*N(O2354)))</f>
        <v/>
      </c>
      <c r="AD2354" s="34">
        <f>IF(OR($A2354="",$H2354&lt;&gt;"Ausgabe",P2354=""),0,IF(P2354="x",-$E2354/(COUNTIF($J2354:$Q2354,"x")+1),-$E2354*N(P2354)))</f>
        <v/>
      </c>
      <c r="AE2354" s="34">
        <f>IF(OR($A2354="",$H2354&lt;&gt;"Ausgabe",Q2354=""),0,IF(Q2354="x",-$E2354/(COUNTIF($J2354:$Q2354,"x")+1),-$E2354*N(Q2354)))</f>
        <v/>
      </c>
    </row>
    <row r="2355">
      <c r="A2355" s="30" t="n"/>
      <c r="E2355" s="31" t="n"/>
      <c r="J2355" s="32" t="n"/>
      <c r="K2355" s="32" t="n"/>
      <c r="L2355" s="32" t="n"/>
      <c r="M2355" s="32" t="n"/>
      <c r="N2355" s="32" t="n"/>
      <c r="O2355" s="32" t="n"/>
      <c r="P2355" s="32" t="n"/>
      <c r="Q2355" s="32" t="n"/>
      <c r="U2355" s="31">
        <f>IF($A2355="","",SUM(X2355:AE2355))</f>
        <v/>
      </c>
      <c r="V2355" s="31">
        <f>IF($A2355="","",IF($H2355&lt;&gt;"Ausgabe",0,-$E2355-$U2355))</f>
        <v/>
      </c>
      <c r="W2355" s="33">
        <f>IF($A2355="","",DATE(YEAR($A2355),MONTH($A2355),1))</f>
        <v/>
      </c>
      <c r="X2355" s="34">
        <f>IF(OR($A2355="",$H2355&lt;&gt;"Ausgabe",J2355=""),0,IF(J2355="x",-$E2355/(COUNTIF($J2355:$Q2355,"x")+1),-$E2355*N(J2355)))</f>
        <v/>
      </c>
      <c r="Y2355" s="34">
        <f>IF(OR($A2355="",$H2355&lt;&gt;"Ausgabe",K2355=""),0,IF(K2355="x",-$E2355/(COUNTIF($J2355:$Q2355,"x")+1),-$E2355*N(K2355)))</f>
        <v/>
      </c>
      <c r="Z2355" s="34">
        <f>IF(OR($A2355="",$H2355&lt;&gt;"Ausgabe",L2355=""),0,IF(L2355="x",-$E2355/(COUNTIF($J2355:$Q2355,"x")+1),-$E2355*N(L2355)))</f>
        <v/>
      </c>
      <c r="AA2355" s="34">
        <f>IF(OR($A2355="",$H2355&lt;&gt;"Ausgabe",M2355=""),0,IF(M2355="x",-$E2355/(COUNTIF($J2355:$Q2355,"x")+1),-$E2355*N(M2355)))</f>
        <v/>
      </c>
      <c r="AB2355" s="34">
        <f>IF(OR($A2355="",$H2355&lt;&gt;"Ausgabe",N2355=""),0,IF(N2355="x",-$E2355/(COUNTIF($J2355:$Q2355,"x")+1),-$E2355*N(N2355)))</f>
        <v/>
      </c>
      <c r="AC2355" s="34">
        <f>IF(OR($A2355="",$H2355&lt;&gt;"Ausgabe",O2355=""),0,IF(O2355="x",-$E2355/(COUNTIF($J2355:$Q2355,"x")+1),-$E2355*N(O2355)))</f>
        <v/>
      </c>
      <c r="AD2355" s="34">
        <f>IF(OR($A2355="",$H2355&lt;&gt;"Ausgabe",P2355=""),0,IF(P2355="x",-$E2355/(COUNTIF($J2355:$Q2355,"x")+1),-$E2355*N(P2355)))</f>
        <v/>
      </c>
      <c r="AE2355" s="34">
        <f>IF(OR($A2355="",$H2355&lt;&gt;"Ausgabe",Q2355=""),0,IF(Q2355="x",-$E2355/(COUNTIF($J2355:$Q2355,"x")+1),-$E2355*N(Q2355)))</f>
        <v/>
      </c>
    </row>
    <row r="2356">
      <c r="A2356" s="30" t="n"/>
      <c r="E2356" s="31" t="n"/>
      <c r="J2356" s="32" t="n"/>
      <c r="K2356" s="32" t="n"/>
      <c r="L2356" s="32" t="n"/>
      <c r="M2356" s="32" t="n"/>
      <c r="N2356" s="32" t="n"/>
      <c r="O2356" s="32" t="n"/>
      <c r="P2356" s="32" t="n"/>
      <c r="Q2356" s="32" t="n"/>
      <c r="U2356" s="31">
        <f>IF($A2356="","",SUM(X2356:AE2356))</f>
        <v/>
      </c>
      <c r="V2356" s="31">
        <f>IF($A2356="","",IF($H2356&lt;&gt;"Ausgabe",0,-$E2356-$U2356))</f>
        <v/>
      </c>
      <c r="W2356" s="33">
        <f>IF($A2356="","",DATE(YEAR($A2356),MONTH($A2356),1))</f>
        <v/>
      </c>
      <c r="X2356" s="34">
        <f>IF(OR($A2356="",$H2356&lt;&gt;"Ausgabe",J2356=""),0,IF(J2356="x",-$E2356/(COUNTIF($J2356:$Q2356,"x")+1),-$E2356*N(J2356)))</f>
        <v/>
      </c>
      <c r="Y2356" s="34">
        <f>IF(OR($A2356="",$H2356&lt;&gt;"Ausgabe",K2356=""),0,IF(K2356="x",-$E2356/(COUNTIF($J2356:$Q2356,"x")+1),-$E2356*N(K2356)))</f>
        <v/>
      </c>
      <c r="Z2356" s="34">
        <f>IF(OR($A2356="",$H2356&lt;&gt;"Ausgabe",L2356=""),0,IF(L2356="x",-$E2356/(COUNTIF($J2356:$Q2356,"x")+1),-$E2356*N(L2356)))</f>
        <v/>
      </c>
      <c r="AA2356" s="34">
        <f>IF(OR($A2356="",$H2356&lt;&gt;"Ausgabe",M2356=""),0,IF(M2356="x",-$E2356/(COUNTIF($J2356:$Q2356,"x")+1),-$E2356*N(M2356)))</f>
        <v/>
      </c>
      <c r="AB2356" s="34">
        <f>IF(OR($A2356="",$H2356&lt;&gt;"Ausgabe",N2356=""),0,IF(N2356="x",-$E2356/(COUNTIF($J2356:$Q2356,"x")+1),-$E2356*N(N2356)))</f>
        <v/>
      </c>
      <c r="AC2356" s="34">
        <f>IF(OR($A2356="",$H2356&lt;&gt;"Ausgabe",O2356=""),0,IF(O2356="x",-$E2356/(COUNTIF($J2356:$Q2356,"x")+1),-$E2356*N(O2356)))</f>
        <v/>
      </c>
      <c r="AD2356" s="34">
        <f>IF(OR($A2356="",$H2356&lt;&gt;"Ausgabe",P2356=""),0,IF(P2356="x",-$E2356/(COUNTIF($J2356:$Q2356,"x")+1),-$E2356*N(P2356)))</f>
        <v/>
      </c>
      <c r="AE2356" s="34">
        <f>IF(OR($A2356="",$H2356&lt;&gt;"Ausgabe",Q2356=""),0,IF(Q2356="x",-$E2356/(COUNTIF($J2356:$Q2356,"x")+1),-$E2356*N(Q2356)))</f>
        <v/>
      </c>
    </row>
    <row r="2357">
      <c r="A2357" s="30" t="n"/>
      <c r="E2357" s="31" t="n"/>
      <c r="J2357" s="32" t="n"/>
      <c r="K2357" s="32" t="n"/>
      <c r="L2357" s="32" t="n"/>
      <c r="M2357" s="32" t="n"/>
      <c r="N2357" s="32" t="n"/>
      <c r="O2357" s="32" t="n"/>
      <c r="P2357" s="32" t="n"/>
      <c r="Q2357" s="32" t="n"/>
      <c r="U2357" s="31">
        <f>IF($A2357="","",SUM(X2357:AE2357))</f>
        <v/>
      </c>
      <c r="V2357" s="31">
        <f>IF($A2357="","",IF($H2357&lt;&gt;"Ausgabe",0,-$E2357-$U2357))</f>
        <v/>
      </c>
      <c r="W2357" s="33">
        <f>IF($A2357="","",DATE(YEAR($A2357),MONTH($A2357),1))</f>
        <v/>
      </c>
      <c r="X2357" s="34">
        <f>IF(OR($A2357="",$H2357&lt;&gt;"Ausgabe",J2357=""),0,IF(J2357="x",-$E2357/(COUNTIF($J2357:$Q2357,"x")+1),-$E2357*N(J2357)))</f>
        <v/>
      </c>
      <c r="Y2357" s="34">
        <f>IF(OR($A2357="",$H2357&lt;&gt;"Ausgabe",K2357=""),0,IF(K2357="x",-$E2357/(COUNTIF($J2357:$Q2357,"x")+1),-$E2357*N(K2357)))</f>
        <v/>
      </c>
      <c r="Z2357" s="34">
        <f>IF(OR($A2357="",$H2357&lt;&gt;"Ausgabe",L2357=""),0,IF(L2357="x",-$E2357/(COUNTIF($J2357:$Q2357,"x")+1),-$E2357*N(L2357)))</f>
        <v/>
      </c>
      <c r="AA2357" s="34">
        <f>IF(OR($A2357="",$H2357&lt;&gt;"Ausgabe",M2357=""),0,IF(M2357="x",-$E2357/(COUNTIF($J2357:$Q2357,"x")+1),-$E2357*N(M2357)))</f>
        <v/>
      </c>
      <c r="AB2357" s="34">
        <f>IF(OR($A2357="",$H2357&lt;&gt;"Ausgabe",N2357=""),0,IF(N2357="x",-$E2357/(COUNTIF($J2357:$Q2357,"x")+1),-$E2357*N(N2357)))</f>
        <v/>
      </c>
      <c r="AC2357" s="34">
        <f>IF(OR($A2357="",$H2357&lt;&gt;"Ausgabe",O2357=""),0,IF(O2357="x",-$E2357/(COUNTIF($J2357:$Q2357,"x")+1),-$E2357*N(O2357)))</f>
        <v/>
      </c>
      <c r="AD2357" s="34">
        <f>IF(OR($A2357="",$H2357&lt;&gt;"Ausgabe",P2357=""),0,IF(P2357="x",-$E2357/(COUNTIF($J2357:$Q2357,"x")+1),-$E2357*N(P2357)))</f>
        <v/>
      </c>
      <c r="AE2357" s="34">
        <f>IF(OR($A2357="",$H2357&lt;&gt;"Ausgabe",Q2357=""),0,IF(Q2357="x",-$E2357/(COUNTIF($J2357:$Q2357,"x")+1),-$E2357*N(Q2357)))</f>
        <v/>
      </c>
    </row>
    <row r="2358">
      <c r="A2358" s="30" t="n"/>
      <c r="E2358" s="31" t="n"/>
      <c r="J2358" s="32" t="n"/>
      <c r="K2358" s="32" t="n"/>
      <c r="L2358" s="32" t="n"/>
      <c r="M2358" s="32" t="n"/>
      <c r="N2358" s="32" t="n"/>
      <c r="O2358" s="32" t="n"/>
      <c r="P2358" s="32" t="n"/>
      <c r="Q2358" s="32" t="n"/>
      <c r="U2358" s="31">
        <f>IF($A2358="","",SUM(X2358:AE2358))</f>
        <v/>
      </c>
      <c r="V2358" s="31">
        <f>IF($A2358="","",IF($H2358&lt;&gt;"Ausgabe",0,-$E2358-$U2358))</f>
        <v/>
      </c>
      <c r="W2358" s="33">
        <f>IF($A2358="","",DATE(YEAR($A2358),MONTH($A2358),1))</f>
        <v/>
      </c>
      <c r="X2358" s="34">
        <f>IF(OR($A2358="",$H2358&lt;&gt;"Ausgabe",J2358=""),0,IF(J2358="x",-$E2358/(COUNTIF($J2358:$Q2358,"x")+1),-$E2358*N(J2358)))</f>
        <v/>
      </c>
      <c r="Y2358" s="34">
        <f>IF(OR($A2358="",$H2358&lt;&gt;"Ausgabe",K2358=""),0,IF(K2358="x",-$E2358/(COUNTIF($J2358:$Q2358,"x")+1),-$E2358*N(K2358)))</f>
        <v/>
      </c>
      <c r="Z2358" s="34">
        <f>IF(OR($A2358="",$H2358&lt;&gt;"Ausgabe",L2358=""),0,IF(L2358="x",-$E2358/(COUNTIF($J2358:$Q2358,"x")+1),-$E2358*N(L2358)))</f>
        <v/>
      </c>
      <c r="AA2358" s="34">
        <f>IF(OR($A2358="",$H2358&lt;&gt;"Ausgabe",M2358=""),0,IF(M2358="x",-$E2358/(COUNTIF($J2358:$Q2358,"x")+1),-$E2358*N(M2358)))</f>
        <v/>
      </c>
      <c r="AB2358" s="34">
        <f>IF(OR($A2358="",$H2358&lt;&gt;"Ausgabe",N2358=""),0,IF(N2358="x",-$E2358/(COUNTIF($J2358:$Q2358,"x")+1),-$E2358*N(N2358)))</f>
        <v/>
      </c>
      <c r="AC2358" s="34">
        <f>IF(OR($A2358="",$H2358&lt;&gt;"Ausgabe",O2358=""),0,IF(O2358="x",-$E2358/(COUNTIF($J2358:$Q2358,"x")+1),-$E2358*N(O2358)))</f>
        <v/>
      </c>
      <c r="AD2358" s="34">
        <f>IF(OR($A2358="",$H2358&lt;&gt;"Ausgabe",P2358=""),0,IF(P2358="x",-$E2358/(COUNTIF($J2358:$Q2358,"x")+1),-$E2358*N(P2358)))</f>
        <v/>
      </c>
      <c r="AE2358" s="34">
        <f>IF(OR($A2358="",$H2358&lt;&gt;"Ausgabe",Q2358=""),0,IF(Q2358="x",-$E2358/(COUNTIF($J2358:$Q2358,"x")+1),-$E2358*N(Q2358)))</f>
        <v/>
      </c>
    </row>
    <row r="2359">
      <c r="A2359" s="30" t="n"/>
      <c r="E2359" s="31" t="n"/>
      <c r="J2359" s="32" t="n"/>
      <c r="K2359" s="32" t="n"/>
      <c r="L2359" s="32" t="n"/>
      <c r="M2359" s="32" t="n"/>
      <c r="N2359" s="32" t="n"/>
      <c r="O2359" s="32" t="n"/>
      <c r="P2359" s="32" t="n"/>
      <c r="Q2359" s="32" t="n"/>
      <c r="U2359" s="31">
        <f>IF($A2359="","",SUM(X2359:AE2359))</f>
        <v/>
      </c>
      <c r="V2359" s="31">
        <f>IF($A2359="","",IF($H2359&lt;&gt;"Ausgabe",0,-$E2359-$U2359))</f>
        <v/>
      </c>
      <c r="W2359" s="33">
        <f>IF($A2359="","",DATE(YEAR($A2359),MONTH($A2359),1))</f>
        <v/>
      </c>
      <c r="X2359" s="34">
        <f>IF(OR($A2359="",$H2359&lt;&gt;"Ausgabe",J2359=""),0,IF(J2359="x",-$E2359/(COUNTIF($J2359:$Q2359,"x")+1),-$E2359*N(J2359)))</f>
        <v/>
      </c>
      <c r="Y2359" s="34">
        <f>IF(OR($A2359="",$H2359&lt;&gt;"Ausgabe",K2359=""),0,IF(K2359="x",-$E2359/(COUNTIF($J2359:$Q2359,"x")+1),-$E2359*N(K2359)))</f>
        <v/>
      </c>
      <c r="Z2359" s="34">
        <f>IF(OR($A2359="",$H2359&lt;&gt;"Ausgabe",L2359=""),0,IF(L2359="x",-$E2359/(COUNTIF($J2359:$Q2359,"x")+1),-$E2359*N(L2359)))</f>
        <v/>
      </c>
      <c r="AA2359" s="34">
        <f>IF(OR($A2359="",$H2359&lt;&gt;"Ausgabe",M2359=""),0,IF(M2359="x",-$E2359/(COUNTIF($J2359:$Q2359,"x")+1),-$E2359*N(M2359)))</f>
        <v/>
      </c>
      <c r="AB2359" s="34">
        <f>IF(OR($A2359="",$H2359&lt;&gt;"Ausgabe",N2359=""),0,IF(N2359="x",-$E2359/(COUNTIF($J2359:$Q2359,"x")+1),-$E2359*N(N2359)))</f>
        <v/>
      </c>
      <c r="AC2359" s="34">
        <f>IF(OR($A2359="",$H2359&lt;&gt;"Ausgabe",O2359=""),0,IF(O2359="x",-$E2359/(COUNTIF($J2359:$Q2359,"x")+1),-$E2359*N(O2359)))</f>
        <v/>
      </c>
      <c r="AD2359" s="34">
        <f>IF(OR($A2359="",$H2359&lt;&gt;"Ausgabe",P2359=""),0,IF(P2359="x",-$E2359/(COUNTIF($J2359:$Q2359,"x")+1),-$E2359*N(P2359)))</f>
        <v/>
      </c>
      <c r="AE2359" s="34">
        <f>IF(OR($A2359="",$H2359&lt;&gt;"Ausgabe",Q2359=""),0,IF(Q2359="x",-$E2359/(COUNTIF($J2359:$Q2359,"x")+1),-$E2359*N(Q2359)))</f>
        <v/>
      </c>
    </row>
    <row r="2360">
      <c r="A2360" s="30" t="n"/>
      <c r="E2360" s="31" t="n"/>
      <c r="J2360" s="32" t="n"/>
      <c r="K2360" s="32" t="n"/>
      <c r="L2360" s="32" t="n"/>
      <c r="M2360" s="32" t="n"/>
      <c r="N2360" s="32" t="n"/>
      <c r="O2360" s="32" t="n"/>
      <c r="P2360" s="32" t="n"/>
      <c r="Q2360" s="32" t="n"/>
      <c r="U2360" s="31">
        <f>IF($A2360="","",SUM(X2360:AE2360))</f>
        <v/>
      </c>
      <c r="V2360" s="31">
        <f>IF($A2360="","",IF($H2360&lt;&gt;"Ausgabe",0,-$E2360-$U2360))</f>
        <v/>
      </c>
      <c r="W2360" s="33">
        <f>IF($A2360="","",DATE(YEAR($A2360),MONTH($A2360),1))</f>
        <v/>
      </c>
      <c r="X2360" s="34">
        <f>IF(OR($A2360="",$H2360&lt;&gt;"Ausgabe",J2360=""),0,IF(J2360="x",-$E2360/(COUNTIF($J2360:$Q2360,"x")+1),-$E2360*N(J2360)))</f>
        <v/>
      </c>
      <c r="Y2360" s="34">
        <f>IF(OR($A2360="",$H2360&lt;&gt;"Ausgabe",K2360=""),0,IF(K2360="x",-$E2360/(COUNTIF($J2360:$Q2360,"x")+1),-$E2360*N(K2360)))</f>
        <v/>
      </c>
      <c r="Z2360" s="34">
        <f>IF(OR($A2360="",$H2360&lt;&gt;"Ausgabe",L2360=""),0,IF(L2360="x",-$E2360/(COUNTIF($J2360:$Q2360,"x")+1),-$E2360*N(L2360)))</f>
        <v/>
      </c>
      <c r="AA2360" s="34">
        <f>IF(OR($A2360="",$H2360&lt;&gt;"Ausgabe",M2360=""),0,IF(M2360="x",-$E2360/(COUNTIF($J2360:$Q2360,"x")+1),-$E2360*N(M2360)))</f>
        <v/>
      </c>
      <c r="AB2360" s="34">
        <f>IF(OR($A2360="",$H2360&lt;&gt;"Ausgabe",N2360=""),0,IF(N2360="x",-$E2360/(COUNTIF($J2360:$Q2360,"x")+1),-$E2360*N(N2360)))</f>
        <v/>
      </c>
      <c r="AC2360" s="34">
        <f>IF(OR($A2360="",$H2360&lt;&gt;"Ausgabe",O2360=""),0,IF(O2360="x",-$E2360/(COUNTIF($J2360:$Q2360,"x")+1),-$E2360*N(O2360)))</f>
        <v/>
      </c>
      <c r="AD2360" s="34">
        <f>IF(OR($A2360="",$H2360&lt;&gt;"Ausgabe",P2360=""),0,IF(P2360="x",-$E2360/(COUNTIF($J2360:$Q2360,"x")+1),-$E2360*N(P2360)))</f>
        <v/>
      </c>
      <c r="AE2360" s="34">
        <f>IF(OR($A2360="",$H2360&lt;&gt;"Ausgabe",Q2360=""),0,IF(Q2360="x",-$E2360/(COUNTIF($J2360:$Q2360,"x")+1),-$E2360*N(Q2360)))</f>
        <v/>
      </c>
    </row>
    <row r="2361">
      <c r="A2361" s="30" t="n"/>
      <c r="E2361" s="31" t="n"/>
      <c r="J2361" s="32" t="n"/>
      <c r="K2361" s="32" t="n"/>
      <c r="L2361" s="32" t="n"/>
      <c r="M2361" s="32" t="n"/>
      <c r="N2361" s="32" t="n"/>
      <c r="O2361" s="32" t="n"/>
      <c r="P2361" s="32" t="n"/>
      <c r="Q2361" s="32" t="n"/>
      <c r="U2361" s="31">
        <f>IF($A2361="","",SUM(X2361:AE2361))</f>
        <v/>
      </c>
      <c r="V2361" s="31">
        <f>IF($A2361="","",IF($H2361&lt;&gt;"Ausgabe",0,-$E2361-$U2361))</f>
        <v/>
      </c>
      <c r="W2361" s="33">
        <f>IF($A2361="","",DATE(YEAR($A2361),MONTH($A2361),1))</f>
        <v/>
      </c>
      <c r="X2361" s="34">
        <f>IF(OR($A2361="",$H2361&lt;&gt;"Ausgabe",J2361=""),0,IF(J2361="x",-$E2361/(COUNTIF($J2361:$Q2361,"x")+1),-$E2361*N(J2361)))</f>
        <v/>
      </c>
      <c r="Y2361" s="34">
        <f>IF(OR($A2361="",$H2361&lt;&gt;"Ausgabe",K2361=""),0,IF(K2361="x",-$E2361/(COUNTIF($J2361:$Q2361,"x")+1),-$E2361*N(K2361)))</f>
        <v/>
      </c>
      <c r="Z2361" s="34">
        <f>IF(OR($A2361="",$H2361&lt;&gt;"Ausgabe",L2361=""),0,IF(L2361="x",-$E2361/(COUNTIF($J2361:$Q2361,"x")+1),-$E2361*N(L2361)))</f>
        <v/>
      </c>
      <c r="AA2361" s="34">
        <f>IF(OR($A2361="",$H2361&lt;&gt;"Ausgabe",M2361=""),0,IF(M2361="x",-$E2361/(COUNTIF($J2361:$Q2361,"x")+1),-$E2361*N(M2361)))</f>
        <v/>
      </c>
      <c r="AB2361" s="34">
        <f>IF(OR($A2361="",$H2361&lt;&gt;"Ausgabe",N2361=""),0,IF(N2361="x",-$E2361/(COUNTIF($J2361:$Q2361,"x")+1),-$E2361*N(N2361)))</f>
        <v/>
      </c>
      <c r="AC2361" s="34">
        <f>IF(OR($A2361="",$H2361&lt;&gt;"Ausgabe",O2361=""),0,IF(O2361="x",-$E2361/(COUNTIF($J2361:$Q2361,"x")+1),-$E2361*N(O2361)))</f>
        <v/>
      </c>
      <c r="AD2361" s="34">
        <f>IF(OR($A2361="",$H2361&lt;&gt;"Ausgabe",P2361=""),0,IF(P2361="x",-$E2361/(COUNTIF($J2361:$Q2361,"x")+1),-$E2361*N(P2361)))</f>
        <v/>
      </c>
      <c r="AE2361" s="34">
        <f>IF(OR($A2361="",$H2361&lt;&gt;"Ausgabe",Q2361=""),0,IF(Q2361="x",-$E2361/(COUNTIF($J2361:$Q2361,"x")+1),-$E2361*N(Q2361)))</f>
        <v/>
      </c>
    </row>
    <row r="2362">
      <c r="A2362" s="30" t="n"/>
      <c r="E2362" s="31" t="n"/>
      <c r="J2362" s="32" t="n"/>
      <c r="K2362" s="32" t="n"/>
      <c r="L2362" s="32" t="n"/>
      <c r="M2362" s="32" t="n"/>
      <c r="N2362" s="32" t="n"/>
      <c r="O2362" s="32" t="n"/>
      <c r="P2362" s="32" t="n"/>
      <c r="Q2362" s="32" t="n"/>
      <c r="U2362" s="31">
        <f>IF($A2362="","",SUM(X2362:AE2362))</f>
        <v/>
      </c>
      <c r="V2362" s="31">
        <f>IF($A2362="","",IF($H2362&lt;&gt;"Ausgabe",0,-$E2362-$U2362))</f>
        <v/>
      </c>
      <c r="W2362" s="33">
        <f>IF($A2362="","",DATE(YEAR($A2362),MONTH($A2362),1))</f>
        <v/>
      </c>
      <c r="X2362" s="34">
        <f>IF(OR($A2362="",$H2362&lt;&gt;"Ausgabe",J2362=""),0,IF(J2362="x",-$E2362/(COUNTIF($J2362:$Q2362,"x")+1),-$E2362*N(J2362)))</f>
        <v/>
      </c>
      <c r="Y2362" s="34">
        <f>IF(OR($A2362="",$H2362&lt;&gt;"Ausgabe",K2362=""),0,IF(K2362="x",-$E2362/(COUNTIF($J2362:$Q2362,"x")+1),-$E2362*N(K2362)))</f>
        <v/>
      </c>
      <c r="Z2362" s="34">
        <f>IF(OR($A2362="",$H2362&lt;&gt;"Ausgabe",L2362=""),0,IF(L2362="x",-$E2362/(COUNTIF($J2362:$Q2362,"x")+1),-$E2362*N(L2362)))</f>
        <v/>
      </c>
      <c r="AA2362" s="34">
        <f>IF(OR($A2362="",$H2362&lt;&gt;"Ausgabe",M2362=""),0,IF(M2362="x",-$E2362/(COUNTIF($J2362:$Q2362,"x")+1),-$E2362*N(M2362)))</f>
        <v/>
      </c>
      <c r="AB2362" s="34">
        <f>IF(OR($A2362="",$H2362&lt;&gt;"Ausgabe",N2362=""),0,IF(N2362="x",-$E2362/(COUNTIF($J2362:$Q2362,"x")+1),-$E2362*N(N2362)))</f>
        <v/>
      </c>
      <c r="AC2362" s="34">
        <f>IF(OR($A2362="",$H2362&lt;&gt;"Ausgabe",O2362=""),0,IF(O2362="x",-$E2362/(COUNTIF($J2362:$Q2362,"x")+1),-$E2362*N(O2362)))</f>
        <v/>
      </c>
      <c r="AD2362" s="34">
        <f>IF(OR($A2362="",$H2362&lt;&gt;"Ausgabe",P2362=""),0,IF(P2362="x",-$E2362/(COUNTIF($J2362:$Q2362,"x")+1),-$E2362*N(P2362)))</f>
        <v/>
      </c>
      <c r="AE2362" s="34">
        <f>IF(OR($A2362="",$H2362&lt;&gt;"Ausgabe",Q2362=""),0,IF(Q2362="x",-$E2362/(COUNTIF($J2362:$Q2362,"x")+1),-$E2362*N(Q2362)))</f>
        <v/>
      </c>
    </row>
    <row r="2363">
      <c r="A2363" s="30" t="n"/>
      <c r="E2363" s="31" t="n"/>
      <c r="J2363" s="32" t="n"/>
      <c r="K2363" s="32" t="n"/>
      <c r="L2363" s="32" t="n"/>
      <c r="M2363" s="32" t="n"/>
      <c r="N2363" s="32" t="n"/>
      <c r="O2363" s="32" t="n"/>
      <c r="P2363" s="32" t="n"/>
      <c r="Q2363" s="32" t="n"/>
      <c r="U2363" s="31">
        <f>IF($A2363="","",SUM(X2363:AE2363))</f>
        <v/>
      </c>
      <c r="V2363" s="31">
        <f>IF($A2363="","",IF($H2363&lt;&gt;"Ausgabe",0,-$E2363-$U2363))</f>
        <v/>
      </c>
      <c r="W2363" s="33">
        <f>IF($A2363="","",DATE(YEAR($A2363),MONTH($A2363),1))</f>
        <v/>
      </c>
      <c r="X2363" s="34">
        <f>IF(OR($A2363="",$H2363&lt;&gt;"Ausgabe",J2363=""),0,IF(J2363="x",-$E2363/(COUNTIF($J2363:$Q2363,"x")+1),-$E2363*N(J2363)))</f>
        <v/>
      </c>
      <c r="Y2363" s="34">
        <f>IF(OR($A2363="",$H2363&lt;&gt;"Ausgabe",K2363=""),0,IF(K2363="x",-$E2363/(COUNTIF($J2363:$Q2363,"x")+1),-$E2363*N(K2363)))</f>
        <v/>
      </c>
      <c r="Z2363" s="34">
        <f>IF(OR($A2363="",$H2363&lt;&gt;"Ausgabe",L2363=""),0,IF(L2363="x",-$E2363/(COUNTIF($J2363:$Q2363,"x")+1),-$E2363*N(L2363)))</f>
        <v/>
      </c>
      <c r="AA2363" s="34">
        <f>IF(OR($A2363="",$H2363&lt;&gt;"Ausgabe",M2363=""),0,IF(M2363="x",-$E2363/(COUNTIF($J2363:$Q2363,"x")+1),-$E2363*N(M2363)))</f>
        <v/>
      </c>
      <c r="AB2363" s="34">
        <f>IF(OR($A2363="",$H2363&lt;&gt;"Ausgabe",N2363=""),0,IF(N2363="x",-$E2363/(COUNTIF($J2363:$Q2363,"x")+1),-$E2363*N(N2363)))</f>
        <v/>
      </c>
      <c r="AC2363" s="34">
        <f>IF(OR($A2363="",$H2363&lt;&gt;"Ausgabe",O2363=""),0,IF(O2363="x",-$E2363/(COUNTIF($J2363:$Q2363,"x")+1),-$E2363*N(O2363)))</f>
        <v/>
      </c>
      <c r="AD2363" s="34">
        <f>IF(OR($A2363="",$H2363&lt;&gt;"Ausgabe",P2363=""),0,IF(P2363="x",-$E2363/(COUNTIF($J2363:$Q2363,"x")+1),-$E2363*N(P2363)))</f>
        <v/>
      </c>
      <c r="AE2363" s="34">
        <f>IF(OR($A2363="",$H2363&lt;&gt;"Ausgabe",Q2363=""),0,IF(Q2363="x",-$E2363/(COUNTIF($J2363:$Q2363,"x")+1),-$E2363*N(Q2363)))</f>
        <v/>
      </c>
    </row>
    <row r="2364">
      <c r="A2364" s="30" t="n"/>
      <c r="E2364" s="31" t="n"/>
      <c r="J2364" s="32" t="n"/>
      <c r="K2364" s="32" t="n"/>
      <c r="L2364" s="32" t="n"/>
      <c r="M2364" s="32" t="n"/>
      <c r="N2364" s="32" t="n"/>
      <c r="O2364" s="32" t="n"/>
      <c r="P2364" s="32" t="n"/>
      <c r="Q2364" s="32" t="n"/>
      <c r="U2364" s="31">
        <f>IF($A2364="","",SUM(X2364:AE2364))</f>
        <v/>
      </c>
      <c r="V2364" s="31">
        <f>IF($A2364="","",IF($H2364&lt;&gt;"Ausgabe",0,-$E2364-$U2364))</f>
        <v/>
      </c>
      <c r="W2364" s="33">
        <f>IF($A2364="","",DATE(YEAR($A2364),MONTH($A2364),1))</f>
        <v/>
      </c>
      <c r="X2364" s="34">
        <f>IF(OR($A2364="",$H2364&lt;&gt;"Ausgabe",J2364=""),0,IF(J2364="x",-$E2364/(COUNTIF($J2364:$Q2364,"x")+1),-$E2364*N(J2364)))</f>
        <v/>
      </c>
      <c r="Y2364" s="34">
        <f>IF(OR($A2364="",$H2364&lt;&gt;"Ausgabe",K2364=""),0,IF(K2364="x",-$E2364/(COUNTIF($J2364:$Q2364,"x")+1),-$E2364*N(K2364)))</f>
        <v/>
      </c>
      <c r="Z2364" s="34">
        <f>IF(OR($A2364="",$H2364&lt;&gt;"Ausgabe",L2364=""),0,IF(L2364="x",-$E2364/(COUNTIF($J2364:$Q2364,"x")+1),-$E2364*N(L2364)))</f>
        <v/>
      </c>
      <c r="AA2364" s="34">
        <f>IF(OR($A2364="",$H2364&lt;&gt;"Ausgabe",M2364=""),0,IF(M2364="x",-$E2364/(COUNTIF($J2364:$Q2364,"x")+1),-$E2364*N(M2364)))</f>
        <v/>
      </c>
      <c r="AB2364" s="34">
        <f>IF(OR($A2364="",$H2364&lt;&gt;"Ausgabe",N2364=""),0,IF(N2364="x",-$E2364/(COUNTIF($J2364:$Q2364,"x")+1),-$E2364*N(N2364)))</f>
        <v/>
      </c>
      <c r="AC2364" s="34">
        <f>IF(OR($A2364="",$H2364&lt;&gt;"Ausgabe",O2364=""),0,IF(O2364="x",-$E2364/(COUNTIF($J2364:$Q2364,"x")+1),-$E2364*N(O2364)))</f>
        <v/>
      </c>
      <c r="AD2364" s="34">
        <f>IF(OR($A2364="",$H2364&lt;&gt;"Ausgabe",P2364=""),0,IF(P2364="x",-$E2364/(COUNTIF($J2364:$Q2364,"x")+1),-$E2364*N(P2364)))</f>
        <v/>
      </c>
      <c r="AE2364" s="34">
        <f>IF(OR($A2364="",$H2364&lt;&gt;"Ausgabe",Q2364=""),0,IF(Q2364="x",-$E2364/(COUNTIF($J2364:$Q2364,"x")+1),-$E2364*N(Q2364)))</f>
        <v/>
      </c>
    </row>
    <row r="2365">
      <c r="A2365" s="30" t="n"/>
      <c r="E2365" s="31" t="n"/>
      <c r="J2365" s="32" t="n"/>
      <c r="K2365" s="32" t="n"/>
      <c r="L2365" s="32" t="n"/>
      <c r="M2365" s="32" t="n"/>
      <c r="N2365" s="32" t="n"/>
      <c r="O2365" s="32" t="n"/>
      <c r="P2365" s="32" t="n"/>
      <c r="Q2365" s="32" t="n"/>
      <c r="U2365" s="31">
        <f>IF($A2365="","",SUM(X2365:AE2365))</f>
        <v/>
      </c>
      <c r="V2365" s="31">
        <f>IF($A2365="","",IF($H2365&lt;&gt;"Ausgabe",0,-$E2365-$U2365))</f>
        <v/>
      </c>
      <c r="W2365" s="33">
        <f>IF($A2365="","",DATE(YEAR($A2365),MONTH($A2365),1))</f>
        <v/>
      </c>
      <c r="X2365" s="34">
        <f>IF(OR($A2365="",$H2365&lt;&gt;"Ausgabe",J2365=""),0,IF(J2365="x",-$E2365/(COUNTIF($J2365:$Q2365,"x")+1),-$E2365*N(J2365)))</f>
        <v/>
      </c>
      <c r="Y2365" s="34">
        <f>IF(OR($A2365="",$H2365&lt;&gt;"Ausgabe",K2365=""),0,IF(K2365="x",-$E2365/(COUNTIF($J2365:$Q2365,"x")+1),-$E2365*N(K2365)))</f>
        <v/>
      </c>
      <c r="Z2365" s="34">
        <f>IF(OR($A2365="",$H2365&lt;&gt;"Ausgabe",L2365=""),0,IF(L2365="x",-$E2365/(COUNTIF($J2365:$Q2365,"x")+1),-$E2365*N(L2365)))</f>
        <v/>
      </c>
      <c r="AA2365" s="34">
        <f>IF(OR($A2365="",$H2365&lt;&gt;"Ausgabe",M2365=""),0,IF(M2365="x",-$E2365/(COUNTIF($J2365:$Q2365,"x")+1),-$E2365*N(M2365)))</f>
        <v/>
      </c>
      <c r="AB2365" s="34">
        <f>IF(OR($A2365="",$H2365&lt;&gt;"Ausgabe",N2365=""),0,IF(N2365="x",-$E2365/(COUNTIF($J2365:$Q2365,"x")+1),-$E2365*N(N2365)))</f>
        <v/>
      </c>
      <c r="AC2365" s="34">
        <f>IF(OR($A2365="",$H2365&lt;&gt;"Ausgabe",O2365=""),0,IF(O2365="x",-$E2365/(COUNTIF($J2365:$Q2365,"x")+1),-$E2365*N(O2365)))</f>
        <v/>
      </c>
      <c r="AD2365" s="34">
        <f>IF(OR($A2365="",$H2365&lt;&gt;"Ausgabe",P2365=""),0,IF(P2365="x",-$E2365/(COUNTIF($J2365:$Q2365,"x")+1),-$E2365*N(P2365)))</f>
        <v/>
      </c>
      <c r="AE2365" s="34">
        <f>IF(OR($A2365="",$H2365&lt;&gt;"Ausgabe",Q2365=""),0,IF(Q2365="x",-$E2365/(COUNTIF($J2365:$Q2365,"x")+1),-$E2365*N(Q2365)))</f>
        <v/>
      </c>
    </row>
    <row r="2366">
      <c r="A2366" s="30" t="n"/>
      <c r="E2366" s="31" t="n"/>
      <c r="J2366" s="32" t="n"/>
      <c r="K2366" s="32" t="n"/>
      <c r="L2366" s="32" t="n"/>
      <c r="M2366" s="32" t="n"/>
      <c r="N2366" s="32" t="n"/>
      <c r="O2366" s="32" t="n"/>
      <c r="P2366" s="32" t="n"/>
      <c r="Q2366" s="32" t="n"/>
      <c r="U2366" s="31">
        <f>IF($A2366="","",SUM(X2366:AE2366))</f>
        <v/>
      </c>
      <c r="V2366" s="31">
        <f>IF($A2366="","",IF($H2366&lt;&gt;"Ausgabe",0,-$E2366-$U2366))</f>
        <v/>
      </c>
      <c r="W2366" s="33">
        <f>IF($A2366="","",DATE(YEAR($A2366),MONTH($A2366),1))</f>
        <v/>
      </c>
      <c r="X2366" s="34">
        <f>IF(OR($A2366="",$H2366&lt;&gt;"Ausgabe",J2366=""),0,IF(J2366="x",-$E2366/(COUNTIF($J2366:$Q2366,"x")+1),-$E2366*N(J2366)))</f>
        <v/>
      </c>
      <c r="Y2366" s="34">
        <f>IF(OR($A2366="",$H2366&lt;&gt;"Ausgabe",K2366=""),0,IF(K2366="x",-$E2366/(COUNTIF($J2366:$Q2366,"x")+1),-$E2366*N(K2366)))</f>
        <v/>
      </c>
      <c r="Z2366" s="34">
        <f>IF(OR($A2366="",$H2366&lt;&gt;"Ausgabe",L2366=""),0,IF(L2366="x",-$E2366/(COUNTIF($J2366:$Q2366,"x")+1),-$E2366*N(L2366)))</f>
        <v/>
      </c>
      <c r="AA2366" s="34">
        <f>IF(OR($A2366="",$H2366&lt;&gt;"Ausgabe",M2366=""),0,IF(M2366="x",-$E2366/(COUNTIF($J2366:$Q2366,"x")+1),-$E2366*N(M2366)))</f>
        <v/>
      </c>
      <c r="AB2366" s="34">
        <f>IF(OR($A2366="",$H2366&lt;&gt;"Ausgabe",N2366=""),0,IF(N2366="x",-$E2366/(COUNTIF($J2366:$Q2366,"x")+1),-$E2366*N(N2366)))</f>
        <v/>
      </c>
      <c r="AC2366" s="34">
        <f>IF(OR($A2366="",$H2366&lt;&gt;"Ausgabe",O2366=""),0,IF(O2366="x",-$E2366/(COUNTIF($J2366:$Q2366,"x")+1),-$E2366*N(O2366)))</f>
        <v/>
      </c>
      <c r="AD2366" s="34">
        <f>IF(OR($A2366="",$H2366&lt;&gt;"Ausgabe",P2366=""),0,IF(P2366="x",-$E2366/(COUNTIF($J2366:$Q2366,"x")+1),-$E2366*N(P2366)))</f>
        <v/>
      </c>
      <c r="AE2366" s="34">
        <f>IF(OR($A2366="",$H2366&lt;&gt;"Ausgabe",Q2366=""),0,IF(Q2366="x",-$E2366/(COUNTIF($J2366:$Q2366,"x")+1),-$E2366*N(Q2366)))</f>
        <v/>
      </c>
    </row>
    <row r="2367">
      <c r="A2367" s="30" t="n"/>
      <c r="E2367" s="31" t="n"/>
      <c r="J2367" s="32" t="n"/>
      <c r="K2367" s="32" t="n"/>
      <c r="L2367" s="32" t="n"/>
      <c r="M2367" s="32" t="n"/>
      <c r="N2367" s="32" t="n"/>
      <c r="O2367" s="32" t="n"/>
      <c r="P2367" s="32" t="n"/>
      <c r="Q2367" s="32" t="n"/>
      <c r="U2367" s="31">
        <f>IF($A2367="","",SUM(X2367:AE2367))</f>
        <v/>
      </c>
      <c r="V2367" s="31">
        <f>IF($A2367="","",IF($H2367&lt;&gt;"Ausgabe",0,-$E2367-$U2367))</f>
        <v/>
      </c>
      <c r="W2367" s="33">
        <f>IF($A2367="","",DATE(YEAR($A2367),MONTH($A2367),1))</f>
        <v/>
      </c>
      <c r="X2367" s="34">
        <f>IF(OR($A2367="",$H2367&lt;&gt;"Ausgabe",J2367=""),0,IF(J2367="x",-$E2367/(COUNTIF($J2367:$Q2367,"x")+1),-$E2367*N(J2367)))</f>
        <v/>
      </c>
      <c r="Y2367" s="34">
        <f>IF(OR($A2367="",$H2367&lt;&gt;"Ausgabe",K2367=""),0,IF(K2367="x",-$E2367/(COUNTIF($J2367:$Q2367,"x")+1),-$E2367*N(K2367)))</f>
        <v/>
      </c>
      <c r="Z2367" s="34">
        <f>IF(OR($A2367="",$H2367&lt;&gt;"Ausgabe",L2367=""),0,IF(L2367="x",-$E2367/(COUNTIF($J2367:$Q2367,"x")+1),-$E2367*N(L2367)))</f>
        <v/>
      </c>
      <c r="AA2367" s="34">
        <f>IF(OR($A2367="",$H2367&lt;&gt;"Ausgabe",M2367=""),0,IF(M2367="x",-$E2367/(COUNTIF($J2367:$Q2367,"x")+1),-$E2367*N(M2367)))</f>
        <v/>
      </c>
      <c r="AB2367" s="34">
        <f>IF(OR($A2367="",$H2367&lt;&gt;"Ausgabe",N2367=""),0,IF(N2367="x",-$E2367/(COUNTIF($J2367:$Q2367,"x")+1),-$E2367*N(N2367)))</f>
        <v/>
      </c>
      <c r="AC2367" s="34">
        <f>IF(OR($A2367="",$H2367&lt;&gt;"Ausgabe",O2367=""),0,IF(O2367="x",-$E2367/(COUNTIF($J2367:$Q2367,"x")+1),-$E2367*N(O2367)))</f>
        <v/>
      </c>
      <c r="AD2367" s="34">
        <f>IF(OR($A2367="",$H2367&lt;&gt;"Ausgabe",P2367=""),0,IF(P2367="x",-$E2367/(COUNTIF($J2367:$Q2367,"x")+1),-$E2367*N(P2367)))</f>
        <v/>
      </c>
      <c r="AE2367" s="34">
        <f>IF(OR($A2367="",$H2367&lt;&gt;"Ausgabe",Q2367=""),0,IF(Q2367="x",-$E2367/(COUNTIF($J2367:$Q2367,"x")+1),-$E2367*N(Q2367)))</f>
        <v/>
      </c>
    </row>
    <row r="2368">
      <c r="A2368" s="30" t="n"/>
      <c r="E2368" s="31" t="n"/>
      <c r="J2368" s="32" t="n"/>
      <c r="K2368" s="32" t="n"/>
      <c r="L2368" s="32" t="n"/>
      <c r="M2368" s="32" t="n"/>
      <c r="N2368" s="32" t="n"/>
      <c r="O2368" s="32" t="n"/>
      <c r="P2368" s="32" t="n"/>
      <c r="Q2368" s="32" t="n"/>
      <c r="U2368" s="31">
        <f>IF($A2368="","",SUM(X2368:AE2368))</f>
        <v/>
      </c>
      <c r="V2368" s="31">
        <f>IF($A2368="","",IF($H2368&lt;&gt;"Ausgabe",0,-$E2368-$U2368))</f>
        <v/>
      </c>
      <c r="W2368" s="33">
        <f>IF($A2368="","",DATE(YEAR($A2368),MONTH($A2368),1))</f>
        <v/>
      </c>
      <c r="X2368" s="34">
        <f>IF(OR($A2368="",$H2368&lt;&gt;"Ausgabe",J2368=""),0,IF(J2368="x",-$E2368/(COUNTIF($J2368:$Q2368,"x")+1),-$E2368*N(J2368)))</f>
        <v/>
      </c>
      <c r="Y2368" s="34">
        <f>IF(OR($A2368="",$H2368&lt;&gt;"Ausgabe",K2368=""),0,IF(K2368="x",-$E2368/(COUNTIF($J2368:$Q2368,"x")+1),-$E2368*N(K2368)))</f>
        <v/>
      </c>
      <c r="Z2368" s="34">
        <f>IF(OR($A2368="",$H2368&lt;&gt;"Ausgabe",L2368=""),0,IF(L2368="x",-$E2368/(COUNTIF($J2368:$Q2368,"x")+1),-$E2368*N(L2368)))</f>
        <v/>
      </c>
      <c r="AA2368" s="34">
        <f>IF(OR($A2368="",$H2368&lt;&gt;"Ausgabe",M2368=""),0,IF(M2368="x",-$E2368/(COUNTIF($J2368:$Q2368,"x")+1),-$E2368*N(M2368)))</f>
        <v/>
      </c>
      <c r="AB2368" s="34">
        <f>IF(OR($A2368="",$H2368&lt;&gt;"Ausgabe",N2368=""),0,IF(N2368="x",-$E2368/(COUNTIF($J2368:$Q2368,"x")+1),-$E2368*N(N2368)))</f>
        <v/>
      </c>
      <c r="AC2368" s="34">
        <f>IF(OR($A2368="",$H2368&lt;&gt;"Ausgabe",O2368=""),0,IF(O2368="x",-$E2368/(COUNTIF($J2368:$Q2368,"x")+1),-$E2368*N(O2368)))</f>
        <v/>
      </c>
      <c r="AD2368" s="34">
        <f>IF(OR($A2368="",$H2368&lt;&gt;"Ausgabe",P2368=""),0,IF(P2368="x",-$E2368/(COUNTIF($J2368:$Q2368,"x")+1),-$E2368*N(P2368)))</f>
        <v/>
      </c>
      <c r="AE2368" s="34">
        <f>IF(OR($A2368="",$H2368&lt;&gt;"Ausgabe",Q2368=""),0,IF(Q2368="x",-$E2368/(COUNTIF($J2368:$Q2368,"x")+1),-$E2368*N(Q2368)))</f>
        <v/>
      </c>
    </row>
    <row r="2369">
      <c r="A2369" s="30" t="n"/>
      <c r="E2369" s="31" t="n"/>
      <c r="J2369" s="32" t="n"/>
      <c r="K2369" s="32" t="n"/>
      <c r="L2369" s="32" t="n"/>
      <c r="M2369" s="32" t="n"/>
      <c r="N2369" s="32" t="n"/>
      <c r="O2369" s="32" t="n"/>
      <c r="P2369" s="32" t="n"/>
      <c r="Q2369" s="32" t="n"/>
      <c r="U2369" s="31">
        <f>IF($A2369="","",SUM(X2369:AE2369))</f>
        <v/>
      </c>
      <c r="V2369" s="31">
        <f>IF($A2369="","",IF($H2369&lt;&gt;"Ausgabe",0,-$E2369-$U2369))</f>
        <v/>
      </c>
      <c r="W2369" s="33">
        <f>IF($A2369="","",DATE(YEAR($A2369),MONTH($A2369),1))</f>
        <v/>
      </c>
      <c r="X2369" s="34">
        <f>IF(OR($A2369="",$H2369&lt;&gt;"Ausgabe",J2369=""),0,IF(J2369="x",-$E2369/(COUNTIF($J2369:$Q2369,"x")+1),-$E2369*N(J2369)))</f>
        <v/>
      </c>
      <c r="Y2369" s="34">
        <f>IF(OR($A2369="",$H2369&lt;&gt;"Ausgabe",K2369=""),0,IF(K2369="x",-$E2369/(COUNTIF($J2369:$Q2369,"x")+1),-$E2369*N(K2369)))</f>
        <v/>
      </c>
      <c r="Z2369" s="34">
        <f>IF(OR($A2369="",$H2369&lt;&gt;"Ausgabe",L2369=""),0,IF(L2369="x",-$E2369/(COUNTIF($J2369:$Q2369,"x")+1),-$E2369*N(L2369)))</f>
        <v/>
      </c>
      <c r="AA2369" s="34">
        <f>IF(OR($A2369="",$H2369&lt;&gt;"Ausgabe",M2369=""),0,IF(M2369="x",-$E2369/(COUNTIF($J2369:$Q2369,"x")+1),-$E2369*N(M2369)))</f>
        <v/>
      </c>
      <c r="AB2369" s="34">
        <f>IF(OR($A2369="",$H2369&lt;&gt;"Ausgabe",N2369=""),0,IF(N2369="x",-$E2369/(COUNTIF($J2369:$Q2369,"x")+1),-$E2369*N(N2369)))</f>
        <v/>
      </c>
      <c r="AC2369" s="34">
        <f>IF(OR($A2369="",$H2369&lt;&gt;"Ausgabe",O2369=""),0,IF(O2369="x",-$E2369/(COUNTIF($J2369:$Q2369,"x")+1),-$E2369*N(O2369)))</f>
        <v/>
      </c>
      <c r="AD2369" s="34">
        <f>IF(OR($A2369="",$H2369&lt;&gt;"Ausgabe",P2369=""),0,IF(P2369="x",-$E2369/(COUNTIF($J2369:$Q2369,"x")+1),-$E2369*N(P2369)))</f>
        <v/>
      </c>
      <c r="AE2369" s="34">
        <f>IF(OR($A2369="",$H2369&lt;&gt;"Ausgabe",Q2369=""),0,IF(Q2369="x",-$E2369/(COUNTIF($J2369:$Q2369,"x")+1),-$E2369*N(Q2369)))</f>
        <v/>
      </c>
    </row>
    <row r="2370">
      <c r="A2370" s="30" t="n"/>
      <c r="E2370" s="31" t="n"/>
      <c r="J2370" s="32" t="n"/>
      <c r="K2370" s="32" t="n"/>
      <c r="L2370" s="32" t="n"/>
      <c r="M2370" s="32" t="n"/>
      <c r="N2370" s="32" t="n"/>
      <c r="O2370" s="32" t="n"/>
      <c r="P2370" s="32" t="n"/>
      <c r="Q2370" s="32" t="n"/>
      <c r="U2370" s="31">
        <f>IF($A2370="","",SUM(X2370:AE2370))</f>
        <v/>
      </c>
      <c r="V2370" s="31">
        <f>IF($A2370="","",IF($H2370&lt;&gt;"Ausgabe",0,-$E2370-$U2370))</f>
        <v/>
      </c>
      <c r="W2370" s="33">
        <f>IF($A2370="","",DATE(YEAR($A2370),MONTH($A2370),1))</f>
        <v/>
      </c>
      <c r="X2370" s="34">
        <f>IF(OR($A2370="",$H2370&lt;&gt;"Ausgabe",J2370=""),0,IF(J2370="x",-$E2370/(COUNTIF($J2370:$Q2370,"x")+1),-$E2370*N(J2370)))</f>
        <v/>
      </c>
      <c r="Y2370" s="34">
        <f>IF(OR($A2370="",$H2370&lt;&gt;"Ausgabe",K2370=""),0,IF(K2370="x",-$E2370/(COUNTIF($J2370:$Q2370,"x")+1),-$E2370*N(K2370)))</f>
        <v/>
      </c>
      <c r="Z2370" s="34">
        <f>IF(OR($A2370="",$H2370&lt;&gt;"Ausgabe",L2370=""),0,IF(L2370="x",-$E2370/(COUNTIF($J2370:$Q2370,"x")+1),-$E2370*N(L2370)))</f>
        <v/>
      </c>
      <c r="AA2370" s="34">
        <f>IF(OR($A2370="",$H2370&lt;&gt;"Ausgabe",M2370=""),0,IF(M2370="x",-$E2370/(COUNTIF($J2370:$Q2370,"x")+1),-$E2370*N(M2370)))</f>
        <v/>
      </c>
      <c r="AB2370" s="34">
        <f>IF(OR($A2370="",$H2370&lt;&gt;"Ausgabe",N2370=""),0,IF(N2370="x",-$E2370/(COUNTIF($J2370:$Q2370,"x")+1),-$E2370*N(N2370)))</f>
        <v/>
      </c>
      <c r="AC2370" s="34">
        <f>IF(OR($A2370="",$H2370&lt;&gt;"Ausgabe",O2370=""),0,IF(O2370="x",-$E2370/(COUNTIF($J2370:$Q2370,"x")+1),-$E2370*N(O2370)))</f>
        <v/>
      </c>
      <c r="AD2370" s="34">
        <f>IF(OR($A2370="",$H2370&lt;&gt;"Ausgabe",P2370=""),0,IF(P2370="x",-$E2370/(COUNTIF($J2370:$Q2370,"x")+1),-$E2370*N(P2370)))</f>
        <v/>
      </c>
      <c r="AE2370" s="34">
        <f>IF(OR($A2370="",$H2370&lt;&gt;"Ausgabe",Q2370=""),0,IF(Q2370="x",-$E2370/(COUNTIF($J2370:$Q2370,"x")+1),-$E2370*N(Q2370)))</f>
        <v/>
      </c>
    </row>
    <row r="2371">
      <c r="A2371" s="30" t="n"/>
      <c r="E2371" s="31" t="n"/>
      <c r="J2371" s="32" t="n"/>
      <c r="K2371" s="32" t="n"/>
      <c r="L2371" s="32" t="n"/>
      <c r="M2371" s="32" t="n"/>
      <c r="N2371" s="32" t="n"/>
      <c r="O2371" s="32" t="n"/>
      <c r="P2371" s="32" t="n"/>
      <c r="Q2371" s="32" t="n"/>
      <c r="U2371" s="31">
        <f>IF($A2371="","",SUM(X2371:AE2371))</f>
        <v/>
      </c>
      <c r="V2371" s="31">
        <f>IF($A2371="","",IF($H2371&lt;&gt;"Ausgabe",0,-$E2371-$U2371))</f>
        <v/>
      </c>
      <c r="W2371" s="33">
        <f>IF($A2371="","",DATE(YEAR($A2371),MONTH($A2371),1))</f>
        <v/>
      </c>
      <c r="X2371" s="34">
        <f>IF(OR($A2371="",$H2371&lt;&gt;"Ausgabe",J2371=""),0,IF(J2371="x",-$E2371/(COUNTIF($J2371:$Q2371,"x")+1),-$E2371*N(J2371)))</f>
        <v/>
      </c>
      <c r="Y2371" s="34">
        <f>IF(OR($A2371="",$H2371&lt;&gt;"Ausgabe",K2371=""),0,IF(K2371="x",-$E2371/(COUNTIF($J2371:$Q2371,"x")+1),-$E2371*N(K2371)))</f>
        <v/>
      </c>
      <c r="Z2371" s="34">
        <f>IF(OR($A2371="",$H2371&lt;&gt;"Ausgabe",L2371=""),0,IF(L2371="x",-$E2371/(COUNTIF($J2371:$Q2371,"x")+1),-$E2371*N(L2371)))</f>
        <v/>
      </c>
      <c r="AA2371" s="34">
        <f>IF(OR($A2371="",$H2371&lt;&gt;"Ausgabe",M2371=""),0,IF(M2371="x",-$E2371/(COUNTIF($J2371:$Q2371,"x")+1),-$E2371*N(M2371)))</f>
        <v/>
      </c>
      <c r="AB2371" s="34">
        <f>IF(OR($A2371="",$H2371&lt;&gt;"Ausgabe",N2371=""),0,IF(N2371="x",-$E2371/(COUNTIF($J2371:$Q2371,"x")+1),-$E2371*N(N2371)))</f>
        <v/>
      </c>
      <c r="AC2371" s="34">
        <f>IF(OR($A2371="",$H2371&lt;&gt;"Ausgabe",O2371=""),0,IF(O2371="x",-$E2371/(COUNTIF($J2371:$Q2371,"x")+1),-$E2371*N(O2371)))</f>
        <v/>
      </c>
      <c r="AD2371" s="34">
        <f>IF(OR($A2371="",$H2371&lt;&gt;"Ausgabe",P2371=""),0,IF(P2371="x",-$E2371/(COUNTIF($J2371:$Q2371,"x")+1),-$E2371*N(P2371)))</f>
        <v/>
      </c>
      <c r="AE2371" s="34">
        <f>IF(OR($A2371="",$H2371&lt;&gt;"Ausgabe",Q2371=""),0,IF(Q2371="x",-$E2371/(COUNTIF($J2371:$Q2371,"x")+1),-$E2371*N(Q2371)))</f>
        <v/>
      </c>
    </row>
    <row r="2372">
      <c r="A2372" s="30" t="n"/>
      <c r="E2372" s="31" t="n"/>
      <c r="J2372" s="32" t="n"/>
      <c r="K2372" s="32" t="n"/>
      <c r="L2372" s="32" t="n"/>
      <c r="M2372" s="32" t="n"/>
      <c r="N2372" s="32" t="n"/>
      <c r="O2372" s="32" t="n"/>
      <c r="P2372" s="32" t="n"/>
      <c r="Q2372" s="32" t="n"/>
      <c r="U2372" s="31">
        <f>IF($A2372="","",SUM(X2372:AE2372))</f>
        <v/>
      </c>
      <c r="V2372" s="31">
        <f>IF($A2372="","",IF($H2372&lt;&gt;"Ausgabe",0,-$E2372-$U2372))</f>
        <v/>
      </c>
      <c r="W2372" s="33">
        <f>IF($A2372="","",DATE(YEAR($A2372),MONTH($A2372),1))</f>
        <v/>
      </c>
      <c r="X2372" s="34">
        <f>IF(OR($A2372="",$H2372&lt;&gt;"Ausgabe",J2372=""),0,IF(J2372="x",-$E2372/(COUNTIF($J2372:$Q2372,"x")+1),-$E2372*N(J2372)))</f>
        <v/>
      </c>
      <c r="Y2372" s="34">
        <f>IF(OR($A2372="",$H2372&lt;&gt;"Ausgabe",K2372=""),0,IF(K2372="x",-$E2372/(COUNTIF($J2372:$Q2372,"x")+1),-$E2372*N(K2372)))</f>
        <v/>
      </c>
      <c r="Z2372" s="34">
        <f>IF(OR($A2372="",$H2372&lt;&gt;"Ausgabe",L2372=""),0,IF(L2372="x",-$E2372/(COUNTIF($J2372:$Q2372,"x")+1),-$E2372*N(L2372)))</f>
        <v/>
      </c>
      <c r="AA2372" s="34">
        <f>IF(OR($A2372="",$H2372&lt;&gt;"Ausgabe",M2372=""),0,IF(M2372="x",-$E2372/(COUNTIF($J2372:$Q2372,"x")+1),-$E2372*N(M2372)))</f>
        <v/>
      </c>
      <c r="AB2372" s="34">
        <f>IF(OR($A2372="",$H2372&lt;&gt;"Ausgabe",N2372=""),0,IF(N2372="x",-$E2372/(COUNTIF($J2372:$Q2372,"x")+1),-$E2372*N(N2372)))</f>
        <v/>
      </c>
      <c r="AC2372" s="34">
        <f>IF(OR($A2372="",$H2372&lt;&gt;"Ausgabe",O2372=""),0,IF(O2372="x",-$E2372/(COUNTIF($J2372:$Q2372,"x")+1),-$E2372*N(O2372)))</f>
        <v/>
      </c>
      <c r="AD2372" s="34">
        <f>IF(OR($A2372="",$H2372&lt;&gt;"Ausgabe",P2372=""),0,IF(P2372="x",-$E2372/(COUNTIF($J2372:$Q2372,"x")+1),-$E2372*N(P2372)))</f>
        <v/>
      </c>
      <c r="AE2372" s="34">
        <f>IF(OR($A2372="",$H2372&lt;&gt;"Ausgabe",Q2372=""),0,IF(Q2372="x",-$E2372/(COUNTIF($J2372:$Q2372,"x")+1),-$E2372*N(Q2372)))</f>
        <v/>
      </c>
    </row>
    <row r="2373">
      <c r="A2373" s="30" t="n"/>
      <c r="E2373" s="31" t="n"/>
      <c r="J2373" s="32" t="n"/>
      <c r="K2373" s="32" t="n"/>
      <c r="L2373" s="32" t="n"/>
      <c r="M2373" s="32" t="n"/>
      <c r="N2373" s="32" t="n"/>
      <c r="O2373" s="32" t="n"/>
      <c r="P2373" s="32" t="n"/>
      <c r="Q2373" s="32" t="n"/>
      <c r="U2373" s="31">
        <f>IF($A2373="","",SUM(X2373:AE2373))</f>
        <v/>
      </c>
      <c r="V2373" s="31">
        <f>IF($A2373="","",IF($H2373&lt;&gt;"Ausgabe",0,-$E2373-$U2373))</f>
        <v/>
      </c>
      <c r="W2373" s="33">
        <f>IF($A2373="","",DATE(YEAR($A2373),MONTH($A2373),1))</f>
        <v/>
      </c>
      <c r="X2373" s="34">
        <f>IF(OR($A2373="",$H2373&lt;&gt;"Ausgabe",J2373=""),0,IF(J2373="x",-$E2373/(COUNTIF($J2373:$Q2373,"x")+1),-$E2373*N(J2373)))</f>
        <v/>
      </c>
      <c r="Y2373" s="34">
        <f>IF(OR($A2373="",$H2373&lt;&gt;"Ausgabe",K2373=""),0,IF(K2373="x",-$E2373/(COUNTIF($J2373:$Q2373,"x")+1),-$E2373*N(K2373)))</f>
        <v/>
      </c>
      <c r="Z2373" s="34">
        <f>IF(OR($A2373="",$H2373&lt;&gt;"Ausgabe",L2373=""),0,IF(L2373="x",-$E2373/(COUNTIF($J2373:$Q2373,"x")+1),-$E2373*N(L2373)))</f>
        <v/>
      </c>
      <c r="AA2373" s="34">
        <f>IF(OR($A2373="",$H2373&lt;&gt;"Ausgabe",M2373=""),0,IF(M2373="x",-$E2373/(COUNTIF($J2373:$Q2373,"x")+1),-$E2373*N(M2373)))</f>
        <v/>
      </c>
      <c r="AB2373" s="34">
        <f>IF(OR($A2373="",$H2373&lt;&gt;"Ausgabe",N2373=""),0,IF(N2373="x",-$E2373/(COUNTIF($J2373:$Q2373,"x")+1),-$E2373*N(N2373)))</f>
        <v/>
      </c>
      <c r="AC2373" s="34">
        <f>IF(OR($A2373="",$H2373&lt;&gt;"Ausgabe",O2373=""),0,IF(O2373="x",-$E2373/(COUNTIF($J2373:$Q2373,"x")+1),-$E2373*N(O2373)))</f>
        <v/>
      </c>
      <c r="AD2373" s="34">
        <f>IF(OR($A2373="",$H2373&lt;&gt;"Ausgabe",P2373=""),0,IF(P2373="x",-$E2373/(COUNTIF($J2373:$Q2373,"x")+1),-$E2373*N(P2373)))</f>
        <v/>
      </c>
      <c r="AE2373" s="34">
        <f>IF(OR($A2373="",$H2373&lt;&gt;"Ausgabe",Q2373=""),0,IF(Q2373="x",-$E2373/(COUNTIF($J2373:$Q2373,"x")+1),-$E2373*N(Q2373)))</f>
        <v/>
      </c>
    </row>
    <row r="2374">
      <c r="A2374" s="30" t="n"/>
      <c r="E2374" s="31" t="n"/>
      <c r="J2374" s="32" t="n"/>
      <c r="K2374" s="32" t="n"/>
      <c r="L2374" s="32" t="n"/>
      <c r="M2374" s="32" t="n"/>
      <c r="N2374" s="32" t="n"/>
      <c r="O2374" s="32" t="n"/>
      <c r="P2374" s="32" t="n"/>
      <c r="Q2374" s="32" t="n"/>
      <c r="U2374" s="31">
        <f>IF($A2374="","",SUM(X2374:AE2374))</f>
        <v/>
      </c>
      <c r="V2374" s="31">
        <f>IF($A2374="","",IF($H2374&lt;&gt;"Ausgabe",0,-$E2374-$U2374))</f>
        <v/>
      </c>
      <c r="W2374" s="33">
        <f>IF($A2374="","",DATE(YEAR($A2374),MONTH($A2374),1))</f>
        <v/>
      </c>
      <c r="X2374" s="34">
        <f>IF(OR($A2374="",$H2374&lt;&gt;"Ausgabe",J2374=""),0,IF(J2374="x",-$E2374/(COUNTIF($J2374:$Q2374,"x")+1),-$E2374*N(J2374)))</f>
        <v/>
      </c>
      <c r="Y2374" s="34">
        <f>IF(OR($A2374="",$H2374&lt;&gt;"Ausgabe",K2374=""),0,IF(K2374="x",-$E2374/(COUNTIF($J2374:$Q2374,"x")+1),-$E2374*N(K2374)))</f>
        <v/>
      </c>
      <c r="Z2374" s="34">
        <f>IF(OR($A2374="",$H2374&lt;&gt;"Ausgabe",L2374=""),0,IF(L2374="x",-$E2374/(COUNTIF($J2374:$Q2374,"x")+1),-$E2374*N(L2374)))</f>
        <v/>
      </c>
      <c r="AA2374" s="34">
        <f>IF(OR($A2374="",$H2374&lt;&gt;"Ausgabe",M2374=""),0,IF(M2374="x",-$E2374/(COUNTIF($J2374:$Q2374,"x")+1),-$E2374*N(M2374)))</f>
        <v/>
      </c>
      <c r="AB2374" s="34">
        <f>IF(OR($A2374="",$H2374&lt;&gt;"Ausgabe",N2374=""),0,IF(N2374="x",-$E2374/(COUNTIF($J2374:$Q2374,"x")+1),-$E2374*N(N2374)))</f>
        <v/>
      </c>
      <c r="AC2374" s="34">
        <f>IF(OR($A2374="",$H2374&lt;&gt;"Ausgabe",O2374=""),0,IF(O2374="x",-$E2374/(COUNTIF($J2374:$Q2374,"x")+1),-$E2374*N(O2374)))</f>
        <v/>
      </c>
      <c r="AD2374" s="34">
        <f>IF(OR($A2374="",$H2374&lt;&gt;"Ausgabe",P2374=""),0,IF(P2374="x",-$E2374/(COUNTIF($J2374:$Q2374,"x")+1),-$E2374*N(P2374)))</f>
        <v/>
      </c>
      <c r="AE2374" s="34">
        <f>IF(OR($A2374="",$H2374&lt;&gt;"Ausgabe",Q2374=""),0,IF(Q2374="x",-$E2374/(COUNTIF($J2374:$Q2374,"x")+1),-$E2374*N(Q2374)))</f>
        <v/>
      </c>
    </row>
    <row r="2375">
      <c r="A2375" s="30" t="n"/>
      <c r="E2375" s="31" t="n"/>
      <c r="J2375" s="32" t="n"/>
      <c r="K2375" s="32" t="n"/>
      <c r="L2375" s="32" t="n"/>
      <c r="M2375" s="32" t="n"/>
      <c r="N2375" s="32" t="n"/>
      <c r="O2375" s="32" t="n"/>
      <c r="P2375" s="32" t="n"/>
      <c r="Q2375" s="32" t="n"/>
      <c r="U2375" s="31">
        <f>IF($A2375="","",SUM(X2375:AE2375))</f>
        <v/>
      </c>
      <c r="V2375" s="31">
        <f>IF($A2375="","",IF($H2375&lt;&gt;"Ausgabe",0,-$E2375-$U2375))</f>
        <v/>
      </c>
      <c r="W2375" s="33">
        <f>IF($A2375="","",DATE(YEAR($A2375),MONTH($A2375),1))</f>
        <v/>
      </c>
      <c r="X2375" s="34">
        <f>IF(OR($A2375="",$H2375&lt;&gt;"Ausgabe",J2375=""),0,IF(J2375="x",-$E2375/(COUNTIF($J2375:$Q2375,"x")+1),-$E2375*N(J2375)))</f>
        <v/>
      </c>
      <c r="Y2375" s="34">
        <f>IF(OR($A2375="",$H2375&lt;&gt;"Ausgabe",K2375=""),0,IF(K2375="x",-$E2375/(COUNTIF($J2375:$Q2375,"x")+1),-$E2375*N(K2375)))</f>
        <v/>
      </c>
      <c r="Z2375" s="34">
        <f>IF(OR($A2375="",$H2375&lt;&gt;"Ausgabe",L2375=""),0,IF(L2375="x",-$E2375/(COUNTIF($J2375:$Q2375,"x")+1),-$E2375*N(L2375)))</f>
        <v/>
      </c>
      <c r="AA2375" s="34">
        <f>IF(OR($A2375="",$H2375&lt;&gt;"Ausgabe",M2375=""),0,IF(M2375="x",-$E2375/(COUNTIF($J2375:$Q2375,"x")+1),-$E2375*N(M2375)))</f>
        <v/>
      </c>
      <c r="AB2375" s="34">
        <f>IF(OR($A2375="",$H2375&lt;&gt;"Ausgabe",N2375=""),0,IF(N2375="x",-$E2375/(COUNTIF($J2375:$Q2375,"x")+1),-$E2375*N(N2375)))</f>
        <v/>
      </c>
      <c r="AC2375" s="34">
        <f>IF(OR($A2375="",$H2375&lt;&gt;"Ausgabe",O2375=""),0,IF(O2375="x",-$E2375/(COUNTIF($J2375:$Q2375,"x")+1),-$E2375*N(O2375)))</f>
        <v/>
      </c>
      <c r="AD2375" s="34">
        <f>IF(OR($A2375="",$H2375&lt;&gt;"Ausgabe",P2375=""),0,IF(P2375="x",-$E2375/(COUNTIF($J2375:$Q2375,"x")+1),-$E2375*N(P2375)))</f>
        <v/>
      </c>
      <c r="AE2375" s="34">
        <f>IF(OR($A2375="",$H2375&lt;&gt;"Ausgabe",Q2375=""),0,IF(Q2375="x",-$E2375/(COUNTIF($J2375:$Q2375,"x")+1),-$E2375*N(Q2375)))</f>
        <v/>
      </c>
    </row>
    <row r="2376">
      <c r="A2376" s="30" t="n"/>
      <c r="E2376" s="31" t="n"/>
      <c r="J2376" s="32" t="n"/>
      <c r="K2376" s="32" t="n"/>
      <c r="L2376" s="32" t="n"/>
      <c r="M2376" s="32" t="n"/>
      <c r="N2376" s="32" t="n"/>
      <c r="O2376" s="32" t="n"/>
      <c r="P2376" s="32" t="n"/>
      <c r="Q2376" s="32" t="n"/>
      <c r="U2376" s="31">
        <f>IF($A2376="","",SUM(X2376:AE2376))</f>
        <v/>
      </c>
      <c r="V2376" s="31">
        <f>IF($A2376="","",IF($H2376&lt;&gt;"Ausgabe",0,-$E2376-$U2376))</f>
        <v/>
      </c>
      <c r="W2376" s="33">
        <f>IF($A2376="","",DATE(YEAR($A2376),MONTH($A2376),1))</f>
        <v/>
      </c>
      <c r="X2376" s="34">
        <f>IF(OR($A2376="",$H2376&lt;&gt;"Ausgabe",J2376=""),0,IF(J2376="x",-$E2376/(COUNTIF($J2376:$Q2376,"x")+1),-$E2376*N(J2376)))</f>
        <v/>
      </c>
      <c r="Y2376" s="34">
        <f>IF(OR($A2376="",$H2376&lt;&gt;"Ausgabe",K2376=""),0,IF(K2376="x",-$E2376/(COUNTIF($J2376:$Q2376,"x")+1),-$E2376*N(K2376)))</f>
        <v/>
      </c>
      <c r="Z2376" s="34">
        <f>IF(OR($A2376="",$H2376&lt;&gt;"Ausgabe",L2376=""),0,IF(L2376="x",-$E2376/(COUNTIF($J2376:$Q2376,"x")+1),-$E2376*N(L2376)))</f>
        <v/>
      </c>
      <c r="AA2376" s="34">
        <f>IF(OR($A2376="",$H2376&lt;&gt;"Ausgabe",M2376=""),0,IF(M2376="x",-$E2376/(COUNTIF($J2376:$Q2376,"x")+1),-$E2376*N(M2376)))</f>
        <v/>
      </c>
      <c r="AB2376" s="34">
        <f>IF(OR($A2376="",$H2376&lt;&gt;"Ausgabe",N2376=""),0,IF(N2376="x",-$E2376/(COUNTIF($J2376:$Q2376,"x")+1),-$E2376*N(N2376)))</f>
        <v/>
      </c>
      <c r="AC2376" s="34">
        <f>IF(OR($A2376="",$H2376&lt;&gt;"Ausgabe",O2376=""),0,IF(O2376="x",-$E2376/(COUNTIF($J2376:$Q2376,"x")+1),-$E2376*N(O2376)))</f>
        <v/>
      </c>
      <c r="AD2376" s="34">
        <f>IF(OR($A2376="",$H2376&lt;&gt;"Ausgabe",P2376=""),0,IF(P2376="x",-$E2376/(COUNTIF($J2376:$Q2376,"x")+1),-$E2376*N(P2376)))</f>
        <v/>
      </c>
      <c r="AE2376" s="34">
        <f>IF(OR($A2376="",$H2376&lt;&gt;"Ausgabe",Q2376=""),0,IF(Q2376="x",-$E2376/(COUNTIF($J2376:$Q2376,"x")+1),-$E2376*N(Q2376)))</f>
        <v/>
      </c>
    </row>
    <row r="2377">
      <c r="A2377" s="30" t="n"/>
      <c r="E2377" s="31" t="n"/>
      <c r="J2377" s="32" t="n"/>
      <c r="K2377" s="32" t="n"/>
      <c r="L2377" s="32" t="n"/>
      <c r="M2377" s="32" t="n"/>
      <c r="N2377" s="32" t="n"/>
      <c r="O2377" s="32" t="n"/>
      <c r="P2377" s="32" t="n"/>
      <c r="Q2377" s="32" t="n"/>
      <c r="U2377" s="31">
        <f>IF($A2377="","",SUM(X2377:AE2377))</f>
        <v/>
      </c>
      <c r="V2377" s="31">
        <f>IF($A2377="","",IF($H2377&lt;&gt;"Ausgabe",0,-$E2377-$U2377))</f>
        <v/>
      </c>
      <c r="W2377" s="33">
        <f>IF($A2377="","",DATE(YEAR($A2377),MONTH($A2377),1))</f>
        <v/>
      </c>
      <c r="X2377" s="34">
        <f>IF(OR($A2377="",$H2377&lt;&gt;"Ausgabe",J2377=""),0,IF(J2377="x",-$E2377/(COUNTIF($J2377:$Q2377,"x")+1),-$E2377*N(J2377)))</f>
        <v/>
      </c>
      <c r="Y2377" s="34">
        <f>IF(OR($A2377="",$H2377&lt;&gt;"Ausgabe",K2377=""),0,IF(K2377="x",-$E2377/(COUNTIF($J2377:$Q2377,"x")+1),-$E2377*N(K2377)))</f>
        <v/>
      </c>
      <c r="Z2377" s="34">
        <f>IF(OR($A2377="",$H2377&lt;&gt;"Ausgabe",L2377=""),0,IF(L2377="x",-$E2377/(COUNTIF($J2377:$Q2377,"x")+1),-$E2377*N(L2377)))</f>
        <v/>
      </c>
      <c r="AA2377" s="34">
        <f>IF(OR($A2377="",$H2377&lt;&gt;"Ausgabe",M2377=""),0,IF(M2377="x",-$E2377/(COUNTIF($J2377:$Q2377,"x")+1),-$E2377*N(M2377)))</f>
        <v/>
      </c>
      <c r="AB2377" s="34">
        <f>IF(OR($A2377="",$H2377&lt;&gt;"Ausgabe",N2377=""),0,IF(N2377="x",-$E2377/(COUNTIF($J2377:$Q2377,"x")+1),-$E2377*N(N2377)))</f>
        <v/>
      </c>
      <c r="AC2377" s="34">
        <f>IF(OR($A2377="",$H2377&lt;&gt;"Ausgabe",O2377=""),0,IF(O2377="x",-$E2377/(COUNTIF($J2377:$Q2377,"x")+1),-$E2377*N(O2377)))</f>
        <v/>
      </c>
      <c r="AD2377" s="34">
        <f>IF(OR($A2377="",$H2377&lt;&gt;"Ausgabe",P2377=""),0,IF(P2377="x",-$E2377/(COUNTIF($J2377:$Q2377,"x")+1),-$E2377*N(P2377)))</f>
        <v/>
      </c>
      <c r="AE2377" s="34">
        <f>IF(OR($A2377="",$H2377&lt;&gt;"Ausgabe",Q2377=""),0,IF(Q2377="x",-$E2377/(COUNTIF($J2377:$Q2377,"x")+1),-$E2377*N(Q2377)))</f>
        <v/>
      </c>
    </row>
    <row r="2378">
      <c r="A2378" s="30" t="n"/>
      <c r="E2378" s="31" t="n"/>
      <c r="J2378" s="32" t="n"/>
      <c r="K2378" s="32" t="n"/>
      <c r="L2378" s="32" t="n"/>
      <c r="M2378" s="32" t="n"/>
      <c r="N2378" s="32" t="n"/>
      <c r="O2378" s="32" t="n"/>
      <c r="P2378" s="32" t="n"/>
      <c r="Q2378" s="32" t="n"/>
      <c r="U2378" s="31">
        <f>IF($A2378="","",SUM(X2378:AE2378))</f>
        <v/>
      </c>
      <c r="V2378" s="31">
        <f>IF($A2378="","",IF($H2378&lt;&gt;"Ausgabe",0,-$E2378-$U2378))</f>
        <v/>
      </c>
      <c r="W2378" s="33">
        <f>IF($A2378="","",DATE(YEAR($A2378),MONTH($A2378),1))</f>
        <v/>
      </c>
      <c r="X2378" s="34">
        <f>IF(OR($A2378="",$H2378&lt;&gt;"Ausgabe",J2378=""),0,IF(J2378="x",-$E2378/(COUNTIF($J2378:$Q2378,"x")+1),-$E2378*N(J2378)))</f>
        <v/>
      </c>
      <c r="Y2378" s="34">
        <f>IF(OR($A2378="",$H2378&lt;&gt;"Ausgabe",K2378=""),0,IF(K2378="x",-$E2378/(COUNTIF($J2378:$Q2378,"x")+1),-$E2378*N(K2378)))</f>
        <v/>
      </c>
      <c r="Z2378" s="34">
        <f>IF(OR($A2378="",$H2378&lt;&gt;"Ausgabe",L2378=""),0,IF(L2378="x",-$E2378/(COUNTIF($J2378:$Q2378,"x")+1),-$E2378*N(L2378)))</f>
        <v/>
      </c>
      <c r="AA2378" s="34">
        <f>IF(OR($A2378="",$H2378&lt;&gt;"Ausgabe",M2378=""),0,IF(M2378="x",-$E2378/(COUNTIF($J2378:$Q2378,"x")+1),-$E2378*N(M2378)))</f>
        <v/>
      </c>
      <c r="AB2378" s="34">
        <f>IF(OR($A2378="",$H2378&lt;&gt;"Ausgabe",N2378=""),0,IF(N2378="x",-$E2378/(COUNTIF($J2378:$Q2378,"x")+1),-$E2378*N(N2378)))</f>
        <v/>
      </c>
      <c r="AC2378" s="34">
        <f>IF(OR($A2378="",$H2378&lt;&gt;"Ausgabe",O2378=""),0,IF(O2378="x",-$E2378/(COUNTIF($J2378:$Q2378,"x")+1),-$E2378*N(O2378)))</f>
        <v/>
      </c>
      <c r="AD2378" s="34">
        <f>IF(OR($A2378="",$H2378&lt;&gt;"Ausgabe",P2378=""),0,IF(P2378="x",-$E2378/(COUNTIF($J2378:$Q2378,"x")+1),-$E2378*N(P2378)))</f>
        <v/>
      </c>
      <c r="AE2378" s="34">
        <f>IF(OR($A2378="",$H2378&lt;&gt;"Ausgabe",Q2378=""),0,IF(Q2378="x",-$E2378/(COUNTIF($J2378:$Q2378,"x")+1),-$E2378*N(Q2378)))</f>
        <v/>
      </c>
    </row>
    <row r="2379">
      <c r="A2379" s="30" t="n"/>
      <c r="E2379" s="31" t="n"/>
      <c r="J2379" s="32" t="n"/>
      <c r="K2379" s="32" t="n"/>
      <c r="L2379" s="32" t="n"/>
      <c r="M2379" s="32" t="n"/>
      <c r="N2379" s="32" t="n"/>
      <c r="O2379" s="32" t="n"/>
      <c r="P2379" s="32" t="n"/>
      <c r="Q2379" s="32" t="n"/>
      <c r="U2379" s="31">
        <f>IF($A2379="","",SUM(X2379:AE2379))</f>
        <v/>
      </c>
      <c r="V2379" s="31">
        <f>IF($A2379="","",IF($H2379&lt;&gt;"Ausgabe",0,-$E2379-$U2379))</f>
        <v/>
      </c>
      <c r="W2379" s="33">
        <f>IF($A2379="","",DATE(YEAR($A2379),MONTH($A2379),1))</f>
        <v/>
      </c>
      <c r="X2379" s="34">
        <f>IF(OR($A2379="",$H2379&lt;&gt;"Ausgabe",J2379=""),0,IF(J2379="x",-$E2379/(COUNTIF($J2379:$Q2379,"x")+1),-$E2379*N(J2379)))</f>
        <v/>
      </c>
      <c r="Y2379" s="34">
        <f>IF(OR($A2379="",$H2379&lt;&gt;"Ausgabe",K2379=""),0,IF(K2379="x",-$E2379/(COUNTIF($J2379:$Q2379,"x")+1),-$E2379*N(K2379)))</f>
        <v/>
      </c>
      <c r="Z2379" s="34">
        <f>IF(OR($A2379="",$H2379&lt;&gt;"Ausgabe",L2379=""),0,IF(L2379="x",-$E2379/(COUNTIF($J2379:$Q2379,"x")+1),-$E2379*N(L2379)))</f>
        <v/>
      </c>
      <c r="AA2379" s="34">
        <f>IF(OR($A2379="",$H2379&lt;&gt;"Ausgabe",M2379=""),0,IF(M2379="x",-$E2379/(COUNTIF($J2379:$Q2379,"x")+1),-$E2379*N(M2379)))</f>
        <v/>
      </c>
      <c r="AB2379" s="34">
        <f>IF(OR($A2379="",$H2379&lt;&gt;"Ausgabe",N2379=""),0,IF(N2379="x",-$E2379/(COUNTIF($J2379:$Q2379,"x")+1),-$E2379*N(N2379)))</f>
        <v/>
      </c>
      <c r="AC2379" s="34">
        <f>IF(OR($A2379="",$H2379&lt;&gt;"Ausgabe",O2379=""),0,IF(O2379="x",-$E2379/(COUNTIF($J2379:$Q2379,"x")+1),-$E2379*N(O2379)))</f>
        <v/>
      </c>
      <c r="AD2379" s="34">
        <f>IF(OR($A2379="",$H2379&lt;&gt;"Ausgabe",P2379=""),0,IF(P2379="x",-$E2379/(COUNTIF($J2379:$Q2379,"x")+1),-$E2379*N(P2379)))</f>
        <v/>
      </c>
      <c r="AE2379" s="34">
        <f>IF(OR($A2379="",$H2379&lt;&gt;"Ausgabe",Q2379=""),0,IF(Q2379="x",-$E2379/(COUNTIF($J2379:$Q2379,"x")+1),-$E2379*N(Q2379)))</f>
        <v/>
      </c>
    </row>
    <row r="2380">
      <c r="A2380" s="30" t="n"/>
      <c r="E2380" s="31" t="n"/>
      <c r="J2380" s="32" t="n"/>
      <c r="K2380" s="32" t="n"/>
      <c r="L2380" s="32" t="n"/>
      <c r="M2380" s="32" t="n"/>
      <c r="N2380" s="32" t="n"/>
      <c r="O2380" s="32" t="n"/>
      <c r="P2380" s="32" t="n"/>
      <c r="Q2380" s="32" t="n"/>
      <c r="U2380" s="31">
        <f>IF($A2380="","",SUM(X2380:AE2380))</f>
        <v/>
      </c>
      <c r="V2380" s="31">
        <f>IF($A2380="","",IF($H2380&lt;&gt;"Ausgabe",0,-$E2380-$U2380))</f>
        <v/>
      </c>
      <c r="W2380" s="33">
        <f>IF($A2380="","",DATE(YEAR($A2380),MONTH($A2380),1))</f>
        <v/>
      </c>
      <c r="X2380" s="34">
        <f>IF(OR($A2380="",$H2380&lt;&gt;"Ausgabe",J2380=""),0,IF(J2380="x",-$E2380/(COUNTIF($J2380:$Q2380,"x")+1),-$E2380*N(J2380)))</f>
        <v/>
      </c>
      <c r="Y2380" s="34">
        <f>IF(OR($A2380="",$H2380&lt;&gt;"Ausgabe",K2380=""),0,IF(K2380="x",-$E2380/(COUNTIF($J2380:$Q2380,"x")+1),-$E2380*N(K2380)))</f>
        <v/>
      </c>
      <c r="Z2380" s="34">
        <f>IF(OR($A2380="",$H2380&lt;&gt;"Ausgabe",L2380=""),0,IF(L2380="x",-$E2380/(COUNTIF($J2380:$Q2380,"x")+1),-$E2380*N(L2380)))</f>
        <v/>
      </c>
      <c r="AA2380" s="34">
        <f>IF(OR($A2380="",$H2380&lt;&gt;"Ausgabe",M2380=""),0,IF(M2380="x",-$E2380/(COUNTIF($J2380:$Q2380,"x")+1),-$E2380*N(M2380)))</f>
        <v/>
      </c>
      <c r="AB2380" s="34">
        <f>IF(OR($A2380="",$H2380&lt;&gt;"Ausgabe",N2380=""),0,IF(N2380="x",-$E2380/(COUNTIF($J2380:$Q2380,"x")+1),-$E2380*N(N2380)))</f>
        <v/>
      </c>
      <c r="AC2380" s="34">
        <f>IF(OR($A2380="",$H2380&lt;&gt;"Ausgabe",O2380=""),0,IF(O2380="x",-$E2380/(COUNTIF($J2380:$Q2380,"x")+1),-$E2380*N(O2380)))</f>
        <v/>
      </c>
      <c r="AD2380" s="34">
        <f>IF(OR($A2380="",$H2380&lt;&gt;"Ausgabe",P2380=""),0,IF(P2380="x",-$E2380/(COUNTIF($J2380:$Q2380,"x")+1),-$E2380*N(P2380)))</f>
        <v/>
      </c>
      <c r="AE2380" s="34">
        <f>IF(OR($A2380="",$H2380&lt;&gt;"Ausgabe",Q2380=""),0,IF(Q2380="x",-$E2380/(COUNTIF($J2380:$Q2380,"x")+1),-$E2380*N(Q2380)))</f>
        <v/>
      </c>
    </row>
    <row r="2381">
      <c r="A2381" s="30" t="n"/>
      <c r="E2381" s="31" t="n"/>
      <c r="J2381" s="32" t="n"/>
      <c r="K2381" s="32" t="n"/>
      <c r="L2381" s="32" t="n"/>
      <c r="M2381" s="32" t="n"/>
      <c r="N2381" s="32" t="n"/>
      <c r="O2381" s="32" t="n"/>
      <c r="P2381" s="32" t="n"/>
      <c r="Q2381" s="32" t="n"/>
      <c r="U2381" s="31">
        <f>IF($A2381="","",SUM(X2381:AE2381))</f>
        <v/>
      </c>
      <c r="V2381" s="31">
        <f>IF($A2381="","",IF($H2381&lt;&gt;"Ausgabe",0,-$E2381-$U2381))</f>
        <v/>
      </c>
      <c r="W2381" s="33">
        <f>IF($A2381="","",DATE(YEAR($A2381),MONTH($A2381),1))</f>
        <v/>
      </c>
      <c r="X2381" s="34">
        <f>IF(OR($A2381="",$H2381&lt;&gt;"Ausgabe",J2381=""),0,IF(J2381="x",-$E2381/(COUNTIF($J2381:$Q2381,"x")+1),-$E2381*N(J2381)))</f>
        <v/>
      </c>
      <c r="Y2381" s="34">
        <f>IF(OR($A2381="",$H2381&lt;&gt;"Ausgabe",K2381=""),0,IF(K2381="x",-$E2381/(COUNTIF($J2381:$Q2381,"x")+1),-$E2381*N(K2381)))</f>
        <v/>
      </c>
      <c r="Z2381" s="34">
        <f>IF(OR($A2381="",$H2381&lt;&gt;"Ausgabe",L2381=""),0,IF(L2381="x",-$E2381/(COUNTIF($J2381:$Q2381,"x")+1),-$E2381*N(L2381)))</f>
        <v/>
      </c>
      <c r="AA2381" s="34">
        <f>IF(OR($A2381="",$H2381&lt;&gt;"Ausgabe",M2381=""),0,IF(M2381="x",-$E2381/(COUNTIF($J2381:$Q2381,"x")+1),-$E2381*N(M2381)))</f>
        <v/>
      </c>
      <c r="AB2381" s="34">
        <f>IF(OR($A2381="",$H2381&lt;&gt;"Ausgabe",N2381=""),0,IF(N2381="x",-$E2381/(COUNTIF($J2381:$Q2381,"x")+1),-$E2381*N(N2381)))</f>
        <v/>
      </c>
      <c r="AC2381" s="34">
        <f>IF(OR($A2381="",$H2381&lt;&gt;"Ausgabe",O2381=""),0,IF(O2381="x",-$E2381/(COUNTIF($J2381:$Q2381,"x")+1),-$E2381*N(O2381)))</f>
        <v/>
      </c>
      <c r="AD2381" s="34">
        <f>IF(OR($A2381="",$H2381&lt;&gt;"Ausgabe",P2381=""),0,IF(P2381="x",-$E2381/(COUNTIF($J2381:$Q2381,"x")+1),-$E2381*N(P2381)))</f>
        <v/>
      </c>
      <c r="AE2381" s="34">
        <f>IF(OR($A2381="",$H2381&lt;&gt;"Ausgabe",Q2381=""),0,IF(Q2381="x",-$E2381/(COUNTIF($J2381:$Q2381,"x")+1),-$E2381*N(Q2381)))</f>
        <v/>
      </c>
    </row>
    <row r="2382">
      <c r="A2382" s="30" t="n"/>
      <c r="E2382" s="31" t="n"/>
      <c r="J2382" s="32" t="n"/>
      <c r="K2382" s="32" t="n"/>
      <c r="L2382" s="32" t="n"/>
      <c r="M2382" s="32" t="n"/>
      <c r="N2382" s="32" t="n"/>
      <c r="O2382" s="32" t="n"/>
      <c r="P2382" s="32" t="n"/>
      <c r="Q2382" s="32" t="n"/>
      <c r="U2382" s="31">
        <f>IF($A2382="","",SUM(X2382:AE2382))</f>
        <v/>
      </c>
      <c r="V2382" s="31">
        <f>IF($A2382="","",IF($H2382&lt;&gt;"Ausgabe",0,-$E2382-$U2382))</f>
        <v/>
      </c>
      <c r="W2382" s="33">
        <f>IF($A2382="","",DATE(YEAR($A2382),MONTH($A2382),1))</f>
        <v/>
      </c>
      <c r="X2382" s="34">
        <f>IF(OR($A2382="",$H2382&lt;&gt;"Ausgabe",J2382=""),0,IF(J2382="x",-$E2382/(COUNTIF($J2382:$Q2382,"x")+1),-$E2382*N(J2382)))</f>
        <v/>
      </c>
      <c r="Y2382" s="34">
        <f>IF(OR($A2382="",$H2382&lt;&gt;"Ausgabe",K2382=""),0,IF(K2382="x",-$E2382/(COUNTIF($J2382:$Q2382,"x")+1),-$E2382*N(K2382)))</f>
        <v/>
      </c>
      <c r="Z2382" s="34">
        <f>IF(OR($A2382="",$H2382&lt;&gt;"Ausgabe",L2382=""),0,IF(L2382="x",-$E2382/(COUNTIF($J2382:$Q2382,"x")+1),-$E2382*N(L2382)))</f>
        <v/>
      </c>
      <c r="AA2382" s="34">
        <f>IF(OR($A2382="",$H2382&lt;&gt;"Ausgabe",M2382=""),0,IF(M2382="x",-$E2382/(COUNTIF($J2382:$Q2382,"x")+1),-$E2382*N(M2382)))</f>
        <v/>
      </c>
      <c r="AB2382" s="34">
        <f>IF(OR($A2382="",$H2382&lt;&gt;"Ausgabe",N2382=""),0,IF(N2382="x",-$E2382/(COUNTIF($J2382:$Q2382,"x")+1),-$E2382*N(N2382)))</f>
        <v/>
      </c>
      <c r="AC2382" s="34">
        <f>IF(OR($A2382="",$H2382&lt;&gt;"Ausgabe",O2382=""),0,IF(O2382="x",-$E2382/(COUNTIF($J2382:$Q2382,"x")+1),-$E2382*N(O2382)))</f>
        <v/>
      </c>
      <c r="AD2382" s="34">
        <f>IF(OR($A2382="",$H2382&lt;&gt;"Ausgabe",P2382=""),0,IF(P2382="x",-$E2382/(COUNTIF($J2382:$Q2382,"x")+1),-$E2382*N(P2382)))</f>
        <v/>
      </c>
      <c r="AE2382" s="34">
        <f>IF(OR($A2382="",$H2382&lt;&gt;"Ausgabe",Q2382=""),0,IF(Q2382="x",-$E2382/(COUNTIF($J2382:$Q2382,"x")+1),-$E2382*N(Q2382)))</f>
        <v/>
      </c>
    </row>
    <row r="2383">
      <c r="A2383" s="30" t="n"/>
      <c r="E2383" s="31" t="n"/>
      <c r="J2383" s="32" t="n"/>
      <c r="K2383" s="32" t="n"/>
      <c r="L2383" s="32" t="n"/>
      <c r="M2383" s="32" t="n"/>
      <c r="N2383" s="32" t="n"/>
      <c r="O2383" s="32" t="n"/>
      <c r="P2383" s="32" t="n"/>
      <c r="Q2383" s="32" t="n"/>
      <c r="U2383" s="31">
        <f>IF($A2383="","",SUM(X2383:AE2383))</f>
        <v/>
      </c>
      <c r="V2383" s="31">
        <f>IF($A2383="","",IF($H2383&lt;&gt;"Ausgabe",0,-$E2383-$U2383))</f>
        <v/>
      </c>
      <c r="W2383" s="33">
        <f>IF($A2383="","",DATE(YEAR($A2383),MONTH($A2383),1))</f>
        <v/>
      </c>
      <c r="X2383" s="34">
        <f>IF(OR($A2383="",$H2383&lt;&gt;"Ausgabe",J2383=""),0,IF(J2383="x",-$E2383/(COUNTIF($J2383:$Q2383,"x")+1),-$E2383*N(J2383)))</f>
        <v/>
      </c>
      <c r="Y2383" s="34">
        <f>IF(OR($A2383="",$H2383&lt;&gt;"Ausgabe",K2383=""),0,IF(K2383="x",-$E2383/(COUNTIF($J2383:$Q2383,"x")+1),-$E2383*N(K2383)))</f>
        <v/>
      </c>
      <c r="Z2383" s="34">
        <f>IF(OR($A2383="",$H2383&lt;&gt;"Ausgabe",L2383=""),0,IF(L2383="x",-$E2383/(COUNTIF($J2383:$Q2383,"x")+1),-$E2383*N(L2383)))</f>
        <v/>
      </c>
      <c r="AA2383" s="34">
        <f>IF(OR($A2383="",$H2383&lt;&gt;"Ausgabe",M2383=""),0,IF(M2383="x",-$E2383/(COUNTIF($J2383:$Q2383,"x")+1),-$E2383*N(M2383)))</f>
        <v/>
      </c>
      <c r="AB2383" s="34">
        <f>IF(OR($A2383="",$H2383&lt;&gt;"Ausgabe",N2383=""),0,IF(N2383="x",-$E2383/(COUNTIF($J2383:$Q2383,"x")+1),-$E2383*N(N2383)))</f>
        <v/>
      </c>
      <c r="AC2383" s="34">
        <f>IF(OR($A2383="",$H2383&lt;&gt;"Ausgabe",O2383=""),0,IF(O2383="x",-$E2383/(COUNTIF($J2383:$Q2383,"x")+1),-$E2383*N(O2383)))</f>
        <v/>
      </c>
      <c r="AD2383" s="34">
        <f>IF(OR($A2383="",$H2383&lt;&gt;"Ausgabe",P2383=""),0,IF(P2383="x",-$E2383/(COUNTIF($J2383:$Q2383,"x")+1),-$E2383*N(P2383)))</f>
        <v/>
      </c>
      <c r="AE2383" s="34">
        <f>IF(OR($A2383="",$H2383&lt;&gt;"Ausgabe",Q2383=""),0,IF(Q2383="x",-$E2383/(COUNTIF($J2383:$Q2383,"x")+1),-$E2383*N(Q2383)))</f>
        <v/>
      </c>
    </row>
    <row r="2384">
      <c r="A2384" s="30" t="n"/>
      <c r="E2384" s="31" t="n"/>
      <c r="J2384" s="32" t="n"/>
      <c r="K2384" s="32" t="n"/>
      <c r="L2384" s="32" t="n"/>
      <c r="M2384" s="32" t="n"/>
      <c r="N2384" s="32" t="n"/>
      <c r="O2384" s="32" t="n"/>
      <c r="P2384" s="32" t="n"/>
      <c r="Q2384" s="32" t="n"/>
      <c r="U2384" s="31">
        <f>IF($A2384="","",SUM(X2384:AE2384))</f>
        <v/>
      </c>
      <c r="V2384" s="31">
        <f>IF($A2384="","",IF($H2384&lt;&gt;"Ausgabe",0,-$E2384-$U2384))</f>
        <v/>
      </c>
      <c r="W2384" s="33">
        <f>IF($A2384="","",DATE(YEAR($A2384),MONTH($A2384),1))</f>
        <v/>
      </c>
      <c r="X2384" s="34">
        <f>IF(OR($A2384="",$H2384&lt;&gt;"Ausgabe",J2384=""),0,IF(J2384="x",-$E2384/(COUNTIF($J2384:$Q2384,"x")+1),-$E2384*N(J2384)))</f>
        <v/>
      </c>
      <c r="Y2384" s="34">
        <f>IF(OR($A2384="",$H2384&lt;&gt;"Ausgabe",K2384=""),0,IF(K2384="x",-$E2384/(COUNTIF($J2384:$Q2384,"x")+1),-$E2384*N(K2384)))</f>
        <v/>
      </c>
      <c r="Z2384" s="34">
        <f>IF(OR($A2384="",$H2384&lt;&gt;"Ausgabe",L2384=""),0,IF(L2384="x",-$E2384/(COUNTIF($J2384:$Q2384,"x")+1),-$E2384*N(L2384)))</f>
        <v/>
      </c>
      <c r="AA2384" s="34">
        <f>IF(OR($A2384="",$H2384&lt;&gt;"Ausgabe",M2384=""),0,IF(M2384="x",-$E2384/(COUNTIF($J2384:$Q2384,"x")+1),-$E2384*N(M2384)))</f>
        <v/>
      </c>
      <c r="AB2384" s="34">
        <f>IF(OR($A2384="",$H2384&lt;&gt;"Ausgabe",N2384=""),0,IF(N2384="x",-$E2384/(COUNTIF($J2384:$Q2384,"x")+1),-$E2384*N(N2384)))</f>
        <v/>
      </c>
      <c r="AC2384" s="34">
        <f>IF(OR($A2384="",$H2384&lt;&gt;"Ausgabe",O2384=""),0,IF(O2384="x",-$E2384/(COUNTIF($J2384:$Q2384,"x")+1),-$E2384*N(O2384)))</f>
        <v/>
      </c>
      <c r="AD2384" s="34">
        <f>IF(OR($A2384="",$H2384&lt;&gt;"Ausgabe",P2384=""),0,IF(P2384="x",-$E2384/(COUNTIF($J2384:$Q2384,"x")+1),-$E2384*N(P2384)))</f>
        <v/>
      </c>
      <c r="AE2384" s="34">
        <f>IF(OR($A2384="",$H2384&lt;&gt;"Ausgabe",Q2384=""),0,IF(Q2384="x",-$E2384/(COUNTIF($J2384:$Q2384,"x")+1),-$E2384*N(Q2384)))</f>
        <v/>
      </c>
    </row>
    <row r="2385">
      <c r="A2385" s="30" t="n"/>
      <c r="E2385" s="31" t="n"/>
      <c r="J2385" s="32" t="n"/>
      <c r="K2385" s="32" t="n"/>
      <c r="L2385" s="32" t="n"/>
      <c r="M2385" s="32" t="n"/>
      <c r="N2385" s="32" t="n"/>
      <c r="O2385" s="32" t="n"/>
      <c r="P2385" s="32" t="n"/>
      <c r="Q2385" s="32" t="n"/>
      <c r="U2385" s="31">
        <f>IF($A2385="","",SUM(X2385:AE2385))</f>
        <v/>
      </c>
      <c r="V2385" s="31">
        <f>IF($A2385="","",IF($H2385&lt;&gt;"Ausgabe",0,-$E2385-$U2385))</f>
        <v/>
      </c>
      <c r="W2385" s="33">
        <f>IF($A2385="","",DATE(YEAR($A2385),MONTH($A2385),1))</f>
        <v/>
      </c>
      <c r="X2385" s="34">
        <f>IF(OR($A2385="",$H2385&lt;&gt;"Ausgabe",J2385=""),0,IF(J2385="x",-$E2385/(COUNTIF($J2385:$Q2385,"x")+1),-$E2385*N(J2385)))</f>
        <v/>
      </c>
      <c r="Y2385" s="34">
        <f>IF(OR($A2385="",$H2385&lt;&gt;"Ausgabe",K2385=""),0,IF(K2385="x",-$E2385/(COUNTIF($J2385:$Q2385,"x")+1),-$E2385*N(K2385)))</f>
        <v/>
      </c>
      <c r="Z2385" s="34">
        <f>IF(OR($A2385="",$H2385&lt;&gt;"Ausgabe",L2385=""),0,IF(L2385="x",-$E2385/(COUNTIF($J2385:$Q2385,"x")+1),-$E2385*N(L2385)))</f>
        <v/>
      </c>
      <c r="AA2385" s="34">
        <f>IF(OR($A2385="",$H2385&lt;&gt;"Ausgabe",M2385=""),0,IF(M2385="x",-$E2385/(COUNTIF($J2385:$Q2385,"x")+1),-$E2385*N(M2385)))</f>
        <v/>
      </c>
      <c r="AB2385" s="34">
        <f>IF(OR($A2385="",$H2385&lt;&gt;"Ausgabe",N2385=""),0,IF(N2385="x",-$E2385/(COUNTIF($J2385:$Q2385,"x")+1),-$E2385*N(N2385)))</f>
        <v/>
      </c>
      <c r="AC2385" s="34">
        <f>IF(OR($A2385="",$H2385&lt;&gt;"Ausgabe",O2385=""),0,IF(O2385="x",-$E2385/(COUNTIF($J2385:$Q2385,"x")+1),-$E2385*N(O2385)))</f>
        <v/>
      </c>
      <c r="AD2385" s="34">
        <f>IF(OR($A2385="",$H2385&lt;&gt;"Ausgabe",P2385=""),0,IF(P2385="x",-$E2385/(COUNTIF($J2385:$Q2385,"x")+1),-$E2385*N(P2385)))</f>
        <v/>
      </c>
      <c r="AE2385" s="34">
        <f>IF(OR($A2385="",$H2385&lt;&gt;"Ausgabe",Q2385=""),0,IF(Q2385="x",-$E2385/(COUNTIF($J2385:$Q2385,"x")+1),-$E2385*N(Q2385)))</f>
        <v/>
      </c>
    </row>
    <row r="2386">
      <c r="A2386" s="30" t="n"/>
      <c r="E2386" s="31" t="n"/>
      <c r="J2386" s="32" t="n"/>
      <c r="K2386" s="32" t="n"/>
      <c r="L2386" s="32" t="n"/>
      <c r="M2386" s="32" t="n"/>
      <c r="N2386" s="32" t="n"/>
      <c r="O2386" s="32" t="n"/>
      <c r="P2386" s="32" t="n"/>
      <c r="Q2386" s="32" t="n"/>
      <c r="U2386" s="31">
        <f>IF($A2386="","",SUM(X2386:AE2386))</f>
        <v/>
      </c>
      <c r="V2386" s="31">
        <f>IF($A2386="","",IF($H2386&lt;&gt;"Ausgabe",0,-$E2386-$U2386))</f>
        <v/>
      </c>
      <c r="W2386" s="33">
        <f>IF($A2386="","",DATE(YEAR($A2386),MONTH($A2386),1))</f>
        <v/>
      </c>
      <c r="X2386" s="34">
        <f>IF(OR($A2386="",$H2386&lt;&gt;"Ausgabe",J2386=""),0,IF(J2386="x",-$E2386/(COUNTIF($J2386:$Q2386,"x")+1),-$E2386*N(J2386)))</f>
        <v/>
      </c>
      <c r="Y2386" s="34">
        <f>IF(OR($A2386="",$H2386&lt;&gt;"Ausgabe",K2386=""),0,IF(K2386="x",-$E2386/(COUNTIF($J2386:$Q2386,"x")+1),-$E2386*N(K2386)))</f>
        <v/>
      </c>
      <c r="Z2386" s="34">
        <f>IF(OR($A2386="",$H2386&lt;&gt;"Ausgabe",L2386=""),0,IF(L2386="x",-$E2386/(COUNTIF($J2386:$Q2386,"x")+1),-$E2386*N(L2386)))</f>
        <v/>
      </c>
      <c r="AA2386" s="34">
        <f>IF(OR($A2386="",$H2386&lt;&gt;"Ausgabe",M2386=""),0,IF(M2386="x",-$E2386/(COUNTIF($J2386:$Q2386,"x")+1),-$E2386*N(M2386)))</f>
        <v/>
      </c>
      <c r="AB2386" s="34">
        <f>IF(OR($A2386="",$H2386&lt;&gt;"Ausgabe",N2386=""),0,IF(N2386="x",-$E2386/(COUNTIF($J2386:$Q2386,"x")+1),-$E2386*N(N2386)))</f>
        <v/>
      </c>
      <c r="AC2386" s="34">
        <f>IF(OR($A2386="",$H2386&lt;&gt;"Ausgabe",O2386=""),0,IF(O2386="x",-$E2386/(COUNTIF($J2386:$Q2386,"x")+1),-$E2386*N(O2386)))</f>
        <v/>
      </c>
      <c r="AD2386" s="34">
        <f>IF(OR($A2386="",$H2386&lt;&gt;"Ausgabe",P2386=""),0,IF(P2386="x",-$E2386/(COUNTIF($J2386:$Q2386,"x")+1),-$E2386*N(P2386)))</f>
        <v/>
      </c>
      <c r="AE2386" s="34">
        <f>IF(OR($A2386="",$H2386&lt;&gt;"Ausgabe",Q2386=""),0,IF(Q2386="x",-$E2386/(COUNTIF($J2386:$Q2386,"x")+1),-$E2386*N(Q2386)))</f>
        <v/>
      </c>
    </row>
    <row r="2387">
      <c r="A2387" s="30" t="n"/>
      <c r="E2387" s="31" t="n"/>
      <c r="J2387" s="32" t="n"/>
      <c r="K2387" s="32" t="n"/>
      <c r="L2387" s="32" t="n"/>
      <c r="M2387" s="32" t="n"/>
      <c r="N2387" s="32" t="n"/>
      <c r="O2387" s="32" t="n"/>
      <c r="P2387" s="32" t="n"/>
      <c r="Q2387" s="32" t="n"/>
      <c r="U2387" s="31">
        <f>IF($A2387="","",SUM(X2387:AE2387))</f>
        <v/>
      </c>
      <c r="V2387" s="31">
        <f>IF($A2387="","",IF($H2387&lt;&gt;"Ausgabe",0,-$E2387-$U2387))</f>
        <v/>
      </c>
      <c r="W2387" s="33">
        <f>IF($A2387="","",DATE(YEAR($A2387),MONTH($A2387),1))</f>
        <v/>
      </c>
      <c r="X2387" s="34">
        <f>IF(OR($A2387="",$H2387&lt;&gt;"Ausgabe",J2387=""),0,IF(J2387="x",-$E2387/(COUNTIF($J2387:$Q2387,"x")+1),-$E2387*N(J2387)))</f>
        <v/>
      </c>
      <c r="Y2387" s="34">
        <f>IF(OR($A2387="",$H2387&lt;&gt;"Ausgabe",K2387=""),0,IF(K2387="x",-$E2387/(COUNTIF($J2387:$Q2387,"x")+1),-$E2387*N(K2387)))</f>
        <v/>
      </c>
      <c r="Z2387" s="34">
        <f>IF(OR($A2387="",$H2387&lt;&gt;"Ausgabe",L2387=""),0,IF(L2387="x",-$E2387/(COUNTIF($J2387:$Q2387,"x")+1),-$E2387*N(L2387)))</f>
        <v/>
      </c>
      <c r="AA2387" s="34">
        <f>IF(OR($A2387="",$H2387&lt;&gt;"Ausgabe",M2387=""),0,IF(M2387="x",-$E2387/(COUNTIF($J2387:$Q2387,"x")+1),-$E2387*N(M2387)))</f>
        <v/>
      </c>
      <c r="AB2387" s="34">
        <f>IF(OR($A2387="",$H2387&lt;&gt;"Ausgabe",N2387=""),0,IF(N2387="x",-$E2387/(COUNTIF($J2387:$Q2387,"x")+1),-$E2387*N(N2387)))</f>
        <v/>
      </c>
      <c r="AC2387" s="34">
        <f>IF(OR($A2387="",$H2387&lt;&gt;"Ausgabe",O2387=""),0,IF(O2387="x",-$E2387/(COUNTIF($J2387:$Q2387,"x")+1),-$E2387*N(O2387)))</f>
        <v/>
      </c>
      <c r="AD2387" s="34">
        <f>IF(OR($A2387="",$H2387&lt;&gt;"Ausgabe",P2387=""),0,IF(P2387="x",-$E2387/(COUNTIF($J2387:$Q2387,"x")+1),-$E2387*N(P2387)))</f>
        <v/>
      </c>
      <c r="AE2387" s="34">
        <f>IF(OR($A2387="",$H2387&lt;&gt;"Ausgabe",Q2387=""),0,IF(Q2387="x",-$E2387/(COUNTIF($J2387:$Q2387,"x")+1),-$E2387*N(Q2387)))</f>
        <v/>
      </c>
    </row>
    <row r="2388">
      <c r="A2388" s="30" t="n"/>
      <c r="E2388" s="31" t="n"/>
      <c r="J2388" s="32" t="n"/>
      <c r="K2388" s="32" t="n"/>
      <c r="L2388" s="32" t="n"/>
      <c r="M2388" s="32" t="n"/>
      <c r="N2388" s="32" t="n"/>
      <c r="O2388" s="32" t="n"/>
      <c r="P2388" s="32" t="n"/>
      <c r="Q2388" s="32" t="n"/>
      <c r="U2388" s="31">
        <f>IF($A2388="","",SUM(X2388:AE2388))</f>
        <v/>
      </c>
      <c r="V2388" s="31">
        <f>IF($A2388="","",IF($H2388&lt;&gt;"Ausgabe",0,-$E2388-$U2388))</f>
        <v/>
      </c>
      <c r="W2388" s="33">
        <f>IF($A2388="","",DATE(YEAR($A2388),MONTH($A2388),1))</f>
        <v/>
      </c>
      <c r="X2388" s="34">
        <f>IF(OR($A2388="",$H2388&lt;&gt;"Ausgabe",J2388=""),0,IF(J2388="x",-$E2388/(COUNTIF($J2388:$Q2388,"x")+1),-$E2388*N(J2388)))</f>
        <v/>
      </c>
      <c r="Y2388" s="34">
        <f>IF(OR($A2388="",$H2388&lt;&gt;"Ausgabe",K2388=""),0,IF(K2388="x",-$E2388/(COUNTIF($J2388:$Q2388,"x")+1),-$E2388*N(K2388)))</f>
        <v/>
      </c>
      <c r="Z2388" s="34">
        <f>IF(OR($A2388="",$H2388&lt;&gt;"Ausgabe",L2388=""),0,IF(L2388="x",-$E2388/(COUNTIF($J2388:$Q2388,"x")+1),-$E2388*N(L2388)))</f>
        <v/>
      </c>
      <c r="AA2388" s="34">
        <f>IF(OR($A2388="",$H2388&lt;&gt;"Ausgabe",M2388=""),0,IF(M2388="x",-$E2388/(COUNTIF($J2388:$Q2388,"x")+1),-$E2388*N(M2388)))</f>
        <v/>
      </c>
      <c r="AB2388" s="34">
        <f>IF(OR($A2388="",$H2388&lt;&gt;"Ausgabe",N2388=""),0,IF(N2388="x",-$E2388/(COUNTIF($J2388:$Q2388,"x")+1),-$E2388*N(N2388)))</f>
        <v/>
      </c>
      <c r="AC2388" s="34">
        <f>IF(OR($A2388="",$H2388&lt;&gt;"Ausgabe",O2388=""),0,IF(O2388="x",-$E2388/(COUNTIF($J2388:$Q2388,"x")+1),-$E2388*N(O2388)))</f>
        <v/>
      </c>
      <c r="AD2388" s="34">
        <f>IF(OR($A2388="",$H2388&lt;&gt;"Ausgabe",P2388=""),0,IF(P2388="x",-$E2388/(COUNTIF($J2388:$Q2388,"x")+1),-$E2388*N(P2388)))</f>
        <v/>
      </c>
      <c r="AE2388" s="34">
        <f>IF(OR($A2388="",$H2388&lt;&gt;"Ausgabe",Q2388=""),0,IF(Q2388="x",-$E2388/(COUNTIF($J2388:$Q2388,"x")+1),-$E2388*N(Q2388)))</f>
        <v/>
      </c>
    </row>
    <row r="2389">
      <c r="A2389" s="30" t="n"/>
      <c r="E2389" s="31" t="n"/>
      <c r="J2389" s="32" t="n"/>
      <c r="K2389" s="32" t="n"/>
      <c r="L2389" s="32" t="n"/>
      <c r="M2389" s="32" t="n"/>
      <c r="N2389" s="32" t="n"/>
      <c r="O2389" s="32" t="n"/>
      <c r="P2389" s="32" t="n"/>
      <c r="Q2389" s="32" t="n"/>
      <c r="U2389" s="31">
        <f>IF($A2389="","",SUM(X2389:AE2389))</f>
        <v/>
      </c>
      <c r="V2389" s="31">
        <f>IF($A2389="","",IF($H2389&lt;&gt;"Ausgabe",0,-$E2389-$U2389))</f>
        <v/>
      </c>
      <c r="W2389" s="33">
        <f>IF($A2389="","",DATE(YEAR($A2389),MONTH($A2389),1))</f>
        <v/>
      </c>
      <c r="X2389" s="34">
        <f>IF(OR($A2389="",$H2389&lt;&gt;"Ausgabe",J2389=""),0,IF(J2389="x",-$E2389/(COUNTIF($J2389:$Q2389,"x")+1),-$E2389*N(J2389)))</f>
        <v/>
      </c>
      <c r="Y2389" s="34">
        <f>IF(OR($A2389="",$H2389&lt;&gt;"Ausgabe",K2389=""),0,IF(K2389="x",-$E2389/(COUNTIF($J2389:$Q2389,"x")+1),-$E2389*N(K2389)))</f>
        <v/>
      </c>
      <c r="Z2389" s="34">
        <f>IF(OR($A2389="",$H2389&lt;&gt;"Ausgabe",L2389=""),0,IF(L2389="x",-$E2389/(COUNTIF($J2389:$Q2389,"x")+1),-$E2389*N(L2389)))</f>
        <v/>
      </c>
      <c r="AA2389" s="34">
        <f>IF(OR($A2389="",$H2389&lt;&gt;"Ausgabe",M2389=""),0,IF(M2389="x",-$E2389/(COUNTIF($J2389:$Q2389,"x")+1),-$E2389*N(M2389)))</f>
        <v/>
      </c>
      <c r="AB2389" s="34">
        <f>IF(OR($A2389="",$H2389&lt;&gt;"Ausgabe",N2389=""),0,IF(N2389="x",-$E2389/(COUNTIF($J2389:$Q2389,"x")+1),-$E2389*N(N2389)))</f>
        <v/>
      </c>
      <c r="AC2389" s="34">
        <f>IF(OR($A2389="",$H2389&lt;&gt;"Ausgabe",O2389=""),0,IF(O2389="x",-$E2389/(COUNTIF($J2389:$Q2389,"x")+1),-$E2389*N(O2389)))</f>
        <v/>
      </c>
      <c r="AD2389" s="34">
        <f>IF(OR($A2389="",$H2389&lt;&gt;"Ausgabe",P2389=""),0,IF(P2389="x",-$E2389/(COUNTIF($J2389:$Q2389,"x")+1),-$E2389*N(P2389)))</f>
        <v/>
      </c>
      <c r="AE2389" s="34">
        <f>IF(OR($A2389="",$H2389&lt;&gt;"Ausgabe",Q2389=""),0,IF(Q2389="x",-$E2389/(COUNTIF($J2389:$Q2389,"x")+1),-$E2389*N(Q2389)))</f>
        <v/>
      </c>
    </row>
    <row r="2390">
      <c r="A2390" s="30" t="n"/>
      <c r="E2390" s="31" t="n"/>
      <c r="J2390" s="32" t="n"/>
      <c r="K2390" s="32" t="n"/>
      <c r="L2390" s="32" t="n"/>
      <c r="M2390" s="32" t="n"/>
      <c r="N2390" s="32" t="n"/>
      <c r="O2390" s="32" t="n"/>
      <c r="P2390" s="32" t="n"/>
      <c r="Q2390" s="32" t="n"/>
      <c r="U2390" s="31">
        <f>IF($A2390="","",SUM(X2390:AE2390))</f>
        <v/>
      </c>
      <c r="V2390" s="31">
        <f>IF($A2390="","",IF($H2390&lt;&gt;"Ausgabe",0,-$E2390-$U2390))</f>
        <v/>
      </c>
      <c r="W2390" s="33">
        <f>IF($A2390="","",DATE(YEAR($A2390),MONTH($A2390),1))</f>
        <v/>
      </c>
      <c r="X2390" s="34">
        <f>IF(OR($A2390="",$H2390&lt;&gt;"Ausgabe",J2390=""),0,IF(J2390="x",-$E2390/(COUNTIF($J2390:$Q2390,"x")+1),-$E2390*N(J2390)))</f>
        <v/>
      </c>
      <c r="Y2390" s="34">
        <f>IF(OR($A2390="",$H2390&lt;&gt;"Ausgabe",K2390=""),0,IF(K2390="x",-$E2390/(COUNTIF($J2390:$Q2390,"x")+1),-$E2390*N(K2390)))</f>
        <v/>
      </c>
      <c r="Z2390" s="34">
        <f>IF(OR($A2390="",$H2390&lt;&gt;"Ausgabe",L2390=""),0,IF(L2390="x",-$E2390/(COUNTIF($J2390:$Q2390,"x")+1),-$E2390*N(L2390)))</f>
        <v/>
      </c>
      <c r="AA2390" s="34">
        <f>IF(OR($A2390="",$H2390&lt;&gt;"Ausgabe",M2390=""),0,IF(M2390="x",-$E2390/(COUNTIF($J2390:$Q2390,"x")+1),-$E2390*N(M2390)))</f>
        <v/>
      </c>
      <c r="AB2390" s="34">
        <f>IF(OR($A2390="",$H2390&lt;&gt;"Ausgabe",N2390=""),0,IF(N2390="x",-$E2390/(COUNTIF($J2390:$Q2390,"x")+1),-$E2390*N(N2390)))</f>
        <v/>
      </c>
      <c r="AC2390" s="34">
        <f>IF(OR($A2390="",$H2390&lt;&gt;"Ausgabe",O2390=""),0,IF(O2390="x",-$E2390/(COUNTIF($J2390:$Q2390,"x")+1),-$E2390*N(O2390)))</f>
        <v/>
      </c>
      <c r="AD2390" s="34">
        <f>IF(OR($A2390="",$H2390&lt;&gt;"Ausgabe",P2390=""),0,IF(P2390="x",-$E2390/(COUNTIF($J2390:$Q2390,"x")+1),-$E2390*N(P2390)))</f>
        <v/>
      </c>
      <c r="AE2390" s="34">
        <f>IF(OR($A2390="",$H2390&lt;&gt;"Ausgabe",Q2390=""),0,IF(Q2390="x",-$E2390/(COUNTIF($J2390:$Q2390,"x")+1),-$E2390*N(Q2390)))</f>
        <v/>
      </c>
    </row>
    <row r="2391">
      <c r="A2391" s="30" t="n"/>
      <c r="E2391" s="31" t="n"/>
      <c r="J2391" s="32" t="n"/>
      <c r="K2391" s="32" t="n"/>
      <c r="L2391" s="32" t="n"/>
      <c r="M2391" s="32" t="n"/>
      <c r="N2391" s="32" t="n"/>
      <c r="O2391" s="32" t="n"/>
      <c r="P2391" s="32" t="n"/>
      <c r="Q2391" s="32" t="n"/>
      <c r="U2391" s="31">
        <f>IF($A2391="","",SUM(X2391:AE2391))</f>
        <v/>
      </c>
      <c r="V2391" s="31">
        <f>IF($A2391="","",IF($H2391&lt;&gt;"Ausgabe",0,-$E2391-$U2391))</f>
        <v/>
      </c>
      <c r="W2391" s="33">
        <f>IF($A2391="","",DATE(YEAR($A2391),MONTH($A2391),1))</f>
        <v/>
      </c>
      <c r="X2391" s="34">
        <f>IF(OR($A2391="",$H2391&lt;&gt;"Ausgabe",J2391=""),0,IF(J2391="x",-$E2391/(COUNTIF($J2391:$Q2391,"x")+1),-$E2391*N(J2391)))</f>
        <v/>
      </c>
      <c r="Y2391" s="34">
        <f>IF(OR($A2391="",$H2391&lt;&gt;"Ausgabe",K2391=""),0,IF(K2391="x",-$E2391/(COUNTIF($J2391:$Q2391,"x")+1),-$E2391*N(K2391)))</f>
        <v/>
      </c>
      <c r="Z2391" s="34">
        <f>IF(OR($A2391="",$H2391&lt;&gt;"Ausgabe",L2391=""),0,IF(L2391="x",-$E2391/(COUNTIF($J2391:$Q2391,"x")+1),-$E2391*N(L2391)))</f>
        <v/>
      </c>
      <c r="AA2391" s="34">
        <f>IF(OR($A2391="",$H2391&lt;&gt;"Ausgabe",M2391=""),0,IF(M2391="x",-$E2391/(COUNTIF($J2391:$Q2391,"x")+1),-$E2391*N(M2391)))</f>
        <v/>
      </c>
      <c r="AB2391" s="34">
        <f>IF(OR($A2391="",$H2391&lt;&gt;"Ausgabe",N2391=""),0,IF(N2391="x",-$E2391/(COUNTIF($J2391:$Q2391,"x")+1),-$E2391*N(N2391)))</f>
        <v/>
      </c>
      <c r="AC2391" s="34">
        <f>IF(OR($A2391="",$H2391&lt;&gt;"Ausgabe",O2391=""),0,IF(O2391="x",-$E2391/(COUNTIF($J2391:$Q2391,"x")+1),-$E2391*N(O2391)))</f>
        <v/>
      </c>
      <c r="AD2391" s="34">
        <f>IF(OR($A2391="",$H2391&lt;&gt;"Ausgabe",P2391=""),0,IF(P2391="x",-$E2391/(COUNTIF($J2391:$Q2391,"x")+1),-$E2391*N(P2391)))</f>
        <v/>
      </c>
      <c r="AE2391" s="34">
        <f>IF(OR($A2391="",$H2391&lt;&gt;"Ausgabe",Q2391=""),0,IF(Q2391="x",-$E2391/(COUNTIF($J2391:$Q2391,"x")+1),-$E2391*N(Q2391)))</f>
        <v/>
      </c>
    </row>
    <row r="2392">
      <c r="A2392" s="30" t="n"/>
      <c r="E2392" s="31" t="n"/>
      <c r="J2392" s="32" t="n"/>
      <c r="K2392" s="32" t="n"/>
      <c r="L2392" s="32" t="n"/>
      <c r="M2392" s="32" t="n"/>
      <c r="N2392" s="32" t="n"/>
      <c r="O2392" s="32" t="n"/>
      <c r="P2392" s="32" t="n"/>
      <c r="Q2392" s="32" t="n"/>
      <c r="U2392" s="31">
        <f>IF($A2392="","",SUM(X2392:AE2392))</f>
        <v/>
      </c>
      <c r="V2392" s="31">
        <f>IF($A2392="","",IF($H2392&lt;&gt;"Ausgabe",0,-$E2392-$U2392))</f>
        <v/>
      </c>
      <c r="W2392" s="33">
        <f>IF($A2392="","",DATE(YEAR($A2392),MONTH($A2392),1))</f>
        <v/>
      </c>
      <c r="X2392" s="34">
        <f>IF(OR($A2392="",$H2392&lt;&gt;"Ausgabe",J2392=""),0,IF(J2392="x",-$E2392/(COUNTIF($J2392:$Q2392,"x")+1),-$E2392*N(J2392)))</f>
        <v/>
      </c>
      <c r="Y2392" s="34">
        <f>IF(OR($A2392="",$H2392&lt;&gt;"Ausgabe",K2392=""),0,IF(K2392="x",-$E2392/(COUNTIF($J2392:$Q2392,"x")+1),-$E2392*N(K2392)))</f>
        <v/>
      </c>
      <c r="Z2392" s="34">
        <f>IF(OR($A2392="",$H2392&lt;&gt;"Ausgabe",L2392=""),0,IF(L2392="x",-$E2392/(COUNTIF($J2392:$Q2392,"x")+1),-$E2392*N(L2392)))</f>
        <v/>
      </c>
      <c r="AA2392" s="34">
        <f>IF(OR($A2392="",$H2392&lt;&gt;"Ausgabe",M2392=""),0,IF(M2392="x",-$E2392/(COUNTIF($J2392:$Q2392,"x")+1),-$E2392*N(M2392)))</f>
        <v/>
      </c>
      <c r="AB2392" s="34">
        <f>IF(OR($A2392="",$H2392&lt;&gt;"Ausgabe",N2392=""),0,IF(N2392="x",-$E2392/(COUNTIF($J2392:$Q2392,"x")+1),-$E2392*N(N2392)))</f>
        <v/>
      </c>
      <c r="AC2392" s="34">
        <f>IF(OR($A2392="",$H2392&lt;&gt;"Ausgabe",O2392=""),0,IF(O2392="x",-$E2392/(COUNTIF($J2392:$Q2392,"x")+1),-$E2392*N(O2392)))</f>
        <v/>
      </c>
      <c r="AD2392" s="34">
        <f>IF(OR($A2392="",$H2392&lt;&gt;"Ausgabe",P2392=""),0,IF(P2392="x",-$E2392/(COUNTIF($J2392:$Q2392,"x")+1),-$E2392*N(P2392)))</f>
        <v/>
      </c>
      <c r="AE2392" s="34">
        <f>IF(OR($A2392="",$H2392&lt;&gt;"Ausgabe",Q2392=""),0,IF(Q2392="x",-$E2392/(COUNTIF($J2392:$Q2392,"x")+1),-$E2392*N(Q2392)))</f>
        <v/>
      </c>
    </row>
    <row r="2393">
      <c r="A2393" s="30" t="n"/>
      <c r="E2393" s="31" t="n"/>
      <c r="J2393" s="32" t="n"/>
      <c r="K2393" s="32" t="n"/>
      <c r="L2393" s="32" t="n"/>
      <c r="M2393" s="32" t="n"/>
      <c r="N2393" s="32" t="n"/>
      <c r="O2393" s="32" t="n"/>
      <c r="P2393" s="32" t="n"/>
      <c r="Q2393" s="32" t="n"/>
      <c r="U2393" s="31">
        <f>IF($A2393="","",SUM(X2393:AE2393))</f>
        <v/>
      </c>
      <c r="V2393" s="31">
        <f>IF($A2393="","",IF($H2393&lt;&gt;"Ausgabe",0,-$E2393-$U2393))</f>
        <v/>
      </c>
      <c r="W2393" s="33">
        <f>IF($A2393="","",DATE(YEAR($A2393),MONTH($A2393),1))</f>
        <v/>
      </c>
      <c r="X2393" s="34">
        <f>IF(OR($A2393="",$H2393&lt;&gt;"Ausgabe",J2393=""),0,IF(J2393="x",-$E2393/(COUNTIF($J2393:$Q2393,"x")+1),-$E2393*N(J2393)))</f>
        <v/>
      </c>
      <c r="Y2393" s="34">
        <f>IF(OR($A2393="",$H2393&lt;&gt;"Ausgabe",K2393=""),0,IF(K2393="x",-$E2393/(COUNTIF($J2393:$Q2393,"x")+1),-$E2393*N(K2393)))</f>
        <v/>
      </c>
      <c r="Z2393" s="34">
        <f>IF(OR($A2393="",$H2393&lt;&gt;"Ausgabe",L2393=""),0,IF(L2393="x",-$E2393/(COUNTIF($J2393:$Q2393,"x")+1),-$E2393*N(L2393)))</f>
        <v/>
      </c>
      <c r="AA2393" s="34">
        <f>IF(OR($A2393="",$H2393&lt;&gt;"Ausgabe",M2393=""),0,IF(M2393="x",-$E2393/(COUNTIF($J2393:$Q2393,"x")+1),-$E2393*N(M2393)))</f>
        <v/>
      </c>
      <c r="AB2393" s="34">
        <f>IF(OR($A2393="",$H2393&lt;&gt;"Ausgabe",N2393=""),0,IF(N2393="x",-$E2393/(COUNTIF($J2393:$Q2393,"x")+1),-$E2393*N(N2393)))</f>
        <v/>
      </c>
      <c r="AC2393" s="34">
        <f>IF(OR($A2393="",$H2393&lt;&gt;"Ausgabe",O2393=""),0,IF(O2393="x",-$E2393/(COUNTIF($J2393:$Q2393,"x")+1),-$E2393*N(O2393)))</f>
        <v/>
      </c>
      <c r="AD2393" s="34">
        <f>IF(OR($A2393="",$H2393&lt;&gt;"Ausgabe",P2393=""),0,IF(P2393="x",-$E2393/(COUNTIF($J2393:$Q2393,"x")+1),-$E2393*N(P2393)))</f>
        <v/>
      </c>
      <c r="AE2393" s="34">
        <f>IF(OR($A2393="",$H2393&lt;&gt;"Ausgabe",Q2393=""),0,IF(Q2393="x",-$E2393/(COUNTIF($J2393:$Q2393,"x")+1),-$E2393*N(Q2393)))</f>
        <v/>
      </c>
    </row>
    <row r="2394">
      <c r="A2394" s="30" t="n"/>
      <c r="E2394" s="31" t="n"/>
      <c r="J2394" s="32" t="n"/>
      <c r="K2394" s="32" t="n"/>
      <c r="L2394" s="32" t="n"/>
      <c r="M2394" s="32" t="n"/>
      <c r="N2394" s="32" t="n"/>
      <c r="O2394" s="32" t="n"/>
      <c r="P2394" s="32" t="n"/>
      <c r="Q2394" s="32" t="n"/>
      <c r="U2394" s="31">
        <f>IF($A2394="","",SUM(X2394:AE2394))</f>
        <v/>
      </c>
      <c r="V2394" s="31">
        <f>IF($A2394="","",IF($H2394&lt;&gt;"Ausgabe",0,-$E2394-$U2394))</f>
        <v/>
      </c>
      <c r="W2394" s="33">
        <f>IF($A2394="","",DATE(YEAR($A2394),MONTH($A2394),1))</f>
        <v/>
      </c>
      <c r="X2394" s="34">
        <f>IF(OR($A2394="",$H2394&lt;&gt;"Ausgabe",J2394=""),0,IF(J2394="x",-$E2394/(COUNTIF($J2394:$Q2394,"x")+1),-$E2394*N(J2394)))</f>
        <v/>
      </c>
      <c r="Y2394" s="34">
        <f>IF(OR($A2394="",$H2394&lt;&gt;"Ausgabe",K2394=""),0,IF(K2394="x",-$E2394/(COUNTIF($J2394:$Q2394,"x")+1),-$E2394*N(K2394)))</f>
        <v/>
      </c>
      <c r="Z2394" s="34">
        <f>IF(OR($A2394="",$H2394&lt;&gt;"Ausgabe",L2394=""),0,IF(L2394="x",-$E2394/(COUNTIF($J2394:$Q2394,"x")+1),-$E2394*N(L2394)))</f>
        <v/>
      </c>
      <c r="AA2394" s="34">
        <f>IF(OR($A2394="",$H2394&lt;&gt;"Ausgabe",M2394=""),0,IF(M2394="x",-$E2394/(COUNTIF($J2394:$Q2394,"x")+1),-$E2394*N(M2394)))</f>
        <v/>
      </c>
      <c r="AB2394" s="34">
        <f>IF(OR($A2394="",$H2394&lt;&gt;"Ausgabe",N2394=""),0,IF(N2394="x",-$E2394/(COUNTIF($J2394:$Q2394,"x")+1),-$E2394*N(N2394)))</f>
        <v/>
      </c>
      <c r="AC2394" s="34">
        <f>IF(OR($A2394="",$H2394&lt;&gt;"Ausgabe",O2394=""),0,IF(O2394="x",-$E2394/(COUNTIF($J2394:$Q2394,"x")+1),-$E2394*N(O2394)))</f>
        <v/>
      </c>
      <c r="AD2394" s="34">
        <f>IF(OR($A2394="",$H2394&lt;&gt;"Ausgabe",P2394=""),0,IF(P2394="x",-$E2394/(COUNTIF($J2394:$Q2394,"x")+1),-$E2394*N(P2394)))</f>
        <v/>
      </c>
      <c r="AE2394" s="34">
        <f>IF(OR($A2394="",$H2394&lt;&gt;"Ausgabe",Q2394=""),0,IF(Q2394="x",-$E2394/(COUNTIF($J2394:$Q2394,"x")+1),-$E2394*N(Q2394)))</f>
        <v/>
      </c>
    </row>
    <row r="2395">
      <c r="A2395" s="30" t="n"/>
      <c r="E2395" s="31" t="n"/>
      <c r="J2395" s="32" t="n"/>
      <c r="K2395" s="32" t="n"/>
      <c r="L2395" s="32" t="n"/>
      <c r="M2395" s="32" t="n"/>
      <c r="N2395" s="32" t="n"/>
      <c r="O2395" s="32" t="n"/>
      <c r="P2395" s="32" t="n"/>
      <c r="Q2395" s="32" t="n"/>
      <c r="U2395" s="31">
        <f>IF($A2395="","",SUM(X2395:AE2395))</f>
        <v/>
      </c>
      <c r="V2395" s="31">
        <f>IF($A2395="","",IF($H2395&lt;&gt;"Ausgabe",0,-$E2395-$U2395))</f>
        <v/>
      </c>
      <c r="W2395" s="33">
        <f>IF($A2395="","",DATE(YEAR($A2395),MONTH($A2395),1))</f>
        <v/>
      </c>
      <c r="X2395" s="34">
        <f>IF(OR($A2395="",$H2395&lt;&gt;"Ausgabe",J2395=""),0,IF(J2395="x",-$E2395/(COUNTIF($J2395:$Q2395,"x")+1),-$E2395*N(J2395)))</f>
        <v/>
      </c>
      <c r="Y2395" s="34">
        <f>IF(OR($A2395="",$H2395&lt;&gt;"Ausgabe",K2395=""),0,IF(K2395="x",-$E2395/(COUNTIF($J2395:$Q2395,"x")+1),-$E2395*N(K2395)))</f>
        <v/>
      </c>
      <c r="Z2395" s="34">
        <f>IF(OR($A2395="",$H2395&lt;&gt;"Ausgabe",L2395=""),0,IF(L2395="x",-$E2395/(COUNTIF($J2395:$Q2395,"x")+1),-$E2395*N(L2395)))</f>
        <v/>
      </c>
      <c r="AA2395" s="34">
        <f>IF(OR($A2395="",$H2395&lt;&gt;"Ausgabe",M2395=""),0,IF(M2395="x",-$E2395/(COUNTIF($J2395:$Q2395,"x")+1),-$E2395*N(M2395)))</f>
        <v/>
      </c>
      <c r="AB2395" s="34">
        <f>IF(OR($A2395="",$H2395&lt;&gt;"Ausgabe",N2395=""),0,IF(N2395="x",-$E2395/(COUNTIF($J2395:$Q2395,"x")+1),-$E2395*N(N2395)))</f>
        <v/>
      </c>
      <c r="AC2395" s="34">
        <f>IF(OR($A2395="",$H2395&lt;&gt;"Ausgabe",O2395=""),0,IF(O2395="x",-$E2395/(COUNTIF($J2395:$Q2395,"x")+1),-$E2395*N(O2395)))</f>
        <v/>
      </c>
      <c r="AD2395" s="34">
        <f>IF(OR($A2395="",$H2395&lt;&gt;"Ausgabe",P2395=""),0,IF(P2395="x",-$E2395/(COUNTIF($J2395:$Q2395,"x")+1),-$E2395*N(P2395)))</f>
        <v/>
      </c>
      <c r="AE2395" s="34">
        <f>IF(OR($A2395="",$H2395&lt;&gt;"Ausgabe",Q2395=""),0,IF(Q2395="x",-$E2395/(COUNTIF($J2395:$Q2395,"x")+1),-$E2395*N(Q2395)))</f>
        <v/>
      </c>
    </row>
    <row r="2396">
      <c r="A2396" s="30" t="n"/>
      <c r="E2396" s="31" t="n"/>
      <c r="J2396" s="32" t="n"/>
      <c r="K2396" s="32" t="n"/>
      <c r="L2396" s="32" t="n"/>
      <c r="M2396" s="32" t="n"/>
      <c r="N2396" s="32" t="n"/>
      <c r="O2396" s="32" t="n"/>
      <c r="P2396" s="32" t="n"/>
      <c r="Q2396" s="32" t="n"/>
      <c r="U2396" s="31">
        <f>IF($A2396="","",SUM(X2396:AE2396))</f>
        <v/>
      </c>
      <c r="V2396" s="31">
        <f>IF($A2396="","",IF($H2396&lt;&gt;"Ausgabe",0,-$E2396-$U2396))</f>
        <v/>
      </c>
      <c r="W2396" s="33">
        <f>IF($A2396="","",DATE(YEAR($A2396),MONTH($A2396),1))</f>
        <v/>
      </c>
      <c r="X2396" s="34">
        <f>IF(OR($A2396="",$H2396&lt;&gt;"Ausgabe",J2396=""),0,IF(J2396="x",-$E2396/(COUNTIF($J2396:$Q2396,"x")+1),-$E2396*N(J2396)))</f>
        <v/>
      </c>
      <c r="Y2396" s="34">
        <f>IF(OR($A2396="",$H2396&lt;&gt;"Ausgabe",K2396=""),0,IF(K2396="x",-$E2396/(COUNTIF($J2396:$Q2396,"x")+1),-$E2396*N(K2396)))</f>
        <v/>
      </c>
      <c r="Z2396" s="34">
        <f>IF(OR($A2396="",$H2396&lt;&gt;"Ausgabe",L2396=""),0,IF(L2396="x",-$E2396/(COUNTIF($J2396:$Q2396,"x")+1),-$E2396*N(L2396)))</f>
        <v/>
      </c>
      <c r="AA2396" s="34">
        <f>IF(OR($A2396="",$H2396&lt;&gt;"Ausgabe",M2396=""),0,IF(M2396="x",-$E2396/(COUNTIF($J2396:$Q2396,"x")+1),-$E2396*N(M2396)))</f>
        <v/>
      </c>
      <c r="AB2396" s="34">
        <f>IF(OR($A2396="",$H2396&lt;&gt;"Ausgabe",N2396=""),0,IF(N2396="x",-$E2396/(COUNTIF($J2396:$Q2396,"x")+1),-$E2396*N(N2396)))</f>
        <v/>
      </c>
      <c r="AC2396" s="34">
        <f>IF(OR($A2396="",$H2396&lt;&gt;"Ausgabe",O2396=""),0,IF(O2396="x",-$E2396/(COUNTIF($J2396:$Q2396,"x")+1),-$E2396*N(O2396)))</f>
        <v/>
      </c>
      <c r="AD2396" s="34">
        <f>IF(OR($A2396="",$H2396&lt;&gt;"Ausgabe",P2396=""),0,IF(P2396="x",-$E2396/(COUNTIF($J2396:$Q2396,"x")+1),-$E2396*N(P2396)))</f>
        <v/>
      </c>
      <c r="AE2396" s="34">
        <f>IF(OR($A2396="",$H2396&lt;&gt;"Ausgabe",Q2396=""),0,IF(Q2396="x",-$E2396/(COUNTIF($J2396:$Q2396,"x")+1),-$E2396*N(Q2396)))</f>
        <v/>
      </c>
    </row>
    <row r="2397">
      <c r="A2397" s="30" t="n"/>
      <c r="E2397" s="31" t="n"/>
      <c r="J2397" s="32" t="n"/>
      <c r="K2397" s="32" t="n"/>
      <c r="L2397" s="32" t="n"/>
      <c r="M2397" s="32" t="n"/>
      <c r="N2397" s="32" t="n"/>
      <c r="O2397" s="32" t="n"/>
      <c r="P2397" s="32" t="n"/>
      <c r="Q2397" s="32" t="n"/>
      <c r="U2397" s="31">
        <f>IF($A2397="","",SUM(X2397:AE2397))</f>
        <v/>
      </c>
      <c r="V2397" s="31">
        <f>IF($A2397="","",IF($H2397&lt;&gt;"Ausgabe",0,-$E2397-$U2397))</f>
        <v/>
      </c>
      <c r="W2397" s="33">
        <f>IF($A2397="","",DATE(YEAR($A2397),MONTH($A2397),1))</f>
        <v/>
      </c>
      <c r="X2397" s="34">
        <f>IF(OR($A2397="",$H2397&lt;&gt;"Ausgabe",J2397=""),0,IF(J2397="x",-$E2397/(COUNTIF($J2397:$Q2397,"x")+1),-$E2397*N(J2397)))</f>
        <v/>
      </c>
      <c r="Y2397" s="34">
        <f>IF(OR($A2397="",$H2397&lt;&gt;"Ausgabe",K2397=""),0,IF(K2397="x",-$E2397/(COUNTIF($J2397:$Q2397,"x")+1),-$E2397*N(K2397)))</f>
        <v/>
      </c>
      <c r="Z2397" s="34">
        <f>IF(OR($A2397="",$H2397&lt;&gt;"Ausgabe",L2397=""),0,IF(L2397="x",-$E2397/(COUNTIF($J2397:$Q2397,"x")+1),-$E2397*N(L2397)))</f>
        <v/>
      </c>
      <c r="AA2397" s="34">
        <f>IF(OR($A2397="",$H2397&lt;&gt;"Ausgabe",M2397=""),0,IF(M2397="x",-$E2397/(COUNTIF($J2397:$Q2397,"x")+1),-$E2397*N(M2397)))</f>
        <v/>
      </c>
      <c r="AB2397" s="34">
        <f>IF(OR($A2397="",$H2397&lt;&gt;"Ausgabe",N2397=""),0,IF(N2397="x",-$E2397/(COUNTIF($J2397:$Q2397,"x")+1),-$E2397*N(N2397)))</f>
        <v/>
      </c>
      <c r="AC2397" s="34">
        <f>IF(OR($A2397="",$H2397&lt;&gt;"Ausgabe",O2397=""),0,IF(O2397="x",-$E2397/(COUNTIF($J2397:$Q2397,"x")+1),-$E2397*N(O2397)))</f>
        <v/>
      </c>
      <c r="AD2397" s="34">
        <f>IF(OR($A2397="",$H2397&lt;&gt;"Ausgabe",P2397=""),0,IF(P2397="x",-$E2397/(COUNTIF($J2397:$Q2397,"x")+1),-$E2397*N(P2397)))</f>
        <v/>
      </c>
      <c r="AE2397" s="34">
        <f>IF(OR($A2397="",$H2397&lt;&gt;"Ausgabe",Q2397=""),0,IF(Q2397="x",-$E2397/(COUNTIF($J2397:$Q2397,"x")+1),-$E2397*N(Q2397)))</f>
        <v/>
      </c>
    </row>
    <row r="2398">
      <c r="A2398" s="30" t="n"/>
      <c r="E2398" s="31" t="n"/>
      <c r="J2398" s="32" t="n"/>
      <c r="K2398" s="32" t="n"/>
      <c r="L2398" s="32" t="n"/>
      <c r="M2398" s="32" t="n"/>
      <c r="N2398" s="32" t="n"/>
      <c r="O2398" s="32" t="n"/>
      <c r="P2398" s="32" t="n"/>
      <c r="Q2398" s="32" t="n"/>
      <c r="U2398" s="31">
        <f>IF($A2398="","",SUM(X2398:AE2398))</f>
        <v/>
      </c>
      <c r="V2398" s="31">
        <f>IF($A2398="","",IF($H2398&lt;&gt;"Ausgabe",0,-$E2398-$U2398))</f>
        <v/>
      </c>
      <c r="W2398" s="33">
        <f>IF($A2398="","",DATE(YEAR($A2398),MONTH($A2398),1))</f>
        <v/>
      </c>
      <c r="X2398" s="34">
        <f>IF(OR($A2398="",$H2398&lt;&gt;"Ausgabe",J2398=""),0,IF(J2398="x",-$E2398/(COUNTIF($J2398:$Q2398,"x")+1),-$E2398*N(J2398)))</f>
        <v/>
      </c>
      <c r="Y2398" s="34">
        <f>IF(OR($A2398="",$H2398&lt;&gt;"Ausgabe",K2398=""),0,IF(K2398="x",-$E2398/(COUNTIF($J2398:$Q2398,"x")+1),-$E2398*N(K2398)))</f>
        <v/>
      </c>
      <c r="Z2398" s="34">
        <f>IF(OR($A2398="",$H2398&lt;&gt;"Ausgabe",L2398=""),0,IF(L2398="x",-$E2398/(COUNTIF($J2398:$Q2398,"x")+1),-$E2398*N(L2398)))</f>
        <v/>
      </c>
      <c r="AA2398" s="34">
        <f>IF(OR($A2398="",$H2398&lt;&gt;"Ausgabe",M2398=""),0,IF(M2398="x",-$E2398/(COUNTIF($J2398:$Q2398,"x")+1),-$E2398*N(M2398)))</f>
        <v/>
      </c>
      <c r="AB2398" s="34">
        <f>IF(OR($A2398="",$H2398&lt;&gt;"Ausgabe",N2398=""),0,IF(N2398="x",-$E2398/(COUNTIF($J2398:$Q2398,"x")+1),-$E2398*N(N2398)))</f>
        <v/>
      </c>
      <c r="AC2398" s="34">
        <f>IF(OR($A2398="",$H2398&lt;&gt;"Ausgabe",O2398=""),0,IF(O2398="x",-$E2398/(COUNTIF($J2398:$Q2398,"x")+1),-$E2398*N(O2398)))</f>
        <v/>
      </c>
      <c r="AD2398" s="34">
        <f>IF(OR($A2398="",$H2398&lt;&gt;"Ausgabe",P2398=""),0,IF(P2398="x",-$E2398/(COUNTIF($J2398:$Q2398,"x")+1),-$E2398*N(P2398)))</f>
        <v/>
      </c>
      <c r="AE2398" s="34">
        <f>IF(OR($A2398="",$H2398&lt;&gt;"Ausgabe",Q2398=""),0,IF(Q2398="x",-$E2398/(COUNTIF($J2398:$Q2398,"x")+1),-$E2398*N(Q2398)))</f>
        <v/>
      </c>
    </row>
    <row r="2399">
      <c r="A2399" s="30" t="n"/>
      <c r="E2399" s="31" t="n"/>
      <c r="J2399" s="32" t="n"/>
      <c r="K2399" s="32" t="n"/>
      <c r="L2399" s="32" t="n"/>
      <c r="M2399" s="32" t="n"/>
      <c r="N2399" s="32" t="n"/>
      <c r="O2399" s="32" t="n"/>
      <c r="P2399" s="32" t="n"/>
      <c r="Q2399" s="32" t="n"/>
      <c r="U2399" s="31">
        <f>IF($A2399="","",SUM(X2399:AE2399))</f>
        <v/>
      </c>
      <c r="V2399" s="31">
        <f>IF($A2399="","",IF($H2399&lt;&gt;"Ausgabe",0,-$E2399-$U2399))</f>
        <v/>
      </c>
      <c r="W2399" s="33">
        <f>IF($A2399="","",DATE(YEAR($A2399),MONTH($A2399),1))</f>
        <v/>
      </c>
      <c r="X2399" s="34">
        <f>IF(OR($A2399="",$H2399&lt;&gt;"Ausgabe",J2399=""),0,IF(J2399="x",-$E2399/(COUNTIF($J2399:$Q2399,"x")+1),-$E2399*N(J2399)))</f>
        <v/>
      </c>
      <c r="Y2399" s="34">
        <f>IF(OR($A2399="",$H2399&lt;&gt;"Ausgabe",K2399=""),0,IF(K2399="x",-$E2399/(COUNTIF($J2399:$Q2399,"x")+1),-$E2399*N(K2399)))</f>
        <v/>
      </c>
      <c r="Z2399" s="34">
        <f>IF(OR($A2399="",$H2399&lt;&gt;"Ausgabe",L2399=""),0,IF(L2399="x",-$E2399/(COUNTIF($J2399:$Q2399,"x")+1),-$E2399*N(L2399)))</f>
        <v/>
      </c>
      <c r="AA2399" s="34">
        <f>IF(OR($A2399="",$H2399&lt;&gt;"Ausgabe",M2399=""),0,IF(M2399="x",-$E2399/(COUNTIF($J2399:$Q2399,"x")+1),-$E2399*N(M2399)))</f>
        <v/>
      </c>
      <c r="AB2399" s="34">
        <f>IF(OR($A2399="",$H2399&lt;&gt;"Ausgabe",N2399=""),0,IF(N2399="x",-$E2399/(COUNTIF($J2399:$Q2399,"x")+1),-$E2399*N(N2399)))</f>
        <v/>
      </c>
      <c r="AC2399" s="34">
        <f>IF(OR($A2399="",$H2399&lt;&gt;"Ausgabe",O2399=""),0,IF(O2399="x",-$E2399/(COUNTIF($J2399:$Q2399,"x")+1),-$E2399*N(O2399)))</f>
        <v/>
      </c>
      <c r="AD2399" s="34">
        <f>IF(OR($A2399="",$H2399&lt;&gt;"Ausgabe",P2399=""),0,IF(P2399="x",-$E2399/(COUNTIF($J2399:$Q2399,"x")+1),-$E2399*N(P2399)))</f>
        <v/>
      </c>
      <c r="AE2399" s="34">
        <f>IF(OR($A2399="",$H2399&lt;&gt;"Ausgabe",Q2399=""),0,IF(Q2399="x",-$E2399/(COUNTIF($J2399:$Q2399,"x")+1),-$E2399*N(Q2399)))</f>
        <v/>
      </c>
    </row>
    <row r="2400">
      <c r="A2400" s="30" t="n"/>
      <c r="E2400" s="31" t="n"/>
      <c r="J2400" s="32" t="n"/>
      <c r="K2400" s="32" t="n"/>
      <c r="L2400" s="32" t="n"/>
      <c r="M2400" s="32" t="n"/>
      <c r="N2400" s="32" t="n"/>
      <c r="O2400" s="32" t="n"/>
      <c r="P2400" s="32" t="n"/>
      <c r="Q2400" s="32" t="n"/>
      <c r="U2400" s="31">
        <f>IF($A2400="","",SUM(X2400:AE2400))</f>
        <v/>
      </c>
      <c r="V2400" s="31">
        <f>IF($A2400="","",IF($H2400&lt;&gt;"Ausgabe",0,-$E2400-$U2400))</f>
        <v/>
      </c>
      <c r="W2400" s="33">
        <f>IF($A2400="","",DATE(YEAR($A2400),MONTH($A2400),1))</f>
        <v/>
      </c>
      <c r="X2400" s="34">
        <f>IF(OR($A2400="",$H2400&lt;&gt;"Ausgabe",J2400=""),0,IF(J2400="x",-$E2400/(COUNTIF($J2400:$Q2400,"x")+1),-$E2400*N(J2400)))</f>
        <v/>
      </c>
      <c r="Y2400" s="34">
        <f>IF(OR($A2400="",$H2400&lt;&gt;"Ausgabe",K2400=""),0,IF(K2400="x",-$E2400/(COUNTIF($J2400:$Q2400,"x")+1),-$E2400*N(K2400)))</f>
        <v/>
      </c>
      <c r="Z2400" s="34">
        <f>IF(OR($A2400="",$H2400&lt;&gt;"Ausgabe",L2400=""),0,IF(L2400="x",-$E2400/(COUNTIF($J2400:$Q2400,"x")+1),-$E2400*N(L2400)))</f>
        <v/>
      </c>
      <c r="AA2400" s="34">
        <f>IF(OR($A2400="",$H2400&lt;&gt;"Ausgabe",M2400=""),0,IF(M2400="x",-$E2400/(COUNTIF($J2400:$Q2400,"x")+1),-$E2400*N(M2400)))</f>
        <v/>
      </c>
      <c r="AB2400" s="34">
        <f>IF(OR($A2400="",$H2400&lt;&gt;"Ausgabe",N2400=""),0,IF(N2400="x",-$E2400/(COUNTIF($J2400:$Q2400,"x")+1),-$E2400*N(N2400)))</f>
        <v/>
      </c>
      <c r="AC2400" s="34">
        <f>IF(OR($A2400="",$H2400&lt;&gt;"Ausgabe",O2400=""),0,IF(O2400="x",-$E2400/(COUNTIF($J2400:$Q2400,"x")+1),-$E2400*N(O2400)))</f>
        <v/>
      </c>
      <c r="AD2400" s="34">
        <f>IF(OR($A2400="",$H2400&lt;&gt;"Ausgabe",P2400=""),0,IF(P2400="x",-$E2400/(COUNTIF($J2400:$Q2400,"x")+1),-$E2400*N(P2400)))</f>
        <v/>
      </c>
      <c r="AE2400" s="34">
        <f>IF(OR($A2400="",$H2400&lt;&gt;"Ausgabe",Q2400=""),0,IF(Q2400="x",-$E2400/(COUNTIF($J2400:$Q2400,"x")+1),-$E2400*N(Q2400)))</f>
        <v/>
      </c>
    </row>
    <row r="2401">
      <c r="A2401" s="30" t="n"/>
      <c r="E2401" s="31" t="n"/>
      <c r="J2401" s="32" t="n"/>
      <c r="K2401" s="32" t="n"/>
      <c r="L2401" s="32" t="n"/>
      <c r="M2401" s="32" t="n"/>
      <c r="N2401" s="32" t="n"/>
      <c r="O2401" s="32" t="n"/>
      <c r="P2401" s="32" t="n"/>
      <c r="Q2401" s="32" t="n"/>
      <c r="U2401" s="31">
        <f>IF($A2401="","",SUM(X2401:AE2401))</f>
        <v/>
      </c>
      <c r="V2401" s="31">
        <f>IF($A2401="","",IF($H2401&lt;&gt;"Ausgabe",0,-$E2401-$U2401))</f>
        <v/>
      </c>
      <c r="W2401" s="33">
        <f>IF($A2401="","",DATE(YEAR($A2401),MONTH($A2401),1))</f>
        <v/>
      </c>
      <c r="X2401" s="34">
        <f>IF(OR($A2401="",$H2401&lt;&gt;"Ausgabe",J2401=""),0,IF(J2401="x",-$E2401/(COUNTIF($J2401:$Q2401,"x")+1),-$E2401*N(J2401)))</f>
        <v/>
      </c>
      <c r="Y2401" s="34">
        <f>IF(OR($A2401="",$H2401&lt;&gt;"Ausgabe",K2401=""),0,IF(K2401="x",-$E2401/(COUNTIF($J2401:$Q2401,"x")+1),-$E2401*N(K2401)))</f>
        <v/>
      </c>
      <c r="Z2401" s="34">
        <f>IF(OR($A2401="",$H2401&lt;&gt;"Ausgabe",L2401=""),0,IF(L2401="x",-$E2401/(COUNTIF($J2401:$Q2401,"x")+1),-$E2401*N(L2401)))</f>
        <v/>
      </c>
      <c r="AA2401" s="34">
        <f>IF(OR($A2401="",$H2401&lt;&gt;"Ausgabe",M2401=""),0,IF(M2401="x",-$E2401/(COUNTIF($J2401:$Q2401,"x")+1),-$E2401*N(M2401)))</f>
        <v/>
      </c>
      <c r="AB2401" s="34">
        <f>IF(OR($A2401="",$H2401&lt;&gt;"Ausgabe",N2401=""),0,IF(N2401="x",-$E2401/(COUNTIF($J2401:$Q2401,"x")+1),-$E2401*N(N2401)))</f>
        <v/>
      </c>
      <c r="AC2401" s="34">
        <f>IF(OR($A2401="",$H2401&lt;&gt;"Ausgabe",O2401=""),0,IF(O2401="x",-$E2401/(COUNTIF($J2401:$Q2401,"x")+1),-$E2401*N(O2401)))</f>
        <v/>
      </c>
      <c r="AD2401" s="34">
        <f>IF(OR($A2401="",$H2401&lt;&gt;"Ausgabe",P2401=""),0,IF(P2401="x",-$E2401/(COUNTIF($J2401:$Q2401,"x")+1),-$E2401*N(P2401)))</f>
        <v/>
      </c>
      <c r="AE2401" s="34">
        <f>IF(OR($A2401="",$H2401&lt;&gt;"Ausgabe",Q2401=""),0,IF(Q2401="x",-$E2401/(COUNTIF($J2401:$Q2401,"x")+1),-$E2401*N(Q2401)))</f>
        <v/>
      </c>
    </row>
    <row r="2402">
      <c r="A2402" s="30" t="n"/>
      <c r="E2402" s="31" t="n"/>
      <c r="J2402" s="32" t="n"/>
      <c r="K2402" s="32" t="n"/>
      <c r="L2402" s="32" t="n"/>
      <c r="M2402" s="32" t="n"/>
      <c r="N2402" s="32" t="n"/>
      <c r="O2402" s="32" t="n"/>
      <c r="P2402" s="32" t="n"/>
      <c r="Q2402" s="32" t="n"/>
      <c r="U2402" s="31">
        <f>IF($A2402="","",SUM(X2402:AE2402))</f>
        <v/>
      </c>
      <c r="V2402" s="31">
        <f>IF($A2402="","",IF($H2402&lt;&gt;"Ausgabe",0,-$E2402-$U2402))</f>
        <v/>
      </c>
      <c r="W2402" s="33">
        <f>IF($A2402="","",DATE(YEAR($A2402),MONTH($A2402),1))</f>
        <v/>
      </c>
      <c r="X2402" s="34">
        <f>IF(OR($A2402="",$H2402&lt;&gt;"Ausgabe",J2402=""),0,IF(J2402="x",-$E2402/(COUNTIF($J2402:$Q2402,"x")+1),-$E2402*N(J2402)))</f>
        <v/>
      </c>
      <c r="Y2402" s="34">
        <f>IF(OR($A2402="",$H2402&lt;&gt;"Ausgabe",K2402=""),0,IF(K2402="x",-$E2402/(COUNTIF($J2402:$Q2402,"x")+1),-$E2402*N(K2402)))</f>
        <v/>
      </c>
      <c r="Z2402" s="34">
        <f>IF(OR($A2402="",$H2402&lt;&gt;"Ausgabe",L2402=""),0,IF(L2402="x",-$E2402/(COUNTIF($J2402:$Q2402,"x")+1),-$E2402*N(L2402)))</f>
        <v/>
      </c>
      <c r="AA2402" s="34">
        <f>IF(OR($A2402="",$H2402&lt;&gt;"Ausgabe",M2402=""),0,IF(M2402="x",-$E2402/(COUNTIF($J2402:$Q2402,"x")+1),-$E2402*N(M2402)))</f>
        <v/>
      </c>
      <c r="AB2402" s="34">
        <f>IF(OR($A2402="",$H2402&lt;&gt;"Ausgabe",N2402=""),0,IF(N2402="x",-$E2402/(COUNTIF($J2402:$Q2402,"x")+1),-$E2402*N(N2402)))</f>
        <v/>
      </c>
      <c r="AC2402" s="34">
        <f>IF(OR($A2402="",$H2402&lt;&gt;"Ausgabe",O2402=""),0,IF(O2402="x",-$E2402/(COUNTIF($J2402:$Q2402,"x")+1),-$E2402*N(O2402)))</f>
        <v/>
      </c>
      <c r="AD2402" s="34">
        <f>IF(OR($A2402="",$H2402&lt;&gt;"Ausgabe",P2402=""),0,IF(P2402="x",-$E2402/(COUNTIF($J2402:$Q2402,"x")+1),-$E2402*N(P2402)))</f>
        <v/>
      </c>
      <c r="AE2402" s="34">
        <f>IF(OR($A2402="",$H2402&lt;&gt;"Ausgabe",Q2402=""),0,IF(Q2402="x",-$E2402/(COUNTIF($J2402:$Q2402,"x")+1),-$E2402*N(Q2402)))</f>
        <v/>
      </c>
    </row>
    <row r="2403">
      <c r="A2403" s="30" t="n"/>
      <c r="E2403" s="31" t="n"/>
      <c r="J2403" s="32" t="n"/>
      <c r="K2403" s="32" t="n"/>
      <c r="L2403" s="32" t="n"/>
      <c r="M2403" s="32" t="n"/>
      <c r="N2403" s="32" t="n"/>
      <c r="O2403" s="32" t="n"/>
      <c r="P2403" s="32" t="n"/>
      <c r="Q2403" s="32" t="n"/>
      <c r="U2403" s="31">
        <f>IF($A2403="","",SUM(X2403:AE2403))</f>
        <v/>
      </c>
      <c r="V2403" s="31">
        <f>IF($A2403="","",IF($H2403&lt;&gt;"Ausgabe",0,-$E2403-$U2403))</f>
        <v/>
      </c>
      <c r="W2403" s="33">
        <f>IF($A2403="","",DATE(YEAR($A2403),MONTH($A2403),1))</f>
        <v/>
      </c>
      <c r="X2403" s="34">
        <f>IF(OR($A2403="",$H2403&lt;&gt;"Ausgabe",J2403=""),0,IF(J2403="x",-$E2403/(COUNTIF($J2403:$Q2403,"x")+1),-$E2403*N(J2403)))</f>
        <v/>
      </c>
      <c r="Y2403" s="34">
        <f>IF(OR($A2403="",$H2403&lt;&gt;"Ausgabe",K2403=""),0,IF(K2403="x",-$E2403/(COUNTIF($J2403:$Q2403,"x")+1),-$E2403*N(K2403)))</f>
        <v/>
      </c>
      <c r="Z2403" s="34">
        <f>IF(OR($A2403="",$H2403&lt;&gt;"Ausgabe",L2403=""),0,IF(L2403="x",-$E2403/(COUNTIF($J2403:$Q2403,"x")+1),-$E2403*N(L2403)))</f>
        <v/>
      </c>
      <c r="AA2403" s="34">
        <f>IF(OR($A2403="",$H2403&lt;&gt;"Ausgabe",M2403=""),0,IF(M2403="x",-$E2403/(COUNTIF($J2403:$Q2403,"x")+1),-$E2403*N(M2403)))</f>
        <v/>
      </c>
      <c r="AB2403" s="34">
        <f>IF(OR($A2403="",$H2403&lt;&gt;"Ausgabe",N2403=""),0,IF(N2403="x",-$E2403/(COUNTIF($J2403:$Q2403,"x")+1),-$E2403*N(N2403)))</f>
        <v/>
      </c>
      <c r="AC2403" s="34">
        <f>IF(OR($A2403="",$H2403&lt;&gt;"Ausgabe",O2403=""),0,IF(O2403="x",-$E2403/(COUNTIF($J2403:$Q2403,"x")+1),-$E2403*N(O2403)))</f>
        <v/>
      </c>
      <c r="AD2403" s="34">
        <f>IF(OR($A2403="",$H2403&lt;&gt;"Ausgabe",P2403=""),0,IF(P2403="x",-$E2403/(COUNTIF($J2403:$Q2403,"x")+1),-$E2403*N(P2403)))</f>
        <v/>
      </c>
      <c r="AE2403" s="34">
        <f>IF(OR($A2403="",$H2403&lt;&gt;"Ausgabe",Q2403=""),0,IF(Q2403="x",-$E2403/(COUNTIF($J2403:$Q2403,"x")+1),-$E2403*N(Q2403)))</f>
        <v/>
      </c>
    </row>
    <row r="2404">
      <c r="A2404" s="30" t="n"/>
      <c r="E2404" s="31" t="n"/>
      <c r="J2404" s="32" t="n"/>
      <c r="K2404" s="32" t="n"/>
      <c r="L2404" s="32" t="n"/>
      <c r="M2404" s="32" t="n"/>
      <c r="N2404" s="32" t="n"/>
      <c r="O2404" s="32" t="n"/>
      <c r="P2404" s="32" t="n"/>
      <c r="Q2404" s="32" t="n"/>
      <c r="U2404" s="31">
        <f>IF($A2404="","",SUM(X2404:AE2404))</f>
        <v/>
      </c>
      <c r="V2404" s="31">
        <f>IF($A2404="","",IF($H2404&lt;&gt;"Ausgabe",0,-$E2404-$U2404))</f>
        <v/>
      </c>
      <c r="W2404" s="33">
        <f>IF($A2404="","",DATE(YEAR($A2404),MONTH($A2404),1))</f>
        <v/>
      </c>
      <c r="X2404" s="34">
        <f>IF(OR($A2404="",$H2404&lt;&gt;"Ausgabe",J2404=""),0,IF(J2404="x",-$E2404/(COUNTIF($J2404:$Q2404,"x")+1),-$E2404*N(J2404)))</f>
        <v/>
      </c>
      <c r="Y2404" s="34">
        <f>IF(OR($A2404="",$H2404&lt;&gt;"Ausgabe",K2404=""),0,IF(K2404="x",-$E2404/(COUNTIF($J2404:$Q2404,"x")+1),-$E2404*N(K2404)))</f>
        <v/>
      </c>
      <c r="Z2404" s="34">
        <f>IF(OR($A2404="",$H2404&lt;&gt;"Ausgabe",L2404=""),0,IF(L2404="x",-$E2404/(COUNTIF($J2404:$Q2404,"x")+1),-$E2404*N(L2404)))</f>
        <v/>
      </c>
      <c r="AA2404" s="34">
        <f>IF(OR($A2404="",$H2404&lt;&gt;"Ausgabe",M2404=""),0,IF(M2404="x",-$E2404/(COUNTIF($J2404:$Q2404,"x")+1),-$E2404*N(M2404)))</f>
        <v/>
      </c>
      <c r="AB2404" s="34">
        <f>IF(OR($A2404="",$H2404&lt;&gt;"Ausgabe",N2404=""),0,IF(N2404="x",-$E2404/(COUNTIF($J2404:$Q2404,"x")+1),-$E2404*N(N2404)))</f>
        <v/>
      </c>
      <c r="AC2404" s="34">
        <f>IF(OR($A2404="",$H2404&lt;&gt;"Ausgabe",O2404=""),0,IF(O2404="x",-$E2404/(COUNTIF($J2404:$Q2404,"x")+1),-$E2404*N(O2404)))</f>
        <v/>
      </c>
      <c r="AD2404" s="34">
        <f>IF(OR($A2404="",$H2404&lt;&gt;"Ausgabe",P2404=""),0,IF(P2404="x",-$E2404/(COUNTIF($J2404:$Q2404,"x")+1),-$E2404*N(P2404)))</f>
        <v/>
      </c>
      <c r="AE2404" s="34">
        <f>IF(OR($A2404="",$H2404&lt;&gt;"Ausgabe",Q2404=""),0,IF(Q2404="x",-$E2404/(COUNTIF($J2404:$Q2404,"x")+1),-$E2404*N(Q2404)))</f>
        <v/>
      </c>
    </row>
    <row r="2405">
      <c r="A2405" s="30" t="n"/>
      <c r="E2405" s="31" t="n"/>
      <c r="J2405" s="32" t="n"/>
      <c r="K2405" s="32" t="n"/>
      <c r="L2405" s="32" t="n"/>
      <c r="M2405" s="32" t="n"/>
      <c r="N2405" s="32" t="n"/>
      <c r="O2405" s="32" t="n"/>
      <c r="P2405" s="32" t="n"/>
      <c r="Q2405" s="32" t="n"/>
      <c r="U2405" s="31">
        <f>IF($A2405="","",SUM(X2405:AE2405))</f>
        <v/>
      </c>
      <c r="V2405" s="31">
        <f>IF($A2405="","",IF($H2405&lt;&gt;"Ausgabe",0,-$E2405-$U2405))</f>
        <v/>
      </c>
      <c r="W2405" s="33">
        <f>IF($A2405="","",DATE(YEAR($A2405),MONTH($A2405),1))</f>
        <v/>
      </c>
      <c r="X2405" s="34">
        <f>IF(OR($A2405="",$H2405&lt;&gt;"Ausgabe",J2405=""),0,IF(J2405="x",-$E2405/(COUNTIF($J2405:$Q2405,"x")+1),-$E2405*N(J2405)))</f>
        <v/>
      </c>
      <c r="Y2405" s="34">
        <f>IF(OR($A2405="",$H2405&lt;&gt;"Ausgabe",K2405=""),0,IF(K2405="x",-$E2405/(COUNTIF($J2405:$Q2405,"x")+1),-$E2405*N(K2405)))</f>
        <v/>
      </c>
      <c r="Z2405" s="34">
        <f>IF(OR($A2405="",$H2405&lt;&gt;"Ausgabe",L2405=""),0,IF(L2405="x",-$E2405/(COUNTIF($J2405:$Q2405,"x")+1),-$E2405*N(L2405)))</f>
        <v/>
      </c>
      <c r="AA2405" s="34">
        <f>IF(OR($A2405="",$H2405&lt;&gt;"Ausgabe",M2405=""),0,IF(M2405="x",-$E2405/(COUNTIF($J2405:$Q2405,"x")+1),-$E2405*N(M2405)))</f>
        <v/>
      </c>
      <c r="AB2405" s="34">
        <f>IF(OR($A2405="",$H2405&lt;&gt;"Ausgabe",N2405=""),0,IF(N2405="x",-$E2405/(COUNTIF($J2405:$Q2405,"x")+1),-$E2405*N(N2405)))</f>
        <v/>
      </c>
      <c r="AC2405" s="34">
        <f>IF(OR($A2405="",$H2405&lt;&gt;"Ausgabe",O2405=""),0,IF(O2405="x",-$E2405/(COUNTIF($J2405:$Q2405,"x")+1),-$E2405*N(O2405)))</f>
        <v/>
      </c>
      <c r="AD2405" s="34">
        <f>IF(OR($A2405="",$H2405&lt;&gt;"Ausgabe",P2405=""),0,IF(P2405="x",-$E2405/(COUNTIF($J2405:$Q2405,"x")+1),-$E2405*N(P2405)))</f>
        <v/>
      </c>
      <c r="AE2405" s="34">
        <f>IF(OR($A2405="",$H2405&lt;&gt;"Ausgabe",Q2405=""),0,IF(Q2405="x",-$E2405/(COUNTIF($J2405:$Q2405,"x")+1),-$E2405*N(Q2405)))</f>
        <v/>
      </c>
    </row>
    <row r="2406">
      <c r="A2406" s="30" t="n"/>
      <c r="E2406" s="31" t="n"/>
      <c r="J2406" s="32" t="n"/>
      <c r="K2406" s="32" t="n"/>
      <c r="L2406" s="32" t="n"/>
      <c r="M2406" s="32" t="n"/>
      <c r="N2406" s="32" t="n"/>
      <c r="O2406" s="32" t="n"/>
      <c r="P2406" s="32" t="n"/>
      <c r="Q2406" s="32" t="n"/>
      <c r="U2406" s="31">
        <f>IF($A2406="","",SUM(X2406:AE2406))</f>
        <v/>
      </c>
      <c r="V2406" s="31">
        <f>IF($A2406="","",IF($H2406&lt;&gt;"Ausgabe",0,-$E2406-$U2406))</f>
        <v/>
      </c>
      <c r="W2406" s="33">
        <f>IF($A2406="","",DATE(YEAR($A2406),MONTH($A2406),1))</f>
        <v/>
      </c>
      <c r="X2406" s="34">
        <f>IF(OR($A2406="",$H2406&lt;&gt;"Ausgabe",J2406=""),0,IF(J2406="x",-$E2406/(COUNTIF($J2406:$Q2406,"x")+1),-$E2406*N(J2406)))</f>
        <v/>
      </c>
      <c r="Y2406" s="34">
        <f>IF(OR($A2406="",$H2406&lt;&gt;"Ausgabe",K2406=""),0,IF(K2406="x",-$E2406/(COUNTIF($J2406:$Q2406,"x")+1),-$E2406*N(K2406)))</f>
        <v/>
      </c>
      <c r="Z2406" s="34">
        <f>IF(OR($A2406="",$H2406&lt;&gt;"Ausgabe",L2406=""),0,IF(L2406="x",-$E2406/(COUNTIF($J2406:$Q2406,"x")+1),-$E2406*N(L2406)))</f>
        <v/>
      </c>
      <c r="AA2406" s="34">
        <f>IF(OR($A2406="",$H2406&lt;&gt;"Ausgabe",M2406=""),0,IF(M2406="x",-$E2406/(COUNTIF($J2406:$Q2406,"x")+1),-$E2406*N(M2406)))</f>
        <v/>
      </c>
      <c r="AB2406" s="34">
        <f>IF(OR($A2406="",$H2406&lt;&gt;"Ausgabe",N2406=""),0,IF(N2406="x",-$E2406/(COUNTIF($J2406:$Q2406,"x")+1),-$E2406*N(N2406)))</f>
        <v/>
      </c>
      <c r="AC2406" s="34">
        <f>IF(OR($A2406="",$H2406&lt;&gt;"Ausgabe",O2406=""),0,IF(O2406="x",-$E2406/(COUNTIF($J2406:$Q2406,"x")+1),-$E2406*N(O2406)))</f>
        <v/>
      </c>
      <c r="AD2406" s="34">
        <f>IF(OR($A2406="",$H2406&lt;&gt;"Ausgabe",P2406=""),0,IF(P2406="x",-$E2406/(COUNTIF($J2406:$Q2406,"x")+1),-$E2406*N(P2406)))</f>
        <v/>
      </c>
      <c r="AE2406" s="34">
        <f>IF(OR($A2406="",$H2406&lt;&gt;"Ausgabe",Q2406=""),0,IF(Q2406="x",-$E2406/(COUNTIF($J2406:$Q2406,"x")+1),-$E2406*N(Q2406)))</f>
        <v/>
      </c>
    </row>
    <row r="2407">
      <c r="A2407" s="30" t="n"/>
      <c r="E2407" s="31" t="n"/>
      <c r="J2407" s="32" t="n"/>
      <c r="K2407" s="32" t="n"/>
      <c r="L2407" s="32" t="n"/>
      <c r="M2407" s="32" t="n"/>
      <c r="N2407" s="32" t="n"/>
      <c r="O2407" s="32" t="n"/>
      <c r="P2407" s="32" t="n"/>
      <c r="Q2407" s="32" t="n"/>
      <c r="U2407" s="31">
        <f>IF($A2407="","",SUM(X2407:AE2407))</f>
        <v/>
      </c>
      <c r="V2407" s="31">
        <f>IF($A2407="","",IF($H2407&lt;&gt;"Ausgabe",0,-$E2407-$U2407))</f>
        <v/>
      </c>
      <c r="W2407" s="33">
        <f>IF($A2407="","",DATE(YEAR($A2407),MONTH($A2407),1))</f>
        <v/>
      </c>
      <c r="X2407" s="34">
        <f>IF(OR($A2407="",$H2407&lt;&gt;"Ausgabe",J2407=""),0,IF(J2407="x",-$E2407/(COUNTIF($J2407:$Q2407,"x")+1),-$E2407*N(J2407)))</f>
        <v/>
      </c>
      <c r="Y2407" s="34">
        <f>IF(OR($A2407="",$H2407&lt;&gt;"Ausgabe",K2407=""),0,IF(K2407="x",-$E2407/(COUNTIF($J2407:$Q2407,"x")+1),-$E2407*N(K2407)))</f>
        <v/>
      </c>
      <c r="Z2407" s="34">
        <f>IF(OR($A2407="",$H2407&lt;&gt;"Ausgabe",L2407=""),0,IF(L2407="x",-$E2407/(COUNTIF($J2407:$Q2407,"x")+1),-$E2407*N(L2407)))</f>
        <v/>
      </c>
      <c r="AA2407" s="34">
        <f>IF(OR($A2407="",$H2407&lt;&gt;"Ausgabe",M2407=""),0,IF(M2407="x",-$E2407/(COUNTIF($J2407:$Q2407,"x")+1),-$E2407*N(M2407)))</f>
        <v/>
      </c>
      <c r="AB2407" s="34">
        <f>IF(OR($A2407="",$H2407&lt;&gt;"Ausgabe",N2407=""),0,IF(N2407="x",-$E2407/(COUNTIF($J2407:$Q2407,"x")+1),-$E2407*N(N2407)))</f>
        <v/>
      </c>
      <c r="AC2407" s="34">
        <f>IF(OR($A2407="",$H2407&lt;&gt;"Ausgabe",O2407=""),0,IF(O2407="x",-$E2407/(COUNTIF($J2407:$Q2407,"x")+1),-$E2407*N(O2407)))</f>
        <v/>
      </c>
      <c r="AD2407" s="34">
        <f>IF(OR($A2407="",$H2407&lt;&gt;"Ausgabe",P2407=""),0,IF(P2407="x",-$E2407/(COUNTIF($J2407:$Q2407,"x")+1),-$E2407*N(P2407)))</f>
        <v/>
      </c>
      <c r="AE2407" s="34">
        <f>IF(OR($A2407="",$H2407&lt;&gt;"Ausgabe",Q2407=""),0,IF(Q2407="x",-$E2407/(COUNTIF($J2407:$Q2407,"x")+1),-$E2407*N(Q2407)))</f>
        <v/>
      </c>
    </row>
    <row r="2408">
      <c r="A2408" s="30" t="n"/>
      <c r="E2408" s="31" t="n"/>
      <c r="J2408" s="32" t="n"/>
      <c r="K2408" s="32" t="n"/>
      <c r="L2408" s="32" t="n"/>
      <c r="M2408" s="32" t="n"/>
      <c r="N2408" s="32" t="n"/>
      <c r="O2408" s="32" t="n"/>
      <c r="P2408" s="32" t="n"/>
      <c r="Q2408" s="32" t="n"/>
      <c r="U2408" s="31">
        <f>IF($A2408="","",SUM(X2408:AE2408))</f>
        <v/>
      </c>
      <c r="V2408" s="31">
        <f>IF($A2408="","",IF($H2408&lt;&gt;"Ausgabe",0,-$E2408-$U2408))</f>
        <v/>
      </c>
      <c r="W2408" s="33">
        <f>IF($A2408="","",DATE(YEAR($A2408),MONTH($A2408),1))</f>
        <v/>
      </c>
      <c r="X2408" s="34">
        <f>IF(OR($A2408="",$H2408&lt;&gt;"Ausgabe",J2408=""),0,IF(J2408="x",-$E2408/(COUNTIF($J2408:$Q2408,"x")+1),-$E2408*N(J2408)))</f>
        <v/>
      </c>
      <c r="Y2408" s="34">
        <f>IF(OR($A2408="",$H2408&lt;&gt;"Ausgabe",K2408=""),0,IF(K2408="x",-$E2408/(COUNTIF($J2408:$Q2408,"x")+1),-$E2408*N(K2408)))</f>
        <v/>
      </c>
      <c r="Z2408" s="34">
        <f>IF(OR($A2408="",$H2408&lt;&gt;"Ausgabe",L2408=""),0,IF(L2408="x",-$E2408/(COUNTIF($J2408:$Q2408,"x")+1),-$E2408*N(L2408)))</f>
        <v/>
      </c>
      <c r="AA2408" s="34">
        <f>IF(OR($A2408="",$H2408&lt;&gt;"Ausgabe",M2408=""),0,IF(M2408="x",-$E2408/(COUNTIF($J2408:$Q2408,"x")+1),-$E2408*N(M2408)))</f>
        <v/>
      </c>
      <c r="AB2408" s="34">
        <f>IF(OR($A2408="",$H2408&lt;&gt;"Ausgabe",N2408=""),0,IF(N2408="x",-$E2408/(COUNTIF($J2408:$Q2408,"x")+1),-$E2408*N(N2408)))</f>
        <v/>
      </c>
      <c r="AC2408" s="34">
        <f>IF(OR($A2408="",$H2408&lt;&gt;"Ausgabe",O2408=""),0,IF(O2408="x",-$E2408/(COUNTIF($J2408:$Q2408,"x")+1),-$E2408*N(O2408)))</f>
        <v/>
      </c>
      <c r="AD2408" s="34">
        <f>IF(OR($A2408="",$H2408&lt;&gt;"Ausgabe",P2408=""),0,IF(P2408="x",-$E2408/(COUNTIF($J2408:$Q2408,"x")+1),-$E2408*N(P2408)))</f>
        <v/>
      </c>
      <c r="AE2408" s="34">
        <f>IF(OR($A2408="",$H2408&lt;&gt;"Ausgabe",Q2408=""),0,IF(Q2408="x",-$E2408/(COUNTIF($J2408:$Q2408,"x")+1),-$E2408*N(Q2408)))</f>
        <v/>
      </c>
    </row>
    <row r="2409">
      <c r="A2409" s="30" t="n"/>
      <c r="E2409" s="31" t="n"/>
      <c r="J2409" s="32" t="n"/>
      <c r="K2409" s="32" t="n"/>
      <c r="L2409" s="32" t="n"/>
      <c r="M2409" s="32" t="n"/>
      <c r="N2409" s="32" t="n"/>
      <c r="O2409" s="32" t="n"/>
      <c r="P2409" s="32" t="n"/>
      <c r="Q2409" s="32" t="n"/>
      <c r="U2409" s="31">
        <f>IF($A2409="","",SUM(X2409:AE2409))</f>
        <v/>
      </c>
      <c r="V2409" s="31">
        <f>IF($A2409="","",IF($H2409&lt;&gt;"Ausgabe",0,-$E2409-$U2409))</f>
        <v/>
      </c>
      <c r="W2409" s="33">
        <f>IF($A2409="","",DATE(YEAR($A2409),MONTH($A2409),1))</f>
        <v/>
      </c>
      <c r="X2409" s="34">
        <f>IF(OR($A2409="",$H2409&lt;&gt;"Ausgabe",J2409=""),0,IF(J2409="x",-$E2409/(COUNTIF($J2409:$Q2409,"x")+1),-$E2409*N(J2409)))</f>
        <v/>
      </c>
      <c r="Y2409" s="34">
        <f>IF(OR($A2409="",$H2409&lt;&gt;"Ausgabe",K2409=""),0,IF(K2409="x",-$E2409/(COUNTIF($J2409:$Q2409,"x")+1),-$E2409*N(K2409)))</f>
        <v/>
      </c>
      <c r="Z2409" s="34">
        <f>IF(OR($A2409="",$H2409&lt;&gt;"Ausgabe",L2409=""),0,IF(L2409="x",-$E2409/(COUNTIF($J2409:$Q2409,"x")+1),-$E2409*N(L2409)))</f>
        <v/>
      </c>
      <c r="AA2409" s="34">
        <f>IF(OR($A2409="",$H2409&lt;&gt;"Ausgabe",M2409=""),0,IF(M2409="x",-$E2409/(COUNTIF($J2409:$Q2409,"x")+1),-$E2409*N(M2409)))</f>
        <v/>
      </c>
      <c r="AB2409" s="34">
        <f>IF(OR($A2409="",$H2409&lt;&gt;"Ausgabe",N2409=""),0,IF(N2409="x",-$E2409/(COUNTIF($J2409:$Q2409,"x")+1),-$E2409*N(N2409)))</f>
        <v/>
      </c>
      <c r="AC2409" s="34">
        <f>IF(OR($A2409="",$H2409&lt;&gt;"Ausgabe",O2409=""),0,IF(O2409="x",-$E2409/(COUNTIF($J2409:$Q2409,"x")+1),-$E2409*N(O2409)))</f>
        <v/>
      </c>
      <c r="AD2409" s="34">
        <f>IF(OR($A2409="",$H2409&lt;&gt;"Ausgabe",P2409=""),0,IF(P2409="x",-$E2409/(COUNTIF($J2409:$Q2409,"x")+1),-$E2409*N(P2409)))</f>
        <v/>
      </c>
      <c r="AE2409" s="34">
        <f>IF(OR($A2409="",$H2409&lt;&gt;"Ausgabe",Q2409=""),0,IF(Q2409="x",-$E2409/(COUNTIF($J2409:$Q2409,"x")+1),-$E2409*N(Q2409)))</f>
        <v/>
      </c>
    </row>
    <row r="2410">
      <c r="A2410" s="30" t="n"/>
      <c r="E2410" s="31" t="n"/>
      <c r="J2410" s="32" t="n"/>
      <c r="K2410" s="32" t="n"/>
      <c r="L2410" s="32" t="n"/>
      <c r="M2410" s="32" t="n"/>
      <c r="N2410" s="32" t="n"/>
      <c r="O2410" s="32" t="n"/>
      <c r="P2410" s="32" t="n"/>
      <c r="Q2410" s="32" t="n"/>
      <c r="U2410" s="31">
        <f>IF($A2410="","",SUM(X2410:AE2410))</f>
        <v/>
      </c>
      <c r="V2410" s="31">
        <f>IF($A2410="","",IF($H2410&lt;&gt;"Ausgabe",0,-$E2410-$U2410))</f>
        <v/>
      </c>
      <c r="W2410" s="33">
        <f>IF($A2410="","",DATE(YEAR($A2410),MONTH($A2410),1))</f>
        <v/>
      </c>
      <c r="X2410" s="34">
        <f>IF(OR($A2410="",$H2410&lt;&gt;"Ausgabe",J2410=""),0,IF(J2410="x",-$E2410/(COUNTIF($J2410:$Q2410,"x")+1),-$E2410*N(J2410)))</f>
        <v/>
      </c>
      <c r="Y2410" s="34">
        <f>IF(OR($A2410="",$H2410&lt;&gt;"Ausgabe",K2410=""),0,IF(K2410="x",-$E2410/(COUNTIF($J2410:$Q2410,"x")+1),-$E2410*N(K2410)))</f>
        <v/>
      </c>
      <c r="Z2410" s="34">
        <f>IF(OR($A2410="",$H2410&lt;&gt;"Ausgabe",L2410=""),0,IF(L2410="x",-$E2410/(COUNTIF($J2410:$Q2410,"x")+1),-$E2410*N(L2410)))</f>
        <v/>
      </c>
      <c r="AA2410" s="34">
        <f>IF(OR($A2410="",$H2410&lt;&gt;"Ausgabe",M2410=""),0,IF(M2410="x",-$E2410/(COUNTIF($J2410:$Q2410,"x")+1),-$E2410*N(M2410)))</f>
        <v/>
      </c>
      <c r="AB2410" s="34">
        <f>IF(OR($A2410="",$H2410&lt;&gt;"Ausgabe",N2410=""),0,IF(N2410="x",-$E2410/(COUNTIF($J2410:$Q2410,"x")+1),-$E2410*N(N2410)))</f>
        <v/>
      </c>
      <c r="AC2410" s="34">
        <f>IF(OR($A2410="",$H2410&lt;&gt;"Ausgabe",O2410=""),0,IF(O2410="x",-$E2410/(COUNTIF($J2410:$Q2410,"x")+1),-$E2410*N(O2410)))</f>
        <v/>
      </c>
      <c r="AD2410" s="34">
        <f>IF(OR($A2410="",$H2410&lt;&gt;"Ausgabe",P2410=""),0,IF(P2410="x",-$E2410/(COUNTIF($J2410:$Q2410,"x")+1),-$E2410*N(P2410)))</f>
        <v/>
      </c>
      <c r="AE2410" s="34">
        <f>IF(OR($A2410="",$H2410&lt;&gt;"Ausgabe",Q2410=""),0,IF(Q2410="x",-$E2410/(COUNTIF($J2410:$Q2410,"x")+1),-$E2410*N(Q2410)))</f>
        <v/>
      </c>
    </row>
    <row r="2411">
      <c r="A2411" s="30" t="n"/>
      <c r="E2411" s="31" t="n"/>
      <c r="J2411" s="32" t="n"/>
      <c r="K2411" s="32" t="n"/>
      <c r="L2411" s="32" t="n"/>
      <c r="M2411" s="32" t="n"/>
      <c r="N2411" s="32" t="n"/>
      <c r="O2411" s="32" t="n"/>
      <c r="P2411" s="32" t="n"/>
      <c r="Q2411" s="32" t="n"/>
      <c r="U2411" s="31">
        <f>IF($A2411="","",SUM(X2411:AE2411))</f>
        <v/>
      </c>
      <c r="V2411" s="31">
        <f>IF($A2411="","",IF($H2411&lt;&gt;"Ausgabe",0,-$E2411-$U2411))</f>
        <v/>
      </c>
      <c r="W2411" s="33">
        <f>IF($A2411="","",DATE(YEAR($A2411),MONTH($A2411),1))</f>
        <v/>
      </c>
      <c r="X2411" s="34">
        <f>IF(OR($A2411="",$H2411&lt;&gt;"Ausgabe",J2411=""),0,IF(J2411="x",-$E2411/(COUNTIF($J2411:$Q2411,"x")+1),-$E2411*N(J2411)))</f>
        <v/>
      </c>
      <c r="Y2411" s="34">
        <f>IF(OR($A2411="",$H2411&lt;&gt;"Ausgabe",K2411=""),0,IF(K2411="x",-$E2411/(COUNTIF($J2411:$Q2411,"x")+1),-$E2411*N(K2411)))</f>
        <v/>
      </c>
      <c r="Z2411" s="34">
        <f>IF(OR($A2411="",$H2411&lt;&gt;"Ausgabe",L2411=""),0,IF(L2411="x",-$E2411/(COUNTIF($J2411:$Q2411,"x")+1),-$E2411*N(L2411)))</f>
        <v/>
      </c>
      <c r="AA2411" s="34">
        <f>IF(OR($A2411="",$H2411&lt;&gt;"Ausgabe",M2411=""),0,IF(M2411="x",-$E2411/(COUNTIF($J2411:$Q2411,"x")+1),-$E2411*N(M2411)))</f>
        <v/>
      </c>
      <c r="AB2411" s="34">
        <f>IF(OR($A2411="",$H2411&lt;&gt;"Ausgabe",N2411=""),0,IF(N2411="x",-$E2411/(COUNTIF($J2411:$Q2411,"x")+1),-$E2411*N(N2411)))</f>
        <v/>
      </c>
      <c r="AC2411" s="34">
        <f>IF(OR($A2411="",$H2411&lt;&gt;"Ausgabe",O2411=""),0,IF(O2411="x",-$E2411/(COUNTIF($J2411:$Q2411,"x")+1),-$E2411*N(O2411)))</f>
        <v/>
      </c>
      <c r="AD2411" s="34">
        <f>IF(OR($A2411="",$H2411&lt;&gt;"Ausgabe",P2411=""),0,IF(P2411="x",-$E2411/(COUNTIF($J2411:$Q2411,"x")+1),-$E2411*N(P2411)))</f>
        <v/>
      </c>
      <c r="AE2411" s="34">
        <f>IF(OR($A2411="",$H2411&lt;&gt;"Ausgabe",Q2411=""),0,IF(Q2411="x",-$E2411/(COUNTIF($J2411:$Q2411,"x")+1),-$E2411*N(Q2411)))</f>
        <v/>
      </c>
    </row>
    <row r="2412">
      <c r="A2412" s="30" t="n"/>
      <c r="E2412" s="31" t="n"/>
      <c r="J2412" s="32" t="n"/>
      <c r="K2412" s="32" t="n"/>
      <c r="L2412" s="32" t="n"/>
      <c r="M2412" s="32" t="n"/>
      <c r="N2412" s="32" t="n"/>
      <c r="O2412" s="32" t="n"/>
      <c r="P2412" s="32" t="n"/>
      <c r="Q2412" s="32" t="n"/>
      <c r="U2412" s="31">
        <f>IF($A2412="","",SUM(X2412:AE2412))</f>
        <v/>
      </c>
      <c r="V2412" s="31">
        <f>IF($A2412="","",IF($H2412&lt;&gt;"Ausgabe",0,-$E2412-$U2412))</f>
        <v/>
      </c>
      <c r="W2412" s="33">
        <f>IF($A2412="","",DATE(YEAR($A2412),MONTH($A2412),1))</f>
        <v/>
      </c>
      <c r="X2412" s="34">
        <f>IF(OR($A2412="",$H2412&lt;&gt;"Ausgabe",J2412=""),0,IF(J2412="x",-$E2412/(COUNTIF($J2412:$Q2412,"x")+1),-$E2412*N(J2412)))</f>
        <v/>
      </c>
      <c r="Y2412" s="34">
        <f>IF(OR($A2412="",$H2412&lt;&gt;"Ausgabe",K2412=""),0,IF(K2412="x",-$E2412/(COUNTIF($J2412:$Q2412,"x")+1),-$E2412*N(K2412)))</f>
        <v/>
      </c>
      <c r="Z2412" s="34">
        <f>IF(OR($A2412="",$H2412&lt;&gt;"Ausgabe",L2412=""),0,IF(L2412="x",-$E2412/(COUNTIF($J2412:$Q2412,"x")+1),-$E2412*N(L2412)))</f>
        <v/>
      </c>
      <c r="AA2412" s="34">
        <f>IF(OR($A2412="",$H2412&lt;&gt;"Ausgabe",M2412=""),0,IF(M2412="x",-$E2412/(COUNTIF($J2412:$Q2412,"x")+1),-$E2412*N(M2412)))</f>
        <v/>
      </c>
      <c r="AB2412" s="34">
        <f>IF(OR($A2412="",$H2412&lt;&gt;"Ausgabe",N2412=""),0,IF(N2412="x",-$E2412/(COUNTIF($J2412:$Q2412,"x")+1),-$E2412*N(N2412)))</f>
        <v/>
      </c>
      <c r="AC2412" s="34">
        <f>IF(OR($A2412="",$H2412&lt;&gt;"Ausgabe",O2412=""),0,IF(O2412="x",-$E2412/(COUNTIF($J2412:$Q2412,"x")+1),-$E2412*N(O2412)))</f>
        <v/>
      </c>
      <c r="AD2412" s="34">
        <f>IF(OR($A2412="",$H2412&lt;&gt;"Ausgabe",P2412=""),0,IF(P2412="x",-$E2412/(COUNTIF($J2412:$Q2412,"x")+1),-$E2412*N(P2412)))</f>
        <v/>
      </c>
      <c r="AE2412" s="34">
        <f>IF(OR($A2412="",$H2412&lt;&gt;"Ausgabe",Q2412=""),0,IF(Q2412="x",-$E2412/(COUNTIF($J2412:$Q2412,"x")+1),-$E2412*N(Q2412)))</f>
        <v/>
      </c>
    </row>
    <row r="2413">
      <c r="A2413" s="30" t="n"/>
      <c r="E2413" s="31" t="n"/>
      <c r="J2413" s="32" t="n"/>
      <c r="K2413" s="32" t="n"/>
      <c r="L2413" s="32" t="n"/>
      <c r="M2413" s="32" t="n"/>
      <c r="N2413" s="32" t="n"/>
      <c r="O2413" s="32" t="n"/>
      <c r="P2413" s="32" t="n"/>
      <c r="Q2413" s="32" t="n"/>
      <c r="U2413" s="31">
        <f>IF($A2413="","",SUM(X2413:AE2413))</f>
        <v/>
      </c>
      <c r="V2413" s="31">
        <f>IF($A2413="","",IF($H2413&lt;&gt;"Ausgabe",0,-$E2413-$U2413))</f>
        <v/>
      </c>
      <c r="W2413" s="33">
        <f>IF($A2413="","",DATE(YEAR($A2413),MONTH($A2413),1))</f>
        <v/>
      </c>
      <c r="X2413" s="34">
        <f>IF(OR($A2413="",$H2413&lt;&gt;"Ausgabe",J2413=""),0,IF(J2413="x",-$E2413/(COUNTIF($J2413:$Q2413,"x")+1),-$E2413*N(J2413)))</f>
        <v/>
      </c>
      <c r="Y2413" s="34">
        <f>IF(OR($A2413="",$H2413&lt;&gt;"Ausgabe",K2413=""),0,IF(K2413="x",-$E2413/(COUNTIF($J2413:$Q2413,"x")+1),-$E2413*N(K2413)))</f>
        <v/>
      </c>
      <c r="Z2413" s="34">
        <f>IF(OR($A2413="",$H2413&lt;&gt;"Ausgabe",L2413=""),0,IF(L2413="x",-$E2413/(COUNTIF($J2413:$Q2413,"x")+1),-$E2413*N(L2413)))</f>
        <v/>
      </c>
      <c r="AA2413" s="34">
        <f>IF(OR($A2413="",$H2413&lt;&gt;"Ausgabe",M2413=""),0,IF(M2413="x",-$E2413/(COUNTIF($J2413:$Q2413,"x")+1),-$E2413*N(M2413)))</f>
        <v/>
      </c>
      <c r="AB2413" s="34">
        <f>IF(OR($A2413="",$H2413&lt;&gt;"Ausgabe",N2413=""),0,IF(N2413="x",-$E2413/(COUNTIF($J2413:$Q2413,"x")+1),-$E2413*N(N2413)))</f>
        <v/>
      </c>
      <c r="AC2413" s="34">
        <f>IF(OR($A2413="",$H2413&lt;&gt;"Ausgabe",O2413=""),0,IF(O2413="x",-$E2413/(COUNTIF($J2413:$Q2413,"x")+1),-$E2413*N(O2413)))</f>
        <v/>
      </c>
      <c r="AD2413" s="34">
        <f>IF(OR($A2413="",$H2413&lt;&gt;"Ausgabe",P2413=""),0,IF(P2413="x",-$E2413/(COUNTIF($J2413:$Q2413,"x")+1),-$E2413*N(P2413)))</f>
        <v/>
      </c>
      <c r="AE2413" s="34">
        <f>IF(OR($A2413="",$H2413&lt;&gt;"Ausgabe",Q2413=""),0,IF(Q2413="x",-$E2413/(COUNTIF($J2413:$Q2413,"x")+1),-$E2413*N(Q2413)))</f>
        <v/>
      </c>
    </row>
    <row r="2414">
      <c r="A2414" s="30" t="n"/>
      <c r="E2414" s="31" t="n"/>
      <c r="J2414" s="32" t="n"/>
      <c r="K2414" s="32" t="n"/>
      <c r="L2414" s="32" t="n"/>
      <c r="M2414" s="32" t="n"/>
      <c r="N2414" s="32" t="n"/>
      <c r="O2414" s="32" t="n"/>
      <c r="P2414" s="32" t="n"/>
      <c r="Q2414" s="32" t="n"/>
      <c r="U2414" s="31">
        <f>IF($A2414="","",SUM(X2414:AE2414))</f>
        <v/>
      </c>
      <c r="V2414" s="31">
        <f>IF($A2414="","",IF($H2414&lt;&gt;"Ausgabe",0,-$E2414-$U2414))</f>
        <v/>
      </c>
      <c r="W2414" s="33">
        <f>IF($A2414="","",DATE(YEAR($A2414),MONTH($A2414),1))</f>
        <v/>
      </c>
      <c r="X2414" s="34">
        <f>IF(OR($A2414="",$H2414&lt;&gt;"Ausgabe",J2414=""),0,IF(J2414="x",-$E2414/(COUNTIF($J2414:$Q2414,"x")+1),-$E2414*N(J2414)))</f>
        <v/>
      </c>
      <c r="Y2414" s="34">
        <f>IF(OR($A2414="",$H2414&lt;&gt;"Ausgabe",K2414=""),0,IF(K2414="x",-$E2414/(COUNTIF($J2414:$Q2414,"x")+1),-$E2414*N(K2414)))</f>
        <v/>
      </c>
      <c r="Z2414" s="34">
        <f>IF(OR($A2414="",$H2414&lt;&gt;"Ausgabe",L2414=""),0,IF(L2414="x",-$E2414/(COUNTIF($J2414:$Q2414,"x")+1),-$E2414*N(L2414)))</f>
        <v/>
      </c>
      <c r="AA2414" s="34">
        <f>IF(OR($A2414="",$H2414&lt;&gt;"Ausgabe",M2414=""),0,IF(M2414="x",-$E2414/(COUNTIF($J2414:$Q2414,"x")+1),-$E2414*N(M2414)))</f>
        <v/>
      </c>
      <c r="AB2414" s="34">
        <f>IF(OR($A2414="",$H2414&lt;&gt;"Ausgabe",N2414=""),0,IF(N2414="x",-$E2414/(COUNTIF($J2414:$Q2414,"x")+1),-$E2414*N(N2414)))</f>
        <v/>
      </c>
      <c r="AC2414" s="34">
        <f>IF(OR($A2414="",$H2414&lt;&gt;"Ausgabe",O2414=""),0,IF(O2414="x",-$E2414/(COUNTIF($J2414:$Q2414,"x")+1),-$E2414*N(O2414)))</f>
        <v/>
      </c>
      <c r="AD2414" s="34">
        <f>IF(OR($A2414="",$H2414&lt;&gt;"Ausgabe",P2414=""),0,IF(P2414="x",-$E2414/(COUNTIF($J2414:$Q2414,"x")+1),-$E2414*N(P2414)))</f>
        <v/>
      </c>
      <c r="AE2414" s="34">
        <f>IF(OR($A2414="",$H2414&lt;&gt;"Ausgabe",Q2414=""),0,IF(Q2414="x",-$E2414/(COUNTIF($J2414:$Q2414,"x")+1),-$E2414*N(Q2414)))</f>
        <v/>
      </c>
    </row>
    <row r="2415">
      <c r="A2415" s="30" t="n"/>
      <c r="E2415" s="31" t="n"/>
      <c r="J2415" s="32" t="n"/>
      <c r="K2415" s="32" t="n"/>
      <c r="L2415" s="32" t="n"/>
      <c r="M2415" s="32" t="n"/>
      <c r="N2415" s="32" t="n"/>
      <c r="O2415" s="32" t="n"/>
      <c r="P2415" s="32" t="n"/>
      <c r="Q2415" s="32" t="n"/>
      <c r="U2415" s="31">
        <f>IF($A2415="","",SUM(X2415:AE2415))</f>
        <v/>
      </c>
      <c r="V2415" s="31">
        <f>IF($A2415="","",IF($H2415&lt;&gt;"Ausgabe",0,-$E2415-$U2415))</f>
        <v/>
      </c>
      <c r="W2415" s="33">
        <f>IF($A2415="","",DATE(YEAR($A2415),MONTH($A2415),1))</f>
        <v/>
      </c>
      <c r="X2415" s="34">
        <f>IF(OR($A2415="",$H2415&lt;&gt;"Ausgabe",J2415=""),0,IF(J2415="x",-$E2415/(COUNTIF($J2415:$Q2415,"x")+1),-$E2415*N(J2415)))</f>
        <v/>
      </c>
      <c r="Y2415" s="34">
        <f>IF(OR($A2415="",$H2415&lt;&gt;"Ausgabe",K2415=""),0,IF(K2415="x",-$E2415/(COUNTIF($J2415:$Q2415,"x")+1),-$E2415*N(K2415)))</f>
        <v/>
      </c>
      <c r="Z2415" s="34">
        <f>IF(OR($A2415="",$H2415&lt;&gt;"Ausgabe",L2415=""),0,IF(L2415="x",-$E2415/(COUNTIF($J2415:$Q2415,"x")+1),-$E2415*N(L2415)))</f>
        <v/>
      </c>
      <c r="AA2415" s="34">
        <f>IF(OR($A2415="",$H2415&lt;&gt;"Ausgabe",M2415=""),0,IF(M2415="x",-$E2415/(COUNTIF($J2415:$Q2415,"x")+1),-$E2415*N(M2415)))</f>
        <v/>
      </c>
      <c r="AB2415" s="34">
        <f>IF(OR($A2415="",$H2415&lt;&gt;"Ausgabe",N2415=""),0,IF(N2415="x",-$E2415/(COUNTIF($J2415:$Q2415,"x")+1),-$E2415*N(N2415)))</f>
        <v/>
      </c>
      <c r="AC2415" s="34">
        <f>IF(OR($A2415="",$H2415&lt;&gt;"Ausgabe",O2415=""),0,IF(O2415="x",-$E2415/(COUNTIF($J2415:$Q2415,"x")+1),-$E2415*N(O2415)))</f>
        <v/>
      </c>
      <c r="AD2415" s="34">
        <f>IF(OR($A2415="",$H2415&lt;&gt;"Ausgabe",P2415=""),0,IF(P2415="x",-$E2415/(COUNTIF($J2415:$Q2415,"x")+1),-$E2415*N(P2415)))</f>
        <v/>
      </c>
      <c r="AE2415" s="34">
        <f>IF(OR($A2415="",$H2415&lt;&gt;"Ausgabe",Q2415=""),0,IF(Q2415="x",-$E2415/(COUNTIF($J2415:$Q2415,"x")+1),-$E2415*N(Q2415)))</f>
        <v/>
      </c>
    </row>
    <row r="2416">
      <c r="A2416" s="30" t="n"/>
      <c r="E2416" s="31" t="n"/>
      <c r="J2416" s="32" t="n"/>
      <c r="K2416" s="32" t="n"/>
      <c r="L2416" s="32" t="n"/>
      <c r="M2416" s="32" t="n"/>
      <c r="N2416" s="32" t="n"/>
      <c r="O2416" s="32" t="n"/>
      <c r="P2416" s="32" t="n"/>
      <c r="Q2416" s="32" t="n"/>
      <c r="U2416" s="31">
        <f>IF($A2416="","",SUM(X2416:AE2416))</f>
        <v/>
      </c>
      <c r="V2416" s="31">
        <f>IF($A2416="","",IF($H2416&lt;&gt;"Ausgabe",0,-$E2416-$U2416))</f>
        <v/>
      </c>
      <c r="W2416" s="33">
        <f>IF($A2416="","",DATE(YEAR($A2416),MONTH($A2416),1))</f>
        <v/>
      </c>
      <c r="X2416" s="34">
        <f>IF(OR($A2416="",$H2416&lt;&gt;"Ausgabe",J2416=""),0,IF(J2416="x",-$E2416/(COUNTIF($J2416:$Q2416,"x")+1),-$E2416*N(J2416)))</f>
        <v/>
      </c>
      <c r="Y2416" s="34">
        <f>IF(OR($A2416="",$H2416&lt;&gt;"Ausgabe",K2416=""),0,IF(K2416="x",-$E2416/(COUNTIF($J2416:$Q2416,"x")+1),-$E2416*N(K2416)))</f>
        <v/>
      </c>
      <c r="Z2416" s="34">
        <f>IF(OR($A2416="",$H2416&lt;&gt;"Ausgabe",L2416=""),0,IF(L2416="x",-$E2416/(COUNTIF($J2416:$Q2416,"x")+1),-$E2416*N(L2416)))</f>
        <v/>
      </c>
      <c r="AA2416" s="34">
        <f>IF(OR($A2416="",$H2416&lt;&gt;"Ausgabe",M2416=""),0,IF(M2416="x",-$E2416/(COUNTIF($J2416:$Q2416,"x")+1),-$E2416*N(M2416)))</f>
        <v/>
      </c>
      <c r="AB2416" s="34">
        <f>IF(OR($A2416="",$H2416&lt;&gt;"Ausgabe",N2416=""),0,IF(N2416="x",-$E2416/(COUNTIF($J2416:$Q2416,"x")+1),-$E2416*N(N2416)))</f>
        <v/>
      </c>
      <c r="AC2416" s="34">
        <f>IF(OR($A2416="",$H2416&lt;&gt;"Ausgabe",O2416=""),0,IF(O2416="x",-$E2416/(COUNTIF($J2416:$Q2416,"x")+1),-$E2416*N(O2416)))</f>
        <v/>
      </c>
      <c r="AD2416" s="34">
        <f>IF(OR($A2416="",$H2416&lt;&gt;"Ausgabe",P2416=""),0,IF(P2416="x",-$E2416/(COUNTIF($J2416:$Q2416,"x")+1),-$E2416*N(P2416)))</f>
        <v/>
      </c>
      <c r="AE2416" s="34">
        <f>IF(OR($A2416="",$H2416&lt;&gt;"Ausgabe",Q2416=""),0,IF(Q2416="x",-$E2416/(COUNTIF($J2416:$Q2416,"x")+1),-$E2416*N(Q2416)))</f>
        <v/>
      </c>
    </row>
    <row r="2417">
      <c r="A2417" s="30" t="n"/>
      <c r="E2417" s="31" t="n"/>
      <c r="J2417" s="32" t="n"/>
      <c r="K2417" s="32" t="n"/>
      <c r="L2417" s="32" t="n"/>
      <c r="M2417" s="32" t="n"/>
      <c r="N2417" s="32" t="n"/>
      <c r="O2417" s="32" t="n"/>
      <c r="P2417" s="32" t="n"/>
      <c r="Q2417" s="32" t="n"/>
      <c r="U2417" s="31">
        <f>IF($A2417="","",SUM(X2417:AE2417))</f>
        <v/>
      </c>
      <c r="V2417" s="31">
        <f>IF($A2417="","",IF($H2417&lt;&gt;"Ausgabe",0,-$E2417-$U2417))</f>
        <v/>
      </c>
      <c r="W2417" s="33">
        <f>IF($A2417="","",DATE(YEAR($A2417),MONTH($A2417),1))</f>
        <v/>
      </c>
      <c r="X2417" s="34">
        <f>IF(OR($A2417="",$H2417&lt;&gt;"Ausgabe",J2417=""),0,IF(J2417="x",-$E2417/(COUNTIF($J2417:$Q2417,"x")+1),-$E2417*N(J2417)))</f>
        <v/>
      </c>
      <c r="Y2417" s="34">
        <f>IF(OR($A2417="",$H2417&lt;&gt;"Ausgabe",K2417=""),0,IF(K2417="x",-$E2417/(COUNTIF($J2417:$Q2417,"x")+1),-$E2417*N(K2417)))</f>
        <v/>
      </c>
      <c r="Z2417" s="34">
        <f>IF(OR($A2417="",$H2417&lt;&gt;"Ausgabe",L2417=""),0,IF(L2417="x",-$E2417/(COUNTIF($J2417:$Q2417,"x")+1),-$E2417*N(L2417)))</f>
        <v/>
      </c>
      <c r="AA2417" s="34">
        <f>IF(OR($A2417="",$H2417&lt;&gt;"Ausgabe",M2417=""),0,IF(M2417="x",-$E2417/(COUNTIF($J2417:$Q2417,"x")+1),-$E2417*N(M2417)))</f>
        <v/>
      </c>
      <c r="AB2417" s="34">
        <f>IF(OR($A2417="",$H2417&lt;&gt;"Ausgabe",N2417=""),0,IF(N2417="x",-$E2417/(COUNTIF($J2417:$Q2417,"x")+1),-$E2417*N(N2417)))</f>
        <v/>
      </c>
      <c r="AC2417" s="34">
        <f>IF(OR($A2417="",$H2417&lt;&gt;"Ausgabe",O2417=""),0,IF(O2417="x",-$E2417/(COUNTIF($J2417:$Q2417,"x")+1),-$E2417*N(O2417)))</f>
        <v/>
      </c>
      <c r="AD2417" s="34">
        <f>IF(OR($A2417="",$H2417&lt;&gt;"Ausgabe",P2417=""),0,IF(P2417="x",-$E2417/(COUNTIF($J2417:$Q2417,"x")+1),-$E2417*N(P2417)))</f>
        <v/>
      </c>
      <c r="AE2417" s="34">
        <f>IF(OR($A2417="",$H2417&lt;&gt;"Ausgabe",Q2417=""),0,IF(Q2417="x",-$E2417/(COUNTIF($J2417:$Q2417,"x")+1),-$E2417*N(Q2417)))</f>
        <v/>
      </c>
    </row>
    <row r="2418">
      <c r="A2418" s="30" t="n"/>
      <c r="E2418" s="31" t="n"/>
      <c r="J2418" s="32" t="n"/>
      <c r="K2418" s="32" t="n"/>
      <c r="L2418" s="32" t="n"/>
      <c r="M2418" s="32" t="n"/>
      <c r="N2418" s="32" t="n"/>
      <c r="O2418" s="32" t="n"/>
      <c r="P2418" s="32" t="n"/>
      <c r="Q2418" s="32" t="n"/>
      <c r="U2418" s="31">
        <f>IF($A2418="","",SUM(X2418:AE2418))</f>
        <v/>
      </c>
      <c r="V2418" s="31">
        <f>IF($A2418="","",IF($H2418&lt;&gt;"Ausgabe",0,-$E2418-$U2418))</f>
        <v/>
      </c>
      <c r="W2418" s="33">
        <f>IF($A2418="","",DATE(YEAR($A2418),MONTH($A2418),1))</f>
        <v/>
      </c>
      <c r="X2418" s="34">
        <f>IF(OR($A2418="",$H2418&lt;&gt;"Ausgabe",J2418=""),0,IF(J2418="x",-$E2418/(COUNTIF($J2418:$Q2418,"x")+1),-$E2418*N(J2418)))</f>
        <v/>
      </c>
      <c r="Y2418" s="34">
        <f>IF(OR($A2418="",$H2418&lt;&gt;"Ausgabe",K2418=""),0,IF(K2418="x",-$E2418/(COUNTIF($J2418:$Q2418,"x")+1),-$E2418*N(K2418)))</f>
        <v/>
      </c>
      <c r="Z2418" s="34">
        <f>IF(OR($A2418="",$H2418&lt;&gt;"Ausgabe",L2418=""),0,IF(L2418="x",-$E2418/(COUNTIF($J2418:$Q2418,"x")+1),-$E2418*N(L2418)))</f>
        <v/>
      </c>
      <c r="AA2418" s="34">
        <f>IF(OR($A2418="",$H2418&lt;&gt;"Ausgabe",M2418=""),0,IF(M2418="x",-$E2418/(COUNTIF($J2418:$Q2418,"x")+1),-$E2418*N(M2418)))</f>
        <v/>
      </c>
      <c r="AB2418" s="34">
        <f>IF(OR($A2418="",$H2418&lt;&gt;"Ausgabe",N2418=""),0,IF(N2418="x",-$E2418/(COUNTIF($J2418:$Q2418,"x")+1),-$E2418*N(N2418)))</f>
        <v/>
      </c>
      <c r="AC2418" s="34">
        <f>IF(OR($A2418="",$H2418&lt;&gt;"Ausgabe",O2418=""),0,IF(O2418="x",-$E2418/(COUNTIF($J2418:$Q2418,"x")+1),-$E2418*N(O2418)))</f>
        <v/>
      </c>
      <c r="AD2418" s="34">
        <f>IF(OR($A2418="",$H2418&lt;&gt;"Ausgabe",P2418=""),0,IF(P2418="x",-$E2418/(COUNTIF($J2418:$Q2418,"x")+1),-$E2418*N(P2418)))</f>
        <v/>
      </c>
      <c r="AE2418" s="34">
        <f>IF(OR($A2418="",$H2418&lt;&gt;"Ausgabe",Q2418=""),0,IF(Q2418="x",-$E2418/(COUNTIF($J2418:$Q2418,"x")+1),-$E2418*N(Q2418)))</f>
        <v/>
      </c>
    </row>
    <row r="2419">
      <c r="A2419" s="30" t="n"/>
      <c r="E2419" s="31" t="n"/>
      <c r="J2419" s="32" t="n"/>
      <c r="K2419" s="32" t="n"/>
      <c r="L2419" s="32" t="n"/>
      <c r="M2419" s="32" t="n"/>
      <c r="N2419" s="32" t="n"/>
      <c r="O2419" s="32" t="n"/>
      <c r="P2419" s="32" t="n"/>
      <c r="Q2419" s="32" t="n"/>
      <c r="U2419" s="31">
        <f>IF($A2419="","",SUM(X2419:AE2419))</f>
        <v/>
      </c>
      <c r="V2419" s="31">
        <f>IF($A2419="","",IF($H2419&lt;&gt;"Ausgabe",0,-$E2419-$U2419))</f>
        <v/>
      </c>
      <c r="W2419" s="33">
        <f>IF($A2419="","",DATE(YEAR($A2419),MONTH($A2419),1))</f>
        <v/>
      </c>
      <c r="X2419" s="34">
        <f>IF(OR($A2419="",$H2419&lt;&gt;"Ausgabe",J2419=""),0,IF(J2419="x",-$E2419/(COUNTIF($J2419:$Q2419,"x")+1),-$E2419*N(J2419)))</f>
        <v/>
      </c>
      <c r="Y2419" s="34">
        <f>IF(OR($A2419="",$H2419&lt;&gt;"Ausgabe",K2419=""),0,IF(K2419="x",-$E2419/(COUNTIF($J2419:$Q2419,"x")+1),-$E2419*N(K2419)))</f>
        <v/>
      </c>
      <c r="Z2419" s="34">
        <f>IF(OR($A2419="",$H2419&lt;&gt;"Ausgabe",L2419=""),0,IF(L2419="x",-$E2419/(COUNTIF($J2419:$Q2419,"x")+1),-$E2419*N(L2419)))</f>
        <v/>
      </c>
      <c r="AA2419" s="34">
        <f>IF(OR($A2419="",$H2419&lt;&gt;"Ausgabe",M2419=""),0,IF(M2419="x",-$E2419/(COUNTIF($J2419:$Q2419,"x")+1),-$E2419*N(M2419)))</f>
        <v/>
      </c>
      <c r="AB2419" s="34">
        <f>IF(OR($A2419="",$H2419&lt;&gt;"Ausgabe",N2419=""),0,IF(N2419="x",-$E2419/(COUNTIF($J2419:$Q2419,"x")+1),-$E2419*N(N2419)))</f>
        <v/>
      </c>
      <c r="AC2419" s="34">
        <f>IF(OR($A2419="",$H2419&lt;&gt;"Ausgabe",O2419=""),0,IF(O2419="x",-$E2419/(COUNTIF($J2419:$Q2419,"x")+1),-$E2419*N(O2419)))</f>
        <v/>
      </c>
      <c r="AD2419" s="34">
        <f>IF(OR($A2419="",$H2419&lt;&gt;"Ausgabe",P2419=""),0,IF(P2419="x",-$E2419/(COUNTIF($J2419:$Q2419,"x")+1),-$E2419*N(P2419)))</f>
        <v/>
      </c>
      <c r="AE2419" s="34">
        <f>IF(OR($A2419="",$H2419&lt;&gt;"Ausgabe",Q2419=""),0,IF(Q2419="x",-$E2419/(COUNTIF($J2419:$Q2419,"x")+1),-$E2419*N(Q2419)))</f>
        <v/>
      </c>
    </row>
    <row r="2420">
      <c r="A2420" s="30" t="n"/>
      <c r="E2420" s="31" t="n"/>
      <c r="J2420" s="32" t="n"/>
      <c r="K2420" s="32" t="n"/>
      <c r="L2420" s="32" t="n"/>
      <c r="M2420" s="32" t="n"/>
      <c r="N2420" s="32" t="n"/>
      <c r="O2420" s="32" t="n"/>
      <c r="P2420" s="32" t="n"/>
      <c r="Q2420" s="32" t="n"/>
      <c r="U2420" s="31">
        <f>IF($A2420="","",SUM(X2420:AE2420))</f>
        <v/>
      </c>
      <c r="V2420" s="31">
        <f>IF($A2420="","",IF($H2420&lt;&gt;"Ausgabe",0,-$E2420-$U2420))</f>
        <v/>
      </c>
      <c r="W2420" s="33">
        <f>IF($A2420="","",DATE(YEAR($A2420),MONTH($A2420),1))</f>
        <v/>
      </c>
      <c r="X2420" s="34">
        <f>IF(OR($A2420="",$H2420&lt;&gt;"Ausgabe",J2420=""),0,IF(J2420="x",-$E2420/(COUNTIF($J2420:$Q2420,"x")+1),-$E2420*N(J2420)))</f>
        <v/>
      </c>
      <c r="Y2420" s="34">
        <f>IF(OR($A2420="",$H2420&lt;&gt;"Ausgabe",K2420=""),0,IF(K2420="x",-$E2420/(COUNTIF($J2420:$Q2420,"x")+1),-$E2420*N(K2420)))</f>
        <v/>
      </c>
      <c r="Z2420" s="34">
        <f>IF(OR($A2420="",$H2420&lt;&gt;"Ausgabe",L2420=""),0,IF(L2420="x",-$E2420/(COUNTIF($J2420:$Q2420,"x")+1),-$E2420*N(L2420)))</f>
        <v/>
      </c>
      <c r="AA2420" s="34">
        <f>IF(OR($A2420="",$H2420&lt;&gt;"Ausgabe",M2420=""),0,IF(M2420="x",-$E2420/(COUNTIF($J2420:$Q2420,"x")+1),-$E2420*N(M2420)))</f>
        <v/>
      </c>
      <c r="AB2420" s="34">
        <f>IF(OR($A2420="",$H2420&lt;&gt;"Ausgabe",N2420=""),0,IF(N2420="x",-$E2420/(COUNTIF($J2420:$Q2420,"x")+1),-$E2420*N(N2420)))</f>
        <v/>
      </c>
      <c r="AC2420" s="34">
        <f>IF(OR($A2420="",$H2420&lt;&gt;"Ausgabe",O2420=""),0,IF(O2420="x",-$E2420/(COUNTIF($J2420:$Q2420,"x")+1),-$E2420*N(O2420)))</f>
        <v/>
      </c>
      <c r="AD2420" s="34">
        <f>IF(OR($A2420="",$H2420&lt;&gt;"Ausgabe",P2420=""),0,IF(P2420="x",-$E2420/(COUNTIF($J2420:$Q2420,"x")+1),-$E2420*N(P2420)))</f>
        <v/>
      </c>
      <c r="AE2420" s="34">
        <f>IF(OR($A2420="",$H2420&lt;&gt;"Ausgabe",Q2420=""),0,IF(Q2420="x",-$E2420/(COUNTIF($J2420:$Q2420,"x")+1),-$E2420*N(Q2420)))</f>
        <v/>
      </c>
    </row>
    <row r="2421">
      <c r="A2421" s="30" t="n"/>
      <c r="E2421" s="31" t="n"/>
      <c r="J2421" s="32" t="n"/>
      <c r="K2421" s="32" t="n"/>
      <c r="L2421" s="32" t="n"/>
      <c r="M2421" s="32" t="n"/>
      <c r="N2421" s="32" t="n"/>
      <c r="O2421" s="32" t="n"/>
      <c r="P2421" s="32" t="n"/>
      <c r="Q2421" s="32" t="n"/>
      <c r="U2421" s="31">
        <f>IF($A2421="","",SUM(X2421:AE2421))</f>
        <v/>
      </c>
      <c r="V2421" s="31">
        <f>IF($A2421="","",IF($H2421&lt;&gt;"Ausgabe",0,-$E2421-$U2421))</f>
        <v/>
      </c>
      <c r="W2421" s="33">
        <f>IF($A2421="","",DATE(YEAR($A2421),MONTH($A2421),1))</f>
        <v/>
      </c>
      <c r="X2421" s="34">
        <f>IF(OR($A2421="",$H2421&lt;&gt;"Ausgabe",J2421=""),0,IF(J2421="x",-$E2421/(COUNTIF($J2421:$Q2421,"x")+1),-$E2421*N(J2421)))</f>
        <v/>
      </c>
      <c r="Y2421" s="34">
        <f>IF(OR($A2421="",$H2421&lt;&gt;"Ausgabe",K2421=""),0,IF(K2421="x",-$E2421/(COUNTIF($J2421:$Q2421,"x")+1),-$E2421*N(K2421)))</f>
        <v/>
      </c>
      <c r="Z2421" s="34">
        <f>IF(OR($A2421="",$H2421&lt;&gt;"Ausgabe",L2421=""),0,IF(L2421="x",-$E2421/(COUNTIF($J2421:$Q2421,"x")+1),-$E2421*N(L2421)))</f>
        <v/>
      </c>
      <c r="AA2421" s="34">
        <f>IF(OR($A2421="",$H2421&lt;&gt;"Ausgabe",M2421=""),0,IF(M2421="x",-$E2421/(COUNTIF($J2421:$Q2421,"x")+1),-$E2421*N(M2421)))</f>
        <v/>
      </c>
      <c r="AB2421" s="34">
        <f>IF(OR($A2421="",$H2421&lt;&gt;"Ausgabe",N2421=""),0,IF(N2421="x",-$E2421/(COUNTIF($J2421:$Q2421,"x")+1),-$E2421*N(N2421)))</f>
        <v/>
      </c>
      <c r="AC2421" s="34">
        <f>IF(OR($A2421="",$H2421&lt;&gt;"Ausgabe",O2421=""),0,IF(O2421="x",-$E2421/(COUNTIF($J2421:$Q2421,"x")+1),-$E2421*N(O2421)))</f>
        <v/>
      </c>
      <c r="AD2421" s="34">
        <f>IF(OR($A2421="",$H2421&lt;&gt;"Ausgabe",P2421=""),0,IF(P2421="x",-$E2421/(COUNTIF($J2421:$Q2421,"x")+1),-$E2421*N(P2421)))</f>
        <v/>
      </c>
      <c r="AE2421" s="34">
        <f>IF(OR($A2421="",$H2421&lt;&gt;"Ausgabe",Q2421=""),0,IF(Q2421="x",-$E2421/(COUNTIF($J2421:$Q2421,"x")+1),-$E2421*N(Q2421)))</f>
        <v/>
      </c>
    </row>
    <row r="2422">
      <c r="A2422" s="30" t="n"/>
      <c r="E2422" s="31" t="n"/>
      <c r="J2422" s="32" t="n"/>
      <c r="K2422" s="32" t="n"/>
      <c r="L2422" s="32" t="n"/>
      <c r="M2422" s="32" t="n"/>
      <c r="N2422" s="32" t="n"/>
      <c r="O2422" s="32" t="n"/>
      <c r="P2422" s="32" t="n"/>
      <c r="Q2422" s="32" t="n"/>
      <c r="U2422" s="31">
        <f>IF($A2422="","",SUM(X2422:AE2422))</f>
        <v/>
      </c>
      <c r="V2422" s="31">
        <f>IF($A2422="","",IF($H2422&lt;&gt;"Ausgabe",0,-$E2422-$U2422))</f>
        <v/>
      </c>
      <c r="W2422" s="33">
        <f>IF($A2422="","",DATE(YEAR($A2422),MONTH($A2422),1))</f>
        <v/>
      </c>
      <c r="X2422" s="34">
        <f>IF(OR($A2422="",$H2422&lt;&gt;"Ausgabe",J2422=""),0,IF(J2422="x",-$E2422/(COUNTIF($J2422:$Q2422,"x")+1),-$E2422*N(J2422)))</f>
        <v/>
      </c>
      <c r="Y2422" s="34">
        <f>IF(OR($A2422="",$H2422&lt;&gt;"Ausgabe",K2422=""),0,IF(K2422="x",-$E2422/(COUNTIF($J2422:$Q2422,"x")+1),-$E2422*N(K2422)))</f>
        <v/>
      </c>
      <c r="Z2422" s="34">
        <f>IF(OR($A2422="",$H2422&lt;&gt;"Ausgabe",L2422=""),0,IF(L2422="x",-$E2422/(COUNTIF($J2422:$Q2422,"x")+1),-$E2422*N(L2422)))</f>
        <v/>
      </c>
      <c r="AA2422" s="34">
        <f>IF(OR($A2422="",$H2422&lt;&gt;"Ausgabe",M2422=""),0,IF(M2422="x",-$E2422/(COUNTIF($J2422:$Q2422,"x")+1),-$E2422*N(M2422)))</f>
        <v/>
      </c>
      <c r="AB2422" s="34">
        <f>IF(OR($A2422="",$H2422&lt;&gt;"Ausgabe",N2422=""),0,IF(N2422="x",-$E2422/(COUNTIF($J2422:$Q2422,"x")+1),-$E2422*N(N2422)))</f>
        <v/>
      </c>
      <c r="AC2422" s="34">
        <f>IF(OR($A2422="",$H2422&lt;&gt;"Ausgabe",O2422=""),0,IF(O2422="x",-$E2422/(COUNTIF($J2422:$Q2422,"x")+1),-$E2422*N(O2422)))</f>
        <v/>
      </c>
      <c r="AD2422" s="34">
        <f>IF(OR($A2422="",$H2422&lt;&gt;"Ausgabe",P2422=""),0,IF(P2422="x",-$E2422/(COUNTIF($J2422:$Q2422,"x")+1),-$E2422*N(P2422)))</f>
        <v/>
      </c>
      <c r="AE2422" s="34">
        <f>IF(OR($A2422="",$H2422&lt;&gt;"Ausgabe",Q2422=""),0,IF(Q2422="x",-$E2422/(COUNTIF($J2422:$Q2422,"x")+1),-$E2422*N(Q2422)))</f>
        <v/>
      </c>
    </row>
    <row r="2423">
      <c r="A2423" s="30" t="n"/>
      <c r="E2423" s="31" t="n"/>
      <c r="J2423" s="32" t="n"/>
      <c r="K2423" s="32" t="n"/>
      <c r="L2423" s="32" t="n"/>
      <c r="M2423" s="32" t="n"/>
      <c r="N2423" s="32" t="n"/>
      <c r="O2423" s="32" t="n"/>
      <c r="P2423" s="32" t="n"/>
      <c r="Q2423" s="32" t="n"/>
      <c r="U2423" s="31">
        <f>IF($A2423="","",SUM(X2423:AE2423))</f>
        <v/>
      </c>
      <c r="V2423" s="31">
        <f>IF($A2423="","",IF($H2423&lt;&gt;"Ausgabe",0,-$E2423-$U2423))</f>
        <v/>
      </c>
      <c r="W2423" s="33">
        <f>IF($A2423="","",DATE(YEAR($A2423),MONTH($A2423),1))</f>
        <v/>
      </c>
      <c r="X2423" s="34">
        <f>IF(OR($A2423="",$H2423&lt;&gt;"Ausgabe",J2423=""),0,IF(J2423="x",-$E2423/(COUNTIF($J2423:$Q2423,"x")+1),-$E2423*N(J2423)))</f>
        <v/>
      </c>
      <c r="Y2423" s="34">
        <f>IF(OR($A2423="",$H2423&lt;&gt;"Ausgabe",K2423=""),0,IF(K2423="x",-$E2423/(COUNTIF($J2423:$Q2423,"x")+1),-$E2423*N(K2423)))</f>
        <v/>
      </c>
      <c r="Z2423" s="34">
        <f>IF(OR($A2423="",$H2423&lt;&gt;"Ausgabe",L2423=""),0,IF(L2423="x",-$E2423/(COUNTIF($J2423:$Q2423,"x")+1),-$E2423*N(L2423)))</f>
        <v/>
      </c>
      <c r="AA2423" s="34">
        <f>IF(OR($A2423="",$H2423&lt;&gt;"Ausgabe",M2423=""),0,IF(M2423="x",-$E2423/(COUNTIF($J2423:$Q2423,"x")+1),-$E2423*N(M2423)))</f>
        <v/>
      </c>
      <c r="AB2423" s="34">
        <f>IF(OR($A2423="",$H2423&lt;&gt;"Ausgabe",N2423=""),0,IF(N2423="x",-$E2423/(COUNTIF($J2423:$Q2423,"x")+1),-$E2423*N(N2423)))</f>
        <v/>
      </c>
      <c r="AC2423" s="34">
        <f>IF(OR($A2423="",$H2423&lt;&gt;"Ausgabe",O2423=""),0,IF(O2423="x",-$E2423/(COUNTIF($J2423:$Q2423,"x")+1),-$E2423*N(O2423)))</f>
        <v/>
      </c>
      <c r="AD2423" s="34">
        <f>IF(OR($A2423="",$H2423&lt;&gt;"Ausgabe",P2423=""),0,IF(P2423="x",-$E2423/(COUNTIF($J2423:$Q2423,"x")+1),-$E2423*N(P2423)))</f>
        <v/>
      </c>
      <c r="AE2423" s="34">
        <f>IF(OR($A2423="",$H2423&lt;&gt;"Ausgabe",Q2423=""),0,IF(Q2423="x",-$E2423/(COUNTIF($J2423:$Q2423,"x")+1),-$E2423*N(Q2423)))</f>
        <v/>
      </c>
    </row>
    <row r="2424">
      <c r="A2424" s="30" t="n"/>
      <c r="E2424" s="31" t="n"/>
      <c r="J2424" s="32" t="n"/>
      <c r="K2424" s="32" t="n"/>
      <c r="L2424" s="32" t="n"/>
      <c r="M2424" s="32" t="n"/>
      <c r="N2424" s="32" t="n"/>
      <c r="O2424" s="32" t="n"/>
      <c r="P2424" s="32" t="n"/>
      <c r="Q2424" s="32" t="n"/>
      <c r="U2424" s="31">
        <f>IF($A2424="","",SUM(X2424:AE2424))</f>
        <v/>
      </c>
      <c r="V2424" s="31">
        <f>IF($A2424="","",IF($H2424&lt;&gt;"Ausgabe",0,-$E2424-$U2424))</f>
        <v/>
      </c>
      <c r="W2424" s="33">
        <f>IF($A2424="","",DATE(YEAR($A2424),MONTH($A2424),1))</f>
        <v/>
      </c>
      <c r="X2424" s="34">
        <f>IF(OR($A2424="",$H2424&lt;&gt;"Ausgabe",J2424=""),0,IF(J2424="x",-$E2424/(COUNTIF($J2424:$Q2424,"x")+1),-$E2424*N(J2424)))</f>
        <v/>
      </c>
      <c r="Y2424" s="34">
        <f>IF(OR($A2424="",$H2424&lt;&gt;"Ausgabe",K2424=""),0,IF(K2424="x",-$E2424/(COUNTIF($J2424:$Q2424,"x")+1),-$E2424*N(K2424)))</f>
        <v/>
      </c>
      <c r="Z2424" s="34">
        <f>IF(OR($A2424="",$H2424&lt;&gt;"Ausgabe",L2424=""),0,IF(L2424="x",-$E2424/(COUNTIF($J2424:$Q2424,"x")+1),-$E2424*N(L2424)))</f>
        <v/>
      </c>
      <c r="AA2424" s="34">
        <f>IF(OR($A2424="",$H2424&lt;&gt;"Ausgabe",M2424=""),0,IF(M2424="x",-$E2424/(COUNTIF($J2424:$Q2424,"x")+1),-$E2424*N(M2424)))</f>
        <v/>
      </c>
      <c r="AB2424" s="34">
        <f>IF(OR($A2424="",$H2424&lt;&gt;"Ausgabe",N2424=""),0,IF(N2424="x",-$E2424/(COUNTIF($J2424:$Q2424,"x")+1),-$E2424*N(N2424)))</f>
        <v/>
      </c>
      <c r="AC2424" s="34">
        <f>IF(OR($A2424="",$H2424&lt;&gt;"Ausgabe",O2424=""),0,IF(O2424="x",-$E2424/(COUNTIF($J2424:$Q2424,"x")+1),-$E2424*N(O2424)))</f>
        <v/>
      </c>
      <c r="AD2424" s="34">
        <f>IF(OR($A2424="",$H2424&lt;&gt;"Ausgabe",P2424=""),0,IF(P2424="x",-$E2424/(COUNTIF($J2424:$Q2424,"x")+1),-$E2424*N(P2424)))</f>
        <v/>
      </c>
      <c r="AE2424" s="34">
        <f>IF(OR($A2424="",$H2424&lt;&gt;"Ausgabe",Q2424=""),0,IF(Q2424="x",-$E2424/(COUNTIF($J2424:$Q2424,"x")+1),-$E2424*N(Q2424)))</f>
        <v/>
      </c>
    </row>
    <row r="2425">
      <c r="A2425" s="30" t="n"/>
      <c r="E2425" s="31" t="n"/>
      <c r="J2425" s="32" t="n"/>
      <c r="K2425" s="32" t="n"/>
      <c r="L2425" s="32" t="n"/>
      <c r="M2425" s="32" t="n"/>
      <c r="N2425" s="32" t="n"/>
      <c r="O2425" s="32" t="n"/>
      <c r="P2425" s="32" t="n"/>
      <c r="Q2425" s="32" t="n"/>
      <c r="U2425" s="31">
        <f>IF($A2425="","",SUM(X2425:AE2425))</f>
        <v/>
      </c>
      <c r="V2425" s="31">
        <f>IF($A2425="","",IF($H2425&lt;&gt;"Ausgabe",0,-$E2425-$U2425))</f>
        <v/>
      </c>
      <c r="W2425" s="33">
        <f>IF($A2425="","",DATE(YEAR($A2425),MONTH($A2425),1))</f>
        <v/>
      </c>
      <c r="X2425" s="34">
        <f>IF(OR($A2425="",$H2425&lt;&gt;"Ausgabe",J2425=""),0,IF(J2425="x",-$E2425/(COUNTIF($J2425:$Q2425,"x")+1),-$E2425*N(J2425)))</f>
        <v/>
      </c>
      <c r="Y2425" s="34">
        <f>IF(OR($A2425="",$H2425&lt;&gt;"Ausgabe",K2425=""),0,IF(K2425="x",-$E2425/(COUNTIF($J2425:$Q2425,"x")+1),-$E2425*N(K2425)))</f>
        <v/>
      </c>
      <c r="Z2425" s="34">
        <f>IF(OR($A2425="",$H2425&lt;&gt;"Ausgabe",L2425=""),0,IF(L2425="x",-$E2425/(COUNTIF($J2425:$Q2425,"x")+1),-$E2425*N(L2425)))</f>
        <v/>
      </c>
      <c r="AA2425" s="34">
        <f>IF(OR($A2425="",$H2425&lt;&gt;"Ausgabe",M2425=""),0,IF(M2425="x",-$E2425/(COUNTIF($J2425:$Q2425,"x")+1),-$E2425*N(M2425)))</f>
        <v/>
      </c>
      <c r="AB2425" s="34">
        <f>IF(OR($A2425="",$H2425&lt;&gt;"Ausgabe",N2425=""),0,IF(N2425="x",-$E2425/(COUNTIF($J2425:$Q2425,"x")+1),-$E2425*N(N2425)))</f>
        <v/>
      </c>
      <c r="AC2425" s="34">
        <f>IF(OR($A2425="",$H2425&lt;&gt;"Ausgabe",O2425=""),0,IF(O2425="x",-$E2425/(COUNTIF($J2425:$Q2425,"x")+1),-$E2425*N(O2425)))</f>
        <v/>
      </c>
      <c r="AD2425" s="34">
        <f>IF(OR($A2425="",$H2425&lt;&gt;"Ausgabe",P2425=""),0,IF(P2425="x",-$E2425/(COUNTIF($J2425:$Q2425,"x")+1),-$E2425*N(P2425)))</f>
        <v/>
      </c>
      <c r="AE2425" s="34">
        <f>IF(OR($A2425="",$H2425&lt;&gt;"Ausgabe",Q2425=""),0,IF(Q2425="x",-$E2425/(COUNTIF($J2425:$Q2425,"x")+1),-$E2425*N(Q2425)))</f>
        <v/>
      </c>
    </row>
    <row r="2426">
      <c r="A2426" s="30" t="n"/>
      <c r="E2426" s="31" t="n"/>
      <c r="J2426" s="32" t="n"/>
      <c r="K2426" s="32" t="n"/>
      <c r="L2426" s="32" t="n"/>
      <c r="M2426" s="32" t="n"/>
      <c r="N2426" s="32" t="n"/>
      <c r="O2426" s="32" t="n"/>
      <c r="P2426" s="32" t="n"/>
      <c r="Q2426" s="32" t="n"/>
      <c r="U2426" s="31">
        <f>IF($A2426="","",SUM(X2426:AE2426))</f>
        <v/>
      </c>
      <c r="V2426" s="31">
        <f>IF($A2426="","",IF($H2426&lt;&gt;"Ausgabe",0,-$E2426-$U2426))</f>
        <v/>
      </c>
      <c r="W2426" s="33">
        <f>IF($A2426="","",DATE(YEAR($A2426),MONTH($A2426),1))</f>
        <v/>
      </c>
      <c r="X2426" s="34">
        <f>IF(OR($A2426="",$H2426&lt;&gt;"Ausgabe",J2426=""),0,IF(J2426="x",-$E2426/(COUNTIF($J2426:$Q2426,"x")+1),-$E2426*N(J2426)))</f>
        <v/>
      </c>
      <c r="Y2426" s="34">
        <f>IF(OR($A2426="",$H2426&lt;&gt;"Ausgabe",K2426=""),0,IF(K2426="x",-$E2426/(COUNTIF($J2426:$Q2426,"x")+1),-$E2426*N(K2426)))</f>
        <v/>
      </c>
      <c r="Z2426" s="34">
        <f>IF(OR($A2426="",$H2426&lt;&gt;"Ausgabe",L2426=""),0,IF(L2426="x",-$E2426/(COUNTIF($J2426:$Q2426,"x")+1),-$E2426*N(L2426)))</f>
        <v/>
      </c>
      <c r="AA2426" s="34">
        <f>IF(OR($A2426="",$H2426&lt;&gt;"Ausgabe",M2426=""),0,IF(M2426="x",-$E2426/(COUNTIF($J2426:$Q2426,"x")+1),-$E2426*N(M2426)))</f>
        <v/>
      </c>
      <c r="AB2426" s="34">
        <f>IF(OR($A2426="",$H2426&lt;&gt;"Ausgabe",N2426=""),0,IF(N2426="x",-$E2426/(COUNTIF($J2426:$Q2426,"x")+1),-$E2426*N(N2426)))</f>
        <v/>
      </c>
      <c r="AC2426" s="34">
        <f>IF(OR($A2426="",$H2426&lt;&gt;"Ausgabe",O2426=""),0,IF(O2426="x",-$E2426/(COUNTIF($J2426:$Q2426,"x")+1),-$E2426*N(O2426)))</f>
        <v/>
      </c>
      <c r="AD2426" s="34">
        <f>IF(OR($A2426="",$H2426&lt;&gt;"Ausgabe",P2426=""),0,IF(P2426="x",-$E2426/(COUNTIF($J2426:$Q2426,"x")+1),-$E2426*N(P2426)))</f>
        <v/>
      </c>
      <c r="AE2426" s="34">
        <f>IF(OR($A2426="",$H2426&lt;&gt;"Ausgabe",Q2426=""),0,IF(Q2426="x",-$E2426/(COUNTIF($J2426:$Q2426,"x")+1),-$E2426*N(Q2426)))</f>
        <v/>
      </c>
    </row>
    <row r="2427">
      <c r="A2427" s="30" t="n"/>
      <c r="E2427" s="31" t="n"/>
      <c r="J2427" s="32" t="n"/>
      <c r="K2427" s="32" t="n"/>
      <c r="L2427" s="32" t="n"/>
      <c r="M2427" s="32" t="n"/>
      <c r="N2427" s="32" t="n"/>
      <c r="O2427" s="32" t="n"/>
      <c r="P2427" s="32" t="n"/>
      <c r="Q2427" s="32" t="n"/>
      <c r="U2427" s="31">
        <f>IF($A2427="","",SUM(X2427:AE2427))</f>
        <v/>
      </c>
      <c r="V2427" s="31">
        <f>IF($A2427="","",IF($H2427&lt;&gt;"Ausgabe",0,-$E2427-$U2427))</f>
        <v/>
      </c>
      <c r="W2427" s="33">
        <f>IF($A2427="","",DATE(YEAR($A2427),MONTH($A2427),1))</f>
        <v/>
      </c>
      <c r="X2427" s="34">
        <f>IF(OR($A2427="",$H2427&lt;&gt;"Ausgabe",J2427=""),0,IF(J2427="x",-$E2427/(COUNTIF($J2427:$Q2427,"x")+1),-$E2427*N(J2427)))</f>
        <v/>
      </c>
      <c r="Y2427" s="34">
        <f>IF(OR($A2427="",$H2427&lt;&gt;"Ausgabe",K2427=""),0,IF(K2427="x",-$E2427/(COUNTIF($J2427:$Q2427,"x")+1),-$E2427*N(K2427)))</f>
        <v/>
      </c>
      <c r="Z2427" s="34">
        <f>IF(OR($A2427="",$H2427&lt;&gt;"Ausgabe",L2427=""),0,IF(L2427="x",-$E2427/(COUNTIF($J2427:$Q2427,"x")+1),-$E2427*N(L2427)))</f>
        <v/>
      </c>
      <c r="AA2427" s="34">
        <f>IF(OR($A2427="",$H2427&lt;&gt;"Ausgabe",M2427=""),0,IF(M2427="x",-$E2427/(COUNTIF($J2427:$Q2427,"x")+1),-$E2427*N(M2427)))</f>
        <v/>
      </c>
      <c r="AB2427" s="34">
        <f>IF(OR($A2427="",$H2427&lt;&gt;"Ausgabe",N2427=""),0,IF(N2427="x",-$E2427/(COUNTIF($J2427:$Q2427,"x")+1),-$E2427*N(N2427)))</f>
        <v/>
      </c>
      <c r="AC2427" s="34">
        <f>IF(OR($A2427="",$H2427&lt;&gt;"Ausgabe",O2427=""),0,IF(O2427="x",-$E2427/(COUNTIF($J2427:$Q2427,"x")+1),-$E2427*N(O2427)))</f>
        <v/>
      </c>
      <c r="AD2427" s="34">
        <f>IF(OR($A2427="",$H2427&lt;&gt;"Ausgabe",P2427=""),0,IF(P2427="x",-$E2427/(COUNTIF($J2427:$Q2427,"x")+1),-$E2427*N(P2427)))</f>
        <v/>
      </c>
      <c r="AE2427" s="34">
        <f>IF(OR($A2427="",$H2427&lt;&gt;"Ausgabe",Q2427=""),0,IF(Q2427="x",-$E2427/(COUNTIF($J2427:$Q2427,"x")+1),-$E2427*N(Q2427)))</f>
        <v/>
      </c>
    </row>
    <row r="2428">
      <c r="A2428" s="30" t="n"/>
      <c r="E2428" s="31" t="n"/>
      <c r="J2428" s="32" t="n"/>
      <c r="K2428" s="32" t="n"/>
      <c r="L2428" s="32" t="n"/>
      <c r="M2428" s="32" t="n"/>
      <c r="N2428" s="32" t="n"/>
      <c r="O2428" s="32" t="n"/>
      <c r="P2428" s="32" t="n"/>
      <c r="Q2428" s="32" t="n"/>
      <c r="U2428" s="31">
        <f>IF($A2428="","",SUM(X2428:AE2428))</f>
        <v/>
      </c>
      <c r="V2428" s="31">
        <f>IF($A2428="","",IF($H2428&lt;&gt;"Ausgabe",0,-$E2428-$U2428))</f>
        <v/>
      </c>
      <c r="W2428" s="33">
        <f>IF($A2428="","",DATE(YEAR($A2428),MONTH($A2428),1))</f>
        <v/>
      </c>
      <c r="X2428" s="34">
        <f>IF(OR($A2428="",$H2428&lt;&gt;"Ausgabe",J2428=""),0,IF(J2428="x",-$E2428/(COUNTIF($J2428:$Q2428,"x")+1),-$E2428*N(J2428)))</f>
        <v/>
      </c>
      <c r="Y2428" s="34">
        <f>IF(OR($A2428="",$H2428&lt;&gt;"Ausgabe",K2428=""),0,IF(K2428="x",-$E2428/(COUNTIF($J2428:$Q2428,"x")+1),-$E2428*N(K2428)))</f>
        <v/>
      </c>
      <c r="Z2428" s="34">
        <f>IF(OR($A2428="",$H2428&lt;&gt;"Ausgabe",L2428=""),0,IF(L2428="x",-$E2428/(COUNTIF($J2428:$Q2428,"x")+1),-$E2428*N(L2428)))</f>
        <v/>
      </c>
      <c r="AA2428" s="34">
        <f>IF(OR($A2428="",$H2428&lt;&gt;"Ausgabe",M2428=""),0,IF(M2428="x",-$E2428/(COUNTIF($J2428:$Q2428,"x")+1),-$E2428*N(M2428)))</f>
        <v/>
      </c>
      <c r="AB2428" s="34">
        <f>IF(OR($A2428="",$H2428&lt;&gt;"Ausgabe",N2428=""),0,IF(N2428="x",-$E2428/(COUNTIF($J2428:$Q2428,"x")+1),-$E2428*N(N2428)))</f>
        <v/>
      </c>
      <c r="AC2428" s="34">
        <f>IF(OR($A2428="",$H2428&lt;&gt;"Ausgabe",O2428=""),0,IF(O2428="x",-$E2428/(COUNTIF($J2428:$Q2428,"x")+1),-$E2428*N(O2428)))</f>
        <v/>
      </c>
      <c r="AD2428" s="34">
        <f>IF(OR($A2428="",$H2428&lt;&gt;"Ausgabe",P2428=""),0,IF(P2428="x",-$E2428/(COUNTIF($J2428:$Q2428,"x")+1),-$E2428*N(P2428)))</f>
        <v/>
      </c>
      <c r="AE2428" s="34">
        <f>IF(OR($A2428="",$H2428&lt;&gt;"Ausgabe",Q2428=""),0,IF(Q2428="x",-$E2428/(COUNTIF($J2428:$Q2428,"x")+1),-$E2428*N(Q2428)))</f>
        <v/>
      </c>
    </row>
    <row r="2429">
      <c r="A2429" s="30" t="n"/>
      <c r="E2429" s="31" t="n"/>
      <c r="J2429" s="32" t="n"/>
      <c r="K2429" s="32" t="n"/>
      <c r="L2429" s="32" t="n"/>
      <c r="M2429" s="32" t="n"/>
      <c r="N2429" s="32" t="n"/>
      <c r="O2429" s="32" t="n"/>
      <c r="P2429" s="32" t="n"/>
      <c r="Q2429" s="32" t="n"/>
      <c r="U2429" s="31">
        <f>IF($A2429="","",SUM(X2429:AE2429))</f>
        <v/>
      </c>
      <c r="V2429" s="31">
        <f>IF($A2429="","",IF($H2429&lt;&gt;"Ausgabe",0,-$E2429-$U2429))</f>
        <v/>
      </c>
      <c r="W2429" s="33">
        <f>IF($A2429="","",DATE(YEAR($A2429),MONTH($A2429),1))</f>
        <v/>
      </c>
      <c r="X2429" s="34">
        <f>IF(OR($A2429="",$H2429&lt;&gt;"Ausgabe",J2429=""),0,IF(J2429="x",-$E2429/(COUNTIF($J2429:$Q2429,"x")+1),-$E2429*N(J2429)))</f>
        <v/>
      </c>
      <c r="Y2429" s="34">
        <f>IF(OR($A2429="",$H2429&lt;&gt;"Ausgabe",K2429=""),0,IF(K2429="x",-$E2429/(COUNTIF($J2429:$Q2429,"x")+1),-$E2429*N(K2429)))</f>
        <v/>
      </c>
      <c r="Z2429" s="34">
        <f>IF(OR($A2429="",$H2429&lt;&gt;"Ausgabe",L2429=""),0,IF(L2429="x",-$E2429/(COUNTIF($J2429:$Q2429,"x")+1),-$E2429*N(L2429)))</f>
        <v/>
      </c>
      <c r="AA2429" s="34">
        <f>IF(OR($A2429="",$H2429&lt;&gt;"Ausgabe",M2429=""),0,IF(M2429="x",-$E2429/(COUNTIF($J2429:$Q2429,"x")+1),-$E2429*N(M2429)))</f>
        <v/>
      </c>
      <c r="AB2429" s="34">
        <f>IF(OR($A2429="",$H2429&lt;&gt;"Ausgabe",N2429=""),0,IF(N2429="x",-$E2429/(COUNTIF($J2429:$Q2429,"x")+1),-$E2429*N(N2429)))</f>
        <v/>
      </c>
      <c r="AC2429" s="34">
        <f>IF(OR($A2429="",$H2429&lt;&gt;"Ausgabe",O2429=""),0,IF(O2429="x",-$E2429/(COUNTIF($J2429:$Q2429,"x")+1),-$E2429*N(O2429)))</f>
        <v/>
      </c>
      <c r="AD2429" s="34">
        <f>IF(OR($A2429="",$H2429&lt;&gt;"Ausgabe",P2429=""),0,IF(P2429="x",-$E2429/(COUNTIF($J2429:$Q2429,"x")+1),-$E2429*N(P2429)))</f>
        <v/>
      </c>
      <c r="AE2429" s="34">
        <f>IF(OR($A2429="",$H2429&lt;&gt;"Ausgabe",Q2429=""),0,IF(Q2429="x",-$E2429/(COUNTIF($J2429:$Q2429,"x")+1),-$E2429*N(Q2429)))</f>
        <v/>
      </c>
    </row>
    <row r="2430">
      <c r="A2430" s="30" t="n"/>
      <c r="E2430" s="31" t="n"/>
      <c r="J2430" s="32" t="n"/>
      <c r="K2430" s="32" t="n"/>
      <c r="L2430" s="32" t="n"/>
      <c r="M2430" s="32" t="n"/>
      <c r="N2430" s="32" t="n"/>
      <c r="O2430" s="32" t="n"/>
      <c r="P2430" s="32" t="n"/>
      <c r="Q2430" s="32" t="n"/>
      <c r="U2430" s="31">
        <f>IF($A2430="","",SUM(X2430:AE2430))</f>
        <v/>
      </c>
      <c r="V2430" s="31">
        <f>IF($A2430="","",IF($H2430&lt;&gt;"Ausgabe",0,-$E2430-$U2430))</f>
        <v/>
      </c>
      <c r="W2430" s="33">
        <f>IF($A2430="","",DATE(YEAR($A2430),MONTH($A2430),1))</f>
        <v/>
      </c>
      <c r="X2430" s="34">
        <f>IF(OR($A2430="",$H2430&lt;&gt;"Ausgabe",J2430=""),0,IF(J2430="x",-$E2430/(COUNTIF($J2430:$Q2430,"x")+1),-$E2430*N(J2430)))</f>
        <v/>
      </c>
      <c r="Y2430" s="34">
        <f>IF(OR($A2430="",$H2430&lt;&gt;"Ausgabe",K2430=""),0,IF(K2430="x",-$E2430/(COUNTIF($J2430:$Q2430,"x")+1),-$E2430*N(K2430)))</f>
        <v/>
      </c>
      <c r="Z2430" s="34">
        <f>IF(OR($A2430="",$H2430&lt;&gt;"Ausgabe",L2430=""),0,IF(L2430="x",-$E2430/(COUNTIF($J2430:$Q2430,"x")+1),-$E2430*N(L2430)))</f>
        <v/>
      </c>
      <c r="AA2430" s="34">
        <f>IF(OR($A2430="",$H2430&lt;&gt;"Ausgabe",M2430=""),0,IF(M2430="x",-$E2430/(COUNTIF($J2430:$Q2430,"x")+1),-$E2430*N(M2430)))</f>
        <v/>
      </c>
      <c r="AB2430" s="34">
        <f>IF(OR($A2430="",$H2430&lt;&gt;"Ausgabe",N2430=""),0,IF(N2430="x",-$E2430/(COUNTIF($J2430:$Q2430,"x")+1),-$E2430*N(N2430)))</f>
        <v/>
      </c>
      <c r="AC2430" s="34">
        <f>IF(OR($A2430="",$H2430&lt;&gt;"Ausgabe",O2430=""),0,IF(O2430="x",-$E2430/(COUNTIF($J2430:$Q2430,"x")+1),-$E2430*N(O2430)))</f>
        <v/>
      </c>
      <c r="AD2430" s="34">
        <f>IF(OR($A2430="",$H2430&lt;&gt;"Ausgabe",P2430=""),0,IF(P2430="x",-$E2430/(COUNTIF($J2430:$Q2430,"x")+1),-$E2430*N(P2430)))</f>
        <v/>
      </c>
      <c r="AE2430" s="34">
        <f>IF(OR($A2430="",$H2430&lt;&gt;"Ausgabe",Q2430=""),0,IF(Q2430="x",-$E2430/(COUNTIF($J2430:$Q2430,"x")+1),-$E2430*N(Q2430)))</f>
        <v/>
      </c>
    </row>
    <row r="2431">
      <c r="A2431" s="30" t="n"/>
      <c r="E2431" s="31" t="n"/>
      <c r="J2431" s="32" t="n"/>
      <c r="K2431" s="32" t="n"/>
      <c r="L2431" s="32" t="n"/>
      <c r="M2431" s="32" t="n"/>
      <c r="N2431" s="32" t="n"/>
      <c r="O2431" s="32" t="n"/>
      <c r="P2431" s="32" t="n"/>
      <c r="Q2431" s="32" t="n"/>
      <c r="U2431" s="31">
        <f>IF($A2431="","",SUM(X2431:AE2431))</f>
        <v/>
      </c>
      <c r="V2431" s="31">
        <f>IF($A2431="","",IF($H2431&lt;&gt;"Ausgabe",0,-$E2431-$U2431))</f>
        <v/>
      </c>
      <c r="W2431" s="33">
        <f>IF($A2431="","",DATE(YEAR($A2431),MONTH($A2431),1))</f>
        <v/>
      </c>
      <c r="X2431" s="34">
        <f>IF(OR($A2431="",$H2431&lt;&gt;"Ausgabe",J2431=""),0,IF(J2431="x",-$E2431/(COUNTIF($J2431:$Q2431,"x")+1),-$E2431*N(J2431)))</f>
        <v/>
      </c>
      <c r="Y2431" s="34">
        <f>IF(OR($A2431="",$H2431&lt;&gt;"Ausgabe",K2431=""),0,IF(K2431="x",-$E2431/(COUNTIF($J2431:$Q2431,"x")+1),-$E2431*N(K2431)))</f>
        <v/>
      </c>
      <c r="Z2431" s="34">
        <f>IF(OR($A2431="",$H2431&lt;&gt;"Ausgabe",L2431=""),0,IF(L2431="x",-$E2431/(COUNTIF($J2431:$Q2431,"x")+1),-$E2431*N(L2431)))</f>
        <v/>
      </c>
      <c r="AA2431" s="34">
        <f>IF(OR($A2431="",$H2431&lt;&gt;"Ausgabe",M2431=""),0,IF(M2431="x",-$E2431/(COUNTIF($J2431:$Q2431,"x")+1),-$E2431*N(M2431)))</f>
        <v/>
      </c>
      <c r="AB2431" s="34">
        <f>IF(OR($A2431="",$H2431&lt;&gt;"Ausgabe",N2431=""),0,IF(N2431="x",-$E2431/(COUNTIF($J2431:$Q2431,"x")+1),-$E2431*N(N2431)))</f>
        <v/>
      </c>
      <c r="AC2431" s="34">
        <f>IF(OR($A2431="",$H2431&lt;&gt;"Ausgabe",O2431=""),0,IF(O2431="x",-$E2431/(COUNTIF($J2431:$Q2431,"x")+1),-$E2431*N(O2431)))</f>
        <v/>
      </c>
      <c r="AD2431" s="34">
        <f>IF(OR($A2431="",$H2431&lt;&gt;"Ausgabe",P2431=""),0,IF(P2431="x",-$E2431/(COUNTIF($J2431:$Q2431,"x")+1),-$E2431*N(P2431)))</f>
        <v/>
      </c>
      <c r="AE2431" s="34">
        <f>IF(OR($A2431="",$H2431&lt;&gt;"Ausgabe",Q2431=""),0,IF(Q2431="x",-$E2431/(COUNTIF($J2431:$Q2431,"x")+1),-$E2431*N(Q2431)))</f>
        <v/>
      </c>
    </row>
    <row r="2432">
      <c r="A2432" s="30" t="n"/>
      <c r="E2432" s="31" t="n"/>
      <c r="J2432" s="32" t="n"/>
      <c r="K2432" s="32" t="n"/>
      <c r="L2432" s="32" t="n"/>
      <c r="M2432" s="32" t="n"/>
      <c r="N2432" s="32" t="n"/>
      <c r="O2432" s="32" t="n"/>
      <c r="P2432" s="32" t="n"/>
      <c r="Q2432" s="32" t="n"/>
      <c r="U2432" s="31">
        <f>IF($A2432="","",SUM(X2432:AE2432))</f>
        <v/>
      </c>
      <c r="V2432" s="31">
        <f>IF($A2432="","",IF($H2432&lt;&gt;"Ausgabe",0,-$E2432-$U2432))</f>
        <v/>
      </c>
      <c r="W2432" s="33">
        <f>IF($A2432="","",DATE(YEAR($A2432),MONTH($A2432),1))</f>
        <v/>
      </c>
      <c r="X2432" s="34">
        <f>IF(OR($A2432="",$H2432&lt;&gt;"Ausgabe",J2432=""),0,IF(J2432="x",-$E2432/(COUNTIF($J2432:$Q2432,"x")+1),-$E2432*N(J2432)))</f>
        <v/>
      </c>
      <c r="Y2432" s="34">
        <f>IF(OR($A2432="",$H2432&lt;&gt;"Ausgabe",K2432=""),0,IF(K2432="x",-$E2432/(COUNTIF($J2432:$Q2432,"x")+1),-$E2432*N(K2432)))</f>
        <v/>
      </c>
      <c r="Z2432" s="34">
        <f>IF(OR($A2432="",$H2432&lt;&gt;"Ausgabe",L2432=""),0,IF(L2432="x",-$E2432/(COUNTIF($J2432:$Q2432,"x")+1),-$E2432*N(L2432)))</f>
        <v/>
      </c>
      <c r="AA2432" s="34">
        <f>IF(OR($A2432="",$H2432&lt;&gt;"Ausgabe",M2432=""),0,IF(M2432="x",-$E2432/(COUNTIF($J2432:$Q2432,"x")+1),-$E2432*N(M2432)))</f>
        <v/>
      </c>
      <c r="AB2432" s="34">
        <f>IF(OR($A2432="",$H2432&lt;&gt;"Ausgabe",N2432=""),0,IF(N2432="x",-$E2432/(COUNTIF($J2432:$Q2432,"x")+1),-$E2432*N(N2432)))</f>
        <v/>
      </c>
      <c r="AC2432" s="34">
        <f>IF(OR($A2432="",$H2432&lt;&gt;"Ausgabe",O2432=""),0,IF(O2432="x",-$E2432/(COUNTIF($J2432:$Q2432,"x")+1),-$E2432*N(O2432)))</f>
        <v/>
      </c>
      <c r="AD2432" s="34">
        <f>IF(OR($A2432="",$H2432&lt;&gt;"Ausgabe",P2432=""),0,IF(P2432="x",-$E2432/(COUNTIF($J2432:$Q2432,"x")+1),-$E2432*N(P2432)))</f>
        <v/>
      </c>
      <c r="AE2432" s="34">
        <f>IF(OR($A2432="",$H2432&lt;&gt;"Ausgabe",Q2432=""),0,IF(Q2432="x",-$E2432/(COUNTIF($J2432:$Q2432,"x")+1),-$E2432*N(Q2432)))</f>
        <v/>
      </c>
    </row>
    <row r="2433">
      <c r="A2433" s="30" t="n"/>
      <c r="E2433" s="31" t="n"/>
      <c r="J2433" s="32" t="n"/>
      <c r="K2433" s="32" t="n"/>
      <c r="L2433" s="32" t="n"/>
      <c r="M2433" s="32" t="n"/>
      <c r="N2433" s="32" t="n"/>
      <c r="O2433" s="32" t="n"/>
      <c r="P2433" s="32" t="n"/>
      <c r="Q2433" s="32" t="n"/>
      <c r="U2433" s="31">
        <f>IF($A2433="","",SUM(X2433:AE2433))</f>
        <v/>
      </c>
      <c r="V2433" s="31">
        <f>IF($A2433="","",IF($H2433&lt;&gt;"Ausgabe",0,-$E2433-$U2433))</f>
        <v/>
      </c>
      <c r="W2433" s="33">
        <f>IF($A2433="","",DATE(YEAR($A2433),MONTH($A2433),1))</f>
        <v/>
      </c>
      <c r="X2433" s="34">
        <f>IF(OR($A2433="",$H2433&lt;&gt;"Ausgabe",J2433=""),0,IF(J2433="x",-$E2433/(COUNTIF($J2433:$Q2433,"x")+1),-$E2433*N(J2433)))</f>
        <v/>
      </c>
      <c r="Y2433" s="34">
        <f>IF(OR($A2433="",$H2433&lt;&gt;"Ausgabe",K2433=""),0,IF(K2433="x",-$E2433/(COUNTIF($J2433:$Q2433,"x")+1),-$E2433*N(K2433)))</f>
        <v/>
      </c>
      <c r="Z2433" s="34">
        <f>IF(OR($A2433="",$H2433&lt;&gt;"Ausgabe",L2433=""),0,IF(L2433="x",-$E2433/(COUNTIF($J2433:$Q2433,"x")+1),-$E2433*N(L2433)))</f>
        <v/>
      </c>
      <c r="AA2433" s="34">
        <f>IF(OR($A2433="",$H2433&lt;&gt;"Ausgabe",M2433=""),0,IF(M2433="x",-$E2433/(COUNTIF($J2433:$Q2433,"x")+1),-$E2433*N(M2433)))</f>
        <v/>
      </c>
      <c r="AB2433" s="34">
        <f>IF(OR($A2433="",$H2433&lt;&gt;"Ausgabe",N2433=""),0,IF(N2433="x",-$E2433/(COUNTIF($J2433:$Q2433,"x")+1),-$E2433*N(N2433)))</f>
        <v/>
      </c>
      <c r="AC2433" s="34">
        <f>IF(OR($A2433="",$H2433&lt;&gt;"Ausgabe",O2433=""),0,IF(O2433="x",-$E2433/(COUNTIF($J2433:$Q2433,"x")+1),-$E2433*N(O2433)))</f>
        <v/>
      </c>
      <c r="AD2433" s="34">
        <f>IF(OR($A2433="",$H2433&lt;&gt;"Ausgabe",P2433=""),0,IF(P2433="x",-$E2433/(COUNTIF($J2433:$Q2433,"x")+1),-$E2433*N(P2433)))</f>
        <v/>
      </c>
      <c r="AE2433" s="34">
        <f>IF(OR($A2433="",$H2433&lt;&gt;"Ausgabe",Q2433=""),0,IF(Q2433="x",-$E2433/(COUNTIF($J2433:$Q2433,"x")+1),-$E2433*N(Q2433)))</f>
        <v/>
      </c>
    </row>
    <row r="2434">
      <c r="A2434" s="30" t="n"/>
      <c r="E2434" s="31" t="n"/>
      <c r="J2434" s="32" t="n"/>
      <c r="K2434" s="32" t="n"/>
      <c r="L2434" s="32" t="n"/>
      <c r="M2434" s="32" t="n"/>
      <c r="N2434" s="32" t="n"/>
      <c r="O2434" s="32" t="n"/>
      <c r="P2434" s="32" t="n"/>
      <c r="Q2434" s="32" t="n"/>
      <c r="U2434" s="31">
        <f>IF($A2434="","",SUM(X2434:AE2434))</f>
        <v/>
      </c>
      <c r="V2434" s="31">
        <f>IF($A2434="","",IF($H2434&lt;&gt;"Ausgabe",0,-$E2434-$U2434))</f>
        <v/>
      </c>
      <c r="W2434" s="33">
        <f>IF($A2434="","",DATE(YEAR($A2434),MONTH($A2434),1))</f>
        <v/>
      </c>
      <c r="X2434" s="34">
        <f>IF(OR($A2434="",$H2434&lt;&gt;"Ausgabe",J2434=""),0,IF(J2434="x",-$E2434/(COUNTIF($J2434:$Q2434,"x")+1),-$E2434*N(J2434)))</f>
        <v/>
      </c>
      <c r="Y2434" s="34">
        <f>IF(OR($A2434="",$H2434&lt;&gt;"Ausgabe",K2434=""),0,IF(K2434="x",-$E2434/(COUNTIF($J2434:$Q2434,"x")+1),-$E2434*N(K2434)))</f>
        <v/>
      </c>
      <c r="Z2434" s="34">
        <f>IF(OR($A2434="",$H2434&lt;&gt;"Ausgabe",L2434=""),0,IF(L2434="x",-$E2434/(COUNTIF($J2434:$Q2434,"x")+1),-$E2434*N(L2434)))</f>
        <v/>
      </c>
      <c r="AA2434" s="34">
        <f>IF(OR($A2434="",$H2434&lt;&gt;"Ausgabe",M2434=""),0,IF(M2434="x",-$E2434/(COUNTIF($J2434:$Q2434,"x")+1),-$E2434*N(M2434)))</f>
        <v/>
      </c>
      <c r="AB2434" s="34">
        <f>IF(OR($A2434="",$H2434&lt;&gt;"Ausgabe",N2434=""),0,IF(N2434="x",-$E2434/(COUNTIF($J2434:$Q2434,"x")+1),-$E2434*N(N2434)))</f>
        <v/>
      </c>
      <c r="AC2434" s="34">
        <f>IF(OR($A2434="",$H2434&lt;&gt;"Ausgabe",O2434=""),0,IF(O2434="x",-$E2434/(COUNTIF($J2434:$Q2434,"x")+1),-$E2434*N(O2434)))</f>
        <v/>
      </c>
      <c r="AD2434" s="34">
        <f>IF(OR($A2434="",$H2434&lt;&gt;"Ausgabe",P2434=""),0,IF(P2434="x",-$E2434/(COUNTIF($J2434:$Q2434,"x")+1),-$E2434*N(P2434)))</f>
        <v/>
      </c>
      <c r="AE2434" s="34">
        <f>IF(OR($A2434="",$H2434&lt;&gt;"Ausgabe",Q2434=""),0,IF(Q2434="x",-$E2434/(COUNTIF($J2434:$Q2434,"x")+1),-$E2434*N(Q2434)))</f>
        <v/>
      </c>
    </row>
    <row r="2435">
      <c r="A2435" s="30" t="n"/>
      <c r="E2435" s="31" t="n"/>
      <c r="J2435" s="32" t="n"/>
      <c r="K2435" s="32" t="n"/>
      <c r="L2435" s="32" t="n"/>
      <c r="M2435" s="32" t="n"/>
      <c r="N2435" s="32" t="n"/>
      <c r="O2435" s="32" t="n"/>
      <c r="P2435" s="32" t="n"/>
      <c r="Q2435" s="32" t="n"/>
      <c r="U2435" s="31">
        <f>IF($A2435="","",SUM(X2435:AE2435))</f>
        <v/>
      </c>
      <c r="V2435" s="31">
        <f>IF($A2435="","",IF($H2435&lt;&gt;"Ausgabe",0,-$E2435-$U2435))</f>
        <v/>
      </c>
      <c r="W2435" s="33">
        <f>IF($A2435="","",DATE(YEAR($A2435),MONTH($A2435),1))</f>
        <v/>
      </c>
      <c r="X2435" s="34">
        <f>IF(OR($A2435="",$H2435&lt;&gt;"Ausgabe",J2435=""),0,IF(J2435="x",-$E2435/(COUNTIF($J2435:$Q2435,"x")+1),-$E2435*N(J2435)))</f>
        <v/>
      </c>
      <c r="Y2435" s="34">
        <f>IF(OR($A2435="",$H2435&lt;&gt;"Ausgabe",K2435=""),0,IF(K2435="x",-$E2435/(COUNTIF($J2435:$Q2435,"x")+1),-$E2435*N(K2435)))</f>
        <v/>
      </c>
      <c r="Z2435" s="34">
        <f>IF(OR($A2435="",$H2435&lt;&gt;"Ausgabe",L2435=""),0,IF(L2435="x",-$E2435/(COUNTIF($J2435:$Q2435,"x")+1),-$E2435*N(L2435)))</f>
        <v/>
      </c>
      <c r="AA2435" s="34">
        <f>IF(OR($A2435="",$H2435&lt;&gt;"Ausgabe",M2435=""),0,IF(M2435="x",-$E2435/(COUNTIF($J2435:$Q2435,"x")+1),-$E2435*N(M2435)))</f>
        <v/>
      </c>
      <c r="AB2435" s="34">
        <f>IF(OR($A2435="",$H2435&lt;&gt;"Ausgabe",N2435=""),0,IF(N2435="x",-$E2435/(COUNTIF($J2435:$Q2435,"x")+1),-$E2435*N(N2435)))</f>
        <v/>
      </c>
      <c r="AC2435" s="34">
        <f>IF(OR($A2435="",$H2435&lt;&gt;"Ausgabe",O2435=""),0,IF(O2435="x",-$E2435/(COUNTIF($J2435:$Q2435,"x")+1),-$E2435*N(O2435)))</f>
        <v/>
      </c>
      <c r="AD2435" s="34">
        <f>IF(OR($A2435="",$H2435&lt;&gt;"Ausgabe",P2435=""),0,IF(P2435="x",-$E2435/(COUNTIF($J2435:$Q2435,"x")+1),-$E2435*N(P2435)))</f>
        <v/>
      </c>
      <c r="AE2435" s="34">
        <f>IF(OR($A2435="",$H2435&lt;&gt;"Ausgabe",Q2435=""),0,IF(Q2435="x",-$E2435/(COUNTIF($J2435:$Q2435,"x")+1),-$E2435*N(Q2435)))</f>
        <v/>
      </c>
    </row>
    <row r="2436">
      <c r="A2436" s="30" t="n"/>
      <c r="E2436" s="31" t="n"/>
      <c r="J2436" s="32" t="n"/>
      <c r="K2436" s="32" t="n"/>
      <c r="L2436" s="32" t="n"/>
      <c r="M2436" s="32" t="n"/>
      <c r="N2436" s="32" t="n"/>
      <c r="O2436" s="32" t="n"/>
      <c r="P2436" s="32" t="n"/>
      <c r="Q2436" s="32" t="n"/>
      <c r="U2436" s="31">
        <f>IF($A2436="","",SUM(X2436:AE2436))</f>
        <v/>
      </c>
      <c r="V2436" s="31">
        <f>IF($A2436="","",IF($H2436&lt;&gt;"Ausgabe",0,-$E2436-$U2436))</f>
        <v/>
      </c>
      <c r="W2436" s="33">
        <f>IF($A2436="","",DATE(YEAR($A2436),MONTH($A2436),1))</f>
        <v/>
      </c>
      <c r="X2436" s="34">
        <f>IF(OR($A2436="",$H2436&lt;&gt;"Ausgabe",J2436=""),0,IF(J2436="x",-$E2436/(COUNTIF($J2436:$Q2436,"x")+1),-$E2436*N(J2436)))</f>
        <v/>
      </c>
      <c r="Y2436" s="34">
        <f>IF(OR($A2436="",$H2436&lt;&gt;"Ausgabe",K2436=""),0,IF(K2436="x",-$E2436/(COUNTIF($J2436:$Q2436,"x")+1),-$E2436*N(K2436)))</f>
        <v/>
      </c>
      <c r="Z2436" s="34">
        <f>IF(OR($A2436="",$H2436&lt;&gt;"Ausgabe",L2436=""),0,IF(L2436="x",-$E2436/(COUNTIF($J2436:$Q2436,"x")+1),-$E2436*N(L2436)))</f>
        <v/>
      </c>
      <c r="AA2436" s="34">
        <f>IF(OR($A2436="",$H2436&lt;&gt;"Ausgabe",M2436=""),0,IF(M2436="x",-$E2436/(COUNTIF($J2436:$Q2436,"x")+1),-$E2436*N(M2436)))</f>
        <v/>
      </c>
      <c r="AB2436" s="34">
        <f>IF(OR($A2436="",$H2436&lt;&gt;"Ausgabe",N2436=""),0,IF(N2436="x",-$E2436/(COUNTIF($J2436:$Q2436,"x")+1),-$E2436*N(N2436)))</f>
        <v/>
      </c>
      <c r="AC2436" s="34">
        <f>IF(OR($A2436="",$H2436&lt;&gt;"Ausgabe",O2436=""),0,IF(O2436="x",-$E2436/(COUNTIF($J2436:$Q2436,"x")+1),-$E2436*N(O2436)))</f>
        <v/>
      </c>
      <c r="AD2436" s="34">
        <f>IF(OR($A2436="",$H2436&lt;&gt;"Ausgabe",P2436=""),0,IF(P2436="x",-$E2436/(COUNTIF($J2436:$Q2436,"x")+1),-$E2436*N(P2436)))</f>
        <v/>
      </c>
      <c r="AE2436" s="34">
        <f>IF(OR($A2436="",$H2436&lt;&gt;"Ausgabe",Q2436=""),0,IF(Q2436="x",-$E2436/(COUNTIF($J2436:$Q2436,"x")+1),-$E2436*N(Q2436)))</f>
        <v/>
      </c>
    </row>
    <row r="2437">
      <c r="A2437" s="30" t="n"/>
      <c r="E2437" s="31" t="n"/>
      <c r="J2437" s="32" t="n"/>
      <c r="K2437" s="32" t="n"/>
      <c r="L2437" s="32" t="n"/>
      <c r="M2437" s="32" t="n"/>
      <c r="N2437" s="32" t="n"/>
      <c r="O2437" s="32" t="n"/>
      <c r="P2437" s="32" t="n"/>
      <c r="Q2437" s="32" t="n"/>
      <c r="U2437" s="31">
        <f>IF($A2437="","",SUM(X2437:AE2437))</f>
        <v/>
      </c>
      <c r="V2437" s="31">
        <f>IF($A2437="","",IF($H2437&lt;&gt;"Ausgabe",0,-$E2437-$U2437))</f>
        <v/>
      </c>
      <c r="W2437" s="33">
        <f>IF($A2437="","",DATE(YEAR($A2437),MONTH($A2437),1))</f>
        <v/>
      </c>
      <c r="X2437" s="34">
        <f>IF(OR($A2437="",$H2437&lt;&gt;"Ausgabe",J2437=""),0,IF(J2437="x",-$E2437/(COUNTIF($J2437:$Q2437,"x")+1),-$E2437*N(J2437)))</f>
        <v/>
      </c>
      <c r="Y2437" s="34">
        <f>IF(OR($A2437="",$H2437&lt;&gt;"Ausgabe",K2437=""),0,IF(K2437="x",-$E2437/(COUNTIF($J2437:$Q2437,"x")+1),-$E2437*N(K2437)))</f>
        <v/>
      </c>
      <c r="Z2437" s="34">
        <f>IF(OR($A2437="",$H2437&lt;&gt;"Ausgabe",L2437=""),0,IF(L2437="x",-$E2437/(COUNTIF($J2437:$Q2437,"x")+1),-$E2437*N(L2437)))</f>
        <v/>
      </c>
      <c r="AA2437" s="34">
        <f>IF(OR($A2437="",$H2437&lt;&gt;"Ausgabe",M2437=""),0,IF(M2437="x",-$E2437/(COUNTIF($J2437:$Q2437,"x")+1),-$E2437*N(M2437)))</f>
        <v/>
      </c>
      <c r="AB2437" s="34">
        <f>IF(OR($A2437="",$H2437&lt;&gt;"Ausgabe",N2437=""),0,IF(N2437="x",-$E2437/(COUNTIF($J2437:$Q2437,"x")+1),-$E2437*N(N2437)))</f>
        <v/>
      </c>
      <c r="AC2437" s="34">
        <f>IF(OR($A2437="",$H2437&lt;&gt;"Ausgabe",O2437=""),0,IF(O2437="x",-$E2437/(COUNTIF($J2437:$Q2437,"x")+1),-$E2437*N(O2437)))</f>
        <v/>
      </c>
      <c r="AD2437" s="34">
        <f>IF(OR($A2437="",$H2437&lt;&gt;"Ausgabe",P2437=""),0,IF(P2437="x",-$E2437/(COUNTIF($J2437:$Q2437,"x")+1),-$E2437*N(P2437)))</f>
        <v/>
      </c>
      <c r="AE2437" s="34">
        <f>IF(OR($A2437="",$H2437&lt;&gt;"Ausgabe",Q2437=""),0,IF(Q2437="x",-$E2437/(COUNTIF($J2437:$Q2437,"x")+1),-$E2437*N(Q2437)))</f>
        <v/>
      </c>
    </row>
    <row r="2438">
      <c r="A2438" s="30" t="n"/>
      <c r="E2438" s="31" t="n"/>
      <c r="J2438" s="32" t="n"/>
      <c r="K2438" s="32" t="n"/>
      <c r="L2438" s="32" t="n"/>
      <c r="M2438" s="32" t="n"/>
      <c r="N2438" s="32" t="n"/>
      <c r="O2438" s="32" t="n"/>
      <c r="P2438" s="32" t="n"/>
      <c r="Q2438" s="32" t="n"/>
      <c r="U2438" s="31">
        <f>IF($A2438="","",SUM(X2438:AE2438))</f>
        <v/>
      </c>
      <c r="V2438" s="31">
        <f>IF($A2438="","",IF($H2438&lt;&gt;"Ausgabe",0,-$E2438-$U2438))</f>
        <v/>
      </c>
      <c r="W2438" s="33">
        <f>IF($A2438="","",DATE(YEAR($A2438),MONTH($A2438),1))</f>
        <v/>
      </c>
      <c r="X2438" s="34">
        <f>IF(OR($A2438="",$H2438&lt;&gt;"Ausgabe",J2438=""),0,IF(J2438="x",-$E2438/(COUNTIF($J2438:$Q2438,"x")+1),-$E2438*N(J2438)))</f>
        <v/>
      </c>
      <c r="Y2438" s="34">
        <f>IF(OR($A2438="",$H2438&lt;&gt;"Ausgabe",K2438=""),0,IF(K2438="x",-$E2438/(COUNTIF($J2438:$Q2438,"x")+1),-$E2438*N(K2438)))</f>
        <v/>
      </c>
      <c r="Z2438" s="34">
        <f>IF(OR($A2438="",$H2438&lt;&gt;"Ausgabe",L2438=""),0,IF(L2438="x",-$E2438/(COUNTIF($J2438:$Q2438,"x")+1),-$E2438*N(L2438)))</f>
        <v/>
      </c>
      <c r="AA2438" s="34">
        <f>IF(OR($A2438="",$H2438&lt;&gt;"Ausgabe",M2438=""),0,IF(M2438="x",-$E2438/(COUNTIF($J2438:$Q2438,"x")+1),-$E2438*N(M2438)))</f>
        <v/>
      </c>
      <c r="AB2438" s="34">
        <f>IF(OR($A2438="",$H2438&lt;&gt;"Ausgabe",N2438=""),0,IF(N2438="x",-$E2438/(COUNTIF($J2438:$Q2438,"x")+1),-$E2438*N(N2438)))</f>
        <v/>
      </c>
      <c r="AC2438" s="34">
        <f>IF(OR($A2438="",$H2438&lt;&gt;"Ausgabe",O2438=""),0,IF(O2438="x",-$E2438/(COUNTIF($J2438:$Q2438,"x")+1),-$E2438*N(O2438)))</f>
        <v/>
      </c>
      <c r="AD2438" s="34">
        <f>IF(OR($A2438="",$H2438&lt;&gt;"Ausgabe",P2438=""),0,IF(P2438="x",-$E2438/(COUNTIF($J2438:$Q2438,"x")+1),-$E2438*N(P2438)))</f>
        <v/>
      </c>
      <c r="AE2438" s="34">
        <f>IF(OR($A2438="",$H2438&lt;&gt;"Ausgabe",Q2438=""),0,IF(Q2438="x",-$E2438/(COUNTIF($J2438:$Q2438,"x")+1),-$E2438*N(Q2438)))</f>
        <v/>
      </c>
    </row>
    <row r="2439">
      <c r="A2439" s="30" t="n"/>
      <c r="E2439" s="31" t="n"/>
      <c r="J2439" s="32" t="n"/>
      <c r="K2439" s="32" t="n"/>
      <c r="L2439" s="32" t="n"/>
      <c r="M2439" s="32" t="n"/>
      <c r="N2439" s="32" t="n"/>
      <c r="O2439" s="32" t="n"/>
      <c r="P2439" s="32" t="n"/>
      <c r="Q2439" s="32" t="n"/>
      <c r="U2439" s="31">
        <f>IF($A2439="","",SUM(X2439:AE2439))</f>
        <v/>
      </c>
      <c r="V2439" s="31">
        <f>IF($A2439="","",IF($H2439&lt;&gt;"Ausgabe",0,-$E2439-$U2439))</f>
        <v/>
      </c>
      <c r="W2439" s="33">
        <f>IF($A2439="","",DATE(YEAR($A2439),MONTH($A2439),1))</f>
        <v/>
      </c>
      <c r="X2439" s="34">
        <f>IF(OR($A2439="",$H2439&lt;&gt;"Ausgabe",J2439=""),0,IF(J2439="x",-$E2439/(COUNTIF($J2439:$Q2439,"x")+1),-$E2439*N(J2439)))</f>
        <v/>
      </c>
      <c r="Y2439" s="34">
        <f>IF(OR($A2439="",$H2439&lt;&gt;"Ausgabe",K2439=""),0,IF(K2439="x",-$E2439/(COUNTIF($J2439:$Q2439,"x")+1),-$E2439*N(K2439)))</f>
        <v/>
      </c>
      <c r="Z2439" s="34">
        <f>IF(OR($A2439="",$H2439&lt;&gt;"Ausgabe",L2439=""),0,IF(L2439="x",-$E2439/(COUNTIF($J2439:$Q2439,"x")+1),-$E2439*N(L2439)))</f>
        <v/>
      </c>
      <c r="AA2439" s="34">
        <f>IF(OR($A2439="",$H2439&lt;&gt;"Ausgabe",M2439=""),0,IF(M2439="x",-$E2439/(COUNTIF($J2439:$Q2439,"x")+1),-$E2439*N(M2439)))</f>
        <v/>
      </c>
      <c r="AB2439" s="34">
        <f>IF(OR($A2439="",$H2439&lt;&gt;"Ausgabe",N2439=""),0,IF(N2439="x",-$E2439/(COUNTIF($J2439:$Q2439,"x")+1),-$E2439*N(N2439)))</f>
        <v/>
      </c>
      <c r="AC2439" s="34">
        <f>IF(OR($A2439="",$H2439&lt;&gt;"Ausgabe",O2439=""),0,IF(O2439="x",-$E2439/(COUNTIF($J2439:$Q2439,"x")+1),-$E2439*N(O2439)))</f>
        <v/>
      </c>
      <c r="AD2439" s="34">
        <f>IF(OR($A2439="",$H2439&lt;&gt;"Ausgabe",P2439=""),0,IF(P2439="x",-$E2439/(COUNTIF($J2439:$Q2439,"x")+1),-$E2439*N(P2439)))</f>
        <v/>
      </c>
      <c r="AE2439" s="34">
        <f>IF(OR($A2439="",$H2439&lt;&gt;"Ausgabe",Q2439=""),0,IF(Q2439="x",-$E2439/(COUNTIF($J2439:$Q2439,"x")+1),-$E2439*N(Q2439)))</f>
        <v/>
      </c>
    </row>
    <row r="2440">
      <c r="A2440" s="30" t="n"/>
      <c r="E2440" s="31" t="n"/>
      <c r="J2440" s="32" t="n"/>
      <c r="K2440" s="32" t="n"/>
      <c r="L2440" s="32" t="n"/>
      <c r="M2440" s="32" t="n"/>
      <c r="N2440" s="32" t="n"/>
      <c r="O2440" s="32" t="n"/>
      <c r="P2440" s="32" t="n"/>
      <c r="Q2440" s="32" t="n"/>
      <c r="U2440" s="31">
        <f>IF($A2440="","",SUM(X2440:AE2440))</f>
        <v/>
      </c>
      <c r="V2440" s="31">
        <f>IF($A2440="","",IF($H2440&lt;&gt;"Ausgabe",0,-$E2440-$U2440))</f>
        <v/>
      </c>
      <c r="W2440" s="33">
        <f>IF($A2440="","",DATE(YEAR($A2440),MONTH($A2440),1))</f>
        <v/>
      </c>
      <c r="X2440" s="34">
        <f>IF(OR($A2440="",$H2440&lt;&gt;"Ausgabe",J2440=""),0,IF(J2440="x",-$E2440/(COUNTIF($J2440:$Q2440,"x")+1),-$E2440*N(J2440)))</f>
        <v/>
      </c>
      <c r="Y2440" s="34">
        <f>IF(OR($A2440="",$H2440&lt;&gt;"Ausgabe",K2440=""),0,IF(K2440="x",-$E2440/(COUNTIF($J2440:$Q2440,"x")+1),-$E2440*N(K2440)))</f>
        <v/>
      </c>
      <c r="Z2440" s="34">
        <f>IF(OR($A2440="",$H2440&lt;&gt;"Ausgabe",L2440=""),0,IF(L2440="x",-$E2440/(COUNTIF($J2440:$Q2440,"x")+1),-$E2440*N(L2440)))</f>
        <v/>
      </c>
      <c r="AA2440" s="34">
        <f>IF(OR($A2440="",$H2440&lt;&gt;"Ausgabe",M2440=""),0,IF(M2440="x",-$E2440/(COUNTIF($J2440:$Q2440,"x")+1),-$E2440*N(M2440)))</f>
        <v/>
      </c>
      <c r="AB2440" s="34">
        <f>IF(OR($A2440="",$H2440&lt;&gt;"Ausgabe",N2440=""),0,IF(N2440="x",-$E2440/(COUNTIF($J2440:$Q2440,"x")+1),-$E2440*N(N2440)))</f>
        <v/>
      </c>
      <c r="AC2440" s="34">
        <f>IF(OR($A2440="",$H2440&lt;&gt;"Ausgabe",O2440=""),0,IF(O2440="x",-$E2440/(COUNTIF($J2440:$Q2440,"x")+1),-$E2440*N(O2440)))</f>
        <v/>
      </c>
      <c r="AD2440" s="34">
        <f>IF(OR($A2440="",$H2440&lt;&gt;"Ausgabe",P2440=""),0,IF(P2440="x",-$E2440/(COUNTIF($J2440:$Q2440,"x")+1),-$E2440*N(P2440)))</f>
        <v/>
      </c>
      <c r="AE2440" s="34">
        <f>IF(OR($A2440="",$H2440&lt;&gt;"Ausgabe",Q2440=""),0,IF(Q2440="x",-$E2440/(COUNTIF($J2440:$Q2440,"x")+1),-$E2440*N(Q2440)))</f>
        <v/>
      </c>
    </row>
    <row r="2441">
      <c r="A2441" s="30" t="n"/>
      <c r="E2441" s="31" t="n"/>
      <c r="J2441" s="32" t="n"/>
      <c r="K2441" s="32" t="n"/>
      <c r="L2441" s="32" t="n"/>
      <c r="M2441" s="32" t="n"/>
      <c r="N2441" s="32" t="n"/>
      <c r="O2441" s="32" t="n"/>
      <c r="P2441" s="32" t="n"/>
      <c r="Q2441" s="32" t="n"/>
      <c r="U2441" s="31">
        <f>IF($A2441="","",SUM(X2441:AE2441))</f>
        <v/>
      </c>
      <c r="V2441" s="31">
        <f>IF($A2441="","",IF($H2441&lt;&gt;"Ausgabe",0,-$E2441-$U2441))</f>
        <v/>
      </c>
      <c r="W2441" s="33">
        <f>IF($A2441="","",DATE(YEAR($A2441),MONTH($A2441),1))</f>
        <v/>
      </c>
      <c r="X2441" s="34">
        <f>IF(OR($A2441="",$H2441&lt;&gt;"Ausgabe",J2441=""),0,IF(J2441="x",-$E2441/(COUNTIF($J2441:$Q2441,"x")+1),-$E2441*N(J2441)))</f>
        <v/>
      </c>
      <c r="Y2441" s="34">
        <f>IF(OR($A2441="",$H2441&lt;&gt;"Ausgabe",K2441=""),0,IF(K2441="x",-$E2441/(COUNTIF($J2441:$Q2441,"x")+1),-$E2441*N(K2441)))</f>
        <v/>
      </c>
      <c r="Z2441" s="34">
        <f>IF(OR($A2441="",$H2441&lt;&gt;"Ausgabe",L2441=""),0,IF(L2441="x",-$E2441/(COUNTIF($J2441:$Q2441,"x")+1),-$E2441*N(L2441)))</f>
        <v/>
      </c>
      <c r="AA2441" s="34">
        <f>IF(OR($A2441="",$H2441&lt;&gt;"Ausgabe",M2441=""),0,IF(M2441="x",-$E2441/(COUNTIF($J2441:$Q2441,"x")+1),-$E2441*N(M2441)))</f>
        <v/>
      </c>
      <c r="AB2441" s="34">
        <f>IF(OR($A2441="",$H2441&lt;&gt;"Ausgabe",N2441=""),0,IF(N2441="x",-$E2441/(COUNTIF($J2441:$Q2441,"x")+1),-$E2441*N(N2441)))</f>
        <v/>
      </c>
      <c r="AC2441" s="34">
        <f>IF(OR($A2441="",$H2441&lt;&gt;"Ausgabe",O2441=""),0,IF(O2441="x",-$E2441/(COUNTIF($J2441:$Q2441,"x")+1),-$E2441*N(O2441)))</f>
        <v/>
      </c>
      <c r="AD2441" s="34">
        <f>IF(OR($A2441="",$H2441&lt;&gt;"Ausgabe",P2441=""),0,IF(P2441="x",-$E2441/(COUNTIF($J2441:$Q2441,"x")+1),-$E2441*N(P2441)))</f>
        <v/>
      </c>
      <c r="AE2441" s="34">
        <f>IF(OR($A2441="",$H2441&lt;&gt;"Ausgabe",Q2441=""),0,IF(Q2441="x",-$E2441/(COUNTIF($J2441:$Q2441,"x")+1),-$E2441*N(Q2441)))</f>
        <v/>
      </c>
    </row>
    <row r="2442">
      <c r="A2442" s="30" t="n"/>
      <c r="E2442" s="31" t="n"/>
      <c r="J2442" s="32" t="n"/>
      <c r="K2442" s="32" t="n"/>
      <c r="L2442" s="32" t="n"/>
      <c r="M2442" s="32" t="n"/>
      <c r="N2442" s="32" t="n"/>
      <c r="O2442" s="32" t="n"/>
      <c r="P2442" s="32" t="n"/>
      <c r="Q2442" s="32" t="n"/>
      <c r="U2442" s="31">
        <f>IF($A2442="","",SUM(X2442:AE2442))</f>
        <v/>
      </c>
      <c r="V2442" s="31">
        <f>IF($A2442="","",IF($H2442&lt;&gt;"Ausgabe",0,-$E2442-$U2442))</f>
        <v/>
      </c>
      <c r="W2442" s="33">
        <f>IF($A2442="","",DATE(YEAR($A2442),MONTH($A2442),1))</f>
        <v/>
      </c>
      <c r="X2442" s="34">
        <f>IF(OR($A2442="",$H2442&lt;&gt;"Ausgabe",J2442=""),0,IF(J2442="x",-$E2442/(COUNTIF($J2442:$Q2442,"x")+1),-$E2442*N(J2442)))</f>
        <v/>
      </c>
      <c r="Y2442" s="34">
        <f>IF(OR($A2442="",$H2442&lt;&gt;"Ausgabe",K2442=""),0,IF(K2442="x",-$E2442/(COUNTIF($J2442:$Q2442,"x")+1),-$E2442*N(K2442)))</f>
        <v/>
      </c>
      <c r="Z2442" s="34">
        <f>IF(OR($A2442="",$H2442&lt;&gt;"Ausgabe",L2442=""),0,IF(L2442="x",-$E2442/(COUNTIF($J2442:$Q2442,"x")+1),-$E2442*N(L2442)))</f>
        <v/>
      </c>
      <c r="AA2442" s="34">
        <f>IF(OR($A2442="",$H2442&lt;&gt;"Ausgabe",M2442=""),0,IF(M2442="x",-$E2442/(COUNTIF($J2442:$Q2442,"x")+1),-$E2442*N(M2442)))</f>
        <v/>
      </c>
      <c r="AB2442" s="34">
        <f>IF(OR($A2442="",$H2442&lt;&gt;"Ausgabe",N2442=""),0,IF(N2442="x",-$E2442/(COUNTIF($J2442:$Q2442,"x")+1),-$E2442*N(N2442)))</f>
        <v/>
      </c>
      <c r="AC2442" s="34">
        <f>IF(OR($A2442="",$H2442&lt;&gt;"Ausgabe",O2442=""),0,IF(O2442="x",-$E2442/(COUNTIF($J2442:$Q2442,"x")+1),-$E2442*N(O2442)))</f>
        <v/>
      </c>
      <c r="AD2442" s="34">
        <f>IF(OR($A2442="",$H2442&lt;&gt;"Ausgabe",P2442=""),0,IF(P2442="x",-$E2442/(COUNTIF($J2442:$Q2442,"x")+1),-$E2442*N(P2442)))</f>
        <v/>
      </c>
      <c r="AE2442" s="34">
        <f>IF(OR($A2442="",$H2442&lt;&gt;"Ausgabe",Q2442=""),0,IF(Q2442="x",-$E2442/(COUNTIF($J2442:$Q2442,"x")+1),-$E2442*N(Q2442)))</f>
        <v/>
      </c>
    </row>
    <row r="2443">
      <c r="A2443" s="30" t="n"/>
      <c r="E2443" s="31" t="n"/>
      <c r="J2443" s="32" t="n"/>
      <c r="K2443" s="32" t="n"/>
      <c r="L2443" s="32" t="n"/>
      <c r="M2443" s="32" t="n"/>
      <c r="N2443" s="32" t="n"/>
      <c r="O2443" s="32" t="n"/>
      <c r="P2443" s="32" t="n"/>
      <c r="Q2443" s="32" t="n"/>
      <c r="U2443" s="31">
        <f>IF($A2443="","",SUM(X2443:AE2443))</f>
        <v/>
      </c>
      <c r="V2443" s="31">
        <f>IF($A2443="","",IF($H2443&lt;&gt;"Ausgabe",0,-$E2443-$U2443))</f>
        <v/>
      </c>
      <c r="W2443" s="33">
        <f>IF($A2443="","",DATE(YEAR($A2443),MONTH($A2443),1))</f>
        <v/>
      </c>
      <c r="X2443" s="34">
        <f>IF(OR($A2443="",$H2443&lt;&gt;"Ausgabe",J2443=""),0,IF(J2443="x",-$E2443/(COUNTIF($J2443:$Q2443,"x")+1),-$E2443*N(J2443)))</f>
        <v/>
      </c>
      <c r="Y2443" s="34">
        <f>IF(OR($A2443="",$H2443&lt;&gt;"Ausgabe",K2443=""),0,IF(K2443="x",-$E2443/(COUNTIF($J2443:$Q2443,"x")+1),-$E2443*N(K2443)))</f>
        <v/>
      </c>
      <c r="Z2443" s="34">
        <f>IF(OR($A2443="",$H2443&lt;&gt;"Ausgabe",L2443=""),0,IF(L2443="x",-$E2443/(COUNTIF($J2443:$Q2443,"x")+1),-$E2443*N(L2443)))</f>
        <v/>
      </c>
      <c r="AA2443" s="34">
        <f>IF(OR($A2443="",$H2443&lt;&gt;"Ausgabe",M2443=""),0,IF(M2443="x",-$E2443/(COUNTIF($J2443:$Q2443,"x")+1),-$E2443*N(M2443)))</f>
        <v/>
      </c>
      <c r="AB2443" s="34">
        <f>IF(OR($A2443="",$H2443&lt;&gt;"Ausgabe",N2443=""),0,IF(N2443="x",-$E2443/(COUNTIF($J2443:$Q2443,"x")+1),-$E2443*N(N2443)))</f>
        <v/>
      </c>
      <c r="AC2443" s="34">
        <f>IF(OR($A2443="",$H2443&lt;&gt;"Ausgabe",O2443=""),0,IF(O2443="x",-$E2443/(COUNTIF($J2443:$Q2443,"x")+1),-$E2443*N(O2443)))</f>
        <v/>
      </c>
      <c r="AD2443" s="34">
        <f>IF(OR($A2443="",$H2443&lt;&gt;"Ausgabe",P2443=""),0,IF(P2443="x",-$E2443/(COUNTIF($J2443:$Q2443,"x")+1),-$E2443*N(P2443)))</f>
        <v/>
      </c>
      <c r="AE2443" s="34">
        <f>IF(OR($A2443="",$H2443&lt;&gt;"Ausgabe",Q2443=""),0,IF(Q2443="x",-$E2443/(COUNTIF($J2443:$Q2443,"x")+1),-$E2443*N(Q2443)))</f>
        <v/>
      </c>
    </row>
    <row r="2444">
      <c r="A2444" s="30" t="n"/>
      <c r="E2444" s="31" t="n"/>
      <c r="J2444" s="32" t="n"/>
      <c r="K2444" s="32" t="n"/>
      <c r="L2444" s="32" t="n"/>
      <c r="M2444" s="32" t="n"/>
      <c r="N2444" s="32" t="n"/>
      <c r="O2444" s="32" t="n"/>
      <c r="P2444" s="32" t="n"/>
      <c r="Q2444" s="32" t="n"/>
      <c r="U2444" s="31">
        <f>IF($A2444="","",SUM(X2444:AE2444))</f>
        <v/>
      </c>
      <c r="V2444" s="31">
        <f>IF($A2444="","",IF($H2444&lt;&gt;"Ausgabe",0,-$E2444-$U2444))</f>
        <v/>
      </c>
      <c r="W2444" s="33">
        <f>IF($A2444="","",DATE(YEAR($A2444),MONTH($A2444),1))</f>
        <v/>
      </c>
      <c r="X2444" s="34">
        <f>IF(OR($A2444="",$H2444&lt;&gt;"Ausgabe",J2444=""),0,IF(J2444="x",-$E2444/(COUNTIF($J2444:$Q2444,"x")+1),-$E2444*N(J2444)))</f>
        <v/>
      </c>
      <c r="Y2444" s="34">
        <f>IF(OR($A2444="",$H2444&lt;&gt;"Ausgabe",K2444=""),0,IF(K2444="x",-$E2444/(COUNTIF($J2444:$Q2444,"x")+1),-$E2444*N(K2444)))</f>
        <v/>
      </c>
      <c r="Z2444" s="34">
        <f>IF(OR($A2444="",$H2444&lt;&gt;"Ausgabe",L2444=""),0,IF(L2444="x",-$E2444/(COUNTIF($J2444:$Q2444,"x")+1),-$E2444*N(L2444)))</f>
        <v/>
      </c>
      <c r="AA2444" s="34">
        <f>IF(OR($A2444="",$H2444&lt;&gt;"Ausgabe",M2444=""),0,IF(M2444="x",-$E2444/(COUNTIF($J2444:$Q2444,"x")+1),-$E2444*N(M2444)))</f>
        <v/>
      </c>
      <c r="AB2444" s="34">
        <f>IF(OR($A2444="",$H2444&lt;&gt;"Ausgabe",N2444=""),0,IF(N2444="x",-$E2444/(COUNTIF($J2444:$Q2444,"x")+1),-$E2444*N(N2444)))</f>
        <v/>
      </c>
      <c r="AC2444" s="34">
        <f>IF(OR($A2444="",$H2444&lt;&gt;"Ausgabe",O2444=""),0,IF(O2444="x",-$E2444/(COUNTIF($J2444:$Q2444,"x")+1),-$E2444*N(O2444)))</f>
        <v/>
      </c>
      <c r="AD2444" s="34">
        <f>IF(OR($A2444="",$H2444&lt;&gt;"Ausgabe",P2444=""),0,IF(P2444="x",-$E2444/(COUNTIF($J2444:$Q2444,"x")+1),-$E2444*N(P2444)))</f>
        <v/>
      </c>
      <c r="AE2444" s="34">
        <f>IF(OR($A2444="",$H2444&lt;&gt;"Ausgabe",Q2444=""),0,IF(Q2444="x",-$E2444/(COUNTIF($J2444:$Q2444,"x")+1),-$E2444*N(Q2444)))</f>
        <v/>
      </c>
    </row>
    <row r="2445">
      <c r="A2445" s="30" t="n"/>
      <c r="E2445" s="31" t="n"/>
      <c r="J2445" s="32" t="n"/>
      <c r="K2445" s="32" t="n"/>
      <c r="L2445" s="32" t="n"/>
      <c r="M2445" s="32" t="n"/>
      <c r="N2445" s="32" t="n"/>
      <c r="O2445" s="32" t="n"/>
      <c r="P2445" s="32" t="n"/>
      <c r="Q2445" s="32" t="n"/>
      <c r="U2445" s="31">
        <f>IF($A2445="","",SUM(X2445:AE2445))</f>
        <v/>
      </c>
      <c r="V2445" s="31">
        <f>IF($A2445="","",IF($H2445&lt;&gt;"Ausgabe",0,-$E2445-$U2445))</f>
        <v/>
      </c>
      <c r="W2445" s="33">
        <f>IF($A2445="","",DATE(YEAR($A2445),MONTH($A2445),1))</f>
        <v/>
      </c>
      <c r="X2445" s="34">
        <f>IF(OR($A2445="",$H2445&lt;&gt;"Ausgabe",J2445=""),0,IF(J2445="x",-$E2445/(COUNTIF($J2445:$Q2445,"x")+1),-$E2445*N(J2445)))</f>
        <v/>
      </c>
      <c r="Y2445" s="34">
        <f>IF(OR($A2445="",$H2445&lt;&gt;"Ausgabe",K2445=""),0,IF(K2445="x",-$E2445/(COUNTIF($J2445:$Q2445,"x")+1),-$E2445*N(K2445)))</f>
        <v/>
      </c>
      <c r="Z2445" s="34">
        <f>IF(OR($A2445="",$H2445&lt;&gt;"Ausgabe",L2445=""),0,IF(L2445="x",-$E2445/(COUNTIF($J2445:$Q2445,"x")+1),-$E2445*N(L2445)))</f>
        <v/>
      </c>
      <c r="AA2445" s="34">
        <f>IF(OR($A2445="",$H2445&lt;&gt;"Ausgabe",M2445=""),0,IF(M2445="x",-$E2445/(COUNTIF($J2445:$Q2445,"x")+1),-$E2445*N(M2445)))</f>
        <v/>
      </c>
      <c r="AB2445" s="34">
        <f>IF(OR($A2445="",$H2445&lt;&gt;"Ausgabe",N2445=""),0,IF(N2445="x",-$E2445/(COUNTIF($J2445:$Q2445,"x")+1),-$E2445*N(N2445)))</f>
        <v/>
      </c>
      <c r="AC2445" s="34">
        <f>IF(OR($A2445="",$H2445&lt;&gt;"Ausgabe",O2445=""),0,IF(O2445="x",-$E2445/(COUNTIF($J2445:$Q2445,"x")+1),-$E2445*N(O2445)))</f>
        <v/>
      </c>
      <c r="AD2445" s="34">
        <f>IF(OR($A2445="",$H2445&lt;&gt;"Ausgabe",P2445=""),0,IF(P2445="x",-$E2445/(COUNTIF($J2445:$Q2445,"x")+1),-$E2445*N(P2445)))</f>
        <v/>
      </c>
      <c r="AE2445" s="34">
        <f>IF(OR($A2445="",$H2445&lt;&gt;"Ausgabe",Q2445=""),0,IF(Q2445="x",-$E2445/(COUNTIF($J2445:$Q2445,"x")+1),-$E2445*N(Q2445)))</f>
        <v/>
      </c>
    </row>
    <row r="2446">
      <c r="A2446" s="30" t="n"/>
      <c r="E2446" s="31" t="n"/>
      <c r="J2446" s="32" t="n"/>
      <c r="K2446" s="32" t="n"/>
      <c r="L2446" s="32" t="n"/>
      <c r="M2446" s="32" t="n"/>
      <c r="N2446" s="32" t="n"/>
      <c r="O2446" s="32" t="n"/>
      <c r="P2446" s="32" t="n"/>
      <c r="Q2446" s="32" t="n"/>
      <c r="U2446" s="31">
        <f>IF($A2446="","",SUM(X2446:AE2446))</f>
        <v/>
      </c>
      <c r="V2446" s="31">
        <f>IF($A2446="","",IF($H2446&lt;&gt;"Ausgabe",0,-$E2446-$U2446))</f>
        <v/>
      </c>
      <c r="W2446" s="33">
        <f>IF($A2446="","",DATE(YEAR($A2446),MONTH($A2446),1))</f>
        <v/>
      </c>
      <c r="X2446" s="34">
        <f>IF(OR($A2446="",$H2446&lt;&gt;"Ausgabe",J2446=""),0,IF(J2446="x",-$E2446/(COUNTIF($J2446:$Q2446,"x")+1),-$E2446*N(J2446)))</f>
        <v/>
      </c>
      <c r="Y2446" s="34">
        <f>IF(OR($A2446="",$H2446&lt;&gt;"Ausgabe",K2446=""),0,IF(K2446="x",-$E2446/(COUNTIF($J2446:$Q2446,"x")+1),-$E2446*N(K2446)))</f>
        <v/>
      </c>
      <c r="Z2446" s="34">
        <f>IF(OR($A2446="",$H2446&lt;&gt;"Ausgabe",L2446=""),0,IF(L2446="x",-$E2446/(COUNTIF($J2446:$Q2446,"x")+1),-$E2446*N(L2446)))</f>
        <v/>
      </c>
      <c r="AA2446" s="34">
        <f>IF(OR($A2446="",$H2446&lt;&gt;"Ausgabe",M2446=""),0,IF(M2446="x",-$E2446/(COUNTIF($J2446:$Q2446,"x")+1),-$E2446*N(M2446)))</f>
        <v/>
      </c>
      <c r="AB2446" s="34">
        <f>IF(OR($A2446="",$H2446&lt;&gt;"Ausgabe",N2446=""),0,IF(N2446="x",-$E2446/(COUNTIF($J2446:$Q2446,"x")+1),-$E2446*N(N2446)))</f>
        <v/>
      </c>
      <c r="AC2446" s="34">
        <f>IF(OR($A2446="",$H2446&lt;&gt;"Ausgabe",O2446=""),0,IF(O2446="x",-$E2446/(COUNTIF($J2446:$Q2446,"x")+1),-$E2446*N(O2446)))</f>
        <v/>
      </c>
      <c r="AD2446" s="34">
        <f>IF(OR($A2446="",$H2446&lt;&gt;"Ausgabe",P2446=""),0,IF(P2446="x",-$E2446/(COUNTIF($J2446:$Q2446,"x")+1),-$E2446*N(P2446)))</f>
        <v/>
      </c>
      <c r="AE2446" s="34">
        <f>IF(OR($A2446="",$H2446&lt;&gt;"Ausgabe",Q2446=""),0,IF(Q2446="x",-$E2446/(COUNTIF($J2446:$Q2446,"x")+1),-$E2446*N(Q2446)))</f>
        <v/>
      </c>
    </row>
    <row r="2447">
      <c r="A2447" s="30" t="n"/>
      <c r="E2447" s="31" t="n"/>
      <c r="J2447" s="32" t="n"/>
      <c r="K2447" s="32" t="n"/>
      <c r="L2447" s="32" t="n"/>
      <c r="M2447" s="32" t="n"/>
      <c r="N2447" s="32" t="n"/>
      <c r="O2447" s="32" t="n"/>
      <c r="P2447" s="32" t="n"/>
      <c r="Q2447" s="32" t="n"/>
      <c r="U2447" s="31">
        <f>IF($A2447="","",SUM(X2447:AE2447))</f>
        <v/>
      </c>
      <c r="V2447" s="31">
        <f>IF($A2447="","",IF($H2447&lt;&gt;"Ausgabe",0,-$E2447-$U2447))</f>
        <v/>
      </c>
      <c r="W2447" s="33">
        <f>IF($A2447="","",DATE(YEAR($A2447),MONTH($A2447),1))</f>
        <v/>
      </c>
      <c r="X2447" s="34">
        <f>IF(OR($A2447="",$H2447&lt;&gt;"Ausgabe",J2447=""),0,IF(J2447="x",-$E2447/(COUNTIF($J2447:$Q2447,"x")+1),-$E2447*N(J2447)))</f>
        <v/>
      </c>
      <c r="Y2447" s="34">
        <f>IF(OR($A2447="",$H2447&lt;&gt;"Ausgabe",K2447=""),0,IF(K2447="x",-$E2447/(COUNTIF($J2447:$Q2447,"x")+1),-$E2447*N(K2447)))</f>
        <v/>
      </c>
      <c r="Z2447" s="34">
        <f>IF(OR($A2447="",$H2447&lt;&gt;"Ausgabe",L2447=""),0,IF(L2447="x",-$E2447/(COUNTIF($J2447:$Q2447,"x")+1),-$E2447*N(L2447)))</f>
        <v/>
      </c>
      <c r="AA2447" s="34">
        <f>IF(OR($A2447="",$H2447&lt;&gt;"Ausgabe",M2447=""),0,IF(M2447="x",-$E2447/(COUNTIF($J2447:$Q2447,"x")+1),-$E2447*N(M2447)))</f>
        <v/>
      </c>
      <c r="AB2447" s="34">
        <f>IF(OR($A2447="",$H2447&lt;&gt;"Ausgabe",N2447=""),0,IF(N2447="x",-$E2447/(COUNTIF($J2447:$Q2447,"x")+1),-$E2447*N(N2447)))</f>
        <v/>
      </c>
      <c r="AC2447" s="34">
        <f>IF(OR($A2447="",$H2447&lt;&gt;"Ausgabe",O2447=""),0,IF(O2447="x",-$E2447/(COUNTIF($J2447:$Q2447,"x")+1),-$E2447*N(O2447)))</f>
        <v/>
      </c>
      <c r="AD2447" s="34">
        <f>IF(OR($A2447="",$H2447&lt;&gt;"Ausgabe",P2447=""),0,IF(P2447="x",-$E2447/(COUNTIF($J2447:$Q2447,"x")+1),-$E2447*N(P2447)))</f>
        <v/>
      </c>
      <c r="AE2447" s="34">
        <f>IF(OR($A2447="",$H2447&lt;&gt;"Ausgabe",Q2447=""),0,IF(Q2447="x",-$E2447/(COUNTIF($J2447:$Q2447,"x")+1),-$E2447*N(Q2447)))</f>
        <v/>
      </c>
    </row>
    <row r="2448">
      <c r="A2448" s="30" t="n"/>
      <c r="E2448" s="31" t="n"/>
      <c r="J2448" s="32" t="n"/>
      <c r="K2448" s="32" t="n"/>
      <c r="L2448" s="32" t="n"/>
      <c r="M2448" s="32" t="n"/>
      <c r="N2448" s="32" t="n"/>
      <c r="O2448" s="32" t="n"/>
      <c r="P2448" s="32" t="n"/>
      <c r="Q2448" s="32" t="n"/>
      <c r="U2448" s="31">
        <f>IF($A2448="","",SUM(X2448:AE2448))</f>
        <v/>
      </c>
      <c r="V2448" s="31">
        <f>IF($A2448="","",IF($H2448&lt;&gt;"Ausgabe",0,-$E2448-$U2448))</f>
        <v/>
      </c>
      <c r="W2448" s="33">
        <f>IF($A2448="","",DATE(YEAR($A2448),MONTH($A2448),1))</f>
        <v/>
      </c>
      <c r="X2448" s="34">
        <f>IF(OR($A2448="",$H2448&lt;&gt;"Ausgabe",J2448=""),0,IF(J2448="x",-$E2448/(COUNTIF($J2448:$Q2448,"x")+1),-$E2448*N(J2448)))</f>
        <v/>
      </c>
      <c r="Y2448" s="34">
        <f>IF(OR($A2448="",$H2448&lt;&gt;"Ausgabe",K2448=""),0,IF(K2448="x",-$E2448/(COUNTIF($J2448:$Q2448,"x")+1),-$E2448*N(K2448)))</f>
        <v/>
      </c>
      <c r="Z2448" s="34">
        <f>IF(OR($A2448="",$H2448&lt;&gt;"Ausgabe",L2448=""),0,IF(L2448="x",-$E2448/(COUNTIF($J2448:$Q2448,"x")+1),-$E2448*N(L2448)))</f>
        <v/>
      </c>
      <c r="AA2448" s="34">
        <f>IF(OR($A2448="",$H2448&lt;&gt;"Ausgabe",M2448=""),0,IF(M2448="x",-$E2448/(COUNTIF($J2448:$Q2448,"x")+1),-$E2448*N(M2448)))</f>
        <v/>
      </c>
      <c r="AB2448" s="34">
        <f>IF(OR($A2448="",$H2448&lt;&gt;"Ausgabe",N2448=""),0,IF(N2448="x",-$E2448/(COUNTIF($J2448:$Q2448,"x")+1),-$E2448*N(N2448)))</f>
        <v/>
      </c>
      <c r="AC2448" s="34">
        <f>IF(OR($A2448="",$H2448&lt;&gt;"Ausgabe",O2448=""),0,IF(O2448="x",-$E2448/(COUNTIF($J2448:$Q2448,"x")+1),-$E2448*N(O2448)))</f>
        <v/>
      </c>
      <c r="AD2448" s="34">
        <f>IF(OR($A2448="",$H2448&lt;&gt;"Ausgabe",P2448=""),0,IF(P2448="x",-$E2448/(COUNTIF($J2448:$Q2448,"x")+1),-$E2448*N(P2448)))</f>
        <v/>
      </c>
      <c r="AE2448" s="34">
        <f>IF(OR($A2448="",$H2448&lt;&gt;"Ausgabe",Q2448=""),0,IF(Q2448="x",-$E2448/(COUNTIF($J2448:$Q2448,"x")+1),-$E2448*N(Q2448)))</f>
        <v/>
      </c>
    </row>
    <row r="2449">
      <c r="A2449" s="30" t="n"/>
      <c r="E2449" s="31" t="n"/>
      <c r="J2449" s="32" t="n"/>
      <c r="K2449" s="32" t="n"/>
      <c r="L2449" s="32" t="n"/>
      <c r="M2449" s="32" t="n"/>
      <c r="N2449" s="32" t="n"/>
      <c r="O2449" s="32" t="n"/>
      <c r="P2449" s="32" t="n"/>
      <c r="Q2449" s="32" t="n"/>
      <c r="U2449" s="31">
        <f>IF($A2449="","",SUM(X2449:AE2449))</f>
        <v/>
      </c>
      <c r="V2449" s="31">
        <f>IF($A2449="","",IF($H2449&lt;&gt;"Ausgabe",0,-$E2449-$U2449))</f>
        <v/>
      </c>
      <c r="W2449" s="33">
        <f>IF($A2449="","",DATE(YEAR($A2449),MONTH($A2449),1))</f>
        <v/>
      </c>
      <c r="X2449" s="34">
        <f>IF(OR($A2449="",$H2449&lt;&gt;"Ausgabe",J2449=""),0,IF(J2449="x",-$E2449/(COUNTIF($J2449:$Q2449,"x")+1),-$E2449*N(J2449)))</f>
        <v/>
      </c>
      <c r="Y2449" s="34">
        <f>IF(OR($A2449="",$H2449&lt;&gt;"Ausgabe",K2449=""),0,IF(K2449="x",-$E2449/(COUNTIF($J2449:$Q2449,"x")+1),-$E2449*N(K2449)))</f>
        <v/>
      </c>
      <c r="Z2449" s="34">
        <f>IF(OR($A2449="",$H2449&lt;&gt;"Ausgabe",L2449=""),0,IF(L2449="x",-$E2449/(COUNTIF($J2449:$Q2449,"x")+1),-$E2449*N(L2449)))</f>
        <v/>
      </c>
      <c r="AA2449" s="34">
        <f>IF(OR($A2449="",$H2449&lt;&gt;"Ausgabe",M2449=""),0,IF(M2449="x",-$E2449/(COUNTIF($J2449:$Q2449,"x")+1),-$E2449*N(M2449)))</f>
        <v/>
      </c>
      <c r="AB2449" s="34">
        <f>IF(OR($A2449="",$H2449&lt;&gt;"Ausgabe",N2449=""),0,IF(N2449="x",-$E2449/(COUNTIF($J2449:$Q2449,"x")+1),-$E2449*N(N2449)))</f>
        <v/>
      </c>
      <c r="AC2449" s="34">
        <f>IF(OR($A2449="",$H2449&lt;&gt;"Ausgabe",O2449=""),0,IF(O2449="x",-$E2449/(COUNTIF($J2449:$Q2449,"x")+1),-$E2449*N(O2449)))</f>
        <v/>
      </c>
      <c r="AD2449" s="34">
        <f>IF(OR($A2449="",$H2449&lt;&gt;"Ausgabe",P2449=""),0,IF(P2449="x",-$E2449/(COUNTIF($J2449:$Q2449,"x")+1),-$E2449*N(P2449)))</f>
        <v/>
      </c>
      <c r="AE2449" s="34">
        <f>IF(OR($A2449="",$H2449&lt;&gt;"Ausgabe",Q2449=""),0,IF(Q2449="x",-$E2449/(COUNTIF($J2449:$Q2449,"x")+1),-$E2449*N(Q2449)))</f>
        <v/>
      </c>
    </row>
    <row r="2450">
      <c r="A2450" s="30" t="n"/>
      <c r="E2450" s="31" t="n"/>
      <c r="J2450" s="32" t="n"/>
      <c r="K2450" s="32" t="n"/>
      <c r="L2450" s="32" t="n"/>
      <c r="M2450" s="32" t="n"/>
      <c r="N2450" s="32" t="n"/>
      <c r="O2450" s="32" t="n"/>
      <c r="P2450" s="32" t="n"/>
      <c r="Q2450" s="32" t="n"/>
      <c r="U2450" s="31">
        <f>IF($A2450="","",SUM(X2450:AE2450))</f>
        <v/>
      </c>
      <c r="V2450" s="31">
        <f>IF($A2450="","",IF($H2450&lt;&gt;"Ausgabe",0,-$E2450-$U2450))</f>
        <v/>
      </c>
      <c r="W2450" s="33">
        <f>IF($A2450="","",DATE(YEAR($A2450),MONTH($A2450),1))</f>
        <v/>
      </c>
      <c r="X2450" s="34">
        <f>IF(OR($A2450="",$H2450&lt;&gt;"Ausgabe",J2450=""),0,IF(J2450="x",-$E2450/(COUNTIF($J2450:$Q2450,"x")+1),-$E2450*N(J2450)))</f>
        <v/>
      </c>
      <c r="Y2450" s="34">
        <f>IF(OR($A2450="",$H2450&lt;&gt;"Ausgabe",K2450=""),0,IF(K2450="x",-$E2450/(COUNTIF($J2450:$Q2450,"x")+1),-$E2450*N(K2450)))</f>
        <v/>
      </c>
      <c r="Z2450" s="34">
        <f>IF(OR($A2450="",$H2450&lt;&gt;"Ausgabe",L2450=""),0,IF(L2450="x",-$E2450/(COUNTIF($J2450:$Q2450,"x")+1),-$E2450*N(L2450)))</f>
        <v/>
      </c>
      <c r="AA2450" s="34">
        <f>IF(OR($A2450="",$H2450&lt;&gt;"Ausgabe",M2450=""),0,IF(M2450="x",-$E2450/(COUNTIF($J2450:$Q2450,"x")+1),-$E2450*N(M2450)))</f>
        <v/>
      </c>
      <c r="AB2450" s="34">
        <f>IF(OR($A2450="",$H2450&lt;&gt;"Ausgabe",N2450=""),0,IF(N2450="x",-$E2450/(COUNTIF($J2450:$Q2450,"x")+1),-$E2450*N(N2450)))</f>
        <v/>
      </c>
      <c r="AC2450" s="34">
        <f>IF(OR($A2450="",$H2450&lt;&gt;"Ausgabe",O2450=""),0,IF(O2450="x",-$E2450/(COUNTIF($J2450:$Q2450,"x")+1),-$E2450*N(O2450)))</f>
        <v/>
      </c>
      <c r="AD2450" s="34">
        <f>IF(OR($A2450="",$H2450&lt;&gt;"Ausgabe",P2450=""),0,IF(P2450="x",-$E2450/(COUNTIF($J2450:$Q2450,"x")+1),-$E2450*N(P2450)))</f>
        <v/>
      </c>
      <c r="AE2450" s="34">
        <f>IF(OR($A2450="",$H2450&lt;&gt;"Ausgabe",Q2450=""),0,IF(Q2450="x",-$E2450/(COUNTIF($J2450:$Q2450,"x")+1),-$E2450*N(Q2450)))</f>
        <v/>
      </c>
    </row>
    <row r="2451">
      <c r="A2451" s="30" t="n"/>
      <c r="E2451" s="31" t="n"/>
      <c r="J2451" s="32" t="n"/>
      <c r="K2451" s="32" t="n"/>
      <c r="L2451" s="32" t="n"/>
      <c r="M2451" s="32" t="n"/>
      <c r="N2451" s="32" t="n"/>
      <c r="O2451" s="32" t="n"/>
      <c r="P2451" s="32" t="n"/>
      <c r="Q2451" s="32" t="n"/>
      <c r="U2451" s="31">
        <f>IF($A2451="","",SUM(X2451:AE2451))</f>
        <v/>
      </c>
      <c r="V2451" s="31">
        <f>IF($A2451="","",IF($H2451&lt;&gt;"Ausgabe",0,-$E2451-$U2451))</f>
        <v/>
      </c>
      <c r="W2451" s="33">
        <f>IF($A2451="","",DATE(YEAR($A2451),MONTH($A2451),1))</f>
        <v/>
      </c>
      <c r="X2451" s="34">
        <f>IF(OR($A2451="",$H2451&lt;&gt;"Ausgabe",J2451=""),0,IF(J2451="x",-$E2451/(COUNTIF($J2451:$Q2451,"x")+1),-$E2451*N(J2451)))</f>
        <v/>
      </c>
      <c r="Y2451" s="34">
        <f>IF(OR($A2451="",$H2451&lt;&gt;"Ausgabe",K2451=""),0,IF(K2451="x",-$E2451/(COUNTIF($J2451:$Q2451,"x")+1),-$E2451*N(K2451)))</f>
        <v/>
      </c>
      <c r="Z2451" s="34">
        <f>IF(OR($A2451="",$H2451&lt;&gt;"Ausgabe",L2451=""),0,IF(L2451="x",-$E2451/(COUNTIF($J2451:$Q2451,"x")+1),-$E2451*N(L2451)))</f>
        <v/>
      </c>
      <c r="AA2451" s="34">
        <f>IF(OR($A2451="",$H2451&lt;&gt;"Ausgabe",M2451=""),0,IF(M2451="x",-$E2451/(COUNTIF($J2451:$Q2451,"x")+1),-$E2451*N(M2451)))</f>
        <v/>
      </c>
      <c r="AB2451" s="34">
        <f>IF(OR($A2451="",$H2451&lt;&gt;"Ausgabe",N2451=""),0,IF(N2451="x",-$E2451/(COUNTIF($J2451:$Q2451,"x")+1),-$E2451*N(N2451)))</f>
        <v/>
      </c>
      <c r="AC2451" s="34">
        <f>IF(OR($A2451="",$H2451&lt;&gt;"Ausgabe",O2451=""),0,IF(O2451="x",-$E2451/(COUNTIF($J2451:$Q2451,"x")+1),-$E2451*N(O2451)))</f>
        <v/>
      </c>
      <c r="AD2451" s="34">
        <f>IF(OR($A2451="",$H2451&lt;&gt;"Ausgabe",P2451=""),0,IF(P2451="x",-$E2451/(COUNTIF($J2451:$Q2451,"x")+1),-$E2451*N(P2451)))</f>
        <v/>
      </c>
      <c r="AE2451" s="34">
        <f>IF(OR($A2451="",$H2451&lt;&gt;"Ausgabe",Q2451=""),0,IF(Q2451="x",-$E2451/(COUNTIF($J2451:$Q2451,"x")+1),-$E2451*N(Q2451)))</f>
        <v/>
      </c>
    </row>
    <row r="2452">
      <c r="A2452" s="30" t="n"/>
      <c r="E2452" s="31" t="n"/>
      <c r="J2452" s="32" t="n"/>
      <c r="K2452" s="32" t="n"/>
      <c r="L2452" s="32" t="n"/>
      <c r="M2452" s="32" t="n"/>
      <c r="N2452" s="32" t="n"/>
      <c r="O2452" s="32" t="n"/>
      <c r="P2452" s="32" t="n"/>
      <c r="Q2452" s="32" t="n"/>
      <c r="U2452" s="31">
        <f>IF($A2452="","",SUM(X2452:AE2452))</f>
        <v/>
      </c>
      <c r="V2452" s="31">
        <f>IF($A2452="","",IF($H2452&lt;&gt;"Ausgabe",0,-$E2452-$U2452))</f>
        <v/>
      </c>
      <c r="W2452" s="33">
        <f>IF($A2452="","",DATE(YEAR($A2452),MONTH($A2452),1))</f>
        <v/>
      </c>
      <c r="X2452" s="34">
        <f>IF(OR($A2452="",$H2452&lt;&gt;"Ausgabe",J2452=""),0,IF(J2452="x",-$E2452/(COUNTIF($J2452:$Q2452,"x")+1),-$E2452*N(J2452)))</f>
        <v/>
      </c>
      <c r="Y2452" s="34">
        <f>IF(OR($A2452="",$H2452&lt;&gt;"Ausgabe",K2452=""),0,IF(K2452="x",-$E2452/(COUNTIF($J2452:$Q2452,"x")+1),-$E2452*N(K2452)))</f>
        <v/>
      </c>
      <c r="Z2452" s="34">
        <f>IF(OR($A2452="",$H2452&lt;&gt;"Ausgabe",L2452=""),0,IF(L2452="x",-$E2452/(COUNTIF($J2452:$Q2452,"x")+1),-$E2452*N(L2452)))</f>
        <v/>
      </c>
      <c r="AA2452" s="34">
        <f>IF(OR($A2452="",$H2452&lt;&gt;"Ausgabe",M2452=""),0,IF(M2452="x",-$E2452/(COUNTIF($J2452:$Q2452,"x")+1),-$E2452*N(M2452)))</f>
        <v/>
      </c>
      <c r="AB2452" s="34">
        <f>IF(OR($A2452="",$H2452&lt;&gt;"Ausgabe",N2452=""),0,IF(N2452="x",-$E2452/(COUNTIF($J2452:$Q2452,"x")+1),-$E2452*N(N2452)))</f>
        <v/>
      </c>
      <c r="AC2452" s="34">
        <f>IF(OR($A2452="",$H2452&lt;&gt;"Ausgabe",O2452=""),0,IF(O2452="x",-$E2452/(COUNTIF($J2452:$Q2452,"x")+1),-$E2452*N(O2452)))</f>
        <v/>
      </c>
      <c r="AD2452" s="34">
        <f>IF(OR($A2452="",$H2452&lt;&gt;"Ausgabe",P2452=""),0,IF(P2452="x",-$E2452/(COUNTIF($J2452:$Q2452,"x")+1),-$E2452*N(P2452)))</f>
        <v/>
      </c>
      <c r="AE2452" s="34">
        <f>IF(OR($A2452="",$H2452&lt;&gt;"Ausgabe",Q2452=""),0,IF(Q2452="x",-$E2452/(COUNTIF($J2452:$Q2452,"x")+1),-$E2452*N(Q2452)))</f>
        <v/>
      </c>
    </row>
    <row r="2453">
      <c r="A2453" s="30" t="n"/>
      <c r="E2453" s="31" t="n"/>
      <c r="J2453" s="32" t="n"/>
      <c r="K2453" s="32" t="n"/>
      <c r="L2453" s="32" t="n"/>
      <c r="M2453" s="32" t="n"/>
      <c r="N2453" s="32" t="n"/>
      <c r="O2453" s="32" t="n"/>
      <c r="P2453" s="32" t="n"/>
      <c r="Q2453" s="32" t="n"/>
      <c r="U2453" s="31">
        <f>IF($A2453="","",SUM(X2453:AE2453))</f>
        <v/>
      </c>
      <c r="V2453" s="31">
        <f>IF($A2453="","",IF($H2453&lt;&gt;"Ausgabe",0,-$E2453-$U2453))</f>
        <v/>
      </c>
      <c r="W2453" s="33">
        <f>IF($A2453="","",DATE(YEAR($A2453),MONTH($A2453),1))</f>
        <v/>
      </c>
      <c r="X2453" s="34">
        <f>IF(OR($A2453="",$H2453&lt;&gt;"Ausgabe",J2453=""),0,IF(J2453="x",-$E2453/(COUNTIF($J2453:$Q2453,"x")+1),-$E2453*N(J2453)))</f>
        <v/>
      </c>
      <c r="Y2453" s="34">
        <f>IF(OR($A2453="",$H2453&lt;&gt;"Ausgabe",K2453=""),0,IF(K2453="x",-$E2453/(COUNTIF($J2453:$Q2453,"x")+1),-$E2453*N(K2453)))</f>
        <v/>
      </c>
      <c r="Z2453" s="34">
        <f>IF(OR($A2453="",$H2453&lt;&gt;"Ausgabe",L2453=""),0,IF(L2453="x",-$E2453/(COUNTIF($J2453:$Q2453,"x")+1),-$E2453*N(L2453)))</f>
        <v/>
      </c>
      <c r="AA2453" s="34">
        <f>IF(OR($A2453="",$H2453&lt;&gt;"Ausgabe",M2453=""),0,IF(M2453="x",-$E2453/(COUNTIF($J2453:$Q2453,"x")+1),-$E2453*N(M2453)))</f>
        <v/>
      </c>
      <c r="AB2453" s="34">
        <f>IF(OR($A2453="",$H2453&lt;&gt;"Ausgabe",N2453=""),0,IF(N2453="x",-$E2453/(COUNTIF($J2453:$Q2453,"x")+1),-$E2453*N(N2453)))</f>
        <v/>
      </c>
      <c r="AC2453" s="34">
        <f>IF(OR($A2453="",$H2453&lt;&gt;"Ausgabe",O2453=""),0,IF(O2453="x",-$E2453/(COUNTIF($J2453:$Q2453,"x")+1),-$E2453*N(O2453)))</f>
        <v/>
      </c>
      <c r="AD2453" s="34">
        <f>IF(OR($A2453="",$H2453&lt;&gt;"Ausgabe",P2453=""),0,IF(P2453="x",-$E2453/(COUNTIF($J2453:$Q2453,"x")+1),-$E2453*N(P2453)))</f>
        <v/>
      </c>
      <c r="AE2453" s="34">
        <f>IF(OR($A2453="",$H2453&lt;&gt;"Ausgabe",Q2453=""),0,IF(Q2453="x",-$E2453/(COUNTIF($J2453:$Q2453,"x")+1),-$E2453*N(Q2453)))</f>
        <v/>
      </c>
    </row>
    <row r="2454">
      <c r="A2454" s="30" t="n"/>
      <c r="E2454" s="31" t="n"/>
      <c r="J2454" s="32" t="n"/>
      <c r="K2454" s="32" t="n"/>
      <c r="L2454" s="32" t="n"/>
      <c r="M2454" s="32" t="n"/>
      <c r="N2454" s="32" t="n"/>
      <c r="O2454" s="32" t="n"/>
      <c r="P2454" s="32" t="n"/>
      <c r="Q2454" s="32" t="n"/>
      <c r="U2454" s="31">
        <f>IF($A2454="","",SUM(X2454:AE2454))</f>
        <v/>
      </c>
      <c r="V2454" s="31">
        <f>IF($A2454="","",IF($H2454&lt;&gt;"Ausgabe",0,-$E2454-$U2454))</f>
        <v/>
      </c>
      <c r="W2454" s="33">
        <f>IF($A2454="","",DATE(YEAR($A2454),MONTH($A2454),1))</f>
        <v/>
      </c>
      <c r="X2454" s="34">
        <f>IF(OR($A2454="",$H2454&lt;&gt;"Ausgabe",J2454=""),0,IF(J2454="x",-$E2454/(COUNTIF($J2454:$Q2454,"x")+1),-$E2454*N(J2454)))</f>
        <v/>
      </c>
      <c r="Y2454" s="34">
        <f>IF(OR($A2454="",$H2454&lt;&gt;"Ausgabe",K2454=""),0,IF(K2454="x",-$E2454/(COUNTIF($J2454:$Q2454,"x")+1),-$E2454*N(K2454)))</f>
        <v/>
      </c>
      <c r="Z2454" s="34">
        <f>IF(OR($A2454="",$H2454&lt;&gt;"Ausgabe",L2454=""),0,IF(L2454="x",-$E2454/(COUNTIF($J2454:$Q2454,"x")+1),-$E2454*N(L2454)))</f>
        <v/>
      </c>
      <c r="AA2454" s="34">
        <f>IF(OR($A2454="",$H2454&lt;&gt;"Ausgabe",M2454=""),0,IF(M2454="x",-$E2454/(COUNTIF($J2454:$Q2454,"x")+1),-$E2454*N(M2454)))</f>
        <v/>
      </c>
      <c r="AB2454" s="34">
        <f>IF(OR($A2454="",$H2454&lt;&gt;"Ausgabe",N2454=""),0,IF(N2454="x",-$E2454/(COUNTIF($J2454:$Q2454,"x")+1),-$E2454*N(N2454)))</f>
        <v/>
      </c>
      <c r="AC2454" s="34">
        <f>IF(OR($A2454="",$H2454&lt;&gt;"Ausgabe",O2454=""),0,IF(O2454="x",-$E2454/(COUNTIF($J2454:$Q2454,"x")+1),-$E2454*N(O2454)))</f>
        <v/>
      </c>
      <c r="AD2454" s="34">
        <f>IF(OR($A2454="",$H2454&lt;&gt;"Ausgabe",P2454=""),0,IF(P2454="x",-$E2454/(COUNTIF($J2454:$Q2454,"x")+1),-$E2454*N(P2454)))</f>
        <v/>
      </c>
      <c r="AE2454" s="34">
        <f>IF(OR($A2454="",$H2454&lt;&gt;"Ausgabe",Q2454=""),0,IF(Q2454="x",-$E2454/(COUNTIF($J2454:$Q2454,"x")+1),-$E2454*N(Q2454)))</f>
        <v/>
      </c>
    </row>
    <row r="2455">
      <c r="A2455" s="30" t="n"/>
      <c r="E2455" s="31" t="n"/>
      <c r="J2455" s="32" t="n"/>
      <c r="K2455" s="32" t="n"/>
      <c r="L2455" s="32" t="n"/>
      <c r="M2455" s="32" t="n"/>
      <c r="N2455" s="32" t="n"/>
      <c r="O2455" s="32" t="n"/>
      <c r="P2455" s="32" t="n"/>
      <c r="Q2455" s="32" t="n"/>
      <c r="U2455" s="31">
        <f>IF($A2455="","",SUM(X2455:AE2455))</f>
        <v/>
      </c>
      <c r="V2455" s="31">
        <f>IF($A2455="","",IF($H2455&lt;&gt;"Ausgabe",0,-$E2455-$U2455))</f>
        <v/>
      </c>
      <c r="W2455" s="33">
        <f>IF($A2455="","",DATE(YEAR($A2455),MONTH($A2455),1))</f>
        <v/>
      </c>
      <c r="X2455" s="34">
        <f>IF(OR($A2455="",$H2455&lt;&gt;"Ausgabe",J2455=""),0,IF(J2455="x",-$E2455/(COUNTIF($J2455:$Q2455,"x")+1),-$E2455*N(J2455)))</f>
        <v/>
      </c>
      <c r="Y2455" s="34">
        <f>IF(OR($A2455="",$H2455&lt;&gt;"Ausgabe",K2455=""),0,IF(K2455="x",-$E2455/(COUNTIF($J2455:$Q2455,"x")+1),-$E2455*N(K2455)))</f>
        <v/>
      </c>
      <c r="Z2455" s="34">
        <f>IF(OR($A2455="",$H2455&lt;&gt;"Ausgabe",L2455=""),0,IF(L2455="x",-$E2455/(COUNTIF($J2455:$Q2455,"x")+1),-$E2455*N(L2455)))</f>
        <v/>
      </c>
      <c r="AA2455" s="34">
        <f>IF(OR($A2455="",$H2455&lt;&gt;"Ausgabe",M2455=""),0,IF(M2455="x",-$E2455/(COUNTIF($J2455:$Q2455,"x")+1),-$E2455*N(M2455)))</f>
        <v/>
      </c>
      <c r="AB2455" s="34">
        <f>IF(OR($A2455="",$H2455&lt;&gt;"Ausgabe",N2455=""),0,IF(N2455="x",-$E2455/(COUNTIF($J2455:$Q2455,"x")+1),-$E2455*N(N2455)))</f>
        <v/>
      </c>
      <c r="AC2455" s="34">
        <f>IF(OR($A2455="",$H2455&lt;&gt;"Ausgabe",O2455=""),0,IF(O2455="x",-$E2455/(COUNTIF($J2455:$Q2455,"x")+1),-$E2455*N(O2455)))</f>
        <v/>
      </c>
      <c r="AD2455" s="34">
        <f>IF(OR($A2455="",$H2455&lt;&gt;"Ausgabe",P2455=""),0,IF(P2455="x",-$E2455/(COUNTIF($J2455:$Q2455,"x")+1),-$E2455*N(P2455)))</f>
        <v/>
      </c>
      <c r="AE2455" s="34">
        <f>IF(OR($A2455="",$H2455&lt;&gt;"Ausgabe",Q2455=""),0,IF(Q2455="x",-$E2455/(COUNTIF($J2455:$Q2455,"x")+1),-$E2455*N(Q2455)))</f>
        <v/>
      </c>
    </row>
    <row r="2456">
      <c r="A2456" s="30" t="n"/>
      <c r="E2456" s="31" t="n"/>
      <c r="J2456" s="32" t="n"/>
      <c r="K2456" s="32" t="n"/>
      <c r="L2456" s="32" t="n"/>
      <c r="M2456" s="32" t="n"/>
      <c r="N2456" s="32" t="n"/>
      <c r="O2456" s="32" t="n"/>
      <c r="P2456" s="32" t="n"/>
      <c r="Q2456" s="32" t="n"/>
      <c r="U2456" s="31">
        <f>IF($A2456="","",SUM(X2456:AE2456))</f>
        <v/>
      </c>
      <c r="V2456" s="31">
        <f>IF($A2456="","",IF($H2456&lt;&gt;"Ausgabe",0,-$E2456-$U2456))</f>
        <v/>
      </c>
      <c r="W2456" s="33">
        <f>IF($A2456="","",DATE(YEAR($A2456),MONTH($A2456),1))</f>
        <v/>
      </c>
      <c r="X2456" s="34">
        <f>IF(OR($A2456="",$H2456&lt;&gt;"Ausgabe",J2456=""),0,IF(J2456="x",-$E2456/(COUNTIF($J2456:$Q2456,"x")+1),-$E2456*N(J2456)))</f>
        <v/>
      </c>
      <c r="Y2456" s="34">
        <f>IF(OR($A2456="",$H2456&lt;&gt;"Ausgabe",K2456=""),0,IF(K2456="x",-$E2456/(COUNTIF($J2456:$Q2456,"x")+1),-$E2456*N(K2456)))</f>
        <v/>
      </c>
      <c r="Z2456" s="34">
        <f>IF(OR($A2456="",$H2456&lt;&gt;"Ausgabe",L2456=""),0,IF(L2456="x",-$E2456/(COUNTIF($J2456:$Q2456,"x")+1),-$E2456*N(L2456)))</f>
        <v/>
      </c>
      <c r="AA2456" s="34">
        <f>IF(OR($A2456="",$H2456&lt;&gt;"Ausgabe",M2456=""),0,IF(M2456="x",-$E2456/(COUNTIF($J2456:$Q2456,"x")+1),-$E2456*N(M2456)))</f>
        <v/>
      </c>
      <c r="AB2456" s="34">
        <f>IF(OR($A2456="",$H2456&lt;&gt;"Ausgabe",N2456=""),0,IF(N2456="x",-$E2456/(COUNTIF($J2456:$Q2456,"x")+1),-$E2456*N(N2456)))</f>
        <v/>
      </c>
      <c r="AC2456" s="34">
        <f>IF(OR($A2456="",$H2456&lt;&gt;"Ausgabe",O2456=""),0,IF(O2456="x",-$E2456/(COUNTIF($J2456:$Q2456,"x")+1),-$E2456*N(O2456)))</f>
        <v/>
      </c>
      <c r="AD2456" s="34">
        <f>IF(OR($A2456="",$H2456&lt;&gt;"Ausgabe",P2456=""),0,IF(P2456="x",-$E2456/(COUNTIF($J2456:$Q2456,"x")+1),-$E2456*N(P2456)))</f>
        <v/>
      </c>
      <c r="AE2456" s="34">
        <f>IF(OR($A2456="",$H2456&lt;&gt;"Ausgabe",Q2456=""),0,IF(Q2456="x",-$E2456/(COUNTIF($J2456:$Q2456,"x")+1),-$E2456*N(Q2456)))</f>
        <v/>
      </c>
    </row>
    <row r="2457">
      <c r="A2457" s="30" t="n"/>
      <c r="E2457" s="31" t="n"/>
      <c r="J2457" s="32" t="n"/>
      <c r="K2457" s="32" t="n"/>
      <c r="L2457" s="32" t="n"/>
      <c r="M2457" s="32" t="n"/>
      <c r="N2457" s="32" t="n"/>
      <c r="O2457" s="32" t="n"/>
      <c r="P2457" s="32" t="n"/>
      <c r="Q2457" s="32" t="n"/>
      <c r="U2457" s="31">
        <f>IF($A2457="","",SUM(X2457:AE2457))</f>
        <v/>
      </c>
      <c r="V2457" s="31">
        <f>IF($A2457="","",IF($H2457&lt;&gt;"Ausgabe",0,-$E2457-$U2457))</f>
        <v/>
      </c>
      <c r="W2457" s="33">
        <f>IF($A2457="","",DATE(YEAR($A2457),MONTH($A2457),1))</f>
        <v/>
      </c>
      <c r="X2457" s="34">
        <f>IF(OR($A2457="",$H2457&lt;&gt;"Ausgabe",J2457=""),0,IF(J2457="x",-$E2457/(COUNTIF($J2457:$Q2457,"x")+1),-$E2457*N(J2457)))</f>
        <v/>
      </c>
      <c r="Y2457" s="34">
        <f>IF(OR($A2457="",$H2457&lt;&gt;"Ausgabe",K2457=""),0,IF(K2457="x",-$E2457/(COUNTIF($J2457:$Q2457,"x")+1),-$E2457*N(K2457)))</f>
        <v/>
      </c>
      <c r="Z2457" s="34">
        <f>IF(OR($A2457="",$H2457&lt;&gt;"Ausgabe",L2457=""),0,IF(L2457="x",-$E2457/(COUNTIF($J2457:$Q2457,"x")+1),-$E2457*N(L2457)))</f>
        <v/>
      </c>
      <c r="AA2457" s="34">
        <f>IF(OR($A2457="",$H2457&lt;&gt;"Ausgabe",M2457=""),0,IF(M2457="x",-$E2457/(COUNTIF($J2457:$Q2457,"x")+1),-$E2457*N(M2457)))</f>
        <v/>
      </c>
      <c r="AB2457" s="34">
        <f>IF(OR($A2457="",$H2457&lt;&gt;"Ausgabe",N2457=""),0,IF(N2457="x",-$E2457/(COUNTIF($J2457:$Q2457,"x")+1),-$E2457*N(N2457)))</f>
        <v/>
      </c>
      <c r="AC2457" s="34">
        <f>IF(OR($A2457="",$H2457&lt;&gt;"Ausgabe",O2457=""),0,IF(O2457="x",-$E2457/(COUNTIF($J2457:$Q2457,"x")+1),-$E2457*N(O2457)))</f>
        <v/>
      </c>
      <c r="AD2457" s="34">
        <f>IF(OR($A2457="",$H2457&lt;&gt;"Ausgabe",P2457=""),0,IF(P2457="x",-$E2457/(COUNTIF($J2457:$Q2457,"x")+1),-$E2457*N(P2457)))</f>
        <v/>
      </c>
      <c r="AE2457" s="34">
        <f>IF(OR($A2457="",$H2457&lt;&gt;"Ausgabe",Q2457=""),0,IF(Q2457="x",-$E2457/(COUNTIF($J2457:$Q2457,"x")+1),-$E2457*N(Q2457)))</f>
        <v/>
      </c>
    </row>
    <row r="2458">
      <c r="A2458" s="30" t="n"/>
      <c r="E2458" s="31" t="n"/>
      <c r="J2458" s="32" t="n"/>
      <c r="K2458" s="32" t="n"/>
      <c r="L2458" s="32" t="n"/>
      <c r="M2458" s="32" t="n"/>
      <c r="N2458" s="32" t="n"/>
      <c r="O2458" s="32" t="n"/>
      <c r="P2458" s="32" t="n"/>
      <c r="Q2458" s="32" t="n"/>
      <c r="U2458" s="31">
        <f>IF($A2458="","",SUM(X2458:AE2458))</f>
        <v/>
      </c>
      <c r="V2458" s="31">
        <f>IF($A2458="","",IF($H2458&lt;&gt;"Ausgabe",0,-$E2458-$U2458))</f>
        <v/>
      </c>
      <c r="W2458" s="33">
        <f>IF($A2458="","",DATE(YEAR($A2458),MONTH($A2458),1))</f>
        <v/>
      </c>
      <c r="X2458" s="34">
        <f>IF(OR($A2458="",$H2458&lt;&gt;"Ausgabe",J2458=""),0,IF(J2458="x",-$E2458/(COUNTIF($J2458:$Q2458,"x")+1),-$E2458*N(J2458)))</f>
        <v/>
      </c>
      <c r="Y2458" s="34">
        <f>IF(OR($A2458="",$H2458&lt;&gt;"Ausgabe",K2458=""),0,IF(K2458="x",-$E2458/(COUNTIF($J2458:$Q2458,"x")+1),-$E2458*N(K2458)))</f>
        <v/>
      </c>
      <c r="Z2458" s="34">
        <f>IF(OR($A2458="",$H2458&lt;&gt;"Ausgabe",L2458=""),0,IF(L2458="x",-$E2458/(COUNTIF($J2458:$Q2458,"x")+1),-$E2458*N(L2458)))</f>
        <v/>
      </c>
      <c r="AA2458" s="34">
        <f>IF(OR($A2458="",$H2458&lt;&gt;"Ausgabe",M2458=""),0,IF(M2458="x",-$E2458/(COUNTIF($J2458:$Q2458,"x")+1),-$E2458*N(M2458)))</f>
        <v/>
      </c>
      <c r="AB2458" s="34">
        <f>IF(OR($A2458="",$H2458&lt;&gt;"Ausgabe",N2458=""),0,IF(N2458="x",-$E2458/(COUNTIF($J2458:$Q2458,"x")+1),-$E2458*N(N2458)))</f>
        <v/>
      </c>
      <c r="AC2458" s="34">
        <f>IF(OR($A2458="",$H2458&lt;&gt;"Ausgabe",O2458=""),0,IF(O2458="x",-$E2458/(COUNTIF($J2458:$Q2458,"x")+1),-$E2458*N(O2458)))</f>
        <v/>
      </c>
      <c r="AD2458" s="34">
        <f>IF(OR($A2458="",$H2458&lt;&gt;"Ausgabe",P2458=""),0,IF(P2458="x",-$E2458/(COUNTIF($J2458:$Q2458,"x")+1),-$E2458*N(P2458)))</f>
        <v/>
      </c>
      <c r="AE2458" s="34">
        <f>IF(OR($A2458="",$H2458&lt;&gt;"Ausgabe",Q2458=""),0,IF(Q2458="x",-$E2458/(COUNTIF($J2458:$Q2458,"x")+1),-$E2458*N(Q2458)))</f>
        <v/>
      </c>
    </row>
    <row r="2459">
      <c r="A2459" s="30" t="n"/>
      <c r="E2459" s="31" t="n"/>
      <c r="J2459" s="32" t="n"/>
      <c r="K2459" s="32" t="n"/>
      <c r="L2459" s="32" t="n"/>
      <c r="M2459" s="32" t="n"/>
      <c r="N2459" s="32" t="n"/>
      <c r="O2459" s="32" t="n"/>
      <c r="P2459" s="32" t="n"/>
      <c r="Q2459" s="32" t="n"/>
      <c r="U2459" s="31">
        <f>IF($A2459="","",SUM(X2459:AE2459))</f>
        <v/>
      </c>
      <c r="V2459" s="31">
        <f>IF($A2459="","",IF($H2459&lt;&gt;"Ausgabe",0,-$E2459-$U2459))</f>
        <v/>
      </c>
      <c r="W2459" s="33">
        <f>IF($A2459="","",DATE(YEAR($A2459),MONTH($A2459),1))</f>
        <v/>
      </c>
      <c r="X2459" s="34">
        <f>IF(OR($A2459="",$H2459&lt;&gt;"Ausgabe",J2459=""),0,IF(J2459="x",-$E2459/(COUNTIF($J2459:$Q2459,"x")+1),-$E2459*N(J2459)))</f>
        <v/>
      </c>
      <c r="Y2459" s="34">
        <f>IF(OR($A2459="",$H2459&lt;&gt;"Ausgabe",K2459=""),0,IF(K2459="x",-$E2459/(COUNTIF($J2459:$Q2459,"x")+1),-$E2459*N(K2459)))</f>
        <v/>
      </c>
      <c r="Z2459" s="34">
        <f>IF(OR($A2459="",$H2459&lt;&gt;"Ausgabe",L2459=""),0,IF(L2459="x",-$E2459/(COUNTIF($J2459:$Q2459,"x")+1),-$E2459*N(L2459)))</f>
        <v/>
      </c>
      <c r="AA2459" s="34">
        <f>IF(OR($A2459="",$H2459&lt;&gt;"Ausgabe",M2459=""),0,IF(M2459="x",-$E2459/(COUNTIF($J2459:$Q2459,"x")+1),-$E2459*N(M2459)))</f>
        <v/>
      </c>
      <c r="AB2459" s="34">
        <f>IF(OR($A2459="",$H2459&lt;&gt;"Ausgabe",N2459=""),0,IF(N2459="x",-$E2459/(COUNTIF($J2459:$Q2459,"x")+1),-$E2459*N(N2459)))</f>
        <v/>
      </c>
      <c r="AC2459" s="34">
        <f>IF(OR($A2459="",$H2459&lt;&gt;"Ausgabe",O2459=""),0,IF(O2459="x",-$E2459/(COUNTIF($J2459:$Q2459,"x")+1),-$E2459*N(O2459)))</f>
        <v/>
      </c>
      <c r="AD2459" s="34">
        <f>IF(OR($A2459="",$H2459&lt;&gt;"Ausgabe",P2459=""),0,IF(P2459="x",-$E2459/(COUNTIF($J2459:$Q2459,"x")+1),-$E2459*N(P2459)))</f>
        <v/>
      </c>
      <c r="AE2459" s="34">
        <f>IF(OR($A2459="",$H2459&lt;&gt;"Ausgabe",Q2459=""),0,IF(Q2459="x",-$E2459/(COUNTIF($J2459:$Q2459,"x")+1),-$E2459*N(Q2459)))</f>
        <v/>
      </c>
    </row>
    <row r="2460">
      <c r="A2460" s="30" t="n"/>
      <c r="E2460" s="31" t="n"/>
      <c r="J2460" s="32" t="n"/>
      <c r="K2460" s="32" t="n"/>
      <c r="L2460" s="32" t="n"/>
      <c r="M2460" s="32" t="n"/>
      <c r="N2460" s="32" t="n"/>
      <c r="O2460" s="32" t="n"/>
      <c r="P2460" s="32" t="n"/>
      <c r="Q2460" s="32" t="n"/>
      <c r="U2460" s="31">
        <f>IF($A2460="","",SUM(X2460:AE2460))</f>
        <v/>
      </c>
      <c r="V2460" s="31">
        <f>IF($A2460="","",IF($H2460&lt;&gt;"Ausgabe",0,-$E2460-$U2460))</f>
        <v/>
      </c>
      <c r="W2460" s="33">
        <f>IF($A2460="","",DATE(YEAR($A2460),MONTH($A2460),1))</f>
        <v/>
      </c>
      <c r="X2460" s="34">
        <f>IF(OR($A2460="",$H2460&lt;&gt;"Ausgabe",J2460=""),0,IF(J2460="x",-$E2460/(COUNTIF($J2460:$Q2460,"x")+1),-$E2460*N(J2460)))</f>
        <v/>
      </c>
      <c r="Y2460" s="34">
        <f>IF(OR($A2460="",$H2460&lt;&gt;"Ausgabe",K2460=""),0,IF(K2460="x",-$E2460/(COUNTIF($J2460:$Q2460,"x")+1),-$E2460*N(K2460)))</f>
        <v/>
      </c>
      <c r="Z2460" s="34">
        <f>IF(OR($A2460="",$H2460&lt;&gt;"Ausgabe",L2460=""),0,IF(L2460="x",-$E2460/(COUNTIF($J2460:$Q2460,"x")+1),-$E2460*N(L2460)))</f>
        <v/>
      </c>
      <c r="AA2460" s="34">
        <f>IF(OR($A2460="",$H2460&lt;&gt;"Ausgabe",M2460=""),0,IF(M2460="x",-$E2460/(COUNTIF($J2460:$Q2460,"x")+1),-$E2460*N(M2460)))</f>
        <v/>
      </c>
      <c r="AB2460" s="34">
        <f>IF(OR($A2460="",$H2460&lt;&gt;"Ausgabe",N2460=""),0,IF(N2460="x",-$E2460/(COUNTIF($J2460:$Q2460,"x")+1),-$E2460*N(N2460)))</f>
        <v/>
      </c>
      <c r="AC2460" s="34">
        <f>IF(OR($A2460="",$H2460&lt;&gt;"Ausgabe",O2460=""),0,IF(O2460="x",-$E2460/(COUNTIF($J2460:$Q2460,"x")+1),-$E2460*N(O2460)))</f>
        <v/>
      </c>
      <c r="AD2460" s="34">
        <f>IF(OR($A2460="",$H2460&lt;&gt;"Ausgabe",P2460=""),0,IF(P2460="x",-$E2460/(COUNTIF($J2460:$Q2460,"x")+1),-$E2460*N(P2460)))</f>
        <v/>
      </c>
      <c r="AE2460" s="34">
        <f>IF(OR($A2460="",$H2460&lt;&gt;"Ausgabe",Q2460=""),0,IF(Q2460="x",-$E2460/(COUNTIF($J2460:$Q2460,"x")+1),-$E2460*N(Q2460)))</f>
        <v/>
      </c>
    </row>
    <row r="2461">
      <c r="A2461" s="30" t="n"/>
      <c r="E2461" s="31" t="n"/>
      <c r="J2461" s="32" t="n"/>
      <c r="K2461" s="32" t="n"/>
      <c r="L2461" s="32" t="n"/>
      <c r="M2461" s="32" t="n"/>
      <c r="N2461" s="32" t="n"/>
      <c r="O2461" s="32" t="n"/>
      <c r="P2461" s="32" t="n"/>
      <c r="Q2461" s="32" t="n"/>
      <c r="U2461" s="31">
        <f>IF($A2461="","",SUM(X2461:AE2461))</f>
        <v/>
      </c>
      <c r="V2461" s="31">
        <f>IF($A2461="","",IF($H2461&lt;&gt;"Ausgabe",0,-$E2461-$U2461))</f>
        <v/>
      </c>
      <c r="W2461" s="33">
        <f>IF($A2461="","",DATE(YEAR($A2461),MONTH($A2461),1))</f>
        <v/>
      </c>
      <c r="X2461" s="34">
        <f>IF(OR($A2461="",$H2461&lt;&gt;"Ausgabe",J2461=""),0,IF(J2461="x",-$E2461/(COUNTIF($J2461:$Q2461,"x")+1),-$E2461*N(J2461)))</f>
        <v/>
      </c>
      <c r="Y2461" s="34">
        <f>IF(OR($A2461="",$H2461&lt;&gt;"Ausgabe",K2461=""),0,IF(K2461="x",-$E2461/(COUNTIF($J2461:$Q2461,"x")+1),-$E2461*N(K2461)))</f>
        <v/>
      </c>
      <c r="Z2461" s="34">
        <f>IF(OR($A2461="",$H2461&lt;&gt;"Ausgabe",L2461=""),0,IF(L2461="x",-$E2461/(COUNTIF($J2461:$Q2461,"x")+1),-$E2461*N(L2461)))</f>
        <v/>
      </c>
      <c r="AA2461" s="34">
        <f>IF(OR($A2461="",$H2461&lt;&gt;"Ausgabe",M2461=""),0,IF(M2461="x",-$E2461/(COUNTIF($J2461:$Q2461,"x")+1),-$E2461*N(M2461)))</f>
        <v/>
      </c>
      <c r="AB2461" s="34">
        <f>IF(OR($A2461="",$H2461&lt;&gt;"Ausgabe",N2461=""),0,IF(N2461="x",-$E2461/(COUNTIF($J2461:$Q2461,"x")+1),-$E2461*N(N2461)))</f>
        <v/>
      </c>
      <c r="AC2461" s="34">
        <f>IF(OR($A2461="",$H2461&lt;&gt;"Ausgabe",O2461=""),0,IF(O2461="x",-$E2461/(COUNTIF($J2461:$Q2461,"x")+1),-$E2461*N(O2461)))</f>
        <v/>
      </c>
      <c r="AD2461" s="34">
        <f>IF(OR($A2461="",$H2461&lt;&gt;"Ausgabe",P2461=""),0,IF(P2461="x",-$E2461/(COUNTIF($J2461:$Q2461,"x")+1),-$E2461*N(P2461)))</f>
        <v/>
      </c>
      <c r="AE2461" s="34">
        <f>IF(OR($A2461="",$H2461&lt;&gt;"Ausgabe",Q2461=""),0,IF(Q2461="x",-$E2461/(COUNTIF($J2461:$Q2461,"x")+1),-$E2461*N(Q2461)))</f>
        <v/>
      </c>
    </row>
    <row r="2462">
      <c r="A2462" s="30" t="n"/>
      <c r="E2462" s="31" t="n"/>
      <c r="J2462" s="32" t="n"/>
      <c r="K2462" s="32" t="n"/>
      <c r="L2462" s="32" t="n"/>
      <c r="M2462" s="32" t="n"/>
      <c r="N2462" s="32" t="n"/>
      <c r="O2462" s="32" t="n"/>
      <c r="P2462" s="32" t="n"/>
      <c r="Q2462" s="32" t="n"/>
      <c r="U2462" s="31">
        <f>IF($A2462="","",SUM(X2462:AE2462))</f>
        <v/>
      </c>
      <c r="V2462" s="31">
        <f>IF($A2462="","",IF($H2462&lt;&gt;"Ausgabe",0,-$E2462-$U2462))</f>
        <v/>
      </c>
      <c r="W2462" s="33">
        <f>IF($A2462="","",DATE(YEAR($A2462),MONTH($A2462),1))</f>
        <v/>
      </c>
      <c r="X2462" s="34">
        <f>IF(OR($A2462="",$H2462&lt;&gt;"Ausgabe",J2462=""),0,IF(J2462="x",-$E2462/(COUNTIF($J2462:$Q2462,"x")+1),-$E2462*N(J2462)))</f>
        <v/>
      </c>
      <c r="Y2462" s="34">
        <f>IF(OR($A2462="",$H2462&lt;&gt;"Ausgabe",K2462=""),0,IF(K2462="x",-$E2462/(COUNTIF($J2462:$Q2462,"x")+1),-$E2462*N(K2462)))</f>
        <v/>
      </c>
      <c r="Z2462" s="34">
        <f>IF(OR($A2462="",$H2462&lt;&gt;"Ausgabe",L2462=""),0,IF(L2462="x",-$E2462/(COUNTIF($J2462:$Q2462,"x")+1),-$E2462*N(L2462)))</f>
        <v/>
      </c>
      <c r="AA2462" s="34">
        <f>IF(OR($A2462="",$H2462&lt;&gt;"Ausgabe",M2462=""),0,IF(M2462="x",-$E2462/(COUNTIF($J2462:$Q2462,"x")+1),-$E2462*N(M2462)))</f>
        <v/>
      </c>
      <c r="AB2462" s="34">
        <f>IF(OR($A2462="",$H2462&lt;&gt;"Ausgabe",N2462=""),0,IF(N2462="x",-$E2462/(COUNTIF($J2462:$Q2462,"x")+1),-$E2462*N(N2462)))</f>
        <v/>
      </c>
      <c r="AC2462" s="34">
        <f>IF(OR($A2462="",$H2462&lt;&gt;"Ausgabe",O2462=""),0,IF(O2462="x",-$E2462/(COUNTIF($J2462:$Q2462,"x")+1),-$E2462*N(O2462)))</f>
        <v/>
      </c>
      <c r="AD2462" s="34">
        <f>IF(OR($A2462="",$H2462&lt;&gt;"Ausgabe",P2462=""),0,IF(P2462="x",-$E2462/(COUNTIF($J2462:$Q2462,"x")+1),-$E2462*N(P2462)))</f>
        <v/>
      </c>
      <c r="AE2462" s="34">
        <f>IF(OR($A2462="",$H2462&lt;&gt;"Ausgabe",Q2462=""),0,IF(Q2462="x",-$E2462/(COUNTIF($J2462:$Q2462,"x")+1),-$E2462*N(Q2462)))</f>
        <v/>
      </c>
    </row>
    <row r="2463">
      <c r="A2463" s="30" t="n"/>
      <c r="E2463" s="31" t="n"/>
      <c r="J2463" s="32" t="n"/>
      <c r="K2463" s="32" t="n"/>
      <c r="L2463" s="32" t="n"/>
      <c r="M2463" s="32" t="n"/>
      <c r="N2463" s="32" t="n"/>
      <c r="O2463" s="32" t="n"/>
      <c r="P2463" s="32" t="n"/>
      <c r="Q2463" s="32" t="n"/>
      <c r="U2463" s="31">
        <f>IF($A2463="","",SUM(X2463:AE2463))</f>
        <v/>
      </c>
      <c r="V2463" s="31">
        <f>IF($A2463="","",IF($H2463&lt;&gt;"Ausgabe",0,-$E2463-$U2463))</f>
        <v/>
      </c>
      <c r="W2463" s="33">
        <f>IF($A2463="","",DATE(YEAR($A2463),MONTH($A2463),1))</f>
        <v/>
      </c>
      <c r="X2463" s="34">
        <f>IF(OR($A2463="",$H2463&lt;&gt;"Ausgabe",J2463=""),0,IF(J2463="x",-$E2463/(COUNTIF($J2463:$Q2463,"x")+1),-$E2463*N(J2463)))</f>
        <v/>
      </c>
      <c r="Y2463" s="34">
        <f>IF(OR($A2463="",$H2463&lt;&gt;"Ausgabe",K2463=""),0,IF(K2463="x",-$E2463/(COUNTIF($J2463:$Q2463,"x")+1),-$E2463*N(K2463)))</f>
        <v/>
      </c>
      <c r="Z2463" s="34">
        <f>IF(OR($A2463="",$H2463&lt;&gt;"Ausgabe",L2463=""),0,IF(L2463="x",-$E2463/(COUNTIF($J2463:$Q2463,"x")+1),-$E2463*N(L2463)))</f>
        <v/>
      </c>
      <c r="AA2463" s="34">
        <f>IF(OR($A2463="",$H2463&lt;&gt;"Ausgabe",M2463=""),0,IF(M2463="x",-$E2463/(COUNTIF($J2463:$Q2463,"x")+1),-$E2463*N(M2463)))</f>
        <v/>
      </c>
      <c r="AB2463" s="34">
        <f>IF(OR($A2463="",$H2463&lt;&gt;"Ausgabe",N2463=""),0,IF(N2463="x",-$E2463/(COUNTIF($J2463:$Q2463,"x")+1),-$E2463*N(N2463)))</f>
        <v/>
      </c>
      <c r="AC2463" s="34">
        <f>IF(OR($A2463="",$H2463&lt;&gt;"Ausgabe",O2463=""),0,IF(O2463="x",-$E2463/(COUNTIF($J2463:$Q2463,"x")+1),-$E2463*N(O2463)))</f>
        <v/>
      </c>
      <c r="AD2463" s="34">
        <f>IF(OR($A2463="",$H2463&lt;&gt;"Ausgabe",P2463=""),0,IF(P2463="x",-$E2463/(COUNTIF($J2463:$Q2463,"x")+1),-$E2463*N(P2463)))</f>
        <v/>
      </c>
      <c r="AE2463" s="34">
        <f>IF(OR($A2463="",$H2463&lt;&gt;"Ausgabe",Q2463=""),0,IF(Q2463="x",-$E2463/(COUNTIF($J2463:$Q2463,"x")+1),-$E2463*N(Q2463)))</f>
        <v/>
      </c>
    </row>
    <row r="2464">
      <c r="A2464" s="30" t="n"/>
      <c r="E2464" s="31" t="n"/>
      <c r="J2464" s="32" t="n"/>
      <c r="K2464" s="32" t="n"/>
      <c r="L2464" s="32" t="n"/>
      <c r="M2464" s="32" t="n"/>
      <c r="N2464" s="32" t="n"/>
      <c r="O2464" s="32" t="n"/>
      <c r="P2464" s="32" t="n"/>
      <c r="Q2464" s="32" t="n"/>
      <c r="U2464" s="31">
        <f>IF($A2464="","",SUM(X2464:AE2464))</f>
        <v/>
      </c>
      <c r="V2464" s="31">
        <f>IF($A2464="","",IF($H2464&lt;&gt;"Ausgabe",0,-$E2464-$U2464))</f>
        <v/>
      </c>
      <c r="W2464" s="33">
        <f>IF($A2464="","",DATE(YEAR($A2464),MONTH($A2464),1))</f>
        <v/>
      </c>
      <c r="X2464" s="34">
        <f>IF(OR($A2464="",$H2464&lt;&gt;"Ausgabe",J2464=""),0,IF(J2464="x",-$E2464/(COUNTIF($J2464:$Q2464,"x")+1),-$E2464*N(J2464)))</f>
        <v/>
      </c>
      <c r="Y2464" s="34">
        <f>IF(OR($A2464="",$H2464&lt;&gt;"Ausgabe",K2464=""),0,IF(K2464="x",-$E2464/(COUNTIF($J2464:$Q2464,"x")+1),-$E2464*N(K2464)))</f>
        <v/>
      </c>
      <c r="Z2464" s="34">
        <f>IF(OR($A2464="",$H2464&lt;&gt;"Ausgabe",L2464=""),0,IF(L2464="x",-$E2464/(COUNTIF($J2464:$Q2464,"x")+1),-$E2464*N(L2464)))</f>
        <v/>
      </c>
      <c r="AA2464" s="34">
        <f>IF(OR($A2464="",$H2464&lt;&gt;"Ausgabe",M2464=""),0,IF(M2464="x",-$E2464/(COUNTIF($J2464:$Q2464,"x")+1),-$E2464*N(M2464)))</f>
        <v/>
      </c>
      <c r="AB2464" s="34">
        <f>IF(OR($A2464="",$H2464&lt;&gt;"Ausgabe",N2464=""),0,IF(N2464="x",-$E2464/(COUNTIF($J2464:$Q2464,"x")+1),-$E2464*N(N2464)))</f>
        <v/>
      </c>
      <c r="AC2464" s="34">
        <f>IF(OR($A2464="",$H2464&lt;&gt;"Ausgabe",O2464=""),0,IF(O2464="x",-$E2464/(COUNTIF($J2464:$Q2464,"x")+1),-$E2464*N(O2464)))</f>
        <v/>
      </c>
      <c r="AD2464" s="34">
        <f>IF(OR($A2464="",$H2464&lt;&gt;"Ausgabe",P2464=""),0,IF(P2464="x",-$E2464/(COUNTIF($J2464:$Q2464,"x")+1),-$E2464*N(P2464)))</f>
        <v/>
      </c>
      <c r="AE2464" s="34">
        <f>IF(OR($A2464="",$H2464&lt;&gt;"Ausgabe",Q2464=""),0,IF(Q2464="x",-$E2464/(COUNTIF($J2464:$Q2464,"x")+1),-$E2464*N(Q2464)))</f>
        <v/>
      </c>
    </row>
    <row r="2465">
      <c r="A2465" s="30" t="n"/>
      <c r="E2465" s="31" t="n"/>
      <c r="J2465" s="32" t="n"/>
      <c r="K2465" s="32" t="n"/>
      <c r="L2465" s="32" t="n"/>
      <c r="M2465" s="32" t="n"/>
      <c r="N2465" s="32" t="n"/>
      <c r="O2465" s="32" t="n"/>
      <c r="P2465" s="32" t="n"/>
      <c r="Q2465" s="32" t="n"/>
      <c r="U2465" s="31">
        <f>IF($A2465="","",SUM(X2465:AE2465))</f>
        <v/>
      </c>
      <c r="V2465" s="31">
        <f>IF($A2465="","",IF($H2465&lt;&gt;"Ausgabe",0,-$E2465-$U2465))</f>
        <v/>
      </c>
      <c r="W2465" s="33">
        <f>IF($A2465="","",DATE(YEAR($A2465),MONTH($A2465),1))</f>
        <v/>
      </c>
      <c r="X2465" s="34">
        <f>IF(OR($A2465="",$H2465&lt;&gt;"Ausgabe",J2465=""),0,IF(J2465="x",-$E2465/(COUNTIF($J2465:$Q2465,"x")+1),-$E2465*N(J2465)))</f>
        <v/>
      </c>
      <c r="Y2465" s="34">
        <f>IF(OR($A2465="",$H2465&lt;&gt;"Ausgabe",K2465=""),0,IF(K2465="x",-$E2465/(COUNTIF($J2465:$Q2465,"x")+1),-$E2465*N(K2465)))</f>
        <v/>
      </c>
      <c r="Z2465" s="34">
        <f>IF(OR($A2465="",$H2465&lt;&gt;"Ausgabe",L2465=""),0,IF(L2465="x",-$E2465/(COUNTIF($J2465:$Q2465,"x")+1),-$E2465*N(L2465)))</f>
        <v/>
      </c>
      <c r="AA2465" s="34">
        <f>IF(OR($A2465="",$H2465&lt;&gt;"Ausgabe",M2465=""),0,IF(M2465="x",-$E2465/(COUNTIF($J2465:$Q2465,"x")+1),-$E2465*N(M2465)))</f>
        <v/>
      </c>
      <c r="AB2465" s="34">
        <f>IF(OR($A2465="",$H2465&lt;&gt;"Ausgabe",N2465=""),0,IF(N2465="x",-$E2465/(COUNTIF($J2465:$Q2465,"x")+1),-$E2465*N(N2465)))</f>
        <v/>
      </c>
      <c r="AC2465" s="34">
        <f>IF(OR($A2465="",$H2465&lt;&gt;"Ausgabe",O2465=""),0,IF(O2465="x",-$E2465/(COUNTIF($J2465:$Q2465,"x")+1),-$E2465*N(O2465)))</f>
        <v/>
      </c>
      <c r="AD2465" s="34">
        <f>IF(OR($A2465="",$H2465&lt;&gt;"Ausgabe",P2465=""),0,IF(P2465="x",-$E2465/(COUNTIF($J2465:$Q2465,"x")+1),-$E2465*N(P2465)))</f>
        <v/>
      </c>
      <c r="AE2465" s="34">
        <f>IF(OR($A2465="",$H2465&lt;&gt;"Ausgabe",Q2465=""),0,IF(Q2465="x",-$E2465/(COUNTIF($J2465:$Q2465,"x")+1),-$E2465*N(Q2465)))</f>
        <v/>
      </c>
    </row>
    <row r="2466">
      <c r="A2466" s="30" t="n"/>
      <c r="E2466" s="31" t="n"/>
      <c r="J2466" s="32" t="n"/>
      <c r="K2466" s="32" t="n"/>
      <c r="L2466" s="32" t="n"/>
      <c r="M2466" s="32" t="n"/>
      <c r="N2466" s="32" t="n"/>
      <c r="O2466" s="32" t="n"/>
      <c r="P2466" s="32" t="n"/>
      <c r="Q2466" s="32" t="n"/>
      <c r="U2466" s="31">
        <f>IF($A2466="","",SUM(X2466:AE2466))</f>
        <v/>
      </c>
      <c r="V2466" s="31">
        <f>IF($A2466="","",IF($H2466&lt;&gt;"Ausgabe",0,-$E2466-$U2466))</f>
        <v/>
      </c>
      <c r="W2466" s="33">
        <f>IF($A2466="","",DATE(YEAR($A2466),MONTH($A2466),1))</f>
        <v/>
      </c>
      <c r="X2466" s="34">
        <f>IF(OR($A2466="",$H2466&lt;&gt;"Ausgabe",J2466=""),0,IF(J2466="x",-$E2466/(COUNTIF($J2466:$Q2466,"x")+1),-$E2466*N(J2466)))</f>
        <v/>
      </c>
      <c r="Y2466" s="34">
        <f>IF(OR($A2466="",$H2466&lt;&gt;"Ausgabe",K2466=""),0,IF(K2466="x",-$E2466/(COUNTIF($J2466:$Q2466,"x")+1),-$E2466*N(K2466)))</f>
        <v/>
      </c>
      <c r="Z2466" s="34">
        <f>IF(OR($A2466="",$H2466&lt;&gt;"Ausgabe",L2466=""),0,IF(L2466="x",-$E2466/(COUNTIF($J2466:$Q2466,"x")+1),-$E2466*N(L2466)))</f>
        <v/>
      </c>
      <c r="AA2466" s="34">
        <f>IF(OR($A2466="",$H2466&lt;&gt;"Ausgabe",M2466=""),0,IF(M2466="x",-$E2466/(COUNTIF($J2466:$Q2466,"x")+1),-$E2466*N(M2466)))</f>
        <v/>
      </c>
      <c r="AB2466" s="34">
        <f>IF(OR($A2466="",$H2466&lt;&gt;"Ausgabe",N2466=""),0,IF(N2466="x",-$E2466/(COUNTIF($J2466:$Q2466,"x")+1),-$E2466*N(N2466)))</f>
        <v/>
      </c>
      <c r="AC2466" s="34">
        <f>IF(OR($A2466="",$H2466&lt;&gt;"Ausgabe",O2466=""),0,IF(O2466="x",-$E2466/(COUNTIF($J2466:$Q2466,"x")+1),-$E2466*N(O2466)))</f>
        <v/>
      </c>
      <c r="AD2466" s="34">
        <f>IF(OR($A2466="",$H2466&lt;&gt;"Ausgabe",P2466=""),0,IF(P2466="x",-$E2466/(COUNTIF($J2466:$Q2466,"x")+1),-$E2466*N(P2466)))</f>
        <v/>
      </c>
      <c r="AE2466" s="34">
        <f>IF(OR($A2466="",$H2466&lt;&gt;"Ausgabe",Q2466=""),0,IF(Q2466="x",-$E2466/(COUNTIF($J2466:$Q2466,"x")+1),-$E2466*N(Q2466)))</f>
        <v/>
      </c>
    </row>
    <row r="2467">
      <c r="A2467" s="30" t="n"/>
      <c r="E2467" s="31" t="n"/>
      <c r="J2467" s="32" t="n"/>
      <c r="K2467" s="32" t="n"/>
      <c r="L2467" s="32" t="n"/>
      <c r="M2467" s="32" t="n"/>
      <c r="N2467" s="32" t="n"/>
      <c r="O2467" s="32" t="n"/>
      <c r="P2467" s="32" t="n"/>
      <c r="Q2467" s="32" t="n"/>
      <c r="U2467" s="31">
        <f>IF($A2467="","",SUM(X2467:AE2467))</f>
        <v/>
      </c>
      <c r="V2467" s="31">
        <f>IF($A2467="","",IF($H2467&lt;&gt;"Ausgabe",0,-$E2467-$U2467))</f>
        <v/>
      </c>
      <c r="W2467" s="33">
        <f>IF($A2467="","",DATE(YEAR($A2467),MONTH($A2467),1))</f>
        <v/>
      </c>
      <c r="X2467" s="34">
        <f>IF(OR($A2467="",$H2467&lt;&gt;"Ausgabe",J2467=""),0,IF(J2467="x",-$E2467/(COUNTIF($J2467:$Q2467,"x")+1),-$E2467*N(J2467)))</f>
        <v/>
      </c>
      <c r="Y2467" s="34">
        <f>IF(OR($A2467="",$H2467&lt;&gt;"Ausgabe",K2467=""),0,IF(K2467="x",-$E2467/(COUNTIF($J2467:$Q2467,"x")+1),-$E2467*N(K2467)))</f>
        <v/>
      </c>
      <c r="Z2467" s="34">
        <f>IF(OR($A2467="",$H2467&lt;&gt;"Ausgabe",L2467=""),0,IF(L2467="x",-$E2467/(COUNTIF($J2467:$Q2467,"x")+1),-$E2467*N(L2467)))</f>
        <v/>
      </c>
      <c r="AA2467" s="34">
        <f>IF(OR($A2467="",$H2467&lt;&gt;"Ausgabe",M2467=""),0,IF(M2467="x",-$E2467/(COUNTIF($J2467:$Q2467,"x")+1),-$E2467*N(M2467)))</f>
        <v/>
      </c>
      <c r="AB2467" s="34">
        <f>IF(OR($A2467="",$H2467&lt;&gt;"Ausgabe",N2467=""),0,IF(N2467="x",-$E2467/(COUNTIF($J2467:$Q2467,"x")+1),-$E2467*N(N2467)))</f>
        <v/>
      </c>
      <c r="AC2467" s="34">
        <f>IF(OR($A2467="",$H2467&lt;&gt;"Ausgabe",O2467=""),0,IF(O2467="x",-$E2467/(COUNTIF($J2467:$Q2467,"x")+1),-$E2467*N(O2467)))</f>
        <v/>
      </c>
      <c r="AD2467" s="34">
        <f>IF(OR($A2467="",$H2467&lt;&gt;"Ausgabe",P2467=""),0,IF(P2467="x",-$E2467/(COUNTIF($J2467:$Q2467,"x")+1),-$E2467*N(P2467)))</f>
        <v/>
      </c>
      <c r="AE2467" s="34">
        <f>IF(OR($A2467="",$H2467&lt;&gt;"Ausgabe",Q2467=""),0,IF(Q2467="x",-$E2467/(COUNTIF($J2467:$Q2467,"x")+1),-$E2467*N(Q2467)))</f>
        <v/>
      </c>
    </row>
    <row r="2468">
      <c r="A2468" s="30" t="n"/>
      <c r="E2468" s="31" t="n"/>
      <c r="J2468" s="32" t="n"/>
      <c r="K2468" s="32" t="n"/>
      <c r="L2468" s="32" t="n"/>
      <c r="M2468" s="32" t="n"/>
      <c r="N2468" s="32" t="n"/>
      <c r="O2468" s="32" t="n"/>
      <c r="P2468" s="32" t="n"/>
      <c r="Q2468" s="32" t="n"/>
      <c r="U2468" s="31">
        <f>IF($A2468="","",SUM(X2468:AE2468))</f>
        <v/>
      </c>
      <c r="V2468" s="31">
        <f>IF($A2468="","",IF($H2468&lt;&gt;"Ausgabe",0,-$E2468-$U2468))</f>
        <v/>
      </c>
      <c r="W2468" s="33">
        <f>IF($A2468="","",DATE(YEAR($A2468),MONTH($A2468),1))</f>
        <v/>
      </c>
      <c r="X2468" s="34">
        <f>IF(OR($A2468="",$H2468&lt;&gt;"Ausgabe",J2468=""),0,IF(J2468="x",-$E2468/(COUNTIF($J2468:$Q2468,"x")+1),-$E2468*N(J2468)))</f>
        <v/>
      </c>
      <c r="Y2468" s="34">
        <f>IF(OR($A2468="",$H2468&lt;&gt;"Ausgabe",K2468=""),0,IF(K2468="x",-$E2468/(COUNTIF($J2468:$Q2468,"x")+1),-$E2468*N(K2468)))</f>
        <v/>
      </c>
      <c r="Z2468" s="34">
        <f>IF(OR($A2468="",$H2468&lt;&gt;"Ausgabe",L2468=""),0,IF(L2468="x",-$E2468/(COUNTIF($J2468:$Q2468,"x")+1),-$E2468*N(L2468)))</f>
        <v/>
      </c>
      <c r="AA2468" s="34">
        <f>IF(OR($A2468="",$H2468&lt;&gt;"Ausgabe",M2468=""),0,IF(M2468="x",-$E2468/(COUNTIF($J2468:$Q2468,"x")+1),-$E2468*N(M2468)))</f>
        <v/>
      </c>
      <c r="AB2468" s="34">
        <f>IF(OR($A2468="",$H2468&lt;&gt;"Ausgabe",N2468=""),0,IF(N2468="x",-$E2468/(COUNTIF($J2468:$Q2468,"x")+1),-$E2468*N(N2468)))</f>
        <v/>
      </c>
      <c r="AC2468" s="34">
        <f>IF(OR($A2468="",$H2468&lt;&gt;"Ausgabe",O2468=""),0,IF(O2468="x",-$E2468/(COUNTIF($J2468:$Q2468,"x")+1),-$E2468*N(O2468)))</f>
        <v/>
      </c>
      <c r="AD2468" s="34">
        <f>IF(OR($A2468="",$H2468&lt;&gt;"Ausgabe",P2468=""),0,IF(P2468="x",-$E2468/(COUNTIF($J2468:$Q2468,"x")+1),-$E2468*N(P2468)))</f>
        <v/>
      </c>
      <c r="AE2468" s="34">
        <f>IF(OR($A2468="",$H2468&lt;&gt;"Ausgabe",Q2468=""),0,IF(Q2468="x",-$E2468/(COUNTIF($J2468:$Q2468,"x")+1),-$E2468*N(Q2468)))</f>
        <v/>
      </c>
    </row>
    <row r="2469">
      <c r="A2469" s="30" t="n"/>
      <c r="E2469" s="31" t="n"/>
      <c r="J2469" s="32" t="n"/>
      <c r="K2469" s="32" t="n"/>
      <c r="L2469" s="32" t="n"/>
      <c r="M2469" s="32" t="n"/>
      <c r="N2469" s="32" t="n"/>
      <c r="O2469" s="32" t="n"/>
      <c r="P2469" s="32" t="n"/>
      <c r="Q2469" s="32" t="n"/>
      <c r="U2469" s="31">
        <f>IF($A2469="","",SUM(X2469:AE2469))</f>
        <v/>
      </c>
      <c r="V2469" s="31">
        <f>IF($A2469="","",IF($H2469&lt;&gt;"Ausgabe",0,-$E2469-$U2469))</f>
        <v/>
      </c>
      <c r="W2469" s="33">
        <f>IF($A2469="","",DATE(YEAR($A2469),MONTH($A2469),1))</f>
        <v/>
      </c>
      <c r="X2469" s="34">
        <f>IF(OR($A2469="",$H2469&lt;&gt;"Ausgabe",J2469=""),0,IF(J2469="x",-$E2469/(COUNTIF($J2469:$Q2469,"x")+1),-$E2469*N(J2469)))</f>
        <v/>
      </c>
      <c r="Y2469" s="34">
        <f>IF(OR($A2469="",$H2469&lt;&gt;"Ausgabe",K2469=""),0,IF(K2469="x",-$E2469/(COUNTIF($J2469:$Q2469,"x")+1),-$E2469*N(K2469)))</f>
        <v/>
      </c>
      <c r="Z2469" s="34">
        <f>IF(OR($A2469="",$H2469&lt;&gt;"Ausgabe",L2469=""),0,IF(L2469="x",-$E2469/(COUNTIF($J2469:$Q2469,"x")+1),-$E2469*N(L2469)))</f>
        <v/>
      </c>
      <c r="AA2469" s="34">
        <f>IF(OR($A2469="",$H2469&lt;&gt;"Ausgabe",M2469=""),0,IF(M2469="x",-$E2469/(COUNTIF($J2469:$Q2469,"x")+1),-$E2469*N(M2469)))</f>
        <v/>
      </c>
      <c r="AB2469" s="34">
        <f>IF(OR($A2469="",$H2469&lt;&gt;"Ausgabe",N2469=""),0,IF(N2469="x",-$E2469/(COUNTIF($J2469:$Q2469,"x")+1),-$E2469*N(N2469)))</f>
        <v/>
      </c>
      <c r="AC2469" s="34">
        <f>IF(OR($A2469="",$H2469&lt;&gt;"Ausgabe",O2469=""),0,IF(O2469="x",-$E2469/(COUNTIF($J2469:$Q2469,"x")+1),-$E2469*N(O2469)))</f>
        <v/>
      </c>
      <c r="AD2469" s="34">
        <f>IF(OR($A2469="",$H2469&lt;&gt;"Ausgabe",P2469=""),0,IF(P2469="x",-$E2469/(COUNTIF($J2469:$Q2469,"x")+1),-$E2469*N(P2469)))</f>
        <v/>
      </c>
      <c r="AE2469" s="34">
        <f>IF(OR($A2469="",$H2469&lt;&gt;"Ausgabe",Q2469=""),0,IF(Q2469="x",-$E2469/(COUNTIF($J2469:$Q2469,"x")+1),-$E2469*N(Q2469)))</f>
        <v/>
      </c>
    </row>
    <row r="2470">
      <c r="A2470" s="30" t="n"/>
      <c r="E2470" s="31" t="n"/>
      <c r="J2470" s="32" t="n"/>
      <c r="K2470" s="32" t="n"/>
      <c r="L2470" s="32" t="n"/>
      <c r="M2470" s="32" t="n"/>
      <c r="N2470" s="32" t="n"/>
      <c r="O2470" s="32" t="n"/>
      <c r="P2470" s="32" t="n"/>
      <c r="Q2470" s="32" t="n"/>
      <c r="U2470" s="31">
        <f>IF($A2470="","",SUM(X2470:AE2470))</f>
        <v/>
      </c>
      <c r="V2470" s="31">
        <f>IF($A2470="","",IF($H2470&lt;&gt;"Ausgabe",0,-$E2470-$U2470))</f>
        <v/>
      </c>
      <c r="W2470" s="33">
        <f>IF($A2470="","",DATE(YEAR($A2470),MONTH($A2470),1))</f>
        <v/>
      </c>
      <c r="X2470" s="34">
        <f>IF(OR($A2470="",$H2470&lt;&gt;"Ausgabe",J2470=""),0,IF(J2470="x",-$E2470/(COUNTIF($J2470:$Q2470,"x")+1),-$E2470*N(J2470)))</f>
        <v/>
      </c>
      <c r="Y2470" s="34">
        <f>IF(OR($A2470="",$H2470&lt;&gt;"Ausgabe",K2470=""),0,IF(K2470="x",-$E2470/(COUNTIF($J2470:$Q2470,"x")+1),-$E2470*N(K2470)))</f>
        <v/>
      </c>
      <c r="Z2470" s="34">
        <f>IF(OR($A2470="",$H2470&lt;&gt;"Ausgabe",L2470=""),0,IF(L2470="x",-$E2470/(COUNTIF($J2470:$Q2470,"x")+1),-$E2470*N(L2470)))</f>
        <v/>
      </c>
      <c r="AA2470" s="34">
        <f>IF(OR($A2470="",$H2470&lt;&gt;"Ausgabe",M2470=""),0,IF(M2470="x",-$E2470/(COUNTIF($J2470:$Q2470,"x")+1),-$E2470*N(M2470)))</f>
        <v/>
      </c>
      <c r="AB2470" s="34">
        <f>IF(OR($A2470="",$H2470&lt;&gt;"Ausgabe",N2470=""),0,IF(N2470="x",-$E2470/(COUNTIF($J2470:$Q2470,"x")+1),-$E2470*N(N2470)))</f>
        <v/>
      </c>
      <c r="AC2470" s="34">
        <f>IF(OR($A2470="",$H2470&lt;&gt;"Ausgabe",O2470=""),0,IF(O2470="x",-$E2470/(COUNTIF($J2470:$Q2470,"x")+1),-$E2470*N(O2470)))</f>
        <v/>
      </c>
      <c r="AD2470" s="34">
        <f>IF(OR($A2470="",$H2470&lt;&gt;"Ausgabe",P2470=""),0,IF(P2470="x",-$E2470/(COUNTIF($J2470:$Q2470,"x")+1),-$E2470*N(P2470)))</f>
        <v/>
      </c>
      <c r="AE2470" s="34">
        <f>IF(OR($A2470="",$H2470&lt;&gt;"Ausgabe",Q2470=""),0,IF(Q2470="x",-$E2470/(COUNTIF($J2470:$Q2470,"x")+1),-$E2470*N(Q2470)))</f>
        <v/>
      </c>
    </row>
    <row r="2471">
      <c r="A2471" s="30" t="n"/>
      <c r="E2471" s="31" t="n"/>
      <c r="J2471" s="32" t="n"/>
      <c r="K2471" s="32" t="n"/>
      <c r="L2471" s="32" t="n"/>
      <c r="M2471" s="32" t="n"/>
      <c r="N2471" s="32" t="n"/>
      <c r="O2471" s="32" t="n"/>
      <c r="P2471" s="32" t="n"/>
      <c r="Q2471" s="32" t="n"/>
      <c r="U2471" s="31">
        <f>IF($A2471="","",SUM(X2471:AE2471))</f>
        <v/>
      </c>
      <c r="V2471" s="31">
        <f>IF($A2471="","",IF($H2471&lt;&gt;"Ausgabe",0,-$E2471-$U2471))</f>
        <v/>
      </c>
      <c r="W2471" s="33">
        <f>IF($A2471="","",DATE(YEAR($A2471),MONTH($A2471),1))</f>
        <v/>
      </c>
      <c r="X2471" s="34">
        <f>IF(OR($A2471="",$H2471&lt;&gt;"Ausgabe",J2471=""),0,IF(J2471="x",-$E2471/(COUNTIF($J2471:$Q2471,"x")+1),-$E2471*N(J2471)))</f>
        <v/>
      </c>
      <c r="Y2471" s="34">
        <f>IF(OR($A2471="",$H2471&lt;&gt;"Ausgabe",K2471=""),0,IF(K2471="x",-$E2471/(COUNTIF($J2471:$Q2471,"x")+1),-$E2471*N(K2471)))</f>
        <v/>
      </c>
      <c r="Z2471" s="34">
        <f>IF(OR($A2471="",$H2471&lt;&gt;"Ausgabe",L2471=""),0,IF(L2471="x",-$E2471/(COUNTIF($J2471:$Q2471,"x")+1),-$E2471*N(L2471)))</f>
        <v/>
      </c>
      <c r="AA2471" s="34">
        <f>IF(OR($A2471="",$H2471&lt;&gt;"Ausgabe",M2471=""),0,IF(M2471="x",-$E2471/(COUNTIF($J2471:$Q2471,"x")+1),-$E2471*N(M2471)))</f>
        <v/>
      </c>
      <c r="AB2471" s="34">
        <f>IF(OR($A2471="",$H2471&lt;&gt;"Ausgabe",N2471=""),0,IF(N2471="x",-$E2471/(COUNTIF($J2471:$Q2471,"x")+1),-$E2471*N(N2471)))</f>
        <v/>
      </c>
      <c r="AC2471" s="34">
        <f>IF(OR($A2471="",$H2471&lt;&gt;"Ausgabe",O2471=""),0,IF(O2471="x",-$E2471/(COUNTIF($J2471:$Q2471,"x")+1),-$E2471*N(O2471)))</f>
        <v/>
      </c>
      <c r="AD2471" s="34">
        <f>IF(OR($A2471="",$H2471&lt;&gt;"Ausgabe",P2471=""),0,IF(P2471="x",-$E2471/(COUNTIF($J2471:$Q2471,"x")+1),-$E2471*N(P2471)))</f>
        <v/>
      </c>
      <c r="AE2471" s="34">
        <f>IF(OR($A2471="",$H2471&lt;&gt;"Ausgabe",Q2471=""),0,IF(Q2471="x",-$E2471/(COUNTIF($J2471:$Q2471,"x")+1),-$E2471*N(Q2471)))</f>
        <v/>
      </c>
    </row>
    <row r="2472">
      <c r="A2472" s="30" t="n"/>
      <c r="E2472" s="31" t="n"/>
      <c r="J2472" s="32" t="n"/>
      <c r="K2472" s="32" t="n"/>
      <c r="L2472" s="32" t="n"/>
      <c r="M2472" s="32" t="n"/>
      <c r="N2472" s="32" t="n"/>
      <c r="O2472" s="32" t="n"/>
      <c r="P2472" s="32" t="n"/>
      <c r="Q2472" s="32" t="n"/>
      <c r="U2472" s="31">
        <f>IF($A2472="","",SUM(X2472:AE2472))</f>
        <v/>
      </c>
      <c r="V2472" s="31">
        <f>IF($A2472="","",IF($H2472&lt;&gt;"Ausgabe",0,-$E2472-$U2472))</f>
        <v/>
      </c>
      <c r="W2472" s="33">
        <f>IF($A2472="","",DATE(YEAR($A2472),MONTH($A2472),1))</f>
        <v/>
      </c>
      <c r="X2472" s="34">
        <f>IF(OR($A2472="",$H2472&lt;&gt;"Ausgabe",J2472=""),0,IF(J2472="x",-$E2472/(COUNTIF($J2472:$Q2472,"x")+1),-$E2472*N(J2472)))</f>
        <v/>
      </c>
      <c r="Y2472" s="34">
        <f>IF(OR($A2472="",$H2472&lt;&gt;"Ausgabe",K2472=""),0,IF(K2472="x",-$E2472/(COUNTIF($J2472:$Q2472,"x")+1),-$E2472*N(K2472)))</f>
        <v/>
      </c>
      <c r="Z2472" s="34">
        <f>IF(OR($A2472="",$H2472&lt;&gt;"Ausgabe",L2472=""),0,IF(L2472="x",-$E2472/(COUNTIF($J2472:$Q2472,"x")+1),-$E2472*N(L2472)))</f>
        <v/>
      </c>
      <c r="AA2472" s="34">
        <f>IF(OR($A2472="",$H2472&lt;&gt;"Ausgabe",M2472=""),0,IF(M2472="x",-$E2472/(COUNTIF($J2472:$Q2472,"x")+1),-$E2472*N(M2472)))</f>
        <v/>
      </c>
      <c r="AB2472" s="34">
        <f>IF(OR($A2472="",$H2472&lt;&gt;"Ausgabe",N2472=""),0,IF(N2472="x",-$E2472/(COUNTIF($J2472:$Q2472,"x")+1),-$E2472*N(N2472)))</f>
        <v/>
      </c>
      <c r="AC2472" s="34">
        <f>IF(OR($A2472="",$H2472&lt;&gt;"Ausgabe",O2472=""),0,IF(O2472="x",-$E2472/(COUNTIF($J2472:$Q2472,"x")+1),-$E2472*N(O2472)))</f>
        <v/>
      </c>
      <c r="AD2472" s="34">
        <f>IF(OR($A2472="",$H2472&lt;&gt;"Ausgabe",P2472=""),0,IF(P2472="x",-$E2472/(COUNTIF($J2472:$Q2472,"x")+1),-$E2472*N(P2472)))</f>
        <v/>
      </c>
      <c r="AE2472" s="34">
        <f>IF(OR($A2472="",$H2472&lt;&gt;"Ausgabe",Q2472=""),0,IF(Q2472="x",-$E2472/(COUNTIF($J2472:$Q2472,"x")+1),-$E2472*N(Q2472)))</f>
        <v/>
      </c>
    </row>
    <row r="2473">
      <c r="A2473" s="30" t="n"/>
      <c r="E2473" s="31" t="n"/>
      <c r="J2473" s="32" t="n"/>
      <c r="K2473" s="32" t="n"/>
      <c r="L2473" s="32" t="n"/>
      <c r="M2473" s="32" t="n"/>
      <c r="N2473" s="32" t="n"/>
      <c r="O2473" s="32" t="n"/>
      <c r="P2473" s="32" t="n"/>
      <c r="Q2473" s="32" t="n"/>
      <c r="U2473" s="31">
        <f>IF($A2473="","",SUM(X2473:AE2473))</f>
        <v/>
      </c>
      <c r="V2473" s="31">
        <f>IF($A2473="","",IF($H2473&lt;&gt;"Ausgabe",0,-$E2473-$U2473))</f>
        <v/>
      </c>
      <c r="W2473" s="33">
        <f>IF($A2473="","",DATE(YEAR($A2473),MONTH($A2473),1))</f>
        <v/>
      </c>
      <c r="X2473" s="34">
        <f>IF(OR($A2473="",$H2473&lt;&gt;"Ausgabe",J2473=""),0,IF(J2473="x",-$E2473/(COUNTIF($J2473:$Q2473,"x")+1),-$E2473*N(J2473)))</f>
        <v/>
      </c>
      <c r="Y2473" s="34">
        <f>IF(OR($A2473="",$H2473&lt;&gt;"Ausgabe",K2473=""),0,IF(K2473="x",-$E2473/(COUNTIF($J2473:$Q2473,"x")+1),-$E2473*N(K2473)))</f>
        <v/>
      </c>
      <c r="Z2473" s="34">
        <f>IF(OR($A2473="",$H2473&lt;&gt;"Ausgabe",L2473=""),0,IF(L2473="x",-$E2473/(COUNTIF($J2473:$Q2473,"x")+1),-$E2473*N(L2473)))</f>
        <v/>
      </c>
      <c r="AA2473" s="34">
        <f>IF(OR($A2473="",$H2473&lt;&gt;"Ausgabe",M2473=""),0,IF(M2473="x",-$E2473/(COUNTIF($J2473:$Q2473,"x")+1),-$E2473*N(M2473)))</f>
        <v/>
      </c>
      <c r="AB2473" s="34">
        <f>IF(OR($A2473="",$H2473&lt;&gt;"Ausgabe",N2473=""),0,IF(N2473="x",-$E2473/(COUNTIF($J2473:$Q2473,"x")+1),-$E2473*N(N2473)))</f>
        <v/>
      </c>
      <c r="AC2473" s="34">
        <f>IF(OR($A2473="",$H2473&lt;&gt;"Ausgabe",O2473=""),0,IF(O2473="x",-$E2473/(COUNTIF($J2473:$Q2473,"x")+1),-$E2473*N(O2473)))</f>
        <v/>
      </c>
      <c r="AD2473" s="34">
        <f>IF(OR($A2473="",$H2473&lt;&gt;"Ausgabe",P2473=""),0,IF(P2473="x",-$E2473/(COUNTIF($J2473:$Q2473,"x")+1),-$E2473*N(P2473)))</f>
        <v/>
      </c>
      <c r="AE2473" s="34">
        <f>IF(OR($A2473="",$H2473&lt;&gt;"Ausgabe",Q2473=""),0,IF(Q2473="x",-$E2473/(COUNTIF($J2473:$Q2473,"x")+1),-$E2473*N(Q2473)))</f>
        <v/>
      </c>
    </row>
    <row r="2474">
      <c r="A2474" s="30" t="n"/>
      <c r="E2474" s="31" t="n"/>
      <c r="J2474" s="32" t="n"/>
      <c r="K2474" s="32" t="n"/>
      <c r="L2474" s="32" t="n"/>
      <c r="M2474" s="32" t="n"/>
      <c r="N2474" s="32" t="n"/>
      <c r="O2474" s="32" t="n"/>
      <c r="P2474" s="32" t="n"/>
      <c r="Q2474" s="32" t="n"/>
      <c r="U2474" s="31">
        <f>IF($A2474="","",SUM(X2474:AE2474))</f>
        <v/>
      </c>
      <c r="V2474" s="31">
        <f>IF($A2474="","",IF($H2474&lt;&gt;"Ausgabe",0,-$E2474-$U2474))</f>
        <v/>
      </c>
      <c r="W2474" s="33">
        <f>IF($A2474="","",DATE(YEAR($A2474),MONTH($A2474),1))</f>
        <v/>
      </c>
      <c r="X2474" s="34">
        <f>IF(OR($A2474="",$H2474&lt;&gt;"Ausgabe",J2474=""),0,IF(J2474="x",-$E2474/(COUNTIF($J2474:$Q2474,"x")+1),-$E2474*N(J2474)))</f>
        <v/>
      </c>
      <c r="Y2474" s="34">
        <f>IF(OR($A2474="",$H2474&lt;&gt;"Ausgabe",K2474=""),0,IF(K2474="x",-$E2474/(COUNTIF($J2474:$Q2474,"x")+1),-$E2474*N(K2474)))</f>
        <v/>
      </c>
      <c r="Z2474" s="34">
        <f>IF(OR($A2474="",$H2474&lt;&gt;"Ausgabe",L2474=""),0,IF(L2474="x",-$E2474/(COUNTIF($J2474:$Q2474,"x")+1),-$E2474*N(L2474)))</f>
        <v/>
      </c>
      <c r="AA2474" s="34">
        <f>IF(OR($A2474="",$H2474&lt;&gt;"Ausgabe",M2474=""),0,IF(M2474="x",-$E2474/(COUNTIF($J2474:$Q2474,"x")+1),-$E2474*N(M2474)))</f>
        <v/>
      </c>
      <c r="AB2474" s="34">
        <f>IF(OR($A2474="",$H2474&lt;&gt;"Ausgabe",N2474=""),0,IF(N2474="x",-$E2474/(COUNTIF($J2474:$Q2474,"x")+1),-$E2474*N(N2474)))</f>
        <v/>
      </c>
      <c r="AC2474" s="34">
        <f>IF(OR($A2474="",$H2474&lt;&gt;"Ausgabe",O2474=""),0,IF(O2474="x",-$E2474/(COUNTIF($J2474:$Q2474,"x")+1),-$E2474*N(O2474)))</f>
        <v/>
      </c>
      <c r="AD2474" s="34">
        <f>IF(OR($A2474="",$H2474&lt;&gt;"Ausgabe",P2474=""),0,IF(P2474="x",-$E2474/(COUNTIF($J2474:$Q2474,"x")+1),-$E2474*N(P2474)))</f>
        <v/>
      </c>
      <c r="AE2474" s="34">
        <f>IF(OR($A2474="",$H2474&lt;&gt;"Ausgabe",Q2474=""),0,IF(Q2474="x",-$E2474/(COUNTIF($J2474:$Q2474,"x")+1),-$E2474*N(Q2474)))</f>
        <v/>
      </c>
    </row>
    <row r="2475">
      <c r="A2475" s="30" t="n"/>
      <c r="E2475" s="31" t="n"/>
      <c r="J2475" s="32" t="n"/>
      <c r="K2475" s="32" t="n"/>
      <c r="L2475" s="32" t="n"/>
      <c r="M2475" s="32" t="n"/>
      <c r="N2475" s="32" t="n"/>
      <c r="O2475" s="32" t="n"/>
      <c r="P2475" s="32" t="n"/>
      <c r="Q2475" s="32" t="n"/>
      <c r="U2475" s="31">
        <f>IF($A2475="","",SUM(X2475:AE2475))</f>
        <v/>
      </c>
      <c r="V2475" s="31">
        <f>IF($A2475="","",IF($H2475&lt;&gt;"Ausgabe",0,-$E2475-$U2475))</f>
        <v/>
      </c>
      <c r="W2475" s="33">
        <f>IF($A2475="","",DATE(YEAR($A2475),MONTH($A2475),1))</f>
        <v/>
      </c>
      <c r="X2475" s="34">
        <f>IF(OR($A2475="",$H2475&lt;&gt;"Ausgabe",J2475=""),0,IF(J2475="x",-$E2475/(COUNTIF($J2475:$Q2475,"x")+1),-$E2475*N(J2475)))</f>
        <v/>
      </c>
      <c r="Y2475" s="34">
        <f>IF(OR($A2475="",$H2475&lt;&gt;"Ausgabe",K2475=""),0,IF(K2475="x",-$E2475/(COUNTIF($J2475:$Q2475,"x")+1),-$E2475*N(K2475)))</f>
        <v/>
      </c>
      <c r="Z2475" s="34">
        <f>IF(OR($A2475="",$H2475&lt;&gt;"Ausgabe",L2475=""),0,IF(L2475="x",-$E2475/(COUNTIF($J2475:$Q2475,"x")+1),-$E2475*N(L2475)))</f>
        <v/>
      </c>
      <c r="AA2475" s="34">
        <f>IF(OR($A2475="",$H2475&lt;&gt;"Ausgabe",M2475=""),0,IF(M2475="x",-$E2475/(COUNTIF($J2475:$Q2475,"x")+1),-$E2475*N(M2475)))</f>
        <v/>
      </c>
      <c r="AB2475" s="34">
        <f>IF(OR($A2475="",$H2475&lt;&gt;"Ausgabe",N2475=""),0,IF(N2475="x",-$E2475/(COUNTIF($J2475:$Q2475,"x")+1),-$E2475*N(N2475)))</f>
        <v/>
      </c>
      <c r="AC2475" s="34">
        <f>IF(OR($A2475="",$H2475&lt;&gt;"Ausgabe",O2475=""),0,IF(O2475="x",-$E2475/(COUNTIF($J2475:$Q2475,"x")+1),-$E2475*N(O2475)))</f>
        <v/>
      </c>
      <c r="AD2475" s="34">
        <f>IF(OR($A2475="",$H2475&lt;&gt;"Ausgabe",P2475=""),0,IF(P2475="x",-$E2475/(COUNTIF($J2475:$Q2475,"x")+1),-$E2475*N(P2475)))</f>
        <v/>
      </c>
      <c r="AE2475" s="34">
        <f>IF(OR($A2475="",$H2475&lt;&gt;"Ausgabe",Q2475=""),0,IF(Q2475="x",-$E2475/(COUNTIF($J2475:$Q2475,"x")+1),-$E2475*N(Q2475)))</f>
        <v/>
      </c>
    </row>
    <row r="2476">
      <c r="A2476" s="30" t="n"/>
      <c r="E2476" s="31" t="n"/>
      <c r="J2476" s="32" t="n"/>
      <c r="K2476" s="32" t="n"/>
      <c r="L2476" s="32" t="n"/>
      <c r="M2476" s="32" t="n"/>
      <c r="N2476" s="32" t="n"/>
      <c r="O2476" s="32" t="n"/>
      <c r="P2476" s="32" t="n"/>
      <c r="Q2476" s="32" t="n"/>
      <c r="U2476" s="31">
        <f>IF($A2476="","",SUM(X2476:AE2476))</f>
        <v/>
      </c>
      <c r="V2476" s="31">
        <f>IF($A2476="","",IF($H2476&lt;&gt;"Ausgabe",0,-$E2476-$U2476))</f>
        <v/>
      </c>
      <c r="W2476" s="33">
        <f>IF($A2476="","",DATE(YEAR($A2476),MONTH($A2476),1))</f>
        <v/>
      </c>
      <c r="X2476" s="34">
        <f>IF(OR($A2476="",$H2476&lt;&gt;"Ausgabe",J2476=""),0,IF(J2476="x",-$E2476/(COUNTIF($J2476:$Q2476,"x")+1),-$E2476*N(J2476)))</f>
        <v/>
      </c>
      <c r="Y2476" s="34">
        <f>IF(OR($A2476="",$H2476&lt;&gt;"Ausgabe",K2476=""),0,IF(K2476="x",-$E2476/(COUNTIF($J2476:$Q2476,"x")+1),-$E2476*N(K2476)))</f>
        <v/>
      </c>
      <c r="Z2476" s="34">
        <f>IF(OR($A2476="",$H2476&lt;&gt;"Ausgabe",L2476=""),0,IF(L2476="x",-$E2476/(COUNTIF($J2476:$Q2476,"x")+1),-$E2476*N(L2476)))</f>
        <v/>
      </c>
      <c r="AA2476" s="34">
        <f>IF(OR($A2476="",$H2476&lt;&gt;"Ausgabe",M2476=""),0,IF(M2476="x",-$E2476/(COUNTIF($J2476:$Q2476,"x")+1),-$E2476*N(M2476)))</f>
        <v/>
      </c>
      <c r="AB2476" s="34">
        <f>IF(OR($A2476="",$H2476&lt;&gt;"Ausgabe",N2476=""),0,IF(N2476="x",-$E2476/(COUNTIF($J2476:$Q2476,"x")+1),-$E2476*N(N2476)))</f>
        <v/>
      </c>
      <c r="AC2476" s="34">
        <f>IF(OR($A2476="",$H2476&lt;&gt;"Ausgabe",O2476=""),0,IF(O2476="x",-$E2476/(COUNTIF($J2476:$Q2476,"x")+1),-$E2476*N(O2476)))</f>
        <v/>
      </c>
      <c r="AD2476" s="34">
        <f>IF(OR($A2476="",$H2476&lt;&gt;"Ausgabe",P2476=""),0,IF(P2476="x",-$E2476/(COUNTIF($J2476:$Q2476,"x")+1),-$E2476*N(P2476)))</f>
        <v/>
      </c>
      <c r="AE2476" s="34">
        <f>IF(OR($A2476="",$H2476&lt;&gt;"Ausgabe",Q2476=""),0,IF(Q2476="x",-$E2476/(COUNTIF($J2476:$Q2476,"x")+1),-$E2476*N(Q2476)))</f>
        <v/>
      </c>
    </row>
    <row r="2477">
      <c r="A2477" s="30" t="n"/>
      <c r="E2477" s="31" t="n"/>
      <c r="J2477" s="32" t="n"/>
      <c r="K2477" s="32" t="n"/>
      <c r="L2477" s="32" t="n"/>
      <c r="M2477" s="32" t="n"/>
      <c r="N2477" s="32" t="n"/>
      <c r="O2477" s="32" t="n"/>
      <c r="P2477" s="32" t="n"/>
      <c r="Q2477" s="32" t="n"/>
      <c r="U2477" s="31">
        <f>IF($A2477="","",SUM(X2477:AE2477))</f>
        <v/>
      </c>
      <c r="V2477" s="31">
        <f>IF($A2477="","",IF($H2477&lt;&gt;"Ausgabe",0,-$E2477-$U2477))</f>
        <v/>
      </c>
      <c r="W2477" s="33">
        <f>IF($A2477="","",DATE(YEAR($A2477),MONTH($A2477),1))</f>
        <v/>
      </c>
      <c r="X2477" s="34">
        <f>IF(OR($A2477="",$H2477&lt;&gt;"Ausgabe",J2477=""),0,IF(J2477="x",-$E2477/(COUNTIF($J2477:$Q2477,"x")+1),-$E2477*N(J2477)))</f>
        <v/>
      </c>
      <c r="Y2477" s="34">
        <f>IF(OR($A2477="",$H2477&lt;&gt;"Ausgabe",K2477=""),0,IF(K2477="x",-$E2477/(COUNTIF($J2477:$Q2477,"x")+1),-$E2477*N(K2477)))</f>
        <v/>
      </c>
      <c r="Z2477" s="34">
        <f>IF(OR($A2477="",$H2477&lt;&gt;"Ausgabe",L2477=""),0,IF(L2477="x",-$E2477/(COUNTIF($J2477:$Q2477,"x")+1),-$E2477*N(L2477)))</f>
        <v/>
      </c>
      <c r="AA2477" s="34">
        <f>IF(OR($A2477="",$H2477&lt;&gt;"Ausgabe",M2477=""),0,IF(M2477="x",-$E2477/(COUNTIF($J2477:$Q2477,"x")+1),-$E2477*N(M2477)))</f>
        <v/>
      </c>
      <c r="AB2477" s="34">
        <f>IF(OR($A2477="",$H2477&lt;&gt;"Ausgabe",N2477=""),0,IF(N2477="x",-$E2477/(COUNTIF($J2477:$Q2477,"x")+1),-$E2477*N(N2477)))</f>
        <v/>
      </c>
      <c r="AC2477" s="34">
        <f>IF(OR($A2477="",$H2477&lt;&gt;"Ausgabe",O2477=""),0,IF(O2477="x",-$E2477/(COUNTIF($J2477:$Q2477,"x")+1),-$E2477*N(O2477)))</f>
        <v/>
      </c>
      <c r="AD2477" s="34">
        <f>IF(OR($A2477="",$H2477&lt;&gt;"Ausgabe",P2477=""),0,IF(P2477="x",-$E2477/(COUNTIF($J2477:$Q2477,"x")+1),-$E2477*N(P2477)))</f>
        <v/>
      </c>
      <c r="AE2477" s="34">
        <f>IF(OR($A2477="",$H2477&lt;&gt;"Ausgabe",Q2477=""),0,IF(Q2477="x",-$E2477/(COUNTIF($J2477:$Q2477,"x")+1),-$E2477*N(Q2477)))</f>
        <v/>
      </c>
    </row>
    <row r="2478">
      <c r="A2478" s="30" t="n"/>
      <c r="E2478" s="31" t="n"/>
      <c r="J2478" s="32" t="n"/>
      <c r="K2478" s="32" t="n"/>
      <c r="L2478" s="32" t="n"/>
      <c r="M2478" s="32" t="n"/>
      <c r="N2478" s="32" t="n"/>
      <c r="O2478" s="32" t="n"/>
      <c r="P2478" s="32" t="n"/>
      <c r="Q2478" s="32" t="n"/>
      <c r="U2478" s="31">
        <f>IF($A2478="","",SUM(X2478:AE2478))</f>
        <v/>
      </c>
      <c r="V2478" s="31">
        <f>IF($A2478="","",IF($H2478&lt;&gt;"Ausgabe",0,-$E2478-$U2478))</f>
        <v/>
      </c>
      <c r="W2478" s="33">
        <f>IF($A2478="","",DATE(YEAR($A2478),MONTH($A2478),1))</f>
        <v/>
      </c>
      <c r="X2478" s="34">
        <f>IF(OR($A2478="",$H2478&lt;&gt;"Ausgabe",J2478=""),0,IF(J2478="x",-$E2478/(COUNTIF($J2478:$Q2478,"x")+1),-$E2478*N(J2478)))</f>
        <v/>
      </c>
      <c r="Y2478" s="34">
        <f>IF(OR($A2478="",$H2478&lt;&gt;"Ausgabe",K2478=""),0,IF(K2478="x",-$E2478/(COUNTIF($J2478:$Q2478,"x")+1),-$E2478*N(K2478)))</f>
        <v/>
      </c>
      <c r="Z2478" s="34">
        <f>IF(OR($A2478="",$H2478&lt;&gt;"Ausgabe",L2478=""),0,IF(L2478="x",-$E2478/(COUNTIF($J2478:$Q2478,"x")+1),-$E2478*N(L2478)))</f>
        <v/>
      </c>
      <c r="AA2478" s="34">
        <f>IF(OR($A2478="",$H2478&lt;&gt;"Ausgabe",M2478=""),0,IF(M2478="x",-$E2478/(COUNTIF($J2478:$Q2478,"x")+1),-$E2478*N(M2478)))</f>
        <v/>
      </c>
      <c r="AB2478" s="34">
        <f>IF(OR($A2478="",$H2478&lt;&gt;"Ausgabe",N2478=""),0,IF(N2478="x",-$E2478/(COUNTIF($J2478:$Q2478,"x")+1),-$E2478*N(N2478)))</f>
        <v/>
      </c>
      <c r="AC2478" s="34">
        <f>IF(OR($A2478="",$H2478&lt;&gt;"Ausgabe",O2478=""),0,IF(O2478="x",-$E2478/(COUNTIF($J2478:$Q2478,"x")+1),-$E2478*N(O2478)))</f>
        <v/>
      </c>
      <c r="AD2478" s="34">
        <f>IF(OR($A2478="",$H2478&lt;&gt;"Ausgabe",P2478=""),0,IF(P2478="x",-$E2478/(COUNTIF($J2478:$Q2478,"x")+1),-$E2478*N(P2478)))</f>
        <v/>
      </c>
      <c r="AE2478" s="34">
        <f>IF(OR($A2478="",$H2478&lt;&gt;"Ausgabe",Q2478=""),0,IF(Q2478="x",-$E2478/(COUNTIF($J2478:$Q2478,"x")+1),-$E2478*N(Q2478)))</f>
        <v/>
      </c>
    </row>
    <row r="2479">
      <c r="A2479" s="30" t="n"/>
      <c r="E2479" s="31" t="n"/>
      <c r="J2479" s="32" t="n"/>
      <c r="K2479" s="32" t="n"/>
      <c r="L2479" s="32" t="n"/>
      <c r="M2479" s="32" t="n"/>
      <c r="N2479" s="32" t="n"/>
      <c r="O2479" s="32" t="n"/>
      <c r="P2479" s="32" t="n"/>
      <c r="Q2479" s="32" t="n"/>
      <c r="U2479" s="31">
        <f>IF($A2479="","",SUM(X2479:AE2479))</f>
        <v/>
      </c>
      <c r="V2479" s="31">
        <f>IF($A2479="","",IF($H2479&lt;&gt;"Ausgabe",0,-$E2479-$U2479))</f>
        <v/>
      </c>
      <c r="W2479" s="33">
        <f>IF($A2479="","",DATE(YEAR($A2479),MONTH($A2479),1))</f>
        <v/>
      </c>
      <c r="X2479" s="34">
        <f>IF(OR($A2479="",$H2479&lt;&gt;"Ausgabe",J2479=""),0,IF(J2479="x",-$E2479/(COUNTIF($J2479:$Q2479,"x")+1),-$E2479*N(J2479)))</f>
        <v/>
      </c>
      <c r="Y2479" s="34">
        <f>IF(OR($A2479="",$H2479&lt;&gt;"Ausgabe",K2479=""),0,IF(K2479="x",-$E2479/(COUNTIF($J2479:$Q2479,"x")+1),-$E2479*N(K2479)))</f>
        <v/>
      </c>
      <c r="Z2479" s="34">
        <f>IF(OR($A2479="",$H2479&lt;&gt;"Ausgabe",L2479=""),0,IF(L2479="x",-$E2479/(COUNTIF($J2479:$Q2479,"x")+1),-$E2479*N(L2479)))</f>
        <v/>
      </c>
      <c r="AA2479" s="34">
        <f>IF(OR($A2479="",$H2479&lt;&gt;"Ausgabe",M2479=""),0,IF(M2479="x",-$E2479/(COUNTIF($J2479:$Q2479,"x")+1),-$E2479*N(M2479)))</f>
        <v/>
      </c>
      <c r="AB2479" s="34">
        <f>IF(OR($A2479="",$H2479&lt;&gt;"Ausgabe",N2479=""),0,IF(N2479="x",-$E2479/(COUNTIF($J2479:$Q2479,"x")+1),-$E2479*N(N2479)))</f>
        <v/>
      </c>
      <c r="AC2479" s="34">
        <f>IF(OR($A2479="",$H2479&lt;&gt;"Ausgabe",O2479=""),0,IF(O2479="x",-$E2479/(COUNTIF($J2479:$Q2479,"x")+1),-$E2479*N(O2479)))</f>
        <v/>
      </c>
      <c r="AD2479" s="34">
        <f>IF(OR($A2479="",$H2479&lt;&gt;"Ausgabe",P2479=""),0,IF(P2479="x",-$E2479/(COUNTIF($J2479:$Q2479,"x")+1),-$E2479*N(P2479)))</f>
        <v/>
      </c>
      <c r="AE2479" s="34">
        <f>IF(OR($A2479="",$H2479&lt;&gt;"Ausgabe",Q2479=""),0,IF(Q2479="x",-$E2479/(COUNTIF($J2479:$Q2479,"x")+1),-$E2479*N(Q2479)))</f>
        <v/>
      </c>
    </row>
    <row r="2480">
      <c r="A2480" s="30" t="n"/>
      <c r="E2480" s="31" t="n"/>
      <c r="J2480" s="32" t="n"/>
      <c r="K2480" s="32" t="n"/>
      <c r="L2480" s="32" t="n"/>
      <c r="M2480" s="32" t="n"/>
      <c r="N2480" s="32" t="n"/>
      <c r="O2480" s="32" t="n"/>
      <c r="P2480" s="32" t="n"/>
      <c r="Q2480" s="32" t="n"/>
      <c r="U2480" s="31">
        <f>IF($A2480="","",SUM(X2480:AE2480))</f>
        <v/>
      </c>
      <c r="V2480" s="31">
        <f>IF($A2480="","",IF($H2480&lt;&gt;"Ausgabe",0,-$E2480-$U2480))</f>
        <v/>
      </c>
      <c r="W2480" s="33">
        <f>IF($A2480="","",DATE(YEAR($A2480),MONTH($A2480),1))</f>
        <v/>
      </c>
      <c r="X2480" s="34">
        <f>IF(OR($A2480="",$H2480&lt;&gt;"Ausgabe",J2480=""),0,IF(J2480="x",-$E2480/(COUNTIF($J2480:$Q2480,"x")+1),-$E2480*N(J2480)))</f>
        <v/>
      </c>
      <c r="Y2480" s="34">
        <f>IF(OR($A2480="",$H2480&lt;&gt;"Ausgabe",K2480=""),0,IF(K2480="x",-$E2480/(COUNTIF($J2480:$Q2480,"x")+1),-$E2480*N(K2480)))</f>
        <v/>
      </c>
      <c r="Z2480" s="34">
        <f>IF(OR($A2480="",$H2480&lt;&gt;"Ausgabe",L2480=""),0,IF(L2480="x",-$E2480/(COUNTIF($J2480:$Q2480,"x")+1),-$E2480*N(L2480)))</f>
        <v/>
      </c>
      <c r="AA2480" s="34">
        <f>IF(OR($A2480="",$H2480&lt;&gt;"Ausgabe",M2480=""),0,IF(M2480="x",-$E2480/(COUNTIF($J2480:$Q2480,"x")+1),-$E2480*N(M2480)))</f>
        <v/>
      </c>
      <c r="AB2480" s="34">
        <f>IF(OR($A2480="",$H2480&lt;&gt;"Ausgabe",N2480=""),0,IF(N2480="x",-$E2480/(COUNTIF($J2480:$Q2480,"x")+1),-$E2480*N(N2480)))</f>
        <v/>
      </c>
      <c r="AC2480" s="34">
        <f>IF(OR($A2480="",$H2480&lt;&gt;"Ausgabe",O2480=""),0,IF(O2480="x",-$E2480/(COUNTIF($J2480:$Q2480,"x")+1),-$E2480*N(O2480)))</f>
        <v/>
      </c>
      <c r="AD2480" s="34">
        <f>IF(OR($A2480="",$H2480&lt;&gt;"Ausgabe",P2480=""),0,IF(P2480="x",-$E2480/(COUNTIF($J2480:$Q2480,"x")+1),-$E2480*N(P2480)))</f>
        <v/>
      </c>
      <c r="AE2480" s="34">
        <f>IF(OR($A2480="",$H2480&lt;&gt;"Ausgabe",Q2480=""),0,IF(Q2480="x",-$E2480/(COUNTIF($J2480:$Q2480,"x")+1),-$E2480*N(Q2480)))</f>
        <v/>
      </c>
    </row>
    <row r="2481">
      <c r="A2481" s="30" t="n"/>
      <c r="E2481" s="31" t="n"/>
      <c r="J2481" s="32" t="n"/>
      <c r="K2481" s="32" t="n"/>
      <c r="L2481" s="32" t="n"/>
      <c r="M2481" s="32" t="n"/>
      <c r="N2481" s="32" t="n"/>
      <c r="O2481" s="32" t="n"/>
      <c r="P2481" s="32" t="n"/>
      <c r="Q2481" s="32" t="n"/>
      <c r="U2481" s="31">
        <f>IF($A2481="","",SUM(X2481:AE2481))</f>
        <v/>
      </c>
      <c r="V2481" s="31">
        <f>IF($A2481="","",IF($H2481&lt;&gt;"Ausgabe",0,-$E2481-$U2481))</f>
        <v/>
      </c>
      <c r="W2481" s="33">
        <f>IF($A2481="","",DATE(YEAR($A2481),MONTH($A2481),1))</f>
        <v/>
      </c>
      <c r="X2481" s="34">
        <f>IF(OR($A2481="",$H2481&lt;&gt;"Ausgabe",J2481=""),0,IF(J2481="x",-$E2481/(COUNTIF($J2481:$Q2481,"x")+1),-$E2481*N(J2481)))</f>
        <v/>
      </c>
      <c r="Y2481" s="34">
        <f>IF(OR($A2481="",$H2481&lt;&gt;"Ausgabe",K2481=""),0,IF(K2481="x",-$E2481/(COUNTIF($J2481:$Q2481,"x")+1),-$E2481*N(K2481)))</f>
        <v/>
      </c>
      <c r="Z2481" s="34">
        <f>IF(OR($A2481="",$H2481&lt;&gt;"Ausgabe",L2481=""),0,IF(L2481="x",-$E2481/(COUNTIF($J2481:$Q2481,"x")+1),-$E2481*N(L2481)))</f>
        <v/>
      </c>
      <c r="AA2481" s="34">
        <f>IF(OR($A2481="",$H2481&lt;&gt;"Ausgabe",M2481=""),0,IF(M2481="x",-$E2481/(COUNTIF($J2481:$Q2481,"x")+1),-$E2481*N(M2481)))</f>
        <v/>
      </c>
      <c r="AB2481" s="34">
        <f>IF(OR($A2481="",$H2481&lt;&gt;"Ausgabe",N2481=""),0,IF(N2481="x",-$E2481/(COUNTIF($J2481:$Q2481,"x")+1),-$E2481*N(N2481)))</f>
        <v/>
      </c>
      <c r="AC2481" s="34">
        <f>IF(OR($A2481="",$H2481&lt;&gt;"Ausgabe",O2481=""),0,IF(O2481="x",-$E2481/(COUNTIF($J2481:$Q2481,"x")+1),-$E2481*N(O2481)))</f>
        <v/>
      </c>
      <c r="AD2481" s="34">
        <f>IF(OR($A2481="",$H2481&lt;&gt;"Ausgabe",P2481=""),0,IF(P2481="x",-$E2481/(COUNTIF($J2481:$Q2481,"x")+1),-$E2481*N(P2481)))</f>
        <v/>
      </c>
      <c r="AE2481" s="34">
        <f>IF(OR($A2481="",$H2481&lt;&gt;"Ausgabe",Q2481=""),0,IF(Q2481="x",-$E2481/(COUNTIF($J2481:$Q2481,"x")+1),-$E2481*N(Q2481)))</f>
        <v/>
      </c>
    </row>
    <row r="2482">
      <c r="A2482" s="30" t="n"/>
      <c r="E2482" s="31" t="n"/>
      <c r="J2482" s="32" t="n"/>
      <c r="K2482" s="32" t="n"/>
      <c r="L2482" s="32" t="n"/>
      <c r="M2482" s="32" t="n"/>
      <c r="N2482" s="32" t="n"/>
      <c r="O2482" s="32" t="n"/>
      <c r="P2482" s="32" t="n"/>
      <c r="Q2482" s="32" t="n"/>
      <c r="U2482" s="31">
        <f>IF($A2482="","",SUM(X2482:AE2482))</f>
        <v/>
      </c>
      <c r="V2482" s="31">
        <f>IF($A2482="","",IF($H2482&lt;&gt;"Ausgabe",0,-$E2482-$U2482))</f>
        <v/>
      </c>
      <c r="W2482" s="33">
        <f>IF($A2482="","",DATE(YEAR($A2482),MONTH($A2482),1))</f>
        <v/>
      </c>
      <c r="X2482" s="34">
        <f>IF(OR($A2482="",$H2482&lt;&gt;"Ausgabe",J2482=""),0,IF(J2482="x",-$E2482/(COUNTIF($J2482:$Q2482,"x")+1),-$E2482*N(J2482)))</f>
        <v/>
      </c>
      <c r="Y2482" s="34">
        <f>IF(OR($A2482="",$H2482&lt;&gt;"Ausgabe",K2482=""),0,IF(K2482="x",-$E2482/(COUNTIF($J2482:$Q2482,"x")+1),-$E2482*N(K2482)))</f>
        <v/>
      </c>
      <c r="Z2482" s="34">
        <f>IF(OR($A2482="",$H2482&lt;&gt;"Ausgabe",L2482=""),0,IF(L2482="x",-$E2482/(COUNTIF($J2482:$Q2482,"x")+1),-$E2482*N(L2482)))</f>
        <v/>
      </c>
      <c r="AA2482" s="34">
        <f>IF(OR($A2482="",$H2482&lt;&gt;"Ausgabe",M2482=""),0,IF(M2482="x",-$E2482/(COUNTIF($J2482:$Q2482,"x")+1),-$E2482*N(M2482)))</f>
        <v/>
      </c>
      <c r="AB2482" s="34">
        <f>IF(OR($A2482="",$H2482&lt;&gt;"Ausgabe",N2482=""),0,IF(N2482="x",-$E2482/(COUNTIF($J2482:$Q2482,"x")+1),-$E2482*N(N2482)))</f>
        <v/>
      </c>
      <c r="AC2482" s="34">
        <f>IF(OR($A2482="",$H2482&lt;&gt;"Ausgabe",O2482=""),0,IF(O2482="x",-$E2482/(COUNTIF($J2482:$Q2482,"x")+1),-$E2482*N(O2482)))</f>
        <v/>
      </c>
      <c r="AD2482" s="34">
        <f>IF(OR($A2482="",$H2482&lt;&gt;"Ausgabe",P2482=""),0,IF(P2482="x",-$E2482/(COUNTIF($J2482:$Q2482,"x")+1),-$E2482*N(P2482)))</f>
        <v/>
      </c>
      <c r="AE2482" s="34">
        <f>IF(OR($A2482="",$H2482&lt;&gt;"Ausgabe",Q2482=""),0,IF(Q2482="x",-$E2482/(COUNTIF($J2482:$Q2482,"x")+1),-$E2482*N(Q2482)))</f>
        <v/>
      </c>
    </row>
    <row r="2483">
      <c r="A2483" s="30" t="n"/>
      <c r="E2483" s="31" t="n"/>
      <c r="J2483" s="32" t="n"/>
      <c r="K2483" s="32" t="n"/>
      <c r="L2483" s="32" t="n"/>
      <c r="M2483" s="32" t="n"/>
      <c r="N2483" s="32" t="n"/>
      <c r="O2483" s="32" t="n"/>
      <c r="P2483" s="32" t="n"/>
      <c r="Q2483" s="32" t="n"/>
      <c r="U2483" s="31">
        <f>IF($A2483="","",SUM(X2483:AE2483))</f>
        <v/>
      </c>
      <c r="V2483" s="31">
        <f>IF($A2483="","",IF($H2483&lt;&gt;"Ausgabe",0,-$E2483-$U2483))</f>
        <v/>
      </c>
      <c r="W2483" s="33">
        <f>IF($A2483="","",DATE(YEAR($A2483),MONTH($A2483),1))</f>
        <v/>
      </c>
      <c r="X2483" s="34">
        <f>IF(OR($A2483="",$H2483&lt;&gt;"Ausgabe",J2483=""),0,IF(J2483="x",-$E2483/(COUNTIF($J2483:$Q2483,"x")+1),-$E2483*N(J2483)))</f>
        <v/>
      </c>
      <c r="Y2483" s="34">
        <f>IF(OR($A2483="",$H2483&lt;&gt;"Ausgabe",K2483=""),0,IF(K2483="x",-$E2483/(COUNTIF($J2483:$Q2483,"x")+1),-$E2483*N(K2483)))</f>
        <v/>
      </c>
      <c r="Z2483" s="34">
        <f>IF(OR($A2483="",$H2483&lt;&gt;"Ausgabe",L2483=""),0,IF(L2483="x",-$E2483/(COUNTIF($J2483:$Q2483,"x")+1),-$E2483*N(L2483)))</f>
        <v/>
      </c>
      <c r="AA2483" s="34">
        <f>IF(OR($A2483="",$H2483&lt;&gt;"Ausgabe",M2483=""),0,IF(M2483="x",-$E2483/(COUNTIF($J2483:$Q2483,"x")+1),-$E2483*N(M2483)))</f>
        <v/>
      </c>
      <c r="AB2483" s="34">
        <f>IF(OR($A2483="",$H2483&lt;&gt;"Ausgabe",N2483=""),0,IF(N2483="x",-$E2483/(COUNTIF($J2483:$Q2483,"x")+1),-$E2483*N(N2483)))</f>
        <v/>
      </c>
      <c r="AC2483" s="34">
        <f>IF(OR($A2483="",$H2483&lt;&gt;"Ausgabe",O2483=""),0,IF(O2483="x",-$E2483/(COUNTIF($J2483:$Q2483,"x")+1),-$E2483*N(O2483)))</f>
        <v/>
      </c>
      <c r="AD2483" s="34">
        <f>IF(OR($A2483="",$H2483&lt;&gt;"Ausgabe",P2483=""),0,IF(P2483="x",-$E2483/(COUNTIF($J2483:$Q2483,"x")+1),-$E2483*N(P2483)))</f>
        <v/>
      </c>
      <c r="AE2483" s="34">
        <f>IF(OR($A2483="",$H2483&lt;&gt;"Ausgabe",Q2483=""),0,IF(Q2483="x",-$E2483/(COUNTIF($J2483:$Q2483,"x")+1),-$E2483*N(Q2483)))</f>
        <v/>
      </c>
    </row>
    <row r="2484">
      <c r="A2484" s="30" t="n"/>
      <c r="E2484" s="31" t="n"/>
      <c r="J2484" s="32" t="n"/>
      <c r="K2484" s="32" t="n"/>
      <c r="L2484" s="32" t="n"/>
      <c r="M2484" s="32" t="n"/>
      <c r="N2484" s="32" t="n"/>
      <c r="O2484" s="32" t="n"/>
      <c r="P2484" s="32" t="n"/>
      <c r="Q2484" s="32" t="n"/>
      <c r="U2484" s="31">
        <f>IF($A2484="","",SUM(X2484:AE2484))</f>
        <v/>
      </c>
      <c r="V2484" s="31">
        <f>IF($A2484="","",IF($H2484&lt;&gt;"Ausgabe",0,-$E2484-$U2484))</f>
        <v/>
      </c>
      <c r="W2484" s="33">
        <f>IF($A2484="","",DATE(YEAR($A2484),MONTH($A2484),1))</f>
        <v/>
      </c>
      <c r="X2484" s="34">
        <f>IF(OR($A2484="",$H2484&lt;&gt;"Ausgabe",J2484=""),0,IF(J2484="x",-$E2484/(COUNTIF($J2484:$Q2484,"x")+1),-$E2484*N(J2484)))</f>
        <v/>
      </c>
      <c r="Y2484" s="34">
        <f>IF(OR($A2484="",$H2484&lt;&gt;"Ausgabe",K2484=""),0,IF(K2484="x",-$E2484/(COUNTIF($J2484:$Q2484,"x")+1),-$E2484*N(K2484)))</f>
        <v/>
      </c>
      <c r="Z2484" s="34">
        <f>IF(OR($A2484="",$H2484&lt;&gt;"Ausgabe",L2484=""),0,IF(L2484="x",-$E2484/(COUNTIF($J2484:$Q2484,"x")+1),-$E2484*N(L2484)))</f>
        <v/>
      </c>
      <c r="AA2484" s="34">
        <f>IF(OR($A2484="",$H2484&lt;&gt;"Ausgabe",M2484=""),0,IF(M2484="x",-$E2484/(COUNTIF($J2484:$Q2484,"x")+1),-$E2484*N(M2484)))</f>
        <v/>
      </c>
      <c r="AB2484" s="34">
        <f>IF(OR($A2484="",$H2484&lt;&gt;"Ausgabe",N2484=""),0,IF(N2484="x",-$E2484/(COUNTIF($J2484:$Q2484,"x")+1),-$E2484*N(N2484)))</f>
        <v/>
      </c>
      <c r="AC2484" s="34">
        <f>IF(OR($A2484="",$H2484&lt;&gt;"Ausgabe",O2484=""),0,IF(O2484="x",-$E2484/(COUNTIF($J2484:$Q2484,"x")+1),-$E2484*N(O2484)))</f>
        <v/>
      </c>
      <c r="AD2484" s="34">
        <f>IF(OR($A2484="",$H2484&lt;&gt;"Ausgabe",P2484=""),0,IF(P2484="x",-$E2484/(COUNTIF($J2484:$Q2484,"x")+1),-$E2484*N(P2484)))</f>
        <v/>
      </c>
      <c r="AE2484" s="34">
        <f>IF(OR($A2484="",$H2484&lt;&gt;"Ausgabe",Q2484=""),0,IF(Q2484="x",-$E2484/(COUNTIF($J2484:$Q2484,"x")+1),-$E2484*N(Q2484)))</f>
        <v/>
      </c>
    </row>
    <row r="2485">
      <c r="A2485" s="30" t="n"/>
      <c r="E2485" s="31" t="n"/>
      <c r="J2485" s="32" t="n"/>
      <c r="K2485" s="32" t="n"/>
      <c r="L2485" s="32" t="n"/>
      <c r="M2485" s="32" t="n"/>
      <c r="N2485" s="32" t="n"/>
      <c r="O2485" s="32" t="n"/>
      <c r="P2485" s="32" t="n"/>
      <c r="Q2485" s="32" t="n"/>
      <c r="U2485" s="31">
        <f>IF($A2485="","",SUM(X2485:AE2485))</f>
        <v/>
      </c>
      <c r="V2485" s="31">
        <f>IF($A2485="","",IF($H2485&lt;&gt;"Ausgabe",0,-$E2485-$U2485))</f>
        <v/>
      </c>
      <c r="W2485" s="33">
        <f>IF($A2485="","",DATE(YEAR($A2485),MONTH($A2485),1))</f>
        <v/>
      </c>
      <c r="X2485" s="34">
        <f>IF(OR($A2485="",$H2485&lt;&gt;"Ausgabe",J2485=""),0,IF(J2485="x",-$E2485/(COUNTIF($J2485:$Q2485,"x")+1),-$E2485*N(J2485)))</f>
        <v/>
      </c>
      <c r="Y2485" s="34">
        <f>IF(OR($A2485="",$H2485&lt;&gt;"Ausgabe",K2485=""),0,IF(K2485="x",-$E2485/(COUNTIF($J2485:$Q2485,"x")+1),-$E2485*N(K2485)))</f>
        <v/>
      </c>
      <c r="Z2485" s="34">
        <f>IF(OR($A2485="",$H2485&lt;&gt;"Ausgabe",L2485=""),0,IF(L2485="x",-$E2485/(COUNTIF($J2485:$Q2485,"x")+1),-$E2485*N(L2485)))</f>
        <v/>
      </c>
      <c r="AA2485" s="34">
        <f>IF(OR($A2485="",$H2485&lt;&gt;"Ausgabe",M2485=""),0,IF(M2485="x",-$E2485/(COUNTIF($J2485:$Q2485,"x")+1),-$E2485*N(M2485)))</f>
        <v/>
      </c>
      <c r="AB2485" s="34">
        <f>IF(OR($A2485="",$H2485&lt;&gt;"Ausgabe",N2485=""),0,IF(N2485="x",-$E2485/(COUNTIF($J2485:$Q2485,"x")+1),-$E2485*N(N2485)))</f>
        <v/>
      </c>
      <c r="AC2485" s="34">
        <f>IF(OR($A2485="",$H2485&lt;&gt;"Ausgabe",O2485=""),0,IF(O2485="x",-$E2485/(COUNTIF($J2485:$Q2485,"x")+1),-$E2485*N(O2485)))</f>
        <v/>
      </c>
      <c r="AD2485" s="34">
        <f>IF(OR($A2485="",$H2485&lt;&gt;"Ausgabe",P2485=""),0,IF(P2485="x",-$E2485/(COUNTIF($J2485:$Q2485,"x")+1),-$E2485*N(P2485)))</f>
        <v/>
      </c>
      <c r="AE2485" s="34">
        <f>IF(OR($A2485="",$H2485&lt;&gt;"Ausgabe",Q2485=""),0,IF(Q2485="x",-$E2485/(COUNTIF($J2485:$Q2485,"x")+1),-$E2485*N(Q2485)))</f>
        <v/>
      </c>
    </row>
    <row r="2486">
      <c r="A2486" s="30" t="n"/>
      <c r="E2486" s="31" t="n"/>
      <c r="J2486" s="32" t="n"/>
      <c r="K2486" s="32" t="n"/>
      <c r="L2486" s="32" t="n"/>
      <c r="M2486" s="32" t="n"/>
      <c r="N2486" s="32" t="n"/>
      <c r="O2486" s="32" t="n"/>
      <c r="P2486" s="32" t="n"/>
      <c r="Q2486" s="32" t="n"/>
      <c r="U2486" s="31">
        <f>IF($A2486="","",SUM(X2486:AE2486))</f>
        <v/>
      </c>
      <c r="V2486" s="31">
        <f>IF($A2486="","",IF($H2486&lt;&gt;"Ausgabe",0,-$E2486-$U2486))</f>
        <v/>
      </c>
      <c r="W2486" s="33">
        <f>IF($A2486="","",DATE(YEAR($A2486),MONTH($A2486),1))</f>
        <v/>
      </c>
      <c r="X2486" s="34">
        <f>IF(OR($A2486="",$H2486&lt;&gt;"Ausgabe",J2486=""),0,IF(J2486="x",-$E2486/(COUNTIF($J2486:$Q2486,"x")+1),-$E2486*N(J2486)))</f>
        <v/>
      </c>
      <c r="Y2486" s="34">
        <f>IF(OR($A2486="",$H2486&lt;&gt;"Ausgabe",K2486=""),0,IF(K2486="x",-$E2486/(COUNTIF($J2486:$Q2486,"x")+1),-$E2486*N(K2486)))</f>
        <v/>
      </c>
      <c r="Z2486" s="34">
        <f>IF(OR($A2486="",$H2486&lt;&gt;"Ausgabe",L2486=""),0,IF(L2486="x",-$E2486/(COUNTIF($J2486:$Q2486,"x")+1),-$E2486*N(L2486)))</f>
        <v/>
      </c>
      <c r="AA2486" s="34">
        <f>IF(OR($A2486="",$H2486&lt;&gt;"Ausgabe",M2486=""),0,IF(M2486="x",-$E2486/(COUNTIF($J2486:$Q2486,"x")+1),-$E2486*N(M2486)))</f>
        <v/>
      </c>
      <c r="AB2486" s="34">
        <f>IF(OR($A2486="",$H2486&lt;&gt;"Ausgabe",N2486=""),0,IF(N2486="x",-$E2486/(COUNTIF($J2486:$Q2486,"x")+1),-$E2486*N(N2486)))</f>
        <v/>
      </c>
      <c r="AC2486" s="34">
        <f>IF(OR($A2486="",$H2486&lt;&gt;"Ausgabe",O2486=""),0,IF(O2486="x",-$E2486/(COUNTIF($J2486:$Q2486,"x")+1),-$E2486*N(O2486)))</f>
        <v/>
      </c>
      <c r="AD2486" s="34">
        <f>IF(OR($A2486="",$H2486&lt;&gt;"Ausgabe",P2486=""),0,IF(P2486="x",-$E2486/(COUNTIF($J2486:$Q2486,"x")+1),-$E2486*N(P2486)))</f>
        <v/>
      </c>
      <c r="AE2486" s="34">
        <f>IF(OR($A2486="",$H2486&lt;&gt;"Ausgabe",Q2486=""),0,IF(Q2486="x",-$E2486/(COUNTIF($J2486:$Q2486,"x")+1),-$E2486*N(Q2486)))</f>
        <v/>
      </c>
    </row>
    <row r="2487">
      <c r="A2487" s="30" t="n"/>
      <c r="E2487" s="31" t="n"/>
      <c r="J2487" s="32" t="n"/>
      <c r="K2487" s="32" t="n"/>
      <c r="L2487" s="32" t="n"/>
      <c r="M2487" s="32" t="n"/>
      <c r="N2487" s="32" t="n"/>
      <c r="O2487" s="32" t="n"/>
      <c r="P2487" s="32" t="n"/>
      <c r="Q2487" s="32" t="n"/>
      <c r="U2487" s="31">
        <f>IF($A2487="","",SUM(X2487:AE2487))</f>
        <v/>
      </c>
      <c r="V2487" s="31">
        <f>IF($A2487="","",IF($H2487&lt;&gt;"Ausgabe",0,-$E2487-$U2487))</f>
        <v/>
      </c>
      <c r="W2487" s="33">
        <f>IF($A2487="","",DATE(YEAR($A2487),MONTH($A2487),1))</f>
        <v/>
      </c>
      <c r="X2487" s="34">
        <f>IF(OR($A2487="",$H2487&lt;&gt;"Ausgabe",J2487=""),0,IF(J2487="x",-$E2487/(COUNTIF($J2487:$Q2487,"x")+1),-$E2487*N(J2487)))</f>
        <v/>
      </c>
      <c r="Y2487" s="34">
        <f>IF(OR($A2487="",$H2487&lt;&gt;"Ausgabe",K2487=""),0,IF(K2487="x",-$E2487/(COUNTIF($J2487:$Q2487,"x")+1),-$E2487*N(K2487)))</f>
        <v/>
      </c>
      <c r="Z2487" s="34">
        <f>IF(OR($A2487="",$H2487&lt;&gt;"Ausgabe",L2487=""),0,IF(L2487="x",-$E2487/(COUNTIF($J2487:$Q2487,"x")+1),-$E2487*N(L2487)))</f>
        <v/>
      </c>
      <c r="AA2487" s="34">
        <f>IF(OR($A2487="",$H2487&lt;&gt;"Ausgabe",M2487=""),0,IF(M2487="x",-$E2487/(COUNTIF($J2487:$Q2487,"x")+1),-$E2487*N(M2487)))</f>
        <v/>
      </c>
      <c r="AB2487" s="34">
        <f>IF(OR($A2487="",$H2487&lt;&gt;"Ausgabe",N2487=""),0,IF(N2487="x",-$E2487/(COUNTIF($J2487:$Q2487,"x")+1),-$E2487*N(N2487)))</f>
        <v/>
      </c>
      <c r="AC2487" s="34">
        <f>IF(OR($A2487="",$H2487&lt;&gt;"Ausgabe",O2487=""),0,IF(O2487="x",-$E2487/(COUNTIF($J2487:$Q2487,"x")+1),-$E2487*N(O2487)))</f>
        <v/>
      </c>
      <c r="AD2487" s="34">
        <f>IF(OR($A2487="",$H2487&lt;&gt;"Ausgabe",P2487=""),0,IF(P2487="x",-$E2487/(COUNTIF($J2487:$Q2487,"x")+1),-$E2487*N(P2487)))</f>
        <v/>
      </c>
      <c r="AE2487" s="34">
        <f>IF(OR($A2487="",$H2487&lt;&gt;"Ausgabe",Q2487=""),0,IF(Q2487="x",-$E2487/(COUNTIF($J2487:$Q2487,"x")+1),-$E2487*N(Q2487)))</f>
        <v/>
      </c>
    </row>
    <row r="2488">
      <c r="A2488" s="30" t="n"/>
      <c r="E2488" s="31" t="n"/>
      <c r="J2488" s="32" t="n"/>
      <c r="K2488" s="32" t="n"/>
      <c r="L2488" s="32" t="n"/>
      <c r="M2488" s="32" t="n"/>
      <c r="N2488" s="32" t="n"/>
      <c r="O2488" s="32" t="n"/>
      <c r="P2488" s="32" t="n"/>
      <c r="Q2488" s="32" t="n"/>
      <c r="U2488" s="31">
        <f>IF($A2488="","",SUM(X2488:AE2488))</f>
        <v/>
      </c>
      <c r="V2488" s="31">
        <f>IF($A2488="","",IF($H2488&lt;&gt;"Ausgabe",0,-$E2488-$U2488))</f>
        <v/>
      </c>
      <c r="W2488" s="33">
        <f>IF($A2488="","",DATE(YEAR($A2488),MONTH($A2488),1))</f>
        <v/>
      </c>
      <c r="X2488" s="34">
        <f>IF(OR($A2488="",$H2488&lt;&gt;"Ausgabe",J2488=""),0,IF(J2488="x",-$E2488/(COUNTIF($J2488:$Q2488,"x")+1),-$E2488*N(J2488)))</f>
        <v/>
      </c>
      <c r="Y2488" s="34">
        <f>IF(OR($A2488="",$H2488&lt;&gt;"Ausgabe",K2488=""),0,IF(K2488="x",-$E2488/(COUNTIF($J2488:$Q2488,"x")+1),-$E2488*N(K2488)))</f>
        <v/>
      </c>
      <c r="Z2488" s="34">
        <f>IF(OR($A2488="",$H2488&lt;&gt;"Ausgabe",L2488=""),0,IF(L2488="x",-$E2488/(COUNTIF($J2488:$Q2488,"x")+1),-$E2488*N(L2488)))</f>
        <v/>
      </c>
      <c r="AA2488" s="34">
        <f>IF(OR($A2488="",$H2488&lt;&gt;"Ausgabe",M2488=""),0,IF(M2488="x",-$E2488/(COUNTIF($J2488:$Q2488,"x")+1),-$E2488*N(M2488)))</f>
        <v/>
      </c>
      <c r="AB2488" s="34">
        <f>IF(OR($A2488="",$H2488&lt;&gt;"Ausgabe",N2488=""),0,IF(N2488="x",-$E2488/(COUNTIF($J2488:$Q2488,"x")+1),-$E2488*N(N2488)))</f>
        <v/>
      </c>
      <c r="AC2488" s="34">
        <f>IF(OR($A2488="",$H2488&lt;&gt;"Ausgabe",O2488=""),0,IF(O2488="x",-$E2488/(COUNTIF($J2488:$Q2488,"x")+1),-$E2488*N(O2488)))</f>
        <v/>
      </c>
      <c r="AD2488" s="34">
        <f>IF(OR($A2488="",$H2488&lt;&gt;"Ausgabe",P2488=""),0,IF(P2488="x",-$E2488/(COUNTIF($J2488:$Q2488,"x")+1),-$E2488*N(P2488)))</f>
        <v/>
      </c>
      <c r="AE2488" s="34">
        <f>IF(OR($A2488="",$H2488&lt;&gt;"Ausgabe",Q2488=""),0,IF(Q2488="x",-$E2488/(COUNTIF($J2488:$Q2488,"x")+1),-$E2488*N(Q2488)))</f>
        <v/>
      </c>
    </row>
    <row r="2489">
      <c r="A2489" s="30" t="n"/>
      <c r="E2489" s="31" t="n"/>
      <c r="J2489" s="32" t="n"/>
      <c r="K2489" s="32" t="n"/>
      <c r="L2489" s="32" t="n"/>
      <c r="M2489" s="32" t="n"/>
      <c r="N2489" s="32" t="n"/>
      <c r="O2489" s="32" t="n"/>
      <c r="P2489" s="32" t="n"/>
      <c r="Q2489" s="32" t="n"/>
      <c r="U2489" s="31">
        <f>IF($A2489="","",SUM(X2489:AE2489))</f>
        <v/>
      </c>
      <c r="V2489" s="31">
        <f>IF($A2489="","",IF($H2489&lt;&gt;"Ausgabe",0,-$E2489-$U2489))</f>
        <v/>
      </c>
      <c r="W2489" s="33">
        <f>IF($A2489="","",DATE(YEAR($A2489),MONTH($A2489),1))</f>
        <v/>
      </c>
      <c r="X2489" s="34">
        <f>IF(OR($A2489="",$H2489&lt;&gt;"Ausgabe",J2489=""),0,IF(J2489="x",-$E2489/(COUNTIF($J2489:$Q2489,"x")+1),-$E2489*N(J2489)))</f>
        <v/>
      </c>
      <c r="Y2489" s="34">
        <f>IF(OR($A2489="",$H2489&lt;&gt;"Ausgabe",K2489=""),0,IF(K2489="x",-$E2489/(COUNTIF($J2489:$Q2489,"x")+1),-$E2489*N(K2489)))</f>
        <v/>
      </c>
      <c r="Z2489" s="34">
        <f>IF(OR($A2489="",$H2489&lt;&gt;"Ausgabe",L2489=""),0,IF(L2489="x",-$E2489/(COUNTIF($J2489:$Q2489,"x")+1),-$E2489*N(L2489)))</f>
        <v/>
      </c>
      <c r="AA2489" s="34">
        <f>IF(OR($A2489="",$H2489&lt;&gt;"Ausgabe",M2489=""),0,IF(M2489="x",-$E2489/(COUNTIF($J2489:$Q2489,"x")+1),-$E2489*N(M2489)))</f>
        <v/>
      </c>
      <c r="AB2489" s="34">
        <f>IF(OR($A2489="",$H2489&lt;&gt;"Ausgabe",N2489=""),0,IF(N2489="x",-$E2489/(COUNTIF($J2489:$Q2489,"x")+1),-$E2489*N(N2489)))</f>
        <v/>
      </c>
      <c r="AC2489" s="34">
        <f>IF(OR($A2489="",$H2489&lt;&gt;"Ausgabe",O2489=""),0,IF(O2489="x",-$E2489/(COUNTIF($J2489:$Q2489,"x")+1),-$E2489*N(O2489)))</f>
        <v/>
      </c>
      <c r="AD2489" s="34">
        <f>IF(OR($A2489="",$H2489&lt;&gt;"Ausgabe",P2489=""),0,IF(P2489="x",-$E2489/(COUNTIF($J2489:$Q2489,"x")+1),-$E2489*N(P2489)))</f>
        <v/>
      </c>
      <c r="AE2489" s="34">
        <f>IF(OR($A2489="",$H2489&lt;&gt;"Ausgabe",Q2489=""),0,IF(Q2489="x",-$E2489/(COUNTIF($J2489:$Q2489,"x")+1),-$E2489*N(Q2489)))</f>
        <v/>
      </c>
    </row>
    <row r="2490">
      <c r="A2490" s="30" t="n"/>
      <c r="E2490" s="31" t="n"/>
      <c r="J2490" s="32" t="n"/>
      <c r="K2490" s="32" t="n"/>
      <c r="L2490" s="32" t="n"/>
      <c r="M2490" s="32" t="n"/>
      <c r="N2490" s="32" t="n"/>
      <c r="O2490" s="32" t="n"/>
      <c r="P2490" s="32" t="n"/>
      <c r="Q2490" s="32" t="n"/>
      <c r="U2490" s="31">
        <f>IF($A2490="","",SUM(X2490:AE2490))</f>
        <v/>
      </c>
      <c r="V2490" s="31">
        <f>IF($A2490="","",IF($H2490&lt;&gt;"Ausgabe",0,-$E2490-$U2490))</f>
        <v/>
      </c>
      <c r="W2490" s="33">
        <f>IF($A2490="","",DATE(YEAR($A2490),MONTH($A2490),1))</f>
        <v/>
      </c>
      <c r="X2490" s="34">
        <f>IF(OR($A2490="",$H2490&lt;&gt;"Ausgabe",J2490=""),0,IF(J2490="x",-$E2490/(COUNTIF($J2490:$Q2490,"x")+1),-$E2490*N(J2490)))</f>
        <v/>
      </c>
      <c r="Y2490" s="34">
        <f>IF(OR($A2490="",$H2490&lt;&gt;"Ausgabe",K2490=""),0,IF(K2490="x",-$E2490/(COUNTIF($J2490:$Q2490,"x")+1),-$E2490*N(K2490)))</f>
        <v/>
      </c>
      <c r="Z2490" s="34">
        <f>IF(OR($A2490="",$H2490&lt;&gt;"Ausgabe",L2490=""),0,IF(L2490="x",-$E2490/(COUNTIF($J2490:$Q2490,"x")+1),-$E2490*N(L2490)))</f>
        <v/>
      </c>
      <c r="AA2490" s="34">
        <f>IF(OR($A2490="",$H2490&lt;&gt;"Ausgabe",M2490=""),0,IF(M2490="x",-$E2490/(COUNTIF($J2490:$Q2490,"x")+1),-$E2490*N(M2490)))</f>
        <v/>
      </c>
      <c r="AB2490" s="34">
        <f>IF(OR($A2490="",$H2490&lt;&gt;"Ausgabe",N2490=""),0,IF(N2490="x",-$E2490/(COUNTIF($J2490:$Q2490,"x")+1),-$E2490*N(N2490)))</f>
        <v/>
      </c>
      <c r="AC2490" s="34">
        <f>IF(OR($A2490="",$H2490&lt;&gt;"Ausgabe",O2490=""),0,IF(O2490="x",-$E2490/(COUNTIF($J2490:$Q2490,"x")+1),-$E2490*N(O2490)))</f>
        <v/>
      </c>
      <c r="AD2490" s="34">
        <f>IF(OR($A2490="",$H2490&lt;&gt;"Ausgabe",P2490=""),0,IF(P2490="x",-$E2490/(COUNTIF($J2490:$Q2490,"x")+1),-$E2490*N(P2490)))</f>
        <v/>
      </c>
      <c r="AE2490" s="34">
        <f>IF(OR($A2490="",$H2490&lt;&gt;"Ausgabe",Q2490=""),0,IF(Q2490="x",-$E2490/(COUNTIF($J2490:$Q2490,"x")+1),-$E2490*N(Q2490)))</f>
        <v/>
      </c>
    </row>
    <row r="2491">
      <c r="A2491" s="30" t="n"/>
      <c r="E2491" s="31" t="n"/>
      <c r="J2491" s="32" t="n"/>
      <c r="K2491" s="32" t="n"/>
      <c r="L2491" s="32" t="n"/>
      <c r="M2491" s="32" t="n"/>
      <c r="N2491" s="32" t="n"/>
      <c r="O2491" s="32" t="n"/>
      <c r="P2491" s="32" t="n"/>
      <c r="Q2491" s="32" t="n"/>
      <c r="U2491" s="31">
        <f>IF($A2491="","",SUM(X2491:AE2491))</f>
        <v/>
      </c>
      <c r="V2491" s="31">
        <f>IF($A2491="","",IF($H2491&lt;&gt;"Ausgabe",0,-$E2491-$U2491))</f>
        <v/>
      </c>
      <c r="W2491" s="33">
        <f>IF($A2491="","",DATE(YEAR($A2491),MONTH($A2491),1))</f>
        <v/>
      </c>
      <c r="X2491" s="34">
        <f>IF(OR($A2491="",$H2491&lt;&gt;"Ausgabe",J2491=""),0,IF(J2491="x",-$E2491/(COUNTIF($J2491:$Q2491,"x")+1),-$E2491*N(J2491)))</f>
        <v/>
      </c>
      <c r="Y2491" s="34">
        <f>IF(OR($A2491="",$H2491&lt;&gt;"Ausgabe",K2491=""),0,IF(K2491="x",-$E2491/(COUNTIF($J2491:$Q2491,"x")+1),-$E2491*N(K2491)))</f>
        <v/>
      </c>
      <c r="Z2491" s="34">
        <f>IF(OR($A2491="",$H2491&lt;&gt;"Ausgabe",L2491=""),0,IF(L2491="x",-$E2491/(COUNTIF($J2491:$Q2491,"x")+1),-$E2491*N(L2491)))</f>
        <v/>
      </c>
      <c r="AA2491" s="34">
        <f>IF(OR($A2491="",$H2491&lt;&gt;"Ausgabe",M2491=""),0,IF(M2491="x",-$E2491/(COUNTIF($J2491:$Q2491,"x")+1),-$E2491*N(M2491)))</f>
        <v/>
      </c>
      <c r="AB2491" s="34">
        <f>IF(OR($A2491="",$H2491&lt;&gt;"Ausgabe",N2491=""),0,IF(N2491="x",-$E2491/(COUNTIF($J2491:$Q2491,"x")+1),-$E2491*N(N2491)))</f>
        <v/>
      </c>
      <c r="AC2491" s="34">
        <f>IF(OR($A2491="",$H2491&lt;&gt;"Ausgabe",O2491=""),0,IF(O2491="x",-$E2491/(COUNTIF($J2491:$Q2491,"x")+1),-$E2491*N(O2491)))</f>
        <v/>
      </c>
      <c r="AD2491" s="34">
        <f>IF(OR($A2491="",$H2491&lt;&gt;"Ausgabe",P2491=""),0,IF(P2491="x",-$E2491/(COUNTIF($J2491:$Q2491,"x")+1),-$E2491*N(P2491)))</f>
        <v/>
      </c>
      <c r="AE2491" s="34">
        <f>IF(OR($A2491="",$H2491&lt;&gt;"Ausgabe",Q2491=""),0,IF(Q2491="x",-$E2491/(COUNTIF($J2491:$Q2491,"x")+1),-$E2491*N(Q2491)))</f>
        <v/>
      </c>
    </row>
    <row r="2492">
      <c r="A2492" s="30" t="n"/>
      <c r="E2492" s="31" t="n"/>
      <c r="J2492" s="32" t="n"/>
      <c r="K2492" s="32" t="n"/>
      <c r="L2492" s="32" t="n"/>
      <c r="M2492" s="32" t="n"/>
      <c r="N2492" s="32" t="n"/>
      <c r="O2492" s="32" t="n"/>
      <c r="P2492" s="32" t="n"/>
      <c r="Q2492" s="32" t="n"/>
      <c r="U2492" s="31">
        <f>IF($A2492="","",SUM(X2492:AE2492))</f>
        <v/>
      </c>
      <c r="V2492" s="31">
        <f>IF($A2492="","",IF($H2492&lt;&gt;"Ausgabe",0,-$E2492-$U2492))</f>
        <v/>
      </c>
      <c r="W2492" s="33">
        <f>IF($A2492="","",DATE(YEAR($A2492),MONTH($A2492),1))</f>
        <v/>
      </c>
      <c r="X2492" s="34">
        <f>IF(OR($A2492="",$H2492&lt;&gt;"Ausgabe",J2492=""),0,IF(J2492="x",-$E2492/(COUNTIF($J2492:$Q2492,"x")+1),-$E2492*N(J2492)))</f>
        <v/>
      </c>
      <c r="Y2492" s="34">
        <f>IF(OR($A2492="",$H2492&lt;&gt;"Ausgabe",K2492=""),0,IF(K2492="x",-$E2492/(COUNTIF($J2492:$Q2492,"x")+1),-$E2492*N(K2492)))</f>
        <v/>
      </c>
      <c r="Z2492" s="34">
        <f>IF(OR($A2492="",$H2492&lt;&gt;"Ausgabe",L2492=""),0,IF(L2492="x",-$E2492/(COUNTIF($J2492:$Q2492,"x")+1),-$E2492*N(L2492)))</f>
        <v/>
      </c>
      <c r="AA2492" s="34">
        <f>IF(OR($A2492="",$H2492&lt;&gt;"Ausgabe",M2492=""),0,IF(M2492="x",-$E2492/(COUNTIF($J2492:$Q2492,"x")+1),-$E2492*N(M2492)))</f>
        <v/>
      </c>
      <c r="AB2492" s="34">
        <f>IF(OR($A2492="",$H2492&lt;&gt;"Ausgabe",N2492=""),0,IF(N2492="x",-$E2492/(COUNTIF($J2492:$Q2492,"x")+1),-$E2492*N(N2492)))</f>
        <v/>
      </c>
      <c r="AC2492" s="34">
        <f>IF(OR($A2492="",$H2492&lt;&gt;"Ausgabe",O2492=""),0,IF(O2492="x",-$E2492/(COUNTIF($J2492:$Q2492,"x")+1),-$E2492*N(O2492)))</f>
        <v/>
      </c>
      <c r="AD2492" s="34">
        <f>IF(OR($A2492="",$H2492&lt;&gt;"Ausgabe",P2492=""),0,IF(P2492="x",-$E2492/(COUNTIF($J2492:$Q2492,"x")+1),-$E2492*N(P2492)))</f>
        <v/>
      </c>
      <c r="AE2492" s="34">
        <f>IF(OR($A2492="",$H2492&lt;&gt;"Ausgabe",Q2492=""),0,IF(Q2492="x",-$E2492/(COUNTIF($J2492:$Q2492,"x")+1),-$E2492*N(Q2492)))</f>
        <v/>
      </c>
    </row>
    <row r="2493">
      <c r="A2493" s="30" t="n"/>
      <c r="E2493" s="31" t="n"/>
      <c r="J2493" s="32" t="n"/>
      <c r="K2493" s="32" t="n"/>
      <c r="L2493" s="32" t="n"/>
      <c r="M2493" s="32" t="n"/>
      <c r="N2493" s="32" t="n"/>
      <c r="O2493" s="32" t="n"/>
      <c r="P2493" s="32" t="n"/>
      <c r="Q2493" s="32" t="n"/>
      <c r="U2493" s="31">
        <f>IF($A2493="","",SUM(X2493:AE2493))</f>
        <v/>
      </c>
      <c r="V2493" s="31">
        <f>IF($A2493="","",IF($H2493&lt;&gt;"Ausgabe",0,-$E2493-$U2493))</f>
        <v/>
      </c>
      <c r="W2493" s="33">
        <f>IF($A2493="","",DATE(YEAR($A2493),MONTH($A2493),1))</f>
        <v/>
      </c>
      <c r="X2493" s="34">
        <f>IF(OR($A2493="",$H2493&lt;&gt;"Ausgabe",J2493=""),0,IF(J2493="x",-$E2493/(COUNTIF($J2493:$Q2493,"x")+1),-$E2493*N(J2493)))</f>
        <v/>
      </c>
      <c r="Y2493" s="34">
        <f>IF(OR($A2493="",$H2493&lt;&gt;"Ausgabe",K2493=""),0,IF(K2493="x",-$E2493/(COUNTIF($J2493:$Q2493,"x")+1),-$E2493*N(K2493)))</f>
        <v/>
      </c>
      <c r="Z2493" s="34">
        <f>IF(OR($A2493="",$H2493&lt;&gt;"Ausgabe",L2493=""),0,IF(L2493="x",-$E2493/(COUNTIF($J2493:$Q2493,"x")+1),-$E2493*N(L2493)))</f>
        <v/>
      </c>
      <c r="AA2493" s="34">
        <f>IF(OR($A2493="",$H2493&lt;&gt;"Ausgabe",M2493=""),0,IF(M2493="x",-$E2493/(COUNTIF($J2493:$Q2493,"x")+1),-$E2493*N(M2493)))</f>
        <v/>
      </c>
      <c r="AB2493" s="34">
        <f>IF(OR($A2493="",$H2493&lt;&gt;"Ausgabe",N2493=""),0,IF(N2493="x",-$E2493/(COUNTIF($J2493:$Q2493,"x")+1),-$E2493*N(N2493)))</f>
        <v/>
      </c>
      <c r="AC2493" s="34">
        <f>IF(OR($A2493="",$H2493&lt;&gt;"Ausgabe",O2493=""),0,IF(O2493="x",-$E2493/(COUNTIF($J2493:$Q2493,"x")+1),-$E2493*N(O2493)))</f>
        <v/>
      </c>
      <c r="AD2493" s="34">
        <f>IF(OR($A2493="",$H2493&lt;&gt;"Ausgabe",P2493=""),0,IF(P2493="x",-$E2493/(COUNTIF($J2493:$Q2493,"x")+1),-$E2493*N(P2493)))</f>
        <v/>
      </c>
      <c r="AE2493" s="34">
        <f>IF(OR($A2493="",$H2493&lt;&gt;"Ausgabe",Q2493=""),0,IF(Q2493="x",-$E2493/(COUNTIF($J2493:$Q2493,"x")+1),-$E2493*N(Q2493)))</f>
        <v/>
      </c>
    </row>
    <row r="2494">
      <c r="A2494" s="30" t="n"/>
      <c r="E2494" s="31" t="n"/>
      <c r="J2494" s="32" t="n"/>
      <c r="K2494" s="32" t="n"/>
      <c r="L2494" s="32" t="n"/>
      <c r="M2494" s="32" t="n"/>
      <c r="N2494" s="32" t="n"/>
      <c r="O2494" s="32" t="n"/>
      <c r="P2494" s="32" t="n"/>
      <c r="Q2494" s="32" t="n"/>
      <c r="U2494" s="31">
        <f>IF($A2494="","",SUM(X2494:AE2494))</f>
        <v/>
      </c>
      <c r="V2494" s="31">
        <f>IF($A2494="","",IF($H2494&lt;&gt;"Ausgabe",0,-$E2494-$U2494))</f>
        <v/>
      </c>
      <c r="W2494" s="33">
        <f>IF($A2494="","",DATE(YEAR($A2494),MONTH($A2494),1))</f>
        <v/>
      </c>
      <c r="X2494" s="34">
        <f>IF(OR($A2494="",$H2494&lt;&gt;"Ausgabe",J2494=""),0,IF(J2494="x",-$E2494/(COUNTIF($J2494:$Q2494,"x")+1),-$E2494*N(J2494)))</f>
        <v/>
      </c>
      <c r="Y2494" s="34">
        <f>IF(OR($A2494="",$H2494&lt;&gt;"Ausgabe",K2494=""),0,IF(K2494="x",-$E2494/(COUNTIF($J2494:$Q2494,"x")+1),-$E2494*N(K2494)))</f>
        <v/>
      </c>
      <c r="Z2494" s="34">
        <f>IF(OR($A2494="",$H2494&lt;&gt;"Ausgabe",L2494=""),0,IF(L2494="x",-$E2494/(COUNTIF($J2494:$Q2494,"x")+1),-$E2494*N(L2494)))</f>
        <v/>
      </c>
      <c r="AA2494" s="34">
        <f>IF(OR($A2494="",$H2494&lt;&gt;"Ausgabe",M2494=""),0,IF(M2494="x",-$E2494/(COUNTIF($J2494:$Q2494,"x")+1),-$E2494*N(M2494)))</f>
        <v/>
      </c>
      <c r="AB2494" s="34">
        <f>IF(OR($A2494="",$H2494&lt;&gt;"Ausgabe",N2494=""),0,IF(N2494="x",-$E2494/(COUNTIF($J2494:$Q2494,"x")+1),-$E2494*N(N2494)))</f>
        <v/>
      </c>
      <c r="AC2494" s="34">
        <f>IF(OR($A2494="",$H2494&lt;&gt;"Ausgabe",O2494=""),0,IF(O2494="x",-$E2494/(COUNTIF($J2494:$Q2494,"x")+1),-$E2494*N(O2494)))</f>
        <v/>
      </c>
      <c r="AD2494" s="34">
        <f>IF(OR($A2494="",$H2494&lt;&gt;"Ausgabe",P2494=""),0,IF(P2494="x",-$E2494/(COUNTIF($J2494:$Q2494,"x")+1),-$E2494*N(P2494)))</f>
        <v/>
      </c>
      <c r="AE2494" s="34">
        <f>IF(OR($A2494="",$H2494&lt;&gt;"Ausgabe",Q2494=""),0,IF(Q2494="x",-$E2494/(COUNTIF($J2494:$Q2494,"x")+1),-$E2494*N(Q2494)))</f>
        <v/>
      </c>
    </row>
    <row r="2495">
      <c r="A2495" s="30" t="n"/>
      <c r="E2495" s="31" t="n"/>
      <c r="J2495" s="32" t="n"/>
      <c r="K2495" s="32" t="n"/>
      <c r="L2495" s="32" t="n"/>
      <c r="M2495" s="32" t="n"/>
      <c r="N2495" s="32" t="n"/>
      <c r="O2495" s="32" t="n"/>
      <c r="P2495" s="32" t="n"/>
      <c r="Q2495" s="32" t="n"/>
      <c r="U2495" s="31">
        <f>IF($A2495="","",SUM(X2495:AE2495))</f>
        <v/>
      </c>
      <c r="V2495" s="31">
        <f>IF($A2495="","",IF($H2495&lt;&gt;"Ausgabe",0,-$E2495-$U2495))</f>
        <v/>
      </c>
      <c r="W2495" s="33">
        <f>IF($A2495="","",DATE(YEAR($A2495),MONTH($A2495),1))</f>
        <v/>
      </c>
      <c r="X2495" s="34">
        <f>IF(OR($A2495="",$H2495&lt;&gt;"Ausgabe",J2495=""),0,IF(J2495="x",-$E2495/(COUNTIF($J2495:$Q2495,"x")+1),-$E2495*N(J2495)))</f>
        <v/>
      </c>
      <c r="Y2495" s="34">
        <f>IF(OR($A2495="",$H2495&lt;&gt;"Ausgabe",K2495=""),0,IF(K2495="x",-$E2495/(COUNTIF($J2495:$Q2495,"x")+1),-$E2495*N(K2495)))</f>
        <v/>
      </c>
      <c r="Z2495" s="34">
        <f>IF(OR($A2495="",$H2495&lt;&gt;"Ausgabe",L2495=""),0,IF(L2495="x",-$E2495/(COUNTIF($J2495:$Q2495,"x")+1),-$E2495*N(L2495)))</f>
        <v/>
      </c>
      <c r="AA2495" s="34">
        <f>IF(OR($A2495="",$H2495&lt;&gt;"Ausgabe",M2495=""),0,IF(M2495="x",-$E2495/(COUNTIF($J2495:$Q2495,"x")+1),-$E2495*N(M2495)))</f>
        <v/>
      </c>
      <c r="AB2495" s="34">
        <f>IF(OR($A2495="",$H2495&lt;&gt;"Ausgabe",N2495=""),0,IF(N2495="x",-$E2495/(COUNTIF($J2495:$Q2495,"x")+1),-$E2495*N(N2495)))</f>
        <v/>
      </c>
      <c r="AC2495" s="34">
        <f>IF(OR($A2495="",$H2495&lt;&gt;"Ausgabe",O2495=""),0,IF(O2495="x",-$E2495/(COUNTIF($J2495:$Q2495,"x")+1),-$E2495*N(O2495)))</f>
        <v/>
      </c>
      <c r="AD2495" s="34">
        <f>IF(OR($A2495="",$H2495&lt;&gt;"Ausgabe",P2495=""),0,IF(P2495="x",-$E2495/(COUNTIF($J2495:$Q2495,"x")+1),-$E2495*N(P2495)))</f>
        <v/>
      </c>
      <c r="AE2495" s="34">
        <f>IF(OR($A2495="",$H2495&lt;&gt;"Ausgabe",Q2495=""),0,IF(Q2495="x",-$E2495/(COUNTIF($J2495:$Q2495,"x")+1),-$E2495*N(Q2495)))</f>
        <v/>
      </c>
    </row>
    <row r="2496">
      <c r="A2496" s="30" t="n"/>
      <c r="E2496" s="31" t="n"/>
      <c r="J2496" s="32" t="n"/>
      <c r="K2496" s="32" t="n"/>
      <c r="L2496" s="32" t="n"/>
      <c r="M2496" s="32" t="n"/>
      <c r="N2496" s="32" t="n"/>
      <c r="O2496" s="32" t="n"/>
      <c r="P2496" s="32" t="n"/>
      <c r="Q2496" s="32" t="n"/>
      <c r="U2496" s="31">
        <f>IF($A2496="","",SUM(X2496:AE2496))</f>
        <v/>
      </c>
      <c r="V2496" s="31">
        <f>IF($A2496="","",IF($H2496&lt;&gt;"Ausgabe",0,-$E2496-$U2496))</f>
        <v/>
      </c>
      <c r="W2496" s="33">
        <f>IF($A2496="","",DATE(YEAR($A2496),MONTH($A2496),1))</f>
        <v/>
      </c>
      <c r="X2496" s="34">
        <f>IF(OR($A2496="",$H2496&lt;&gt;"Ausgabe",J2496=""),0,IF(J2496="x",-$E2496/(COUNTIF($J2496:$Q2496,"x")+1),-$E2496*N(J2496)))</f>
        <v/>
      </c>
      <c r="Y2496" s="34">
        <f>IF(OR($A2496="",$H2496&lt;&gt;"Ausgabe",K2496=""),0,IF(K2496="x",-$E2496/(COUNTIF($J2496:$Q2496,"x")+1),-$E2496*N(K2496)))</f>
        <v/>
      </c>
      <c r="Z2496" s="34">
        <f>IF(OR($A2496="",$H2496&lt;&gt;"Ausgabe",L2496=""),0,IF(L2496="x",-$E2496/(COUNTIF($J2496:$Q2496,"x")+1),-$E2496*N(L2496)))</f>
        <v/>
      </c>
      <c r="AA2496" s="34">
        <f>IF(OR($A2496="",$H2496&lt;&gt;"Ausgabe",M2496=""),0,IF(M2496="x",-$E2496/(COUNTIF($J2496:$Q2496,"x")+1),-$E2496*N(M2496)))</f>
        <v/>
      </c>
      <c r="AB2496" s="34">
        <f>IF(OR($A2496="",$H2496&lt;&gt;"Ausgabe",N2496=""),0,IF(N2496="x",-$E2496/(COUNTIF($J2496:$Q2496,"x")+1),-$E2496*N(N2496)))</f>
        <v/>
      </c>
      <c r="AC2496" s="34">
        <f>IF(OR($A2496="",$H2496&lt;&gt;"Ausgabe",O2496=""),0,IF(O2496="x",-$E2496/(COUNTIF($J2496:$Q2496,"x")+1),-$E2496*N(O2496)))</f>
        <v/>
      </c>
      <c r="AD2496" s="34">
        <f>IF(OR($A2496="",$H2496&lt;&gt;"Ausgabe",P2496=""),0,IF(P2496="x",-$E2496/(COUNTIF($J2496:$Q2496,"x")+1),-$E2496*N(P2496)))</f>
        <v/>
      </c>
      <c r="AE2496" s="34">
        <f>IF(OR($A2496="",$H2496&lt;&gt;"Ausgabe",Q2496=""),0,IF(Q2496="x",-$E2496/(COUNTIF($J2496:$Q2496,"x")+1),-$E2496*N(Q2496)))</f>
        <v/>
      </c>
    </row>
    <row r="2497">
      <c r="A2497" s="30" t="n"/>
      <c r="E2497" s="31" t="n"/>
      <c r="J2497" s="32" t="n"/>
      <c r="K2497" s="32" t="n"/>
      <c r="L2497" s="32" t="n"/>
      <c r="M2497" s="32" t="n"/>
      <c r="N2497" s="32" t="n"/>
      <c r="O2497" s="32" t="n"/>
      <c r="P2497" s="32" t="n"/>
      <c r="Q2497" s="32" t="n"/>
      <c r="U2497" s="31">
        <f>IF($A2497="","",SUM(X2497:AE2497))</f>
        <v/>
      </c>
      <c r="V2497" s="31">
        <f>IF($A2497="","",IF($H2497&lt;&gt;"Ausgabe",0,-$E2497-$U2497))</f>
        <v/>
      </c>
      <c r="W2497" s="33">
        <f>IF($A2497="","",DATE(YEAR($A2497),MONTH($A2497),1))</f>
        <v/>
      </c>
      <c r="X2497" s="34">
        <f>IF(OR($A2497="",$H2497&lt;&gt;"Ausgabe",J2497=""),0,IF(J2497="x",-$E2497/(COUNTIF($J2497:$Q2497,"x")+1),-$E2497*N(J2497)))</f>
        <v/>
      </c>
      <c r="Y2497" s="34">
        <f>IF(OR($A2497="",$H2497&lt;&gt;"Ausgabe",K2497=""),0,IF(K2497="x",-$E2497/(COUNTIF($J2497:$Q2497,"x")+1),-$E2497*N(K2497)))</f>
        <v/>
      </c>
      <c r="Z2497" s="34">
        <f>IF(OR($A2497="",$H2497&lt;&gt;"Ausgabe",L2497=""),0,IF(L2497="x",-$E2497/(COUNTIF($J2497:$Q2497,"x")+1),-$E2497*N(L2497)))</f>
        <v/>
      </c>
      <c r="AA2497" s="34">
        <f>IF(OR($A2497="",$H2497&lt;&gt;"Ausgabe",M2497=""),0,IF(M2497="x",-$E2497/(COUNTIF($J2497:$Q2497,"x")+1),-$E2497*N(M2497)))</f>
        <v/>
      </c>
      <c r="AB2497" s="34">
        <f>IF(OR($A2497="",$H2497&lt;&gt;"Ausgabe",N2497=""),0,IF(N2497="x",-$E2497/(COUNTIF($J2497:$Q2497,"x")+1),-$E2497*N(N2497)))</f>
        <v/>
      </c>
      <c r="AC2497" s="34">
        <f>IF(OR($A2497="",$H2497&lt;&gt;"Ausgabe",O2497=""),0,IF(O2497="x",-$E2497/(COUNTIF($J2497:$Q2497,"x")+1),-$E2497*N(O2497)))</f>
        <v/>
      </c>
      <c r="AD2497" s="34">
        <f>IF(OR($A2497="",$H2497&lt;&gt;"Ausgabe",P2497=""),0,IF(P2497="x",-$E2497/(COUNTIF($J2497:$Q2497,"x")+1),-$E2497*N(P2497)))</f>
        <v/>
      </c>
      <c r="AE2497" s="34">
        <f>IF(OR($A2497="",$H2497&lt;&gt;"Ausgabe",Q2497=""),0,IF(Q2497="x",-$E2497/(COUNTIF($J2497:$Q2497,"x")+1),-$E2497*N(Q2497)))</f>
        <v/>
      </c>
    </row>
    <row r="2498">
      <c r="A2498" s="30" t="n"/>
      <c r="E2498" s="31" t="n"/>
      <c r="J2498" s="32" t="n"/>
      <c r="K2498" s="32" t="n"/>
      <c r="L2498" s="32" t="n"/>
      <c r="M2498" s="32" t="n"/>
      <c r="N2498" s="32" t="n"/>
      <c r="O2498" s="32" t="n"/>
      <c r="P2498" s="32" t="n"/>
      <c r="Q2498" s="32" t="n"/>
      <c r="U2498" s="31">
        <f>IF($A2498="","",SUM(X2498:AE2498))</f>
        <v/>
      </c>
      <c r="V2498" s="31">
        <f>IF($A2498="","",IF($H2498&lt;&gt;"Ausgabe",0,-$E2498-$U2498))</f>
        <v/>
      </c>
      <c r="W2498" s="33">
        <f>IF($A2498="","",DATE(YEAR($A2498),MONTH($A2498),1))</f>
        <v/>
      </c>
      <c r="X2498" s="34">
        <f>IF(OR($A2498="",$H2498&lt;&gt;"Ausgabe",J2498=""),0,IF(J2498="x",-$E2498/(COUNTIF($J2498:$Q2498,"x")+1),-$E2498*N(J2498)))</f>
        <v/>
      </c>
      <c r="Y2498" s="34">
        <f>IF(OR($A2498="",$H2498&lt;&gt;"Ausgabe",K2498=""),0,IF(K2498="x",-$E2498/(COUNTIF($J2498:$Q2498,"x")+1),-$E2498*N(K2498)))</f>
        <v/>
      </c>
      <c r="Z2498" s="34">
        <f>IF(OR($A2498="",$H2498&lt;&gt;"Ausgabe",L2498=""),0,IF(L2498="x",-$E2498/(COUNTIF($J2498:$Q2498,"x")+1),-$E2498*N(L2498)))</f>
        <v/>
      </c>
      <c r="AA2498" s="34">
        <f>IF(OR($A2498="",$H2498&lt;&gt;"Ausgabe",M2498=""),0,IF(M2498="x",-$E2498/(COUNTIF($J2498:$Q2498,"x")+1),-$E2498*N(M2498)))</f>
        <v/>
      </c>
      <c r="AB2498" s="34">
        <f>IF(OR($A2498="",$H2498&lt;&gt;"Ausgabe",N2498=""),0,IF(N2498="x",-$E2498/(COUNTIF($J2498:$Q2498,"x")+1),-$E2498*N(N2498)))</f>
        <v/>
      </c>
      <c r="AC2498" s="34">
        <f>IF(OR($A2498="",$H2498&lt;&gt;"Ausgabe",O2498=""),0,IF(O2498="x",-$E2498/(COUNTIF($J2498:$Q2498,"x")+1),-$E2498*N(O2498)))</f>
        <v/>
      </c>
      <c r="AD2498" s="34">
        <f>IF(OR($A2498="",$H2498&lt;&gt;"Ausgabe",P2498=""),0,IF(P2498="x",-$E2498/(COUNTIF($J2498:$Q2498,"x")+1),-$E2498*N(P2498)))</f>
        <v/>
      </c>
      <c r="AE2498" s="34">
        <f>IF(OR($A2498="",$H2498&lt;&gt;"Ausgabe",Q2498=""),0,IF(Q2498="x",-$E2498/(COUNTIF($J2498:$Q2498,"x")+1),-$E2498*N(Q2498)))</f>
        <v/>
      </c>
    </row>
    <row r="2499">
      <c r="A2499" s="30" t="n"/>
      <c r="E2499" s="31" t="n"/>
      <c r="J2499" s="32" t="n"/>
      <c r="K2499" s="32" t="n"/>
      <c r="L2499" s="32" t="n"/>
      <c r="M2499" s="32" t="n"/>
      <c r="N2499" s="32" t="n"/>
      <c r="O2499" s="32" t="n"/>
      <c r="P2499" s="32" t="n"/>
      <c r="Q2499" s="32" t="n"/>
      <c r="U2499" s="31">
        <f>IF($A2499="","",SUM(X2499:AE2499))</f>
        <v/>
      </c>
      <c r="V2499" s="31">
        <f>IF($A2499="","",IF($H2499&lt;&gt;"Ausgabe",0,-$E2499-$U2499))</f>
        <v/>
      </c>
      <c r="W2499" s="33">
        <f>IF($A2499="","",DATE(YEAR($A2499),MONTH($A2499),1))</f>
        <v/>
      </c>
      <c r="X2499" s="34">
        <f>IF(OR($A2499="",$H2499&lt;&gt;"Ausgabe",J2499=""),0,IF(J2499="x",-$E2499/(COUNTIF($J2499:$Q2499,"x")+1),-$E2499*N(J2499)))</f>
        <v/>
      </c>
      <c r="Y2499" s="34">
        <f>IF(OR($A2499="",$H2499&lt;&gt;"Ausgabe",K2499=""),0,IF(K2499="x",-$E2499/(COUNTIF($J2499:$Q2499,"x")+1),-$E2499*N(K2499)))</f>
        <v/>
      </c>
      <c r="Z2499" s="34">
        <f>IF(OR($A2499="",$H2499&lt;&gt;"Ausgabe",L2499=""),0,IF(L2499="x",-$E2499/(COUNTIF($J2499:$Q2499,"x")+1),-$E2499*N(L2499)))</f>
        <v/>
      </c>
      <c r="AA2499" s="34">
        <f>IF(OR($A2499="",$H2499&lt;&gt;"Ausgabe",M2499=""),0,IF(M2499="x",-$E2499/(COUNTIF($J2499:$Q2499,"x")+1),-$E2499*N(M2499)))</f>
        <v/>
      </c>
      <c r="AB2499" s="34">
        <f>IF(OR($A2499="",$H2499&lt;&gt;"Ausgabe",N2499=""),0,IF(N2499="x",-$E2499/(COUNTIF($J2499:$Q2499,"x")+1),-$E2499*N(N2499)))</f>
        <v/>
      </c>
      <c r="AC2499" s="34">
        <f>IF(OR($A2499="",$H2499&lt;&gt;"Ausgabe",O2499=""),0,IF(O2499="x",-$E2499/(COUNTIF($J2499:$Q2499,"x")+1),-$E2499*N(O2499)))</f>
        <v/>
      </c>
      <c r="AD2499" s="34">
        <f>IF(OR($A2499="",$H2499&lt;&gt;"Ausgabe",P2499=""),0,IF(P2499="x",-$E2499/(COUNTIF($J2499:$Q2499,"x")+1),-$E2499*N(P2499)))</f>
        <v/>
      </c>
      <c r="AE2499" s="34">
        <f>IF(OR($A2499="",$H2499&lt;&gt;"Ausgabe",Q2499=""),0,IF(Q2499="x",-$E2499/(COUNTIF($J2499:$Q2499,"x")+1),-$E2499*N(Q2499)))</f>
        <v/>
      </c>
    </row>
    <row r="2500">
      <c r="A2500" s="30" t="n"/>
      <c r="E2500" s="31" t="n"/>
      <c r="J2500" s="32" t="n"/>
      <c r="K2500" s="32" t="n"/>
      <c r="L2500" s="32" t="n"/>
      <c r="M2500" s="32" t="n"/>
      <c r="N2500" s="32" t="n"/>
      <c r="O2500" s="32" t="n"/>
      <c r="P2500" s="32" t="n"/>
      <c r="Q2500" s="32" t="n"/>
      <c r="U2500" s="31">
        <f>IF($A2500="","",SUM(X2500:AE2500))</f>
        <v/>
      </c>
      <c r="V2500" s="31">
        <f>IF($A2500="","",IF($H2500&lt;&gt;"Ausgabe",0,-$E2500-$U2500))</f>
        <v/>
      </c>
      <c r="W2500" s="33">
        <f>IF($A2500="","",DATE(YEAR($A2500),MONTH($A2500),1))</f>
        <v/>
      </c>
      <c r="X2500" s="34">
        <f>IF(OR($A2500="",$H2500&lt;&gt;"Ausgabe",J2500=""),0,IF(J2500="x",-$E2500/(COUNTIF($J2500:$Q2500,"x")+1),-$E2500*N(J2500)))</f>
        <v/>
      </c>
      <c r="Y2500" s="34">
        <f>IF(OR($A2500="",$H2500&lt;&gt;"Ausgabe",K2500=""),0,IF(K2500="x",-$E2500/(COUNTIF($J2500:$Q2500,"x")+1),-$E2500*N(K2500)))</f>
        <v/>
      </c>
      <c r="Z2500" s="34">
        <f>IF(OR($A2500="",$H2500&lt;&gt;"Ausgabe",L2500=""),0,IF(L2500="x",-$E2500/(COUNTIF($J2500:$Q2500,"x")+1),-$E2500*N(L2500)))</f>
        <v/>
      </c>
      <c r="AA2500" s="34">
        <f>IF(OR($A2500="",$H2500&lt;&gt;"Ausgabe",M2500=""),0,IF(M2500="x",-$E2500/(COUNTIF($J2500:$Q2500,"x")+1),-$E2500*N(M2500)))</f>
        <v/>
      </c>
      <c r="AB2500" s="34">
        <f>IF(OR($A2500="",$H2500&lt;&gt;"Ausgabe",N2500=""),0,IF(N2500="x",-$E2500/(COUNTIF($J2500:$Q2500,"x")+1),-$E2500*N(N2500)))</f>
        <v/>
      </c>
      <c r="AC2500" s="34">
        <f>IF(OR($A2500="",$H2500&lt;&gt;"Ausgabe",O2500=""),0,IF(O2500="x",-$E2500/(COUNTIF($J2500:$Q2500,"x")+1),-$E2500*N(O2500)))</f>
        <v/>
      </c>
      <c r="AD2500" s="34">
        <f>IF(OR($A2500="",$H2500&lt;&gt;"Ausgabe",P2500=""),0,IF(P2500="x",-$E2500/(COUNTIF($J2500:$Q2500,"x")+1),-$E2500*N(P2500)))</f>
        <v/>
      </c>
      <c r="AE2500" s="34">
        <f>IF(OR($A2500="",$H2500&lt;&gt;"Ausgabe",Q2500=""),0,IF(Q2500="x",-$E2500/(COUNTIF($J2500:$Q2500,"x")+1),-$E2500*N(Q2500)))</f>
        <v/>
      </c>
    </row>
    <row r="2501">
      <c r="A2501" s="30" t="n"/>
      <c r="E2501" s="31" t="n"/>
      <c r="J2501" s="32" t="n"/>
      <c r="K2501" s="32" t="n"/>
      <c r="L2501" s="32" t="n"/>
      <c r="M2501" s="32" t="n"/>
      <c r="N2501" s="32" t="n"/>
      <c r="O2501" s="32" t="n"/>
      <c r="P2501" s="32" t="n"/>
      <c r="Q2501" s="32" t="n"/>
      <c r="U2501" s="31">
        <f>IF($A2501="","",SUM(X2501:AE2501))</f>
        <v/>
      </c>
      <c r="V2501" s="31">
        <f>IF($A2501="","",IF($H2501&lt;&gt;"Ausgabe",0,-$E2501-$U2501))</f>
        <v/>
      </c>
      <c r="W2501" s="33">
        <f>IF($A2501="","",DATE(YEAR($A2501),MONTH($A2501),1))</f>
        <v/>
      </c>
      <c r="X2501" s="34">
        <f>IF(OR($A2501="",$H2501&lt;&gt;"Ausgabe",J2501=""),0,IF(J2501="x",-$E2501/(COUNTIF($J2501:$Q2501,"x")+1),-$E2501*N(J2501)))</f>
        <v/>
      </c>
      <c r="Y2501" s="34">
        <f>IF(OR($A2501="",$H2501&lt;&gt;"Ausgabe",K2501=""),0,IF(K2501="x",-$E2501/(COUNTIF($J2501:$Q2501,"x")+1),-$E2501*N(K2501)))</f>
        <v/>
      </c>
      <c r="Z2501" s="34">
        <f>IF(OR($A2501="",$H2501&lt;&gt;"Ausgabe",L2501=""),0,IF(L2501="x",-$E2501/(COUNTIF($J2501:$Q2501,"x")+1),-$E2501*N(L2501)))</f>
        <v/>
      </c>
      <c r="AA2501" s="34">
        <f>IF(OR($A2501="",$H2501&lt;&gt;"Ausgabe",M2501=""),0,IF(M2501="x",-$E2501/(COUNTIF($J2501:$Q2501,"x")+1),-$E2501*N(M2501)))</f>
        <v/>
      </c>
      <c r="AB2501" s="34">
        <f>IF(OR($A2501="",$H2501&lt;&gt;"Ausgabe",N2501=""),0,IF(N2501="x",-$E2501/(COUNTIF($J2501:$Q2501,"x")+1),-$E2501*N(N2501)))</f>
        <v/>
      </c>
      <c r="AC2501" s="34">
        <f>IF(OR($A2501="",$H2501&lt;&gt;"Ausgabe",O2501=""),0,IF(O2501="x",-$E2501/(COUNTIF($J2501:$Q2501,"x")+1),-$E2501*N(O2501)))</f>
        <v/>
      </c>
      <c r="AD2501" s="34">
        <f>IF(OR($A2501="",$H2501&lt;&gt;"Ausgabe",P2501=""),0,IF(P2501="x",-$E2501/(COUNTIF($J2501:$Q2501,"x")+1),-$E2501*N(P2501)))</f>
        <v/>
      </c>
      <c r="AE2501" s="34">
        <f>IF(OR($A2501="",$H2501&lt;&gt;"Ausgabe",Q2501=""),0,IF(Q2501="x",-$E2501/(COUNTIF($J2501:$Q2501,"x")+1),-$E2501*N(Q2501)))</f>
        <v/>
      </c>
    </row>
    <row r="2502">
      <c r="A2502" s="30" t="n"/>
      <c r="E2502" s="31" t="n"/>
      <c r="J2502" s="32" t="n"/>
      <c r="K2502" s="32" t="n"/>
      <c r="L2502" s="32" t="n"/>
      <c r="M2502" s="32" t="n"/>
      <c r="N2502" s="32" t="n"/>
      <c r="O2502" s="32" t="n"/>
      <c r="P2502" s="32" t="n"/>
      <c r="Q2502" s="32" t="n"/>
      <c r="U2502" s="31">
        <f>IF($A2502="","",SUM(X2502:AE2502))</f>
        <v/>
      </c>
      <c r="V2502" s="31">
        <f>IF($A2502="","",IF($H2502&lt;&gt;"Ausgabe",0,-$E2502-$U2502))</f>
        <v/>
      </c>
      <c r="W2502" s="33">
        <f>IF($A2502="","",DATE(YEAR($A2502),MONTH($A2502),1))</f>
        <v/>
      </c>
      <c r="X2502" s="34">
        <f>IF(OR($A2502="",$H2502&lt;&gt;"Ausgabe",J2502=""),0,IF(J2502="x",-$E2502/(COUNTIF($J2502:$Q2502,"x")+1),-$E2502*N(J2502)))</f>
        <v/>
      </c>
      <c r="Y2502" s="34">
        <f>IF(OR($A2502="",$H2502&lt;&gt;"Ausgabe",K2502=""),0,IF(K2502="x",-$E2502/(COUNTIF($J2502:$Q2502,"x")+1),-$E2502*N(K2502)))</f>
        <v/>
      </c>
      <c r="Z2502" s="34">
        <f>IF(OR($A2502="",$H2502&lt;&gt;"Ausgabe",L2502=""),0,IF(L2502="x",-$E2502/(COUNTIF($J2502:$Q2502,"x")+1),-$E2502*N(L2502)))</f>
        <v/>
      </c>
      <c r="AA2502" s="34">
        <f>IF(OR($A2502="",$H2502&lt;&gt;"Ausgabe",M2502=""),0,IF(M2502="x",-$E2502/(COUNTIF($J2502:$Q2502,"x")+1),-$E2502*N(M2502)))</f>
        <v/>
      </c>
      <c r="AB2502" s="34">
        <f>IF(OR($A2502="",$H2502&lt;&gt;"Ausgabe",N2502=""),0,IF(N2502="x",-$E2502/(COUNTIF($J2502:$Q2502,"x")+1),-$E2502*N(N2502)))</f>
        <v/>
      </c>
      <c r="AC2502" s="34">
        <f>IF(OR($A2502="",$H2502&lt;&gt;"Ausgabe",O2502=""),0,IF(O2502="x",-$E2502/(COUNTIF($J2502:$Q2502,"x")+1),-$E2502*N(O2502)))</f>
        <v/>
      </c>
      <c r="AD2502" s="34">
        <f>IF(OR($A2502="",$H2502&lt;&gt;"Ausgabe",P2502=""),0,IF(P2502="x",-$E2502/(COUNTIF($J2502:$Q2502,"x")+1),-$E2502*N(P2502)))</f>
        <v/>
      </c>
      <c r="AE2502" s="34">
        <f>IF(OR($A2502="",$H2502&lt;&gt;"Ausgabe",Q2502=""),0,IF(Q2502="x",-$E2502/(COUNTIF($J2502:$Q2502,"x")+1),-$E2502*N(Q2502)))</f>
        <v/>
      </c>
    </row>
    <row r="2503">
      <c r="A2503" s="30" t="n"/>
      <c r="E2503" s="31" t="n"/>
      <c r="J2503" s="32" t="n"/>
      <c r="K2503" s="32" t="n"/>
      <c r="L2503" s="32" t="n"/>
      <c r="M2503" s="32" t="n"/>
      <c r="N2503" s="32" t="n"/>
      <c r="O2503" s="32" t="n"/>
      <c r="P2503" s="32" t="n"/>
      <c r="Q2503" s="32" t="n"/>
      <c r="U2503" s="31">
        <f>IF($A2503="","",SUM(X2503:AE2503))</f>
        <v/>
      </c>
      <c r="V2503" s="31">
        <f>IF($A2503="","",IF($H2503&lt;&gt;"Ausgabe",0,-$E2503-$U2503))</f>
        <v/>
      </c>
      <c r="W2503" s="33">
        <f>IF($A2503="","",DATE(YEAR($A2503),MONTH($A2503),1))</f>
        <v/>
      </c>
      <c r="X2503" s="34">
        <f>IF(OR($A2503="",$H2503&lt;&gt;"Ausgabe",J2503=""),0,IF(J2503="x",-$E2503/(COUNTIF($J2503:$Q2503,"x")+1),-$E2503*N(J2503)))</f>
        <v/>
      </c>
      <c r="Y2503" s="34">
        <f>IF(OR($A2503="",$H2503&lt;&gt;"Ausgabe",K2503=""),0,IF(K2503="x",-$E2503/(COUNTIF($J2503:$Q2503,"x")+1),-$E2503*N(K2503)))</f>
        <v/>
      </c>
      <c r="Z2503" s="34">
        <f>IF(OR($A2503="",$H2503&lt;&gt;"Ausgabe",L2503=""),0,IF(L2503="x",-$E2503/(COUNTIF($J2503:$Q2503,"x")+1),-$E2503*N(L2503)))</f>
        <v/>
      </c>
      <c r="AA2503" s="34">
        <f>IF(OR($A2503="",$H2503&lt;&gt;"Ausgabe",M2503=""),0,IF(M2503="x",-$E2503/(COUNTIF($J2503:$Q2503,"x")+1),-$E2503*N(M2503)))</f>
        <v/>
      </c>
      <c r="AB2503" s="34">
        <f>IF(OR($A2503="",$H2503&lt;&gt;"Ausgabe",N2503=""),0,IF(N2503="x",-$E2503/(COUNTIF($J2503:$Q2503,"x")+1),-$E2503*N(N2503)))</f>
        <v/>
      </c>
      <c r="AC2503" s="34">
        <f>IF(OR($A2503="",$H2503&lt;&gt;"Ausgabe",O2503=""),0,IF(O2503="x",-$E2503/(COUNTIF($J2503:$Q2503,"x")+1),-$E2503*N(O2503)))</f>
        <v/>
      </c>
      <c r="AD2503" s="34">
        <f>IF(OR($A2503="",$H2503&lt;&gt;"Ausgabe",P2503=""),0,IF(P2503="x",-$E2503/(COUNTIF($J2503:$Q2503,"x")+1),-$E2503*N(P2503)))</f>
        <v/>
      </c>
      <c r="AE2503" s="34">
        <f>IF(OR($A2503="",$H2503&lt;&gt;"Ausgabe",Q2503=""),0,IF(Q2503="x",-$E2503/(COUNTIF($J2503:$Q2503,"x")+1),-$E2503*N(Q2503)))</f>
        <v/>
      </c>
    </row>
    <row r="2504">
      <c r="A2504" s="30" t="n"/>
      <c r="E2504" s="31" t="n"/>
      <c r="J2504" s="32" t="n"/>
      <c r="K2504" s="32" t="n"/>
      <c r="L2504" s="32" t="n"/>
      <c r="M2504" s="32" t="n"/>
      <c r="N2504" s="32" t="n"/>
      <c r="O2504" s="32" t="n"/>
      <c r="P2504" s="32" t="n"/>
      <c r="Q2504" s="32" t="n"/>
      <c r="U2504" s="31">
        <f>IF($A2504="","",SUM(X2504:AE2504))</f>
        <v/>
      </c>
      <c r="V2504" s="31">
        <f>IF($A2504="","",IF($H2504&lt;&gt;"Ausgabe",0,-$E2504-$U2504))</f>
        <v/>
      </c>
      <c r="W2504" s="33">
        <f>IF($A2504="","",DATE(YEAR($A2504),MONTH($A2504),1))</f>
        <v/>
      </c>
      <c r="X2504" s="34">
        <f>IF(OR($A2504="",$H2504&lt;&gt;"Ausgabe",J2504=""),0,IF(J2504="x",-$E2504/(COUNTIF($J2504:$Q2504,"x")+1),-$E2504*N(J2504)))</f>
        <v/>
      </c>
      <c r="Y2504" s="34">
        <f>IF(OR($A2504="",$H2504&lt;&gt;"Ausgabe",K2504=""),0,IF(K2504="x",-$E2504/(COUNTIF($J2504:$Q2504,"x")+1),-$E2504*N(K2504)))</f>
        <v/>
      </c>
      <c r="Z2504" s="34">
        <f>IF(OR($A2504="",$H2504&lt;&gt;"Ausgabe",L2504=""),0,IF(L2504="x",-$E2504/(COUNTIF($J2504:$Q2504,"x")+1),-$E2504*N(L2504)))</f>
        <v/>
      </c>
      <c r="AA2504" s="34">
        <f>IF(OR($A2504="",$H2504&lt;&gt;"Ausgabe",M2504=""),0,IF(M2504="x",-$E2504/(COUNTIF($J2504:$Q2504,"x")+1),-$E2504*N(M2504)))</f>
        <v/>
      </c>
      <c r="AB2504" s="34">
        <f>IF(OR($A2504="",$H2504&lt;&gt;"Ausgabe",N2504=""),0,IF(N2504="x",-$E2504/(COUNTIF($J2504:$Q2504,"x")+1),-$E2504*N(N2504)))</f>
        <v/>
      </c>
      <c r="AC2504" s="34">
        <f>IF(OR($A2504="",$H2504&lt;&gt;"Ausgabe",O2504=""),0,IF(O2504="x",-$E2504/(COUNTIF($J2504:$Q2504,"x")+1),-$E2504*N(O2504)))</f>
        <v/>
      </c>
      <c r="AD2504" s="34">
        <f>IF(OR($A2504="",$H2504&lt;&gt;"Ausgabe",P2504=""),0,IF(P2504="x",-$E2504/(COUNTIF($J2504:$Q2504,"x")+1),-$E2504*N(P2504)))</f>
        <v/>
      </c>
      <c r="AE2504" s="34">
        <f>IF(OR($A2504="",$H2504&lt;&gt;"Ausgabe",Q2504=""),0,IF(Q2504="x",-$E2504/(COUNTIF($J2504:$Q2504,"x")+1),-$E2504*N(Q2504)))</f>
        <v/>
      </c>
    </row>
    <row r="2505">
      <c r="A2505" s="30" t="n"/>
      <c r="E2505" s="31" t="n"/>
      <c r="J2505" s="32" t="n"/>
      <c r="K2505" s="32" t="n"/>
      <c r="L2505" s="32" t="n"/>
      <c r="M2505" s="32" t="n"/>
      <c r="N2505" s="32" t="n"/>
      <c r="O2505" s="32" t="n"/>
      <c r="P2505" s="32" t="n"/>
      <c r="Q2505" s="32" t="n"/>
      <c r="U2505" s="31">
        <f>IF($A2505="","",SUM(X2505:AE2505))</f>
        <v/>
      </c>
      <c r="V2505" s="31">
        <f>IF($A2505="","",IF($H2505&lt;&gt;"Ausgabe",0,-$E2505-$U2505))</f>
        <v/>
      </c>
      <c r="W2505" s="33">
        <f>IF($A2505="","",DATE(YEAR($A2505),MONTH($A2505),1))</f>
        <v/>
      </c>
      <c r="X2505" s="34">
        <f>IF(OR($A2505="",$H2505&lt;&gt;"Ausgabe",J2505=""),0,IF(J2505="x",-$E2505/(COUNTIF($J2505:$Q2505,"x")+1),-$E2505*N(J2505)))</f>
        <v/>
      </c>
      <c r="Y2505" s="34">
        <f>IF(OR($A2505="",$H2505&lt;&gt;"Ausgabe",K2505=""),0,IF(K2505="x",-$E2505/(COUNTIF($J2505:$Q2505,"x")+1),-$E2505*N(K2505)))</f>
        <v/>
      </c>
      <c r="Z2505" s="34">
        <f>IF(OR($A2505="",$H2505&lt;&gt;"Ausgabe",L2505=""),0,IF(L2505="x",-$E2505/(COUNTIF($J2505:$Q2505,"x")+1),-$E2505*N(L2505)))</f>
        <v/>
      </c>
      <c r="AA2505" s="34">
        <f>IF(OR($A2505="",$H2505&lt;&gt;"Ausgabe",M2505=""),0,IF(M2505="x",-$E2505/(COUNTIF($J2505:$Q2505,"x")+1),-$E2505*N(M2505)))</f>
        <v/>
      </c>
      <c r="AB2505" s="34">
        <f>IF(OR($A2505="",$H2505&lt;&gt;"Ausgabe",N2505=""),0,IF(N2505="x",-$E2505/(COUNTIF($J2505:$Q2505,"x")+1),-$E2505*N(N2505)))</f>
        <v/>
      </c>
      <c r="AC2505" s="34">
        <f>IF(OR($A2505="",$H2505&lt;&gt;"Ausgabe",O2505=""),0,IF(O2505="x",-$E2505/(COUNTIF($J2505:$Q2505,"x")+1),-$E2505*N(O2505)))</f>
        <v/>
      </c>
      <c r="AD2505" s="34">
        <f>IF(OR($A2505="",$H2505&lt;&gt;"Ausgabe",P2505=""),0,IF(P2505="x",-$E2505/(COUNTIF($J2505:$Q2505,"x")+1),-$E2505*N(P2505)))</f>
        <v/>
      </c>
      <c r="AE2505" s="34">
        <f>IF(OR($A2505="",$H2505&lt;&gt;"Ausgabe",Q2505=""),0,IF(Q2505="x",-$E2505/(COUNTIF($J2505:$Q2505,"x")+1),-$E2505*N(Q2505)))</f>
        <v/>
      </c>
    </row>
    <row r="2506">
      <c r="A2506" s="30" t="n"/>
      <c r="E2506" s="31" t="n"/>
      <c r="J2506" s="32" t="n"/>
      <c r="K2506" s="32" t="n"/>
      <c r="L2506" s="32" t="n"/>
      <c r="M2506" s="32" t="n"/>
      <c r="N2506" s="32" t="n"/>
      <c r="O2506" s="32" t="n"/>
      <c r="P2506" s="32" t="n"/>
      <c r="Q2506" s="32" t="n"/>
      <c r="U2506" s="31">
        <f>IF($A2506="","",SUM(X2506:AE2506))</f>
        <v/>
      </c>
      <c r="V2506" s="31">
        <f>IF($A2506="","",IF($H2506&lt;&gt;"Ausgabe",0,-$E2506-$U2506))</f>
        <v/>
      </c>
      <c r="W2506" s="33">
        <f>IF($A2506="","",DATE(YEAR($A2506),MONTH($A2506),1))</f>
        <v/>
      </c>
      <c r="X2506" s="34">
        <f>IF(OR($A2506="",$H2506&lt;&gt;"Ausgabe",J2506=""),0,IF(J2506="x",-$E2506/(COUNTIF($J2506:$Q2506,"x")+1),-$E2506*N(J2506)))</f>
        <v/>
      </c>
      <c r="Y2506" s="34">
        <f>IF(OR($A2506="",$H2506&lt;&gt;"Ausgabe",K2506=""),0,IF(K2506="x",-$E2506/(COUNTIF($J2506:$Q2506,"x")+1),-$E2506*N(K2506)))</f>
        <v/>
      </c>
      <c r="Z2506" s="34">
        <f>IF(OR($A2506="",$H2506&lt;&gt;"Ausgabe",L2506=""),0,IF(L2506="x",-$E2506/(COUNTIF($J2506:$Q2506,"x")+1),-$E2506*N(L2506)))</f>
        <v/>
      </c>
      <c r="AA2506" s="34">
        <f>IF(OR($A2506="",$H2506&lt;&gt;"Ausgabe",M2506=""),0,IF(M2506="x",-$E2506/(COUNTIF($J2506:$Q2506,"x")+1),-$E2506*N(M2506)))</f>
        <v/>
      </c>
      <c r="AB2506" s="34">
        <f>IF(OR($A2506="",$H2506&lt;&gt;"Ausgabe",N2506=""),0,IF(N2506="x",-$E2506/(COUNTIF($J2506:$Q2506,"x")+1),-$E2506*N(N2506)))</f>
        <v/>
      </c>
      <c r="AC2506" s="34">
        <f>IF(OR($A2506="",$H2506&lt;&gt;"Ausgabe",O2506=""),0,IF(O2506="x",-$E2506/(COUNTIF($J2506:$Q2506,"x")+1),-$E2506*N(O2506)))</f>
        <v/>
      </c>
      <c r="AD2506" s="34">
        <f>IF(OR($A2506="",$H2506&lt;&gt;"Ausgabe",P2506=""),0,IF(P2506="x",-$E2506/(COUNTIF($J2506:$Q2506,"x")+1),-$E2506*N(P2506)))</f>
        <v/>
      </c>
      <c r="AE2506" s="34">
        <f>IF(OR($A2506="",$H2506&lt;&gt;"Ausgabe",Q2506=""),0,IF(Q2506="x",-$E2506/(COUNTIF($J2506:$Q2506,"x")+1),-$E2506*N(Q2506)))</f>
        <v/>
      </c>
    </row>
    <row r="2507">
      <c r="A2507" s="30" t="n"/>
      <c r="E2507" s="31" t="n"/>
      <c r="J2507" s="32" t="n"/>
      <c r="K2507" s="32" t="n"/>
      <c r="L2507" s="32" t="n"/>
      <c r="M2507" s="32" t="n"/>
      <c r="N2507" s="32" t="n"/>
      <c r="O2507" s="32" t="n"/>
      <c r="P2507" s="32" t="n"/>
      <c r="Q2507" s="32" t="n"/>
      <c r="U2507" s="31">
        <f>IF($A2507="","",SUM(X2507:AE2507))</f>
        <v/>
      </c>
      <c r="V2507" s="31">
        <f>IF($A2507="","",IF($H2507&lt;&gt;"Ausgabe",0,-$E2507-$U2507))</f>
        <v/>
      </c>
      <c r="W2507" s="33">
        <f>IF($A2507="","",DATE(YEAR($A2507),MONTH($A2507),1))</f>
        <v/>
      </c>
      <c r="X2507" s="34">
        <f>IF(OR($A2507="",$H2507&lt;&gt;"Ausgabe",J2507=""),0,IF(J2507="x",-$E2507/(COUNTIF($J2507:$Q2507,"x")+1),-$E2507*N(J2507)))</f>
        <v/>
      </c>
      <c r="Y2507" s="34">
        <f>IF(OR($A2507="",$H2507&lt;&gt;"Ausgabe",K2507=""),0,IF(K2507="x",-$E2507/(COUNTIF($J2507:$Q2507,"x")+1),-$E2507*N(K2507)))</f>
        <v/>
      </c>
      <c r="Z2507" s="34">
        <f>IF(OR($A2507="",$H2507&lt;&gt;"Ausgabe",L2507=""),0,IF(L2507="x",-$E2507/(COUNTIF($J2507:$Q2507,"x")+1),-$E2507*N(L2507)))</f>
        <v/>
      </c>
      <c r="AA2507" s="34">
        <f>IF(OR($A2507="",$H2507&lt;&gt;"Ausgabe",M2507=""),0,IF(M2507="x",-$E2507/(COUNTIF($J2507:$Q2507,"x")+1),-$E2507*N(M2507)))</f>
        <v/>
      </c>
      <c r="AB2507" s="34">
        <f>IF(OR($A2507="",$H2507&lt;&gt;"Ausgabe",N2507=""),0,IF(N2507="x",-$E2507/(COUNTIF($J2507:$Q2507,"x")+1),-$E2507*N(N2507)))</f>
        <v/>
      </c>
      <c r="AC2507" s="34">
        <f>IF(OR($A2507="",$H2507&lt;&gt;"Ausgabe",O2507=""),0,IF(O2507="x",-$E2507/(COUNTIF($J2507:$Q2507,"x")+1),-$E2507*N(O2507)))</f>
        <v/>
      </c>
      <c r="AD2507" s="34">
        <f>IF(OR($A2507="",$H2507&lt;&gt;"Ausgabe",P2507=""),0,IF(P2507="x",-$E2507/(COUNTIF($J2507:$Q2507,"x")+1),-$E2507*N(P2507)))</f>
        <v/>
      </c>
      <c r="AE2507" s="34">
        <f>IF(OR($A2507="",$H2507&lt;&gt;"Ausgabe",Q2507=""),0,IF(Q2507="x",-$E2507/(COUNTIF($J2507:$Q2507,"x")+1),-$E2507*N(Q2507)))</f>
        <v/>
      </c>
    </row>
    <row r="2508">
      <c r="A2508" s="30" t="n"/>
      <c r="E2508" s="31" t="n"/>
      <c r="J2508" s="32" t="n"/>
      <c r="K2508" s="32" t="n"/>
      <c r="L2508" s="32" t="n"/>
      <c r="M2508" s="32" t="n"/>
      <c r="N2508" s="32" t="n"/>
      <c r="O2508" s="32" t="n"/>
      <c r="P2508" s="32" t="n"/>
      <c r="Q2508" s="32" t="n"/>
      <c r="U2508" s="31">
        <f>IF($A2508="","",SUM(X2508:AE2508))</f>
        <v/>
      </c>
      <c r="V2508" s="31">
        <f>IF($A2508="","",IF($H2508&lt;&gt;"Ausgabe",0,-$E2508-$U2508))</f>
        <v/>
      </c>
      <c r="W2508" s="33">
        <f>IF($A2508="","",DATE(YEAR($A2508),MONTH($A2508),1))</f>
        <v/>
      </c>
      <c r="X2508" s="34">
        <f>IF(OR($A2508="",$H2508&lt;&gt;"Ausgabe",J2508=""),0,IF(J2508="x",-$E2508/(COUNTIF($J2508:$Q2508,"x")+1),-$E2508*N(J2508)))</f>
        <v/>
      </c>
      <c r="Y2508" s="34">
        <f>IF(OR($A2508="",$H2508&lt;&gt;"Ausgabe",K2508=""),0,IF(K2508="x",-$E2508/(COUNTIF($J2508:$Q2508,"x")+1),-$E2508*N(K2508)))</f>
        <v/>
      </c>
      <c r="Z2508" s="34">
        <f>IF(OR($A2508="",$H2508&lt;&gt;"Ausgabe",L2508=""),0,IF(L2508="x",-$E2508/(COUNTIF($J2508:$Q2508,"x")+1),-$E2508*N(L2508)))</f>
        <v/>
      </c>
      <c r="AA2508" s="34">
        <f>IF(OR($A2508="",$H2508&lt;&gt;"Ausgabe",M2508=""),0,IF(M2508="x",-$E2508/(COUNTIF($J2508:$Q2508,"x")+1),-$E2508*N(M2508)))</f>
        <v/>
      </c>
      <c r="AB2508" s="34">
        <f>IF(OR($A2508="",$H2508&lt;&gt;"Ausgabe",N2508=""),0,IF(N2508="x",-$E2508/(COUNTIF($J2508:$Q2508,"x")+1),-$E2508*N(N2508)))</f>
        <v/>
      </c>
      <c r="AC2508" s="34">
        <f>IF(OR($A2508="",$H2508&lt;&gt;"Ausgabe",O2508=""),0,IF(O2508="x",-$E2508/(COUNTIF($J2508:$Q2508,"x")+1),-$E2508*N(O2508)))</f>
        <v/>
      </c>
      <c r="AD2508" s="34">
        <f>IF(OR($A2508="",$H2508&lt;&gt;"Ausgabe",P2508=""),0,IF(P2508="x",-$E2508/(COUNTIF($J2508:$Q2508,"x")+1),-$E2508*N(P2508)))</f>
        <v/>
      </c>
      <c r="AE2508" s="34">
        <f>IF(OR($A2508="",$H2508&lt;&gt;"Ausgabe",Q2508=""),0,IF(Q2508="x",-$E2508/(COUNTIF($J2508:$Q2508,"x")+1),-$E2508*N(Q2508)))</f>
        <v/>
      </c>
    </row>
    <row r="2509">
      <c r="A2509" s="30" t="n"/>
      <c r="E2509" s="31" t="n"/>
      <c r="J2509" s="32" t="n"/>
      <c r="K2509" s="32" t="n"/>
      <c r="L2509" s="32" t="n"/>
      <c r="M2509" s="32" t="n"/>
      <c r="N2509" s="32" t="n"/>
      <c r="O2509" s="32" t="n"/>
      <c r="P2509" s="32" t="n"/>
      <c r="Q2509" s="32" t="n"/>
      <c r="U2509" s="31">
        <f>IF($A2509="","",SUM(X2509:AE2509))</f>
        <v/>
      </c>
      <c r="V2509" s="31">
        <f>IF($A2509="","",IF($H2509&lt;&gt;"Ausgabe",0,-$E2509-$U2509))</f>
        <v/>
      </c>
      <c r="W2509" s="33">
        <f>IF($A2509="","",DATE(YEAR($A2509),MONTH($A2509),1))</f>
        <v/>
      </c>
      <c r="X2509" s="34">
        <f>IF(OR($A2509="",$H2509&lt;&gt;"Ausgabe",J2509=""),0,IF(J2509="x",-$E2509/(COUNTIF($J2509:$Q2509,"x")+1),-$E2509*N(J2509)))</f>
        <v/>
      </c>
      <c r="Y2509" s="34">
        <f>IF(OR($A2509="",$H2509&lt;&gt;"Ausgabe",K2509=""),0,IF(K2509="x",-$E2509/(COUNTIF($J2509:$Q2509,"x")+1),-$E2509*N(K2509)))</f>
        <v/>
      </c>
      <c r="Z2509" s="34">
        <f>IF(OR($A2509="",$H2509&lt;&gt;"Ausgabe",L2509=""),0,IF(L2509="x",-$E2509/(COUNTIF($J2509:$Q2509,"x")+1),-$E2509*N(L2509)))</f>
        <v/>
      </c>
      <c r="AA2509" s="34">
        <f>IF(OR($A2509="",$H2509&lt;&gt;"Ausgabe",M2509=""),0,IF(M2509="x",-$E2509/(COUNTIF($J2509:$Q2509,"x")+1),-$E2509*N(M2509)))</f>
        <v/>
      </c>
      <c r="AB2509" s="34">
        <f>IF(OR($A2509="",$H2509&lt;&gt;"Ausgabe",N2509=""),0,IF(N2509="x",-$E2509/(COUNTIF($J2509:$Q2509,"x")+1),-$E2509*N(N2509)))</f>
        <v/>
      </c>
      <c r="AC2509" s="34">
        <f>IF(OR($A2509="",$H2509&lt;&gt;"Ausgabe",O2509=""),0,IF(O2509="x",-$E2509/(COUNTIF($J2509:$Q2509,"x")+1),-$E2509*N(O2509)))</f>
        <v/>
      </c>
      <c r="AD2509" s="34">
        <f>IF(OR($A2509="",$H2509&lt;&gt;"Ausgabe",P2509=""),0,IF(P2509="x",-$E2509/(COUNTIF($J2509:$Q2509,"x")+1),-$E2509*N(P2509)))</f>
        <v/>
      </c>
      <c r="AE2509" s="34">
        <f>IF(OR($A2509="",$H2509&lt;&gt;"Ausgabe",Q2509=""),0,IF(Q2509="x",-$E2509/(COUNTIF($J2509:$Q2509,"x")+1),-$E2509*N(Q2509)))</f>
        <v/>
      </c>
    </row>
    <row r="2510">
      <c r="A2510" s="30" t="n"/>
      <c r="E2510" s="31" t="n"/>
      <c r="J2510" s="32" t="n"/>
      <c r="K2510" s="32" t="n"/>
      <c r="L2510" s="32" t="n"/>
      <c r="M2510" s="32" t="n"/>
      <c r="N2510" s="32" t="n"/>
      <c r="O2510" s="32" t="n"/>
      <c r="P2510" s="32" t="n"/>
      <c r="Q2510" s="32" t="n"/>
      <c r="U2510" s="31">
        <f>IF($A2510="","",SUM(X2510:AE2510))</f>
        <v/>
      </c>
      <c r="V2510" s="31">
        <f>IF($A2510="","",IF($H2510&lt;&gt;"Ausgabe",0,-$E2510-$U2510))</f>
        <v/>
      </c>
      <c r="W2510" s="33">
        <f>IF($A2510="","",DATE(YEAR($A2510),MONTH($A2510),1))</f>
        <v/>
      </c>
      <c r="X2510" s="34">
        <f>IF(OR($A2510="",$H2510&lt;&gt;"Ausgabe",J2510=""),0,IF(J2510="x",-$E2510/(COUNTIF($J2510:$Q2510,"x")+1),-$E2510*N(J2510)))</f>
        <v/>
      </c>
      <c r="Y2510" s="34">
        <f>IF(OR($A2510="",$H2510&lt;&gt;"Ausgabe",K2510=""),0,IF(K2510="x",-$E2510/(COUNTIF($J2510:$Q2510,"x")+1),-$E2510*N(K2510)))</f>
        <v/>
      </c>
      <c r="Z2510" s="34">
        <f>IF(OR($A2510="",$H2510&lt;&gt;"Ausgabe",L2510=""),0,IF(L2510="x",-$E2510/(COUNTIF($J2510:$Q2510,"x")+1),-$E2510*N(L2510)))</f>
        <v/>
      </c>
      <c r="AA2510" s="34">
        <f>IF(OR($A2510="",$H2510&lt;&gt;"Ausgabe",M2510=""),0,IF(M2510="x",-$E2510/(COUNTIF($J2510:$Q2510,"x")+1),-$E2510*N(M2510)))</f>
        <v/>
      </c>
      <c r="AB2510" s="34">
        <f>IF(OR($A2510="",$H2510&lt;&gt;"Ausgabe",N2510=""),0,IF(N2510="x",-$E2510/(COUNTIF($J2510:$Q2510,"x")+1),-$E2510*N(N2510)))</f>
        <v/>
      </c>
      <c r="AC2510" s="34">
        <f>IF(OR($A2510="",$H2510&lt;&gt;"Ausgabe",O2510=""),0,IF(O2510="x",-$E2510/(COUNTIF($J2510:$Q2510,"x")+1),-$E2510*N(O2510)))</f>
        <v/>
      </c>
      <c r="AD2510" s="34">
        <f>IF(OR($A2510="",$H2510&lt;&gt;"Ausgabe",P2510=""),0,IF(P2510="x",-$E2510/(COUNTIF($J2510:$Q2510,"x")+1),-$E2510*N(P2510)))</f>
        <v/>
      </c>
      <c r="AE2510" s="34">
        <f>IF(OR($A2510="",$H2510&lt;&gt;"Ausgabe",Q2510=""),0,IF(Q2510="x",-$E2510/(COUNTIF($J2510:$Q2510,"x")+1),-$E2510*N(Q2510)))</f>
        <v/>
      </c>
    </row>
    <row r="2511">
      <c r="A2511" s="30" t="n"/>
      <c r="E2511" s="31" t="n"/>
      <c r="J2511" s="32" t="n"/>
      <c r="K2511" s="32" t="n"/>
      <c r="L2511" s="32" t="n"/>
      <c r="M2511" s="32" t="n"/>
      <c r="N2511" s="32" t="n"/>
      <c r="O2511" s="32" t="n"/>
      <c r="P2511" s="32" t="n"/>
      <c r="Q2511" s="32" t="n"/>
      <c r="U2511" s="31">
        <f>IF($A2511="","",SUM(X2511:AE2511))</f>
        <v/>
      </c>
      <c r="V2511" s="31">
        <f>IF($A2511="","",IF($H2511&lt;&gt;"Ausgabe",0,-$E2511-$U2511))</f>
        <v/>
      </c>
      <c r="W2511" s="33">
        <f>IF($A2511="","",DATE(YEAR($A2511),MONTH($A2511),1))</f>
        <v/>
      </c>
      <c r="X2511" s="34">
        <f>IF(OR($A2511="",$H2511&lt;&gt;"Ausgabe",J2511=""),0,IF(J2511="x",-$E2511/(COUNTIF($J2511:$Q2511,"x")+1),-$E2511*N(J2511)))</f>
        <v/>
      </c>
      <c r="Y2511" s="34">
        <f>IF(OR($A2511="",$H2511&lt;&gt;"Ausgabe",K2511=""),0,IF(K2511="x",-$E2511/(COUNTIF($J2511:$Q2511,"x")+1),-$E2511*N(K2511)))</f>
        <v/>
      </c>
      <c r="Z2511" s="34">
        <f>IF(OR($A2511="",$H2511&lt;&gt;"Ausgabe",L2511=""),0,IF(L2511="x",-$E2511/(COUNTIF($J2511:$Q2511,"x")+1),-$E2511*N(L2511)))</f>
        <v/>
      </c>
      <c r="AA2511" s="34">
        <f>IF(OR($A2511="",$H2511&lt;&gt;"Ausgabe",M2511=""),0,IF(M2511="x",-$E2511/(COUNTIF($J2511:$Q2511,"x")+1),-$E2511*N(M2511)))</f>
        <v/>
      </c>
      <c r="AB2511" s="34">
        <f>IF(OR($A2511="",$H2511&lt;&gt;"Ausgabe",N2511=""),0,IF(N2511="x",-$E2511/(COUNTIF($J2511:$Q2511,"x")+1),-$E2511*N(N2511)))</f>
        <v/>
      </c>
      <c r="AC2511" s="34">
        <f>IF(OR($A2511="",$H2511&lt;&gt;"Ausgabe",O2511=""),0,IF(O2511="x",-$E2511/(COUNTIF($J2511:$Q2511,"x")+1),-$E2511*N(O2511)))</f>
        <v/>
      </c>
      <c r="AD2511" s="34">
        <f>IF(OR($A2511="",$H2511&lt;&gt;"Ausgabe",P2511=""),0,IF(P2511="x",-$E2511/(COUNTIF($J2511:$Q2511,"x")+1),-$E2511*N(P2511)))</f>
        <v/>
      </c>
      <c r="AE2511" s="34">
        <f>IF(OR($A2511="",$H2511&lt;&gt;"Ausgabe",Q2511=""),0,IF(Q2511="x",-$E2511/(COUNTIF($J2511:$Q2511,"x")+1),-$E2511*N(Q2511)))</f>
        <v/>
      </c>
    </row>
    <row r="2512">
      <c r="A2512" s="30" t="n"/>
      <c r="E2512" s="31" t="n"/>
      <c r="J2512" s="32" t="n"/>
      <c r="K2512" s="32" t="n"/>
      <c r="L2512" s="32" t="n"/>
      <c r="M2512" s="32" t="n"/>
      <c r="N2512" s="32" t="n"/>
      <c r="O2512" s="32" t="n"/>
      <c r="P2512" s="32" t="n"/>
      <c r="Q2512" s="32" t="n"/>
      <c r="U2512" s="31">
        <f>IF($A2512="","",SUM(X2512:AE2512))</f>
        <v/>
      </c>
      <c r="V2512" s="31">
        <f>IF($A2512="","",IF($H2512&lt;&gt;"Ausgabe",0,-$E2512-$U2512))</f>
        <v/>
      </c>
      <c r="W2512" s="33">
        <f>IF($A2512="","",DATE(YEAR($A2512),MONTH($A2512),1))</f>
        <v/>
      </c>
      <c r="X2512" s="34">
        <f>IF(OR($A2512="",$H2512&lt;&gt;"Ausgabe",J2512=""),0,IF(J2512="x",-$E2512/(COUNTIF($J2512:$Q2512,"x")+1),-$E2512*N(J2512)))</f>
        <v/>
      </c>
      <c r="Y2512" s="34">
        <f>IF(OR($A2512="",$H2512&lt;&gt;"Ausgabe",K2512=""),0,IF(K2512="x",-$E2512/(COUNTIF($J2512:$Q2512,"x")+1),-$E2512*N(K2512)))</f>
        <v/>
      </c>
      <c r="Z2512" s="34">
        <f>IF(OR($A2512="",$H2512&lt;&gt;"Ausgabe",L2512=""),0,IF(L2512="x",-$E2512/(COUNTIF($J2512:$Q2512,"x")+1),-$E2512*N(L2512)))</f>
        <v/>
      </c>
      <c r="AA2512" s="34">
        <f>IF(OR($A2512="",$H2512&lt;&gt;"Ausgabe",M2512=""),0,IF(M2512="x",-$E2512/(COUNTIF($J2512:$Q2512,"x")+1),-$E2512*N(M2512)))</f>
        <v/>
      </c>
      <c r="AB2512" s="34">
        <f>IF(OR($A2512="",$H2512&lt;&gt;"Ausgabe",N2512=""),0,IF(N2512="x",-$E2512/(COUNTIF($J2512:$Q2512,"x")+1),-$E2512*N(N2512)))</f>
        <v/>
      </c>
      <c r="AC2512" s="34">
        <f>IF(OR($A2512="",$H2512&lt;&gt;"Ausgabe",O2512=""),0,IF(O2512="x",-$E2512/(COUNTIF($J2512:$Q2512,"x")+1),-$E2512*N(O2512)))</f>
        <v/>
      </c>
      <c r="AD2512" s="34">
        <f>IF(OR($A2512="",$H2512&lt;&gt;"Ausgabe",P2512=""),0,IF(P2512="x",-$E2512/(COUNTIF($J2512:$Q2512,"x")+1),-$E2512*N(P2512)))</f>
        <v/>
      </c>
      <c r="AE2512" s="34">
        <f>IF(OR($A2512="",$H2512&lt;&gt;"Ausgabe",Q2512=""),0,IF(Q2512="x",-$E2512/(COUNTIF($J2512:$Q2512,"x")+1),-$E2512*N(Q2512)))</f>
        <v/>
      </c>
    </row>
    <row r="2513">
      <c r="A2513" s="30" t="n"/>
      <c r="E2513" s="31" t="n"/>
      <c r="J2513" s="32" t="n"/>
      <c r="K2513" s="32" t="n"/>
      <c r="L2513" s="32" t="n"/>
      <c r="M2513" s="32" t="n"/>
      <c r="N2513" s="32" t="n"/>
      <c r="O2513" s="32" t="n"/>
      <c r="P2513" s="32" t="n"/>
      <c r="Q2513" s="32" t="n"/>
      <c r="U2513" s="31">
        <f>IF($A2513="","",SUM(X2513:AE2513))</f>
        <v/>
      </c>
      <c r="V2513" s="31">
        <f>IF($A2513="","",IF($H2513&lt;&gt;"Ausgabe",0,-$E2513-$U2513))</f>
        <v/>
      </c>
      <c r="W2513" s="33">
        <f>IF($A2513="","",DATE(YEAR($A2513),MONTH($A2513),1))</f>
        <v/>
      </c>
      <c r="X2513" s="34">
        <f>IF(OR($A2513="",$H2513&lt;&gt;"Ausgabe",J2513=""),0,IF(J2513="x",-$E2513/(COUNTIF($J2513:$Q2513,"x")+1),-$E2513*N(J2513)))</f>
        <v/>
      </c>
      <c r="Y2513" s="34">
        <f>IF(OR($A2513="",$H2513&lt;&gt;"Ausgabe",K2513=""),0,IF(K2513="x",-$E2513/(COUNTIF($J2513:$Q2513,"x")+1),-$E2513*N(K2513)))</f>
        <v/>
      </c>
      <c r="Z2513" s="34">
        <f>IF(OR($A2513="",$H2513&lt;&gt;"Ausgabe",L2513=""),0,IF(L2513="x",-$E2513/(COUNTIF($J2513:$Q2513,"x")+1),-$E2513*N(L2513)))</f>
        <v/>
      </c>
      <c r="AA2513" s="34">
        <f>IF(OR($A2513="",$H2513&lt;&gt;"Ausgabe",M2513=""),0,IF(M2513="x",-$E2513/(COUNTIF($J2513:$Q2513,"x")+1),-$E2513*N(M2513)))</f>
        <v/>
      </c>
      <c r="AB2513" s="34">
        <f>IF(OR($A2513="",$H2513&lt;&gt;"Ausgabe",N2513=""),0,IF(N2513="x",-$E2513/(COUNTIF($J2513:$Q2513,"x")+1),-$E2513*N(N2513)))</f>
        <v/>
      </c>
      <c r="AC2513" s="34">
        <f>IF(OR($A2513="",$H2513&lt;&gt;"Ausgabe",O2513=""),0,IF(O2513="x",-$E2513/(COUNTIF($J2513:$Q2513,"x")+1),-$E2513*N(O2513)))</f>
        <v/>
      </c>
      <c r="AD2513" s="34">
        <f>IF(OR($A2513="",$H2513&lt;&gt;"Ausgabe",P2513=""),0,IF(P2513="x",-$E2513/(COUNTIF($J2513:$Q2513,"x")+1),-$E2513*N(P2513)))</f>
        <v/>
      </c>
      <c r="AE2513" s="34">
        <f>IF(OR($A2513="",$H2513&lt;&gt;"Ausgabe",Q2513=""),0,IF(Q2513="x",-$E2513/(COUNTIF($J2513:$Q2513,"x")+1),-$E2513*N(Q2513)))</f>
        <v/>
      </c>
    </row>
    <row r="2514">
      <c r="A2514" s="30" t="n"/>
      <c r="E2514" s="31" t="n"/>
      <c r="J2514" s="32" t="n"/>
      <c r="K2514" s="32" t="n"/>
      <c r="L2514" s="32" t="n"/>
      <c r="M2514" s="32" t="n"/>
      <c r="N2514" s="32" t="n"/>
      <c r="O2514" s="32" t="n"/>
      <c r="P2514" s="32" t="n"/>
      <c r="Q2514" s="32" t="n"/>
      <c r="U2514" s="31">
        <f>IF($A2514="","",SUM(X2514:AE2514))</f>
        <v/>
      </c>
      <c r="V2514" s="31">
        <f>IF($A2514="","",IF($H2514&lt;&gt;"Ausgabe",0,-$E2514-$U2514))</f>
        <v/>
      </c>
      <c r="W2514" s="33">
        <f>IF($A2514="","",DATE(YEAR($A2514),MONTH($A2514),1))</f>
        <v/>
      </c>
      <c r="X2514" s="34">
        <f>IF(OR($A2514="",$H2514&lt;&gt;"Ausgabe",J2514=""),0,IF(J2514="x",-$E2514/(COUNTIF($J2514:$Q2514,"x")+1),-$E2514*N(J2514)))</f>
        <v/>
      </c>
      <c r="Y2514" s="34">
        <f>IF(OR($A2514="",$H2514&lt;&gt;"Ausgabe",K2514=""),0,IF(K2514="x",-$E2514/(COUNTIF($J2514:$Q2514,"x")+1),-$E2514*N(K2514)))</f>
        <v/>
      </c>
      <c r="Z2514" s="34">
        <f>IF(OR($A2514="",$H2514&lt;&gt;"Ausgabe",L2514=""),0,IF(L2514="x",-$E2514/(COUNTIF($J2514:$Q2514,"x")+1),-$E2514*N(L2514)))</f>
        <v/>
      </c>
      <c r="AA2514" s="34">
        <f>IF(OR($A2514="",$H2514&lt;&gt;"Ausgabe",M2514=""),0,IF(M2514="x",-$E2514/(COUNTIF($J2514:$Q2514,"x")+1),-$E2514*N(M2514)))</f>
        <v/>
      </c>
      <c r="AB2514" s="34">
        <f>IF(OR($A2514="",$H2514&lt;&gt;"Ausgabe",N2514=""),0,IF(N2514="x",-$E2514/(COUNTIF($J2514:$Q2514,"x")+1),-$E2514*N(N2514)))</f>
        <v/>
      </c>
      <c r="AC2514" s="34">
        <f>IF(OR($A2514="",$H2514&lt;&gt;"Ausgabe",O2514=""),0,IF(O2514="x",-$E2514/(COUNTIF($J2514:$Q2514,"x")+1),-$E2514*N(O2514)))</f>
        <v/>
      </c>
      <c r="AD2514" s="34">
        <f>IF(OR($A2514="",$H2514&lt;&gt;"Ausgabe",P2514=""),0,IF(P2514="x",-$E2514/(COUNTIF($J2514:$Q2514,"x")+1),-$E2514*N(P2514)))</f>
        <v/>
      </c>
      <c r="AE2514" s="34">
        <f>IF(OR($A2514="",$H2514&lt;&gt;"Ausgabe",Q2514=""),0,IF(Q2514="x",-$E2514/(COUNTIF($J2514:$Q2514,"x")+1),-$E2514*N(Q2514)))</f>
        <v/>
      </c>
    </row>
    <row r="2515">
      <c r="A2515" s="30" t="n"/>
      <c r="E2515" s="31" t="n"/>
      <c r="J2515" s="32" t="n"/>
      <c r="K2515" s="32" t="n"/>
      <c r="L2515" s="32" t="n"/>
      <c r="M2515" s="32" t="n"/>
      <c r="N2515" s="32" t="n"/>
      <c r="O2515" s="32" t="n"/>
      <c r="P2515" s="32" t="n"/>
      <c r="Q2515" s="32" t="n"/>
      <c r="U2515" s="31">
        <f>IF($A2515="","",SUM(X2515:AE2515))</f>
        <v/>
      </c>
      <c r="V2515" s="31">
        <f>IF($A2515="","",IF($H2515&lt;&gt;"Ausgabe",0,-$E2515-$U2515))</f>
        <v/>
      </c>
      <c r="W2515" s="33">
        <f>IF($A2515="","",DATE(YEAR($A2515),MONTH($A2515),1))</f>
        <v/>
      </c>
      <c r="X2515" s="34">
        <f>IF(OR($A2515="",$H2515&lt;&gt;"Ausgabe",J2515=""),0,IF(J2515="x",-$E2515/(COUNTIF($J2515:$Q2515,"x")+1),-$E2515*N(J2515)))</f>
        <v/>
      </c>
      <c r="Y2515" s="34">
        <f>IF(OR($A2515="",$H2515&lt;&gt;"Ausgabe",K2515=""),0,IF(K2515="x",-$E2515/(COUNTIF($J2515:$Q2515,"x")+1),-$E2515*N(K2515)))</f>
        <v/>
      </c>
      <c r="Z2515" s="34">
        <f>IF(OR($A2515="",$H2515&lt;&gt;"Ausgabe",L2515=""),0,IF(L2515="x",-$E2515/(COUNTIF($J2515:$Q2515,"x")+1),-$E2515*N(L2515)))</f>
        <v/>
      </c>
      <c r="AA2515" s="34">
        <f>IF(OR($A2515="",$H2515&lt;&gt;"Ausgabe",M2515=""),0,IF(M2515="x",-$E2515/(COUNTIF($J2515:$Q2515,"x")+1),-$E2515*N(M2515)))</f>
        <v/>
      </c>
      <c r="AB2515" s="34">
        <f>IF(OR($A2515="",$H2515&lt;&gt;"Ausgabe",N2515=""),0,IF(N2515="x",-$E2515/(COUNTIF($J2515:$Q2515,"x")+1),-$E2515*N(N2515)))</f>
        <v/>
      </c>
      <c r="AC2515" s="34">
        <f>IF(OR($A2515="",$H2515&lt;&gt;"Ausgabe",O2515=""),0,IF(O2515="x",-$E2515/(COUNTIF($J2515:$Q2515,"x")+1),-$E2515*N(O2515)))</f>
        <v/>
      </c>
      <c r="AD2515" s="34">
        <f>IF(OR($A2515="",$H2515&lt;&gt;"Ausgabe",P2515=""),0,IF(P2515="x",-$E2515/(COUNTIF($J2515:$Q2515,"x")+1),-$E2515*N(P2515)))</f>
        <v/>
      </c>
      <c r="AE2515" s="34">
        <f>IF(OR($A2515="",$H2515&lt;&gt;"Ausgabe",Q2515=""),0,IF(Q2515="x",-$E2515/(COUNTIF($J2515:$Q2515,"x")+1),-$E2515*N(Q2515)))</f>
        <v/>
      </c>
    </row>
    <row r="2516">
      <c r="A2516" s="30" t="n"/>
      <c r="E2516" s="31" t="n"/>
      <c r="J2516" s="32" t="n"/>
      <c r="K2516" s="32" t="n"/>
      <c r="L2516" s="32" t="n"/>
      <c r="M2516" s="32" t="n"/>
      <c r="N2516" s="32" t="n"/>
      <c r="O2516" s="32" t="n"/>
      <c r="P2516" s="32" t="n"/>
      <c r="Q2516" s="32" t="n"/>
      <c r="U2516" s="31">
        <f>IF($A2516="","",SUM(X2516:AE2516))</f>
        <v/>
      </c>
      <c r="V2516" s="31">
        <f>IF($A2516="","",IF($H2516&lt;&gt;"Ausgabe",0,-$E2516-$U2516))</f>
        <v/>
      </c>
      <c r="W2516" s="33">
        <f>IF($A2516="","",DATE(YEAR($A2516),MONTH($A2516),1))</f>
        <v/>
      </c>
      <c r="X2516" s="34">
        <f>IF(OR($A2516="",$H2516&lt;&gt;"Ausgabe",J2516=""),0,IF(J2516="x",-$E2516/(COUNTIF($J2516:$Q2516,"x")+1),-$E2516*N(J2516)))</f>
        <v/>
      </c>
      <c r="Y2516" s="34">
        <f>IF(OR($A2516="",$H2516&lt;&gt;"Ausgabe",K2516=""),0,IF(K2516="x",-$E2516/(COUNTIF($J2516:$Q2516,"x")+1),-$E2516*N(K2516)))</f>
        <v/>
      </c>
      <c r="Z2516" s="34">
        <f>IF(OR($A2516="",$H2516&lt;&gt;"Ausgabe",L2516=""),0,IF(L2516="x",-$E2516/(COUNTIF($J2516:$Q2516,"x")+1),-$E2516*N(L2516)))</f>
        <v/>
      </c>
      <c r="AA2516" s="34">
        <f>IF(OR($A2516="",$H2516&lt;&gt;"Ausgabe",M2516=""),0,IF(M2516="x",-$E2516/(COUNTIF($J2516:$Q2516,"x")+1),-$E2516*N(M2516)))</f>
        <v/>
      </c>
      <c r="AB2516" s="34">
        <f>IF(OR($A2516="",$H2516&lt;&gt;"Ausgabe",N2516=""),0,IF(N2516="x",-$E2516/(COUNTIF($J2516:$Q2516,"x")+1),-$E2516*N(N2516)))</f>
        <v/>
      </c>
      <c r="AC2516" s="34">
        <f>IF(OR($A2516="",$H2516&lt;&gt;"Ausgabe",O2516=""),0,IF(O2516="x",-$E2516/(COUNTIF($J2516:$Q2516,"x")+1),-$E2516*N(O2516)))</f>
        <v/>
      </c>
      <c r="AD2516" s="34">
        <f>IF(OR($A2516="",$H2516&lt;&gt;"Ausgabe",P2516=""),0,IF(P2516="x",-$E2516/(COUNTIF($J2516:$Q2516,"x")+1),-$E2516*N(P2516)))</f>
        <v/>
      </c>
      <c r="AE2516" s="34">
        <f>IF(OR($A2516="",$H2516&lt;&gt;"Ausgabe",Q2516=""),0,IF(Q2516="x",-$E2516/(COUNTIF($J2516:$Q2516,"x")+1),-$E2516*N(Q2516)))</f>
        <v/>
      </c>
    </row>
    <row r="2517">
      <c r="A2517" s="30" t="n"/>
      <c r="E2517" s="31" t="n"/>
      <c r="J2517" s="32" t="n"/>
      <c r="K2517" s="32" t="n"/>
      <c r="L2517" s="32" t="n"/>
      <c r="M2517" s="32" t="n"/>
      <c r="N2517" s="32" t="n"/>
      <c r="O2517" s="32" t="n"/>
      <c r="P2517" s="32" t="n"/>
      <c r="Q2517" s="32" t="n"/>
      <c r="U2517" s="31">
        <f>IF($A2517="","",SUM(X2517:AE2517))</f>
        <v/>
      </c>
      <c r="V2517" s="31">
        <f>IF($A2517="","",IF($H2517&lt;&gt;"Ausgabe",0,-$E2517-$U2517))</f>
        <v/>
      </c>
      <c r="W2517" s="33">
        <f>IF($A2517="","",DATE(YEAR($A2517),MONTH($A2517),1))</f>
        <v/>
      </c>
      <c r="X2517" s="34">
        <f>IF(OR($A2517="",$H2517&lt;&gt;"Ausgabe",J2517=""),0,IF(J2517="x",-$E2517/(COUNTIF($J2517:$Q2517,"x")+1),-$E2517*N(J2517)))</f>
        <v/>
      </c>
      <c r="Y2517" s="34">
        <f>IF(OR($A2517="",$H2517&lt;&gt;"Ausgabe",K2517=""),0,IF(K2517="x",-$E2517/(COUNTIF($J2517:$Q2517,"x")+1),-$E2517*N(K2517)))</f>
        <v/>
      </c>
      <c r="Z2517" s="34">
        <f>IF(OR($A2517="",$H2517&lt;&gt;"Ausgabe",L2517=""),0,IF(L2517="x",-$E2517/(COUNTIF($J2517:$Q2517,"x")+1),-$E2517*N(L2517)))</f>
        <v/>
      </c>
      <c r="AA2517" s="34">
        <f>IF(OR($A2517="",$H2517&lt;&gt;"Ausgabe",M2517=""),0,IF(M2517="x",-$E2517/(COUNTIF($J2517:$Q2517,"x")+1),-$E2517*N(M2517)))</f>
        <v/>
      </c>
      <c r="AB2517" s="34">
        <f>IF(OR($A2517="",$H2517&lt;&gt;"Ausgabe",N2517=""),0,IF(N2517="x",-$E2517/(COUNTIF($J2517:$Q2517,"x")+1),-$E2517*N(N2517)))</f>
        <v/>
      </c>
      <c r="AC2517" s="34">
        <f>IF(OR($A2517="",$H2517&lt;&gt;"Ausgabe",O2517=""),0,IF(O2517="x",-$E2517/(COUNTIF($J2517:$Q2517,"x")+1),-$E2517*N(O2517)))</f>
        <v/>
      </c>
      <c r="AD2517" s="34">
        <f>IF(OR($A2517="",$H2517&lt;&gt;"Ausgabe",P2517=""),0,IF(P2517="x",-$E2517/(COUNTIF($J2517:$Q2517,"x")+1),-$E2517*N(P2517)))</f>
        <v/>
      </c>
      <c r="AE2517" s="34">
        <f>IF(OR($A2517="",$H2517&lt;&gt;"Ausgabe",Q2517=""),0,IF(Q2517="x",-$E2517/(COUNTIF($J2517:$Q2517,"x")+1),-$E2517*N(Q2517)))</f>
        <v/>
      </c>
    </row>
    <row r="2518">
      <c r="A2518" s="30" t="n"/>
      <c r="E2518" s="31" t="n"/>
      <c r="J2518" s="32" t="n"/>
      <c r="K2518" s="32" t="n"/>
      <c r="L2518" s="32" t="n"/>
      <c r="M2518" s="32" t="n"/>
      <c r="N2518" s="32" t="n"/>
      <c r="O2518" s="32" t="n"/>
      <c r="P2518" s="32" t="n"/>
      <c r="Q2518" s="32" t="n"/>
      <c r="U2518" s="31">
        <f>IF($A2518="","",SUM(X2518:AE2518))</f>
        <v/>
      </c>
      <c r="V2518" s="31">
        <f>IF($A2518="","",IF($H2518&lt;&gt;"Ausgabe",0,-$E2518-$U2518))</f>
        <v/>
      </c>
      <c r="W2518" s="33">
        <f>IF($A2518="","",DATE(YEAR($A2518),MONTH($A2518),1))</f>
        <v/>
      </c>
      <c r="X2518" s="34">
        <f>IF(OR($A2518="",$H2518&lt;&gt;"Ausgabe",J2518=""),0,IF(J2518="x",-$E2518/(COUNTIF($J2518:$Q2518,"x")+1),-$E2518*N(J2518)))</f>
        <v/>
      </c>
      <c r="Y2518" s="34">
        <f>IF(OR($A2518="",$H2518&lt;&gt;"Ausgabe",K2518=""),0,IF(K2518="x",-$E2518/(COUNTIF($J2518:$Q2518,"x")+1),-$E2518*N(K2518)))</f>
        <v/>
      </c>
      <c r="Z2518" s="34">
        <f>IF(OR($A2518="",$H2518&lt;&gt;"Ausgabe",L2518=""),0,IF(L2518="x",-$E2518/(COUNTIF($J2518:$Q2518,"x")+1),-$E2518*N(L2518)))</f>
        <v/>
      </c>
      <c r="AA2518" s="34">
        <f>IF(OR($A2518="",$H2518&lt;&gt;"Ausgabe",M2518=""),0,IF(M2518="x",-$E2518/(COUNTIF($J2518:$Q2518,"x")+1),-$E2518*N(M2518)))</f>
        <v/>
      </c>
      <c r="AB2518" s="34">
        <f>IF(OR($A2518="",$H2518&lt;&gt;"Ausgabe",N2518=""),0,IF(N2518="x",-$E2518/(COUNTIF($J2518:$Q2518,"x")+1),-$E2518*N(N2518)))</f>
        <v/>
      </c>
      <c r="AC2518" s="34">
        <f>IF(OR($A2518="",$H2518&lt;&gt;"Ausgabe",O2518=""),0,IF(O2518="x",-$E2518/(COUNTIF($J2518:$Q2518,"x")+1),-$E2518*N(O2518)))</f>
        <v/>
      </c>
      <c r="AD2518" s="34">
        <f>IF(OR($A2518="",$H2518&lt;&gt;"Ausgabe",P2518=""),0,IF(P2518="x",-$E2518/(COUNTIF($J2518:$Q2518,"x")+1),-$E2518*N(P2518)))</f>
        <v/>
      </c>
      <c r="AE2518" s="34">
        <f>IF(OR($A2518="",$H2518&lt;&gt;"Ausgabe",Q2518=""),0,IF(Q2518="x",-$E2518/(COUNTIF($J2518:$Q2518,"x")+1),-$E2518*N(Q2518)))</f>
        <v/>
      </c>
    </row>
    <row r="2519">
      <c r="A2519" s="30" t="n"/>
      <c r="E2519" s="31" t="n"/>
      <c r="J2519" s="32" t="n"/>
      <c r="K2519" s="32" t="n"/>
      <c r="L2519" s="32" t="n"/>
      <c r="M2519" s="32" t="n"/>
      <c r="N2519" s="32" t="n"/>
      <c r="O2519" s="32" t="n"/>
      <c r="P2519" s="32" t="n"/>
      <c r="Q2519" s="32" t="n"/>
      <c r="U2519" s="31">
        <f>IF($A2519="","",SUM(X2519:AE2519))</f>
        <v/>
      </c>
      <c r="V2519" s="31">
        <f>IF($A2519="","",IF($H2519&lt;&gt;"Ausgabe",0,-$E2519-$U2519))</f>
        <v/>
      </c>
      <c r="W2519" s="33">
        <f>IF($A2519="","",DATE(YEAR($A2519),MONTH($A2519),1))</f>
        <v/>
      </c>
      <c r="X2519" s="34">
        <f>IF(OR($A2519="",$H2519&lt;&gt;"Ausgabe",J2519=""),0,IF(J2519="x",-$E2519/(COUNTIF($J2519:$Q2519,"x")+1),-$E2519*N(J2519)))</f>
        <v/>
      </c>
      <c r="Y2519" s="34">
        <f>IF(OR($A2519="",$H2519&lt;&gt;"Ausgabe",K2519=""),0,IF(K2519="x",-$E2519/(COUNTIF($J2519:$Q2519,"x")+1),-$E2519*N(K2519)))</f>
        <v/>
      </c>
      <c r="Z2519" s="34">
        <f>IF(OR($A2519="",$H2519&lt;&gt;"Ausgabe",L2519=""),0,IF(L2519="x",-$E2519/(COUNTIF($J2519:$Q2519,"x")+1),-$E2519*N(L2519)))</f>
        <v/>
      </c>
      <c r="AA2519" s="34">
        <f>IF(OR($A2519="",$H2519&lt;&gt;"Ausgabe",M2519=""),0,IF(M2519="x",-$E2519/(COUNTIF($J2519:$Q2519,"x")+1),-$E2519*N(M2519)))</f>
        <v/>
      </c>
      <c r="AB2519" s="34">
        <f>IF(OR($A2519="",$H2519&lt;&gt;"Ausgabe",N2519=""),0,IF(N2519="x",-$E2519/(COUNTIF($J2519:$Q2519,"x")+1),-$E2519*N(N2519)))</f>
        <v/>
      </c>
      <c r="AC2519" s="34">
        <f>IF(OR($A2519="",$H2519&lt;&gt;"Ausgabe",O2519=""),0,IF(O2519="x",-$E2519/(COUNTIF($J2519:$Q2519,"x")+1),-$E2519*N(O2519)))</f>
        <v/>
      </c>
      <c r="AD2519" s="34">
        <f>IF(OR($A2519="",$H2519&lt;&gt;"Ausgabe",P2519=""),0,IF(P2519="x",-$E2519/(COUNTIF($J2519:$Q2519,"x")+1),-$E2519*N(P2519)))</f>
        <v/>
      </c>
      <c r="AE2519" s="34">
        <f>IF(OR($A2519="",$H2519&lt;&gt;"Ausgabe",Q2519=""),0,IF(Q2519="x",-$E2519/(COUNTIF($J2519:$Q2519,"x")+1),-$E2519*N(Q2519)))</f>
        <v/>
      </c>
    </row>
    <row r="2520">
      <c r="A2520" s="30" t="n"/>
      <c r="E2520" s="31" t="n"/>
      <c r="J2520" s="32" t="n"/>
      <c r="K2520" s="32" t="n"/>
      <c r="L2520" s="32" t="n"/>
      <c r="M2520" s="32" t="n"/>
      <c r="N2520" s="32" t="n"/>
      <c r="O2520" s="32" t="n"/>
      <c r="P2520" s="32" t="n"/>
      <c r="Q2520" s="32" t="n"/>
      <c r="U2520" s="31">
        <f>IF($A2520="","",SUM(X2520:AE2520))</f>
        <v/>
      </c>
      <c r="V2520" s="31">
        <f>IF($A2520="","",IF($H2520&lt;&gt;"Ausgabe",0,-$E2520-$U2520))</f>
        <v/>
      </c>
      <c r="W2520" s="33">
        <f>IF($A2520="","",DATE(YEAR($A2520),MONTH($A2520),1))</f>
        <v/>
      </c>
      <c r="X2520" s="34">
        <f>IF(OR($A2520="",$H2520&lt;&gt;"Ausgabe",J2520=""),0,IF(J2520="x",-$E2520/(COUNTIF($J2520:$Q2520,"x")+1),-$E2520*N(J2520)))</f>
        <v/>
      </c>
      <c r="Y2520" s="34">
        <f>IF(OR($A2520="",$H2520&lt;&gt;"Ausgabe",K2520=""),0,IF(K2520="x",-$E2520/(COUNTIF($J2520:$Q2520,"x")+1),-$E2520*N(K2520)))</f>
        <v/>
      </c>
      <c r="Z2520" s="34">
        <f>IF(OR($A2520="",$H2520&lt;&gt;"Ausgabe",L2520=""),0,IF(L2520="x",-$E2520/(COUNTIF($J2520:$Q2520,"x")+1),-$E2520*N(L2520)))</f>
        <v/>
      </c>
      <c r="AA2520" s="34">
        <f>IF(OR($A2520="",$H2520&lt;&gt;"Ausgabe",M2520=""),0,IF(M2520="x",-$E2520/(COUNTIF($J2520:$Q2520,"x")+1),-$E2520*N(M2520)))</f>
        <v/>
      </c>
      <c r="AB2520" s="34">
        <f>IF(OR($A2520="",$H2520&lt;&gt;"Ausgabe",N2520=""),0,IF(N2520="x",-$E2520/(COUNTIF($J2520:$Q2520,"x")+1),-$E2520*N(N2520)))</f>
        <v/>
      </c>
      <c r="AC2520" s="34">
        <f>IF(OR($A2520="",$H2520&lt;&gt;"Ausgabe",O2520=""),0,IF(O2520="x",-$E2520/(COUNTIF($J2520:$Q2520,"x")+1),-$E2520*N(O2520)))</f>
        <v/>
      </c>
      <c r="AD2520" s="34">
        <f>IF(OR($A2520="",$H2520&lt;&gt;"Ausgabe",P2520=""),0,IF(P2520="x",-$E2520/(COUNTIF($J2520:$Q2520,"x")+1),-$E2520*N(P2520)))</f>
        <v/>
      </c>
      <c r="AE2520" s="34">
        <f>IF(OR($A2520="",$H2520&lt;&gt;"Ausgabe",Q2520=""),0,IF(Q2520="x",-$E2520/(COUNTIF($J2520:$Q2520,"x")+1),-$E2520*N(Q2520)))</f>
        <v/>
      </c>
    </row>
    <row r="2521">
      <c r="A2521" s="30" t="n"/>
      <c r="E2521" s="31" t="n"/>
      <c r="J2521" s="32" t="n"/>
      <c r="K2521" s="32" t="n"/>
      <c r="L2521" s="32" t="n"/>
      <c r="M2521" s="32" t="n"/>
      <c r="N2521" s="32" t="n"/>
      <c r="O2521" s="32" t="n"/>
      <c r="P2521" s="32" t="n"/>
      <c r="Q2521" s="32" t="n"/>
      <c r="U2521" s="31">
        <f>IF($A2521="","",SUM(X2521:AE2521))</f>
        <v/>
      </c>
      <c r="V2521" s="31">
        <f>IF($A2521="","",IF($H2521&lt;&gt;"Ausgabe",0,-$E2521-$U2521))</f>
        <v/>
      </c>
      <c r="W2521" s="33">
        <f>IF($A2521="","",DATE(YEAR($A2521),MONTH($A2521),1))</f>
        <v/>
      </c>
      <c r="X2521" s="34">
        <f>IF(OR($A2521="",$H2521&lt;&gt;"Ausgabe",J2521=""),0,IF(J2521="x",-$E2521/(COUNTIF($J2521:$Q2521,"x")+1),-$E2521*N(J2521)))</f>
        <v/>
      </c>
      <c r="Y2521" s="34">
        <f>IF(OR($A2521="",$H2521&lt;&gt;"Ausgabe",K2521=""),0,IF(K2521="x",-$E2521/(COUNTIF($J2521:$Q2521,"x")+1),-$E2521*N(K2521)))</f>
        <v/>
      </c>
      <c r="Z2521" s="34">
        <f>IF(OR($A2521="",$H2521&lt;&gt;"Ausgabe",L2521=""),0,IF(L2521="x",-$E2521/(COUNTIF($J2521:$Q2521,"x")+1),-$E2521*N(L2521)))</f>
        <v/>
      </c>
      <c r="AA2521" s="34">
        <f>IF(OR($A2521="",$H2521&lt;&gt;"Ausgabe",M2521=""),0,IF(M2521="x",-$E2521/(COUNTIF($J2521:$Q2521,"x")+1),-$E2521*N(M2521)))</f>
        <v/>
      </c>
      <c r="AB2521" s="34">
        <f>IF(OR($A2521="",$H2521&lt;&gt;"Ausgabe",N2521=""),0,IF(N2521="x",-$E2521/(COUNTIF($J2521:$Q2521,"x")+1),-$E2521*N(N2521)))</f>
        <v/>
      </c>
      <c r="AC2521" s="34">
        <f>IF(OR($A2521="",$H2521&lt;&gt;"Ausgabe",O2521=""),0,IF(O2521="x",-$E2521/(COUNTIF($J2521:$Q2521,"x")+1),-$E2521*N(O2521)))</f>
        <v/>
      </c>
      <c r="AD2521" s="34">
        <f>IF(OR($A2521="",$H2521&lt;&gt;"Ausgabe",P2521=""),0,IF(P2521="x",-$E2521/(COUNTIF($J2521:$Q2521,"x")+1),-$E2521*N(P2521)))</f>
        <v/>
      </c>
      <c r="AE2521" s="34">
        <f>IF(OR($A2521="",$H2521&lt;&gt;"Ausgabe",Q2521=""),0,IF(Q2521="x",-$E2521/(COUNTIF($J2521:$Q2521,"x")+1),-$E2521*N(Q2521)))</f>
        <v/>
      </c>
    </row>
    <row r="2522">
      <c r="A2522" s="30" t="n"/>
      <c r="E2522" s="31" t="n"/>
      <c r="J2522" s="32" t="n"/>
      <c r="K2522" s="32" t="n"/>
      <c r="L2522" s="32" t="n"/>
      <c r="M2522" s="32" t="n"/>
      <c r="N2522" s="32" t="n"/>
      <c r="O2522" s="32" t="n"/>
      <c r="P2522" s="32" t="n"/>
      <c r="Q2522" s="32" t="n"/>
      <c r="U2522" s="31">
        <f>IF($A2522="","",SUM(X2522:AE2522))</f>
        <v/>
      </c>
      <c r="V2522" s="31">
        <f>IF($A2522="","",IF($H2522&lt;&gt;"Ausgabe",0,-$E2522-$U2522))</f>
        <v/>
      </c>
      <c r="W2522" s="33">
        <f>IF($A2522="","",DATE(YEAR($A2522),MONTH($A2522),1))</f>
        <v/>
      </c>
      <c r="X2522" s="34">
        <f>IF(OR($A2522="",$H2522&lt;&gt;"Ausgabe",J2522=""),0,IF(J2522="x",-$E2522/(COUNTIF($J2522:$Q2522,"x")+1),-$E2522*N(J2522)))</f>
        <v/>
      </c>
      <c r="Y2522" s="34">
        <f>IF(OR($A2522="",$H2522&lt;&gt;"Ausgabe",K2522=""),0,IF(K2522="x",-$E2522/(COUNTIF($J2522:$Q2522,"x")+1),-$E2522*N(K2522)))</f>
        <v/>
      </c>
      <c r="Z2522" s="34">
        <f>IF(OR($A2522="",$H2522&lt;&gt;"Ausgabe",L2522=""),0,IF(L2522="x",-$E2522/(COUNTIF($J2522:$Q2522,"x")+1),-$E2522*N(L2522)))</f>
        <v/>
      </c>
      <c r="AA2522" s="34">
        <f>IF(OR($A2522="",$H2522&lt;&gt;"Ausgabe",M2522=""),0,IF(M2522="x",-$E2522/(COUNTIF($J2522:$Q2522,"x")+1),-$E2522*N(M2522)))</f>
        <v/>
      </c>
      <c r="AB2522" s="34">
        <f>IF(OR($A2522="",$H2522&lt;&gt;"Ausgabe",N2522=""),0,IF(N2522="x",-$E2522/(COUNTIF($J2522:$Q2522,"x")+1),-$E2522*N(N2522)))</f>
        <v/>
      </c>
      <c r="AC2522" s="34">
        <f>IF(OR($A2522="",$H2522&lt;&gt;"Ausgabe",O2522=""),0,IF(O2522="x",-$E2522/(COUNTIF($J2522:$Q2522,"x")+1),-$E2522*N(O2522)))</f>
        <v/>
      </c>
      <c r="AD2522" s="34">
        <f>IF(OR($A2522="",$H2522&lt;&gt;"Ausgabe",P2522=""),0,IF(P2522="x",-$E2522/(COUNTIF($J2522:$Q2522,"x")+1),-$E2522*N(P2522)))</f>
        <v/>
      </c>
      <c r="AE2522" s="34">
        <f>IF(OR($A2522="",$H2522&lt;&gt;"Ausgabe",Q2522=""),0,IF(Q2522="x",-$E2522/(COUNTIF($J2522:$Q2522,"x")+1),-$E2522*N(Q2522)))</f>
        <v/>
      </c>
    </row>
    <row r="2523">
      <c r="A2523" s="30" t="n"/>
      <c r="E2523" s="31" t="n"/>
      <c r="J2523" s="32" t="n"/>
      <c r="K2523" s="32" t="n"/>
      <c r="L2523" s="32" t="n"/>
      <c r="M2523" s="32" t="n"/>
      <c r="N2523" s="32" t="n"/>
      <c r="O2523" s="32" t="n"/>
      <c r="P2523" s="32" t="n"/>
      <c r="Q2523" s="32" t="n"/>
      <c r="U2523" s="31">
        <f>IF($A2523="","",SUM(X2523:AE2523))</f>
        <v/>
      </c>
      <c r="V2523" s="31">
        <f>IF($A2523="","",IF($H2523&lt;&gt;"Ausgabe",0,-$E2523-$U2523))</f>
        <v/>
      </c>
      <c r="W2523" s="33">
        <f>IF($A2523="","",DATE(YEAR($A2523),MONTH($A2523),1))</f>
        <v/>
      </c>
      <c r="X2523" s="34">
        <f>IF(OR($A2523="",$H2523&lt;&gt;"Ausgabe",J2523=""),0,IF(J2523="x",-$E2523/(COUNTIF($J2523:$Q2523,"x")+1),-$E2523*N(J2523)))</f>
        <v/>
      </c>
      <c r="Y2523" s="34">
        <f>IF(OR($A2523="",$H2523&lt;&gt;"Ausgabe",K2523=""),0,IF(K2523="x",-$E2523/(COUNTIF($J2523:$Q2523,"x")+1),-$E2523*N(K2523)))</f>
        <v/>
      </c>
      <c r="Z2523" s="34">
        <f>IF(OR($A2523="",$H2523&lt;&gt;"Ausgabe",L2523=""),0,IF(L2523="x",-$E2523/(COUNTIF($J2523:$Q2523,"x")+1),-$E2523*N(L2523)))</f>
        <v/>
      </c>
      <c r="AA2523" s="34">
        <f>IF(OR($A2523="",$H2523&lt;&gt;"Ausgabe",M2523=""),0,IF(M2523="x",-$E2523/(COUNTIF($J2523:$Q2523,"x")+1),-$E2523*N(M2523)))</f>
        <v/>
      </c>
      <c r="AB2523" s="34">
        <f>IF(OR($A2523="",$H2523&lt;&gt;"Ausgabe",N2523=""),0,IF(N2523="x",-$E2523/(COUNTIF($J2523:$Q2523,"x")+1),-$E2523*N(N2523)))</f>
        <v/>
      </c>
      <c r="AC2523" s="34">
        <f>IF(OR($A2523="",$H2523&lt;&gt;"Ausgabe",O2523=""),0,IF(O2523="x",-$E2523/(COUNTIF($J2523:$Q2523,"x")+1),-$E2523*N(O2523)))</f>
        <v/>
      </c>
      <c r="AD2523" s="34">
        <f>IF(OR($A2523="",$H2523&lt;&gt;"Ausgabe",P2523=""),0,IF(P2523="x",-$E2523/(COUNTIF($J2523:$Q2523,"x")+1),-$E2523*N(P2523)))</f>
        <v/>
      </c>
      <c r="AE2523" s="34">
        <f>IF(OR($A2523="",$H2523&lt;&gt;"Ausgabe",Q2523=""),0,IF(Q2523="x",-$E2523/(COUNTIF($J2523:$Q2523,"x")+1),-$E2523*N(Q2523)))</f>
        <v/>
      </c>
    </row>
    <row r="2524">
      <c r="A2524" s="30" t="n"/>
      <c r="E2524" s="31" t="n"/>
      <c r="J2524" s="32" t="n"/>
      <c r="K2524" s="32" t="n"/>
      <c r="L2524" s="32" t="n"/>
      <c r="M2524" s="32" t="n"/>
      <c r="N2524" s="32" t="n"/>
      <c r="O2524" s="32" t="n"/>
      <c r="P2524" s="32" t="n"/>
      <c r="Q2524" s="32" t="n"/>
      <c r="U2524" s="31">
        <f>IF($A2524="","",SUM(X2524:AE2524))</f>
        <v/>
      </c>
      <c r="V2524" s="31">
        <f>IF($A2524="","",IF($H2524&lt;&gt;"Ausgabe",0,-$E2524-$U2524))</f>
        <v/>
      </c>
      <c r="W2524" s="33">
        <f>IF($A2524="","",DATE(YEAR($A2524),MONTH($A2524),1))</f>
        <v/>
      </c>
      <c r="X2524" s="34">
        <f>IF(OR($A2524="",$H2524&lt;&gt;"Ausgabe",J2524=""),0,IF(J2524="x",-$E2524/(COUNTIF($J2524:$Q2524,"x")+1),-$E2524*N(J2524)))</f>
        <v/>
      </c>
      <c r="Y2524" s="34">
        <f>IF(OR($A2524="",$H2524&lt;&gt;"Ausgabe",K2524=""),0,IF(K2524="x",-$E2524/(COUNTIF($J2524:$Q2524,"x")+1),-$E2524*N(K2524)))</f>
        <v/>
      </c>
      <c r="Z2524" s="34">
        <f>IF(OR($A2524="",$H2524&lt;&gt;"Ausgabe",L2524=""),0,IF(L2524="x",-$E2524/(COUNTIF($J2524:$Q2524,"x")+1),-$E2524*N(L2524)))</f>
        <v/>
      </c>
      <c r="AA2524" s="34">
        <f>IF(OR($A2524="",$H2524&lt;&gt;"Ausgabe",M2524=""),0,IF(M2524="x",-$E2524/(COUNTIF($J2524:$Q2524,"x")+1),-$E2524*N(M2524)))</f>
        <v/>
      </c>
      <c r="AB2524" s="34">
        <f>IF(OR($A2524="",$H2524&lt;&gt;"Ausgabe",N2524=""),0,IF(N2524="x",-$E2524/(COUNTIF($J2524:$Q2524,"x")+1),-$E2524*N(N2524)))</f>
        <v/>
      </c>
      <c r="AC2524" s="34">
        <f>IF(OR($A2524="",$H2524&lt;&gt;"Ausgabe",O2524=""),0,IF(O2524="x",-$E2524/(COUNTIF($J2524:$Q2524,"x")+1),-$E2524*N(O2524)))</f>
        <v/>
      </c>
      <c r="AD2524" s="34">
        <f>IF(OR($A2524="",$H2524&lt;&gt;"Ausgabe",P2524=""),0,IF(P2524="x",-$E2524/(COUNTIF($J2524:$Q2524,"x")+1),-$E2524*N(P2524)))</f>
        <v/>
      </c>
      <c r="AE2524" s="34">
        <f>IF(OR($A2524="",$H2524&lt;&gt;"Ausgabe",Q2524=""),0,IF(Q2524="x",-$E2524/(COUNTIF($J2524:$Q2524,"x")+1),-$E2524*N(Q2524)))</f>
        <v/>
      </c>
    </row>
    <row r="2525">
      <c r="A2525" s="30" t="n"/>
      <c r="E2525" s="31" t="n"/>
      <c r="J2525" s="32" t="n"/>
      <c r="K2525" s="32" t="n"/>
      <c r="L2525" s="32" t="n"/>
      <c r="M2525" s="32" t="n"/>
      <c r="N2525" s="32" t="n"/>
      <c r="O2525" s="32" t="n"/>
      <c r="P2525" s="32" t="n"/>
      <c r="Q2525" s="32" t="n"/>
      <c r="U2525" s="31">
        <f>IF($A2525="","",SUM(X2525:AE2525))</f>
        <v/>
      </c>
      <c r="V2525" s="31">
        <f>IF($A2525="","",IF($H2525&lt;&gt;"Ausgabe",0,-$E2525-$U2525))</f>
        <v/>
      </c>
      <c r="W2525" s="33">
        <f>IF($A2525="","",DATE(YEAR($A2525),MONTH($A2525),1))</f>
        <v/>
      </c>
      <c r="X2525" s="34">
        <f>IF(OR($A2525="",$H2525&lt;&gt;"Ausgabe",J2525=""),0,IF(J2525="x",-$E2525/(COUNTIF($J2525:$Q2525,"x")+1),-$E2525*N(J2525)))</f>
        <v/>
      </c>
      <c r="Y2525" s="34">
        <f>IF(OR($A2525="",$H2525&lt;&gt;"Ausgabe",K2525=""),0,IF(K2525="x",-$E2525/(COUNTIF($J2525:$Q2525,"x")+1),-$E2525*N(K2525)))</f>
        <v/>
      </c>
      <c r="Z2525" s="34">
        <f>IF(OR($A2525="",$H2525&lt;&gt;"Ausgabe",L2525=""),0,IF(L2525="x",-$E2525/(COUNTIF($J2525:$Q2525,"x")+1),-$E2525*N(L2525)))</f>
        <v/>
      </c>
      <c r="AA2525" s="34">
        <f>IF(OR($A2525="",$H2525&lt;&gt;"Ausgabe",M2525=""),0,IF(M2525="x",-$E2525/(COUNTIF($J2525:$Q2525,"x")+1),-$E2525*N(M2525)))</f>
        <v/>
      </c>
      <c r="AB2525" s="34">
        <f>IF(OR($A2525="",$H2525&lt;&gt;"Ausgabe",N2525=""),0,IF(N2525="x",-$E2525/(COUNTIF($J2525:$Q2525,"x")+1),-$E2525*N(N2525)))</f>
        <v/>
      </c>
      <c r="AC2525" s="34">
        <f>IF(OR($A2525="",$H2525&lt;&gt;"Ausgabe",O2525=""),0,IF(O2525="x",-$E2525/(COUNTIF($J2525:$Q2525,"x")+1),-$E2525*N(O2525)))</f>
        <v/>
      </c>
      <c r="AD2525" s="34">
        <f>IF(OR($A2525="",$H2525&lt;&gt;"Ausgabe",P2525=""),0,IF(P2525="x",-$E2525/(COUNTIF($J2525:$Q2525,"x")+1),-$E2525*N(P2525)))</f>
        <v/>
      </c>
      <c r="AE2525" s="34">
        <f>IF(OR($A2525="",$H2525&lt;&gt;"Ausgabe",Q2525=""),0,IF(Q2525="x",-$E2525/(COUNTIF($J2525:$Q2525,"x")+1),-$E2525*N(Q2525)))</f>
        <v/>
      </c>
    </row>
    <row r="2526">
      <c r="A2526" s="30" t="n"/>
      <c r="E2526" s="31" t="n"/>
      <c r="J2526" s="32" t="n"/>
      <c r="K2526" s="32" t="n"/>
      <c r="L2526" s="32" t="n"/>
      <c r="M2526" s="32" t="n"/>
      <c r="N2526" s="32" t="n"/>
      <c r="O2526" s="32" t="n"/>
      <c r="P2526" s="32" t="n"/>
      <c r="Q2526" s="32" t="n"/>
      <c r="U2526" s="31">
        <f>IF($A2526="","",SUM(X2526:AE2526))</f>
        <v/>
      </c>
      <c r="V2526" s="31">
        <f>IF($A2526="","",IF($H2526&lt;&gt;"Ausgabe",0,-$E2526-$U2526))</f>
        <v/>
      </c>
      <c r="W2526" s="33">
        <f>IF($A2526="","",DATE(YEAR($A2526),MONTH($A2526),1))</f>
        <v/>
      </c>
      <c r="X2526" s="34">
        <f>IF(OR($A2526="",$H2526&lt;&gt;"Ausgabe",J2526=""),0,IF(J2526="x",-$E2526/(COUNTIF($J2526:$Q2526,"x")+1),-$E2526*N(J2526)))</f>
        <v/>
      </c>
      <c r="Y2526" s="34">
        <f>IF(OR($A2526="",$H2526&lt;&gt;"Ausgabe",K2526=""),0,IF(K2526="x",-$E2526/(COUNTIF($J2526:$Q2526,"x")+1),-$E2526*N(K2526)))</f>
        <v/>
      </c>
      <c r="Z2526" s="34">
        <f>IF(OR($A2526="",$H2526&lt;&gt;"Ausgabe",L2526=""),0,IF(L2526="x",-$E2526/(COUNTIF($J2526:$Q2526,"x")+1),-$E2526*N(L2526)))</f>
        <v/>
      </c>
      <c r="AA2526" s="34">
        <f>IF(OR($A2526="",$H2526&lt;&gt;"Ausgabe",M2526=""),0,IF(M2526="x",-$E2526/(COUNTIF($J2526:$Q2526,"x")+1),-$E2526*N(M2526)))</f>
        <v/>
      </c>
      <c r="AB2526" s="34">
        <f>IF(OR($A2526="",$H2526&lt;&gt;"Ausgabe",N2526=""),0,IF(N2526="x",-$E2526/(COUNTIF($J2526:$Q2526,"x")+1),-$E2526*N(N2526)))</f>
        <v/>
      </c>
      <c r="AC2526" s="34">
        <f>IF(OR($A2526="",$H2526&lt;&gt;"Ausgabe",O2526=""),0,IF(O2526="x",-$E2526/(COUNTIF($J2526:$Q2526,"x")+1),-$E2526*N(O2526)))</f>
        <v/>
      </c>
      <c r="AD2526" s="34">
        <f>IF(OR($A2526="",$H2526&lt;&gt;"Ausgabe",P2526=""),0,IF(P2526="x",-$E2526/(COUNTIF($J2526:$Q2526,"x")+1),-$E2526*N(P2526)))</f>
        <v/>
      </c>
      <c r="AE2526" s="34">
        <f>IF(OR($A2526="",$H2526&lt;&gt;"Ausgabe",Q2526=""),0,IF(Q2526="x",-$E2526/(COUNTIF($J2526:$Q2526,"x")+1),-$E2526*N(Q2526)))</f>
        <v/>
      </c>
    </row>
    <row r="2527">
      <c r="A2527" s="30" t="n"/>
      <c r="E2527" s="31" t="n"/>
      <c r="J2527" s="32" t="n"/>
      <c r="K2527" s="32" t="n"/>
      <c r="L2527" s="32" t="n"/>
      <c r="M2527" s="32" t="n"/>
      <c r="N2527" s="32" t="n"/>
      <c r="O2527" s="32" t="n"/>
      <c r="P2527" s="32" t="n"/>
      <c r="Q2527" s="32" t="n"/>
      <c r="U2527" s="31">
        <f>IF($A2527="","",SUM(X2527:AE2527))</f>
        <v/>
      </c>
      <c r="V2527" s="31">
        <f>IF($A2527="","",IF($H2527&lt;&gt;"Ausgabe",0,-$E2527-$U2527))</f>
        <v/>
      </c>
      <c r="W2527" s="33">
        <f>IF($A2527="","",DATE(YEAR($A2527),MONTH($A2527),1))</f>
        <v/>
      </c>
      <c r="X2527" s="34">
        <f>IF(OR($A2527="",$H2527&lt;&gt;"Ausgabe",J2527=""),0,IF(J2527="x",-$E2527/(COUNTIF($J2527:$Q2527,"x")+1),-$E2527*N(J2527)))</f>
        <v/>
      </c>
      <c r="Y2527" s="34">
        <f>IF(OR($A2527="",$H2527&lt;&gt;"Ausgabe",K2527=""),0,IF(K2527="x",-$E2527/(COUNTIF($J2527:$Q2527,"x")+1),-$E2527*N(K2527)))</f>
        <v/>
      </c>
      <c r="Z2527" s="34">
        <f>IF(OR($A2527="",$H2527&lt;&gt;"Ausgabe",L2527=""),0,IF(L2527="x",-$E2527/(COUNTIF($J2527:$Q2527,"x")+1),-$E2527*N(L2527)))</f>
        <v/>
      </c>
      <c r="AA2527" s="34">
        <f>IF(OR($A2527="",$H2527&lt;&gt;"Ausgabe",M2527=""),0,IF(M2527="x",-$E2527/(COUNTIF($J2527:$Q2527,"x")+1),-$E2527*N(M2527)))</f>
        <v/>
      </c>
      <c r="AB2527" s="34">
        <f>IF(OR($A2527="",$H2527&lt;&gt;"Ausgabe",N2527=""),0,IF(N2527="x",-$E2527/(COUNTIF($J2527:$Q2527,"x")+1),-$E2527*N(N2527)))</f>
        <v/>
      </c>
      <c r="AC2527" s="34">
        <f>IF(OR($A2527="",$H2527&lt;&gt;"Ausgabe",O2527=""),0,IF(O2527="x",-$E2527/(COUNTIF($J2527:$Q2527,"x")+1),-$E2527*N(O2527)))</f>
        <v/>
      </c>
      <c r="AD2527" s="34">
        <f>IF(OR($A2527="",$H2527&lt;&gt;"Ausgabe",P2527=""),0,IF(P2527="x",-$E2527/(COUNTIF($J2527:$Q2527,"x")+1),-$E2527*N(P2527)))</f>
        <v/>
      </c>
      <c r="AE2527" s="34">
        <f>IF(OR($A2527="",$H2527&lt;&gt;"Ausgabe",Q2527=""),0,IF(Q2527="x",-$E2527/(COUNTIF($J2527:$Q2527,"x")+1),-$E2527*N(Q2527)))</f>
        <v/>
      </c>
    </row>
    <row r="2528">
      <c r="A2528" s="30" t="n"/>
      <c r="E2528" s="31" t="n"/>
      <c r="J2528" s="32" t="n"/>
      <c r="K2528" s="32" t="n"/>
      <c r="L2528" s="32" t="n"/>
      <c r="M2528" s="32" t="n"/>
      <c r="N2528" s="32" t="n"/>
      <c r="O2528" s="32" t="n"/>
      <c r="P2528" s="32" t="n"/>
      <c r="Q2528" s="32" t="n"/>
      <c r="U2528" s="31">
        <f>IF($A2528="","",SUM(X2528:AE2528))</f>
        <v/>
      </c>
      <c r="V2528" s="31">
        <f>IF($A2528="","",IF($H2528&lt;&gt;"Ausgabe",0,-$E2528-$U2528))</f>
        <v/>
      </c>
      <c r="W2528" s="33">
        <f>IF($A2528="","",DATE(YEAR($A2528),MONTH($A2528),1))</f>
        <v/>
      </c>
      <c r="X2528" s="34">
        <f>IF(OR($A2528="",$H2528&lt;&gt;"Ausgabe",J2528=""),0,IF(J2528="x",-$E2528/(COUNTIF($J2528:$Q2528,"x")+1),-$E2528*N(J2528)))</f>
        <v/>
      </c>
      <c r="Y2528" s="34">
        <f>IF(OR($A2528="",$H2528&lt;&gt;"Ausgabe",K2528=""),0,IF(K2528="x",-$E2528/(COUNTIF($J2528:$Q2528,"x")+1),-$E2528*N(K2528)))</f>
        <v/>
      </c>
      <c r="Z2528" s="34">
        <f>IF(OR($A2528="",$H2528&lt;&gt;"Ausgabe",L2528=""),0,IF(L2528="x",-$E2528/(COUNTIF($J2528:$Q2528,"x")+1),-$E2528*N(L2528)))</f>
        <v/>
      </c>
      <c r="AA2528" s="34">
        <f>IF(OR($A2528="",$H2528&lt;&gt;"Ausgabe",M2528=""),0,IF(M2528="x",-$E2528/(COUNTIF($J2528:$Q2528,"x")+1),-$E2528*N(M2528)))</f>
        <v/>
      </c>
      <c r="AB2528" s="34">
        <f>IF(OR($A2528="",$H2528&lt;&gt;"Ausgabe",N2528=""),0,IF(N2528="x",-$E2528/(COUNTIF($J2528:$Q2528,"x")+1),-$E2528*N(N2528)))</f>
        <v/>
      </c>
      <c r="AC2528" s="34">
        <f>IF(OR($A2528="",$H2528&lt;&gt;"Ausgabe",O2528=""),0,IF(O2528="x",-$E2528/(COUNTIF($J2528:$Q2528,"x")+1),-$E2528*N(O2528)))</f>
        <v/>
      </c>
      <c r="AD2528" s="34">
        <f>IF(OR($A2528="",$H2528&lt;&gt;"Ausgabe",P2528=""),0,IF(P2528="x",-$E2528/(COUNTIF($J2528:$Q2528,"x")+1),-$E2528*N(P2528)))</f>
        <v/>
      </c>
      <c r="AE2528" s="34">
        <f>IF(OR($A2528="",$H2528&lt;&gt;"Ausgabe",Q2528=""),0,IF(Q2528="x",-$E2528/(COUNTIF($J2528:$Q2528,"x")+1),-$E2528*N(Q2528)))</f>
        <v/>
      </c>
    </row>
    <row r="2529">
      <c r="A2529" s="30" t="n"/>
      <c r="E2529" s="31" t="n"/>
      <c r="J2529" s="32" t="n"/>
      <c r="K2529" s="32" t="n"/>
      <c r="L2529" s="32" t="n"/>
      <c r="M2529" s="32" t="n"/>
      <c r="N2529" s="32" t="n"/>
      <c r="O2529" s="32" t="n"/>
      <c r="P2529" s="32" t="n"/>
      <c r="Q2529" s="32" t="n"/>
      <c r="U2529" s="31">
        <f>IF($A2529="","",SUM(X2529:AE2529))</f>
        <v/>
      </c>
      <c r="V2529" s="31">
        <f>IF($A2529="","",IF($H2529&lt;&gt;"Ausgabe",0,-$E2529-$U2529))</f>
        <v/>
      </c>
      <c r="W2529" s="33">
        <f>IF($A2529="","",DATE(YEAR($A2529),MONTH($A2529),1))</f>
        <v/>
      </c>
      <c r="X2529" s="34">
        <f>IF(OR($A2529="",$H2529&lt;&gt;"Ausgabe",J2529=""),0,IF(J2529="x",-$E2529/(COUNTIF($J2529:$Q2529,"x")+1),-$E2529*N(J2529)))</f>
        <v/>
      </c>
      <c r="Y2529" s="34">
        <f>IF(OR($A2529="",$H2529&lt;&gt;"Ausgabe",K2529=""),0,IF(K2529="x",-$E2529/(COUNTIF($J2529:$Q2529,"x")+1),-$E2529*N(K2529)))</f>
        <v/>
      </c>
      <c r="Z2529" s="34">
        <f>IF(OR($A2529="",$H2529&lt;&gt;"Ausgabe",L2529=""),0,IF(L2529="x",-$E2529/(COUNTIF($J2529:$Q2529,"x")+1),-$E2529*N(L2529)))</f>
        <v/>
      </c>
      <c r="AA2529" s="34">
        <f>IF(OR($A2529="",$H2529&lt;&gt;"Ausgabe",M2529=""),0,IF(M2529="x",-$E2529/(COUNTIF($J2529:$Q2529,"x")+1),-$E2529*N(M2529)))</f>
        <v/>
      </c>
      <c r="AB2529" s="34">
        <f>IF(OR($A2529="",$H2529&lt;&gt;"Ausgabe",N2529=""),0,IF(N2529="x",-$E2529/(COUNTIF($J2529:$Q2529,"x")+1),-$E2529*N(N2529)))</f>
        <v/>
      </c>
      <c r="AC2529" s="34">
        <f>IF(OR($A2529="",$H2529&lt;&gt;"Ausgabe",O2529=""),0,IF(O2529="x",-$E2529/(COUNTIF($J2529:$Q2529,"x")+1),-$E2529*N(O2529)))</f>
        <v/>
      </c>
      <c r="AD2529" s="34">
        <f>IF(OR($A2529="",$H2529&lt;&gt;"Ausgabe",P2529=""),0,IF(P2529="x",-$E2529/(COUNTIF($J2529:$Q2529,"x")+1),-$E2529*N(P2529)))</f>
        <v/>
      </c>
      <c r="AE2529" s="34">
        <f>IF(OR($A2529="",$H2529&lt;&gt;"Ausgabe",Q2529=""),0,IF(Q2529="x",-$E2529/(COUNTIF($J2529:$Q2529,"x")+1),-$E2529*N(Q2529)))</f>
        <v/>
      </c>
    </row>
    <row r="2530">
      <c r="A2530" s="30" t="n"/>
      <c r="E2530" s="31" t="n"/>
      <c r="J2530" s="32" t="n"/>
      <c r="K2530" s="32" t="n"/>
      <c r="L2530" s="32" t="n"/>
      <c r="M2530" s="32" t="n"/>
      <c r="N2530" s="32" t="n"/>
      <c r="O2530" s="32" t="n"/>
      <c r="P2530" s="32" t="n"/>
      <c r="Q2530" s="32" t="n"/>
      <c r="U2530" s="31">
        <f>IF($A2530="","",SUM(X2530:AE2530))</f>
        <v/>
      </c>
      <c r="V2530" s="31">
        <f>IF($A2530="","",IF($H2530&lt;&gt;"Ausgabe",0,-$E2530-$U2530))</f>
        <v/>
      </c>
      <c r="W2530" s="33">
        <f>IF($A2530="","",DATE(YEAR($A2530),MONTH($A2530),1))</f>
        <v/>
      </c>
      <c r="X2530" s="34">
        <f>IF(OR($A2530="",$H2530&lt;&gt;"Ausgabe",J2530=""),0,IF(J2530="x",-$E2530/(COUNTIF($J2530:$Q2530,"x")+1),-$E2530*N(J2530)))</f>
        <v/>
      </c>
      <c r="Y2530" s="34">
        <f>IF(OR($A2530="",$H2530&lt;&gt;"Ausgabe",K2530=""),0,IF(K2530="x",-$E2530/(COUNTIF($J2530:$Q2530,"x")+1),-$E2530*N(K2530)))</f>
        <v/>
      </c>
      <c r="Z2530" s="34">
        <f>IF(OR($A2530="",$H2530&lt;&gt;"Ausgabe",L2530=""),0,IF(L2530="x",-$E2530/(COUNTIF($J2530:$Q2530,"x")+1),-$E2530*N(L2530)))</f>
        <v/>
      </c>
      <c r="AA2530" s="34">
        <f>IF(OR($A2530="",$H2530&lt;&gt;"Ausgabe",M2530=""),0,IF(M2530="x",-$E2530/(COUNTIF($J2530:$Q2530,"x")+1),-$E2530*N(M2530)))</f>
        <v/>
      </c>
      <c r="AB2530" s="34">
        <f>IF(OR($A2530="",$H2530&lt;&gt;"Ausgabe",N2530=""),0,IF(N2530="x",-$E2530/(COUNTIF($J2530:$Q2530,"x")+1),-$E2530*N(N2530)))</f>
        <v/>
      </c>
      <c r="AC2530" s="34">
        <f>IF(OR($A2530="",$H2530&lt;&gt;"Ausgabe",O2530=""),0,IF(O2530="x",-$E2530/(COUNTIF($J2530:$Q2530,"x")+1),-$E2530*N(O2530)))</f>
        <v/>
      </c>
      <c r="AD2530" s="34">
        <f>IF(OR($A2530="",$H2530&lt;&gt;"Ausgabe",P2530=""),0,IF(P2530="x",-$E2530/(COUNTIF($J2530:$Q2530,"x")+1),-$E2530*N(P2530)))</f>
        <v/>
      </c>
      <c r="AE2530" s="34">
        <f>IF(OR($A2530="",$H2530&lt;&gt;"Ausgabe",Q2530=""),0,IF(Q2530="x",-$E2530/(COUNTIF($J2530:$Q2530,"x")+1),-$E2530*N(Q2530)))</f>
        <v/>
      </c>
    </row>
    <row r="2531">
      <c r="A2531" s="30" t="n"/>
      <c r="E2531" s="31" t="n"/>
      <c r="J2531" s="32" t="n"/>
      <c r="K2531" s="32" t="n"/>
      <c r="L2531" s="32" t="n"/>
      <c r="M2531" s="32" t="n"/>
      <c r="N2531" s="32" t="n"/>
      <c r="O2531" s="32" t="n"/>
      <c r="P2531" s="32" t="n"/>
      <c r="Q2531" s="32" t="n"/>
      <c r="U2531" s="31">
        <f>IF($A2531="","",SUM(X2531:AE2531))</f>
        <v/>
      </c>
      <c r="V2531" s="31">
        <f>IF($A2531="","",IF($H2531&lt;&gt;"Ausgabe",0,-$E2531-$U2531))</f>
        <v/>
      </c>
      <c r="W2531" s="33">
        <f>IF($A2531="","",DATE(YEAR($A2531),MONTH($A2531),1))</f>
        <v/>
      </c>
      <c r="X2531" s="34">
        <f>IF(OR($A2531="",$H2531&lt;&gt;"Ausgabe",J2531=""),0,IF(J2531="x",-$E2531/(COUNTIF($J2531:$Q2531,"x")+1),-$E2531*N(J2531)))</f>
        <v/>
      </c>
      <c r="Y2531" s="34">
        <f>IF(OR($A2531="",$H2531&lt;&gt;"Ausgabe",K2531=""),0,IF(K2531="x",-$E2531/(COUNTIF($J2531:$Q2531,"x")+1),-$E2531*N(K2531)))</f>
        <v/>
      </c>
      <c r="Z2531" s="34">
        <f>IF(OR($A2531="",$H2531&lt;&gt;"Ausgabe",L2531=""),0,IF(L2531="x",-$E2531/(COUNTIF($J2531:$Q2531,"x")+1),-$E2531*N(L2531)))</f>
        <v/>
      </c>
      <c r="AA2531" s="34">
        <f>IF(OR($A2531="",$H2531&lt;&gt;"Ausgabe",M2531=""),0,IF(M2531="x",-$E2531/(COUNTIF($J2531:$Q2531,"x")+1),-$E2531*N(M2531)))</f>
        <v/>
      </c>
      <c r="AB2531" s="34">
        <f>IF(OR($A2531="",$H2531&lt;&gt;"Ausgabe",N2531=""),0,IF(N2531="x",-$E2531/(COUNTIF($J2531:$Q2531,"x")+1),-$E2531*N(N2531)))</f>
        <v/>
      </c>
      <c r="AC2531" s="34">
        <f>IF(OR($A2531="",$H2531&lt;&gt;"Ausgabe",O2531=""),0,IF(O2531="x",-$E2531/(COUNTIF($J2531:$Q2531,"x")+1),-$E2531*N(O2531)))</f>
        <v/>
      </c>
      <c r="AD2531" s="34">
        <f>IF(OR($A2531="",$H2531&lt;&gt;"Ausgabe",P2531=""),0,IF(P2531="x",-$E2531/(COUNTIF($J2531:$Q2531,"x")+1),-$E2531*N(P2531)))</f>
        <v/>
      </c>
      <c r="AE2531" s="34">
        <f>IF(OR($A2531="",$H2531&lt;&gt;"Ausgabe",Q2531=""),0,IF(Q2531="x",-$E2531/(COUNTIF($J2531:$Q2531,"x")+1),-$E2531*N(Q2531)))</f>
        <v/>
      </c>
    </row>
    <row r="2532">
      <c r="A2532" s="30" t="n"/>
      <c r="E2532" s="31" t="n"/>
      <c r="J2532" s="32" t="n"/>
      <c r="K2532" s="32" t="n"/>
      <c r="L2532" s="32" t="n"/>
      <c r="M2532" s="32" t="n"/>
      <c r="N2532" s="32" t="n"/>
      <c r="O2532" s="32" t="n"/>
      <c r="P2532" s="32" t="n"/>
      <c r="Q2532" s="32" t="n"/>
      <c r="U2532" s="31">
        <f>IF($A2532="","",SUM(X2532:AE2532))</f>
        <v/>
      </c>
      <c r="V2532" s="31">
        <f>IF($A2532="","",IF($H2532&lt;&gt;"Ausgabe",0,-$E2532-$U2532))</f>
        <v/>
      </c>
      <c r="W2532" s="33">
        <f>IF($A2532="","",DATE(YEAR($A2532),MONTH($A2532),1))</f>
        <v/>
      </c>
      <c r="X2532" s="34">
        <f>IF(OR($A2532="",$H2532&lt;&gt;"Ausgabe",J2532=""),0,IF(J2532="x",-$E2532/(COUNTIF($J2532:$Q2532,"x")+1),-$E2532*N(J2532)))</f>
        <v/>
      </c>
      <c r="Y2532" s="34">
        <f>IF(OR($A2532="",$H2532&lt;&gt;"Ausgabe",K2532=""),0,IF(K2532="x",-$E2532/(COUNTIF($J2532:$Q2532,"x")+1),-$E2532*N(K2532)))</f>
        <v/>
      </c>
      <c r="Z2532" s="34">
        <f>IF(OR($A2532="",$H2532&lt;&gt;"Ausgabe",L2532=""),0,IF(L2532="x",-$E2532/(COUNTIF($J2532:$Q2532,"x")+1),-$E2532*N(L2532)))</f>
        <v/>
      </c>
      <c r="AA2532" s="34">
        <f>IF(OR($A2532="",$H2532&lt;&gt;"Ausgabe",M2532=""),0,IF(M2532="x",-$E2532/(COUNTIF($J2532:$Q2532,"x")+1),-$E2532*N(M2532)))</f>
        <v/>
      </c>
      <c r="AB2532" s="34">
        <f>IF(OR($A2532="",$H2532&lt;&gt;"Ausgabe",N2532=""),0,IF(N2532="x",-$E2532/(COUNTIF($J2532:$Q2532,"x")+1),-$E2532*N(N2532)))</f>
        <v/>
      </c>
      <c r="AC2532" s="34">
        <f>IF(OR($A2532="",$H2532&lt;&gt;"Ausgabe",O2532=""),0,IF(O2532="x",-$E2532/(COUNTIF($J2532:$Q2532,"x")+1),-$E2532*N(O2532)))</f>
        <v/>
      </c>
      <c r="AD2532" s="34">
        <f>IF(OR($A2532="",$H2532&lt;&gt;"Ausgabe",P2532=""),0,IF(P2532="x",-$E2532/(COUNTIF($J2532:$Q2532,"x")+1),-$E2532*N(P2532)))</f>
        <v/>
      </c>
      <c r="AE2532" s="34">
        <f>IF(OR($A2532="",$H2532&lt;&gt;"Ausgabe",Q2532=""),0,IF(Q2532="x",-$E2532/(COUNTIF($J2532:$Q2532,"x")+1),-$E2532*N(Q2532)))</f>
        <v/>
      </c>
    </row>
    <row r="2533">
      <c r="A2533" s="30" t="n"/>
      <c r="E2533" s="31" t="n"/>
      <c r="J2533" s="32" t="n"/>
      <c r="K2533" s="32" t="n"/>
      <c r="L2533" s="32" t="n"/>
      <c r="M2533" s="32" t="n"/>
      <c r="N2533" s="32" t="n"/>
      <c r="O2533" s="32" t="n"/>
      <c r="P2533" s="32" t="n"/>
      <c r="Q2533" s="32" t="n"/>
      <c r="U2533" s="31">
        <f>IF($A2533="","",SUM(X2533:AE2533))</f>
        <v/>
      </c>
      <c r="V2533" s="31">
        <f>IF($A2533="","",IF($H2533&lt;&gt;"Ausgabe",0,-$E2533-$U2533))</f>
        <v/>
      </c>
      <c r="W2533" s="33">
        <f>IF($A2533="","",DATE(YEAR($A2533),MONTH($A2533),1))</f>
        <v/>
      </c>
      <c r="X2533" s="34">
        <f>IF(OR($A2533="",$H2533&lt;&gt;"Ausgabe",J2533=""),0,IF(J2533="x",-$E2533/(COUNTIF($J2533:$Q2533,"x")+1),-$E2533*N(J2533)))</f>
        <v/>
      </c>
      <c r="Y2533" s="34">
        <f>IF(OR($A2533="",$H2533&lt;&gt;"Ausgabe",K2533=""),0,IF(K2533="x",-$E2533/(COUNTIF($J2533:$Q2533,"x")+1),-$E2533*N(K2533)))</f>
        <v/>
      </c>
      <c r="Z2533" s="34">
        <f>IF(OR($A2533="",$H2533&lt;&gt;"Ausgabe",L2533=""),0,IF(L2533="x",-$E2533/(COUNTIF($J2533:$Q2533,"x")+1),-$E2533*N(L2533)))</f>
        <v/>
      </c>
      <c r="AA2533" s="34">
        <f>IF(OR($A2533="",$H2533&lt;&gt;"Ausgabe",M2533=""),0,IF(M2533="x",-$E2533/(COUNTIF($J2533:$Q2533,"x")+1),-$E2533*N(M2533)))</f>
        <v/>
      </c>
      <c r="AB2533" s="34">
        <f>IF(OR($A2533="",$H2533&lt;&gt;"Ausgabe",N2533=""),0,IF(N2533="x",-$E2533/(COUNTIF($J2533:$Q2533,"x")+1),-$E2533*N(N2533)))</f>
        <v/>
      </c>
      <c r="AC2533" s="34">
        <f>IF(OR($A2533="",$H2533&lt;&gt;"Ausgabe",O2533=""),0,IF(O2533="x",-$E2533/(COUNTIF($J2533:$Q2533,"x")+1),-$E2533*N(O2533)))</f>
        <v/>
      </c>
      <c r="AD2533" s="34">
        <f>IF(OR($A2533="",$H2533&lt;&gt;"Ausgabe",P2533=""),0,IF(P2533="x",-$E2533/(COUNTIF($J2533:$Q2533,"x")+1),-$E2533*N(P2533)))</f>
        <v/>
      </c>
      <c r="AE2533" s="34">
        <f>IF(OR($A2533="",$H2533&lt;&gt;"Ausgabe",Q2533=""),0,IF(Q2533="x",-$E2533/(COUNTIF($J2533:$Q2533,"x")+1),-$E2533*N(Q2533)))</f>
        <v/>
      </c>
    </row>
    <row r="2534">
      <c r="A2534" s="30" t="n"/>
      <c r="E2534" s="31" t="n"/>
      <c r="J2534" s="32" t="n"/>
      <c r="K2534" s="32" t="n"/>
      <c r="L2534" s="32" t="n"/>
      <c r="M2534" s="32" t="n"/>
      <c r="N2534" s="32" t="n"/>
      <c r="O2534" s="32" t="n"/>
      <c r="P2534" s="32" t="n"/>
      <c r="Q2534" s="32" t="n"/>
      <c r="U2534" s="31">
        <f>IF($A2534="","",SUM(X2534:AE2534))</f>
        <v/>
      </c>
      <c r="V2534" s="31">
        <f>IF($A2534="","",IF($H2534&lt;&gt;"Ausgabe",0,-$E2534-$U2534))</f>
        <v/>
      </c>
      <c r="W2534" s="33">
        <f>IF($A2534="","",DATE(YEAR($A2534),MONTH($A2534),1))</f>
        <v/>
      </c>
      <c r="X2534" s="34">
        <f>IF(OR($A2534="",$H2534&lt;&gt;"Ausgabe",J2534=""),0,IF(J2534="x",-$E2534/(COUNTIF($J2534:$Q2534,"x")+1),-$E2534*N(J2534)))</f>
        <v/>
      </c>
      <c r="Y2534" s="34">
        <f>IF(OR($A2534="",$H2534&lt;&gt;"Ausgabe",K2534=""),0,IF(K2534="x",-$E2534/(COUNTIF($J2534:$Q2534,"x")+1),-$E2534*N(K2534)))</f>
        <v/>
      </c>
      <c r="Z2534" s="34">
        <f>IF(OR($A2534="",$H2534&lt;&gt;"Ausgabe",L2534=""),0,IF(L2534="x",-$E2534/(COUNTIF($J2534:$Q2534,"x")+1),-$E2534*N(L2534)))</f>
        <v/>
      </c>
      <c r="AA2534" s="34">
        <f>IF(OR($A2534="",$H2534&lt;&gt;"Ausgabe",M2534=""),0,IF(M2534="x",-$E2534/(COUNTIF($J2534:$Q2534,"x")+1),-$E2534*N(M2534)))</f>
        <v/>
      </c>
      <c r="AB2534" s="34">
        <f>IF(OR($A2534="",$H2534&lt;&gt;"Ausgabe",N2534=""),0,IF(N2534="x",-$E2534/(COUNTIF($J2534:$Q2534,"x")+1),-$E2534*N(N2534)))</f>
        <v/>
      </c>
      <c r="AC2534" s="34">
        <f>IF(OR($A2534="",$H2534&lt;&gt;"Ausgabe",O2534=""),0,IF(O2534="x",-$E2534/(COUNTIF($J2534:$Q2534,"x")+1),-$E2534*N(O2534)))</f>
        <v/>
      </c>
      <c r="AD2534" s="34">
        <f>IF(OR($A2534="",$H2534&lt;&gt;"Ausgabe",P2534=""),0,IF(P2534="x",-$E2534/(COUNTIF($J2534:$Q2534,"x")+1),-$E2534*N(P2534)))</f>
        <v/>
      </c>
      <c r="AE2534" s="34">
        <f>IF(OR($A2534="",$H2534&lt;&gt;"Ausgabe",Q2534=""),0,IF(Q2534="x",-$E2534/(COUNTIF($J2534:$Q2534,"x")+1),-$E2534*N(Q2534)))</f>
        <v/>
      </c>
    </row>
    <row r="2535">
      <c r="A2535" s="30" t="n"/>
      <c r="E2535" s="31" t="n"/>
      <c r="J2535" s="32" t="n"/>
      <c r="K2535" s="32" t="n"/>
      <c r="L2535" s="32" t="n"/>
      <c r="M2535" s="32" t="n"/>
      <c r="N2535" s="32" t="n"/>
      <c r="O2535" s="32" t="n"/>
      <c r="P2535" s="32" t="n"/>
      <c r="Q2535" s="32" t="n"/>
      <c r="U2535" s="31">
        <f>IF($A2535="","",SUM(X2535:AE2535))</f>
        <v/>
      </c>
      <c r="V2535" s="31">
        <f>IF($A2535="","",IF($H2535&lt;&gt;"Ausgabe",0,-$E2535-$U2535))</f>
        <v/>
      </c>
      <c r="W2535" s="33">
        <f>IF($A2535="","",DATE(YEAR($A2535),MONTH($A2535),1))</f>
        <v/>
      </c>
      <c r="X2535" s="34">
        <f>IF(OR($A2535="",$H2535&lt;&gt;"Ausgabe",J2535=""),0,IF(J2535="x",-$E2535/(COUNTIF($J2535:$Q2535,"x")+1),-$E2535*N(J2535)))</f>
        <v/>
      </c>
      <c r="Y2535" s="34">
        <f>IF(OR($A2535="",$H2535&lt;&gt;"Ausgabe",K2535=""),0,IF(K2535="x",-$E2535/(COUNTIF($J2535:$Q2535,"x")+1),-$E2535*N(K2535)))</f>
        <v/>
      </c>
      <c r="Z2535" s="34">
        <f>IF(OR($A2535="",$H2535&lt;&gt;"Ausgabe",L2535=""),0,IF(L2535="x",-$E2535/(COUNTIF($J2535:$Q2535,"x")+1),-$E2535*N(L2535)))</f>
        <v/>
      </c>
      <c r="AA2535" s="34">
        <f>IF(OR($A2535="",$H2535&lt;&gt;"Ausgabe",M2535=""),0,IF(M2535="x",-$E2535/(COUNTIF($J2535:$Q2535,"x")+1),-$E2535*N(M2535)))</f>
        <v/>
      </c>
      <c r="AB2535" s="34">
        <f>IF(OR($A2535="",$H2535&lt;&gt;"Ausgabe",N2535=""),0,IF(N2535="x",-$E2535/(COUNTIF($J2535:$Q2535,"x")+1),-$E2535*N(N2535)))</f>
        <v/>
      </c>
      <c r="AC2535" s="34">
        <f>IF(OR($A2535="",$H2535&lt;&gt;"Ausgabe",O2535=""),0,IF(O2535="x",-$E2535/(COUNTIF($J2535:$Q2535,"x")+1),-$E2535*N(O2535)))</f>
        <v/>
      </c>
      <c r="AD2535" s="34">
        <f>IF(OR($A2535="",$H2535&lt;&gt;"Ausgabe",P2535=""),0,IF(P2535="x",-$E2535/(COUNTIF($J2535:$Q2535,"x")+1),-$E2535*N(P2535)))</f>
        <v/>
      </c>
      <c r="AE2535" s="34">
        <f>IF(OR($A2535="",$H2535&lt;&gt;"Ausgabe",Q2535=""),0,IF(Q2535="x",-$E2535/(COUNTIF($J2535:$Q2535,"x")+1),-$E2535*N(Q2535)))</f>
        <v/>
      </c>
    </row>
    <row r="2536">
      <c r="A2536" s="30" t="n"/>
      <c r="E2536" s="31" t="n"/>
      <c r="J2536" s="32" t="n"/>
      <c r="K2536" s="32" t="n"/>
      <c r="L2536" s="32" t="n"/>
      <c r="M2536" s="32" t="n"/>
      <c r="N2536" s="32" t="n"/>
      <c r="O2536" s="32" t="n"/>
      <c r="P2536" s="32" t="n"/>
      <c r="Q2536" s="32" t="n"/>
      <c r="U2536" s="31">
        <f>IF($A2536="","",SUM(X2536:AE2536))</f>
        <v/>
      </c>
      <c r="V2536" s="31">
        <f>IF($A2536="","",IF($H2536&lt;&gt;"Ausgabe",0,-$E2536-$U2536))</f>
        <v/>
      </c>
      <c r="W2536" s="33">
        <f>IF($A2536="","",DATE(YEAR($A2536),MONTH($A2536),1))</f>
        <v/>
      </c>
      <c r="X2536" s="34">
        <f>IF(OR($A2536="",$H2536&lt;&gt;"Ausgabe",J2536=""),0,IF(J2536="x",-$E2536/(COUNTIF($J2536:$Q2536,"x")+1),-$E2536*N(J2536)))</f>
        <v/>
      </c>
      <c r="Y2536" s="34">
        <f>IF(OR($A2536="",$H2536&lt;&gt;"Ausgabe",K2536=""),0,IF(K2536="x",-$E2536/(COUNTIF($J2536:$Q2536,"x")+1),-$E2536*N(K2536)))</f>
        <v/>
      </c>
      <c r="Z2536" s="34">
        <f>IF(OR($A2536="",$H2536&lt;&gt;"Ausgabe",L2536=""),0,IF(L2536="x",-$E2536/(COUNTIF($J2536:$Q2536,"x")+1),-$E2536*N(L2536)))</f>
        <v/>
      </c>
      <c r="AA2536" s="34">
        <f>IF(OR($A2536="",$H2536&lt;&gt;"Ausgabe",M2536=""),0,IF(M2536="x",-$E2536/(COUNTIF($J2536:$Q2536,"x")+1),-$E2536*N(M2536)))</f>
        <v/>
      </c>
      <c r="AB2536" s="34">
        <f>IF(OR($A2536="",$H2536&lt;&gt;"Ausgabe",N2536=""),0,IF(N2536="x",-$E2536/(COUNTIF($J2536:$Q2536,"x")+1),-$E2536*N(N2536)))</f>
        <v/>
      </c>
      <c r="AC2536" s="34">
        <f>IF(OR($A2536="",$H2536&lt;&gt;"Ausgabe",O2536=""),0,IF(O2536="x",-$E2536/(COUNTIF($J2536:$Q2536,"x")+1),-$E2536*N(O2536)))</f>
        <v/>
      </c>
      <c r="AD2536" s="34">
        <f>IF(OR($A2536="",$H2536&lt;&gt;"Ausgabe",P2536=""),0,IF(P2536="x",-$E2536/(COUNTIF($J2536:$Q2536,"x")+1),-$E2536*N(P2536)))</f>
        <v/>
      </c>
      <c r="AE2536" s="34">
        <f>IF(OR($A2536="",$H2536&lt;&gt;"Ausgabe",Q2536=""),0,IF(Q2536="x",-$E2536/(COUNTIF($J2536:$Q2536,"x")+1),-$E2536*N(Q2536)))</f>
        <v/>
      </c>
    </row>
    <row r="2537">
      <c r="A2537" s="30" t="n"/>
      <c r="E2537" s="31" t="n"/>
      <c r="J2537" s="32" t="n"/>
      <c r="K2537" s="32" t="n"/>
      <c r="L2537" s="32" t="n"/>
      <c r="M2537" s="32" t="n"/>
      <c r="N2537" s="32" t="n"/>
      <c r="O2537" s="32" t="n"/>
      <c r="P2537" s="32" t="n"/>
      <c r="Q2537" s="32" t="n"/>
      <c r="U2537" s="31">
        <f>IF($A2537="","",SUM(X2537:AE2537))</f>
        <v/>
      </c>
      <c r="V2537" s="31">
        <f>IF($A2537="","",IF($H2537&lt;&gt;"Ausgabe",0,-$E2537-$U2537))</f>
        <v/>
      </c>
      <c r="W2537" s="33">
        <f>IF($A2537="","",DATE(YEAR($A2537),MONTH($A2537),1))</f>
        <v/>
      </c>
      <c r="X2537" s="34">
        <f>IF(OR($A2537="",$H2537&lt;&gt;"Ausgabe",J2537=""),0,IF(J2537="x",-$E2537/(COUNTIF($J2537:$Q2537,"x")+1),-$E2537*N(J2537)))</f>
        <v/>
      </c>
      <c r="Y2537" s="34">
        <f>IF(OR($A2537="",$H2537&lt;&gt;"Ausgabe",K2537=""),0,IF(K2537="x",-$E2537/(COUNTIF($J2537:$Q2537,"x")+1),-$E2537*N(K2537)))</f>
        <v/>
      </c>
      <c r="Z2537" s="34">
        <f>IF(OR($A2537="",$H2537&lt;&gt;"Ausgabe",L2537=""),0,IF(L2537="x",-$E2537/(COUNTIF($J2537:$Q2537,"x")+1),-$E2537*N(L2537)))</f>
        <v/>
      </c>
      <c r="AA2537" s="34">
        <f>IF(OR($A2537="",$H2537&lt;&gt;"Ausgabe",M2537=""),0,IF(M2537="x",-$E2537/(COUNTIF($J2537:$Q2537,"x")+1),-$E2537*N(M2537)))</f>
        <v/>
      </c>
      <c r="AB2537" s="34">
        <f>IF(OR($A2537="",$H2537&lt;&gt;"Ausgabe",N2537=""),0,IF(N2537="x",-$E2537/(COUNTIF($J2537:$Q2537,"x")+1),-$E2537*N(N2537)))</f>
        <v/>
      </c>
      <c r="AC2537" s="34">
        <f>IF(OR($A2537="",$H2537&lt;&gt;"Ausgabe",O2537=""),0,IF(O2537="x",-$E2537/(COUNTIF($J2537:$Q2537,"x")+1),-$E2537*N(O2537)))</f>
        <v/>
      </c>
      <c r="AD2537" s="34">
        <f>IF(OR($A2537="",$H2537&lt;&gt;"Ausgabe",P2537=""),0,IF(P2537="x",-$E2537/(COUNTIF($J2537:$Q2537,"x")+1),-$E2537*N(P2537)))</f>
        <v/>
      </c>
      <c r="AE2537" s="34">
        <f>IF(OR($A2537="",$H2537&lt;&gt;"Ausgabe",Q2537=""),0,IF(Q2537="x",-$E2537/(COUNTIF($J2537:$Q2537,"x")+1),-$E2537*N(Q2537)))</f>
        <v/>
      </c>
    </row>
    <row r="2538">
      <c r="A2538" s="30" t="n"/>
      <c r="E2538" s="31" t="n"/>
      <c r="J2538" s="32" t="n"/>
      <c r="K2538" s="32" t="n"/>
      <c r="L2538" s="32" t="n"/>
      <c r="M2538" s="32" t="n"/>
      <c r="N2538" s="32" t="n"/>
      <c r="O2538" s="32" t="n"/>
      <c r="P2538" s="32" t="n"/>
      <c r="Q2538" s="32" t="n"/>
      <c r="U2538" s="31">
        <f>IF($A2538="","",SUM(X2538:AE2538))</f>
        <v/>
      </c>
      <c r="V2538" s="31">
        <f>IF($A2538="","",IF($H2538&lt;&gt;"Ausgabe",0,-$E2538-$U2538))</f>
        <v/>
      </c>
      <c r="W2538" s="33">
        <f>IF($A2538="","",DATE(YEAR($A2538),MONTH($A2538),1))</f>
        <v/>
      </c>
      <c r="X2538" s="34">
        <f>IF(OR($A2538="",$H2538&lt;&gt;"Ausgabe",J2538=""),0,IF(J2538="x",-$E2538/(COUNTIF($J2538:$Q2538,"x")+1),-$E2538*N(J2538)))</f>
        <v/>
      </c>
      <c r="Y2538" s="34">
        <f>IF(OR($A2538="",$H2538&lt;&gt;"Ausgabe",K2538=""),0,IF(K2538="x",-$E2538/(COUNTIF($J2538:$Q2538,"x")+1),-$E2538*N(K2538)))</f>
        <v/>
      </c>
      <c r="Z2538" s="34">
        <f>IF(OR($A2538="",$H2538&lt;&gt;"Ausgabe",L2538=""),0,IF(L2538="x",-$E2538/(COUNTIF($J2538:$Q2538,"x")+1),-$E2538*N(L2538)))</f>
        <v/>
      </c>
      <c r="AA2538" s="34">
        <f>IF(OR($A2538="",$H2538&lt;&gt;"Ausgabe",M2538=""),0,IF(M2538="x",-$E2538/(COUNTIF($J2538:$Q2538,"x")+1),-$E2538*N(M2538)))</f>
        <v/>
      </c>
      <c r="AB2538" s="34">
        <f>IF(OR($A2538="",$H2538&lt;&gt;"Ausgabe",N2538=""),0,IF(N2538="x",-$E2538/(COUNTIF($J2538:$Q2538,"x")+1),-$E2538*N(N2538)))</f>
        <v/>
      </c>
      <c r="AC2538" s="34">
        <f>IF(OR($A2538="",$H2538&lt;&gt;"Ausgabe",O2538=""),0,IF(O2538="x",-$E2538/(COUNTIF($J2538:$Q2538,"x")+1),-$E2538*N(O2538)))</f>
        <v/>
      </c>
      <c r="AD2538" s="34">
        <f>IF(OR($A2538="",$H2538&lt;&gt;"Ausgabe",P2538=""),0,IF(P2538="x",-$E2538/(COUNTIF($J2538:$Q2538,"x")+1),-$E2538*N(P2538)))</f>
        <v/>
      </c>
      <c r="AE2538" s="34">
        <f>IF(OR($A2538="",$H2538&lt;&gt;"Ausgabe",Q2538=""),0,IF(Q2538="x",-$E2538/(COUNTIF($J2538:$Q2538,"x")+1),-$E2538*N(Q2538)))</f>
        <v/>
      </c>
    </row>
    <row r="2539">
      <c r="A2539" s="30" t="n"/>
      <c r="E2539" s="31" t="n"/>
      <c r="J2539" s="32" t="n"/>
      <c r="K2539" s="32" t="n"/>
      <c r="L2539" s="32" t="n"/>
      <c r="M2539" s="32" t="n"/>
      <c r="N2539" s="32" t="n"/>
      <c r="O2539" s="32" t="n"/>
      <c r="P2539" s="32" t="n"/>
      <c r="Q2539" s="32" t="n"/>
      <c r="U2539" s="31">
        <f>IF($A2539="","",SUM(X2539:AE2539))</f>
        <v/>
      </c>
      <c r="V2539" s="31">
        <f>IF($A2539="","",IF($H2539&lt;&gt;"Ausgabe",0,-$E2539-$U2539))</f>
        <v/>
      </c>
      <c r="W2539" s="33">
        <f>IF($A2539="","",DATE(YEAR($A2539),MONTH($A2539),1))</f>
        <v/>
      </c>
      <c r="X2539" s="34">
        <f>IF(OR($A2539="",$H2539&lt;&gt;"Ausgabe",J2539=""),0,IF(J2539="x",-$E2539/(COUNTIF($J2539:$Q2539,"x")+1),-$E2539*N(J2539)))</f>
        <v/>
      </c>
      <c r="Y2539" s="34">
        <f>IF(OR($A2539="",$H2539&lt;&gt;"Ausgabe",K2539=""),0,IF(K2539="x",-$E2539/(COUNTIF($J2539:$Q2539,"x")+1),-$E2539*N(K2539)))</f>
        <v/>
      </c>
      <c r="Z2539" s="34">
        <f>IF(OR($A2539="",$H2539&lt;&gt;"Ausgabe",L2539=""),0,IF(L2539="x",-$E2539/(COUNTIF($J2539:$Q2539,"x")+1),-$E2539*N(L2539)))</f>
        <v/>
      </c>
      <c r="AA2539" s="34">
        <f>IF(OR($A2539="",$H2539&lt;&gt;"Ausgabe",M2539=""),0,IF(M2539="x",-$E2539/(COUNTIF($J2539:$Q2539,"x")+1),-$E2539*N(M2539)))</f>
        <v/>
      </c>
      <c r="AB2539" s="34">
        <f>IF(OR($A2539="",$H2539&lt;&gt;"Ausgabe",N2539=""),0,IF(N2539="x",-$E2539/(COUNTIF($J2539:$Q2539,"x")+1),-$E2539*N(N2539)))</f>
        <v/>
      </c>
      <c r="AC2539" s="34">
        <f>IF(OR($A2539="",$H2539&lt;&gt;"Ausgabe",O2539=""),0,IF(O2539="x",-$E2539/(COUNTIF($J2539:$Q2539,"x")+1),-$E2539*N(O2539)))</f>
        <v/>
      </c>
      <c r="AD2539" s="34">
        <f>IF(OR($A2539="",$H2539&lt;&gt;"Ausgabe",P2539=""),0,IF(P2539="x",-$E2539/(COUNTIF($J2539:$Q2539,"x")+1),-$E2539*N(P2539)))</f>
        <v/>
      </c>
      <c r="AE2539" s="34">
        <f>IF(OR($A2539="",$H2539&lt;&gt;"Ausgabe",Q2539=""),0,IF(Q2539="x",-$E2539/(COUNTIF($J2539:$Q2539,"x")+1),-$E2539*N(Q2539)))</f>
        <v/>
      </c>
    </row>
    <row r="2540">
      <c r="A2540" s="30" t="n"/>
      <c r="E2540" s="31" t="n"/>
      <c r="J2540" s="32" t="n"/>
      <c r="K2540" s="32" t="n"/>
      <c r="L2540" s="32" t="n"/>
      <c r="M2540" s="32" t="n"/>
      <c r="N2540" s="32" t="n"/>
      <c r="O2540" s="32" t="n"/>
      <c r="P2540" s="32" t="n"/>
      <c r="Q2540" s="32" t="n"/>
      <c r="U2540" s="31">
        <f>IF($A2540="","",SUM(X2540:AE2540))</f>
        <v/>
      </c>
      <c r="V2540" s="31">
        <f>IF($A2540="","",IF($H2540&lt;&gt;"Ausgabe",0,-$E2540-$U2540))</f>
        <v/>
      </c>
      <c r="W2540" s="33">
        <f>IF($A2540="","",DATE(YEAR($A2540),MONTH($A2540),1))</f>
        <v/>
      </c>
      <c r="X2540" s="34">
        <f>IF(OR($A2540="",$H2540&lt;&gt;"Ausgabe",J2540=""),0,IF(J2540="x",-$E2540/(COUNTIF($J2540:$Q2540,"x")+1),-$E2540*N(J2540)))</f>
        <v/>
      </c>
      <c r="Y2540" s="34">
        <f>IF(OR($A2540="",$H2540&lt;&gt;"Ausgabe",K2540=""),0,IF(K2540="x",-$E2540/(COUNTIF($J2540:$Q2540,"x")+1),-$E2540*N(K2540)))</f>
        <v/>
      </c>
      <c r="Z2540" s="34">
        <f>IF(OR($A2540="",$H2540&lt;&gt;"Ausgabe",L2540=""),0,IF(L2540="x",-$E2540/(COUNTIF($J2540:$Q2540,"x")+1),-$E2540*N(L2540)))</f>
        <v/>
      </c>
      <c r="AA2540" s="34">
        <f>IF(OR($A2540="",$H2540&lt;&gt;"Ausgabe",M2540=""),0,IF(M2540="x",-$E2540/(COUNTIF($J2540:$Q2540,"x")+1),-$E2540*N(M2540)))</f>
        <v/>
      </c>
      <c r="AB2540" s="34">
        <f>IF(OR($A2540="",$H2540&lt;&gt;"Ausgabe",N2540=""),0,IF(N2540="x",-$E2540/(COUNTIF($J2540:$Q2540,"x")+1),-$E2540*N(N2540)))</f>
        <v/>
      </c>
      <c r="AC2540" s="34">
        <f>IF(OR($A2540="",$H2540&lt;&gt;"Ausgabe",O2540=""),0,IF(O2540="x",-$E2540/(COUNTIF($J2540:$Q2540,"x")+1),-$E2540*N(O2540)))</f>
        <v/>
      </c>
      <c r="AD2540" s="34">
        <f>IF(OR($A2540="",$H2540&lt;&gt;"Ausgabe",P2540=""),0,IF(P2540="x",-$E2540/(COUNTIF($J2540:$Q2540,"x")+1),-$E2540*N(P2540)))</f>
        <v/>
      </c>
      <c r="AE2540" s="34">
        <f>IF(OR($A2540="",$H2540&lt;&gt;"Ausgabe",Q2540=""),0,IF(Q2540="x",-$E2540/(COUNTIF($J2540:$Q2540,"x")+1),-$E2540*N(Q2540)))</f>
        <v/>
      </c>
    </row>
    <row r="2541">
      <c r="A2541" s="30" t="n"/>
      <c r="E2541" s="31" t="n"/>
      <c r="J2541" s="32" t="n"/>
      <c r="K2541" s="32" t="n"/>
      <c r="L2541" s="32" t="n"/>
      <c r="M2541" s="32" t="n"/>
      <c r="N2541" s="32" t="n"/>
      <c r="O2541" s="32" t="n"/>
      <c r="P2541" s="32" t="n"/>
      <c r="Q2541" s="32" t="n"/>
      <c r="U2541" s="31">
        <f>IF($A2541="","",SUM(X2541:AE2541))</f>
        <v/>
      </c>
      <c r="V2541" s="31">
        <f>IF($A2541="","",IF($H2541&lt;&gt;"Ausgabe",0,-$E2541-$U2541))</f>
        <v/>
      </c>
      <c r="W2541" s="33">
        <f>IF($A2541="","",DATE(YEAR($A2541),MONTH($A2541),1))</f>
        <v/>
      </c>
      <c r="X2541" s="34">
        <f>IF(OR($A2541="",$H2541&lt;&gt;"Ausgabe",J2541=""),0,IF(J2541="x",-$E2541/(COUNTIF($J2541:$Q2541,"x")+1),-$E2541*N(J2541)))</f>
        <v/>
      </c>
      <c r="Y2541" s="34">
        <f>IF(OR($A2541="",$H2541&lt;&gt;"Ausgabe",K2541=""),0,IF(K2541="x",-$E2541/(COUNTIF($J2541:$Q2541,"x")+1),-$E2541*N(K2541)))</f>
        <v/>
      </c>
      <c r="Z2541" s="34">
        <f>IF(OR($A2541="",$H2541&lt;&gt;"Ausgabe",L2541=""),0,IF(L2541="x",-$E2541/(COUNTIF($J2541:$Q2541,"x")+1),-$E2541*N(L2541)))</f>
        <v/>
      </c>
      <c r="AA2541" s="34">
        <f>IF(OR($A2541="",$H2541&lt;&gt;"Ausgabe",M2541=""),0,IF(M2541="x",-$E2541/(COUNTIF($J2541:$Q2541,"x")+1),-$E2541*N(M2541)))</f>
        <v/>
      </c>
      <c r="AB2541" s="34">
        <f>IF(OR($A2541="",$H2541&lt;&gt;"Ausgabe",N2541=""),0,IF(N2541="x",-$E2541/(COUNTIF($J2541:$Q2541,"x")+1),-$E2541*N(N2541)))</f>
        <v/>
      </c>
      <c r="AC2541" s="34">
        <f>IF(OR($A2541="",$H2541&lt;&gt;"Ausgabe",O2541=""),0,IF(O2541="x",-$E2541/(COUNTIF($J2541:$Q2541,"x")+1),-$E2541*N(O2541)))</f>
        <v/>
      </c>
      <c r="AD2541" s="34">
        <f>IF(OR($A2541="",$H2541&lt;&gt;"Ausgabe",P2541=""),0,IF(P2541="x",-$E2541/(COUNTIF($J2541:$Q2541,"x")+1),-$E2541*N(P2541)))</f>
        <v/>
      </c>
      <c r="AE2541" s="34">
        <f>IF(OR($A2541="",$H2541&lt;&gt;"Ausgabe",Q2541=""),0,IF(Q2541="x",-$E2541/(COUNTIF($J2541:$Q2541,"x")+1),-$E2541*N(Q2541)))</f>
        <v/>
      </c>
    </row>
    <row r="2542">
      <c r="A2542" s="30" t="n"/>
      <c r="E2542" s="31" t="n"/>
      <c r="J2542" s="32" t="n"/>
      <c r="K2542" s="32" t="n"/>
      <c r="L2542" s="32" t="n"/>
      <c r="M2542" s="32" t="n"/>
      <c r="N2542" s="32" t="n"/>
      <c r="O2542" s="32" t="n"/>
      <c r="P2542" s="32" t="n"/>
      <c r="Q2542" s="32" t="n"/>
      <c r="U2542" s="31">
        <f>IF($A2542="","",SUM(X2542:AE2542))</f>
        <v/>
      </c>
      <c r="V2542" s="31">
        <f>IF($A2542="","",IF($H2542&lt;&gt;"Ausgabe",0,-$E2542-$U2542))</f>
        <v/>
      </c>
      <c r="W2542" s="33">
        <f>IF($A2542="","",DATE(YEAR($A2542),MONTH($A2542),1))</f>
        <v/>
      </c>
      <c r="X2542" s="34">
        <f>IF(OR($A2542="",$H2542&lt;&gt;"Ausgabe",J2542=""),0,IF(J2542="x",-$E2542/(COUNTIF($J2542:$Q2542,"x")+1),-$E2542*N(J2542)))</f>
        <v/>
      </c>
      <c r="Y2542" s="34">
        <f>IF(OR($A2542="",$H2542&lt;&gt;"Ausgabe",K2542=""),0,IF(K2542="x",-$E2542/(COUNTIF($J2542:$Q2542,"x")+1),-$E2542*N(K2542)))</f>
        <v/>
      </c>
      <c r="Z2542" s="34">
        <f>IF(OR($A2542="",$H2542&lt;&gt;"Ausgabe",L2542=""),0,IF(L2542="x",-$E2542/(COUNTIF($J2542:$Q2542,"x")+1),-$E2542*N(L2542)))</f>
        <v/>
      </c>
      <c r="AA2542" s="34">
        <f>IF(OR($A2542="",$H2542&lt;&gt;"Ausgabe",M2542=""),0,IF(M2542="x",-$E2542/(COUNTIF($J2542:$Q2542,"x")+1),-$E2542*N(M2542)))</f>
        <v/>
      </c>
      <c r="AB2542" s="34">
        <f>IF(OR($A2542="",$H2542&lt;&gt;"Ausgabe",N2542=""),0,IF(N2542="x",-$E2542/(COUNTIF($J2542:$Q2542,"x")+1),-$E2542*N(N2542)))</f>
        <v/>
      </c>
      <c r="AC2542" s="34">
        <f>IF(OR($A2542="",$H2542&lt;&gt;"Ausgabe",O2542=""),0,IF(O2542="x",-$E2542/(COUNTIF($J2542:$Q2542,"x")+1),-$E2542*N(O2542)))</f>
        <v/>
      </c>
      <c r="AD2542" s="34">
        <f>IF(OR($A2542="",$H2542&lt;&gt;"Ausgabe",P2542=""),0,IF(P2542="x",-$E2542/(COUNTIF($J2542:$Q2542,"x")+1),-$E2542*N(P2542)))</f>
        <v/>
      </c>
      <c r="AE2542" s="34">
        <f>IF(OR($A2542="",$H2542&lt;&gt;"Ausgabe",Q2542=""),0,IF(Q2542="x",-$E2542/(COUNTIF($J2542:$Q2542,"x")+1),-$E2542*N(Q2542)))</f>
        <v/>
      </c>
    </row>
    <row r="2543">
      <c r="A2543" s="30" t="n"/>
      <c r="E2543" s="31" t="n"/>
      <c r="J2543" s="32" t="n"/>
      <c r="K2543" s="32" t="n"/>
      <c r="L2543" s="32" t="n"/>
      <c r="M2543" s="32" t="n"/>
      <c r="N2543" s="32" t="n"/>
      <c r="O2543" s="32" t="n"/>
      <c r="P2543" s="32" t="n"/>
      <c r="Q2543" s="32" t="n"/>
      <c r="U2543" s="31">
        <f>IF($A2543="","",SUM(X2543:AE2543))</f>
        <v/>
      </c>
      <c r="V2543" s="31">
        <f>IF($A2543="","",IF($H2543&lt;&gt;"Ausgabe",0,-$E2543-$U2543))</f>
        <v/>
      </c>
      <c r="W2543" s="33">
        <f>IF($A2543="","",DATE(YEAR($A2543),MONTH($A2543),1))</f>
        <v/>
      </c>
      <c r="X2543" s="34">
        <f>IF(OR($A2543="",$H2543&lt;&gt;"Ausgabe",J2543=""),0,IF(J2543="x",-$E2543/(COUNTIF($J2543:$Q2543,"x")+1),-$E2543*N(J2543)))</f>
        <v/>
      </c>
      <c r="Y2543" s="34">
        <f>IF(OR($A2543="",$H2543&lt;&gt;"Ausgabe",K2543=""),0,IF(K2543="x",-$E2543/(COUNTIF($J2543:$Q2543,"x")+1),-$E2543*N(K2543)))</f>
        <v/>
      </c>
      <c r="Z2543" s="34">
        <f>IF(OR($A2543="",$H2543&lt;&gt;"Ausgabe",L2543=""),0,IF(L2543="x",-$E2543/(COUNTIF($J2543:$Q2543,"x")+1),-$E2543*N(L2543)))</f>
        <v/>
      </c>
      <c r="AA2543" s="34">
        <f>IF(OR($A2543="",$H2543&lt;&gt;"Ausgabe",M2543=""),0,IF(M2543="x",-$E2543/(COUNTIF($J2543:$Q2543,"x")+1),-$E2543*N(M2543)))</f>
        <v/>
      </c>
      <c r="AB2543" s="34">
        <f>IF(OR($A2543="",$H2543&lt;&gt;"Ausgabe",N2543=""),0,IF(N2543="x",-$E2543/(COUNTIF($J2543:$Q2543,"x")+1),-$E2543*N(N2543)))</f>
        <v/>
      </c>
      <c r="AC2543" s="34">
        <f>IF(OR($A2543="",$H2543&lt;&gt;"Ausgabe",O2543=""),0,IF(O2543="x",-$E2543/(COUNTIF($J2543:$Q2543,"x")+1),-$E2543*N(O2543)))</f>
        <v/>
      </c>
      <c r="AD2543" s="34">
        <f>IF(OR($A2543="",$H2543&lt;&gt;"Ausgabe",P2543=""),0,IF(P2543="x",-$E2543/(COUNTIF($J2543:$Q2543,"x")+1),-$E2543*N(P2543)))</f>
        <v/>
      </c>
      <c r="AE2543" s="34">
        <f>IF(OR($A2543="",$H2543&lt;&gt;"Ausgabe",Q2543=""),0,IF(Q2543="x",-$E2543/(COUNTIF($J2543:$Q2543,"x")+1),-$E2543*N(Q2543)))</f>
        <v/>
      </c>
    </row>
    <row r="2544">
      <c r="A2544" s="30" t="n"/>
      <c r="E2544" s="31" t="n"/>
      <c r="J2544" s="32" t="n"/>
      <c r="K2544" s="32" t="n"/>
      <c r="L2544" s="32" t="n"/>
      <c r="M2544" s="32" t="n"/>
      <c r="N2544" s="32" t="n"/>
      <c r="O2544" s="32" t="n"/>
      <c r="P2544" s="32" t="n"/>
      <c r="Q2544" s="32" t="n"/>
      <c r="U2544" s="31">
        <f>IF($A2544="","",SUM(X2544:AE2544))</f>
        <v/>
      </c>
      <c r="V2544" s="31">
        <f>IF($A2544="","",IF($H2544&lt;&gt;"Ausgabe",0,-$E2544-$U2544))</f>
        <v/>
      </c>
      <c r="W2544" s="33">
        <f>IF($A2544="","",DATE(YEAR($A2544),MONTH($A2544),1))</f>
        <v/>
      </c>
      <c r="X2544" s="34">
        <f>IF(OR($A2544="",$H2544&lt;&gt;"Ausgabe",J2544=""),0,IF(J2544="x",-$E2544/(COUNTIF($J2544:$Q2544,"x")+1),-$E2544*N(J2544)))</f>
        <v/>
      </c>
      <c r="Y2544" s="34">
        <f>IF(OR($A2544="",$H2544&lt;&gt;"Ausgabe",K2544=""),0,IF(K2544="x",-$E2544/(COUNTIF($J2544:$Q2544,"x")+1),-$E2544*N(K2544)))</f>
        <v/>
      </c>
      <c r="Z2544" s="34">
        <f>IF(OR($A2544="",$H2544&lt;&gt;"Ausgabe",L2544=""),0,IF(L2544="x",-$E2544/(COUNTIF($J2544:$Q2544,"x")+1),-$E2544*N(L2544)))</f>
        <v/>
      </c>
      <c r="AA2544" s="34">
        <f>IF(OR($A2544="",$H2544&lt;&gt;"Ausgabe",M2544=""),0,IF(M2544="x",-$E2544/(COUNTIF($J2544:$Q2544,"x")+1),-$E2544*N(M2544)))</f>
        <v/>
      </c>
      <c r="AB2544" s="34">
        <f>IF(OR($A2544="",$H2544&lt;&gt;"Ausgabe",N2544=""),0,IF(N2544="x",-$E2544/(COUNTIF($J2544:$Q2544,"x")+1),-$E2544*N(N2544)))</f>
        <v/>
      </c>
      <c r="AC2544" s="34">
        <f>IF(OR($A2544="",$H2544&lt;&gt;"Ausgabe",O2544=""),0,IF(O2544="x",-$E2544/(COUNTIF($J2544:$Q2544,"x")+1),-$E2544*N(O2544)))</f>
        <v/>
      </c>
      <c r="AD2544" s="34">
        <f>IF(OR($A2544="",$H2544&lt;&gt;"Ausgabe",P2544=""),0,IF(P2544="x",-$E2544/(COUNTIF($J2544:$Q2544,"x")+1),-$E2544*N(P2544)))</f>
        <v/>
      </c>
      <c r="AE2544" s="34">
        <f>IF(OR($A2544="",$H2544&lt;&gt;"Ausgabe",Q2544=""),0,IF(Q2544="x",-$E2544/(COUNTIF($J2544:$Q2544,"x")+1),-$E2544*N(Q2544)))</f>
        <v/>
      </c>
    </row>
    <row r="2545">
      <c r="A2545" s="30" t="n"/>
      <c r="E2545" s="31" t="n"/>
      <c r="J2545" s="32" t="n"/>
      <c r="K2545" s="32" t="n"/>
      <c r="L2545" s="32" t="n"/>
      <c r="M2545" s="32" t="n"/>
      <c r="N2545" s="32" t="n"/>
      <c r="O2545" s="32" t="n"/>
      <c r="P2545" s="32" t="n"/>
      <c r="Q2545" s="32" t="n"/>
      <c r="U2545" s="31">
        <f>IF($A2545="","",SUM(X2545:AE2545))</f>
        <v/>
      </c>
      <c r="V2545" s="31">
        <f>IF($A2545="","",IF($H2545&lt;&gt;"Ausgabe",0,-$E2545-$U2545))</f>
        <v/>
      </c>
      <c r="W2545" s="33">
        <f>IF($A2545="","",DATE(YEAR($A2545),MONTH($A2545),1))</f>
        <v/>
      </c>
      <c r="X2545" s="34">
        <f>IF(OR($A2545="",$H2545&lt;&gt;"Ausgabe",J2545=""),0,IF(J2545="x",-$E2545/(COUNTIF($J2545:$Q2545,"x")+1),-$E2545*N(J2545)))</f>
        <v/>
      </c>
      <c r="Y2545" s="34">
        <f>IF(OR($A2545="",$H2545&lt;&gt;"Ausgabe",K2545=""),0,IF(K2545="x",-$E2545/(COUNTIF($J2545:$Q2545,"x")+1),-$E2545*N(K2545)))</f>
        <v/>
      </c>
      <c r="Z2545" s="34">
        <f>IF(OR($A2545="",$H2545&lt;&gt;"Ausgabe",L2545=""),0,IF(L2545="x",-$E2545/(COUNTIF($J2545:$Q2545,"x")+1),-$E2545*N(L2545)))</f>
        <v/>
      </c>
      <c r="AA2545" s="34">
        <f>IF(OR($A2545="",$H2545&lt;&gt;"Ausgabe",M2545=""),0,IF(M2545="x",-$E2545/(COUNTIF($J2545:$Q2545,"x")+1),-$E2545*N(M2545)))</f>
        <v/>
      </c>
      <c r="AB2545" s="34">
        <f>IF(OR($A2545="",$H2545&lt;&gt;"Ausgabe",N2545=""),0,IF(N2545="x",-$E2545/(COUNTIF($J2545:$Q2545,"x")+1),-$E2545*N(N2545)))</f>
        <v/>
      </c>
      <c r="AC2545" s="34">
        <f>IF(OR($A2545="",$H2545&lt;&gt;"Ausgabe",O2545=""),0,IF(O2545="x",-$E2545/(COUNTIF($J2545:$Q2545,"x")+1),-$E2545*N(O2545)))</f>
        <v/>
      </c>
      <c r="AD2545" s="34">
        <f>IF(OR($A2545="",$H2545&lt;&gt;"Ausgabe",P2545=""),0,IF(P2545="x",-$E2545/(COUNTIF($J2545:$Q2545,"x")+1),-$E2545*N(P2545)))</f>
        <v/>
      </c>
      <c r="AE2545" s="34">
        <f>IF(OR($A2545="",$H2545&lt;&gt;"Ausgabe",Q2545=""),0,IF(Q2545="x",-$E2545/(COUNTIF($J2545:$Q2545,"x")+1),-$E2545*N(Q2545)))</f>
        <v/>
      </c>
    </row>
    <row r="2546">
      <c r="A2546" s="30" t="n"/>
      <c r="E2546" s="31" t="n"/>
      <c r="J2546" s="32" t="n"/>
      <c r="K2546" s="32" t="n"/>
      <c r="L2546" s="32" t="n"/>
      <c r="M2546" s="32" t="n"/>
      <c r="N2546" s="32" t="n"/>
      <c r="O2546" s="32" t="n"/>
      <c r="P2546" s="32" t="n"/>
      <c r="Q2546" s="32" t="n"/>
      <c r="U2546" s="31">
        <f>IF($A2546="","",SUM(X2546:AE2546))</f>
        <v/>
      </c>
      <c r="V2546" s="31">
        <f>IF($A2546="","",IF($H2546&lt;&gt;"Ausgabe",0,-$E2546-$U2546))</f>
        <v/>
      </c>
      <c r="W2546" s="33">
        <f>IF($A2546="","",DATE(YEAR($A2546),MONTH($A2546),1))</f>
        <v/>
      </c>
      <c r="X2546" s="34">
        <f>IF(OR($A2546="",$H2546&lt;&gt;"Ausgabe",J2546=""),0,IF(J2546="x",-$E2546/(COUNTIF($J2546:$Q2546,"x")+1),-$E2546*N(J2546)))</f>
        <v/>
      </c>
      <c r="Y2546" s="34">
        <f>IF(OR($A2546="",$H2546&lt;&gt;"Ausgabe",K2546=""),0,IF(K2546="x",-$E2546/(COUNTIF($J2546:$Q2546,"x")+1),-$E2546*N(K2546)))</f>
        <v/>
      </c>
      <c r="Z2546" s="34">
        <f>IF(OR($A2546="",$H2546&lt;&gt;"Ausgabe",L2546=""),0,IF(L2546="x",-$E2546/(COUNTIF($J2546:$Q2546,"x")+1),-$E2546*N(L2546)))</f>
        <v/>
      </c>
      <c r="AA2546" s="34">
        <f>IF(OR($A2546="",$H2546&lt;&gt;"Ausgabe",M2546=""),0,IF(M2546="x",-$E2546/(COUNTIF($J2546:$Q2546,"x")+1),-$E2546*N(M2546)))</f>
        <v/>
      </c>
      <c r="AB2546" s="34">
        <f>IF(OR($A2546="",$H2546&lt;&gt;"Ausgabe",N2546=""),0,IF(N2546="x",-$E2546/(COUNTIF($J2546:$Q2546,"x")+1),-$E2546*N(N2546)))</f>
        <v/>
      </c>
      <c r="AC2546" s="34">
        <f>IF(OR($A2546="",$H2546&lt;&gt;"Ausgabe",O2546=""),0,IF(O2546="x",-$E2546/(COUNTIF($J2546:$Q2546,"x")+1),-$E2546*N(O2546)))</f>
        <v/>
      </c>
      <c r="AD2546" s="34">
        <f>IF(OR($A2546="",$H2546&lt;&gt;"Ausgabe",P2546=""),0,IF(P2546="x",-$E2546/(COUNTIF($J2546:$Q2546,"x")+1),-$E2546*N(P2546)))</f>
        <v/>
      </c>
      <c r="AE2546" s="34">
        <f>IF(OR($A2546="",$H2546&lt;&gt;"Ausgabe",Q2546=""),0,IF(Q2546="x",-$E2546/(COUNTIF($J2546:$Q2546,"x")+1),-$E2546*N(Q2546)))</f>
        <v/>
      </c>
    </row>
    <row r="2547">
      <c r="A2547" s="30" t="n"/>
      <c r="E2547" s="31" t="n"/>
      <c r="J2547" s="32" t="n"/>
      <c r="K2547" s="32" t="n"/>
      <c r="L2547" s="32" t="n"/>
      <c r="M2547" s="32" t="n"/>
      <c r="N2547" s="32" t="n"/>
      <c r="O2547" s="32" t="n"/>
      <c r="P2547" s="32" t="n"/>
      <c r="Q2547" s="32" t="n"/>
      <c r="U2547" s="31">
        <f>IF($A2547="","",SUM(X2547:AE2547))</f>
        <v/>
      </c>
      <c r="V2547" s="31">
        <f>IF($A2547="","",IF($H2547&lt;&gt;"Ausgabe",0,-$E2547-$U2547))</f>
        <v/>
      </c>
      <c r="W2547" s="33">
        <f>IF($A2547="","",DATE(YEAR($A2547),MONTH($A2547),1))</f>
        <v/>
      </c>
      <c r="X2547" s="34">
        <f>IF(OR($A2547="",$H2547&lt;&gt;"Ausgabe",J2547=""),0,IF(J2547="x",-$E2547/(COUNTIF($J2547:$Q2547,"x")+1),-$E2547*N(J2547)))</f>
        <v/>
      </c>
      <c r="Y2547" s="34">
        <f>IF(OR($A2547="",$H2547&lt;&gt;"Ausgabe",K2547=""),0,IF(K2547="x",-$E2547/(COUNTIF($J2547:$Q2547,"x")+1),-$E2547*N(K2547)))</f>
        <v/>
      </c>
      <c r="Z2547" s="34">
        <f>IF(OR($A2547="",$H2547&lt;&gt;"Ausgabe",L2547=""),0,IF(L2547="x",-$E2547/(COUNTIF($J2547:$Q2547,"x")+1),-$E2547*N(L2547)))</f>
        <v/>
      </c>
      <c r="AA2547" s="34">
        <f>IF(OR($A2547="",$H2547&lt;&gt;"Ausgabe",M2547=""),0,IF(M2547="x",-$E2547/(COUNTIF($J2547:$Q2547,"x")+1),-$E2547*N(M2547)))</f>
        <v/>
      </c>
      <c r="AB2547" s="34">
        <f>IF(OR($A2547="",$H2547&lt;&gt;"Ausgabe",N2547=""),0,IF(N2547="x",-$E2547/(COUNTIF($J2547:$Q2547,"x")+1),-$E2547*N(N2547)))</f>
        <v/>
      </c>
      <c r="AC2547" s="34">
        <f>IF(OR($A2547="",$H2547&lt;&gt;"Ausgabe",O2547=""),0,IF(O2547="x",-$E2547/(COUNTIF($J2547:$Q2547,"x")+1),-$E2547*N(O2547)))</f>
        <v/>
      </c>
      <c r="AD2547" s="34">
        <f>IF(OR($A2547="",$H2547&lt;&gt;"Ausgabe",P2547=""),0,IF(P2547="x",-$E2547/(COUNTIF($J2547:$Q2547,"x")+1),-$E2547*N(P2547)))</f>
        <v/>
      </c>
      <c r="AE2547" s="34">
        <f>IF(OR($A2547="",$H2547&lt;&gt;"Ausgabe",Q2547=""),0,IF(Q2547="x",-$E2547/(COUNTIF($J2547:$Q2547,"x")+1),-$E2547*N(Q2547)))</f>
        <v/>
      </c>
    </row>
    <row r="2548">
      <c r="A2548" s="30" t="n"/>
      <c r="E2548" s="31" t="n"/>
      <c r="J2548" s="32" t="n"/>
      <c r="K2548" s="32" t="n"/>
      <c r="L2548" s="32" t="n"/>
      <c r="M2548" s="32" t="n"/>
      <c r="N2548" s="32" t="n"/>
      <c r="O2548" s="32" t="n"/>
      <c r="P2548" s="32" t="n"/>
      <c r="Q2548" s="32" t="n"/>
      <c r="U2548" s="31">
        <f>IF($A2548="","",SUM(X2548:AE2548))</f>
        <v/>
      </c>
      <c r="V2548" s="31">
        <f>IF($A2548="","",IF($H2548&lt;&gt;"Ausgabe",0,-$E2548-$U2548))</f>
        <v/>
      </c>
      <c r="W2548" s="33">
        <f>IF($A2548="","",DATE(YEAR($A2548),MONTH($A2548),1))</f>
        <v/>
      </c>
      <c r="X2548" s="34">
        <f>IF(OR($A2548="",$H2548&lt;&gt;"Ausgabe",J2548=""),0,IF(J2548="x",-$E2548/(COUNTIF($J2548:$Q2548,"x")+1),-$E2548*N(J2548)))</f>
        <v/>
      </c>
      <c r="Y2548" s="34">
        <f>IF(OR($A2548="",$H2548&lt;&gt;"Ausgabe",K2548=""),0,IF(K2548="x",-$E2548/(COUNTIF($J2548:$Q2548,"x")+1),-$E2548*N(K2548)))</f>
        <v/>
      </c>
      <c r="Z2548" s="34">
        <f>IF(OR($A2548="",$H2548&lt;&gt;"Ausgabe",L2548=""),0,IF(L2548="x",-$E2548/(COUNTIF($J2548:$Q2548,"x")+1),-$E2548*N(L2548)))</f>
        <v/>
      </c>
      <c r="AA2548" s="34">
        <f>IF(OR($A2548="",$H2548&lt;&gt;"Ausgabe",M2548=""),0,IF(M2548="x",-$E2548/(COUNTIF($J2548:$Q2548,"x")+1),-$E2548*N(M2548)))</f>
        <v/>
      </c>
      <c r="AB2548" s="34">
        <f>IF(OR($A2548="",$H2548&lt;&gt;"Ausgabe",N2548=""),0,IF(N2548="x",-$E2548/(COUNTIF($J2548:$Q2548,"x")+1),-$E2548*N(N2548)))</f>
        <v/>
      </c>
      <c r="AC2548" s="34">
        <f>IF(OR($A2548="",$H2548&lt;&gt;"Ausgabe",O2548=""),0,IF(O2548="x",-$E2548/(COUNTIF($J2548:$Q2548,"x")+1),-$E2548*N(O2548)))</f>
        <v/>
      </c>
      <c r="AD2548" s="34">
        <f>IF(OR($A2548="",$H2548&lt;&gt;"Ausgabe",P2548=""),0,IF(P2548="x",-$E2548/(COUNTIF($J2548:$Q2548,"x")+1),-$E2548*N(P2548)))</f>
        <v/>
      </c>
      <c r="AE2548" s="34">
        <f>IF(OR($A2548="",$H2548&lt;&gt;"Ausgabe",Q2548=""),0,IF(Q2548="x",-$E2548/(COUNTIF($J2548:$Q2548,"x")+1),-$E2548*N(Q2548)))</f>
        <v/>
      </c>
    </row>
    <row r="2549">
      <c r="A2549" s="30" t="n"/>
      <c r="E2549" s="31" t="n"/>
      <c r="J2549" s="32" t="n"/>
      <c r="K2549" s="32" t="n"/>
      <c r="L2549" s="32" t="n"/>
      <c r="M2549" s="32" t="n"/>
      <c r="N2549" s="32" t="n"/>
      <c r="O2549" s="32" t="n"/>
      <c r="P2549" s="32" t="n"/>
      <c r="Q2549" s="32" t="n"/>
      <c r="U2549" s="31">
        <f>IF($A2549="","",SUM(X2549:AE2549))</f>
        <v/>
      </c>
      <c r="V2549" s="31">
        <f>IF($A2549="","",IF($H2549&lt;&gt;"Ausgabe",0,-$E2549-$U2549))</f>
        <v/>
      </c>
      <c r="W2549" s="33">
        <f>IF($A2549="","",DATE(YEAR($A2549),MONTH($A2549),1))</f>
        <v/>
      </c>
      <c r="X2549" s="34">
        <f>IF(OR($A2549="",$H2549&lt;&gt;"Ausgabe",J2549=""),0,IF(J2549="x",-$E2549/(COUNTIF($J2549:$Q2549,"x")+1),-$E2549*N(J2549)))</f>
        <v/>
      </c>
      <c r="Y2549" s="34">
        <f>IF(OR($A2549="",$H2549&lt;&gt;"Ausgabe",K2549=""),0,IF(K2549="x",-$E2549/(COUNTIF($J2549:$Q2549,"x")+1),-$E2549*N(K2549)))</f>
        <v/>
      </c>
      <c r="Z2549" s="34">
        <f>IF(OR($A2549="",$H2549&lt;&gt;"Ausgabe",L2549=""),0,IF(L2549="x",-$E2549/(COUNTIF($J2549:$Q2549,"x")+1),-$E2549*N(L2549)))</f>
        <v/>
      </c>
      <c r="AA2549" s="34">
        <f>IF(OR($A2549="",$H2549&lt;&gt;"Ausgabe",M2549=""),0,IF(M2549="x",-$E2549/(COUNTIF($J2549:$Q2549,"x")+1),-$E2549*N(M2549)))</f>
        <v/>
      </c>
      <c r="AB2549" s="34">
        <f>IF(OR($A2549="",$H2549&lt;&gt;"Ausgabe",N2549=""),0,IF(N2549="x",-$E2549/(COUNTIF($J2549:$Q2549,"x")+1),-$E2549*N(N2549)))</f>
        <v/>
      </c>
      <c r="AC2549" s="34">
        <f>IF(OR($A2549="",$H2549&lt;&gt;"Ausgabe",O2549=""),0,IF(O2549="x",-$E2549/(COUNTIF($J2549:$Q2549,"x")+1),-$E2549*N(O2549)))</f>
        <v/>
      </c>
      <c r="AD2549" s="34">
        <f>IF(OR($A2549="",$H2549&lt;&gt;"Ausgabe",P2549=""),0,IF(P2549="x",-$E2549/(COUNTIF($J2549:$Q2549,"x")+1),-$E2549*N(P2549)))</f>
        <v/>
      </c>
      <c r="AE2549" s="34">
        <f>IF(OR($A2549="",$H2549&lt;&gt;"Ausgabe",Q2549=""),0,IF(Q2549="x",-$E2549/(COUNTIF($J2549:$Q2549,"x")+1),-$E2549*N(Q2549)))</f>
        <v/>
      </c>
    </row>
    <row r="2550">
      <c r="A2550" s="30" t="n"/>
      <c r="E2550" s="31" t="n"/>
      <c r="J2550" s="32" t="n"/>
      <c r="K2550" s="32" t="n"/>
      <c r="L2550" s="32" t="n"/>
      <c r="M2550" s="32" t="n"/>
      <c r="N2550" s="32" t="n"/>
      <c r="O2550" s="32" t="n"/>
      <c r="P2550" s="32" t="n"/>
      <c r="Q2550" s="32" t="n"/>
      <c r="U2550" s="31">
        <f>IF($A2550="","",SUM(X2550:AE2550))</f>
        <v/>
      </c>
      <c r="V2550" s="31">
        <f>IF($A2550="","",IF($H2550&lt;&gt;"Ausgabe",0,-$E2550-$U2550))</f>
        <v/>
      </c>
      <c r="W2550" s="33">
        <f>IF($A2550="","",DATE(YEAR($A2550),MONTH($A2550),1))</f>
        <v/>
      </c>
      <c r="X2550" s="34">
        <f>IF(OR($A2550="",$H2550&lt;&gt;"Ausgabe",J2550=""),0,IF(J2550="x",-$E2550/(COUNTIF($J2550:$Q2550,"x")+1),-$E2550*N(J2550)))</f>
        <v/>
      </c>
      <c r="Y2550" s="34">
        <f>IF(OR($A2550="",$H2550&lt;&gt;"Ausgabe",K2550=""),0,IF(K2550="x",-$E2550/(COUNTIF($J2550:$Q2550,"x")+1),-$E2550*N(K2550)))</f>
        <v/>
      </c>
      <c r="Z2550" s="34">
        <f>IF(OR($A2550="",$H2550&lt;&gt;"Ausgabe",L2550=""),0,IF(L2550="x",-$E2550/(COUNTIF($J2550:$Q2550,"x")+1),-$E2550*N(L2550)))</f>
        <v/>
      </c>
      <c r="AA2550" s="34">
        <f>IF(OR($A2550="",$H2550&lt;&gt;"Ausgabe",M2550=""),0,IF(M2550="x",-$E2550/(COUNTIF($J2550:$Q2550,"x")+1),-$E2550*N(M2550)))</f>
        <v/>
      </c>
      <c r="AB2550" s="34">
        <f>IF(OR($A2550="",$H2550&lt;&gt;"Ausgabe",N2550=""),0,IF(N2550="x",-$E2550/(COUNTIF($J2550:$Q2550,"x")+1),-$E2550*N(N2550)))</f>
        <v/>
      </c>
      <c r="AC2550" s="34">
        <f>IF(OR($A2550="",$H2550&lt;&gt;"Ausgabe",O2550=""),0,IF(O2550="x",-$E2550/(COUNTIF($J2550:$Q2550,"x")+1),-$E2550*N(O2550)))</f>
        <v/>
      </c>
      <c r="AD2550" s="34">
        <f>IF(OR($A2550="",$H2550&lt;&gt;"Ausgabe",P2550=""),0,IF(P2550="x",-$E2550/(COUNTIF($J2550:$Q2550,"x")+1),-$E2550*N(P2550)))</f>
        <v/>
      </c>
      <c r="AE2550" s="34">
        <f>IF(OR($A2550="",$H2550&lt;&gt;"Ausgabe",Q2550=""),0,IF(Q2550="x",-$E2550/(COUNTIF($J2550:$Q2550,"x")+1),-$E2550*N(Q2550)))</f>
        <v/>
      </c>
    </row>
    <row r="2551">
      <c r="A2551" s="30" t="n"/>
      <c r="E2551" s="31" t="n"/>
      <c r="J2551" s="32" t="n"/>
      <c r="K2551" s="32" t="n"/>
      <c r="L2551" s="32" t="n"/>
      <c r="M2551" s="32" t="n"/>
      <c r="N2551" s="32" t="n"/>
      <c r="O2551" s="32" t="n"/>
      <c r="P2551" s="32" t="n"/>
      <c r="Q2551" s="32" t="n"/>
      <c r="U2551" s="31">
        <f>IF($A2551="","",SUM(X2551:AE2551))</f>
        <v/>
      </c>
      <c r="V2551" s="31">
        <f>IF($A2551="","",IF($H2551&lt;&gt;"Ausgabe",0,-$E2551-$U2551))</f>
        <v/>
      </c>
      <c r="W2551" s="33">
        <f>IF($A2551="","",DATE(YEAR($A2551),MONTH($A2551),1))</f>
        <v/>
      </c>
      <c r="X2551" s="34">
        <f>IF(OR($A2551="",$H2551&lt;&gt;"Ausgabe",J2551=""),0,IF(J2551="x",-$E2551/(COUNTIF($J2551:$Q2551,"x")+1),-$E2551*N(J2551)))</f>
        <v/>
      </c>
      <c r="Y2551" s="34">
        <f>IF(OR($A2551="",$H2551&lt;&gt;"Ausgabe",K2551=""),0,IF(K2551="x",-$E2551/(COUNTIF($J2551:$Q2551,"x")+1),-$E2551*N(K2551)))</f>
        <v/>
      </c>
      <c r="Z2551" s="34">
        <f>IF(OR($A2551="",$H2551&lt;&gt;"Ausgabe",L2551=""),0,IF(L2551="x",-$E2551/(COUNTIF($J2551:$Q2551,"x")+1),-$E2551*N(L2551)))</f>
        <v/>
      </c>
      <c r="AA2551" s="34">
        <f>IF(OR($A2551="",$H2551&lt;&gt;"Ausgabe",M2551=""),0,IF(M2551="x",-$E2551/(COUNTIF($J2551:$Q2551,"x")+1),-$E2551*N(M2551)))</f>
        <v/>
      </c>
      <c r="AB2551" s="34">
        <f>IF(OR($A2551="",$H2551&lt;&gt;"Ausgabe",N2551=""),0,IF(N2551="x",-$E2551/(COUNTIF($J2551:$Q2551,"x")+1),-$E2551*N(N2551)))</f>
        <v/>
      </c>
      <c r="AC2551" s="34">
        <f>IF(OR($A2551="",$H2551&lt;&gt;"Ausgabe",O2551=""),0,IF(O2551="x",-$E2551/(COUNTIF($J2551:$Q2551,"x")+1),-$E2551*N(O2551)))</f>
        <v/>
      </c>
      <c r="AD2551" s="34">
        <f>IF(OR($A2551="",$H2551&lt;&gt;"Ausgabe",P2551=""),0,IF(P2551="x",-$E2551/(COUNTIF($J2551:$Q2551,"x")+1),-$E2551*N(P2551)))</f>
        <v/>
      </c>
      <c r="AE2551" s="34">
        <f>IF(OR($A2551="",$H2551&lt;&gt;"Ausgabe",Q2551=""),0,IF(Q2551="x",-$E2551/(COUNTIF($J2551:$Q2551,"x")+1),-$E2551*N(Q2551)))</f>
        <v/>
      </c>
    </row>
    <row r="2552">
      <c r="A2552" s="30" t="n"/>
      <c r="E2552" s="31" t="n"/>
      <c r="J2552" s="32" t="n"/>
      <c r="K2552" s="32" t="n"/>
      <c r="L2552" s="32" t="n"/>
      <c r="M2552" s="32" t="n"/>
      <c r="N2552" s="32" t="n"/>
      <c r="O2552" s="32" t="n"/>
      <c r="P2552" s="32" t="n"/>
      <c r="Q2552" s="32" t="n"/>
      <c r="U2552" s="31">
        <f>IF($A2552="","",SUM(X2552:AE2552))</f>
        <v/>
      </c>
      <c r="V2552" s="31">
        <f>IF($A2552="","",IF($H2552&lt;&gt;"Ausgabe",0,-$E2552-$U2552))</f>
        <v/>
      </c>
      <c r="W2552" s="33">
        <f>IF($A2552="","",DATE(YEAR($A2552),MONTH($A2552),1))</f>
        <v/>
      </c>
      <c r="X2552" s="34">
        <f>IF(OR($A2552="",$H2552&lt;&gt;"Ausgabe",J2552=""),0,IF(J2552="x",-$E2552/(COUNTIF($J2552:$Q2552,"x")+1),-$E2552*N(J2552)))</f>
        <v/>
      </c>
      <c r="Y2552" s="34">
        <f>IF(OR($A2552="",$H2552&lt;&gt;"Ausgabe",K2552=""),0,IF(K2552="x",-$E2552/(COUNTIF($J2552:$Q2552,"x")+1),-$E2552*N(K2552)))</f>
        <v/>
      </c>
      <c r="Z2552" s="34">
        <f>IF(OR($A2552="",$H2552&lt;&gt;"Ausgabe",L2552=""),0,IF(L2552="x",-$E2552/(COUNTIF($J2552:$Q2552,"x")+1),-$E2552*N(L2552)))</f>
        <v/>
      </c>
      <c r="AA2552" s="34">
        <f>IF(OR($A2552="",$H2552&lt;&gt;"Ausgabe",M2552=""),0,IF(M2552="x",-$E2552/(COUNTIF($J2552:$Q2552,"x")+1),-$E2552*N(M2552)))</f>
        <v/>
      </c>
      <c r="AB2552" s="34">
        <f>IF(OR($A2552="",$H2552&lt;&gt;"Ausgabe",N2552=""),0,IF(N2552="x",-$E2552/(COUNTIF($J2552:$Q2552,"x")+1),-$E2552*N(N2552)))</f>
        <v/>
      </c>
      <c r="AC2552" s="34">
        <f>IF(OR($A2552="",$H2552&lt;&gt;"Ausgabe",O2552=""),0,IF(O2552="x",-$E2552/(COUNTIF($J2552:$Q2552,"x")+1),-$E2552*N(O2552)))</f>
        <v/>
      </c>
      <c r="AD2552" s="34">
        <f>IF(OR($A2552="",$H2552&lt;&gt;"Ausgabe",P2552=""),0,IF(P2552="x",-$E2552/(COUNTIF($J2552:$Q2552,"x")+1),-$E2552*N(P2552)))</f>
        <v/>
      </c>
      <c r="AE2552" s="34">
        <f>IF(OR($A2552="",$H2552&lt;&gt;"Ausgabe",Q2552=""),0,IF(Q2552="x",-$E2552/(COUNTIF($J2552:$Q2552,"x")+1),-$E2552*N(Q2552)))</f>
        <v/>
      </c>
    </row>
    <row r="2553">
      <c r="A2553" s="30" t="n"/>
      <c r="E2553" s="31" t="n"/>
      <c r="J2553" s="32" t="n"/>
      <c r="K2553" s="32" t="n"/>
      <c r="L2553" s="32" t="n"/>
      <c r="M2553" s="32" t="n"/>
      <c r="N2553" s="32" t="n"/>
      <c r="O2553" s="32" t="n"/>
      <c r="P2553" s="32" t="n"/>
      <c r="Q2553" s="32" t="n"/>
      <c r="U2553" s="31">
        <f>IF($A2553="","",SUM(X2553:AE2553))</f>
        <v/>
      </c>
      <c r="V2553" s="31">
        <f>IF($A2553="","",IF($H2553&lt;&gt;"Ausgabe",0,-$E2553-$U2553))</f>
        <v/>
      </c>
      <c r="W2553" s="33">
        <f>IF($A2553="","",DATE(YEAR($A2553),MONTH($A2553),1))</f>
        <v/>
      </c>
      <c r="X2553" s="34">
        <f>IF(OR($A2553="",$H2553&lt;&gt;"Ausgabe",J2553=""),0,IF(J2553="x",-$E2553/(COUNTIF($J2553:$Q2553,"x")+1),-$E2553*N(J2553)))</f>
        <v/>
      </c>
      <c r="Y2553" s="34">
        <f>IF(OR($A2553="",$H2553&lt;&gt;"Ausgabe",K2553=""),0,IF(K2553="x",-$E2553/(COUNTIF($J2553:$Q2553,"x")+1),-$E2553*N(K2553)))</f>
        <v/>
      </c>
      <c r="Z2553" s="34">
        <f>IF(OR($A2553="",$H2553&lt;&gt;"Ausgabe",L2553=""),0,IF(L2553="x",-$E2553/(COUNTIF($J2553:$Q2553,"x")+1),-$E2553*N(L2553)))</f>
        <v/>
      </c>
      <c r="AA2553" s="34">
        <f>IF(OR($A2553="",$H2553&lt;&gt;"Ausgabe",M2553=""),0,IF(M2553="x",-$E2553/(COUNTIF($J2553:$Q2553,"x")+1),-$E2553*N(M2553)))</f>
        <v/>
      </c>
      <c r="AB2553" s="34">
        <f>IF(OR($A2553="",$H2553&lt;&gt;"Ausgabe",N2553=""),0,IF(N2553="x",-$E2553/(COUNTIF($J2553:$Q2553,"x")+1),-$E2553*N(N2553)))</f>
        <v/>
      </c>
      <c r="AC2553" s="34">
        <f>IF(OR($A2553="",$H2553&lt;&gt;"Ausgabe",O2553=""),0,IF(O2553="x",-$E2553/(COUNTIF($J2553:$Q2553,"x")+1),-$E2553*N(O2553)))</f>
        <v/>
      </c>
      <c r="AD2553" s="34">
        <f>IF(OR($A2553="",$H2553&lt;&gt;"Ausgabe",P2553=""),0,IF(P2553="x",-$E2553/(COUNTIF($J2553:$Q2553,"x")+1),-$E2553*N(P2553)))</f>
        <v/>
      </c>
      <c r="AE2553" s="34">
        <f>IF(OR($A2553="",$H2553&lt;&gt;"Ausgabe",Q2553=""),0,IF(Q2553="x",-$E2553/(COUNTIF($J2553:$Q2553,"x")+1),-$E2553*N(Q2553)))</f>
        <v/>
      </c>
    </row>
    <row r="2554">
      <c r="A2554" s="30" t="n"/>
      <c r="E2554" s="31" t="n"/>
      <c r="J2554" s="32" t="n"/>
      <c r="K2554" s="32" t="n"/>
      <c r="L2554" s="32" t="n"/>
      <c r="M2554" s="32" t="n"/>
      <c r="N2554" s="32" t="n"/>
      <c r="O2554" s="32" t="n"/>
      <c r="P2554" s="32" t="n"/>
      <c r="Q2554" s="32" t="n"/>
      <c r="U2554" s="31">
        <f>IF($A2554="","",SUM(X2554:AE2554))</f>
        <v/>
      </c>
      <c r="V2554" s="31">
        <f>IF($A2554="","",IF($H2554&lt;&gt;"Ausgabe",0,-$E2554-$U2554))</f>
        <v/>
      </c>
      <c r="W2554" s="33">
        <f>IF($A2554="","",DATE(YEAR($A2554),MONTH($A2554),1))</f>
        <v/>
      </c>
      <c r="X2554" s="34">
        <f>IF(OR($A2554="",$H2554&lt;&gt;"Ausgabe",J2554=""),0,IF(J2554="x",-$E2554/(COUNTIF($J2554:$Q2554,"x")+1),-$E2554*N(J2554)))</f>
        <v/>
      </c>
      <c r="Y2554" s="34">
        <f>IF(OR($A2554="",$H2554&lt;&gt;"Ausgabe",K2554=""),0,IF(K2554="x",-$E2554/(COUNTIF($J2554:$Q2554,"x")+1),-$E2554*N(K2554)))</f>
        <v/>
      </c>
      <c r="Z2554" s="34">
        <f>IF(OR($A2554="",$H2554&lt;&gt;"Ausgabe",L2554=""),0,IF(L2554="x",-$E2554/(COUNTIF($J2554:$Q2554,"x")+1),-$E2554*N(L2554)))</f>
        <v/>
      </c>
      <c r="AA2554" s="34">
        <f>IF(OR($A2554="",$H2554&lt;&gt;"Ausgabe",M2554=""),0,IF(M2554="x",-$E2554/(COUNTIF($J2554:$Q2554,"x")+1),-$E2554*N(M2554)))</f>
        <v/>
      </c>
      <c r="AB2554" s="34">
        <f>IF(OR($A2554="",$H2554&lt;&gt;"Ausgabe",N2554=""),0,IF(N2554="x",-$E2554/(COUNTIF($J2554:$Q2554,"x")+1),-$E2554*N(N2554)))</f>
        <v/>
      </c>
      <c r="AC2554" s="34">
        <f>IF(OR($A2554="",$H2554&lt;&gt;"Ausgabe",O2554=""),0,IF(O2554="x",-$E2554/(COUNTIF($J2554:$Q2554,"x")+1),-$E2554*N(O2554)))</f>
        <v/>
      </c>
      <c r="AD2554" s="34">
        <f>IF(OR($A2554="",$H2554&lt;&gt;"Ausgabe",P2554=""),0,IF(P2554="x",-$E2554/(COUNTIF($J2554:$Q2554,"x")+1),-$E2554*N(P2554)))</f>
        <v/>
      </c>
      <c r="AE2554" s="34">
        <f>IF(OR($A2554="",$H2554&lt;&gt;"Ausgabe",Q2554=""),0,IF(Q2554="x",-$E2554/(COUNTIF($J2554:$Q2554,"x")+1),-$E2554*N(Q2554)))</f>
        <v/>
      </c>
    </row>
    <row r="2555">
      <c r="A2555" s="30" t="n"/>
      <c r="E2555" s="31" t="n"/>
      <c r="J2555" s="32" t="n"/>
      <c r="K2555" s="32" t="n"/>
      <c r="L2555" s="32" t="n"/>
      <c r="M2555" s="32" t="n"/>
      <c r="N2555" s="32" t="n"/>
      <c r="O2555" s="32" t="n"/>
      <c r="P2555" s="32" t="n"/>
      <c r="Q2555" s="32" t="n"/>
      <c r="U2555" s="31">
        <f>IF($A2555="","",SUM(X2555:AE2555))</f>
        <v/>
      </c>
      <c r="V2555" s="31">
        <f>IF($A2555="","",IF($H2555&lt;&gt;"Ausgabe",0,-$E2555-$U2555))</f>
        <v/>
      </c>
      <c r="W2555" s="33">
        <f>IF($A2555="","",DATE(YEAR($A2555),MONTH($A2555),1))</f>
        <v/>
      </c>
      <c r="X2555" s="34">
        <f>IF(OR($A2555="",$H2555&lt;&gt;"Ausgabe",J2555=""),0,IF(J2555="x",-$E2555/(COUNTIF($J2555:$Q2555,"x")+1),-$E2555*N(J2555)))</f>
        <v/>
      </c>
      <c r="Y2555" s="34">
        <f>IF(OR($A2555="",$H2555&lt;&gt;"Ausgabe",K2555=""),0,IF(K2555="x",-$E2555/(COUNTIF($J2555:$Q2555,"x")+1),-$E2555*N(K2555)))</f>
        <v/>
      </c>
      <c r="Z2555" s="34">
        <f>IF(OR($A2555="",$H2555&lt;&gt;"Ausgabe",L2555=""),0,IF(L2555="x",-$E2555/(COUNTIF($J2555:$Q2555,"x")+1),-$E2555*N(L2555)))</f>
        <v/>
      </c>
      <c r="AA2555" s="34">
        <f>IF(OR($A2555="",$H2555&lt;&gt;"Ausgabe",M2555=""),0,IF(M2555="x",-$E2555/(COUNTIF($J2555:$Q2555,"x")+1),-$E2555*N(M2555)))</f>
        <v/>
      </c>
      <c r="AB2555" s="34">
        <f>IF(OR($A2555="",$H2555&lt;&gt;"Ausgabe",N2555=""),0,IF(N2555="x",-$E2555/(COUNTIF($J2555:$Q2555,"x")+1),-$E2555*N(N2555)))</f>
        <v/>
      </c>
      <c r="AC2555" s="34">
        <f>IF(OR($A2555="",$H2555&lt;&gt;"Ausgabe",O2555=""),0,IF(O2555="x",-$E2555/(COUNTIF($J2555:$Q2555,"x")+1),-$E2555*N(O2555)))</f>
        <v/>
      </c>
      <c r="AD2555" s="34">
        <f>IF(OR($A2555="",$H2555&lt;&gt;"Ausgabe",P2555=""),0,IF(P2555="x",-$E2555/(COUNTIF($J2555:$Q2555,"x")+1),-$E2555*N(P2555)))</f>
        <v/>
      </c>
      <c r="AE2555" s="34">
        <f>IF(OR($A2555="",$H2555&lt;&gt;"Ausgabe",Q2555=""),0,IF(Q2555="x",-$E2555/(COUNTIF($J2555:$Q2555,"x")+1),-$E2555*N(Q2555)))</f>
        <v/>
      </c>
    </row>
    <row r="2556">
      <c r="A2556" s="30" t="n"/>
      <c r="E2556" s="31" t="n"/>
      <c r="J2556" s="32" t="n"/>
      <c r="K2556" s="32" t="n"/>
      <c r="L2556" s="32" t="n"/>
      <c r="M2556" s="32" t="n"/>
      <c r="N2556" s="32" t="n"/>
      <c r="O2556" s="32" t="n"/>
      <c r="P2556" s="32" t="n"/>
      <c r="Q2556" s="32" t="n"/>
      <c r="U2556" s="31">
        <f>IF($A2556="","",SUM(X2556:AE2556))</f>
        <v/>
      </c>
      <c r="V2556" s="31">
        <f>IF($A2556="","",IF($H2556&lt;&gt;"Ausgabe",0,-$E2556-$U2556))</f>
        <v/>
      </c>
      <c r="W2556" s="33">
        <f>IF($A2556="","",DATE(YEAR($A2556),MONTH($A2556),1))</f>
        <v/>
      </c>
      <c r="X2556" s="34">
        <f>IF(OR($A2556="",$H2556&lt;&gt;"Ausgabe",J2556=""),0,IF(J2556="x",-$E2556/(COUNTIF($J2556:$Q2556,"x")+1),-$E2556*N(J2556)))</f>
        <v/>
      </c>
      <c r="Y2556" s="34">
        <f>IF(OR($A2556="",$H2556&lt;&gt;"Ausgabe",K2556=""),0,IF(K2556="x",-$E2556/(COUNTIF($J2556:$Q2556,"x")+1),-$E2556*N(K2556)))</f>
        <v/>
      </c>
      <c r="Z2556" s="34">
        <f>IF(OR($A2556="",$H2556&lt;&gt;"Ausgabe",L2556=""),0,IF(L2556="x",-$E2556/(COUNTIF($J2556:$Q2556,"x")+1),-$E2556*N(L2556)))</f>
        <v/>
      </c>
      <c r="AA2556" s="34">
        <f>IF(OR($A2556="",$H2556&lt;&gt;"Ausgabe",M2556=""),0,IF(M2556="x",-$E2556/(COUNTIF($J2556:$Q2556,"x")+1),-$E2556*N(M2556)))</f>
        <v/>
      </c>
      <c r="AB2556" s="34">
        <f>IF(OR($A2556="",$H2556&lt;&gt;"Ausgabe",N2556=""),0,IF(N2556="x",-$E2556/(COUNTIF($J2556:$Q2556,"x")+1),-$E2556*N(N2556)))</f>
        <v/>
      </c>
      <c r="AC2556" s="34">
        <f>IF(OR($A2556="",$H2556&lt;&gt;"Ausgabe",O2556=""),0,IF(O2556="x",-$E2556/(COUNTIF($J2556:$Q2556,"x")+1),-$E2556*N(O2556)))</f>
        <v/>
      </c>
      <c r="AD2556" s="34">
        <f>IF(OR($A2556="",$H2556&lt;&gt;"Ausgabe",P2556=""),0,IF(P2556="x",-$E2556/(COUNTIF($J2556:$Q2556,"x")+1),-$E2556*N(P2556)))</f>
        <v/>
      </c>
      <c r="AE2556" s="34">
        <f>IF(OR($A2556="",$H2556&lt;&gt;"Ausgabe",Q2556=""),0,IF(Q2556="x",-$E2556/(COUNTIF($J2556:$Q2556,"x")+1),-$E2556*N(Q2556)))</f>
        <v/>
      </c>
    </row>
    <row r="2557">
      <c r="A2557" s="30" t="n"/>
      <c r="E2557" s="31" t="n"/>
      <c r="J2557" s="32" t="n"/>
      <c r="K2557" s="32" t="n"/>
      <c r="L2557" s="32" t="n"/>
      <c r="M2557" s="32" t="n"/>
      <c r="N2557" s="32" t="n"/>
      <c r="O2557" s="32" t="n"/>
      <c r="P2557" s="32" t="n"/>
      <c r="Q2557" s="32" t="n"/>
      <c r="U2557" s="31">
        <f>IF($A2557="","",SUM(X2557:AE2557))</f>
        <v/>
      </c>
      <c r="V2557" s="31">
        <f>IF($A2557="","",IF($H2557&lt;&gt;"Ausgabe",0,-$E2557-$U2557))</f>
        <v/>
      </c>
      <c r="W2557" s="33">
        <f>IF($A2557="","",DATE(YEAR($A2557),MONTH($A2557),1))</f>
        <v/>
      </c>
      <c r="X2557" s="34">
        <f>IF(OR($A2557="",$H2557&lt;&gt;"Ausgabe",J2557=""),0,IF(J2557="x",-$E2557/(COUNTIF($J2557:$Q2557,"x")+1),-$E2557*N(J2557)))</f>
        <v/>
      </c>
      <c r="Y2557" s="34">
        <f>IF(OR($A2557="",$H2557&lt;&gt;"Ausgabe",K2557=""),0,IF(K2557="x",-$E2557/(COUNTIF($J2557:$Q2557,"x")+1),-$E2557*N(K2557)))</f>
        <v/>
      </c>
      <c r="Z2557" s="34">
        <f>IF(OR($A2557="",$H2557&lt;&gt;"Ausgabe",L2557=""),0,IF(L2557="x",-$E2557/(COUNTIF($J2557:$Q2557,"x")+1),-$E2557*N(L2557)))</f>
        <v/>
      </c>
      <c r="AA2557" s="34">
        <f>IF(OR($A2557="",$H2557&lt;&gt;"Ausgabe",M2557=""),0,IF(M2557="x",-$E2557/(COUNTIF($J2557:$Q2557,"x")+1),-$E2557*N(M2557)))</f>
        <v/>
      </c>
      <c r="AB2557" s="34">
        <f>IF(OR($A2557="",$H2557&lt;&gt;"Ausgabe",N2557=""),0,IF(N2557="x",-$E2557/(COUNTIF($J2557:$Q2557,"x")+1),-$E2557*N(N2557)))</f>
        <v/>
      </c>
      <c r="AC2557" s="34">
        <f>IF(OR($A2557="",$H2557&lt;&gt;"Ausgabe",O2557=""),0,IF(O2557="x",-$E2557/(COUNTIF($J2557:$Q2557,"x")+1),-$E2557*N(O2557)))</f>
        <v/>
      </c>
      <c r="AD2557" s="34">
        <f>IF(OR($A2557="",$H2557&lt;&gt;"Ausgabe",P2557=""),0,IF(P2557="x",-$E2557/(COUNTIF($J2557:$Q2557,"x")+1),-$E2557*N(P2557)))</f>
        <v/>
      </c>
      <c r="AE2557" s="34">
        <f>IF(OR($A2557="",$H2557&lt;&gt;"Ausgabe",Q2557=""),0,IF(Q2557="x",-$E2557/(COUNTIF($J2557:$Q2557,"x")+1),-$E2557*N(Q2557)))</f>
        <v/>
      </c>
    </row>
    <row r="2558">
      <c r="A2558" s="30" t="n"/>
      <c r="E2558" s="31" t="n"/>
      <c r="J2558" s="32" t="n"/>
      <c r="K2558" s="32" t="n"/>
      <c r="L2558" s="32" t="n"/>
      <c r="M2558" s="32" t="n"/>
      <c r="N2558" s="32" t="n"/>
      <c r="O2558" s="32" t="n"/>
      <c r="P2558" s="32" t="n"/>
      <c r="Q2558" s="32" t="n"/>
      <c r="U2558" s="31">
        <f>IF($A2558="","",SUM(X2558:AE2558))</f>
        <v/>
      </c>
      <c r="V2558" s="31">
        <f>IF($A2558="","",IF($H2558&lt;&gt;"Ausgabe",0,-$E2558-$U2558))</f>
        <v/>
      </c>
      <c r="W2558" s="33">
        <f>IF($A2558="","",DATE(YEAR($A2558),MONTH($A2558),1))</f>
        <v/>
      </c>
      <c r="X2558" s="34">
        <f>IF(OR($A2558="",$H2558&lt;&gt;"Ausgabe",J2558=""),0,IF(J2558="x",-$E2558/(COUNTIF($J2558:$Q2558,"x")+1),-$E2558*N(J2558)))</f>
        <v/>
      </c>
      <c r="Y2558" s="34">
        <f>IF(OR($A2558="",$H2558&lt;&gt;"Ausgabe",K2558=""),0,IF(K2558="x",-$E2558/(COUNTIF($J2558:$Q2558,"x")+1),-$E2558*N(K2558)))</f>
        <v/>
      </c>
      <c r="Z2558" s="34">
        <f>IF(OR($A2558="",$H2558&lt;&gt;"Ausgabe",L2558=""),0,IF(L2558="x",-$E2558/(COUNTIF($J2558:$Q2558,"x")+1),-$E2558*N(L2558)))</f>
        <v/>
      </c>
      <c r="AA2558" s="34">
        <f>IF(OR($A2558="",$H2558&lt;&gt;"Ausgabe",M2558=""),0,IF(M2558="x",-$E2558/(COUNTIF($J2558:$Q2558,"x")+1),-$E2558*N(M2558)))</f>
        <v/>
      </c>
      <c r="AB2558" s="34">
        <f>IF(OR($A2558="",$H2558&lt;&gt;"Ausgabe",N2558=""),0,IF(N2558="x",-$E2558/(COUNTIF($J2558:$Q2558,"x")+1),-$E2558*N(N2558)))</f>
        <v/>
      </c>
      <c r="AC2558" s="34">
        <f>IF(OR($A2558="",$H2558&lt;&gt;"Ausgabe",O2558=""),0,IF(O2558="x",-$E2558/(COUNTIF($J2558:$Q2558,"x")+1),-$E2558*N(O2558)))</f>
        <v/>
      </c>
      <c r="AD2558" s="34">
        <f>IF(OR($A2558="",$H2558&lt;&gt;"Ausgabe",P2558=""),0,IF(P2558="x",-$E2558/(COUNTIF($J2558:$Q2558,"x")+1),-$E2558*N(P2558)))</f>
        <v/>
      </c>
      <c r="AE2558" s="34">
        <f>IF(OR($A2558="",$H2558&lt;&gt;"Ausgabe",Q2558=""),0,IF(Q2558="x",-$E2558/(COUNTIF($J2558:$Q2558,"x")+1),-$E2558*N(Q2558)))</f>
        <v/>
      </c>
    </row>
    <row r="2559">
      <c r="A2559" s="30" t="n"/>
      <c r="E2559" s="31" t="n"/>
      <c r="J2559" s="32" t="n"/>
      <c r="K2559" s="32" t="n"/>
      <c r="L2559" s="32" t="n"/>
      <c r="M2559" s="32" t="n"/>
      <c r="N2559" s="32" t="n"/>
      <c r="O2559" s="32" t="n"/>
      <c r="P2559" s="32" t="n"/>
      <c r="Q2559" s="32" t="n"/>
      <c r="U2559" s="31">
        <f>IF($A2559="","",SUM(X2559:AE2559))</f>
        <v/>
      </c>
      <c r="V2559" s="31">
        <f>IF($A2559="","",IF($H2559&lt;&gt;"Ausgabe",0,-$E2559-$U2559))</f>
        <v/>
      </c>
      <c r="W2559" s="33">
        <f>IF($A2559="","",DATE(YEAR($A2559),MONTH($A2559),1))</f>
        <v/>
      </c>
      <c r="X2559" s="34">
        <f>IF(OR($A2559="",$H2559&lt;&gt;"Ausgabe",J2559=""),0,IF(J2559="x",-$E2559/(COUNTIF($J2559:$Q2559,"x")+1),-$E2559*N(J2559)))</f>
        <v/>
      </c>
      <c r="Y2559" s="34">
        <f>IF(OR($A2559="",$H2559&lt;&gt;"Ausgabe",K2559=""),0,IF(K2559="x",-$E2559/(COUNTIF($J2559:$Q2559,"x")+1),-$E2559*N(K2559)))</f>
        <v/>
      </c>
      <c r="Z2559" s="34">
        <f>IF(OR($A2559="",$H2559&lt;&gt;"Ausgabe",L2559=""),0,IF(L2559="x",-$E2559/(COUNTIF($J2559:$Q2559,"x")+1),-$E2559*N(L2559)))</f>
        <v/>
      </c>
      <c r="AA2559" s="34">
        <f>IF(OR($A2559="",$H2559&lt;&gt;"Ausgabe",M2559=""),0,IF(M2559="x",-$E2559/(COUNTIF($J2559:$Q2559,"x")+1),-$E2559*N(M2559)))</f>
        <v/>
      </c>
      <c r="AB2559" s="34">
        <f>IF(OR($A2559="",$H2559&lt;&gt;"Ausgabe",N2559=""),0,IF(N2559="x",-$E2559/(COUNTIF($J2559:$Q2559,"x")+1),-$E2559*N(N2559)))</f>
        <v/>
      </c>
      <c r="AC2559" s="34">
        <f>IF(OR($A2559="",$H2559&lt;&gt;"Ausgabe",O2559=""),0,IF(O2559="x",-$E2559/(COUNTIF($J2559:$Q2559,"x")+1),-$E2559*N(O2559)))</f>
        <v/>
      </c>
      <c r="AD2559" s="34">
        <f>IF(OR($A2559="",$H2559&lt;&gt;"Ausgabe",P2559=""),0,IF(P2559="x",-$E2559/(COUNTIF($J2559:$Q2559,"x")+1),-$E2559*N(P2559)))</f>
        <v/>
      </c>
      <c r="AE2559" s="34">
        <f>IF(OR($A2559="",$H2559&lt;&gt;"Ausgabe",Q2559=""),0,IF(Q2559="x",-$E2559/(COUNTIF($J2559:$Q2559,"x")+1),-$E2559*N(Q2559)))</f>
        <v/>
      </c>
    </row>
    <row r="2560">
      <c r="A2560" s="30" t="n"/>
      <c r="E2560" s="31" t="n"/>
      <c r="J2560" s="32" t="n"/>
      <c r="K2560" s="32" t="n"/>
      <c r="L2560" s="32" t="n"/>
      <c r="M2560" s="32" t="n"/>
      <c r="N2560" s="32" t="n"/>
      <c r="O2560" s="32" t="n"/>
      <c r="P2560" s="32" t="n"/>
      <c r="Q2560" s="32" t="n"/>
      <c r="U2560" s="31">
        <f>IF($A2560="","",SUM(X2560:AE2560))</f>
        <v/>
      </c>
      <c r="V2560" s="31">
        <f>IF($A2560="","",IF($H2560&lt;&gt;"Ausgabe",0,-$E2560-$U2560))</f>
        <v/>
      </c>
      <c r="W2560" s="33">
        <f>IF($A2560="","",DATE(YEAR($A2560),MONTH($A2560),1))</f>
        <v/>
      </c>
      <c r="X2560" s="34">
        <f>IF(OR($A2560="",$H2560&lt;&gt;"Ausgabe",J2560=""),0,IF(J2560="x",-$E2560/(COUNTIF($J2560:$Q2560,"x")+1),-$E2560*N(J2560)))</f>
        <v/>
      </c>
      <c r="Y2560" s="34">
        <f>IF(OR($A2560="",$H2560&lt;&gt;"Ausgabe",K2560=""),0,IF(K2560="x",-$E2560/(COUNTIF($J2560:$Q2560,"x")+1),-$E2560*N(K2560)))</f>
        <v/>
      </c>
      <c r="Z2560" s="34">
        <f>IF(OR($A2560="",$H2560&lt;&gt;"Ausgabe",L2560=""),0,IF(L2560="x",-$E2560/(COUNTIF($J2560:$Q2560,"x")+1),-$E2560*N(L2560)))</f>
        <v/>
      </c>
      <c r="AA2560" s="34">
        <f>IF(OR($A2560="",$H2560&lt;&gt;"Ausgabe",M2560=""),0,IF(M2560="x",-$E2560/(COUNTIF($J2560:$Q2560,"x")+1),-$E2560*N(M2560)))</f>
        <v/>
      </c>
      <c r="AB2560" s="34">
        <f>IF(OR($A2560="",$H2560&lt;&gt;"Ausgabe",N2560=""),0,IF(N2560="x",-$E2560/(COUNTIF($J2560:$Q2560,"x")+1),-$E2560*N(N2560)))</f>
        <v/>
      </c>
      <c r="AC2560" s="34">
        <f>IF(OR($A2560="",$H2560&lt;&gt;"Ausgabe",O2560=""),0,IF(O2560="x",-$E2560/(COUNTIF($J2560:$Q2560,"x")+1),-$E2560*N(O2560)))</f>
        <v/>
      </c>
      <c r="AD2560" s="34">
        <f>IF(OR($A2560="",$H2560&lt;&gt;"Ausgabe",P2560=""),0,IF(P2560="x",-$E2560/(COUNTIF($J2560:$Q2560,"x")+1),-$E2560*N(P2560)))</f>
        <v/>
      </c>
      <c r="AE2560" s="34">
        <f>IF(OR($A2560="",$H2560&lt;&gt;"Ausgabe",Q2560=""),0,IF(Q2560="x",-$E2560/(COUNTIF($J2560:$Q2560,"x")+1),-$E2560*N(Q2560)))</f>
        <v/>
      </c>
    </row>
    <row r="2561">
      <c r="A2561" s="30" t="n"/>
      <c r="E2561" s="31" t="n"/>
      <c r="J2561" s="32" t="n"/>
      <c r="K2561" s="32" t="n"/>
      <c r="L2561" s="32" t="n"/>
      <c r="M2561" s="32" t="n"/>
      <c r="N2561" s="32" t="n"/>
      <c r="O2561" s="32" t="n"/>
      <c r="P2561" s="32" t="n"/>
      <c r="Q2561" s="32" t="n"/>
      <c r="U2561" s="31">
        <f>IF($A2561="","",SUM(X2561:AE2561))</f>
        <v/>
      </c>
      <c r="V2561" s="31">
        <f>IF($A2561="","",IF($H2561&lt;&gt;"Ausgabe",0,-$E2561-$U2561))</f>
        <v/>
      </c>
      <c r="W2561" s="33">
        <f>IF($A2561="","",DATE(YEAR($A2561),MONTH($A2561),1))</f>
        <v/>
      </c>
      <c r="X2561" s="34">
        <f>IF(OR($A2561="",$H2561&lt;&gt;"Ausgabe",J2561=""),0,IF(J2561="x",-$E2561/(COUNTIF($J2561:$Q2561,"x")+1),-$E2561*N(J2561)))</f>
        <v/>
      </c>
      <c r="Y2561" s="34">
        <f>IF(OR($A2561="",$H2561&lt;&gt;"Ausgabe",K2561=""),0,IF(K2561="x",-$E2561/(COUNTIF($J2561:$Q2561,"x")+1),-$E2561*N(K2561)))</f>
        <v/>
      </c>
      <c r="Z2561" s="34">
        <f>IF(OR($A2561="",$H2561&lt;&gt;"Ausgabe",L2561=""),0,IF(L2561="x",-$E2561/(COUNTIF($J2561:$Q2561,"x")+1),-$E2561*N(L2561)))</f>
        <v/>
      </c>
      <c r="AA2561" s="34">
        <f>IF(OR($A2561="",$H2561&lt;&gt;"Ausgabe",M2561=""),0,IF(M2561="x",-$E2561/(COUNTIF($J2561:$Q2561,"x")+1),-$E2561*N(M2561)))</f>
        <v/>
      </c>
      <c r="AB2561" s="34">
        <f>IF(OR($A2561="",$H2561&lt;&gt;"Ausgabe",N2561=""),0,IF(N2561="x",-$E2561/(COUNTIF($J2561:$Q2561,"x")+1),-$E2561*N(N2561)))</f>
        <v/>
      </c>
      <c r="AC2561" s="34">
        <f>IF(OR($A2561="",$H2561&lt;&gt;"Ausgabe",O2561=""),0,IF(O2561="x",-$E2561/(COUNTIF($J2561:$Q2561,"x")+1),-$E2561*N(O2561)))</f>
        <v/>
      </c>
      <c r="AD2561" s="34">
        <f>IF(OR($A2561="",$H2561&lt;&gt;"Ausgabe",P2561=""),0,IF(P2561="x",-$E2561/(COUNTIF($J2561:$Q2561,"x")+1),-$E2561*N(P2561)))</f>
        <v/>
      </c>
      <c r="AE2561" s="34">
        <f>IF(OR($A2561="",$H2561&lt;&gt;"Ausgabe",Q2561=""),0,IF(Q2561="x",-$E2561/(COUNTIF($J2561:$Q2561,"x")+1),-$E2561*N(Q2561)))</f>
        <v/>
      </c>
    </row>
    <row r="2562">
      <c r="A2562" s="30" t="n"/>
      <c r="E2562" s="31" t="n"/>
      <c r="J2562" s="32" t="n"/>
      <c r="K2562" s="32" t="n"/>
      <c r="L2562" s="32" t="n"/>
      <c r="M2562" s="32" t="n"/>
      <c r="N2562" s="32" t="n"/>
      <c r="O2562" s="32" t="n"/>
      <c r="P2562" s="32" t="n"/>
      <c r="Q2562" s="32" t="n"/>
      <c r="U2562" s="31">
        <f>IF($A2562="","",SUM(X2562:AE2562))</f>
        <v/>
      </c>
      <c r="V2562" s="31">
        <f>IF($A2562="","",IF($H2562&lt;&gt;"Ausgabe",0,-$E2562-$U2562))</f>
        <v/>
      </c>
      <c r="W2562" s="33">
        <f>IF($A2562="","",DATE(YEAR($A2562),MONTH($A2562),1))</f>
        <v/>
      </c>
      <c r="X2562" s="34">
        <f>IF(OR($A2562="",$H2562&lt;&gt;"Ausgabe",J2562=""),0,IF(J2562="x",-$E2562/(COUNTIF($J2562:$Q2562,"x")+1),-$E2562*N(J2562)))</f>
        <v/>
      </c>
      <c r="Y2562" s="34">
        <f>IF(OR($A2562="",$H2562&lt;&gt;"Ausgabe",K2562=""),0,IF(K2562="x",-$E2562/(COUNTIF($J2562:$Q2562,"x")+1),-$E2562*N(K2562)))</f>
        <v/>
      </c>
      <c r="Z2562" s="34">
        <f>IF(OR($A2562="",$H2562&lt;&gt;"Ausgabe",L2562=""),0,IF(L2562="x",-$E2562/(COUNTIF($J2562:$Q2562,"x")+1),-$E2562*N(L2562)))</f>
        <v/>
      </c>
      <c r="AA2562" s="34">
        <f>IF(OR($A2562="",$H2562&lt;&gt;"Ausgabe",M2562=""),0,IF(M2562="x",-$E2562/(COUNTIF($J2562:$Q2562,"x")+1),-$E2562*N(M2562)))</f>
        <v/>
      </c>
      <c r="AB2562" s="34">
        <f>IF(OR($A2562="",$H2562&lt;&gt;"Ausgabe",N2562=""),0,IF(N2562="x",-$E2562/(COUNTIF($J2562:$Q2562,"x")+1),-$E2562*N(N2562)))</f>
        <v/>
      </c>
      <c r="AC2562" s="34">
        <f>IF(OR($A2562="",$H2562&lt;&gt;"Ausgabe",O2562=""),0,IF(O2562="x",-$E2562/(COUNTIF($J2562:$Q2562,"x")+1),-$E2562*N(O2562)))</f>
        <v/>
      </c>
      <c r="AD2562" s="34">
        <f>IF(OR($A2562="",$H2562&lt;&gt;"Ausgabe",P2562=""),0,IF(P2562="x",-$E2562/(COUNTIF($J2562:$Q2562,"x")+1),-$E2562*N(P2562)))</f>
        <v/>
      </c>
      <c r="AE2562" s="34">
        <f>IF(OR($A2562="",$H2562&lt;&gt;"Ausgabe",Q2562=""),0,IF(Q2562="x",-$E2562/(COUNTIF($J2562:$Q2562,"x")+1),-$E2562*N(Q2562)))</f>
        <v/>
      </c>
    </row>
    <row r="2563">
      <c r="A2563" s="30" t="n"/>
      <c r="E2563" s="31" t="n"/>
      <c r="J2563" s="32" t="n"/>
      <c r="K2563" s="32" t="n"/>
      <c r="L2563" s="32" t="n"/>
      <c r="M2563" s="32" t="n"/>
      <c r="N2563" s="32" t="n"/>
      <c r="O2563" s="32" t="n"/>
      <c r="P2563" s="32" t="n"/>
      <c r="Q2563" s="32" t="n"/>
      <c r="U2563" s="31">
        <f>IF($A2563="","",SUM(X2563:AE2563))</f>
        <v/>
      </c>
      <c r="V2563" s="31">
        <f>IF($A2563="","",IF($H2563&lt;&gt;"Ausgabe",0,-$E2563-$U2563))</f>
        <v/>
      </c>
      <c r="W2563" s="33">
        <f>IF($A2563="","",DATE(YEAR($A2563),MONTH($A2563),1))</f>
        <v/>
      </c>
      <c r="X2563" s="34">
        <f>IF(OR($A2563="",$H2563&lt;&gt;"Ausgabe",J2563=""),0,IF(J2563="x",-$E2563/(COUNTIF($J2563:$Q2563,"x")+1),-$E2563*N(J2563)))</f>
        <v/>
      </c>
      <c r="Y2563" s="34">
        <f>IF(OR($A2563="",$H2563&lt;&gt;"Ausgabe",K2563=""),0,IF(K2563="x",-$E2563/(COUNTIF($J2563:$Q2563,"x")+1),-$E2563*N(K2563)))</f>
        <v/>
      </c>
      <c r="Z2563" s="34">
        <f>IF(OR($A2563="",$H2563&lt;&gt;"Ausgabe",L2563=""),0,IF(L2563="x",-$E2563/(COUNTIF($J2563:$Q2563,"x")+1),-$E2563*N(L2563)))</f>
        <v/>
      </c>
      <c r="AA2563" s="34">
        <f>IF(OR($A2563="",$H2563&lt;&gt;"Ausgabe",M2563=""),0,IF(M2563="x",-$E2563/(COUNTIF($J2563:$Q2563,"x")+1),-$E2563*N(M2563)))</f>
        <v/>
      </c>
      <c r="AB2563" s="34">
        <f>IF(OR($A2563="",$H2563&lt;&gt;"Ausgabe",N2563=""),0,IF(N2563="x",-$E2563/(COUNTIF($J2563:$Q2563,"x")+1),-$E2563*N(N2563)))</f>
        <v/>
      </c>
      <c r="AC2563" s="34">
        <f>IF(OR($A2563="",$H2563&lt;&gt;"Ausgabe",O2563=""),0,IF(O2563="x",-$E2563/(COUNTIF($J2563:$Q2563,"x")+1),-$E2563*N(O2563)))</f>
        <v/>
      </c>
      <c r="AD2563" s="34">
        <f>IF(OR($A2563="",$H2563&lt;&gt;"Ausgabe",P2563=""),0,IF(P2563="x",-$E2563/(COUNTIF($J2563:$Q2563,"x")+1),-$E2563*N(P2563)))</f>
        <v/>
      </c>
      <c r="AE2563" s="34">
        <f>IF(OR($A2563="",$H2563&lt;&gt;"Ausgabe",Q2563=""),0,IF(Q2563="x",-$E2563/(COUNTIF($J2563:$Q2563,"x")+1),-$E2563*N(Q2563)))</f>
        <v/>
      </c>
    </row>
    <row r="2564">
      <c r="A2564" s="30" t="n"/>
      <c r="E2564" s="31" t="n"/>
      <c r="J2564" s="32" t="n"/>
      <c r="K2564" s="32" t="n"/>
      <c r="L2564" s="32" t="n"/>
      <c r="M2564" s="32" t="n"/>
      <c r="N2564" s="32" t="n"/>
      <c r="O2564" s="32" t="n"/>
      <c r="P2564" s="32" t="n"/>
      <c r="Q2564" s="32" t="n"/>
      <c r="U2564" s="31">
        <f>IF($A2564="","",SUM(X2564:AE2564))</f>
        <v/>
      </c>
      <c r="V2564" s="31">
        <f>IF($A2564="","",IF($H2564&lt;&gt;"Ausgabe",0,-$E2564-$U2564))</f>
        <v/>
      </c>
      <c r="W2564" s="33">
        <f>IF($A2564="","",DATE(YEAR($A2564),MONTH($A2564),1))</f>
        <v/>
      </c>
      <c r="X2564" s="34">
        <f>IF(OR($A2564="",$H2564&lt;&gt;"Ausgabe",J2564=""),0,IF(J2564="x",-$E2564/(COUNTIF($J2564:$Q2564,"x")+1),-$E2564*N(J2564)))</f>
        <v/>
      </c>
      <c r="Y2564" s="34">
        <f>IF(OR($A2564="",$H2564&lt;&gt;"Ausgabe",K2564=""),0,IF(K2564="x",-$E2564/(COUNTIF($J2564:$Q2564,"x")+1),-$E2564*N(K2564)))</f>
        <v/>
      </c>
      <c r="Z2564" s="34">
        <f>IF(OR($A2564="",$H2564&lt;&gt;"Ausgabe",L2564=""),0,IF(L2564="x",-$E2564/(COUNTIF($J2564:$Q2564,"x")+1),-$E2564*N(L2564)))</f>
        <v/>
      </c>
      <c r="AA2564" s="34">
        <f>IF(OR($A2564="",$H2564&lt;&gt;"Ausgabe",M2564=""),0,IF(M2564="x",-$E2564/(COUNTIF($J2564:$Q2564,"x")+1),-$E2564*N(M2564)))</f>
        <v/>
      </c>
      <c r="AB2564" s="34">
        <f>IF(OR($A2564="",$H2564&lt;&gt;"Ausgabe",N2564=""),0,IF(N2564="x",-$E2564/(COUNTIF($J2564:$Q2564,"x")+1),-$E2564*N(N2564)))</f>
        <v/>
      </c>
      <c r="AC2564" s="34">
        <f>IF(OR($A2564="",$H2564&lt;&gt;"Ausgabe",O2564=""),0,IF(O2564="x",-$E2564/(COUNTIF($J2564:$Q2564,"x")+1),-$E2564*N(O2564)))</f>
        <v/>
      </c>
      <c r="AD2564" s="34">
        <f>IF(OR($A2564="",$H2564&lt;&gt;"Ausgabe",P2564=""),0,IF(P2564="x",-$E2564/(COUNTIF($J2564:$Q2564,"x")+1),-$E2564*N(P2564)))</f>
        <v/>
      </c>
      <c r="AE2564" s="34">
        <f>IF(OR($A2564="",$H2564&lt;&gt;"Ausgabe",Q2564=""),0,IF(Q2564="x",-$E2564/(COUNTIF($J2564:$Q2564,"x")+1),-$E2564*N(Q2564)))</f>
        <v/>
      </c>
    </row>
    <row r="2565">
      <c r="A2565" s="30" t="n"/>
      <c r="E2565" s="31" t="n"/>
      <c r="J2565" s="32" t="n"/>
      <c r="K2565" s="32" t="n"/>
      <c r="L2565" s="32" t="n"/>
      <c r="M2565" s="32" t="n"/>
      <c r="N2565" s="32" t="n"/>
      <c r="O2565" s="32" t="n"/>
      <c r="P2565" s="32" t="n"/>
      <c r="Q2565" s="32" t="n"/>
      <c r="U2565" s="31">
        <f>IF($A2565="","",SUM(X2565:AE2565))</f>
        <v/>
      </c>
      <c r="V2565" s="31">
        <f>IF($A2565="","",IF($H2565&lt;&gt;"Ausgabe",0,-$E2565-$U2565))</f>
        <v/>
      </c>
      <c r="W2565" s="33">
        <f>IF($A2565="","",DATE(YEAR($A2565),MONTH($A2565),1))</f>
        <v/>
      </c>
      <c r="X2565" s="34">
        <f>IF(OR($A2565="",$H2565&lt;&gt;"Ausgabe",J2565=""),0,IF(J2565="x",-$E2565/(COUNTIF($J2565:$Q2565,"x")+1),-$E2565*N(J2565)))</f>
        <v/>
      </c>
      <c r="Y2565" s="34">
        <f>IF(OR($A2565="",$H2565&lt;&gt;"Ausgabe",K2565=""),0,IF(K2565="x",-$E2565/(COUNTIF($J2565:$Q2565,"x")+1),-$E2565*N(K2565)))</f>
        <v/>
      </c>
      <c r="Z2565" s="34">
        <f>IF(OR($A2565="",$H2565&lt;&gt;"Ausgabe",L2565=""),0,IF(L2565="x",-$E2565/(COUNTIF($J2565:$Q2565,"x")+1),-$E2565*N(L2565)))</f>
        <v/>
      </c>
      <c r="AA2565" s="34">
        <f>IF(OR($A2565="",$H2565&lt;&gt;"Ausgabe",M2565=""),0,IF(M2565="x",-$E2565/(COUNTIF($J2565:$Q2565,"x")+1),-$E2565*N(M2565)))</f>
        <v/>
      </c>
      <c r="AB2565" s="34">
        <f>IF(OR($A2565="",$H2565&lt;&gt;"Ausgabe",N2565=""),0,IF(N2565="x",-$E2565/(COUNTIF($J2565:$Q2565,"x")+1),-$E2565*N(N2565)))</f>
        <v/>
      </c>
      <c r="AC2565" s="34">
        <f>IF(OR($A2565="",$H2565&lt;&gt;"Ausgabe",O2565=""),0,IF(O2565="x",-$E2565/(COUNTIF($J2565:$Q2565,"x")+1),-$E2565*N(O2565)))</f>
        <v/>
      </c>
      <c r="AD2565" s="34">
        <f>IF(OR($A2565="",$H2565&lt;&gt;"Ausgabe",P2565=""),0,IF(P2565="x",-$E2565/(COUNTIF($J2565:$Q2565,"x")+1),-$E2565*N(P2565)))</f>
        <v/>
      </c>
      <c r="AE2565" s="34">
        <f>IF(OR($A2565="",$H2565&lt;&gt;"Ausgabe",Q2565=""),0,IF(Q2565="x",-$E2565/(COUNTIF($J2565:$Q2565,"x")+1),-$E2565*N(Q2565)))</f>
        <v/>
      </c>
    </row>
    <row r="2566">
      <c r="A2566" s="30" t="n"/>
      <c r="E2566" s="31" t="n"/>
      <c r="J2566" s="32" t="n"/>
      <c r="K2566" s="32" t="n"/>
      <c r="L2566" s="32" t="n"/>
      <c r="M2566" s="32" t="n"/>
      <c r="N2566" s="32" t="n"/>
      <c r="O2566" s="32" t="n"/>
      <c r="P2566" s="32" t="n"/>
      <c r="Q2566" s="32" t="n"/>
      <c r="U2566" s="31">
        <f>IF($A2566="","",SUM(X2566:AE2566))</f>
        <v/>
      </c>
      <c r="V2566" s="31">
        <f>IF($A2566="","",IF($H2566&lt;&gt;"Ausgabe",0,-$E2566-$U2566))</f>
        <v/>
      </c>
      <c r="W2566" s="33">
        <f>IF($A2566="","",DATE(YEAR($A2566),MONTH($A2566),1))</f>
        <v/>
      </c>
      <c r="X2566" s="34">
        <f>IF(OR($A2566="",$H2566&lt;&gt;"Ausgabe",J2566=""),0,IF(J2566="x",-$E2566/(COUNTIF($J2566:$Q2566,"x")+1),-$E2566*N(J2566)))</f>
        <v/>
      </c>
      <c r="Y2566" s="34">
        <f>IF(OR($A2566="",$H2566&lt;&gt;"Ausgabe",K2566=""),0,IF(K2566="x",-$E2566/(COUNTIF($J2566:$Q2566,"x")+1),-$E2566*N(K2566)))</f>
        <v/>
      </c>
      <c r="Z2566" s="34">
        <f>IF(OR($A2566="",$H2566&lt;&gt;"Ausgabe",L2566=""),0,IF(L2566="x",-$E2566/(COUNTIF($J2566:$Q2566,"x")+1),-$E2566*N(L2566)))</f>
        <v/>
      </c>
      <c r="AA2566" s="34">
        <f>IF(OR($A2566="",$H2566&lt;&gt;"Ausgabe",M2566=""),0,IF(M2566="x",-$E2566/(COUNTIF($J2566:$Q2566,"x")+1),-$E2566*N(M2566)))</f>
        <v/>
      </c>
      <c r="AB2566" s="34">
        <f>IF(OR($A2566="",$H2566&lt;&gt;"Ausgabe",N2566=""),0,IF(N2566="x",-$E2566/(COUNTIF($J2566:$Q2566,"x")+1),-$E2566*N(N2566)))</f>
        <v/>
      </c>
      <c r="AC2566" s="34">
        <f>IF(OR($A2566="",$H2566&lt;&gt;"Ausgabe",O2566=""),0,IF(O2566="x",-$E2566/(COUNTIF($J2566:$Q2566,"x")+1),-$E2566*N(O2566)))</f>
        <v/>
      </c>
      <c r="AD2566" s="34">
        <f>IF(OR($A2566="",$H2566&lt;&gt;"Ausgabe",P2566=""),0,IF(P2566="x",-$E2566/(COUNTIF($J2566:$Q2566,"x")+1),-$E2566*N(P2566)))</f>
        <v/>
      </c>
      <c r="AE2566" s="34">
        <f>IF(OR($A2566="",$H2566&lt;&gt;"Ausgabe",Q2566=""),0,IF(Q2566="x",-$E2566/(COUNTIF($J2566:$Q2566,"x")+1),-$E2566*N(Q2566)))</f>
        <v/>
      </c>
    </row>
    <row r="2567">
      <c r="A2567" s="30" t="n"/>
      <c r="E2567" s="31" t="n"/>
      <c r="J2567" s="32" t="n"/>
      <c r="K2567" s="32" t="n"/>
      <c r="L2567" s="32" t="n"/>
      <c r="M2567" s="32" t="n"/>
      <c r="N2567" s="32" t="n"/>
      <c r="O2567" s="32" t="n"/>
      <c r="P2567" s="32" t="n"/>
      <c r="Q2567" s="32" t="n"/>
      <c r="U2567" s="31">
        <f>IF($A2567="","",SUM(X2567:AE2567))</f>
        <v/>
      </c>
      <c r="V2567" s="31">
        <f>IF($A2567="","",IF($H2567&lt;&gt;"Ausgabe",0,-$E2567-$U2567))</f>
        <v/>
      </c>
      <c r="W2567" s="33">
        <f>IF($A2567="","",DATE(YEAR($A2567),MONTH($A2567),1))</f>
        <v/>
      </c>
      <c r="X2567" s="34">
        <f>IF(OR($A2567="",$H2567&lt;&gt;"Ausgabe",J2567=""),0,IF(J2567="x",-$E2567/(COUNTIF($J2567:$Q2567,"x")+1),-$E2567*N(J2567)))</f>
        <v/>
      </c>
      <c r="Y2567" s="34">
        <f>IF(OR($A2567="",$H2567&lt;&gt;"Ausgabe",K2567=""),0,IF(K2567="x",-$E2567/(COUNTIF($J2567:$Q2567,"x")+1),-$E2567*N(K2567)))</f>
        <v/>
      </c>
      <c r="Z2567" s="34">
        <f>IF(OR($A2567="",$H2567&lt;&gt;"Ausgabe",L2567=""),0,IF(L2567="x",-$E2567/(COUNTIF($J2567:$Q2567,"x")+1),-$E2567*N(L2567)))</f>
        <v/>
      </c>
      <c r="AA2567" s="34">
        <f>IF(OR($A2567="",$H2567&lt;&gt;"Ausgabe",M2567=""),0,IF(M2567="x",-$E2567/(COUNTIF($J2567:$Q2567,"x")+1),-$E2567*N(M2567)))</f>
        <v/>
      </c>
      <c r="AB2567" s="34">
        <f>IF(OR($A2567="",$H2567&lt;&gt;"Ausgabe",N2567=""),0,IF(N2567="x",-$E2567/(COUNTIF($J2567:$Q2567,"x")+1),-$E2567*N(N2567)))</f>
        <v/>
      </c>
      <c r="AC2567" s="34">
        <f>IF(OR($A2567="",$H2567&lt;&gt;"Ausgabe",O2567=""),0,IF(O2567="x",-$E2567/(COUNTIF($J2567:$Q2567,"x")+1),-$E2567*N(O2567)))</f>
        <v/>
      </c>
      <c r="AD2567" s="34">
        <f>IF(OR($A2567="",$H2567&lt;&gt;"Ausgabe",P2567=""),0,IF(P2567="x",-$E2567/(COUNTIF($J2567:$Q2567,"x")+1),-$E2567*N(P2567)))</f>
        <v/>
      </c>
      <c r="AE2567" s="34">
        <f>IF(OR($A2567="",$H2567&lt;&gt;"Ausgabe",Q2567=""),0,IF(Q2567="x",-$E2567/(COUNTIF($J2567:$Q2567,"x")+1),-$E2567*N(Q2567)))</f>
        <v/>
      </c>
    </row>
    <row r="2568">
      <c r="A2568" s="30" t="n"/>
      <c r="E2568" s="31" t="n"/>
      <c r="J2568" s="32" t="n"/>
      <c r="K2568" s="32" t="n"/>
      <c r="L2568" s="32" t="n"/>
      <c r="M2568" s="32" t="n"/>
      <c r="N2568" s="32" t="n"/>
      <c r="O2568" s="32" t="n"/>
      <c r="P2568" s="32" t="n"/>
      <c r="Q2568" s="32" t="n"/>
      <c r="U2568" s="31">
        <f>IF($A2568="","",SUM(X2568:AE2568))</f>
        <v/>
      </c>
      <c r="V2568" s="31">
        <f>IF($A2568="","",IF($H2568&lt;&gt;"Ausgabe",0,-$E2568-$U2568))</f>
        <v/>
      </c>
      <c r="W2568" s="33">
        <f>IF($A2568="","",DATE(YEAR($A2568),MONTH($A2568),1))</f>
        <v/>
      </c>
      <c r="X2568" s="34">
        <f>IF(OR($A2568="",$H2568&lt;&gt;"Ausgabe",J2568=""),0,IF(J2568="x",-$E2568/(COUNTIF($J2568:$Q2568,"x")+1),-$E2568*N(J2568)))</f>
        <v/>
      </c>
      <c r="Y2568" s="34">
        <f>IF(OR($A2568="",$H2568&lt;&gt;"Ausgabe",K2568=""),0,IF(K2568="x",-$E2568/(COUNTIF($J2568:$Q2568,"x")+1),-$E2568*N(K2568)))</f>
        <v/>
      </c>
      <c r="Z2568" s="34">
        <f>IF(OR($A2568="",$H2568&lt;&gt;"Ausgabe",L2568=""),0,IF(L2568="x",-$E2568/(COUNTIF($J2568:$Q2568,"x")+1),-$E2568*N(L2568)))</f>
        <v/>
      </c>
      <c r="AA2568" s="34">
        <f>IF(OR($A2568="",$H2568&lt;&gt;"Ausgabe",M2568=""),0,IF(M2568="x",-$E2568/(COUNTIF($J2568:$Q2568,"x")+1),-$E2568*N(M2568)))</f>
        <v/>
      </c>
      <c r="AB2568" s="34">
        <f>IF(OR($A2568="",$H2568&lt;&gt;"Ausgabe",N2568=""),0,IF(N2568="x",-$E2568/(COUNTIF($J2568:$Q2568,"x")+1),-$E2568*N(N2568)))</f>
        <v/>
      </c>
      <c r="AC2568" s="34">
        <f>IF(OR($A2568="",$H2568&lt;&gt;"Ausgabe",O2568=""),0,IF(O2568="x",-$E2568/(COUNTIF($J2568:$Q2568,"x")+1),-$E2568*N(O2568)))</f>
        <v/>
      </c>
      <c r="AD2568" s="34">
        <f>IF(OR($A2568="",$H2568&lt;&gt;"Ausgabe",P2568=""),0,IF(P2568="x",-$E2568/(COUNTIF($J2568:$Q2568,"x")+1),-$E2568*N(P2568)))</f>
        <v/>
      </c>
      <c r="AE2568" s="34">
        <f>IF(OR($A2568="",$H2568&lt;&gt;"Ausgabe",Q2568=""),0,IF(Q2568="x",-$E2568/(COUNTIF($J2568:$Q2568,"x")+1),-$E2568*N(Q2568)))</f>
        <v/>
      </c>
    </row>
    <row r="2569">
      <c r="A2569" s="30" t="n"/>
      <c r="E2569" s="31" t="n"/>
      <c r="J2569" s="32" t="n"/>
      <c r="K2569" s="32" t="n"/>
      <c r="L2569" s="32" t="n"/>
      <c r="M2569" s="32" t="n"/>
      <c r="N2569" s="32" t="n"/>
      <c r="O2569" s="32" t="n"/>
      <c r="P2569" s="32" t="n"/>
      <c r="Q2569" s="32" t="n"/>
      <c r="U2569" s="31">
        <f>IF($A2569="","",SUM(X2569:AE2569))</f>
        <v/>
      </c>
      <c r="V2569" s="31">
        <f>IF($A2569="","",IF($H2569&lt;&gt;"Ausgabe",0,-$E2569-$U2569))</f>
        <v/>
      </c>
      <c r="W2569" s="33">
        <f>IF($A2569="","",DATE(YEAR($A2569),MONTH($A2569),1))</f>
        <v/>
      </c>
      <c r="X2569" s="34">
        <f>IF(OR($A2569="",$H2569&lt;&gt;"Ausgabe",J2569=""),0,IF(J2569="x",-$E2569/(COUNTIF($J2569:$Q2569,"x")+1),-$E2569*N(J2569)))</f>
        <v/>
      </c>
      <c r="Y2569" s="34">
        <f>IF(OR($A2569="",$H2569&lt;&gt;"Ausgabe",K2569=""),0,IF(K2569="x",-$E2569/(COUNTIF($J2569:$Q2569,"x")+1),-$E2569*N(K2569)))</f>
        <v/>
      </c>
      <c r="Z2569" s="34">
        <f>IF(OR($A2569="",$H2569&lt;&gt;"Ausgabe",L2569=""),0,IF(L2569="x",-$E2569/(COUNTIF($J2569:$Q2569,"x")+1),-$E2569*N(L2569)))</f>
        <v/>
      </c>
      <c r="AA2569" s="34">
        <f>IF(OR($A2569="",$H2569&lt;&gt;"Ausgabe",M2569=""),0,IF(M2569="x",-$E2569/(COUNTIF($J2569:$Q2569,"x")+1),-$E2569*N(M2569)))</f>
        <v/>
      </c>
      <c r="AB2569" s="34">
        <f>IF(OR($A2569="",$H2569&lt;&gt;"Ausgabe",N2569=""),0,IF(N2569="x",-$E2569/(COUNTIF($J2569:$Q2569,"x")+1),-$E2569*N(N2569)))</f>
        <v/>
      </c>
      <c r="AC2569" s="34">
        <f>IF(OR($A2569="",$H2569&lt;&gt;"Ausgabe",O2569=""),0,IF(O2569="x",-$E2569/(COUNTIF($J2569:$Q2569,"x")+1),-$E2569*N(O2569)))</f>
        <v/>
      </c>
      <c r="AD2569" s="34">
        <f>IF(OR($A2569="",$H2569&lt;&gt;"Ausgabe",P2569=""),0,IF(P2569="x",-$E2569/(COUNTIF($J2569:$Q2569,"x")+1),-$E2569*N(P2569)))</f>
        <v/>
      </c>
      <c r="AE2569" s="34">
        <f>IF(OR($A2569="",$H2569&lt;&gt;"Ausgabe",Q2569=""),0,IF(Q2569="x",-$E2569/(COUNTIF($J2569:$Q2569,"x")+1),-$E2569*N(Q2569)))</f>
        <v/>
      </c>
    </row>
    <row r="2570">
      <c r="A2570" s="30" t="n"/>
      <c r="E2570" s="31" t="n"/>
      <c r="J2570" s="32" t="n"/>
      <c r="K2570" s="32" t="n"/>
      <c r="L2570" s="32" t="n"/>
      <c r="M2570" s="32" t="n"/>
      <c r="N2570" s="32" t="n"/>
      <c r="O2570" s="32" t="n"/>
      <c r="P2570" s="32" t="n"/>
      <c r="Q2570" s="32" t="n"/>
      <c r="U2570" s="31">
        <f>IF($A2570="","",SUM(X2570:AE2570))</f>
        <v/>
      </c>
      <c r="V2570" s="31">
        <f>IF($A2570="","",IF($H2570&lt;&gt;"Ausgabe",0,-$E2570-$U2570))</f>
        <v/>
      </c>
      <c r="W2570" s="33">
        <f>IF($A2570="","",DATE(YEAR($A2570),MONTH($A2570),1))</f>
        <v/>
      </c>
      <c r="X2570" s="34">
        <f>IF(OR($A2570="",$H2570&lt;&gt;"Ausgabe",J2570=""),0,IF(J2570="x",-$E2570/(COUNTIF($J2570:$Q2570,"x")+1),-$E2570*N(J2570)))</f>
        <v/>
      </c>
      <c r="Y2570" s="34">
        <f>IF(OR($A2570="",$H2570&lt;&gt;"Ausgabe",K2570=""),0,IF(K2570="x",-$E2570/(COUNTIF($J2570:$Q2570,"x")+1),-$E2570*N(K2570)))</f>
        <v/>
      </c>
      <c r="Z2570" s="34">
        <f>IF(OR($A2570="",$H2570&lt;&gt;"Ausgabe",L2570=""),0,IF(L2570="x",-$E2570/(COUNTIF($J2570:$Q2570,"x")+1),-$E2570*N(L2570)))</f>
        <v/>
      </c>
      <c r="AA2570" s="34">
        <f>IF(OR($A2570="",$H2570&lt;&gt;"Ausgabe",M2570=""),0,IF(M2570="x",-$E2570/(COUNTIF($J2570:$Q2570,"x")+1),-$E2570*N(M2570)))</f>
        <v/>
      </c>
      <c r="AB2570" s="34">
        <f>IF(OR($A2570="",$H2570&lt;&gt;"Ausgabe",N2570=""),0,IF(N2570="x",-$E2570/(COUNTIF($J2570:$Q2570,"x")+1),-$E2570*N(N2570)))</f>
        <v/>
      </c>
      <c r="AC2570" s="34">
        <f>IF(OR($A2570="",$H2570&lt;&gt;"Ausgabe",O2570=""),0,IF(O2570="x",-$E2570/(COUNTIF($J2570:$Q2570,"x")+1),-$E2570*N(O2570)))</f>
        <v/>
      </c>
      <c r="AD2570" s="34">
        <f>IF(OR($A2570="",$H2570&lt;&gt;"Ausgabe",P2570=""),0,IF(P2570="x",-$E2570/(COUNTIF($J2570:$Q2570,"x")+1),-$E2570*N(P2570)))</f>
        <v/>
      </c>
      <c r="AE2570" s="34">
        <f>IF(OR($A2570="",$H2570&lt;&gt;"Ausgabe",Q2570=""),0,IF(Q2570="x",-$E2570/(COUNTIF($J2570:$Q2570,"x")+1),-$E2570*N(Q2570)))</f>
        <v/>
      </c>
    </row>
    <row r="2571">
      <c r="A2571" s="30" t="n"/>
      <c r="E2571" s="31" t="n"/>
      <c r="J2571" s="32" t="n"/>
      <c r="K2571" s="32" t="n"/>
      <c r="L2571" s="32" t="n"/>
      <c r="M2571" s="32" t="n"/>
      <c r="N2571" s="32" t="n"/>
      <c r="O2571" s="32" t="n"/>
      <c r="P2571" s="32" t="n"/>
      <c r="Q2571" s="32" t="n"/>
      <c r="U2571" s="31">
        <f>IF($A2571="","",SUM(X2571:AE2571))</f>
        <v/>
      </c>
      <c r="V2571" s="31">
        <f>IF($A2571="","",IF($H2571&lt;&gt;"Ausgabe",0,-$E2571-$U2571))</f>
        <v/>
      </c>
      <c r="W2571" s="33">
        <f>IF($A2571="","",DATE(YEAR($A2571),MONTH($A2571),1))</f>
        <v/>
      </c>
      <c r="X2571" s="34">
        <f>IF(OR($A2571="",$H2571&lt;&gt;"Ausgabe",J2571=""),0,IF(J2571="x",-$E2571/(COUNTIF($J2571:$Q2571,"x")+1),-$E2571*N(J2571)))</f>
        <v/>
      </c>
      <c r="Y2571" s="34">
        <f>IF(OR($A2571="",$H2571&lt;&gt;"Ausgabe",K2571=""),0,IF(K2571="x",-$E2571/(COUNTIF($J2571:$Q2571,"x")+1),-$E2571*N(K2571)))</f>
        <v/>
      </c>
      <c r="Z2571" s="34">
        <f>IF(OR($A2571="",$H2571&lt;&gt;"Ausgabe",L2571=""),0,IF(L2571="x",-$E2571/(COUNTIF($J2571:$Q2571,"x")+1),-$E2571*N(L2571)))</f>
        <v/>
      </c>
      <c r="AA2571" s="34">
        <f>IF(OR($A2571="",$H2571&lt;&gt;"Ausgabe",M2571=""),0,IF(M2571="x",-$E2571/(COUNTIF($J2571:$Q2571,"x")+1),-$E2571*N(M2571)))</f>
        <v/>
      </c>
      <c r="AB2571" s="34">
        <f>IF(OR($A2571="",$H2571&lt;&gt;"Ausgabe",N2571=""),0,IF(N2571="x",-$E2571/(COUNTIF($J2571:$Q2571,"x")+1),-$E2571*N(N2571)))</f>
        <v/>
      </c>
      <c r="AC2571" s="34">
        <f>IF(OR($A2571="",$H2571&lt;&gt;"Ausgabe",O2571=""),0,IF(O2571="x",-$E2571/(COUNTIF($J2571:$Q2571,"x")+1),-$E2571*N(O2571)))</f>
        <v/>
      </c>
      <c r="AD2571" s="34">
        <f>IF(OR($A2571="",$H2571&lt;&gt;"Ausgabe",P2571=""),0,IF(P2571="x",-$E2571/(COUNTIF($J2571:$Q2571,"x")+1),-$E2571*N(P2571)))</f>
        <v/>
      </c>
      <c r="AE2571" s="34">
        <f>IF(OR($A2571="",$H2571&lt;&gt;"Ausgabe",Q2571=""),0,IF(Q2571="x",-$E2571/(COUNTIF($J2571:$Q2571,"x")+1),-$E2571*N(Q2571)))</f>
        <v/>
      </c>
    </row>
    <row r="2572">
      <c r="A2572" s="30" t="n"/>
      <c r="E2572" s="31" t="n"/>
      <c r="J2572" s="32" t="n"/>
      <c r="K2572" s="32" t="n"/>
      <c r="L2572" s="32" t="n"/>
      <c r="M2572" s="32" t="n"/>
      <c r="N2572" s="32" t="n"/>
      <c r="O2572" s="32" t="n"/>
      <c r="P2572" s="32" t="n"/>
      <c r="Q2572" s="32" t="n"/>
      <c r="U2572" s="31">
        <f>IF($A2572="","",SUM(X2572:AE2572))</f>
        <v/>
      </c>
      <c r="V2572" s="31">
        <f>IF($A2572="","",IF($H2572&lt;&gt;"Ausgabe",0,-$E2572-$U2572))</f>
        <v/>
      </c>
      <c r="W2572" s="33">
        <f>IF($A2572="","",DATE(YEAR($A2572),MONTH($A2572),1))</f>
        <v/>
      </c>
      <c r="X2572" s="34">
        <f>IF(OR($A2572="",$H2572&lt;&gt;"Ausgabe",J2572=""),0,IF(J2572="x",-$E2572/(COUNTIF($J2572:$Q2572,"x")+1),-$E2572*N(J2572)))</f>
        <v/>
      </c>
      <c r="Y2572" s="34">
        <f>IF(OR($A2572="",$H2572&lt;&gt;"Ausgabe",K2572=""),0,IF(K2572="x",-$E2572/(COUNTIF($J2572:$Q2572,"x")+1),-$E2572*N(K2572)))</f>
        <v/>
      </c>
      <c r="Z2572" s="34">
        <f>IF(OR($A2572="",$H2572&lt;&gt;"Ausgabe",L2572=""),0,IF(L2572="x",-$E2572/(COUNTIF($J2572:$Q2572,"x")+1),-$E2572*N(L2572)))</f>
        <v/>
      </c>
      <c r="AA2572" s="34">
        <f>IF(OR($A2572="",$H2572&lt;&gt;"Ausgabe",M2572=""),0,IF(M2572="x",-$E2572/(COUNTIF($J2572:$Q2572,"x")+1),-$E2572*N(M2572)))</f>
        <v/>
      </c>
      <c r="AB2572" s="34">
        <f>IF(OR($A2572="",$H2572&lt;&gt;"Ausgabe",N2572=""),0,IF(N2572="x",-$E2572/(COUNTIF($J2572:$Q2572,"x")+1),-$E2572*N(N2572)))</f>
        <v/>
      </c>
      <c r="AC2572" s="34">
        <f>IF(OR($A2572="",$H2572&lt;&gt;"Ausgabe",O2572=""),0,IF(O2572="x",-$E2572/(COUNTIF($J2572:$Q2572,"x")+1),-$E2572*N(O2572)))</f>
        <v/>
      </c>
      <c r="AD2572" s="34">
        <f>IF(OR($A2572="",$H2572&lt;&gt;"Ausgabe",P2572=""),0,IF(P2572="x",-$E2572/(COUNTIF($J2572:$Q2572,"x")+1),-$E2572*N(P2572)))</f>
        <v/>
      </c>
      <c r="AE2572" s="34">
        <f>IF(OR($A2572="",$H2572&lt;&gt;"Ausgabe",Q2572=""),0,IF(Q2572="x",-$E2572/(COUNTIF($J2572:$Q2572,"x")+1),-$E2572*N(Q2572)))</f>
        <v/>
      </c>
    </row>
    <row r="2573">
      <c r="A2573" s="30" t="n"/>
      <c r="E2573" s="31" t="n"/>
      <c r="J2573" s="32" t="n"/>
      <c r="K2573" s="32" t="n"/>
      <c r="L2573" s="32" t="n"/>
      <c r="M2573" s="32" t="n"/>
      <c r="N2573" s="32" t="n"/>
      <c r="O2573" s="32" t="n"/>
      <c r="P2573" s="32" t="n"/>
      <c r="Q2573" s="32" t="n"/>
      <c r="U2573" s="31">
        <f>IF($A2573="","",SUM(X2573:AE2573))</f>
        <v/>
      </c>
      <c r="V2573" s="31">
        <f>IF($A2573="","",IF($H2573&lt;&gt;"Ausgabe",0,-$E2573-$U2573))</f>
        <v/>
      </c>
      <c r="W2573" s="33">
        <f>IF($A2573="","",DATE(YEAR($A2573),MONTH($A2573),1))</f>
        <v/>
      </c>
      <c r="X2573" s="34">
        <f>IF(OR($A2573="",$H2573&lt;&gt;"Ausgabe",J2573=""),0,IF(J2573="x",-$E2573/(COUNTIF($J2573:$Q2573,"x")+1),-$E2573*N(J2573)))</f>
        <v/>
      </c>
      <c r="Y2573" s="34">
        <f>IF(OR($A2573="",$H2573&lt;&gt;"Ausgabe",K2573=""),0,IF(K2573="x",-$E2573/(COUNTIF($J2573:$Q2573,"x")+1),-$E2573*N(K2573)))</f>
        <v/>
      </c>
      <c r="Z2573" s="34">
        <f>IF(OR($A2573="",$H2573&lt;&gt;"Ausgabe",L2573=""),0,IF(L2573="x",-$E2573/(COUNTIF($J2573:$Q2573,"x")+1),-$E2573*N(L2573)))</f>
        <v/>
      </c>
      <c r="AA2573" s="34">
        <f>IF(OR($A2573="",$H2573&lt;&gt;"Ausgabe",M2573=""),0,IF(M2573="x",-$E2573/(COUNTIF($J2573:$Q2573,"x")+1),-$E2573*N(M2573)))</f>
        <v/>
      </c>
      <c r="AB2573" s="34">
        <f>IF(OR($A2573="",$H2573&lt;&gt;"Ausgabe",N2573=""),0,IF(N2573="x",-$E2573/(COUNTIF($J2573:$Q2573,"x")+1),-$E2573*N(N2573)))</f>
        <v/>
      </c>
      <c r="AC2573" s="34">
        <f>IF(OR($A2573="",$H2573&lt;&gt;"Ausgabe",O2573=""),0,IF(O2573="x",-$E2573/(COUNTIF($J2573:$Q2573,"x")+1),-$E2573*N(O2573)))</f>
        <v/>
      </c>
      <c r="AD2573" s="34">
        <f>IF(OR($A2573="",$H2573&lt;&gt;"Ausgabe",P2573=""),0,IF(P2573="x",-$E2573/(COUNTIF($J2573:$Q2573,"x")+1),-$E2573*N(P2573)))</f>
        <v/>
      </c>
      <c r="AE2573" s="34">
        <f>IF(OR($A2573="",$H2573&lt;&gt;"Ausgabe",Q2573=""),0,IF(Q2573="x",-$E2573/(COUNTIF($J2573:$Q2573,"x")+1),-$E2573*N(Q2573)))</f>
        <v/>
      </c>
    </row>
    <row r="2574">
      <c r="A2574" s="30" t="n"/>
      <c r="E2574" s="31" t="n"/>
      <c r="J2574" s="32" t="n"/>
      <c r="K2574" s="32" t="n"/>
      <c r="L2574" s="32" t="n"/>
      <c r="M2574" s="32" t="n"/>
      <c r="N2574" s="32" t="n"/>
      <c r="O2574" s="32" t="n"/>
      <c r="P2574" s="32" t="n"/>
      <c r="Q2574" s="32" t="n"/>
      <c r="U2574" s="31">
        <f>IF($A2574="","",SUM(X2574:AE2574))</f>
        <v/>
      </c>
      <c r="V2574" s="31">
        <f>IF($A2574="","",IF($H2574&lt;&gt;"Ausgabe",0,-$E2574-$U2574))</f>
        <v/>
      </c>
      <c r="W2574" s="33">
        <f>IF($A2574="","",DATE(YEAR($A2574),MONTH($A2574),1))</f>
        <v/>
      </c>
      <c r="X2574" s="34">
        <f>IF(OR($A2574="",$H2574&lt;&gt;"Ausgabe",J2574=""),0,IF(J2574="x",-$E2574/(COUNTIF($J2574:$Q2574,"x")+1),-$E2574*N(J2574)))</f>
        <v/>
      </c>
      <c r="Y2574" s="34">
        <f>IF(OR($A2574="",$H2574&lt;&gt;"Ausgabe",K2574=""),0,IF(K2574="x",-$E2574/(COUNTIF($J2574:$Q2574,"x")+1),-$E2574*N(K2574)))</f>
        <v/>
      </c>
      <c r="Z2574" s="34">
        <f>IF(OR($A2574="",$H2574&lt;&gt;"Ausgabe",L2574=""),0,IF(L2574="x",-$E2574/(COUNTIF($J2574:$Q2574,"x")+1),-$E2574*N(L2574)))</f>
        <v/>
      </c>
      <c r="AA2574" s="34">
        <f>IF(OR($A2574="",$H2574&lt;&gt;"Ausgabe",M2574=""),0,IF(M2574="x",-$E2574/(COUNTIF($J2574:$Q2574,"x")+1),-$E2574*N(M2574)))</f>
        <v/>
      </c>
      <c r="AB2574" s="34">
        <f>IF(OR($A2574="",$H2574&lt;&gt;"Ausgabe",N2574=""),0,IF(N2574="x",-$E2574/(COUNTIF($J2574:$Q2574,"x")+1),-$E2574*N(N2574)))</f>
        <v/>
      </c>
      <c r="AC2574" s="34">
        <f>IF(OR($A2574="",$H2574&lt;&gt;"Ausgabe",O2574=""),0,IF(O2574="x",-$E2574/(COUNTIF($J2574:$Q2574,"x")+1),-$E2574*N(O2574)))</f>
        <v/>
      </c>
      <c r="AD2574" s="34">
        <f>IF(OR($A2574="",$H2574&lt;&gt;"Ausgabe",P2574=""),0,IF(P2574="x",-$E2574/(COUNTIF($J2574:$Q2574,"x")+1),-$E2574*N(P2574)))</f>
        <v/>
      </c>
      <c r="AE2574" s="34">
        <f>IF(OR($A2574="",$H2574&lt;&gt;"Ausgabe",Q2574=""),0,IF(Q2574="x",-$E2574/(COUNTIF($J2574:$Q2574,"x")+1),-$E2574*N(Q2574)))</f>
        <v/>
      </c>
    </row>
    <row r="2575">
      <c r="A2575" s="30" t="n"/>
      <c r="E2575" s="31" t="n"/>
      <c r="J2575" s="32" t="n"/>
      <c r="K2575" s="32" t="n"/>
      <c r="L2575" s="32" t="n"/>
      <c r="M2575" s="32" t="n"/>
      <c r="N2575" s="32" t="n"/>
      <c r="O2575" s="32" t="n"/>
      <c r="P2575" s="32" t="n"/>
      <c r="Q2575" s="32" t="n"/>
      <c r="U2575" s="31">
        <f>IF($A2575="","",SUM(X2575:AE2575))</f>
        <v/>
      </c>
      <c r="V2575" s="31">
        <f>IF($A2575="","",IF($H2575&lt;&gt;"Ausgabe",0,-$E2575-$U2575))</f>
        <v/>
      </c>
      <c r="W2575" s="33">
        <f>IF($A2575="","",DATE(YEAR($A2575),MONTH($A2575),1))</f>
        <v/>
      </c>
      <c r="X2575" s="34">
        <f>IF(OR($A2575="",$H2575&lt;&gt;"Ausgabe",J2575=""),0,IF(J2575="x",-$E2575/(COUNTIF($J2575:$Q2575,"x")+1),-$E2575*N(J2575)))</f>
        <v/>
      </c>
      <c r="Y2575" s="34">
        <f>IF(OR($A2575="",$H2575&lt;&gt;"Ausgabe",K2575=""),0,IF(K2575="x",-$E2575/(COUNTIF($J2575:$Q2575,"x")+1),-$E2575*N(K2575)))</f>
        <v/>
      </c>
      <c r="Z2575" s="34">
        <f>IF(OR($A2575="",$H2575&lt;&gt;"Ausgabe",L2575=""),0,IF(L2575="x",-$E2575/(COUNTIF($J2575:$Q2575,"x")+1),-$E2575*N(L2575)))</f>
        <v/>
      </c>
      <c r="AA2575" s="34">
        <f>IF(OR($A2575="",$H2575&lt;&gt;"Ausgabe",M2575=""),0,IF(M2575="x",-$E2575/(COUNTIF($J2575:$Q2575,"x")+1),-$E2575*N(M2575)))</f>
        <v/>
      </c>
      <c r="AB2575" s="34">
        <f>IF(OR($A2575="",$H2575&lt;&gt;"Ausgabe",N2575=""),0,IF(N2575="x",-$E2575/(COUNTIF($J2575:$Q2575,"x")+1),-$E2575*N(N2575)))</f>
        <v/>
      </c>
      <c r="AC2575" s="34">
        <f>IF(OR($A2575="",$H2575&lt;&gt;"Ausgabe",O2575=""),0,IF(O2575="x",-$E2575/(COUNTIF($J2575:$Q2575,"x")+1),-$E2575*N(O2575)))</f>
        <v/>
      </c>
      <c r="AD2575" s="34">
        <f>IF(OR($A2575="",$H2575&lt;&gt;"Ausgabe",P2575=""),0,IF(P2575="x",-$E2575/(COUNTIF($J2575:$Q2575,"x")+1),-$E2575*N(P2575)))</f>
        <v/>
      </c>
      <c r="AE2575" s="34">
        <f>IF(OR($A2575="",$H2575&lt;&gt;"Ausgabe",Q2575=""),0,IF(Q2575="x",-$E2575/(COUNTIF($J2575:$Q2575,"x")+1),-$E2575*N(Q2575)))</f>
        <v/>
      </c>
    </row>
    <row r="2576">
      <c r="A2576" s="30" t="n"/>
      <c r="E2576" s="31" t="n"/>
      <c r="J2576" s="32" t="n"/>
      <c r="K2576" s="32" t="n"/>
      <c r="L2576" s="32" t="n"/>
      <c r="M2576" s="32" t="n"/>
      <c r="N2576" s="32" t="n"/>
      <c r="O2576" s="32" t="n"/>
      <c r="P2576" s="32" t="n"/>
      <c r="Q2576" s="32" t="n"/>
      <c r="U2576" s="31">
        <f>IF($A2576="","",SUM(X2576:AE2576))</f>
        <v/>
      </c>
      <c r="V2576" s="31">
        <f>IF($A2576="","",IF($H2576&lt;&gt;"Ausgabe",0,-$E2576-$U2576))</f>
        <v/>
      </c>
      <c r="W2576" s="33">
        <f>IF($A2576="","",DATE(YEAR($A2576),MONTH($A2576),1))</f>
        <v/>
      </c>
      <c r="X2576" s="34">
        <f>IF(OR($A2576="",$H2576&lt;&gt;"Ausgabe",J2576=""),0,IF(J2576="x",-$E2576/(COUNTIF($J2576:$Q2576,"x")+1),-$E2576*N(J2576)))</f>
        <v/>
      </c>
      <c r="Y2576" s="34">
        <f>IF(OR($A2576="",$H2576&lt;&gt;"Ausgabe",K2576=""),0,IF(K2576="x",-$E2576/(COUNTIF($J2576:$Q2576,"x")+1),-$E2576*N(K2576)))</f>
        <v/>
      </c>
      <c r="Z2576" s="34">
        <f>IF(OR($A2576="",$H2576&lt;&gt;"Ausgabe",L2576=""),0,IF(L2576="x",-$E2576/(COUNTIF($J2576:$Q2576,"x")+1),-$E2576*N(L2576)))</f>
        <v/>
      </c>
      <c r="AA2576" s="34">
        <f>IF(OR($A2576="",$H2576&lt;&gt;"Ausgabe",M2576=""),0,IF(M2576="x",-$E2576/(COUNTIF($J2576:$Q2576,"x")+1),-$E2576*N(M2576)))</f>
        <v/>
      </c>
      <c r="AB2576" s="34">
        <f>IF(OR($A2576="",$H2576&lt;&gt;"Ausgabe",N2576=""),0,IF(N2576="x",-$E2576/(COUNTIF($J2576:$Q2576,"x")+1),-$E2576*N(N2576)))</f>
        <v/>
      </c>
      <c r="AC2576" s="34">
        <f>IF(OR($A2576="",$H2576&lt;&gt;"Ausgabe",O2576=""),0,IF(O2576="x",-$E2576/(COUNTIF($J2576:$Q2576,"x")+1),-$E2576*N(O2576)))</f>
        <v/>
      </c>
      <c r="AD2576" s="34">
        <f>IF(OR($A2576="",$H2576&lt;&gt;"Ausgabe",P2576=""),0,IF(P2576="x",-$E2576/(COUNTIF($J2576:$Q2576,"x")+1),-$E2576*N(P2576)))</f>
        <v/>
      </c>
      <c r="AE2576" s="34">
        <f>IF(OR($A2576="",$H2576&lt;&gt;"Ausgabe",Q2576=""),0,IF(Q2576="x",-$E2576/(COUNTIF($J2576:$Q2576,"x")+1),-$E2576*N(Q2576)))</f>
        <v/>
      </c>
    </row>
    <row r="2577">
      <c r="A2577" s="30" t="n"/>
      <c r="E2577" s="31" t="n"/>
      <c r="J2577" s="32" t="n"/>
      <c r="K2577" s="32" t="n"/>
      <c r="L2577" s="32" t="n"/>
      <c r="M2577" s="32" t="n"/>
      <c r="N2577" s="32" t="n"/>
      <c r="O2577" s="32" t="n"/>
      <c r="P2577" s="32" t="n"/>
      <c r="Q2577" s="32" t="n"/>
      <c r="U2577" s="31">
        <f>IF($A2577="","",SUM(X2577:AE2577))</f>
        <v/>
      </c>
      <c r="V2577" s="31">
        <f>IF($A2577="","",IF($H2577&lt;&gt;"Ausgabe",0,-$E2577-$U2577))</f>
        <v/>
      </c>
      <c r="W2577" s="33">
        <f>IF($A2577="","",DATE(YEAR($A2577),MONTH($A2577),1))</f>
        <v/>
      </c>
      <c r="X2577" s="34">
        <f>IF(OR($A2577="",$H2577&lt;&gt;"Ausgabe",J2577=""),0,IF(J2577="x",-$E2577/(COUNTIF($J2577:$Q2577,"x")+1),-$E2577*N(J2577)))</f>
        <v/>
      </c>
      <c r="Y2577" s="34">
        <f>IF(OR($A2577="",$H2577&lt;&gt;"Ausgabe",K2577=""),0,IF(K2577="x",-$E2577/(COUNTIF($J2577:$Q2577,"x")+1),-$E2577*N(K2577)))</f>
        <v/>
      </c>
      <c r="Z2577" s="34">
        <f>IF(OR($A2577="",$H2577&lt;&gt;"Ausgabe",L2577=""),0,IF(L2577="x",-$E2577/(COUNTIF($J2577:$Q2577,"x")+1),-$E2577*N(L2577)))</f>
        <v/>
      </c>
      <c r="AA2577" s="34">
        <f>IF(OR($A2577="",$H2577&lt;&gt;"Ausgabe",M2577=""),0,IF(M2577="x",-$E2577/(COUNTIF($J2577:$Q2577,"x")+1),-$E2577*N(M2577)))</f>
        <v/>
      </c>
      <c r="AB2577" s="34">
        <f>IF(OR($A2577="",$H2577&lt;&gt;"Ausgabe",N2577=""),0,IF(N2577="x",-$E2577/(COUNTIF($J2577:$Q2577,"x")+1),-$E2577*N(N2577)))</f>
        <v/>
      </c>
      <c r="AC2577" s="34">
        <f>IF(OR($A2577="",$H2577&lt;&gt;"Ausgabe",O2577=""),0,IF(O2577="x",-$E2577/(COUNTIF($J2577:$Q2577,"x")+1),-$E2577*N(O2577)))</f>
        <v/>
      </c>
      <c r="AD2577" s="34">
        <f>IF(OR($A2577="",$H2577&lt;&gt;"Ausgabe",P2577=""),0,IF(P2577="x",-$E2577/(COUNTIF($J2577:$Q2577,"x")+1),-$E2577*N(P2577)))</f>
        <v/>
      </c>
      <c r="AE2577" s="34">
        <f>IF(OR($A2577="",$H2577&lt;&gt;"Ausgabe",Q2577=""),0,IF(Q2577="x",-$E2577/(COUNTIF($J2577:$Q2577,"x")+1),-$E2577*N(Q2577)))</f>
        <v/>
      </c>
    </row>
    <row r="2578">
      <c r="A2578" s="30" t="n"/>
      <c r="E2578" s="31" t="n"/>
      <c r="J2578" s="32" t="n"/>
      <c r="K2578" s="32" t="n"/>
      <c r="L2578" s="32" t="n"/>
      <c r="M2578" s="32" t="n"/>
      <c r="N2578" s="32" t="n"/>
      <c r="O2578" s="32" t="n"/>
      <c r="P2578" s="32" t="n"/>
      <c r="Q2578" s="32" t="n"/>
      <c r="U2578" s="31">
        <f>IF($A2578="","",SUM(X2578:AE2578))</f>
        <v/>
      </c>
      <c r="V2578" s="31">
        <f>IF($A2578="","",IF($H2578&lt;&gt;"Ausgabe",0,-$E2578-$U2578))</f>
        <v/>
      </c>
      <c r="W2578" s="33">
        <f>IF($A2578="","",DATE(YEAR($A2578),MONTH($A2578),1))</f>
        <v/>
      </c>
      <c r="X2578" s="34">
        <f>IF(OR($A2578="",$H2578&lt;&gt;"Ausgabe",J2578=""),0,IF(J2578="x",-$E2578/(COUNTIF($J2578:$Q2578,"x")+1),-$E2578*N(J2578)))</f>
        <v/>
      </c>
      <c r="Y2578" s="34">
        <f>IF(OR($A2578="",$H2578&lt;&gt;"Ausgabe",K2578=""),0,IF(K2578="x",-$E2578/(COUNTIF($J2578:$Q2578,"x")+1),-$E2578*N(K2578)))</f>
        <v/>
      </c>
      <c r="Z2578" s="34">
        <f>IF(OR($A2578="",$H2578&lt;&gt;"Ausgabe",L2578=""),0,IF(L2578="x",-$E2578/(COUNTIF($J2578:$Q2578,"x")+1),-$E2578*N(L2578)))</f>
        <v/>
      </c>
      <c r="AA2578" s="34">
        <f>IF(OR($A2578="",$H2578&lt;&gt;"Ausgabe",M2578=""),0,IF(M2578="x",-$E2578/(COUNTIF($J2578:$Q2578,"x")+1),-$E2578*N(M2578)))</f>
        <v/>
      </c>
      <c r="AB2578" s="34">
        <f>IF(OR($A2578="",$H2578&lt;&gt;"Ausgabe",N2578=""),0,IF(N2578="x",-$E2578/(COUNTIF($J2578:$Q2578,"x")+1),-$E2578*N(N2578)))</f>
        <v/>
      </c>
      <c r="AC2578" s="34">
        <f>IF(OR($A2578="",$H2578&lt;&gt;"Ausgabe",O2578=""),0,IF(O2578="x",-$E2578/(COUNTIF($J2578:$Q2578,"x")+1),-$E2578*N(O2578)))</f>
        <v/>
      </c>
      <c r="AD2578" s="34">
        <f>IF(OR($A2578="",$H2578&lt;&gt;"Ausgabe",P2578=""),0,IF(P2578="x",-$E2578/(COUNTIF($J2578:$Q2578,"x")+1),-$E2578*N(P2578)))</f>
        <v/>
      </c>
      <c r="AE2578" s="34">
        <f>IF(OR($A2578="",$H2578&lt;&gt;"Ausgabe",Q2578=""),0,IF(Q2578="x",-$E2578/(COUNTIF($J2578:$Q2578,"x")+1),-$E2578*N(Q2578)))</f>
        <v/>
      </c>
    </row>
    <row r="2579">
      <c r="A2579" s="30" t="n"/>
      <c r="E2579" s="31" t="n"/>
      <c r="J2579" s="32" t="n"/>
      <c r="K2579" s="32" t="n"/>
      <c r="L2579" s="32" t="n"/>
      <c r="M2579" s="32" t="n"/>
      <c r="N2579" s="32" t="n"/>
      <c r="O2579" s="32" t="n"/>
      <c r="P2579" s="32" t="n"/>
      <c r="Q2579" s="32" t="n"/>
      <c r="U2579" s="31">
        <f>IF($A2579="","",SUM(X2579:AE2579))</f>
        <v/>
      </c>
      <c r="V2579" s="31">
        <f>IF($A2579="","",IF($H2579&lt;&gt;"Ausgabe",0,-$E2579-$U2579))</f>
        <v/>
      </c>
      <c r="W2579" s="33">
        <f>IF($A2579="","",DATE(YEAR($A2579),MONTH($A2579),1))</f>
        <v/>
      </c>
      <c r="X2579" s="34">
        <f>IF(OR($A2579="",$H2579&lt;&gt;"Ausgabe",J2579=""),0,IF(J2579="x",-$E2579/(COUNTIF($J2579:$Q2579,"x")+1),-$E2579*N(J2579)))</f>
        <v/>
      </c>
      <c r="Y2579" s="34">
        <f>IF(OR($A2579="",$H2579&lt;&gt;"Ausgabe",K2579=""),0,IF(K2579="x",-$E2579/(COUNTIF($J2579:$Q2579,"x")+1),-$E2579*N(K2579)))</f>
        <v/>
      </c>
      <c r="Z2579" s="34">
        <f>IF(OR($A2579="",$H2579&lt;&gt;"Ausgabe",L2579=""),0,IF(L2579="x",-$E2579/(COUNTIF($J2579:$Q2579,"x")+1),-$E2579*N(L2579)))</f>
        <v/>
      </c>
      <c r="AA2579" s="34">
        <f>IF(OR($A2579="",$H2579&lt;&gt;"Ausgabe",M2579=""),0,IF(M2579="x",-$E2579/(COUNTIF($J2579:$Q2579,"x")+1),-$E2579*N(M2579)))</f>
        <v/>
      </c>
      <c r="AB2579" s="34">
        <f>IF(OR($A2579="",$H2579&lt;&gt;"Ausgabe",N2579=""),0,IF(N2579="x",-$E2579/(COUNTIF($J2579:$Q2579,"x")+1),-$E2579*N(N2579)))</f>
        <v/>
      </c>
      <c r="AC2579" s="34">
        <f>IF(OR($A2579="",$H2579&lt;&gt;"Ausgabe",O2579=""),0,IF(O2579="x",-$E2579/(COUNTIF($J2579:$Q2579,"x")+1),-$E2579*N(O2579)))</f>
        <v/>
      </c>
      <c r="AD2579" s="34">
        <f>IF(OR($A2579="",$H2579&lt;&gt;"Ausgabe",P2579=""),0,IF(P2579="x",-$E2579/(COUNTIF($J2579:$Q2579,"x")+1),-$E2579*N(P2579)))</f>
        <v/>
      </c>
      <c r="AE2579" s="34">
        <f>IF(OR($A2579="",$H2579&lt;&gt;"Ausgabe",Q2579=""),0,IF(Q2579="x",-$E2579/(COUNTIF($J2579:$Q2579,"x")+1),-$E2579*N(Q2579)))</f>
        <v/>
      </c>
    </row>
    <row r="2580">
      <c r="A2580" s="30" t="n"/>
      <c r="E2580" s="31" t="n"/>
      <c r="J2580" s="32" t="n"/>
      <c r="K2580" s="32" t="n"/>
      <c r="L2580" s="32" t="n"/>
      <c r="M2580" s="32" t="n"/>
      <c r="N2580" s="32" t="n"/>
      <c r="O2580" s="32" t="n"/>
      <c r="P2580" s="32" t="n"/>
      <c r="Q2580" s="32" t="n"/>
      <c r="U2580" s="31">
        <f>IF($A2580="","",SUM(X2580:AE2580))</f>
        <v/>
      </c>
      <c r="V2580" s="31">
        <f>IF($A2580="","",IF($H2580&lt;&gt;"Ausgabe",0,-$E2580-$U2580))</f>
        <v/>
      </c>
      <c r="W2580" s="33">
        <f>IF($A2580="","",DATE(YEAR($A2580),MONTH($A2580),1))</f>
        <v/>
      </c>
      <c r="X2580" s="34">
        <f>IF(OR($A2580="",$H2580&lt;&gt;"Ausgabe",J2580=""),0,IF(J2580="x",-$E2580/(COUNTIF($J2580:$Q2580,"x")+1),-$E2580*N(J2580)))</f>
        <v/>
      </c>
      <c r="Y2580" s="34">
        <f>IF(OR($A2580="",$H2580&lt;&gt;"Ausgabe",K2580=""),0,IF(K2580="x",-$E2580/(COUNTIF($J2580:$Q2580,"x")+1),-$E2580*N(K2580)))</f>
        <v/>
      </c>
      <c r="Z2580" s="34">
        <f>IF(OR($A2580="",$H2580&lt;&gt;"Ausgabe",L2580=""),0,IF(L2580="x",-$E2580/(COUNTIF($J2580:$Q2580,"x")+1),-$E2580*N(L2580)))</f>
        <v/>
      </c>
      <c r="AA2580" s="34">
        <f>IF(OR($A2580="",$H2580&lt;&gt;"Ausgabe",M2580=""),0,IF(M2580="x",-$E2580/(COUNTIF($J2580:$Q2580,"x")+1),-$E2580*N(M2580)))</f>
        <v/>
      </c>
      <c r="AB2580" s="34">
        <f>IF(OR($A2580="",$H2580&lt;&gt;"Ausgabe",N2580=""),0,IF(N2580="x",-$E2580/(COUNTIF($J2580:$Q2580,"x")+1),-$E2580*N(N2580)))</f>
        <v/>
      </c>
      <c r="AC2580" s="34">
        <f>IF(OR($A2580="",$H2580&lt;&gt;"Ausgabe",O2580=""),0,IF(O2580="x",-$E2580/(COUNTIF($J2580:$Q2580,"x")+1),-$E2580*N(O2580)))</f>
        <v/>
      </c>
      <c r="AD2580" s="34">
        <f>IF(OR($A2580="",$H2580&lt;&gt;"Ausgabe",P2580=""),0,IF(P2580="x",-$E2580/(COUNTIF($J2580:$Q2580,"x")+1),-$E2580*N(P2580)))</f>
        <v/>
      </c>
      <c r="AE2580" s="34">
        <f>IF(OR($A2580="",$H2580&lt;&gt;"Ausgabe",Q2580=""),0,IF(Q2580="x",-$E2580/(COUNTIF($J2580:$Q2580,"x")+1),-$E2580*N(Q2580)))</f>
        <v/>
      </c>
    </row>
    <row r="2581">
      <c r="A2581" s="30" t="n"/>
      <c r="E2581" s="31" t="n"/>
      <c r="J2581" s="32" t="n"/>
      <c r="K2581" s="32" t="n"/>
      <c r="L2581" s="32" t="n"/>
      <c r="M2581" s="32" t="n"/>
      <c r="N2581" s="32" t="n"/>
      <c r="O2581" s="32" t="n"/>
      <c r="P2581" s="32" t="n"/>
      <c r="Q2581" s="32" t="n"/>
      <c r="U2581" s="31">
        <f>IF($A2581="","",SUM(X2581:AE2581))</f>
        <v/>
      </c>
      <c r="V2581" s="31">
        <f>IF($A2581="","",IF($H2581&lt;&gt;"Ausgabe",0,-$E2581-$U2581))</f>
        <v/>
      </c>
      <c r="W2581" s="33">
        <f>IF($A2581="","",DATE(YEAR($A2581),MONTH($A2581),1))</f>
        <v/>
      </c>
      <c r="X2581" s="34">
        <f>IF(OR($A2581="",$H2581&lt;&gt;"Ausgabe",J2581=""),0,IF(J2581="x",-$E2581/(COUNTIF($J2581:$Q2581,"x")+1),-$E2581*N(J2581)))</f>
        <v/>
      </c>
      <c r="Y2581" s="34">
        <f>IF(OR($A2581="",$H2581&lt;&gt;"Ausgabe",K2581=""),0,IF(K2581="x",-$E2581/(COUNTIF($J2581:$Q2581,"x")+1),-$E2581*N(K2581)))</f>
        <v/>
      </c>
      <c r="Z2581" s="34">
        <f>IF(OR($A2581="",$H2581&lt;&gt;"Ausgabe",L2581=""),0,IF(L2581="x",-$E2581/(COUNTIF($J2581:$Q2581,"x")+1),-$E2581*N(L2581)))</f>
        <v/>
      </c>
      <c r="AA2581" s="34">
        <f>IF(OR($A2581="",$H2581&lt;&gt;"Ausgabe",M2581=""),0,IF(M2581="x",-$E2581/(COUNTIF($J2581:$Q2581,"x")+1),-$E2581*N(M2581)))</f>
        <v/>
      </c>
      <c r="AB2581" s="34">
        <f>IF(OR($A2581="",$H2581&lt;&gt;"Ausgabe",N2581=""),0,IF(N2581="x",-$E2581/(COUNTIF($J2581:$Q2581,"x")+1),-$E2581*N(N2581)))</f>
        <v/>
      </c>
      <c r="AC2581" s="34">
        <f>IF(OR($A2581="",$H2581&lt;&gt;"Ausgabe",O2581=""),0,IF(O2581="x",-$E2581/(COUNTIF($J2581:$Q2581,"x")+1),-$E2581*N(O2581)))</f>
        <v/>
      </c>
      <c r="AD2581" s="34">
        <f>IF(OR($A2581="",$H2581&lt;&gt;"Ausgabe",P2581=""),0,IF(P2581="x",-$E2581/(COUNTIF($J2581:$Q2581,"x")+1),-$E2581*N(P2581)))</f>
        <v/>
      </c>
      <c r="AE2581" s="34">
        <f>IF(OR($A2581="",$H2581&lt;&gt;"Ausgabe",Q2581=""),0,IF(Q2581="x",-$E2581/(COUNTIF($J2581:$Q2581,"x")+1),-$E2581*N(Q2581)))</f>
        <v/>
      </c>
    </row>
    <row r="2582">
      <c r="A2582" s="30" t="n"/>
      <c r="E2582" s="31" t="n"/>
      <c r="J2582" s="32" t="n"/>
      <c r="K2582" s="32" t="n"/>
      <c r="L2582" s="32" t="n"/>
      <c r="M2582" s="32" t="n"/>
      <c r="N2582" s="32" t="n"/>
      <c r="O2582" s="32" t="n"/>
      <c r="P2582" s="32" t="n"/>
      <c r="Q2582" s="32" t="n"/>
      <c r="U2582" s="31">
        <f>IF($A2582="","",SUM(X2582:AE2582))</f>
        <v/>
      </c>
      <c r="V2582" s="31">
        <f>IF($A2582="","",IF($H2582&lt;&gt;"Ausgabe",0,-$E2582-$U2582))</f>
        <v/>
      </c>
      <c r="W2582" s="33">
        <f>IF($A2582="","",DATE(YEAR($A2582),MONTH($A2582),1))</f>
        <v/>
      </c>
      <c r="X2582" s="34">
        <f>IF(OR($A2582="",$H2582&lt;&gt;"Ausgabe",J2582=""),0,IF(J2582="x",-$E2582/(COUNTIF($J2582:$Q2582,"x")+1),-$E2582*N(J2582)))</f>
        <v/>
      </c>
      <c r="Y2582" s="34">
        <f>IF(OR($A2582="",$H2582&lt;&gt;"Ausgabe",K2582=""),0,IF(K2582="x",-$E2582/(COUNTIF($J2582:$Q2582,"x")+1),-$E2582*N(K2582)))</f>
        <v/>
      </c>
      <c r="Z2582" s="34">
        <f>IF(OR($A2582="",$H2582&lt;&gt;"Ausgabe",L2582=""),0,IF(L2582="x",-$E2582/(COUNTIF($J2582:$Q2582,"x")+1),-$E2582*N(L2582)))</f>
        <v/>
      </c>
      <c r="AA2582" s="34">
        <f>IF(OR($A2582="",$H2582&lt;&gt;"Ausgabe",M2582=""),0,IF(M2582="x",-$E2582/(COUNTIF($J2582:$Q2582,"x")+1),-$E2582*N(M2582)))</f>
        <v/>
      </c>
      <c r="AB2582" s="34">
        <f>IF(OR($A2582="",$H2582&lt;&gt;"Ausgabe",N2582=""),0,IF(N2582="x",-$E2582/(COUNTIF($J2582:$Q2582,"x")+1),-$E2582*N(N2582)))</f>
        <v/>
      </c>
      <c r="AC2582" s="34">
        <f>IF(OR($A2582="",$H2582&lt;&gt;"Ausgabe",O2582=""),0,IF(O2582="x",-$E2582/(COUNTIF($J2582:$Q2582,"x")+1),-$E2582*N(O2582)))</f>
        <v/>
      </c>
      <c r="AD2582" s="34">
        <f>IF(OR($A2582="",$H2582&lt;&gt;"Ausgabe",P2582=""),0,IF(P2582="x",-$E2582/(COUNTIF($J2582:$Q2582,"x")+1),-$E2582*N(P2582)))</f>
        <v/>
      </c>
      <c r="AE2582" s="34">
        <f>IF(OR($A2582="",$H2582&lt;&gt;"Ausgabe",Q2582=""),0,IF(Q2582="x",-$E2582/(COUNTIF($J2582:$Q2582,"x")+1),-$E2582*N(Q2582)))</f>
        <v/>
      </c>
    </row>
    <row r="2583">
      <c r="A2583" s="30" t="n"/>
      <c r="E2583" s="31" t="n"/>
      <c r="J2583" s="32" t="n"/>
      <c r="K2583" s="32" t="n"/>
      <c r="L2583" s="32" t="n"/>
      <c r="M2583" s="32" t="n"/>
      <c r="N2583" s="32" t="n"/>
      <c r="O2583" s="32" t="n"/>
      <c r="P2583" s="32" t="n"/>
      <c r="Q2583" s="32" t="n"/>
      <c r="U2583" s="31">
        <f>IF($A2583="","",SUM(X2583:AE2583))</f>
        <v/>
      </c>
      <c r="V2583" s="31">
        <f>IF($A2583="","",IF($H2583&lt;&gt;"Ausgabe",0,-$E2583-$U2583))</f>
        <v/>
      </c>
      <c r="W2583" s="33">
        <f>IF($A2583="","",DATE(YEAR($A2583),MONTH($A2583),1))</f>
        <v/>
      </c>
      <c r="X2583" s="34">
        <f>IF(OR($A2583="",$H2583&lt;&gt;"Ausgabe",J2583=""),0,IF(J2583="x",-$E2583/(COUNTIF($J2583:$Q2583,"x")+1),-$E2583*N(J2583)))</f>
        <v/>
      </c>
      <c r="Y2583" s="34">
        <f>IF(OR($A2583="",$H2583&lt;&gt;"Ausgabe",K2583=""),0,IF(K2583="x",-$E2583/(COUNTIF($J2583:$Q2583,"x")+1),-$E2583*N(K2583)))</f>
        <v/>
      </c>
      <c r="Z2583" s="34">
        <f>IF(OR($A2583="",$H2583&lt;&gt;"Ausgabe",L2583=""),0,IF(L2583="x",-$E2583/(COUNTIF($J2583:$Q2583,"x")+1),-$E2583*N(L2583)))</f>
        <v/>
      </c>
      <c r="AA2583" s="34">
        <f>IF(OR($A2583="",$H2583&lt;&gt;"Ausgabe",M2583=""),0,IF(M2583="x",-$E2583/(COUNTIF($J2583:$Q2583,"x")+1),-$E2583*N(M2583)))</f>
        <v/>
      </c>
      <c r="AB2583" s="34">
        <f>IF(OR($A2583="",$H2583&lt;&gt;"Ausgabe",N2583=""),0,IF(N2583="x",-$E2583/(COUNTIF($J2583:$Q2583,"x")+1),-$E2583*N(N2583)))</f>
        <v/>
      </c>
      <c r="AC2583" s="34">
        <f>IF(OR($A2583="",$H2583&lt;&gt;"Ausgabe",O2583=""),0,IF(O2583="x",-$E2583/(COUNTIF($J2583:$Q2583,"x")+1),-$E2583*N(O2583)))</f>
        <v/>
      </c>
      <c r="AD2583" s="34">
        <f>IF(OR($A2583="",$H2583&lt;&gt;"Ausgabe",P2583=""),0,IF(P2583="x",-$E2583/(COUNTIF($J2583:$Q2583,"x")+1),-$E2583*N(P2583)))</f>
        <v/>
      </c>
      <c r="AE2583" s="34">
        <f>IF(OR($A2583="",$H2583&lt;&gt;"Ausgabe",Q2583=""),0,IF(Q2583="x",-$E2583/(COUNTIF($J2583:$Q2583,"x")+1),-$E2583*N(Q2583)))</f>
        <v/>
      </c>
    </row>
    <row r="2584">
      <c r="A2584" s="30" t="n"/>
      <c r="E2584" s="31" t="n"/>
      <c r="J2584" s="32" t="n"/>
      <c r="K2584" s="32" t="n"/>
      <c r="L2584" s="32" t="n"/>
      <c r="M2584" s="32" t="n"/>
      <c r="N2584" s="32" t="n"/>
      <c r="O2584" s="32" t="n"/>
      <c r="P2584" s="32" t="n"/>
      <c r="Q2584" s="32" t="n"/>
      <c r="U2584" s="31">
        <f>IF($A2584="","",SUM(X2584:AE2584))</f>
        <v/>
      </c>
      <c r="V2584" s="31">
        <f>IF($A2584="","",IF($H2584&lt;&gt;"Ausgabe",0,-$E2584-$U2584))</f>
        <v/>
      </c>
      <c r="W2584" s="33">
        <f>IF($A2584="","",DATE(YEAR($A2584),MONTH($A2584),1))</f>
        <v/>
      </c>
      <c r="X2584" s="34">
        <f>IF(OR($A2584="",$H2584&lt;&gt;"Ausgabe",J2584=""),0,IF(J2584="x",-$E2584/(COUNTIF($J2584:$Q2584,"x")+1),-$E2584*N(J2584)))</f>
        <v/>
      </c>
      <c r="Y2584" s="34">
        <f>IF(OR($A2584="",$H2584&lt;&gt;"Ausgabe",K2584=""),0,IF(K2584="x",-$E2584/(COUNTIF($J2584:$Q2584,"x")+1),-$E2584*N(K2584)))</f>
        <v/>
      </c>
      <c r="Z2584" s="34">
        <f>IF(OR($A2584="",$H2584&lt;&gt;"Ausgabe",L2584=""),0,IF(L2584="x",-$E2584/(COUNTIF($J2584:$Q2584,"x")+1),-$E2584*N(L2584)))</f>
        <v/>
      </c>
      <c r="AA2584" s="34">
        <f>IF(OR($A2584="",$H2584&lt;&gt;"Ausgabe",M2584=""),0,IF(M2584="x",-$E2584/(COUNTIF($J2584:$Q2584,"x")+1),-$E2584*N(M2584)))</f>
        <v/>
      </c>
      <c r="AB2584" s="34">
        <f>IF(OR($A2584="",$H2584&lt;&gt;"Ausgabe",N2584=""),0,IF(N2584="x",-$E2584/(COUNTIF($J2584:$Q2584,"x")+1),-$E2584*N(N2584)))</f>
        <v/>
      </c>
      <c r="AC2584" s="34">
        <f>IF(OR($A2584="",$H2584&lt;&gt;"Ausgabe",O2584=""),0,IF(O2584="x",-$E2584/(COUNTIF($J2584:$Q2584,"x")+1),-$E2584*N(O2584)))</f>
        <v/>
      </c>
      <c r="AD2584" s="34">
        <f>IF(OR($A2584="",$H2584&lt;&gt;"Ausgabe",P2584=""),0,IF(P2584="x",-$E2584/(COUNTIF($J2584:$Q2584,"x")+1),-$E2584*N(P2584)))</f>
        <v/>
      </c>
      <c r="AE2584" s="34">
        <f>IF(OR($A2584="",$H2584&lt;&gt;"Ausgabe",Q2584=""),0,IF(Q2584="x",-$E2584/(COUNTIF($J2584:$Q2584,"x")+1),-$E2584*N(Q2584)))</f>
        <v/>
      </c>
    </row>
    <row r="2585">
      <c r="A2585" s="30" t="n"/>
      <c r="E2585" s="31" t="n"/>
      <c r="J2585" s="32" t="n"/>
      <c r="K2585" s="32" t="n"/>
      <c r="L2585" s="32" t="n"/>
      <c r="M2585" s="32" t="n"/>
      <c r="N2585" s="32" t="n"/>
      <c r="O2585" s="32" t="n"/>
      <c r="P2585" s="32" t="n"/>
      <c r="Q2585" s="32" t="n"/>
      <c r="U2585" s="31">
        <f>IF($A2585="","",SUM(X2585:AE2585))</f>
        <v/>
      </c>
      <c r="V2585" s="31">
        <f>IF($A2585="","",IF($H2585&lt;&gt;"Ausgabe",0,-$E2585-$U2585))</f>
        <v/>
      </c>
      <c r="W2585" s="33">
        <f>IF($A2585="","",DATE(YEAR($A2585),MONTH($A2585),1))</f>
        <v/>
      </c>
      <c r="X2585" s="34">
        <f>IF(OR($A2585="",$H2585&lt;&gt;"Ausgabe",J2585=""),0,IF(J2585="x",-$E2585/(COUNTIF($J2585:$Q2585,"x")+1),-$E2585*N(J2585)))</f>
        <v/>
      </c>
      <c r="Y2585" s="34">
        <f>IF(OR($A2585="",$H2585&lt;&gt;"Ausgabe",K2585=""),0,IF(K2585="x",-$E2585/(COUNTIF($J2585:$Q2585,"x")+1),-$E2585*N(K2585)))</f>
        <v/>
      </c>
      <c r="Z2585" s="34">
        <f>IF(OR($A2585="",$H2585&lt;&gt;"Ausgabe",L2585=""),0,IF(L2585="x",-$E2585/(COUNTIF($J2585:$Q2585,"x")+1),-$E2585*N(L2585)))</f>
        <v/>
      </c>
      <c r="AA2585" s="34">
        <f>IF(OR($A2585="",$H2585&lt;&gt;"Ausgabe",M2585=""),0,IF(M2585="x",-$E2585/(COUNTIF($J2585:$Q2585,"x")+1),-$E2585*N(M2585)))</f>
        <v/>
      </c>
      <c r="AB2585" s="34">
        <f>IF(OR($A2585="",$H2585&lt;&gt;"Ausgabe",N2585=""),0,IF(N2585="x",-$E2585/(COUNTIF($J2585:$Q2585,"x")+1),-$E2585*N(N2585)))</f>
        <v/>
      </c>
      <c r="AC2585" s="34">
        <f>IF(OR($A2585="",$H2585&lt;&gt;"Ausgabe",O2585=""),0,IF(O2585="x",-$E2585/(COUNTIF($J2585:$Q2585,"x")+1),-$E2585*N(O2585)))</f>
        <v/>
      </c>
      <c r="AD2585" s="34">
        <f>IF(OR($A2585="",$H2585&lt;&gt;"Ausgabe",P2585=""),0,IF(P2585="x",-$E2585/(COUNTIF($J2585:$Q2585,"x")+1),-$E2585*N(P2585)))</f>
        <v/>
      </c>
      <c r="AE2585" s="34">
        <f>IF(OR($A2585="",$H2585&lt;&gt;"Ausgabe",Q2585=""),0,IF(Q2585="x",-$E2585/(COUNTIF($J2585:$Q2585,"x")+1),-$E2585*N(Q2585)))</f>
        <v/>
      </c>
    </row>
    <row r="2586">
      <c r="A2586" s="30" t="n"/>
      <c r="E2586" s="31" t="n"/>
      <c r="J2586" s="32" t="n"/>
      <c r="K2586" s="32" t="n"/>
      <c r="L2586" s="32" t="n"/>
      <c r="M2586" s="32" t="n"/>
      <c r="N2586" s="32" t="n"/>
      <c r="O2586" s="32" t="n"/>
      <c r="P2586" s="32" t="n"/>
      <c r="Q2586" s="32" t="n"/>
      <c r="U2586" s="31">
        <f>IF($A2586="","",SUM(X2586:AE2586))</f>
        <v/>
      </c>
      <c r="V2586" s="31">
        <f>IF($A2586="","",IF($H2586&lt;&gt;"Ausgabe",0,-$E2586-$U2586))</f>
        <v/>
      </c>
      <c r="W2586" s="33">
        <f>IF($A2586="","",DATE(YEAR($A2586),MONTH($A2586),1))</f>
        <v/>
      </c>
      <c r="X2586" s="34">
        <f>IF(OR($A2586="",$H2586&lt;&gt;"Ausgabe",J2586=""),0,IF(J2586="x",-$E2586/(COUNTIF($J2586:$Q2586,"x")+1),-$E2586*N(J2586)))</f>
        <v/>
      </c>
      <c r="Y2586" s="34">
        <f>IF(OR($A2586="",$H2586&lt;&gt;"Ausgabe",K2586=""),0,IF(K2586="x",-$E2586/(COUNTIF($J2586:$Q2586,"x")+1),-$E2586*N(K2586)))</f>
        <v/>
      </c>
      <c r="Z2586" s="34">
        <f>IF(OR($A2586="",$H2586&lt;&gt;"Ausgabe",L2586=""),0,IF(L2586="x",-$E2586/(COUNTIF($J2586:$Q2586,"x")+1),-$E2586*N(L2586)))</f>
        <v/>
      </c>
      <c r="AA2586" s="34">
        <f>IF(OR($A2586="",$H2586&lt;&gt;"Ausgabe",M2586=""),0,IF(M2586="x",-$E2586/(COUNTIF($J2586:$Q2586,"x")+1),-$E2586*N(M2586)))</f>
        <v/>
      </c>
      <c r="AB2586" s="34">
        <f>IF(OR($A2586="",$H2586&lt;&gt;"Ausgabe",N2586=""),0,IF(N2586="x",-$E2586/(COUNTIF($J2586:$Q2586,"x")+1),-$E2586*N(N2586)))</f>
        <v/>
      </c>
      <c r="AC2586" s="34">
        <f>IF(OR($A2586="",$H2586&lt;&gt;"Ausgabe",O2586=""),0,IF(O2586="x",-$E2586/(COUNTIF($J2586:$Q2586,"x")+1),-$E2586*N(O2586)))</f>
        <v/>
      </c>
      <c r="AD2586" s="34">
        <f>IF(OR($A2586="",$H2586&lt;&gt;"Ausgabe",P2586=""),0,IF(P2586="x",-$E2586/(COUNTIF($J2586:$Q2586,"x")+1),-$E2586*N(P2586)))</f>
        <v/>
      </c>
      <c r="AE2586" s="34">
        <f>IF(OR($A2586="",$H2586&lt;&gt;"Ausgabe",Q2586=""),0,IF(Q2586="x",-$E2586/(COUNTIF($J2586:$Q2586,"x")+1),-$E2586*N(Q2586)))</f>
        <v/>
      </c>
    </row>
    <row r="2587">
      <c r="A2587" s="30" t="n"/>
      <c r="E2587" s="31" t="n"/>
      <c r="J2587" s="32" t="n"/>
      <c r="K2587" s="32" t="n"/>
      <c r="L2587" s="32" t="n"/>
      <c r="M2587" s="32" t="n"/>
      <c r="N2587" s="32" t="n"/>
      <c r="O2587" s="32" t="n"/>
      <c r="P2587" s="32" t="n"/>
      <c r="Q2587" s="32" t="n"/>
      <c r="U2587" s="31">
        <f>IF($A2587="","",SUM(X2587:AE2587))</f>
        <v/>
      </c>
      <c r="V2587" s="31">
        <f>IF($A2587="","",IF($H2587&lt;&gt;"Ausgabe",0,-$E2587-$U2587))</f>
        <v/>
      </c>
      <c r="W2587" s="33">
        <f>IF($A2587="","",DATE(YEAR($A2587),MONTH($A2587),1))</f>
        <v/>
      </c>
      <c r="X2587" s="34">
        <f>IF(OR($A2587="",$H2587&lt;&gt;"Ausgabe",J2587=""),0,IF(J2587="x",-$E2587/(COUNTIF($J2587:$Q2587,"x")+1),-$E2587*N(J2587)))</f>
        <v/>
      </c>
      <c r="Y2587" s="34">
        <f>IF(OR($A2587="",$H2587&lt;&gt;"Ausgabe",K2587=""),0,IF(K2587="x",-$E2587/(COUNTIF($J2587:$Q2587,"x")+1),-$E2587*N(K2587)))</f>
        <v/>
      </c>
      <c r="Z2587" s="34">
        <f>IF(OR($A2587="",$H2587&lt;&gt;"Ausgabe",L2587=""),0,IF(L2587="x",-$E2587/(COUNTIF($J2587:$Q2587,"x")+1),-$E2587*N(L2587)))</f>
        <v/>
      </c>
      <c r="AA2587" s="34">
        <f>IF(OR($A2587="",$H2587&lt;&gt;"Ausgabe",M2587=""),0,IF(M2587="x",-$E2587/(COUNTIF($J2587:$Q2587,"x")+1),-$E2587*N(M2587)))</f>
        <v/>
      </c>
      <c r="AB2587" s="34">
        <f>IF(OR($A2587="",$H2587&lt;&gt;"Ausgabe",N2587=""),0,IF(N2587="x",-$E2587/(COUNTIF($J2587:$Q2587,"x")+1),-$E2587*N(N2587)))</f>
        <v/>
      </c>
      <c r="AC2587" s="34">
        <f>IF(OR($A2587="",$H2587&lt;&gt;"Ausgabe",O2587=""),0,IF(O2587="x",-$E2587/(COUNTIF($J2587:$Q2587,"x")+1),-$E2587*N(O2587)))</f>
        <v/>
      </c>
      <c r="AD2587" s="34">
        <f>IF(OR($A2587="",$H2587&lt;&gt;"Ausgabe",P2587=""),0,IF(P2587="x",-$E2587/(COUNTIF($J2587:$Q2587,"x")+1),-$E2587*N(P2587)))</f>
        <v/>
      </c>
      <c r="AE2587" s="34">
        <f>IF(OR($A2587="",$H2587&lt;&gt;"Ausgabe",Q2587=""),0,IF(Q2587="x",-$E2587/(COUNTIF($J2587:$Q2587,"x")+1),-$E2587*N(Q2587)))</f>
        <v/>
      </c>
    </row>
    <row r="2588">
      <c r="A2588" s="30" t="n"/>
      <c r="E2588" s="31" t="n"/>
      <c r="J2588" s="32" t="n"/>
      <c r="K2588" s="32" t="n"/>
      <c r="L2588" s="32" t="n"/>
      <c r="M2588" s="32" t="n"/>
      <c r="N2588" s="32" t="n"/>
      <c r="O2588" s="32" t="n"/>
      <c r="P2588" s="32" t="n"/>
      <c r="Q2588" s="32" t="n"/>
      <c r="U2588" s="31">
        <f>IF($A2588="","",SUM(X2588:AE2588))</f>
        <v/>
      </c>
      <c r="V2588" s="31">
        <f>IF($A2588="","",IF($H2588&lt;&gt;"Ausgabe",0,-$E2588-$U2588))</f>
        <v/>
      </c>
      <c r="W2588" s="33">
        <f>IF($A2588="","",DATE(YEAR($A2588),MONTH($A2588),1))</f>
        <v/>
      </c>
      <c r="X2588" s="34">
        <f>IF(OR($A2588="",$H2588&lt;&gt;"Ausgabe",J2588=""),0,IF(J2588="x",-$E2588/(COUNTIF($J2588:$Q2588,"x")+1),-$E2588*N(J2588)))</f>
        <v/>
      </c>
      <c r="Y2588" s="34">
        <f>IF(OR($A2588="",$H2588&lt;&gt;"Ausgabe",K2588=""),0,IF(K2588="x",-$E2588/(COUNTIF($J2588:$Q2588,"x")+1),-$E2588*N(K2588)))</f>
        <v/>
      </c>
      <c r="Z2588" s="34">
        <f>IF(OR($A2588="",$H2588&lt;&gt;"Ausgabe",L2588=""),0,IF(L2588="x",-$E2588/(COUNTIF($J2588:$Q2588,"x")+1),-$E2588*N(L2588)))</f>
        <v/>
      </c>
      <c r="AA2588" s="34">
        <f>IF(OR($A2588="",$H2588&lt;&gt;"Ausgabe",M2588=""),0,IF(M2588="x",-$E2588/(COUNTIF($J2588:$Q2588,"x")+1),-$E2588*N(M2588)))</f>
        <v/>
      </c>
      <c r="AB2588" s="34">
        <f>IF(OR($A2588="",$H2588&lt;&gt;"Ausgabe",N2588=""),0,IF(N2588="x",-$E2588/(COUNTIF($J2588:$Q2588,"x")+1),-$E2588*N(N2588)))</f>
        <v/>
      </c>
      <c r="AC2588" s="34">
        <f>IF(OR($A2588="",$H2588&lt;&gt;"Ausgabe",O2588=""),0,IF(O2588="x",-$E2588/(COUNTIF($J2588:$Q2588,"x")+1),-$E2588*N(O2588)))</f>
        <v/>
      </c>
      <c r="AD2588" s="34">
        <f>IF(OR($A2588="",$H2588&lt;&gt;"Ausgabe",P2588=""),0,IF(P2588="x",-$E2588/(COUNTIF($J2588:$Q2588,"x")+1),-$E2588*N(P2588)))</f>
        <v/>
      </c>
      <c r="AE2588" s="34">
        <f>IF(OR($A2588="",$H2588&lt;&gt;"Ausgabe",Q2588=""),0,IF(Q2588="x",-$E2588/(COUNTIF($J2588:$Q2588,"x")+1),-$E2588*N(Q2588)))</f>
        <v/>
      </c>
    </row>
    <row r="2589">
      <c r="A2589" s="30" t="n"/>
      <c r="E2589" s="31" t="n"/>
      <c r="J2589" s="32" t="n"/>
      <c r="K2589" s="32" t="n"/>
      <c r="L2589" s="32" t="n"/>
      <c r="M2589" s="32" t="n"/>
      <c r="N2589" s="32" t="n"/>
      <c r="O2589" s="32" t="n"/>
      <c r="P2589" s="32" t="n"/>
      <c r="Q2589" s="32" t="n"/>
      <c r="U2589" s="31">
        <f>IF($A2589="","",SUM(X2589:AE2589))</f>
        <v/>
      </c>
      <c r="V2589" s="31">
        <f>IF($A2589="","",IF($H2589&lt;&gt;"Ausgabe",0,-$E2589-$U2589))</f>
        <v/>
      </c>
      <c r="W2589" s="33">
        <f>IF($A2589="","",DATE(YEAR($A2589),MONTH($A2589),1))</f>
        <v/>
      </c>
      <c r="X2589" s="34">
        <f>IF(OR($A2589="",$H2589&lt;&gt;"Ausgabe",J2589=""),0,IF(J2589="x",-$E2589/(COUNTIF($J2589:$Q2589,"x")+1),-$E2589*N(J2589)))</f>
        <v/>
      </c>
      <c r="Y2589" s="34">
        <f>IF(OR($A2589="",$H2589&lt;&gt;"Ausgabe",K2589=""),0,IF(K2589="x",-$E2589/(COUNTIF($J2589:$Q2589,"x")+1),-$E2589*N(K2589)))</f>
        <v/>
      </c>
      <c r="Z2589" s="34">
        <f>IF(OR($A2589="",$H2589&lt;&gt;"Ausgabe",L2589=""),0,IF(L2589="x",-$E2589/(COUNTIF($J2589:$Q2589,"x")+1),-$E2589*N(L2589)))</f>
        <v/>
      </c>
      <c r="AA2589" s="34">
        <f>IF(OR($A2589="",$H2589&lt;&gt;"Ausgabe",M2589=""),0,IF(M2589="x",-$E2589/(COUNTIF($J2589:$Q2589,"x")+1),-$E2589*N(M2589)))</f>
        <v/>
      </c>
      <c r="AB2589" s="34">
        <f>IF(OR($A2589="",$H2589&lt;&gt;"Ausgabe",N2589=""),0,IF(N2589="x",-$E2589/(COUNTIF($J2589:$Q2589,"x")+1),-$E2589*N(N2589)))</f>
        <v/>
      </c>
      <c r="AC2589" s="34">
        <f>IF(OR($A2589="",$H2589&lt;&gt;"Ausgabe",O2589=""),0,IF(O2589="x",-$E2589/(COUNTIF($J2589:$Q2589,"x")+1),-$E2589*N(O2589)))</f>
        <v/>
      </c>
      <c r="AD2589" s="34">
        <f>IF(OR($A2589="",$H2589&lt;&gt;"Ausgabe",P2589=""),0,IF(P2589="x",-$E2589/(COUNTIF($J2589:$Q2589,"x")+1),-$E2589*N(P2589)))</f>
        <v/>
      </c>
      <c r="AE2589" s="34">
        <f>IF(OR($A2589="",$H2589&lt;&gt;"Ausgabe",Q2589=""),0,IF(Q2589="x",-$E2589/(COUNTIF($J2589:$Q2589,"x")+1),-$E2589*N(Q2589)))</f>
        <v/>
      </c>
    </row>
    <row r="2590">
      <c r="A2590" s="30" t="n"/>
      <c r="E2590" s="31" t="n"/>
      <c r="J2590" s="32" t="n"/>
      <c r="K2590" s="32" t="n"/>
      <c r="L2590" s="32" t="n"/>
      <c r="M2590" s="32" t="n"/>
      <c r="N2590" s="32" t="n"/>
      <c r="O2590" s="32" t="n"/>
      <c r="P2590" s="32" t="n"/>
      <c r="Q2590" s="32" t="n"/>
      <c r="U2590" s="31">
        <f>IF($A2590="","",SUM(X2590:AE2590))</f>
        <v/>
      </c>
      <c r="V2590" s="31">
        <f>IF($A2590="","",IF($H2590&lt;&gt;"Ausgabe",0,-$E2590-$U2590))</f>
        <v/>
      </c>
      <c r="W2590" s="33">
        <f>IF($A2590="","",DATE(YEAR($A2590),MONTH($A2590),1))</f>
        <v/>
      </c>
      <c r="X2590" s="34">
        <f>IF(OR($A2590="",$H2590&lt;&gt;"Ausgabe",J2590=""),0,IF(J2590="x",-$E2590/(COUNTIF($J2590:$Q2590,"x")+1),-$E2590*N(J2590)))</f>
        <v/>
      </c>
      <c r="Y2590" s="34">
        <f>IF(OR($A2590="",$H2590&lt;&gt;"Ausgabe",K2590=""),0,IF(K2590="x",-$E2590/(COUNTIF($J2590:$Q2590,"x")+1),-$E2590*N(K2590)))</f>
        <v/>
      </c>
      <c r="Z2590" s="34">
        <f>IF(OR($A2590="",$H2590&lt;&gt;"Ausgabe",L2590=""),0,IF(L2590="x",-$E2590/(COUNTIF($J2590:$Q2590,"x")+1),-$E2590*N(L2590)))</f>
        <v/>
      </c>
      <c r="AA2590" s="34">
        <f>IF(OR($A2590="",$H2590&lt;&gt;"Ausgabe",M2590=""),0,IF(M2590="x",-$E2590/(COUNTIF($J2590:$Q2590,"x")+1),-$E2590*N(M2590)))</f>
        <v/>
      </c>
      <c r="AB2590" s="34">
        <f>IF(OR($A2590="",$H2590&lt;&gt;"Ausgabe",N2590=""),0,IF(N2590="x",-$E2590/(COUNTIF($J2590:$Q2590,"x")+1),-$E2590*N(N2590)))</f>
        <v/>
      </c>
      <c r="AC2590" s="34">
        <f>IF(OR($A2590="",$H2590&lt;&gt;"Ausgabe",O2590=""),0,IF(O2590="x",-$E2590/(COUNTIF($J2590:$Q2590,"x")+1),-$E2590*N(O2590)))</f>
        <v/>
      </c>
      <c r="AD2590" s="34">
        <f>IF(OR($A2590="",$H2590&lt;&gt;"Ausgabe",P2590=""),0,IF(P2590="x",-$E2590/(COUNTIF($J2590:$Q2590,"x")+1),-$E2590*N(P2590)))</f>
        <v/>
      </c>
      <c r="AE2590" s="34">
        <f>IF(OR($A2590="",$H2590&lt;&gt;"Ausgabe",Q2590=""),0,IF(Q2590="x",-$E2590/(COUNTIF($J2590:$Q2590,"x")+1),-$E2590*N(Q2590)))</f>
        <v/>
      </c>
    </row>
    <row r="2591">
      <c r="A2591" s="30" t="n"/>
      <c r="E2591" s="31" t="n"/>
      <c r="J2591" s="32" t="n"/>
      <c r="K2591" s="32" t="n"/>
      <c r="L2591" s="32" t="n"/>
      <c r="M2591" s="32" t="n"/>
      <c r="N2591" s="32" t="n"/>
      <c r="O2591" s="32" t="n"/>
      <c r="P2591" s="32" t="n"/>
      <c r="Q2591" s="32" t="n"/>
      <c r="U2591" s="31">
        <f>IF($A2591="","",SUM(X2591:AE2591))</f>
        <v/>
      </c>
      <c r="V2591" s="31">
        <f>IF($A2591="","",IF($H2591&lt;&gt;"Ausgabe",0,-$E2591-$U2591))</f>
        <v/>
      </c>
      <c r="W2591" s="33">
        <f>IF($A2591="","",DATE(YEAR($A2591),MONTH($A2591),1))</f>
        <v/>
      </c>
      <c r="X2591" s="34">
        <f>IF(OR($A2591="",$H2591&lt;&gt;"Ausgabe",J2591=""),0,IF(J2591="x",-$E2591/(COUNTIF($J2591:$Q2591,"x")+1),-$E2591*N(J2591)))</f>
        <v/>
      </c>
      <c r="Y2591" s="34">
        <f>IF(OR($A2591="",$H2591&lt;&gt;"Ausgabe",K2591=""),0,IF(K2591="x",-$E2591/(COUNTIF($J2591:$Q2591,"x")+1),-$E2591*N(K2591)))</f>
        <v/>
      </c>
      <c r="Z2591" s="34">
        <f>IF(OR($A2591="",$H2591&lt;&gt;"Ausgabe",L2591=""),0,IF(L2591="x",-$E2591/(COUNTIF($J2591:$Q2591,"x")+1),-$E2591*N(L2591)))</f>
        <v/>
      </c>
      <c r="AA2591" s="34">
        <f>IF(OR($A2591="",$H2591&lt;&gt;"Ausgabe",M2591=""),0,IF(M2591="x",-$E2591/(COUNTIF($J2591:$Q2591,"x")+1),-$E2591*N(M2591)))</f>
        <v/>
      </c>
      <c r="AB2591" s="34">
        <f>IF(OR($A2591="",$H2591&lt;&gt;"Ausgabe",N2591=""),0,IF(N2591="x",-$E2591/(COUNTIF($J2591:$Q2591,"x")+1),-$E2591*N(N2591)))</f>
        <v/>
      </c>
      <c r="AC2591" s="34">
        <f>IF(OR($A2591="",$H2591&lt;&gt;"Ausgabe",O2591=""),0,IF(O2591="x",-$E2591/(COUNTIF($J2591:$Q2591,"x")+1),-$E2591*N(O2591)))</f>
        <v/>
      </c>
      <c r="AD2591" s="34">
        <f>IF(OR($A2591="",$H2591&lt;&gt;"Ausgabe",P2591=""),0,IF(P2591="x",-$E2591/(COUNTIF($J2591:$Q2591,"x")+1),-$E2591*N(P2591)))</f>
        <v/>
      </c>
      <c r="AE2591" s="34">
        <f>IF(OR($A2591="",$H2591&lt;&gt;"Ausgabe",Q2591=""),0,IF(Q2591="x",-$E2591/(COUNTIF($J2591:$Q2591,"x")+1),-$E2591*N(Q2591)))</f>
        <v/>
      </c>
    </row>
    <row r="2592">
      <c r="A2592" s="30" t="n"/>
      <c r="E2592" s="31" t="n"/>
      <c r="J2592" s="32" t="n"/>
      <c r="K2592" s="32" t="n"/>
      <c r="L2592" s="32" t="n"/>
      <c r="M2592" s="32" t="n"/>
      <c r="N2592" s="32" t="n"/>
      <c r="O2592" s="32" t="n"/>
      <c r="P2592" s="32" t="n"/>
      <c r="Q2592" s="32" t="n"/>
      <c r="U2592" s="31">
        <f>IF($A2592="","",SUM(X2592:AE2592))</f>
        <v/>
      </c>
      <c r="V2592" s="31">
        <f>IF($A2592="","",IF($H2592&lt;&gt;"Ausgabe",0,-$E2592-$U2592))</f>
        <v/>
      </c>
      <c r="W2592" s="33">
        <f>IF($A2592="","",DATE(YEAR($A2592),MONTH($A2592),1))</f>
        <v/>
      </c>
      <c r="X2592" s="34">
        <f>IF(OR($A2592="",$H2592&lt;&gt;"Ausgabe",J2592=""),0,IF(J2592="x",-$E2592/(COUNTIF($J2592:$Q2592,"x")+1),-$E2592*N(J2592)))</f>
        <v/>
      </c>
      <c r="Y2592" s="34">
        <f>IF(OR($A2592="",$H2592&lt;&gt;"Ausgabe",K2592=""),0,IF(K2592="x",-$E2592/(COUNTIF($J2592:$Q2592,"x")+1),-$E2592*N(K2592)))</f>
        <v/>
      </c>
      <c r="Z2592" s="34">
        <f>IF(OR($A2592="",$H2592&lt;&gt;"Ausgabe",L2592=""),0,IF(L2592="x",-$E2592/(COUNTIF($J2592:$Q2592,"x")+1),-$E2592*N(L2592)))</f>
        <v/>
      </c>
      <c r="AA2592" s="34">
        <f>IF(OR($A2592="",$H2592&lt;&gt;"Ausgabe",M2592=""),0,IF(M2592="x",-$E2592/(COUNTIF($J2592:$Q2592,"x")+1),-$E2592*N(M2592)))</f>
        <v/>
      </c>
      <c r="AB2592" s="34">
        <f>IF(OR($A2592="",$H2592&lt;&gt;"Ausgabe",N2592=""),0,IF(N2592="x",-$E2592/(COUNTIF($J2592:$Q2592,"x")+1),-$E2592*N(N2592)))</f>
        <v/>
      </c>
      <c r="AC2592" s="34">
        <f>IF(OR($A2592="",$H2592&lt;&gt;"Ausgabe",O2592=""),0,IF(O2592="x",-$E2592/(COUNTIF($J2592:$Q2592,"x")+1),-$E2592*N(O2592)))</f>
        <v/>
      </c>
      <c r="AD2592" s="34">
        <f>IF(OR($A2592="",$H2592&lt;&gt;"Ausgabe",P2592=""),0,IF(P2592="x",-$E2592/(COUNTIF($J2592:$Q2592,"x")+1),-$E2592*N(P2592)))</f>
        <v/>
      </c>
      <c r="AE2592" s="34">
        <f>IF(OR($A2592="",$H2592&lt;&gt;"Ausgabe",Q2592=""),0,IF(Q2592="x",-$E2592/(COUNTIF($J2592:$Q2592,"x")+1),-$E2592*N(Q2592)))</f>
        <v/>
      </c>
    </row>
    <row r="2593">
      <c r="A2593" s="30" t="n"/>
      <c r="E2593" s="31" t="n"/>
      <c r="J2593" s="32" t="n"/>
      <c r="K2593" s="32" t="n"/>
      <c r="L2593" s="32" t="n"/>
      <c r="M2593" s="32" t="n"/>
      <c r="N2593" s="32" t="n"/>
      <c r="O2593" s="32" t="n"/>
      <c r="P2593" s="32" t="n"/>
      <c r="Q2593" s="32" t="n"/>
      <c r="U2593" s="31">
        <f>IF($A2593="","",SUM(X2593:AE2593))</f>
        <v/>
      </c>
      <c r="V2593" s="31">
        <f>IF($A2593="","",IF($H2593&lt;&gt;"Ausgabe",0,-$E2593-$U2593))</f>
        <v/>
      </c>
      <c r="W2593" s="33">
        <f>IF($A2593="","",DATE(YEAR($A2593),MONTH($A2593),1))</f>
        <v/>
      </c>
      <c r="X2593" s="34">
        <f>IF(OR($A2593="",$H2593&lt;&gt;"Ausgabe",J2593=""),0,IF(J2593="x",-$E2593/(COUNTIF($J2593:$Q2593,"x")+1),-$E2593*N(J2593)))</f>
        <v/>
      </c>
      <c r="Y2593" s="34">
        <f>IF(OR($A2593="",$H2593&lt;&gt;"Ausgabe",K2593=""),0,IF(K2593="x",-$E2593/(COUNTIF($J2593:$Q2593,"x")+1),-$E2593*N(K2593)))</f>
        <v/>
      </c>
      <c r="Z2593" s="34">
        <f>IF(OR($A2593="",$H2593&lt;&gt;"Ausgabe",L2593=""),0,IF(L2593="x",-$E2593/(COUNTIF($J2593:$Q2593,"x")+1),-$E2593*N(L2593)))</f>
        <v/>
      </c>
      <c r="AA2593" s="34">
        <f>IF(OR($A2593="",$H2593&lt;&gt;"Ausgabe",M2593=""),0,IF(M2593="x",-$E2593/(COUNTIF($J2593:$Q2593,"x")+1),-$E2593*N(M2593)))</f>
        <v/>
      </c>
      <c r="AB2593" s="34">
        <f>IF(OR($A2593="",$H2593&lt;&gt;"Ausgabe",N2593=""),0,IF(N2593="x",-$E2593/(COUNTIF($J2593:$Q2593,"x")+1),-$E2593*N(N2593)))</f>
        <v/>
      </c>
      <c r="AC2593" s="34">
        <f>IF(OR($A2593="",$H2593&lt;&gt;"Ausgabe",O2593=""),0,IF(O2593="x",-$E2593/(COUNTIF($J2593:$Q2593,"x")+1),-$E2593*N(O2593)))</f>
        <v/>
      </c>
      <c r="AD2593" s="34">
        <f>IF(OR($A2593="",$H2593&lt;&gt;"Ausgabe",P2593=""),0,IF(P2593="x",-$E2593/(COUNTIF($J2593:$Q2593,"x")+1),-$E2593*N(P2593)))</f>
        <v/>
      </c>
      <c r="AE2593" s="34">
        <f>IF(OR($A2593="",$H2593&lt;&gt;"Ausgabe",Q2593=""),0,IF(Q2593="x",-$E2593/(COUNTIF($J2593:$Q2593,"x")+1),-$E2593*N(Q2593)))</f>
        <v/>
      </c>
    </row>
    <row r="2594">
      <c r="A2594" s="30" t="n"/>
      <c r="E2594" s="31" t="n"/>
      <c r="J2594" s="32" t="n"/>
      <c r="K2594" s="32" t="n"/>
      <c r="L2594" s="32" t="n"/>
      <c r="M2594" s="32" t="n"/>
      <c r="N2594" s="32" t="n"/>
      <c r="O2594" s="32" t="n"/>
      <c r="P2594" s="32" t="n"/>
      <c r="Q2594" s="32" t="n"/>
      <c r="U2594" s="31">
        <f>IF($A2594="","",SUM(X2594:AE2594))</f>
        <v/>
      </c>
      <c r="V2594" s="31">
        <f>IF($A2594="","",IF($H2594&lt;&gt;"Ausgabe",0,-$E2594-$U2594))</f>
        <v/>
      </c>
      <c r="W2594" s="33">
        <f>IF($A2594="","",DATE(YEAR($A2594),MONTH($A2594),1))</f>
        <v/>
      </c>
      <c r="X2594" s="34">
        <f>IF(OR($A2594="",$H2594&lt;&gt;"Ausgabe",J2594=""),0,IF(J2594="x",-$E2594/(COUNTIF($J2594:$Q2594,"x")+1),-$E2594*N(J2594)))</f>
        <v/>
      </c>
      <c r="Y2594" s="34">
        <f>IF(OR($A2594="",$H2594&lt;&gt;"Ausgabe",K2594=""),0,IF(K2594="x",-$E2594/(COUNTIF($J2594:$Q2594,"x")+1),-$E2594*N(K2594)))</f>
        <v/>
      </c>
      <c r="Z2594" s="34">
        <f>IF(OR($A2594="",$H2594&lt;&gt;"Ausgabe",L2594=""),0,IF(L2594="x",-$E2594/(COUNTIF($J2594:$Q2594,"x")+1),-$E2594*N(L2594)))</f>
        <v/>
      </c>
      <c r="AA2594" s="34">
        <f>IF(OR($A2594="",$H2594&lt;&gt;"Ausgabe",M2594=""),0,IF(M2594="x",-$E2594/(COUNTIF($J2594:$Q2594,"x")+1),-$E2594*N(M2594)))</f>
        <v/>
      </c>
      <c r="AB2594" s="34">
        <f>IF(OR($A2594="",$H2594&lt;&gt;"Ausgabe",N2594=""),0,IF(N2594="x",-$E2594/(COUNTIF($J2594:$Q2594,"x")+1),-$E2594*N(N2594)))</f>
        <v/>
      </c>
      <c r="AC2594" s="34">
        <f>IF(OR($A2594="",$H2594&lt;&gt;"Ausgabe",O2594=""),0,IF(O2594="x",-$E2594/(COUNTIF($J2594:$Q2594,"x")+1),-$E2594*N(O2594)))</f>
        <v/>
      </c>
      <c r="AD2594" s="34">
        <f>IF(OR($A2594="",$H2594&lt;&gt;"Ausgabe",P2594=""),0,IF(P2594="x",-$E2594/(COUNTIF($J2594:$Q2594,"x")+1),-$E2594*N(P2594)))</f>
        <v/>
      </c>
      <c r="AE2594" s="34">
        <f>IF(OR($A2594="",$H2594&lt;&gt;"Ausgabe",Q2594=""),0,IF(Q2594="x",-$E2594/(COUNTIF($J2594:$Q2594,"x")+1),-$E2594*N(Q2594)))</f>
        <v/>
      </c>
    </row>
    <row r="2595">
      <c r="A2595" s="30" t="n"/>
      <c r="E2595" s="31" t="n"/>
      <c r="J2595" s="32" t="n"/>
      <c r="K2595" s="32" t="n"/>
      <c r="L2595" s="32" t="n"/>
      <c r="M2595" s="32" t="n"/>
      <c r="N2595" s="32" t="n"/>
      <c r="O2595" s="32" t="n"/>
      <c r="P2595" s="32" t="n"/>
      <c r="Q2595" s="32" t="n"/>
      <c r="U2595" s="31">
        <f>IF($A2595="","",SUM(X2595:AE2595))</f>
        <v/>
      </c>
      <c r="V2595" s="31">
        <f>IF($A2595="","",IF($H2595&lt;&gt;"Ausgabe",0,-$E2595-$U2595))</f>
        <v/>
      </c>
      <c r="W2595" s="33">
        <f>IF($A2595="","",DATE(YEAR($A2595),MONTH($A2595),1))</f>
        <v/>
      </c>
      <c r="X2595" s="34">
        <f>IF(OR($A2595="",$H2595&lt;&gt;"Ausgabe",J2595=""),0,IF(J2595="x",-$E2595/(COUNTIF($J2595:$Q2595,"x")+1),-$E2595*N(J2595)))</f>
        <v/>
      </c>
      <c r="Y2595" s="34">
        <f>IF(OR($A2595="",$H2595&lt;&gt;"Ausgabe",K2595=""),0,IF(K2595="x",-$E2595/(COUNTIF($J2595:$Q2595,"x")+1),-$E2595*N(K2595)))</f>
        <v/>
      </c>
      <c r="Z2595" s="34">
        <f>IF(OR($A2595="",$H2595&lt;&gt;"Ausgabe",L2595=""),0,IF(L2595="x",-$E2595/(COUNTIF($J2595:$Q2595,"x")+1),-$E2595*N(L2595)))</f>
        <v/>
      </c>
      <c r="AA2595" s="34">
        <f>IF(OR($A2595="",$H2595&lt;&gt;"Ausgabe",M2595=""),0,IF(M2595="x",-$E2595/(COUNTIF($J2595:$Q2595,"x")+1),-$E2595*N(M2595)))</f>
        <v/>
      </c>
      <c r="AB2595" s="34">
        <f>IF(OR($A2595="",$H2595&lt;&gt;"Ausgabe",N2595=""),0,IF(N2595="x",-$E2595/(COUNTIF($J2595:$Q2595,"x")+1),-$E2595*N(N2595)))</f>
        <v/>
      </c>
      <c r="AC2595" s="34">
        <f>IF(OR($A2595="",$H2595&lt;&gt;"Ausgabe",O2595=""),0,IF(O2595="x",-$E2595/(COUNTIF($J2595:$Q2595,"x")+1),-$E2595*N(O2595)))</f>
        <v/>
      </c>
      <c r="AD2595" s="34">
        <f>IF(OR($A2595="",$H2595&lt;&gt;"Ausgabe",P2595=""),0,IF(P2595="x",-$E2595/(COUNTIF($J2595:$Q2595,"x")+1),-$E2595*N(P2595)))</f>
        <v/>
      </c>
      <c r="AE2595" s="34">
        <f>IF(OR($A2595="",$H2595&lt;&gt;"Ausgabe",Q2595=""),0,IF(Q2595="x",-$E2595/(COUNTIF($J2595:$Q2595,"x")+1),-$E2595*N(Q2595)))</f>
        <v/>
      </c>
    </row>
    <row r="2596">
      <c r="A2596" s="30" t="n"/>
      <c r="E2596" s="31" t="n"/>
      <c r="J2596" s="32" t="n"/>
      <c r="K2596" s="32" t="n"/>
      <c r="L2596" s="32" t="n"/>
      <c r="M2596" s="32" t="n"/>
      <c r="N2596" s="32" t="n"/>
      <c r="O2596" s="32" t="n"/>
      <c r="P2596" s="32" t="n"/>
      <c r="Q2596" s="32" t="n"/>
      <c r="U2596" s="31">
        <f>IF($A2596="","",SUM(X2596:AE2596))</f>
        <v/>
      </c>
      <c r="V2596" s="31">
        <f>IF($A2596="","",IF($H2596&lt;&gt;"Ausgabe",0,-$E2596-$U2596))</f>
        <v/>
      </c>
      <c r="W2596" s="33">
        <f>IF($A2596="","",DATE(YEAR($A2596),MONTH($A2596),1))</f>
        <v/>
      </c>
      <c r="X2596" s="34">
        <f>IF(OR($A2596="",$H2596&lt;&gt;"Ausgabe",J2596=""),0,IF(J2596="x",-$E2596/(COUNTIF($J2596:$Q2596,"x")+1),-$E2596*N(J2596)))</f>
        <v/>
      </c>
      <c r="Y2596" s="34">
        <f>IF(OR($A2596="",$H2596&lt;&gt;"Ausgabe",K2596=""),0,IF(K2596="x",-$E2596/(COUNTIF($J2596:$Q2596,"x")+1),-$E2596*N(K2596)))</f>
        <v/>
      </c>
      <c r="Z2596" s="34">
        <f>IF(OR($A2596="",$H2596&lt;&gt;"Ausgabe",L2596=""),0,IF(L2596="x",-$E2596/(COUNTIF($J2596:$Q2596,"x")+1),-$E2596*N(L2596)))</f>
        <v/>
      </c>
      <c r="AA2596" s="34">
        <f>IF(OR($A2596="",$H2596&lt;&gt;"Ausgabe",M2596=""),0,IF(M2596="x",-$E2596/(COUNTIF($J2596:$Q2596,"x")+1),-$E2596*N(M2596)))</f>
        <v/>
      </c>
      <c r="AB2596" s="34">
        <f>IF(OR($A2596="",$H2596&lt;&gt;"Ausgabe",N2596=""),0,IF(N2596="x",-$E2596/(COUNTIF($J2596:$Q2596,"x")+1),-$E2596*N(N2596)))</f>
        <v/>
      </c>
      <c r="AC2596" s="34">
        <f>IF(OR($A2596="",$H2596&lt;&gt;"Ausgabe",O2596=""),0,IF(O2596="x",-$E2596/(COUNTIF($J2596:$Q2596,"x")+1),-$E2596*N(O2596)))</f>
        <v/>
      </c>
      <c r="AD2596" s="34">
        <f>IF(OR($A2596="",$H2596&lt;&gt;"Ausgabe",P2596=""),0,IF(P2596="x",-$E2596/(COUNTIF($J2596:$Q2596,"x")+1),-$E2596*N(P2596)))</f>
        <v/>
      </c>
      <c r="AE2596" s="34">
        <f>IF(OR($A2596="",$H2596&lt;&gt;"Ausgabe",Q2596=""),0,IF(Q2596="x",-$E2596/(COUNTIF($J2596:$Q2596,"x")+1),-$E2596*N(Q2596)))</f>
        <v/>
      </c>
    </row>
    <row r="2597">
      <c r="A2597" s="30" t="n"/>
      <c r="E2597" s="31" t="n"/>
      <c r="J2597" s="32" t="n"/>
      <c r="K2597" s="32" t="n"/>
      <c r="L2597" s="32" t="n"/>
      <c r="M2597" s="32" t="n"/>
      <c r="N2597" s="32" t="n"/>
      <c r="O2597" s="32" t="n"/>
      <c r="P2597" s="32" t="n"/>
      <c r="Q2597" s="32" t="n"/>
      <c r="U2597" s="31">
        <f>IF($A2597="","",SUM(X2597:AE2597))</f>
        <v/>
      </c>
      <c r="V2597" s="31">
        <f>IF($A2597="","",IF($H2597&lt;&gt;"Ausgabe",0,-$E2597-$U2597))</f>
        <v/>
      </c>
      <c r="W2597" s="33">
        <f>IF($A2597="","",DATE(YEAR($A2597),MONTH($A2597),1))</f>
        <v/>
      </c>
      <c r="X2597" s="34">
        <f>IF(OR($A2597="",$H2597&lt;&gt;"Ausgabe",J2597=""),0,IF(J2597="x",-$E2597/(COUNTIF($J2597:$Q2597,"x")+1),-$E2597*N(J2597)))</f>
        <v/>
      </c>
      <c r="Y2597" s="34">
        <f>IF(OR($A2597="",$H2597&lt;&gt;"Ausgabe",K2597=""),0,IF(K2597="x",-$E2597/(COUNTIF($J2597:$Q2597,"x")+1),-$E2597*N(K2597)))</f>
        <v/>
      </c>
      <c r="Z2597" s="34">
        <f>IF(OR($A2597="",$H2597&lt;&gt;"Ausgabe",L2597=""),0,IF(L2597="x",-$E2597/(COUNTIF($J2597:$Q2597,"x")+1),-$E2597*N(L2597)))</f>
        <v/>
      </c>
      <c r="AA2597" s="34">
        <f>IF(OR($A2597="",$H2597&lt;&gt;"Ausgabe",M2597=""),0,IF(M2597="x",-$E2597/(COUNTIF($J2597:$Q2597,"x")+1),-$E2597*N(M2597)))</f>
        <v/>
      </c>
      <c r="AB2597" s="34">
        <f>IF(OR($A2597="",$H2597&lt;&gt;"Ausgabe",N2597=""),0,IF(N2597="x",-$E2597/(COUNTIF($J2597:$Q2597,"x")+1),-$E2597*N(N2597)))</f>
        <v/>
      </c>
      <c r="AC2597" s="34">
        <f>IF(OR($A2597="",$H2597&lt;&gt;"Ausgabe",O2597=""),0,IF(O2597="x",-$E2597/(COUNTIF($J2597:$Q2597,"x")+1),-$E2597*N(O2597)))</f>
        <v/>
      </c>
      <c r="AD2597" s="34">
        <f>IF(OR($A2597="",$H2597&lt;&gt;"Ausgabe",P2597=""),0,IF(P2597="x",-$E2597/(COUNTIF($J2597:$Q2597,"x")+1),-$E2597*N(P2597)))</f>
        <v/>
      </c>
      <c r="AE2597" s="34">
        <f>IF(OR($A2597="",$H2597&lt;&gt;"Ausgabe",Q2597=""),0,IF(Q2597="x",-$E2597/(COUNTIF($J2597:$Q2597,"x")+1),-$E2597*N(Q2597)))</f>
        <v/>
      </c>
    </row>
    <row r="2598">
      <c r="A2598" s="30" t="n"/>
      <c r="E2598" s="31" t="n"/>
      <c r="J2598" s="32" t="n"/>
      <c r="K2598" s="32" t="n"/>
      <c r="L2598" s="32" t="n"/>
      <c r="M2598" s="32" t="n"/>
      <c r="N2598" s="32" t="n"/>
      <c r="O2598" s="32" t="n"/>
      <c r="P2598" s="32" t="n"/>
      <c r="Q2598" s="32" t="n"/>
      <c r="U2598" s="31">
        <f>IF($A2598="","",SUM(X2598:AE2598))</f>
        <v/>
      </c>
      <c r="V2598" s="31">
        <f>IF($A2598="","",IF($H2598&lt;&gt;"Ausgabe",0,-$E2598-$U2598))</f>
        <v/>
      </c>
      <c r="W2598" s="33">
        <f>IF($A2598="","",DATE(YEAR($A2598),MONTH($A2598),1))</f>
        <v/>
      </c>
      <c r="X2598" s="34">
        <f>IF(OR($A2598="",$H2598&lt;&gt;"Ausgabe",J2598=""),0,IF(J2598="x",-$E2598/(COUNTIF($J2598:$Q2598,"x")+1),-$E2598*N(J2598)))</f>
        <v/>
      </c>
      <c r="Y2598" s="34">
        <f>IF(OR($A2598="",$H2598&lt;&gt;"Ausgabe",K2598=""),0,IF(K2598="x",-$E2598/(COUNTIF($J2598:$Q2598,"x")+1),-$E2598*N(K2598)))</f>
        <v/>
      </c>
      <c r="Z2598" s="34">
        <f>IF(OR($A2598="",$H2598&lt;&gt;"Ausgabe",L2598=""),0,IF(L2598="x",-$E2598/(COUNTIF($J2598:$Q2598,"x")+1),-$E2598*N(L2598)))</f>
        <v/>
      </c>
      <c r="AA2598" s="34">
        <f>IF(OR($A2598="",$H2598&lt;&gt;"Ausgabe",M2598=""),0,IF(M2598="x",-$E2598/(COUNTIF($J2598:$Q2598,"x")+1),-$E2598*N(M2598)))</f>
        <v/>
      </c>
      <c r="AB2598" s="34">
        <f>IF(OR($A2598="",$H2598&lt;&gt;"Ausgabe",N2598=""),0,IF(N2598="x",-$E2598/(COUNTIF($J2598:$Q2598,"x")+1),-$E2598*N(N2598)))</f>
        <v/>
      </c>
      <c r="AC2598" s="34">
        <f>IF(OR($A2598="",$H2598&lt;&gt;"Ausgabe",O2598=""),0,IF(O2598="x",-$E2598/(COUNTIF($J2598:$Q2598,"x")+1),-$E2598*N(O2598)))</f>
        <v/>
      </c>
      <c r="AD2598" s="34">
        <f>IF(OR($A2598="",$H2598&lt;&gt;"Ausgabe",P2598=""),0,IF(P2598="x",-$E2598/(COUNTIF($J2598:$Q2598,"x")+1),-$E2598*N(P2598)))</f>
        <v/>
      </c>
      <c r="AE2598" s="34">
        <f>IF(OR($A2598="",$H2598&lt;&gt;"Ausgabe",Q2598=""),0,IF(Q2598="x",-$E2598/(COUNTIF($J2598:$Q2598,"x")+1),-$E2598*N(Q2598)))</f>
        <v/>
      </c>
    </row>
    <row r="2599">
      <c r="A2599" s="30" t="n"/>
      <c r="E2599" s="31" t="n"/>
      <c r="J2599" s="32" t="n"/>
      <c r="K2599" s="32" t="n"/>
      <c r="L2599" s="32" t="n"/>
      <c r="M2599" s="32" t="n"/>
      <c r="N2599" s="32" t="n"/>
      <c r="O2599" s="32" t="n"/>
      <c r="P2599" s="32" t="n"/>
      <c r="Q2599" s="32" t="n"/>
      <c r="U2599" s="31">
        <f>IF($A2599="","",SUM(X2599:AE2599))</f>
        <v/>
      </c>
      <c r="V2599" s="31">
        <f>IF($A2599="","",IF($H2599&lt;&gt;"Ausgabe",0,-$E2599-$U2599))</f>
        <v/>
      </c>
      <c r="W2599" s="33">
        <f>IF($A2599="","",DATE(YEAR($A2599),MONTH($A2599),1))</f>
        <v/>
      </c>
      <c r="X2599" s="34">
        <f>IF(OR($A2599="",$H2599&lt;&gt;"Ausgabe",J2599=""),0,IF(J2599="x",-$E2599/(COUNTIF($J2599:$Q2599,"x")+1),-$E2599*N(J2599)))</f>
        <v/>
      </c>
      <c r="Y2599" s="34">
        <f>IF(OR($A2599="",$H2599&lt;&gt;"Ausgabe",K2599=""),0,IF(K2599="x",-$E2599/(COUNTIF($J2599:$Q2599,"x")+1),-$E2599*N(K2599)))</f>
        <v/>
      </c>
      <c r="Z2599" s="34">
        <f>IF(OR($A2599="",$H2599&lt;&gt;"Ausgabe",L2599=""),0,IF(L2599="x",-$E2599/(COUNTIF($J2599:$Q2599,"x")+1),-$E2599*N(L2599)))</f>
        <v/>
      </c>
      <c r="AA2599" s="34">
        <f>IF(OR($A2599="",$H2599&lt;&gt;"Ausgabe",M2599=""),0,IF(M2599="x",-$E2599/(COUNTIF($J2599:$Q2599,"x")+1),-$E2599*N(M2599)))</f>
        <v/>
      </c>
      <c r="AB2599" s="34">
        <f>IF(OR($A2599="",$H2599&lt;&gt;"Ausgabe",N2599=""),0,IF(N2599="x",-$E2599/(COUNTIF($J2599:$Q2599,"x")+1),-$E2599*N(N2599)))</f>
        <v/>
      </c>
      <c r="AC2599" s="34">
        <f>IF(OR($A2599="",$H2599&lt;&gt;"Ausgabe",O2599=""),0,IF(O2599="x",-$E2599/(COUNTIF($J2599:$Q2599,"x")+1),-$E2599*N(O2599)))</f>
        <v/>
      </c>
      <c r="AD2599" s="34">
        <f>IF(OR($A2599="",$H2599&lt;&gt;"Ausgabe",P2599=""),0,IF(P2599="x",-$E2599/(COUNTIF($J2599:$Q2599,"x")+1),-$E2599*N(P2599)))</f>
        <v/>
      </c>
      <c r="AE2599" s="34">
        <f>IF(OR($A2599="",$H2599&lt;&gt;"Ausgabe",Q2599=""),0,IF(Q2599="x",-$E2599/(COUNTIF($J2599:$Q2599,"x")+1),-$E2599*N(Q2599)))</f>
        <v/>
      </c>
    </row>
    <row r="2600">
      <c r="A2600" s="30" t="n"/>
      <c r="E2600" s="31" t="n"/>
      <c r="J2600" s="32" t="n"/>
      <c r="K2600" s="32" t="n"/>
      <c r="L2600" s="32" t="n"/>
      <c r="M2600" s="32" t="n"/>
      <c r="N2600" s="32" t="n"/>
      <c r="O2600" s="32" t="n"/>
      <c r="P2600" s="32" t="n"/>
      <c r="Q2600" s="32" t="n"/>
      <c r="U2600" s="31">
        <f>IF($A2600="","",SUM(X2600:AE2600))</f>
        <v/>
      </c>
      <c r="V2600" s="31">
        <f>IF($A2600="","",IF($H2600&lt;&gt;"Ausgabe",0,-$E2600-$U2600))</f>
        <v/>
      </c>
      <c r="W2600" s="33">
        <f>IF($A2600="","",DATE(YEAR($A2600),MONTH($A2600),1))</f>
        <v/>
      </c>
      <c r="X2600" s="34">
        <f>IF(OR($A2600="",$H2600&lt;&gt;"Ausgabe",J2600=""),0,IF(J2600="x",-$E2600/(COUNTIF($J2600:$Q2600,"x")+1),-$E2600*N(J2600)))</f>
        <v/>
      </c>
      <c r="Y2600" s="34">
        <f>IF(OR($A2600="",$H2600&lt;&gt;"Ausgabe",K2600=""),0,IF(K2600="x",-$E2600/(COUNTIF($J2600:$Q2600,"x")+1),-$E2600*N(K2600)))</f>
        <v/>
      </c>
      <c r="Z2600" s="34">
        <f>IF(OR($A2600="",$H2600&lt;&gt;"Ausgabe",L2600=""),0,IF(L2600="x",-$E2600/(COUNTIF($J2600:$Q2600,"x")+1),-$E2600*N(L2600)))</f>
        <v/>
      </c>
      <c r="AA2600" s="34">
        <f>IF(OR($A2600="",$H2600&lt;&gt;"Ausgabe",M2600=""),0,IF(M2600="x",-$E2600/(COUNTIF($J2600:$Q2600,"x")+1),-$E2600*N(M2600)))</f>
        <v/>
      </c>
      <c r="AB2600" s="34">
        <f>IF(OR($A2600="",$H2600&lt;&gt;"Ausgabe",N2600=""),0,IF(N2600="x",-$E2600/(COUNTIF($J2600:$Q2600,"x")+1),-$E2600*N(N2600)))</f>
        <v/>
      </c>
      <c r="AC2600" s="34">
        <f>IF(OR($A2600="",$H2600&lt;&gt;"Ausgabe",O2600=""),0,IF(O2600="x",-$E2600/(COUNTIF($J2600:$Q2600,"x")+1),-$E2600*N(O2600)))</f>
        <v/>
      </c>
      <c r="AD2600" s="34">
        <f>IF(OR($A2600="",$H2600&lt;&gt;"Ausgabe",P2600=""),0,IF(P2600="x",-$E2600/(COUNTIF($J2600:$Q2600,"x")+1),-$E2600*N(P2600)))</f>
        <v/>
      </c>
      <c r="AE2600" s="34">
        <f>IF(OR($A2600="",$H2600&lt;&gt;"Ausgabe",Q2600=""),0,IF(Q2600="x",-$E2600/(COUNTIF($J2600:$Q2600,"x")+1),-$E2600*N(Q2600)))</f>
        <v/>
      </c>
    </row>
    <row r="2601">
      <c r="A2601" s="30" t="n"/>
      <c r="E2601" s="31" t="n"/>
      <c r="J2601" s="32" t="n"/>
      <c r="K2601" s="32" t="n"/>
      <c r="L2601" s="32" t="n"/>
      <c r="M2601" s="32" t="n"/>
      <c r="N2601" s="32" t="n"/>
      <c r="O2601" s="32" t="n"/>
      <c r="P2601" s="32" t="n"/>
      <c r="Q2601" s="32" t="n"/>
      <c r="U2601" s="31">
        <f>IF($A2601="","",SUM(X2601:AE2601))</f>
        <v/>
      </c>
      <c r="V2601" s="31">
        <f>IF($A2601="","",IF($H2601&lt;&gt;"Ausgabe",0,-$E2601-$U2601))</f>
        <v/>
      </c>
      <c r="W2601" s="33">
        <f>IF($A2601="","",DATE(YEAR($A2601),MONTH($A2601),1))</f>
        <v/>
      </c>
      <c r="X2601" s="34">
        <f>IF(OR($A2601="",$H2601&lt;&gt;"Ausgabe",J2601=""),0,IF(J2601="x",-$E2601/(COUNTIF($J2601:$Q2601,"x")+1),-$E2601*N(J2601)))</f>
        <v/>
      </c>
      <c r="Y2601" s="34">
        <f>IF(OR($A2601="",$H2601&lt;&gt;"Ausgabe",K2601=""),0,IF(K2601="x",-$E2601/(COUNTIF($J2601:$Q2601,"x")+1),-$E2601*N(K2601)))</f>
        <v/>
      </c>
      <c r="Z2601" s="34">
        <f>IF(OR($A2601="",$H2601&lt;&gt;"Ausgabe",L2601=""),0,IF(L2601="x",-$E2601/(COUNTIF($J2601:$Q2601,"x")+1),-$E2601*N(L2601)))</f>
        <v/>
      </c>
      <c r="AA2601" s="34">
        <f>IF(OR($A2601="",$H2601&lt;&gt;"Ausgabe",M2601=""),0,IF(M2601="x",-$E2601/(COUNTIF($J2601:$Q2601,"x")+1),-$E2601*N(M2601)))</f>
        <v/>
      </c>
      <c r="AB2601" s="34">
        <f>IF(OR($A2601="",$H2601&lt;&gt;"Ausgabe",N2601=""),0,IF(N2601="x",-$E2601/(COUNTIF($J2601:$Q2601,"x")+1),-$E2601*N(N2601)))</f>
        <v/>
      </c>
      <c r="AC2601" s="34">
        <f>IF(OR($A2601="",$H2601&lt;&gt;"Ausgabe",O2601=""),0,IF(O2601="x",-$E2601/(COUNTIF($J2601:$Q2601,"x")+1),-$E2601*N(O2601)))</f>
        <v/>
      </c>
      <c r="AD2601" s="34">
        <f>IF(OR($A2601="",$H2601&lt;&gt;"Ausgabe",P2601=""),0,IF(P2601="x",-$E2601/(COUNTIF($J2601:$Q2601,"x")+1),-$E2601*N(P2601)))</f>
        <v/>
      </c>
      <c r="AE2601" s="34">
        <f>IF(OR($A2601="",$H2601&lt;&gt;"Ausgabe",Q2601=""),0,IF(Q2601="x",-$E2601/(COUNTIF($J2601:$Q2601,"x")+1),-$E2601*N(Q2601)))</f>
        <v/>
      </c>
    </row>
    <row r="2602">
      <c r="A2602" s="30" t="n"/>
      <c r="E2602" s="31" t="n"/>
      <c r="J2602" s="32" t="n"/>
      <c r="K2602" s="32" t="n"/>
      <c r="L2602" s="32" t="n"/>
      <c r="M2602" s="32" t="n"/>
      <c r="N2602" s="32" t="n"/>
      <c r="O2602" s="32" t="n"/>
      <c r="P2602" s="32" t="n"/>
      <c r="Q2602" s="32" t="n"/>
      <c r="U2602" s="31">
        <f>IF($A2602="","",SUM(X2602:AE2602))</f>
        <v/>
      </c>
      <c r="V2602" s="31">
        <f>IF($A2602="","",IF($H2602&lt;&gt;"Ausgabe",0,-$E2602-$U2602))</f>
        <v/>
      </c>
      <c r="W2602" s="33">
        <f>IF($A2602="","",DATE(YEAR($A2602),MONTH($A2602),1))</f>
        <v/>
      </c>
      <c r="X2602" s="34">
        <f>IF(OR($A2602="",$H2602&lt;&gt;"Ausgabe",J2602=""),0,IF(J2602="x",-$E2602/(COUNTIF($J2602:$Q2602,"x")+1),-$E2602*N(J2602)))</f>
        <v/>
      </c>
      <c r="Y2602" s="34">
        <f>IF(OR($A2602="",$H2602&lt;&gt;"Ausgabe",K2602=""),0,IF(K2602="x",-$E2602/(COUNTIF($J2602:$Q2602,"x")+1),-$E2602*N(K2602)))</f>
        <v/>
      </c>
      <c r="Z2602" s="34">
        <f>IF(OR($A2602="",$H2602&lt;&gt;"Ausgabe",L2602=""),0,IF(L2602="x",-$E2602/(COUNTIF($J2602:$Q2602,"x")+1),-$E2602*N(L2602)))</f>
        <v/>
      </c>
      <c r="AA2602" s="34">
        <f>IF(OR($A2602="",$H2602&lt;&gt;"Ausgabe",M2602=""),0,IF(M2602="x",-$E2602/(COUNTIF($J2602:$Q2602,"x")+1),-$E2602*N(M2602)))</f>
        <v/>
      </c>
      <c r="AB2602" s="34">
        <f>IF(OR($A2602="",$H2602&lt;&gt;"Ausgabe",N2602=""),0,IF(N2602="x",-$E2602/(COUNTIF($J2602:$Q2602,"x")+1),-$E2602*N(N2602)))</f>
        <v/>
      </c>
      <c r="AC2602" s="34">
        <f>IF(OR($A2602="",$H2602&lt;&gt;"Ausgabe",O2602=""),0,IF(O2602="x",-$E2602/(COUNTIF($J2602:$Q2602,"x")+1),-$E2602*N(O2602)))</f>
        <v/>
      </c>
      <c r="AD2602" s="34">
        <f>IF(OR($A2602="",$H2602&lt;&gt;"Ausgabe",P2602=""),0,IF(P2602="x",-$E2602/(COUNTIF($J2602:$Q2602,"x")+1),-$E2602*N(P2602)))</f>
        <v/>
      </c>
      <c r="AE2602" s="34">
        <f>IF(OR($A2602="",$H2602&lt;&gt;"Ausgabe",Q2602=""),0,IF(Q2602="x",-$E2602/(COUNTIF($J2602:$Q2602,"x")+1),-$E2602*N(Q2602)))</f>
        <v/>
      </c>
    </row>
    <row r="2603">
      <c r="A2603" s="30" t="n"/>
      <c r="E2603" s="31" t="n"/>
      <c r="J2603" s="32" t="n"/>
      <c r="K2603" s="32" t="n"/>
      <c r="L2603" s="32" t="n"/>
      <c r="M2603" s="32" t="n"/>
      <c r="N2603" s="32" t="n"/>
      <c r="O2603" s="32" t="n"/>
      <c r="P2603" s="32" t="n"/>
      <c r="Q2603" s="32" t="n"/>
      <c r="U2603" s="31">
        <f>IF($A2603="","",SUM(X2603:AE2603))</f>
        <v/>
      </c>
      <c r="V2603" s="31">
        <f>IF($A2603="","",IF($H2603&lt;&gt;"Ausgabe",0,-$E2603-$U2603))</f>
        <v/>
      </c>
      <c r="W2603" s="33">
        <f>IF($A2603="","",DATE(YEAR($A2603),MONTH($A2603),1))</f>
        <v/>
      </c>
      <c r="X2603" s="34">
        <f>IF(OR($A2603="",$H2603&lt;&gt;"Ausgabe",J2603=""),0,IF(J2603="x",-$E2603/(COUNTIF($J2603:$Q2603,"x")+1),-$E2603*N(J2603)))</f>
        <v/>
      </c>
      <c r="Y2603" s="34">
        <f>IF(OR($A2603="",$H2603&lt;&gt;"Ausgabe",K2603=""),0,IF(K2603="x",-$E2603/(COUNTIF($J2603:$Q2603,"x")+1),-$E2603*N(K2603)))</f>
        <v/>
      </c>
      <c r="Z2603" s="34">
        <f>IF(OR($A2603="",$H2603&lt;&gt;"Ausgabe",L2603=""),0,IF(L2603="x",-$E2603/(COUNTIF($J2603:$Q2603,"x")+1),-$E2603*N(L2603)))</f>
        <v/>
      </c>
      <c r="AA2603" s="34">
        <f>IF(OR($A2603="",$H2603&lt;&gt;"Ausgabe",M2603=""),0,IF(M2603="x",-$E2603/(COUNTIF($J2603:$Q2603,"x")+1),-$E2603*N(M2603)))</f>
        <v/>
      </c>
      <c r="AB2603" s="34">
        <f>IF(OR($A2603="",$H2603&lt;&gt;"Ausgabe",N2603=""),0,IF(N2603="x",-$E2603/(COUNTIF($J2603:$Q2603,"x")+1),-$E2603*N(N2603)))</f>
        <v/>
      </c>
      <c r="AC2603" s="34">
        <f>IF(OR($A2603="",$H2603&lt;&gt;"Ausgabe",O2603=""),0,IF(O2603="x",-$E2603/(COUNTIF($J2603:$Q2603,"x")+1),-$E2603*N(O2603)))</f>
        <v/>
      </c>
      <c r="AD2603" s="34">
        <f>IF(OR($A2603="",$H2603&lt;&gt;"Ausgabe",P2603=""),0,IF(P2603="x",-$E2603/(COUNTIF($J2603:$Q2603,"x")+1),-$E2603*N(P2603)))</f>
        <v/>
      </c>
      <c r="AE2603" s="34">
        <f>IF(OR($A2603="",$H2603&lt;&gt;"Ausgabe",Q2603=""),0,IF(Q2603="x",-$E2603/(COUNTIF($J2603:$Q2603,"x")+1),-$E2603*N(Q2603)))</f>
        <v/>
      </c>
    </row>
    <row r="2604">
      <c r="A2604" s="30" t="n"/>
      <c r="E2604" s="31" t="n"/>
      <c r="J2604" s="32" t="n"/>
      <c r="K2604" s="32" t="n"/>
      <c r="L2604" s="32" t="n"/>
      <c r="M2604" s="32" t="n"/>
      <c r="N2604" s="32" t="n"/>
      <c r="O2604" s="32" t="n"/>
      <c r="P2604" s="32" t="n"/>
      <c r="Q2604" s="32" t="n"/>
      <c r="U2604" s="31">
        <f>IF($A2604="","",SUM(X2604:AE2604))</f>
        <v/>
      </c>
      <c r="V2604" s="31">
        <f>IF($A2604="","",IF($H2604&lt;&gt;"Ausgabe",0,-$E2604-$U2604))</f>
        <v/>
      </c>
      <c r="W2604" s="33">
        <f>IF($A2604="","",DATE(YEAR($A2604),MONTH($A2604),1))</f>
        <v/>
      </c>
      <c r="X2604" s="34">
        <f>IF(OR($A2604="",$H2604&lt;&gt;"Ausgabe",J2604=""),0,IF(J2604="x",-$E2604/(COUNTIF($J2604:$Q2604,"x")+1),-$E2604*N(J2604)))</f>
        <v/>
      </c>
      <c r="Y2604" s="34">
        <f>IF(OR($A2604="",$H2604&lt;&gt;"Ausgabe",K2604=""),0,IF(K2604="x",-$E2604/(COUNTIF($J2604:$Q2604,"x")+1),-$E2604*N(K2604)))</f>
        <v/>
      </c>
      <c r="Z2604" s="34">
        <f>IF(OR($A2604="",$H2604&lt;&gt;"Ausgabe",L2604=""),0,IF(L2604="x",-$E2604/(COUNTIF($J2604:$Q2604,"x")+1),-$E2604*N(L2604)))</f>
        <v/>
      </c>
      <c r="AA2604" s="34">
        <f>IF(OR($A2604="",$H2604&lt;&gt;"Ausgabe",M2604=""),0,IF(M2604="x",-$E2604/(COUNTIF($J2604:$Q2604,"x")+1),-$E2604*N(M2604)))</f>
        <v/>
      </c>
      <c r="AB2604" s="34">
        <f>IF(OR($A2604="",$H2604&lt;&gt;"Ausgabe",N2604=""),0,IF(N2604="x",-$E2604/(COUNTIF($J2604:$Q2604,"x")+1),-$E2604*N(N2604)))</f>
        <v/>
      </c>
      <c r="AC2604" s="34">
        <f>IF(OR($A2604="",$H2604&lt;&gt;"Ausgabe",O2604=""),0,IF(O2604="x",-$E2604/(COUNTIF($J2604:$Q2604,"x")+1),-$E2604*N(O2604)))</f>
        <v/>
      </c>
      <c r="AD2604" s="34">
        <f>IF(OR($A2604="",$H2604&lt;&gt;"Ausgabe",P2604=""),0,IF(P2604="x",-$E2604/(COUNTIF($J2604:$Q2604,"x")+1),-$E2604*N(P2604)))</f>
        <v/>
      </c>
      <c r="AE2604" s="34">
        <f>IF(OR($A2604="",$H2604&lt;&gt;"Ausgabe",Q2604=""),0,IF(Q2604="x",-$E2604/(COUNTIF($J2604:$Q2604,"x")+1),-$E2604*N(Q2604)))</f>
        <v/>
      </c>
    </row>
    <row r="2605">
      <c r="A2605" s="30" t="n"/>
      <c r="E2605" s="31" t="n"/>
      <c r="J2605" s="32" t="n"/>
      <c r="K2605" s="32" t="n"/>
      <c r="L2605" s="32" t="n"/>
      <c r="M2605" s="32" t="n"/>
      <c r="N2605" s="32" t="n"/>
      <c r="O2605" s="32" t="n"/>
      <c r="P2605" s="32" t="n"/>
      <c r="Q2605" s="32" t="n"/>
      <c r="U2605" s="31">
        <f>IF($A2605="","",SUM(X2605:AE2605))</f>
        <v/>
      </c>
      <c r="V2605" s="31">
        <f>IF($A2605="","",IF($H2605&lt;&gt;"Ausgabe",0,-$E2605-$U2605))</f>
        <v/>
      </c>
      <c r="W2605" s="33">
        <f>IF($A2605="","",DATE(YEAR($A2605),MONTH($A2605),1))</f>
        <v/>
      </c>
      <c r="X2605" s="34">
        <f>IF(OR($A2605="",$H2605&lt;&gt;"Ausgabe",J2605=""),0,IF(J2605="x",-$E2605/(COUNTIF($J2605:$Q2605,"x")+1),-$E2605*N(J2605)))</f>
        <v/>
      </c>
      <c r="Y2605" s="34">
        <f>IF(OR($A2605="",$H2605&lt;&gt;"Ausgabe",K2605=""),0,IF(K2605="x",-$E2605/(COUNTIF($J2605:$Q2605,"x")+1),-$E2605*N(K2605)))</f>
        <v/>
      </c>
      <c r="Z2605" s="34">
        <f>IF(OR($A2605="",$H2605&lt;&gt;"Ausgabe",L2605=""),0,IF(L2605="x",-$E2605/(COUNTIF($J2605:$Q2605,"x")+1),-$E2605*N(L2605)))</f>
        <v/>
      </c>
      <c r="AA2605" s="34">
        <f>IF(OR($A2605="",$H2605&lt;&gt;"Ausgabe",M2605=""),0,IF(M2605="x",-$E2605/(COUNTIF($J2605:$Q2605,"x")+1),-$E2605*N(M2605)))</f>
        <v/>
      </c>
      <c r="AB2605" s="34">
        <f>IF(OR($A2605="",$H2605&lt;&gt;"Ausgabe",N2605=""),0,IF(N2605="x",-$E2605/(COUNTIF($J2605:$Q2605,"x")+1),-$E2605*N(N2605)))</f>
        <v/>
      </c>
      <c r="AC2605" s="34">
        <f>IF(OR($A2605="",$H2605&lt;&gt;"Ausgabe",O2605=""),0,IF(O2605="x",-$E2605/(COUNTIF($J2605:$Q2605,"x")+1),-$E2605*N(O2605)))</f>
        <v/>
      </c>
      <c r="AD2605" s="34">
        <f>IF(OR($A2605="",$H2605&lt;&gt;"Ausgabe",P2605=""),0,IF(P2605="x",-$E2605/(COUNTIF($J2605:$Q2605,"x")+1),-$E2605*N(P2605)))</f>
        <v/>
      </c>
      <c r="AE2605" s="34">
        <f>IF(OR($A2605="",$H2605&lt;&gt;"Ausgabe",Q2605=""),0,IF(Q2605="x",-$E2605/(COUNTIF($J2605:$Q2605,"x")+1),-$E2605*N(Q2605)))</f>
        <v/>
      </c>
    </row>
    <row r="2606">
      <c r="A2606" s="30" t="n"/>
      <c r="E2606" s="31" t="n"/>
      <c r="J2606" s="32" t="n"/>
      <c r="K2606" s="32" t="n"/>
      <c r="L2606" s="32" t="n"/>
      <c r="M2606" s="32" t="n"/>
      <c r="N2606" s="32" t="n"/>
      <c r="O2606" s="32" t="n"/>
      <c r="P2606" s="32" t="n"/>
      <c r="Q2606" s="32" t="n"/>
      <c r="U2606" s="31">
        <f>IF($A2606="","",SUM(X2606:AE2606))</f>
        <v/>
      </c>
      <c r="V2606" s="31">
        <f>IF($A2606="","",IF($H2606&lt;&gt;"Ausgabe",0,-$E2606-$U2606))</f>
        <v/>
      </c>
      <c r="W2606" s="33">
        <f>IF($A2606="","",DATE(YEAR($A2606),MONTH($A2606),1))</f>
        <v/>
      </c>
      <c r="X2606" s="34">
        <f>IF(OR($A2606="",$H2606&lt;&gt;"Ausgabe",J2606=""),0,IF(J2606="x",-$E2606/(COUNTIF($J2606:$Q2606,"x")+1),-$E2606*N(J2606)))</f>
        <v/>
      </c>
      <c r="Y2606" s="34">
        <f>IF(OR($A2606="",$H2606&lt;&gt;"Ausgabe",K2606=""),0,IF(K2606="x",-$E2606/(COUNTIF($J2606:$Q2606,"x")+1),-$E2606*N(K2606)))</f>
        <v/>
      </c>
      <c r="Z2606" s="34">
        <f>IF(OR($A2606="",$H2606&lt;&gt;"Ausgabe",L2606=""),0,IF(L2606="x",-$E2606/(COUNTIF($J2606:$Q2606,"x")+1),-$E2606*N(L2606)))</f>
        <v/>
      </c>
      <c r="AA2606" s="34">
        <f>IF(OR($A2606="",$H2606&lt;&gt;"Ausgabe",M2606=""),0,IF(M2606="x",-$E2606/(COUNTIF($J2606:$Q2606,"x")+1),-$E2606*N(M2606)))</f>
        <v/>
      </c>
      <c r="AB2606" s="34">
        <f>IF(OR($A2606="",$H2606&lt;&gt;"Ausgabe",N2606=""),0,IF(N2606="x",-$E2606/(COUNTIF($J2606:$Q2606,"x")+1),-$E2606*N(N2606)))</f>
        <v/>
      </c>
      <c r="AC2606" s="34">
        <f>IF(OR($A2606="",$H2606&lt;&gt;"Ausgabe",O2606=""),0,IF(O2606="x",-$E2606/(COUNTIF($J2606:$Q2606,"x")+1),-$E2606*N(O2606)))</f>
        <v/>
      </c>
      <c r="AD2606" s="34">
        <f>IF(OR($A2606="",$H2606&lt;&gt;"Ausgabe",P2606=""),0,IF(P2606="x",-$E2606/(COUNTIF($J2606:$Q2606,"x")+1),-$E2606*N(P2606)))</f>
        <v/>
      </c>
      <c r="AE2606" s="34">
        <f>IF(OR($A2606="",$H2606&lt;&gt;"Ausgabe",Q2606=""),0,IF(Q2606="x",-$E2606/(COUNTIF($J2606:$Q2606,"x")+1),-$E2606*N(Q2606)))</f>
        <v/>
      </c>
    </row>
    <row r="2607">
      <c r="A2607" s="30" t="n"/>
      <c r="E2607" s="31" t="n"/>
      <c r="J2607" s="32" t="n"/>
      <c r="K2607" s="32" t="n"/>
      <c r="L2607" s="32" t="n"/>
      <c r="M2607" s="32" t="n"/>
      <c r="N2607" s="32" t="n"/>
      <c r="O2607" s="32" t="n"/>
      <c r="P2607" s="32" t="n"/>
      <c r="Q2607" s="32" t="n"/>
      <c r="U2607" s="31">
        <f>IF($A2607="","",SUM(X2607:AE2607))</f>
        <v/>
      </c>
      <c r="V2607" s="31">
        <f>IF($A2607="","",IF($H2607&lt;&gt;"Ausgabe",0,-$E2607-$U2607))</f>
        <v/>
      </c>
      <c r="W2607" s="33">
        <f>IF($A2607="","",DATE(YEAR($A2607),MONTH($A2607),1))</f>
        <v/>
      </c>
      <c r="X2607" s="34">
        <f>IF(OR($A2607="",$H2607&lt;&gt;"Ausgabe",J2607=""),0,IF(J2607="x",-$E2607/(COUNTIF($J2607:$Q2607,"x")+1),-$E2607*N(J2607)))</f>
        <v/>
      </c>
      <c r="Y2607" s="34">
        <f>IF(OR($A2607="",$H2607&lt;&gt;"Ausgabe",K2607=""),0,IF(K2607="x",-$E2607/(COUNTIF($J2607:$Q2607,"x")+1),-$E2607*N(K2607)))</f>
        <v/>
      </c>
      <c r="Z2607" s="34">
        <f>IF(OR($A2607="",$H2607&lt;&gt;"Ausgabe",L2607=""),0,IF(L2607="x",-$E2607/(COUNTIF($J2607:$Q2607,"x")+1),-$E2607*N(L2607)))</f>
        <v/>
      </c>
      <c r="AA2607" s="34">
        <f>IF(OR($A2607="",$H2607&lt;&gt;"Ausgabe",M2607=""),0,IF(M2607="x",-$E2607/(COUNTIF($J2607:$Q2607,"x")+1),-$E2607*N(M2607)))</f>
        <v/>
      </c>
      <c r="AB2607" s="34">
        <f>IF(OR($A2607="",$H2607&lt;&gt;"Ausgabe",N2607=""),0,IF(N2607="x",-$E2607/(COUNTIF($J2607:$Q2607,"x")+1),-$E2607*N(N2607)))</f>
        <v/>
      </c>
      <c r="AC2607" s="34">
        <f>IF(OR($A2607="",$H2607&lt;&gt;"Ausgabe",O2607=""),0,IF(O2607="x",-$E2607/(COUNTIF($J2607:$Q2607,"x")+1),-$E2607*N(O2607)))</f>
        <v/>
      </c>
      <c r="AD2607" s="34">
        <f>IF(OR($A2607="",$H2607&lt;&gt;"Ausgabe",P2607=""),0,IF(P2607="x",-$E2607/(COUNTIF($J2607:$Q2607,"x")+1),-$E2607*N(P2607)))</f>
        <v/>
      </c>
      <c r="AE2607" s="34">
        <f>IF(OR($A2607="",$H2607&lt;&gt;"Ausgabe",Q2607=""),0,IF(Q2607="x",-$E2607/(COUNTIF($J2607:$Q2607,"x")+1),-$E2607*N(Q2607)))</f>
        <v/>
      </c>
    </row>
    <row r="2608">
      <c r="A2608" s="30" t="n"/>
      <c r="E2608" s="31" t="n"/>
      <c r="J2608" s="32" t="n"/>
      <c r="K2608" s="32" t="n"/>
      <c r="L2608" s="32" t="n"/>
      <c r="M2608" s="32" t="n"/>
      <c r="N2608" s="32" t="n"/>
      <c r="O2608" s="32" t="n"/>
      <c r="P2608" s="32" t="n"/>
      <c r="Q2608" s="32" t="n"/>
      <c r="U2608" s="31">
        <f>IF($A2608="","",SUM(X2608:AE2608))</f>
        <v/>
      </c>
      <c r="V2608" s="31">
        <f>IF($A2608="","",IF($H2608&lt;&gt;"Ausgabe",0,-$E2608-$U2608))</f>
        <v/>
      </c>
      <c r="W2608" s="33">
        <f>IF($A2608="","",DATE(YEAR($A2608),MONTH($A2608),1))</f>
        <v/>
      </c>
      <c r="X2608" s="34">
        <f>IF(OR($A2608="",$H2608&lt;&gt;"Ausgabe",J2608=""),0,IF(J2608="x",-$E2608/(COUNTIF($J2608:$Q2608,"x")+1),-$E2608*N(J2608)))</f>
        <v/>
      </c>
      <c r="Y2608" s="34">
        <f>IF(OR($A2608="",$H2608&lt;&gt;"Ausgabe",K2608=""),0,IF(K2608="x",-$E2608/(COUNTIF($J2608:$Q2608,"x")+1),-$E2608*N(K2608)))</f>
        <v/>
      </c>
      <c r="Z2608" s="34">
        <f>IF(OR($A2608="",$H2608&lt;&gt;"Ausgabe",L2608=""),0,IF(L2608="x",-$E2608/(COUNTIF($J2608:$Q2608,"x")+1),-$E2608*N(L2608)))</f>
        <v/>
      </c>
      <c r="AA2608" s="34">
        <f>IF(OR($A2608="",$H2608&lt;&gt;"Ausgabe",M2608=""),0,IF(M2608="x",-$E2608/(COUNTIF($J2608:$Q2608,"x")+1),-$E2608*N(M2608)))</f>
        <v/>
      </c>
      <c r="AB2608" s="34">
        <f>IF(OR($A2608="",$H2608&lt;&gt;"Ausgabe",N2608=""),0,IF(N2608="x",-$E2608/(COUNTIF($J2608:$Q2608,"x")+1),-$E2608*N(N2608)))</f>
        <v/>
      </c>
      <c r="AC2608" s="34">
        <f>IF(OR($A2608="",$H2608&lt;&gt;"Ausgabe",O2608=""),0,IF(O2608="x",-$E2608/(COUNTIF($J2608:$Q2608,"x")+1),-$E2608*N(O2608)))</f>
        <v/>
      </c>
      <c r="AD2608" s="34">
        <f>IF(OR($A2608="",$H2608&lt;&gt;"Ausgabe",P2608=""),0,IF(P2608="x",-$E2608/(COUNTIF($J2608:$Q2608,"x")+1),-$E2608*N(P2608)))</f>
        <v/>
      </c>
      <c r="AE2608" s="34">
        <f>IF(OR($A2608="",$H2608&lt;&gt;"Ausgabe",Q2608=""),0,IF(Q2608="x",-$E2608/(COUNTIF($J2608:$Q2608,"x")+1),-$E2608*N(Q2608)))</f>
        <v/>
      </c>
    </row>
    <row r="2609">
      <c r="A2609" s="30" t="n"/>
      <c r="E2609" s="31" t="n"/>
      <c r="J2609" s="32" t="n"/>
      <c r="K2609" s="32" t="n"/>
      <c r="L2609" s="32" t="n"/>
      <c r="M2609" s="32" t="n"/>
      <c r="N2609" s="32" t="n"/>
      <c r="O2609" s="32" t="n"/>
      <c r="P2609" s="32" t="n"/>
      <c r="Q2609" s="32" t="n"/>
      <c r="U2609" s="31">
        <f>IF($A2609="","",SUM(X2609:AE2609))</f>
        <v/>
      </c>
      <c r="V2609" s="31">
        <f>IF($A2609="","",IF($H2609&lt;&gt;"Ausgabe",0,-$E2609-$U2609))</f>
        <v/>
      </c>
      <c r="W2609" s="33">
        <f>IF($A2609="","",DATE(YEAR($A2609),MONTH($A2609),1))</f>
        <v/>
      </c>
      <c r="X2609" s="34">
        <f>IF(OR($A2609="",$H2609&lt;&gt;"Ausgabe",J2609=""),0,IF(J2609="x",-$E2609/(COUNTIF($J2609:$Q2609,"x")+1),-$E2609*N(J2609)))</f>
        <v/>
      </c>
      <c r="Y2609" s="34">
        <f>IF(OR($A2609="",$H2609&lt;&gt;"Ausgabe",K2609=""),0,IF(K2609="x",-$E2609/(COUNTIF($J2609:$Q2609,"x")+1),-$E2609*N(K2609)))</f>
        <v/>
      </c>
      <c r="Z2609" s="34">
        <f>IF(OR($A2609="",$H2609&lt;&gt;"Ausgabe",L2609=""),0,IF(L2609="x",-$E2609/(COUNTIF($J2609:$Q2609,"x")+1),-$E2609*N(L2609)))</f>
        <v/>
      </c>
      <c r="AA2609" s="34">
        <f>IF(OR($A2609="",$H2609&lt;&gt;"Ausgabe",M2609=""),0,IF(M2609="x",-$E2609/(COUNTIF($J2609:$Q2609,"x")+1),-$E2609*N(M2609)))</f>
        <v/>
      </c>
      <c r="AB2609" s="34">
        <f>IF(OR($A2609="",$H2609&lt;&gt;"Ausgabe",N2609=""),0,IF(N2609="x",-$E2609/(COUNTIF($J2609:$Q2609,"x")+1),-$E2609*N(N2609)))</f>
        <v/>
      </c>
      <c r="AC2609" s="34">
        <f>IF(OR($A2609="",$H2609&lt;&gt;"Ausgabe",O2609=""),0,IF(O2609="x",-$E2609/(COUNTIF($J2609:$Q2609,"x")+1),-$E2609*N(O2609)))</f>
        <v/>
      </c>
      <c r="AD2609" s="34">
        <f>IF(OR($A2609="",$H2609&lt;&gt;"Ausgabe",P2609=""),0,IF(P2609="x",-$E2609/(COUNTIF($J2609:$Q2609,"x")+1),-$E2609*N(P2609)))</f>
        <v/>
      </c>
      <c r="AE2609" s="34">
        <f>IF(OR($A2609="",$H2609&lt;&gt;"Ausgabe",Q2609=""),0,IF(Q2609="x",-$E2609/(COUNTIF($J2609:$Q2609,"x")+1),-$E2609*N(Q2609)))</f>
        <v/>
      </c>
    </row>
    <row r="2610">
      <c r="A2610" s="30" t="n"/>
      <c r="E2610" s="31" t="n"/>
      <c r="J2610" s="32" t="n"/>
      <c r="K2610" s="32" t="n"/>
      <c r="L2610" s="32" t="n"/>
      <c r="M2610" s="32" t="n"/>
      <c r="N2610" s="32" t="n"/>
      <c r="O2610" s="32" t="n"/>
      <c r="P2610" s="32" t="n"/>
      <c r="Q2610" s="32" t="n"/>
      <c r="U2610" s="31">
        <f>IF($A2610="","",SUM(X2610:AE2610))</f>
        <v/>
      </c>
      <c r="V2610" s="31">
        <f>IF($A2610="","",IF($H2610&lt;&gt;"Ausgabe",0,-$E2610-$U2610))</f>
        <v/>
      </c>
      <c r="W2610" s="33">
        <f>IF($A2610="","",DATE(YEAR($A2610),MONTH($A2610),1))</f>
        <v/>
      </c>
      <c r="X2610" s="34">
        <f>IF(OR($A2610="",$H2610&lt;&gt;"Ausgabe",J2610=""),0,IF(J2610="x",-$E2610/(COUNTIF($J2610:$Q2610,"x")+1),-$E2610*N(J2610)))</f>
        <v/>
      </c>
      <c r="Y2610" s="34">
        <f>IF(OR($A2610="",$H2610&lt;&gt;"Ausgabe",K2610=""),0,IF(K2610="x",-$E2610/(COUNTIF($J2610:$Q2610,"x")+1),-$E2610*N(K2610)))</f>
        <v/>
      </c>
      <c r="Z2610" s="34">
        <f>IF(OR($A2610="",$H2610&lt;&gt;"Ausgabe",L2610=""),0,IF(L2610="x",-$E2610/(COUNTIF($J2610:$Q2610,"x")+1),-$E2610*N(L2610)))</f>
        <v/>
      </c>
      <c r="AA2610" s="34">
        <f>IF(OR($A2610="",$H2610&lt;&gt;"Ausgabe",M2610=""),0,IF(M2610="x",-$E2610/(COUNTIF($J2610:$Q2610,"x")+1),-$E2610*N(M2610)))</f>
        <v/>
      </c>
      <c r="AB2610" s="34">
        <f>IF(OR($A2610="",$H2610&lt;&gt;"Ausgabe",N2610=""),0,IF(N2610="x",-$E2610/(COUNTIF($J2610:$Q2610,"x")+1),-$E2610*N(N2610)))</f>
        <v/>
      </c>
      <c r="AC2610" s="34">
        <f>IF(OR($A2610="",$H2610&lt;&gt;"Ausgabe",O2610=""),0,IF(O2610="x",-$E2610/(COUNTIF($J2610:$Q2610,"x")+1),-$E2610*N(O2610)))</f>
        <v/>
      </c>
      <c r="AD2610" s="34">
        <f>IF(OR($A2610="",$H2610&lt;&gt;"Ausgabe",P2610=""),0,IF(P2610="x",-$E2610/(COUNTIF($J2610:$Q2610,"x")+1),-$E2610*N(P2610)))</f>
        <v/>
      </c>
      <c r="AE2610" s="34">
        <f>IF(OR($A2610="",$H2610&lt;&gt;"Ausgabe",Q2610=""),0,IF(Q2610="x",-$E2610/(COUNTIF($J2610:$Q2610,"x")+1),-$E2610*N(Q2610)))</f>
        <v/>
      </c>
    </row>
    <row r="2611">
      <c r="A2611" s="30" t="n"/>
      <c r="E2611" s="31" t="n"/>
      <c r="J2611" s="32" t="n"/>
      <c r="K2611" s="32" t="n"/>
      <c r="L2611" s="32" t="n"/>
      <c r="M2611" s="32" t="n"/>
      <c r="N2611" s="32" t="n"/>
      <c r="O2611" s="32" t="n"/>
      <c r="P2611" s="32" t="n"/>
      <c r="Q2611" s="32" t="n"/>
      <c r="U2611" s="31">
        <f>IF($A2611="","",SUM(X2611:AE2611))</f>
        <v/>
      </c>
      <c r="V2611" s="31">
        <f>IF($A2611="","",IF($H2611&lt;&gt;"Ausgabe",0,-$E2611-$U2611))</f>
        <v/>
      </c>
      <c r="W2611" s="33">
        <f>IF($A2611="","",DATE(YEAR($A2611),MONTH($A2611),1))</f>
        <v/>
      </c>
      <c r="X2611" s="34">
        <f>IF(OR($A2611="",$H2611&lt;&gt;"Ausgabe",J2611=""),0,IF(J2611="x",-$E2611/(COUNTIF($J2611:$Q2611,"x")+1),-$E2611*N(J2611)))</f>
        <v/>
      </c>
      <c r="Y2611" s="34">
        <f>IF(OR($A2611="",$H2611&lt;&gt;"Ausgabe",K2611=""),0,IF(K2611="x",-$E2611/(COUNTIF($J2611:$Q2611,"x")+1),-$E2611*N(K2611)))</f>
        <v/>
      </c>
      <c r="Z2611" s="34">
        <f>IF(OR($A2611="",$H2611&lt;&gt;"Ausgabe",L2611=""),0,IF(L2611="x",-$E2611/(COUNTIF($J2611:$Q2611,"x")+1),-$E2611*N(L2611)))</f>
        <v/>
      </c>
      <c r="AA2611" s="34">
        <f>IF(OR($A2611="",$H2611&lt;&gt;"Ausgabe",M2611=""),0,IF(M2611="x",-$E2611/(COUNTIF($J2611:$Q2611,"x")+1),-$E2611*N(M2611)))</f>
        <v/>
      </c>
      <c r="AB2611" s="34">
        <f>IF(OR($A2611="",$H2611&lt;&gt;"Ausgabe",N2611=""),0,IF(N2611="x",-$E2611/(COUNTIF($J2611:$Q2611,"x")+1),-$E2611*N(N2611)))</f>
        <v/>
      </c>
      <c r="AC2611" s="34">
        <f>IF(OR($A2611="",$H2611&lt;&gt;"Ausgabe",O2611=""),0,IF(O2611="x",-$E2611/(COUNTIF($J2611:$Q2611,"x")+1),-$E2611*N(O2611)))</f>
        <v/>
      </c>
      <c r="AD2611" s="34">
        <f>IF(OR($A2611="",$H2611&lt;&gt;"Ausgabe",P2611=""),0,IF(P2611="x",-$E2611/(COUNTIF($J2611:$Q2611,"x")+1),-$E2611*N(P2611)))</f>
        <v/>
      </c>
      <c r="AE2611" s="34">
        <f>IF(OR($A2611="",$H2611&lt;&gt;"Ausgabe",Q2611=""),0,IF(Q2611="x",-$E2611/(COUNTIF($J2611:$Q2611,"x")+1),-$E2611*N(Q2611)))</f>
        <v/>
      </c>
    </row>
    <row r="2612">
      <c r="A2612" s="30" t="n"/>
      <c r="E2612" s="31" t="n"/>
      <c r="J2612" s="32" t="n"/>
      <c r="K2612" s="32" t="n"/>
      <c r="L2612" s="32" t="n"/>
      <c r="M2612" s="32" t="n"/>
      <c r="N2612" s="32" t="n"/>
      <c r="O2612" s="32" t="n"/>
      <c r="P2612" s="32" t="n"/>
      <c r="Q2612" s="32" t="n"/>
      <c r="U2612" s="31">
        <f>IF($A2612="","",SUM(X2612:AE2612))</f>
        <v/>
      </c>
      <c r="V2612" s="31">
        <f>IF($A2612="","",IF($H2612&lt;&gt;"Ausgabe",0,-$E2612-$U2612))</f>
        <v/>
      </c>
      <c r="W2612" s="33">
        <f>IF($A2612="","",DATE(YEAR($A2612),MONTH($A2612),1))</f>
        <v/>
      </c>
      <c r="X2612" s="34">
        <f>IF(OR($A2612="",$H2612&lt;&gt;"Ausgabe",J2612=""),0,IF(J2612="x",-$E2612/(COUNTIF($J2612:$Q2612,"x")+1),-$E2612*N(J2612)))</f>
        <v/>
      </c>
      <c r="Y2612" s="34">
        <f>IF(OR($A2612="",$H2612&lt;&gt;"Ausgabe",K2612=""),0,IF(K2612="x",-$E2612/(COUNTIF($J2612:$Q2612,"x")+1),-$E2612*N(K2612)))</f>
        <v/>
      </c>
      <c r="Z2612" s="34">
        <f>IF(OR($A2612="",$H2612&lt;&gt;"Ausgabe",L2612=""),0,IF(L2612="x",-$E2612/(COUNTIF($J2612:$Q2612,"x")+1),-$E2612*N(L2612)))</f>
        <v/>
      </c>
      <c r="AA2612" s="34">
        <f>IF(OR($A2612="",$H2612&lt;&gt;"Ausgabe",M2612=""),0,IF(M2612="x",-$E2612/(COUNTIF($J2612:$Q2612,"x")+1),-$E2612*N(M2612)))</f>
        <v/>
      </c>
      <c r="AB2612" s="34">
        <f>IF(OR($A2612="",$H2612&lt;&gt;"Ausgabe",N2612=""),0,IF(N2612="x",-$E2612/(COUNTIF($J2612:$Q2612,"x")+1),-$E2612*N(N2612)))</f>
        <v/>
      </c>
      <c r="AC2612" s="34">
        <f>IF(OR($A2612="",$H2612&lt;&gt;"Ausgabe",O2612=""),0,IF(O2612="x",-$E2612/(COUNTIF($J2612:$Q2612,"x")+1),-$E2612*N(O2612)))</f>
        <v/>
      </c>
      <c r="AD2612" s="34">
        <f>IF(OR($A2612="",$H2612&lt;&gt;"Ausgabe",P2612=""),0,IF(P2612="x",-$E2612/(COUNTIF($J2612:$Q2612,"x")+1),-$E2612*N(P2612)))</f>
        <v/>
      </c>
      <c r="AE2612" s="34">
        <f>IF(OR($A2612="",$H2612&lt;&gt;"Ausgabe",Q2612=""),0,IF(Q2612="x",-$E2612/(COUNTIF($J2612:$Q2612,"x")+1),-$E2612*N(Q2612)))</f>
        <v/>
      </c>
    </row>
    <row r="2613">
      <c r="A2613" s="30" t="n"/>
      <c r="E2613" s="31" t="n"/>
      <c r="J2613" s="32" t="n"/>
      <c r="K2613" s="32" t="n"/>
      <c r="L2613" s="32" t="n"/>
      <c r="M2613" s="32" t="n"/>
      <c r="N2613" s="32" t="n"/>
      <c r="O2613" s="32" t="n"/>
      <c r="P2613" s="32" t="n"/>
      <c r="Q2613" s="32" t="n"/>
      <c r="U2613" s="31">
        <f>IF($A2613="","",SUM(X2613:AE2613))</f>
        <v/>
      </c>
      <c r="V2613" s="31">
        <f>IF($A2613="","",IF($H2613&lt;&gt;"Ausgabe",0,-$E2613-$U2613))</f>
        <v/>
      </c>
      <c r="W2613" s="33">
        <f>IF($A2613="","",DATE(YEAR($A2613),MONTH($A2613),1))</f>
        <v/>
      </c>
      <c r="X2613" s="34">
        <f>IF(OR($A2613="",$H2613&lt;&gt;"Ausgabe",J2613=""),0,IF(J2613="x",-$E2613/(COUNTIF($J2613:$Q2613,"x")+1),-$E2613*N(J2613)))</f>
        <v/>
      </c>
      <c r="Y2613" s="34">
        <f>IF(OR($A2613="",$H2613&lt;&gt;"Ausgabe",K2613=""),0,IF(K2613="x",-$E2613/(COUNTIF($J2613:$Q2613,"x")+1),-$E2613*N(K2613)))</f>
        <v/>
      </c>
      <c r="Z2613" s="34">
        <f>IF(OR($A2613="",$H2613&lt;&gt;"Ausgabe",L2613=""),0,IF(L2613="x",-$E2613/(COUNTIF($J2613:$Q2613,"x")+1),-$E2613*N(L2613)))</f>
        <v/>
      </c>
      <c r="AA2613" s="34">
        <f>IF(OR($A2613="",$H2613&lt;&gt;"Ausgabe",M2613=""),0,IF(M2613="x",-$E2613/(COUNTIF($J2613:$Q2613,"x")+1),-$E2613*N(M2613)))</f>
        <v/>
      </c>
      <c r="AB2613" s="34">
        <f>IF(OR($A2613="",$H2613&lt;&gt;"Ausgabe",N2613=""),0,IF(N2613="x",-$E2613/(COUNTIF($J2613:$Q2613,"x")+1),-$E2613*N(N2613)))</f>
        <v/>
      </c>
      <c r="AC2613" s="34">
        <f>IF(OR($A2613="",$H2613&lt;&gt;"Ausgabe",O2613=""),0,IF(O2613="x",-$E2613/(COUNTIF($J2613:$Q2613,"x")+1),-$E2613*N(O2613)))</f>
        <v/>
      </c>
      <c r="AD2613" s="34">
        <f>IF(OR($A2613="",$H2613&lt;&gt;"Ausgabe",P2613=""),0,IF(P2613="x",-$E2613/(COUNTIF($J2613:$Q2613,"x")+1),-$E2613*N(P2613)))</f>
        <v/>
      </c>
      <c r="AE2613" s="34">
        <f>IF(OR($A2613="",$H2613&lt;&gt;"Ausgabe",Q2613=""),0,IF(Q2613="x",-$E2613/(COUNTIF($J2613:$Q2613,"x")+1),-$E2613*N(Q2613)))</f>
        <v/>
      </c>
    </row>
    <row r="2614">
      <c r="A2614" s="30" t="n"/>
      <c r="E2614" s="31" t="n"/>
      <c r="J2614" s="32" t="n"/>
      <c r="K2614" s="32" t="n"/>
      <c r="L2614" s="32" t="n"/>
      <c r="M2614" s="32" t="n"/>
      <c r="N2614" s="32" t="n"/>
      <c r="O2614" s="32" t="n"/>
      <c r="P2614" s="32" t="n"/>
      <c r="Q2614" s="32" t="n"/>
      <c r="U2614" s="31">
        <f>IF($A2614="","",SUM(X2614:AE2614))</f>
        <v/>
      </c>
      <c r="V2614" s="31">
        <f>IF($A2614="","",IF($H2614&lt;&gt;"Ausgabe",0,-$E2614-$U2614))</f>
        <v/>
      </c>
      <c r="W2614" s="33">
        <f>IF($A2614="","",DATE(YEAR($A2614),MONTH($A2614),1))</f>
        <v/>
      </c>
      <c r="X2614" s="34">
        <f>IF(OR($A2614="",$H2614&lt;&gt;"Ausgabe",J2614=""),0,IF(J2614="x",-$E2614/(COUNTIF($J2614:$Q2614,"x")+1),-$E2614*N(J2614)))</f>
        <v/>
      </c>
      <c r="Y2614" s="34">
        <f>IF(OR($A2614="",$H2614&lt;&gt;"Ausgabe",K2614=""),0,IF(K2614="x",-$E2614/(COUNTIF($J2614:$Q2614,"x")+1),-$E2614*N(K2614)))</f>
        <v/>
      </c>
      <c r="Z2614" s="34">
        <f>IF(OR($A2614="",$H2614&lt;&gt;"Ausgabe",L2614=""),0,IF(L2614="x",-$E2614/(COUNTIF($J2614:$Q2614,"x")+1),-$E2614*N(L2614)))</f>
        <v/>
      </c>
      <c r="AA2614" s="34">
        <f>IF(OR($A2614="",$H2614&lt;&gt;"Ausgabe",M2614=""),0,IF(M2614="x",-$E2614/(COUNTIF($J2614:$Q2614,"x")+1),-$E2614*N(M2614)))</f>
        <v/>
      </c>
      <c r="AB2614" s="34">
        <f>IF(OR($A2614="",$H2614&lt;&gt;"Ausgabe",N2614=""),0,IF(N2614="x",-$E2614/(COUNTIF($J2614:$Q2614,"x")+1),-$E2614*N(N2614)))</f>
        <v/>
      </c>
      <c r="AC2614" s="34">
        <f>IF(OR($A2614="",$H2614&lt;&gt;"Ausgabe",O2614=""),0,IF(O2614="x",-$E2614/(COUNTIF($J2614:$Q2614,"x")+1),-$E2614*N(O2614)))</f>
        <v/>
      </c>
      <c r="AD2614" s="34">
        <f>IF(OR($A2614="",$H2614&lt;&gt;"Ausgabe",P2614=""),0,IF(P2614="x",-$E2614/(COUNTIF($J2614:$Q2614,"x")+1),-$E2614*N(P2614)))</f>
        <v/>
      </c>
      <c r="AE2614" s="34">
        <f>IF(OR($A2614="",$H2614&lt;&gt;"Ausgabe",Q2614=""),0,IF(Q2614="x",-$E2614/(COUNTIF($J2614:$Q2614,"x")+1),-$E2614*N(Q2614)))</f>
        <v/>
      </c>
    </row>
    <row r="2615">
      <c r="A2615" s="30" t="n"/>
      <c r="E2615" s="31" t="n"/>
      <c r="J2615" s="32" t="n"/>
      <c r="K2615" s="32" t="n"/>
      <c r="L2615" s="32" t="n"/>
      <c r="M2615" s="32" t="n"/>
      <c r="N2615" s="32" t="n"/>
      <c r="O2615" s="32" t="n"/>
      <c r="P2615" s="32" t="n"/>
      <c r="Q2615" s="32" t="n"/>
      <c r="U2615" s="31">
        <f>IF($A2615="","",SUM(X2615:AE2615))</f>
        <v/>
      </c>
      <c r="V2615" s="31">
        <f>IF($A2615="","",IF($H2615&lt;&gt;"Ausgabe",0,-$E2615-$U2615))</f>
        <v/>
      </c>
      <c r="W2615" s="33">
        <f>IF($A2615="","",DATE(YEAR($A2615),MONTH($A2615),1))</f>
        <v/>
      </c>
      <c r="X2615" s="34">
        <f>IF(OR($A2615="",$H2615&lt;&gt;"Ausgabe",J2615=""),0,IF(J2615="x",-$E2615/(COUNTIF($J2615:$Q2615,"x")+1),-$E2615*N(J2615)))</f>
        <v/>
      </c>
      <c r="Y2615" s="34">
        <f>IF(OR($A2615="",$H2615&lt;&gt;"Ausgabe",K2615=""),0,IF(K2615="x",-$E2615/(COUNTIF($J2615:$Q2615,"x")+1),-$E2615*N(K2615)))</f>
        <v/>
      </c>
      <c r="Z2615" s="34">
        <f>IF(OR($A2615="",$H2615&lt;&gt;"Ausgabe",L2615=""),0,IF(L2615="x",-$E2615/(COUNTIF($J2615:$Q2615,"x")+1),-$E2615*N(L2615)))</f>
        <v/>
      </c>
      <c r="AA2615" s="34">
        <f>IF(OR($A2615="",$H2615&lt;&gt;"Ausgabe",M2615=""),0,IF(M2615="x",-$E2615/(COUNTIF($J2615:$Q2615,"x")+1),-$E2615*N(M2615)))</f>
        <v/>
      </c>
      <c r="AB2615" s="34">
        <f>IF(OR($A2615="",$H2615&lt;&gt;"Ausgabe",N2615=""),0,IF(N2615="x",-$E2615/(COUNTIF($J2615:$Q2615,"x")+1),-$E2615*N(N2615)))</f>
        <v/>
      </c>
      <c r="AC2615" s="34">
        <f>IF(OR($A2615="",$H2615&lt;&gt;"Ausgabe",O2615=""),0,IF(O2615="x",-$E2615/(COUNTIF($J2615:$Q2615,"x")+1),-$E2615*N(O2615)))</f>
        <v/>
      </c>
      <c r="AD2615" s="34">
        <f>IF(OR($A2615="",$H2615&lt;&gt;"Ausgabe",P2615=""),0,IF(P2615="x",-$E2615/(COUNTIF($J2615:$Q2615,"x")+1),-$E2615*N(P2615)))</f>
        <v/>
      </c>
      <c r="AE2615" s="34">
        <f>IF(OR($A2615="",$H2615&lt;&gt;"Ausgabe",Q2615=""),0,IF(Q2615="x",-$E2615/(COUNTIF($J2615:$Q2615,"x")+1),-$E2615*N(Q2615)))</f>
        <v/>
      </c>
    </row>
    <row r="2616">
      <c r="A2616" s="30" t="n"/>
      <c r="E2616" s="31" t="n"/>
      <c r="J2616" s="32" t="n"/>
      <c r="K2616" s="32" t="n"/>
      <c r="L2616" s="32" t="n"/>
      <c r="M2616" s="32" t="n"/>
      <c r="N2616" s="32" t="n"/>
      <c r="O2616" s="32" t="n"/>
      <c r="P2616" s="32" t="n"/>
      <c r="Q2616" s="32" t="n"/>
      <c r="U2616" s="31">
        <f>IF($A2616="","",SUM(X2616:AE2616))</f>
        <v/>
      </c>
      <c r="V2616" s="31">
        <f>IF($A2616="","",IF($H2616&lt;&gt;"Ausgabe",0,-$E2616-$U2616))</f>
        <v/>
      </c>
      <c r="W2616" s="33">
        <f>IF($A2616="","",DATE(YEAR($A2616),MONTH($A2616),1))</f>
        <v/>
      </c>
      <c r="X2616" s="34">
        <f>IF(OR($A2616="",$H2616&lt;&gt;"Ausgabe",J2616=""),0,IF(J2616="x",-$E2616/(COUNTIF($J2616:$Q2616,"x")+1),-$E2616*N(J2616)))</f>
        <v/>
      </c>
      <c r="Y2616" s="34">
        <f>IF(OR($A2616="",$H2616&lt;&gt;"Ausgabe",K2616=""),0,IF(K2616="x",-$E2616/(COUNTIF($J2616:$Q2616,"x")+1),-$E2616*N(K2616)))</f>
        <v/>
      </c>
      <c r="Z2616" s="34">
        <f>IF(OR($A2616="",$H2616&lt;&gt;"Ausgabe",L2616=""),0,IF(L2616="x",-$E2616/(COUNTIF($J2616:$Q2616,"x")+1),-$E2616*N(L2616)))</f>
        <v/>
      </c>
      <c r="AA2616" s="34">
        <f>IF(OR($A2616="",$H2616&lt;&gt;"Ausgabe",M2616=""),0,IF(M2616="x",-$E2616/(COUNTIF($J2616:$Q2616,"x")+1),-$E2616*N(M2616)))</f>
        <v/>
      </c>
      <c r="AB2616" s="34">
        <f>IF(OR($A2616="",$H2616&lt;&gt;"Ausgabe",N2616=""),0,IF(N2616="x",-$E2616/(COUNTIF($J2616:$Q2616,"x")+1),-$E2616*N(N2616)))</f>
        <v/>
      </c>
      <c r="AC2616" s="34">
        <f>IF(OR($A2616="",$H2616&lt;&gt;"Ausgabe",O2616=""),0,IF(O2616="x",-$E2616/(COUNTIF($J2616:$Q2616,"x")+1),-$E2616*N(O2616)))</f>
        <v/>
      </c>
      <c r="AD2616" s="34">
        <f>IF(OR($A2616="",$H2616&lt;&gt;"Ausgabe",P2616=""),0,IF(P2616="x",-$E2616/(COUNTIF($J2616:$Q2616,"x")+1),-$E2616*N(P2616)))</f>
        <v/>
      </c>
      <c r="AE2616" s="34">
        <f>IF(OR($A2616="",$H2616&lt;&gt;"Ausgabe",Q2616=""),0,IF(Q2616="x",-$E2616/(COUNTIF($J2616:$Q2616,"x")+1),-$E2616*N(Q2616)))</f>
        <v/>
      </c>
    </row>
    <row r="2617">
      <c r="A2617" s="30" t="n"/>
      <c r="E2617" s="31" t="n"/>
      <c r="J2617" s="32" t="n"/>
      <c r="K2617" s="32" t="n"/>
      <c r="L2617" s="32" t="n"/>
      <c r="M2617" s="32" t="n"/>
      <c r="N2617" s="32" t="n"/>
      <c r="O2617" s="32" t="n"/>
      <c r="P2617" s="32" t="n"/>
      <c r="Q2617" s="32" t="n"/>
      <c r="U2617" s="31">
        <f>IF($A2617="","",SUM(X2617:AE2617))</f>
        <v/>
      </c>
      <c r="V2617" s="31">
        <f>IF($A2617="","",IF($H2617&lt;&gt;"Ausgabe",0,-$E2617-$U2617))</f>
        <v/>
      </c>
      <c r="W2617" s="33">
        <f>IF($A2617="","",DATE(YEAR($A2617),MONTH($A2617),1))</f>
        <v/>
      </c>
      <c r="X2617" s="34">
        <f>IF(OR($A2617="",$H2617&lt;&gt;"Ausgabe",J2617=""),0,IF(J2617="x",-$E2617/(COUNTIF($J2617:$Q2617,"x")+1),-$E2617*N(J2617)))</f>
        <v/>
      </c>
      <c r="Y2617" s="34">
        <f>IF(OR($A2617="",$H2617&lt;&gt;"Ausgabe",K2617=""),0,IF(K2617="x",-$E2617/(COUNTIF($J2617:$Q2617,"x")+1),-$E2617*N(K2617)))</f>
        <v/>
      </c>
      <c r="Z2617" s="34">
        <f>IF(OR($A2617="",$H2617&lt;&gt;"Ausgabe",L2617=""),0,IF(L2617="x",-$E2617/(COUNTIF($J2617:$Q2617,"x")+1),-$E2617*N(L2617)))</f>
        <v/>
      </c>
      <c r="AA2617" s="34">
        <f>IF(OR($A2617="",$H2617&lt;&gt;"Ausgabe",M2617=""),0,IF(M2617="x",-$E2617/(COUNTIF($J2617:$Q2617,"x")+1),-$E2617*N(M2617)))</f>
        <v/>
      </c>
      <c r="AB2617" s="34">
        <f>IF(OR($A2617="",$H2617&lt;&gt;"Ausgabe",N2617=""),0,IF(N2617="x",-$E2617/(COUNTIF($J2617:$Q2617,"x")+1),-$E2617*N(N2617)))</f>
        <v/>
      </c>
      <c r="AC2617" s="34">
        <f>IF(OR($A2617="",$H2617&lt;&gt;"Ausgabe",O2617=""),0,IF(O2617="x",-$E2617/(COUNTIF($J2617:$Q2617,"x")+1),-$E2617*N(O2617)))</f>
        <v/>
      </c>
      <c r="AD2617" s="34">
        <f>IF(OR($A2617="",$H2617&lt;&gt;"Ausgabe",P2617=""),0,IF(P2617="x",-$E2617/(COUNTIF($J2617:$Q2617,"x")+1),-$E2617*N(P2617)))</f>
        <v/>
      </c>
      <c r="AE2617" s="34">
        <f>IF(OR($A2617="",$H2617&lt;&gt;"Ausgabe",Q2617=""),0,IF(Q2617="x",-$E2617/(COUNTIF($J2617:$Q2617,"x")+1),-$E2617*N(Q2617)))</f>
        <v/>
      </c>
    </row>
    <row r="2618">
      <c r="A2618" s="30" t="n"/>
      <c r="E2618" s="31" t="n"/>
      <c r="J2618" s="32" t="n"/>
      <c r="K2618" s="32" t="n"/>
      <c r="L2618" s="32" t="n"/>
      <c r="M2618" s="32" t="n"/>
      <c r="N2618" s="32" t="n"/>
      <c r="O2618" s="32" t="n"/>
      <c r="P2618" s="32" t="n"/>
      <c r="Q2618" s="32" t="n"/>
      <c r="U2618" s="31">
        <f>IF($A2618="","",SUM(X2618:AE2618))</f>
        <v/>
      </c>
      <c r="V2618" s="31">
        <f>IF($A2618="","",IF($H2618&lt;&gt;"Ausgabe",0,-$E2618-$U2618))</f>
        <v/>
      </c>
      <c r="W2618" s="33">
        <f>IF($A2618="","",DATE(YEAR($A2618),MONTH($A2618),1))</f>
        <v/>
      </c>
      <c r="X2618" s="34">
        <f>IF(OR($A2618="",$H2618&lt;&gt;"Ausgabe",J2618=""),0,IF(J2618="x",-$E2618/(COUNTIF($J2618:$Q2618,"x")+1),-$E2618*N(J2618)))</f>
        <v/>
      </c>
      <c r="Y2618" s="34">
        <f>IF(OR($A2618="",$H2618&lt;&gt;"Ausgabe",K2618=""),0,IF(K2618="x",-$E2618/(COUNTIF($J2618:$Q2618,"x")+1),-$E2618*N(K2618)))</f>
        <v/>
      </c>
      <c r="Z2618" s="34">
        <f>IF(OR($A2618="",$H2618&lt;&gt;"Ausgabe",L2618=""),0,IF(L2618="x",-$E2618/(COUNTIF($J2618:$Q2618,"x")+1),-$E2618*N(L2618)))</f>
        <v/>
      </c>
      <c r="AA2618" s="34">
        <f>IF(OR($A2618="",$H2618&lt;&gt;"Ausgabe",M2618=""),0,IF(M2618="x",-$E2618/(COUNTIF($J2618:$Q2618,"x")+1),-$E2618*N(M2618)))</f>
        <v/>
      </c>
      <c r="AB2618" s="34">
        <f>IF(OR($A2618="",$H2618&lt;&gt;"Ausgabe",N2618=""),0,IF(N2618="x",-$E2618/(COUNTIF($J2618:$Q2618,"x")+1),-$E2618*N(N2618)))</f>
        <v/>
      </c>
      <c r="AC2618" s="34">
        <f>IF(OR($A2618="",$H2618&lt;&gt;"Ausgabe",O2618=""),0,IF(O2618="x",-$E2618/(COUNTIF($J2618:$Q2618,"x")+1),-$E2618*N(O2618)))</f>
        <v/>
      </c>
      <c r="AD2618" s="34">
        <f>IF(OR($A2618="",$H2618&lt;&gt;"Ausgabe",P2618=""),0,IF(P2618="x",-$E2618/(COUNTIF($J2618:$Q2618,"x")+1),-$E2618*N(P2618)))</f>
        <v/>
      </c>
      <c r="AE2618" s="34">
        <f>IF(OR($A2618="",$H2618&lt;&gt;"Ausgabe",Q2618=""),0,IF(Q2618="x",-$E2618/(COUNTIF($J2618:$Q2618,"x")+1),-$E2618*N(Q2618)))</f>
        <v/>
      </c>
    </row>
    <row r="2619">
      <c r="A2619" s="30" t="n"/>
      <c r="E2619" s="31" t="n"/>
      <c r="J2619" s="32" t="n"/>
      <c r="K2619" s="32" t="n"/>
      <c r="L2619" s="32" t="n"/>
      <c r="M2619" s="32" t="n"/>
      <c r="N2619" s="32" t="n"/>
      <c r="O2619" s="32" t="n"/>
      <c r="P2619" s="32" t="n"/>
      <c r="Q2619" s="32" t="n"/>
      <c r="U2619" s="31">
        <f>IF($A2619="","",SUM(X2619:AE2619))</f>
        <v/>
      </c>
      <c r="V2619" s="31">
        <f>IF($A2619="","",IF($H2619&lt;&gt;"Ausgabe",0,-$E2619-$U2619))</f>
        <v/>
      </c>
      <c r="W2619" s="33">
        <f>IF($A2619="","",DATE(YEAR($A2619),MONTH($A2619),1))</f>
        <v/>
      </c>
      <c r="X2619" s="34">
        <f>IF(OR($A2619="",$H2619&lt;&gt;"Ausgabe",J2619=""),0,IF(J2619="x",-$E2619/(COUNTIF($J2619:$Q2619,"x")+1),-$E2619*N(J2619)))</f>
        <v/>
      </c>
      <c r="Y2619" s="34">
        <f>IF(OR($A2619="",$H2619&lt;&gt;"Ausgabe",K2619=""),0,IF(K2619="x",-$E2619/(COUNTIF($J2619:$Q2619,"x")+1),-$E2619*N(K2619)))</f>
        <v/>
      </c>
      <c r="Z2619" s="34">
        <f>IF(OR($A2619="",$H2619&lt;&gt;"Ausgabe",L2619=""),0,IF(L2619="x",-$E2619/(COUNTIF($J2619:$Q2619,"x")+1),-$E2619*N(L2619)))</f>
        <v/>
      </c>
      <c r="AA2619" s="34">
        <f>IF(OR($A2619="",$H2619&lt;&gt;"Ausgabe",M2619=""),0,IF(M2619="x",-$E2619/(COUNTIF($J2619:$Q2619,"x")+1),-$E2619*N(M2619)))</f>
        <v/>
      </c>
      <c r="AB2619" s="34">
        <f>IF(OR($A2619="",$H2619&lt;&gt;"Ausgabe",N2619=""),0,IF(N2619="x",-$E2619/(COUNTIF($J2619:$Q2619,"x")+1),-$E2619*N(N2619)))</f>
        <v/>
      </c>
      <c r="AC2619" s="34">
        <f>IF(OR($A2619="",$H2619&lt;&gt;"Ausgabe",O2619=""),0,IF(O2619="x",-$E2619/(COUNTIF($J2619:$Q2619,"x")+1),-$E2619*N(O2619)))</f>
        <v/>
      </c>
      <c r="AD2619" s="34">
        <f>IF(OR($A2619="",$H2619&lt;&gt;"Ausgabe",P2619=""),0,IF(P2619="x",-$E2619/(COUNTIF($J2619:$Q2619,"x")+1),-$E2619*N(P2619)))</f>
        <v/>
      </c>
      <c r="AE2619" s="34">
        <f>IF(OR($A2619="",$H2619&lt;&gt;"Ausgabe",Q2619=""),0,IF(Q2619="x",-$E2619/(COUNTIF($J2619:$Q2619,"x")+1),-$E2619*N(Q2619)))</f>
        <v/>
      </c>
    </row>
    <row r="2620">
      <c r="A2620" s="30" t="n"/>
      <c r="E2620" s="31" t="n"/>
      <c r="J2620" s="32" t="n"/>
      <c r="K2620" s="32" t="n"/>
      <c r="L2620" s="32" t="n"/>
      <c r="M2620" s="32" t="n"/>
      <c r="N2620" s="32" t="n"/>
      <c r="O2620" s="32" t="n"/>
      <c r="P2620" s="32" t="n"/>
      <c r="Q2620" s="32" t="n"/>
      <c r="U2620" s="31">
        <f>IF($A2620="","",SUM(X2620:AE2620))</f>
        <v/>
      </c>
      <c r="V2620" s="31">
        <f>IF($A2620="","",IF($H2620&lt;&gt;"Ausgabe",0,-$E2620-$U2620))</f>
        <v/>
      </c>
      <c r="W2620" s="33">
        <f>IF($A2620="","",DATE(YEAR($A2620),MONTH($A2620),1))</f>
        <v/>
      </c>
      <c r="X2620" s="34">
        <f>IF(OR($A2620="",$H2620&lt;&gt;"Ausgabe",J2620=""),0,IF(J2620="x",-$E2620/(COUNTIF($J2620:$Q2620,"x")+1),-$E2620*N(J2620)))</f>
        <v/>
      </c>
      <c r="Y2620" s="34">
        <f>IF(OR($A2620="",$H2620&lt;&gt;"Ausgabe",K2620=""),0,IF(K2620="x",-$E2620/(COUNTIF($J2620:$Q2620,"x")+1),-$E2620*N(K2620)))</f>
        <v/>
      </c>
      <c r="Z2620" s="34">
        <f>IF(OR($A2620="",$H2620&lt;&gt;"Ausgabe",L2620=""),0,IF(L2620="x",-$E2620/(COUNTIF($J2620:$Q2620,"x")+1),-$E2620*N(L2620)))</f>
        <v/>
      </c>
      <c r="AA2620" s="34">
        <f>IF(OR($A2620="",$H2620&lt;&gt;"Ausgabe",M2620=""),0,IF(M2620="x",-$E2620/(COUNTIF($J2620:$Q2620,"x")+1),-$E2620*N(M2620)))</f>
        <v/>
      </c>
      <c r="AB2620" s="34">
        <f>IF(OR($A2620="",$H2620&lt;&gt;"Ausgabe",N2620=""),0,IF(N2620="x",-$E2620/(COUNTIF($J2620:$Q2620,"x")+1),-$E2620*N(N2620)))</f>
        <v/>
      </c>
      <c r="AC2620" s="34">
        <f>IF(OR($A2620="",$H2620&lt;&gt;"Ausgabe",O2620=""),0,IF(O2620="x",-$E2620/(COUNTIF($J2620:$Q2620,"x")+1),-$E2620*N(O2620)))</f>
        <v/>
      </c>
      <c r="AD2620" s="34">
        <f>IF(OR($A2620="",$H2620&lt;&gt;"Ausgabe",P2620=""),0,IF(P2620="x",-$E2620/(COUNTIF($J2620:$Q2620,"x")+1),-$E2620*N(P2620)))</f>
        <v/>
      </c>
      <c r="AE2620" s="34">
        <f>IF(OR($A2620="",$H2620&lt;&gt;"Ausgabe",Q2620=""),0,IF(Q2620="x",-$E2620/(COUNTIF($J2620:$Q2620,"x")+1),-$E2620*N(Q2620)))</f>
        <v/>
      </c>
    </row>
    <row r="2621">
      <c r="A2621" s="30" t="n"/>
      <c r="E2621" s="31" t="n"/>
      <c r="J2621" s="32" t="n"/>
      <c r="K2621" s="32" t="n"/>
      <c r="L2621" s="32" t="n"/>
      <c r="M2621" s="32" t="n"/>
      <c r="N2621" s="32" t="n"/>
      <c r="O2621" s="32" t="n"/>
      <c r="P2621" s="32" t="n"/>
      <c r="Q2621" s="32" t="n"/>
      <c r="U2621" s="31">
        <f>IF($A2621="","",SUM(X2621:AE2621))</f>
        <v/>
      </c>
      <c r="V2621" s="31">
        <f>IF($A2621="","",IF($H2621&lt;&gt;"Ausgabe",0,-$E2621-$U2621))</f>
        <v/>
      </c>
      <c r="W2621" s="33">
        <f>IF($A2621="","",DATE(YEAR($A2621),MONTH($A2621),1))</f>
        <v/>
      </c>
      <c r="X2621" s="34">
        <f>IF(OR($A2621="",$H2621&lt;&gt;"Ausgabe",J2621=""),0,IF(J2621="x",-$E2621/(COUNTIF($J2621:$Q2621,"x")+1),-$E2621*N(J2621)))</f>
        <v/>
      </c>
      <c r="Y2621" s="34">
        <f>IF(OR($A2621="",$H2621&lt;&gt;"Ausgabe",K2621=""),0,IF(K2621="x",-$E2621/(COUNTIF($J2621:$Q2621,"x")+1),-$E2621*N(K2621)))</f>
        <v/>
      </c>
      <c r="Z2621" s="34">
        <f>IF(OR($A2621="",$H2621&lt;&gt;"Ausgabe",L2621=""),0,IF(L2621="x",-$E2621/(COUNTIF($J2621:$Q2621,"x")+1),-$E2621*N(L2621)))</f>
        <v/>
      </c>
      <c r="AA2621" s="34">
        <f>IF(OR($A2621="",$H2621&lt;&gt;"Ausgabe",M2621=""),0,IF(M2621="x",-$E2621/(COUNTIF($J2621:$Q2621,"x")+1),-$E2621*N(M2621)))</f>
        <v/>
      </c>
      <c r="AB2621" s="34">
        <f>IF(OR($A2621="",$H2621&lt;&gt;"Ausgabe",N2621=""),0,IF(N2621="x",-$E2621/(COUNTIF($J2621:$Q2621,"x")+1),-$E2621*N(N2621)))</f>
        <v/>
      </c>
      <c r="AC2621" s="34">
        <f>IF(OR($A2621="",$H2621&lt;&gt;"Ausgabe",O2621=""),0,IF(O2621="x",-$E2621/(COUNTIF($J2621:$Q2621,"x")+1),-$E2621*N(O2621)))</f>
        <v/>
      </c>
      <c r="AD2621" s="34">
        <f>IF(OR($A2621="",$H2621&lt;&gt;"Ausgabe",P2621=""),0,IF(P2621="x",-$E2621/(COUNTIF($J2621:$Q2621,"x")+1),-$E2621*N(P2621)))</f>
        <v/>
      </c>
      <c r="AE2621" s="34">
        <f>IF(OR($A2621="",$H2621&lt;&gt;"Ausgabe",Q2621=""),0,IF(Q2621="x",-$E2621/(COUNTIF($J2621:$Q2621,"x")+1),-$E2621*N(Q2621)))</f>
        <v/>
      </c>
    </row>
    <row r="2622">
      <c r="A2622" s="30" t="n"/>
      <c r="E2622" s="31" t="n"/>
      <c r="J2622" s="32" t="n"/>
      <c r="K2622" s="32" t="n"/>
      <c r="L2622" s="32" t="n"/>
      <c r="M2622" s="32" t="n"/>
      <c r="N2622" s="32" t="n"/>
      <c r="O2622" s="32" t="n"/>
      <c r="P2622" s="32" t="n"/>
      <c r="Q2622" s="32" t="n"/>
      <c r="U2622" s="31">
        <f>IF($A2622="","",SUM(X2622:AE2622))</f>
        <v/>
      </c>
      <c r="V2622" s="31">
        <f>IF($A2622="","",IF($H2622&lt;&gt;"Ausgabe",0,-$E2622-$U2622))</f>
        <v/>
      </c>
      <c r="W2622" s="33">
        <f>IF($A2622="","",DATE(YEAR($A2622),MONTH($A2622),1))</f>
        <v/>
      </c>
      <c r="X2622" s="34">
        <f>IF(OR($A2622="",$H2622&lt;&gt;"Ausgabe",J2622=""),0,IF(J2622="x",-$E2622/(COUNTIF($J2622:$Q2622,"x")+1),-$E2622*N(J2622)))</f>
        <v/>
      </c>
      <c r="Y2622" s="34">
        <f>IF(OR($A2622="",$H2622&lt;&gt;"Ausgabe",K2622=""),0,IF(K2622="x",-$E2622/(COUNTIF($J2622:$Q2622,"x")+1),-$E2622*N(K2622)))</f>
        <v/>
      </c>
      <c r="Z2622" s="34">
        <f>IF(OR($A2622="",$H2622&lt;&gt;"Ausgabe",L2622=""),0,IF(L2622="x",-$E2622/(COUNTIF($J2622:$Q2622,"x")+1),-$E2622*N(L2622)))</f>
        <v/>
      </c>
      <c r="AA2622" s="34">
        <f>IF(OR($A2622="",$H2622&lt;&gt;"Ausgabe",M2622=""),0,IF(M2622="x",-$E2622/(COUNTIF($J2622:$Q2622,"x")+1),-$E2622*N(M2622)))</f>
        <v/>
      </c>
      <c r="AB2622" s="34">
        <f>IF(OR($A2622="",$H2622&lt;&gt;"Ausgabe",N2622=""),0,IF(N2622="x",-$E2622/(COUNTIF($J2622:$Q2622,"x")+1),-$E2622*N(N2622)))</f>
        <v/>
      </c>
      <c r="AC2622" s="34">
        <f>IF(OR($A2622="",$H2622&lt;&gt;"Ausgabe",O2622=""),0,IF(O2622="x",-$E2622/(COUNTIF($J2622:$Q2622,"x")+1),-$E2622*N(O2622)))</f>
        <v/>
      </c>
      <c r="AD2622" s="34">
        <f>IF(OR($A2622="",$H2622&lt;&gt;"Ausgabe",P2622=""),0,IF(P2622="x",-$E2622/(COUNTIF($J2622:$Q2622,"x")+1),-$E2622*N(P2622)))</f>
        <v/>
      </c>
      <c r="AE2622" s="34">
        <f>IF(OR($A2622="",$H2622&lt;&gt;"Ausgabe",Q2622=""),0,IF(Q2622="x",-$E2622/(COUNTIF($J2622:$Q2622,"x")+1),-$E2622*N(Q2622)))</f>
        <v/>
      </c>
    </row>
    <row r="2623">
      <c r="A2623" s="30" t="n"/>
      <c r="E2623" s="31" t="n"/>
      <c r="J2623" s="32" t="n"/>
      <c r="K2623" s="32" t="n"/>
      <c r="L2623" s="32" t="n"/>
      <c r="M2623" s="32" t="n"/>
      <c r="N2623" s="32" t="n"/>
      <c r="O2623" s="32" t="n"/>
      <c r="P2623" s="32" t="n"/>
      <c r="Q2623" s="32" t="n"/>
      <c r="U2623" s="31">
        <f>IF($A2623="","",SUM(X2623:AE2623))</f>
        <v/>
      </c>
      <c r="V2623" s="31">
        <f>IF($A2623="","",IF($H2623&lt;&gt;"Ausgabe",0,-$E2623-$U2623))</f>
        <v/>
      </c>
      <c r="W2623" s="33">
        <f>IF($A2623="","",DATE(YEAR($A2623),MONTH($A2623),1))</f>
        <v/>
      </c>
      <c r="X2623" s="34">
        <f>IF(OR($A2623="",$H2623&lt;&gt;"Ausgabe",J2623=""),0,IF(J2623="x",-$E2623/(COUNTIF($J2623:$Q2623,"x")+1),-$E2623*N(J2623)))</f>
        <v/>
      </c>
      <c r="Y2623" s="34">
        <f>IF(OR($A2623="",$H2623&lt;&gt;"Ausgabe",K2623=""),0,IF(K2623="x",-$E2623/(COUNTIF($J2623:$Q2623,"x")+1),-$E2623*N(K2623)))</f>
        <v/>
      </c>
      <c r="Z2623" s="34">
        <f>IF(OR($A2623="",$H2623&lt;&gt;"Ausgabe",L2623=""),0,IF(L2623="x",-$E2623/(COUNTIF($J2623:$Q2623,"x")+1),-$E2623*N(L2623)))</f>
        <v/>
      </c>
      <c r="AA2623" s="34">
        <f>IF(OR($A2623="",$H2623&lt;&gt;"Ausgabe",M2623=""),0,IF(M2623="x",-$E2623/(COUNTIF($J2623:$Q2623,"x")+1),-$E2623*N(M2623)))</f>
        <v/>
      </c>
      <c r="AB2623" s="34">
        <f>IF(OR($A2623="",$H2623&lt;&gt;"Ausgabe",N2623=""),0,IF(N2623="x",-$E2623/(COUNTIF($J2623:$Q2623,"x")+1),-$E2623*N(N2623)))</f>
        <v/>
      </c>
      <c r="AC2623" s="34">
        <f>IF(OR($A2623="",$H2623&lt;&gt;"Ausgabe",O2623=""),0,IF(O2623="x",-$E2623/(COUNTIF($J2623:$Q2623,"x")+1),-$E2623*N(O2623)))</f>
        <v/>
      </c>
      <c r="AD2623" s="34">
        <f>IF(OR($A2623="",$H2623&lt;&gt;"Ausgabe",P2623=""),0,IF(P2623="x",-$E2623/(COUNTIF($J2623:$Q2623,"x")+1),-$E2623*N(P2623)))</f>
        <v/>
      </c>
      <c r="AE2623" s="34">
        <f>IF(OR($A2623="",$H2623&lt;&gt;"Ausgabe",Q2623=""),0,IF(Q2623="x",-$E2623/(COUNTIF($J2623:$Q2623,"x")+1),-$E2623*N(Q2623)))</f>
        <v/>
      </c>
    </row>
    <row r="2624">
      <c r="A2624" s="30" t="n"/>
      <c r="E2624" s="31" t="n"/>
      <c r="J2624" s="32" t="n"/>
      <c r="K2624" s="32" t="n"/>
      <c r="L2624" s="32" t="n"/>
      <c r="M2624" s="32" t="n"/>
      <c r="N2624" s="32" t="n"/>
      <c r="O2624" s="32" t="n"/>
      <c r="P2624" s="32" t="n"/>
      <c r="Q2624" s="32" t="n"/>
      <c r="U2624" s="31">
        <f>IF($A2624="","",SUM(X2624:AE2624))</f>
        <v/>
      </c>
      <c r="V2624" s="31">
        <f>IF($A2624="","",IF($H2624&lt;&gt;"Ausgabe",0,-$E2624-$U2624))</f>
        <v/>
      </c>
      <c r="W2624" s="33">
        <f>IF($A2624="","",DATE(YEAR($A2624),MONTH($A2624),1))</f>
        <v/>
      </c>
      <c r="X2624" s="34">
        <f>IF(OR($A2624="",$H2624&lt;&gt;"Ausgabe",J2624=""),0,IF(J2624="x",-$E2624/(COUNTIF($J2624:$Q2624,"x")+1),-$E2624*N(J2624)))</f>
        <v/>
      </c>
      <c r="Y2624" s="34">
        <f>IF(OR($A2624="",$H2624&lt;&gt;"Ausgabe",K2624=""),0,IF(K2624="x",-$E2624/(COUNTIF($J2624:$Q2624,"x")+1),-$E2624*N(K2624)))</f>
        <v/>
      </c>
      <c r="Z2624" s="34">
        <f>IF(OR($A2624="",$H2624&lt;&gt;"Ausgabe",L2624=""),0,IF(L2624="x",-$E2624/(COUNTIF($J2624:$Q2624,"x")+1),-$E2624*N(L2624)))</f>
        <v/>
      </c>
      <c r="AA2624" s="34">
        <f>IF(OR($A2624="",$H2624&lt;&gt;"Ausgabe",M2624=""),0,IF(M2624="x",-$E2624/(COUNTIF($J2624:$Q2624,"x")+1),-$E2624*N(M2624)))</f>
        <v/>
      </c>
      <c r="AB2624" s="34">
        <f>IF(OR($A2624="",$H2624&lt;&gt;"Ausgabe",N2624=""),0,IF(N2624="x",-$E2624/(COUNTIF($J2624:$Q2624,"x")+1),-$E2624*N(N2624)))</f>
        <v/>
      </c>
      <c r="AC2624" s="34">
        <f>IF(OR($A2624="",$H2624&lt;&gt;"Ausgabe",O2624=""),0,IF(O2624="x",-$E2624/(COUNTIF($J2624:$Q2624,"x")+1),-$E2624*N(O2624)))</f>
        <v/>
      </c>
      <c r="AD2624" s="34">
        <f>IF(OR($A2624="",$H2624&lt;&gt;"Ausgabe",P2624=""),0,IF(P2624="x",-$E2624/(COUNTIF($J2624:$Q2624,"x")+1),-$E2624*N(P2624)))</f>
        <v/>
      </c>
      <c r="AE2624" s="34">
        <f>IF(OR($A2624="",$H2624&lt;&gt;"Ausgabe",Q2624=""),0,IF(Q2624="x",-$E2624/(COUNTIF($J2624:$Q2624,"x")+1),-$E2624*N(Q2624)))</f>
        <v/>
      </c>
    </row>
    <row r="2625">
      <c r="A2625" s="30" t="n"/>
      <c r="E2625" s="31" t="n"/>
      <c r="J2625" s="32" t="n"/>
      <c r="K2625" s="32" t="n"/>
      <c r="L2625" s="32" t="n"/>
      <c r="M2625" s="32" t="n"/>
      <c r="N2625" s="32" t="n"/>
      <c r="O2625" s="32" t="n"/>
      <c r="P2625" s="32" t="n"/>
      <c r="Q2625" s="32" t="n"/>
      <c r="U2625" s="31">
        <f>IF($A2625="","",SUM(X2625:AE2625))</f>
        <v/>
      </c>
      <c r="V2625" s="31">
        <f>IF($A2625="","",IF($H2625&lt;&gt;"Ausgabe",0,-$E2625-$U2625))</f>
        <v/>
      </c>
      <c r="W2625" s="33">
        <f>IF($A2625="","",DATE(YEAR($A2625),MONTH($A2625),1))</f>
        <v/>
      </c>
      <c r="X2625" s="34">
        <f>IF(OR($A2625="",$H2625&lt;&gt;"Ausgabe",J2625=""),0,IF(J2625="x",-$E2625/(COUNTIF($J2625:$Q2625,"x")+1),-$E2625*N(J2625)))</f>
        <v/>
      </c>
      <c r="Y2625" s="34">
        <f>IF(OR($A2625="",$H2625&lt;&gt;"Ausgabe",K2625=""),0,IF(K2625="x",-$E2625/(COUNTIF($J2625:$Q2625,"x")+1),-$E2625*N(K2625)))</f>
        <v/>
      </c>
      <c r="Z2625" s="34">
        <f>IF(OR($A2625="",$H2625&lt;&gt;"Ausgabe",L2625=""),0,IF(L2625="x",-$E2625/(COUNTIF($J2625:$Q2625,"x")+1),-$E2625*N(L2625)))</f>
        <v/>
      </c>
      <c r="AA2625" s="34">
        <f>IF(OR($A2625="",$H2625&lt;&gt;"Ausgabe",M2625=""),0,IF(M2625="x",-$E2625/(COUNTIF($J2625:$Q2625,"x")+1),-$E2625*N(M2625)))</f>
        <v/>
      </c>
      <c r="AB2625" s="34">
        <f>IF(OR($A2625="",$H2625&lt;&gt;"Ausgabe",N2625=""),0,IF(N2625="x",-$E2625/(COUNTIF($J2625:$Q2625,"x")+1),-$E2625*N(N2625)))</f>
        <v/>
      </c>
      <c r="AC2625" s="34">
        <f>IF(OR($A2625="",$H2625&lt;&gt;"Ausgabe",O2625=""),0,IF(O2625="x",-$E2625/(COUNTIF($J2625:$Q2625,"x")+1),-$E2625*N(O2625)))</f>
        <v/>
      </c>
      <c r="AD2625" s="34">
        <f>IF(OR($A2625="",$H2625&lt;&gt;"Ausgabe",P2625=""),0,IF(P2625="x",-$E2625/(COUNTIF($J2625:$Q2625,"x")+1),-$E2625*N(P2625)))</f>
        <v/>
      </c>
      <c r="AE2625" s="34">
        <f>IF(OR($A2625="",$H2625&lt;&gt;"Ausgabe",Q2625=""),0,IF(Q2625="x",-$E2625/(COUNTIF($J2625:$Q2625,"x")+1),-$E2625*N(Q2625)))</f>
        <v/>
      </c>
    </row>
    <row r="2626">
      <c r="A2626" s="30" t="n"/>
      <c r="E2626" s="31" t="n"/>
      <c r="J2626" s="32" t="n"/>
      <c r="K2626" s="32" t="n"/>
      <c r="L2626" s="32" t="n"/>
      <c r="M2626" s="32" t="n"/>
      <c r="N2626" s="32" t="n"/>
      <c r="O2626" s="32" t="n"/>
      <c r="P2626" s="32" t="n"/>
      <c r="Q2626" s="32" t="n"/>
      <c r="U2626" s="31">
        <f>IF($A2626="","",SUM(X2626:AE2626))</f>
        <v/>
      </c>
      <c r="V2626" s="31">
        <f>IF($A2626="","",IF($H2626&lt;&gt;"Ausgabe",0,-$E2626-$U2626))</f>
        <v/>
      </c>
      <c r="W2626" s="33">
        <f>IF($A2626="","",DATE(YEAR($A2626),MONTH($A2626),1))</f>
        <v/>
      </c>
      <c r="X2626" s="34">
        <f>IF(OR($A2626="",$H2626&lt;&gt;"Ausgabe",J2626=""),0,IF(J2626="x",-$E2626/(COUNTIF($J2626:$Q2626,"x")+1),-$E2626*N(J2626)))</f>
        <v/>
      </c>
      <c r="Y2626" s="34">
        <f>IF(OR($A2626="",$H2626&lt;&gt;"Ausgabe",K2626=""),0,IF(K2626="x",-$E2626/(COUNTIF($J2626:$Q2626,"x")+1),-$E2626*N(K2626)))</f>
        <v/>
      </c>
      <c r="Z2626" s="34">
        <f>IF(OR($A2626="",$H2626&lt;&gt;"Ausgabe",L2626=""),0,IF(L2626="x",-$E2626/(COUNTIF($J2626:$Q2626,"x")+1),-$E2626*N(L2626)))</f>
        <v/>
      </c>
      <c r="AA2626" s="34">
        <f>IF(OR($A2626="",$H2626&lt;&gt;"Ausgabe",M2626=""),0,IF(M2626="x",-$E2626/(COUNTIF($J2626:$Q2626,"x")+1),-$E2626*N(M2626)))</f>
        <v/>
      </c>
      <c r="AB2626" s="34">
        <f>IF(OR($A2626="",$H2626&lt;&gt;"Ausgabe",N2626=""),0,IF(N2626="x",-$E2626/(COUNTIF($J2626:$Q2626,"x")+1),-$E2626*N(N2626)))</f>
        <v/>
      </c>
      <c r="AC2626" s="34">
        <f>IF(OR($A2626="",$H2626&lt;&gt;"Ausgabe",O2626=""),0,IF(O2626="x",-$E2626/(COUNTIF($J2626:$Q2626,"x")+1),-$E2626*N(O2626)))</f>
        <v/>
      </c>
      <c r="AD2626" s="34">
        <f>IF(OR($A2626="",$H2626&lt;&gt;"Ausgabe",P2626=""),0,IF(P2626="x",-$E2626/(COUNTIF($J2626:$Q2626,"x")+1),-$E2626*N(P2626)))</f>
        <v/>
      </c>
      <c r="AE2626" s="34">
        <f>IF(OR($A2626="",$H2626&lt;&gt;"Ausgabe",Q2626=""),0,IF(Q2626="x",-$E2626/(COUNTIF($J2626:$Q2626,"x")+1),-$E2626*N(Q2626)))</f>
        <v/>
      </c>
    </row>
    <row r="2627">
      <c r="A2627" s="30" t="n"/>
      <c r="E2627" s="31" t="n"/>
      <c r="J2627" s="32" t="n"/>
      <c r="K2627" s="32" t="n"/>
      <c r="L2627" s="32" t="n"/>
      <c r="M2627" s="32" t="n"/>
      <c r="N2627" s="32" t="n"/>
      <c r="O2627" s="32" t="n"/>
      <c r="P2627" s="32" t="n"/>
      <c r="Q2627" s="32" t="n"/>
      <c r="U2627" s="31">
        <f>IF($A2627="","",SUM(X2627:AE2627))</f>
        <v/>
      </c>
      <c r="V2627" s="31">
        <f>IF($A2627="","",IF($H2627&lt;&gt;"Ausgabe",0,-$E2627-$U2627))</f>
        <v/>
      </c>
      <c r="W2627" s="33">
        <f>IF($A2627="","",DATE(YEAR($A2627),MONTH($A2627),1))</f>
        <v/>
      </c>
      <c r="X2627" s="34">
        <f>IF(OR($A2627="",$H2627&lt;&gt;"Ausgabe",J2627=""),0,IF(J2627="x",-$E2627/(COUNTIF($J2627:$Q2627,"x")+1),-$E2627*N(J2627)))</f>
        <v/>
      </c>
      <c r="Y2627" s="34">
        <f>IF(OR($A2627="",$H2627&lt;&gt;"Ausgabe",K2627=""),0,IF(K2627="x",-$E2627/(COUNTIF($J2627:$Q2627,"x")+1),-$E2627*N(K2627)))</f>
        <v/>
      </c>
      <c r="Z2627" s="34">
        <f>IF(OR($A2627="",$H2627&lt;&gt;"Ausgabe",L2627=""),0,IF(L2627="x",-$E2627/(COUNTIF($J2627:$Q2627,"x")+1),-$E2627*N(L2627)))</f>
        <v/>
      </c>
      <c r="AA2627" s="34">
        <f>IF(OR($A2627="",$H2627&lt;&gt;"Ausgabe",M2627=""),0,IF(M2627="x",-$E2627/(COUNTIF($J2627:$Q2627,"x")+1),-$E2627*N(M2627)))</f>
        <v/>
      </c>
      <c r="AB2627" s="34">
        <f>IF(OR($A2627="",$H2627&lt;&gt;"Ausgabe",N2627=""),0,IF(N2627="x",-$E2627/(COUNTIF($J2627:$Q2627,"x")+1),-$E2627*N(N2627)))</f>
        <v/>
      </c>
      <c r="AC2627" s="34">
        <f>IF(OR($A2627="",$H2627&lt;&gt;"Ausgabe",O2627=""),0,IF(O2627="x",-$E2627/(COUNTIF($J2627:$Q2627,"x")+1),-$E2627*N(O2627)))</f>
        <v/>
      </c>
      <c r="AD2627" s="34">
        <f>IF(OR($A2627="",$H2627&lt;&gt;"Ausgabe",P2627=""),0,IF(P2627="x",-$E2627/(COUNTIF($J2627:$Q2627,"x")+1),-$E2627*N(P2627)))</f>
        <v/>
      </c>
      <c r="AE2627" s="34">
        <f>IF(OR($A2627="",$H2627&lt;&gt;"Ausgabe",Q2627=""),0,IF(Q2627="x",-$E2627/(COUNTIF($J2627:$Q2627,"x")+1),-$E2627*N(Q2627)))</f>
        <v/>
      </c>
    </row>
    <row r="2628">
      <c r="A2628" s="30" t="n"/>
      <c r="E2628" s="31" t="n"/>
      <c r="J2628" s="32" t="n"/>
      <c r="K2628" s="32" t="n"/>
      <c r="L2628" s="32" t="n"/>
      <c r="M2628" s="32" t="n"/>
      <c r="N2628" s="32" t="n"/>
      <c r="O2628" s="32" t="n"/>
      <c r="P2628" s="32" t="n"/>
      <c r="Q2628" s="32" t="n"/>
      <c r="U2628" s="31">
        <f>IF($A2628="","",SUM(X2628:AE2628))</f>
        <v/>
      </c>
      <c r="V2628" s="31">
        <f>IF($A2628="","",IF($H2628&lt;&gt;"Ausgabe",0,-$E2628-$U2628))</f>
        <v/>
      </c>
      <c r="W2628" s="33">
        <f>IF($A2628="","",DATE(YEAR($A2628),MONTH($A2628),1))</f>
        <v/>
      </c>
      <c r="X2628" s="34">
        <f>IF(OR($A2628="",$H2628&lt;&gt;"Ausgabe",J2628=""),0,IF(J2628="x",-$E2628/(COUNTIF($J2628:$Q2628,"x")+1),-$E2628*N(J2628)))</f>
        <v/>
      </c>
      <c r="Y2628" s="34">
        <f>IF(OR($A2628="",$H2628&lt;&gt;"Ausgabe",K2628=""),0,IF(K2628="x",-$E2628/(COUNTIF($J2628:$Q2628,"x")+1),-$E2628*N(K2628)))</f>
        <v/>
      </c>
      <c r="Z2628" s="34">
        <f>IF(OR($A2628="",$H2628&lt;&gt;"Ausgabe",L2628=""),0,IF(L2628="x",-$E2628/(COUNTIF($J2628:$Q2628,"x")+1),-$E2628*N(L2628)))</f>
        <v/>
      </c>
      <c r="AA2628" s="34">
        <f>IF(OR($A2628="",$H2628&lt;&gt;"Ausgabe",M2628=""),0,IF(M2628="x",-$E2628/(COUNTIF($J2628:$Q2628,"x")+1),-$E2628*N(M2628)))</f>
        <v/>
      </c>
      <c r="AB2628" s="34">
        <f>IF(OR($A2628="",$H2628&lt;&gt;"Ausgabe",N2628=""),0,IF(N2628="x",-$E2628/(COUNTIF($J2628:$Q2628,"x")+1),-$E2628*N(N2628)))</f>
        <v/>
      </c>
      <c r="AC2628" s="34">
        <f>IF(OR($A2628="",$H2628&lt;&gt;"Ausgabe",O2628=""),0,IF(O2628="x",-$E2628/(COUNTIF($J2628:$Q2628,"x")+1),-$E2628*N(O2628)))</f>
        <v/>
      </c>
      <c r="AD2628" s="34">
        <f>IF(OR($A2628="",$H2628&lt;&gt;"Ausgabe",P2628=""),0,IF(P2628="x",-$E2628/(COUNTIF($J2628:$Q2628,"x")+1),-$E2628*N(P2628)))</f>
        <v/>
      </c>
      <c r="AE2628" s="34">
        <f>IF(OR($A2628="",$H2628&lt;&gt;"Ausgabe",Q2628=""),0,IF(Q2628="x",-$E2628/(COUNTIF($J2628:$Q2628,"x")+1),-$E2628*N(Q2628)))</f>
        <v/>
      </c>
    </row>
    <row r="2629">
      <c r="A2629" s="30" t="n"/>
      <c r="E2629" s="31" t="n"/>
      <c r="J2629" s="32" t="n"/>
      <c r="K2629" s="32" t="n"/>
      <c r="L2629" s="32" t="n"/>
      <c r="M2629" s="32" t="n"/>
      <c r="N2629" s="32" t="n"/>
      <c r="O2629" s="32" t="n"/>
      <c r="P2629" s="32" t="n"/>
      <c r="Q2629" s="32" t="n"/>
      <c r="U2629" s="31">
        <f>IF($A2629="","",SUM(X2629:AE2629))</f>
        <v/>
      </c>
      <c r="V2629" s="31">
        <f>IF($A2629="","",IF($H2629&lt;&gt;"Ausgabe",0,-$E2629-$U2629))</f>
        <v/>
      </c>
      <c r="W2629" s="33">
        <f>IF($A2629="","",DATE(YEAR($A2629),MONTH($A2629),1))</f>
        <v/>
      </c>
      <c r="X2629" s="34">
        <f>IF(OR($A2629="",$H2629&lt;&gt;"Ausgabe",J2629=""),0,IF(J2629="x",-$E2629/(COUNTIF($J2629:$Q2629,"x")+1),-$E2629*N(J2629)))</f>
        <v/>
      </c>
      <c r="Y2629" s="34">
        <f>IF(OR($A2629="",$H2629&lt;&gt;"Ausgabe",K2629=""),0,IF(K2629="x",-$E2629/(COUNTIF($J2629:$Q2629,"x")+1),-$E2629*N(K2629)))</f>
        <v/>
      </c>
      <c r="Z2629" s="34">
        <f>IF(OR($A2629="",$H2629&lt;&gt;"Ausgabe",L2629=""),0,IF(L2629="x",-$E2629/(COUNTIF($J2629:$Q2629,"x")+1),-$E2629*N(L2629)))</f>
        <v/>
      </c>
      <c r="AA2629" s="34">
        <f>IF(OR($A2629="",$H2629&lt;&gt;"Ausgabe",M2629=""),0,IF(M2629="x",-$E2629/(COUNTIF($J2629:$Q2629,"x")+1),-$E2629*N(M2629)))</f>
        <v/>
      </c>
      <c r="AB2629" s="34">
        <f>IF(OR($A2629="",$H2629&lt;&gt;"Ausgabe",N2629=""),0,IF(N2629="x",-$E2629/(COUNTIF($J2629:$Q2629,"x")+1),-$E2629*N(N2629)))</f>
        <v/>
      </c>
      <c r="AC2629" s="34">
        <f>IF(OR($A2629="",$H2629&lt;&gt;"Ausgabe",O2629=""),0,IF(O2629="x",-$E2629/(COUNTIF($J2629:$Q2629,"x")+1),-$E2629*N(O2629)))</f>
        <v/>
      </c>
      <c r="AD2629" s="34">
        <f>IF(OR($A2629="",$H2629&lt;&gt;"Ausgabe",P2629=""),0,IF(P2629="x",-$E2629/(COUNTIF($J2629:$Q2629,"x")+1),-$E2629*N(P2629)))</f>
        <v/>
      </c>
      <c r="AE2629" s="34">
        <f>IF(OR($A2629="",$H2629&lt;&gt;"Ausgabe",Q2629=""),0,IF(Q2629="x",-$E2629/(COUNTIF($J2629:$Q2629,"x")+1),-$E2629*N(Q2629)))</f>
        <v/>
      </c>
    </row>
    <row r="2630">
      <c r="A2630" s="30" t="n"/>
      <c r="E2630" s="31" t="n"/>
      <c r="J2630" s="32" t="n"/>
      <c r="K2630" s="32" t="n"/>
      <c r="L2630" s="32" t="n"/>
      <c r="M2630" s="32" t="n"/>
      <c r="N2630" s="32" t="n"/>
      <c r="O2630" s="32" t="n"/>
      <c r="P2630" s="32" t="n"/>
      <c r="Q2630" s="32" t="n"/>
      <c r="U2630" s="31">
        <f>IF($A2630="","",SUM(X2630:AE2630))</f>
        <v/>
      </c>
      <c r="V2630" s="31">
        <f>IF($A2630="","",IF($H2630&lt;&gt;"Ausgabe",0,-$E2630-$U2630))</f>
        <v/>
      </c>
      <c r="W2630" s="33">
        <f>IF($A2630="","",DATE(YEAR($A2630),MONTH($A2630),1))</f>
        <v/>
      </c>
      <c r="X2630" s="34">
        <f>IF(OR($A2630="",$H2630&lt;&gt;"Ausgabe",J2630=""),0,IF(J2630="x",-$E2630/(COUNTIF($J2630:$Q2630,"x")+1),-$E2630*N(J2630)))</f>
        <v/>
      </c>
      <c r="Y2630" s="34">
        <f>IF(OR($A2630="",$H2630&lt;&gt;"Ausgabe",K2630=""),0,IF(K2630="x",-$E2630/(COUNTIF($J2630:$Q2630,"x")+1),-$E2630*N(K2630)))</f>
        <v/>
      </c>
      <c r="Z2630" s="34">
        <f>IF(OR($A2630="",$H2630&lt;&gt;"Ausgabe",L2630=""),0,IF(L2630="x",-$E2630/(COUNTIF($J2630:$Q2630,"x")+1),-$E2630*N(L2630)))</f>
        <v/>
      </c>
      <c r="AA2630" s="34">
        <f>IF(OR($A2630="",$H2630&lt;&gt;"Ausgabe",M2630=""),0,IF(M2630="x",-$E2630/(COUNTIF($J2630:$Q2630,"x")+1),-$E2630*N(M2630)))</f>
        <v/>
      </c>
      <c r="AB2630" s="34">
        <f>IF(OR($A2630="",$H2630&lt;&gt;"Ausgabe",N2630=""),0,IF(N2630="x",-$E2630/(COUNTIF($J2630:$Q2630,"x")+1),-$E2630*N(N2630)))</f>
        <v/>
      </c>
      <c r="AC2630" s="34">
        <f>IF(OR($A2630="",$H2630&lt;&gt;"Ausgabe",O2630=""),0,IF(O2630="x",-$E2630/(COUNTIF($J2630:$Q2630,"x")+1),-$E2630*N(O2630)))</f>
        <v/>
      </c>
      <c r="AD2630" s="34">
        <f>IF(OR($A2630="",$H2630&lt;&gt;"Ausgabe",P2630=""),0,IF(P2630="x",-$E2630/(COUNTIF($J2630:$Q2630,"x")+1),-$E2630*N(P2630)))</f>
        <v/>
      </c>
      <c r="AE2630" s="34">
        <f>IF(OR($A2630="",$H2630&lt;&gt;"Ausgabe",Q2630=""),0,IF(Q2630="x",-$E2630/(COUNTIF($J2630:$Q2630,"x")+1),-$E2630*N(Q2630)))</f>
        <v/>
      </c>
    </row>
    <row r="2631">
      <c r="A2631" s="30" t="n"/>
      <c r="E2631" s="31" t="n"/>
      <c r="J2631" s="32" t="n"/>
      <c r="K2631" s="32" t="n"/>
      <c r="L2631" s="32" t="n"/>
      <c r="M2631" s="32" t="n"/>
      <c r="N2631" s="32" t="n"/>
      <c r="O2631" s="32" t="n"/>
      <c r="P2631" s="32" t="n"/>
      <c r="Q2631" s="32" t="n"/>
      <c r="U2631" s="31">
        <f>IF($A2631="","",SUM(X2631:AE2631))</f>
        <v/>
      </c>
      <c r="V2631" s="31">
        <f>IF($A2631="","",IF($H2631&lt;&gt;"Ausgabe",0,-$E2631-$U2631))</f>
        <v/>
      </c>
      <c r="W2631" s="33">
        <f>IF($A2631="","",DATE(YEAR($A2631),MONTH($A2631),1))</f>
        <v/>
      </c>
      <c r="X2631" s="34">
        <f>IF(OR($A2631="",$H2631&lt;&gt;"Ausgabe",J2631=""),0,IF(J2631="x",-$E2631/(COUNTIF($J2631:$Q2631,"x")+1),-$E2631*N(J2631)))</f>
        <v/>
      </c>
      <c r="Y2631" s="34">
        <f>IF(OR($A2631="",$H2631&lt;&gt;"Ausgabe",K2631=""),0,IF(K2631="x",-$E2631/(COUNTIF($J2631:$Q2631,"x")+1),-$E2631*N(K2631)))</f>
        <v/>
      </c>
      <c r="Z2631" s="34">
        <f>IF(OR($A2631="",$H2631&lt;&gt;"Ausgabe",L2631=""),0,IF(L2631="x",-$E2631/(COUNTIF($J2631:$Q2631,"x")+1),-$E2631*N(L2631)))</f>
        <v/>
      </c>
      <c r="AA2631" s="34">
        <f>IF(OR($A2631="",$H2631&lt;&gt;"Ausgabe",M2631=""),0,IF(M2631="x",-$E2631/(COUNTIF($J2631:$Q2631,"x")+1),-$E2631*N(M2631)))</f>
        <v/>
      </c>
      <c r="AB2631" s="34">
        <f>IF(OR($A2631="",$H2631&lt;&gt;"Ausgabe",N2631=""),0,IF(N2631="x",-$E2631/(COUNTIF($J2631:$Q2631,"x")+1),-$E2631*N(N2631)))</f>
        <v/>
      </c>
      <c r="AC2631" s="34">
        <f>IF(OR($A2631="",$H2631&lt;&gt;"Ausgabe",O2631=""),0,IF(O2631="x",-$E2631/(COUNTIF($J2631:$Q2631,"x")+1),-$E2631*N(O2631)))</f>
        <v/>
      </c>
      <c r="AD2631" s="34">
        <f>IF(OR($A2631="",$H2631&lt;&gt;"Ausgabe",P2631=""),0,IF(P2631="x",-$E2631/(COUNTIF($J2631:$Q2631,"x")+1),-$E2631*N(P2631)))</f>
        <v/>
      </c>
      <c r="AE2631" s="34">
        <f>IF(OR($A2631="",$H2631&lt;&gt;"Ausgabe",Q2631=""),0,IF(Q2631="x",-$E2631/(COUNTIF($J2631:$Q2631,"x")+1),-$E2631*N(Q2631)))</f>
        <v/>
      </c>
    </row>
    <row r="2632">
      <c r="A2632" s="30" t="n"/>
      <c r="E2632" s="31" t="n"/>
      <c r="J2632" s="32" t="n"/>
      <c r="K2632" s="32" t="n"/>
      <c r="L2632" s="32" t="n"/>
      <c r="M2632" s="32" t="n"/>
      <c r="N2632" s="32" t="n"/>
      <c r="O2632" s="32" t="n"/>
      <c r="P2632" s="32" t="n"/>
      <c r="Q2632" s="32" t="n"/>
      <c r="U2632" s="31">
        <f>IF($A2632="","",SUM(X2632:AE2632))</f>
        <v/>
      </c>
      <c r="V2632" s="31">
        <f>IF($A2632="","",IF($H2632&lt;&gt;"Ausgabe",0,-$E2632-$U2632))</f>
        <v/>
      </c>
      <c r="W2632" s="33">
        <f>IF($A2632="","",DATE(YEAR($A2632),MONTH($A2632),1))</f>
        <v/>
      </c>
      <c r="X2632" s="34">
        <f>IF(OR($A2632="",$H2632&lt;&gt;"Ausgabe",J2632=""),0,IF(J2632="x",-$E2632/(COUNTIF($J2632:$Q2632,"x")+1),-$E2632*N(J2632)))</f>
        <v/>
      </c>
      <c r="Y2632" s="34">
        <f>IF(OR($A2632="",$H2632&lt;&gt;"Ausgabe",K2632=""),0,IF(K2632="x",-$E2632/(COUNTIF($J2632:$Q2632,"x")+1),-$E2632*N(K2632)))</f>
        <v/>
      </c>
      <c r="Z2632" s="34">
        <f>IF(OR($A2632="",$H2632&lt;&gt;"Ausgabe",L2632=""),0,IF(L2632="x",-$E2632/(COUNTIF($J2632:$Q2632,"x")+1),-$E2632*N(L2632)))</f>
        <v/>
      </c>
      <c r="AA2632" s="34">
        <f>IF(OR($A2632="",$H2632&lt;&gt;"Ausgabe",M2632=""),0,IF(M2632="x",-$E2632/(COUNTIF($J2632:$Q2632,"x")+1),-$E2632*N(M2632)))</f>
        <v/>
      </c>
      <c r="AB2632" s="34">
        <f>IF(OR($A2632="",$H2632&lt;&gt;"Ausgabe",N2632=""),0,IF(N2632="x",-$E2632/(COUNTIF($J2632:$Q2632,"x")+1),-$E2632*N(N2632)))</f>
        <v/>
      </c>
      <c r="AC2632" s="34">
        <f>IF(OR($A2632="",$H2632&lt;&gt;"Ausgabe",O2632=""),0,IF(O2632="x",-$E2632/(COUNTIF($J2632:$Q2632,"x")+1),-$E2632*N(O2632)))</f>
        <v/>
      </c>
      <c r="AD2632" s="34">
        <f>IF(OR($A2632="",$H2632&lt;&gt;"Ausgabe",P2632=""),0,IF(P2632="x",-$E2632/(COUNTIF($J2632:$Q2632,"x")+1),-$E2632*N(P2632)))</f>
        <v/>
      </c>
      <c r="AE2632" s="34">
        <f>IF(OR($A2632="",$H2632&lt;&gt;"Ausgabe",Q2632=""),0,IF(Q2632="x",-$E2632/(COUNTIF($J2632:$Q2632,"x")+1),-$E2632*N(Q2632)))</f>
        <v/>
      </c>
    </row>
    <row r="2633">
      <c r="A2633" s="30" t="n"/>
      <c r="E2633" s="31" t="n"/>
      <c r="J2633" s="32" t="n"/>
      <c r="K2633" s="32" t="n"/>
      <c r="L2633" s="32" t="n"/>
      <c r="M2633" s="32" t="n"/>
      <c r="N2633" s="32" t="n"/>
      <c r="O2633" s="32" t="n"/>
      <c r="P2633" s="32" t="n"/>
      <c r="Q2633" s="32" t="n"/>
      <c r="U2633" s="31">
        <f>IF($A2633="","",SUM(X2633:AE2633))</f>
        <v/>
      </c>
      <c r="V2633" s="31">
        <f>IF($A2633="","",IF($H2633&lt;&gt;"Ausgabe",0,-$E2633-$U2633))</f>
        <v/>
      </c>
      <c r="W2633" s="33">
        <f>IF($A2633="","",DATE(YEAR($A2633),MONTH($A2633),1))</f>
        <v/>
      </c>
      <c r="X2633" s="34">
        <f>IF(OR($A2633="",$H2633&lt;&gt;"Ausgabe",J2633=""),0,IF(J2633="x",-$E2633/(COUNTIF($J2633:$Q2633,"x")+1),-$E2633*N(J2633)))</f>
        <v/>
      </c>
      <c r="Y2633" s="34">
        <f>IF(OR($A2633="",$H2633&lt;&gt;"Ausgabe",K2633=""),0,IF(K2633="x",-$E2633/(COUNTIF($J2633:$Q2633,"x")+1),-$E2633*N(K2633)))</f>
        <v/>
      </c>
      <c r="Z2633" s="34">
        <f>IF(OR($A2633="",$H2633&lt;&gt;"Ausgabe",L2633=""),0,IF(L2633="x",-$E2633/(COUNTIF($J2633:$Q2633,"x")+1),-$E2633*N(L2633)))</f>
        <v/>
      </c>
      <c r="AA2633" s="34">
        <f>IF(OR($A2633="",$H2633&lt;&gt;"Ausgabe",M2633=""),0,IF(M2633="x",-$E2633/(COUNTIF($J2633:$Q2633,"x")+1),-$E2633*N(M2633)))</f>
        <v/>
      </c>
      <c r="AB2633" s="34">
        <f>IF(OR($A2633="",$H2633&lt;&gt;"Ausgabe",N2633=""),0,IF(N2633="x",-$E2633/(COUNTIF($J2633:$Q2633,"x")+1),-$E2633*N(N2633)))</f>
        <v/>
      </c>
      <c r="AC2633" s="34">
        <f>IF(OR($A2633="",$H2633&lt;&gt;"Ausgabe",O2633=""),0,IF(O2633="x",-$E2633/(COUNTIF($J2633:$Q2633,"x")+1),-$E2633*N(O2633)))</f>
        <v/>
      </c>
      <c r="AD2633" s="34">
        <f>IF(OR($A2633="",$H2633&lt;&gt;"Ausgabe",P2633=""),0,IF(P2633="x",-$E2633/(COUNTIF($J2633:$Q2633,"x")+1),-$E2633*N(P2633)))</f>
        <v/>
      </c>
      <c r="AE2633" s="34">
        <f>IF(OR($A2633="",$H2633&lt;&gt;"Ausgabe",Q2633=""),0,IF(Q2633="x",-$E2633/(COUNTIF($J2633:$Q2633,"x")+1),-$E2633*N(Q2633)))</f>
        <v/>
      </c>
    </row>
    <row r="2634">
      <c r="A2634" s="30" t="n"/>
      <c r="E2634" s="31" t="n"/>
      <c r="J2634" s="32" t="n"/>
      <c r="K2634" s="32" t="n"/>
      <c r="L2634" s="32" t="n"/>
      <c r="M2634" s="32" t="n"/>
      <c r="N2634" s="32" t="n"/>
      <c r="O2634" s="32" t="n"/>
      <c r="P2634" s="32" t="n"/>
      <c r="Q2634" s="32" t="n"/>
      <c r="U2634" s="31">
        <f>IF($A2634="","",SUM(X2634:AE2634))</f>
        <v/>
      </c>
      <c r="V2634" s="31">
        <f>IF($A2634="","",IF($H2634&lt;&gt;"Ausgabe",0,-$E2634-$U2634))</f>
        <v/>
      </c>
      <c r="W2634" s="33">
        <f>IF($A2634="","",DATE(YEAR($A2634),MONTH($A2634),1))</f>
        <v/>
      </c>
      <c r="X2634" s="34">
        <f>IF(OR($A2634="",$H2634&lt;&gt;"Ausgabe",J2634=""),0,IF(J2634="x",-$E2634/(COUNTIF($J2634:$Q2634,"x")+1),-$E2634*N(J2634)))</f>
        <v/>
      </c>
      <c r="Y2634" s="34">
        <f>IF(OR($A2634="",$H2634&lt;&gt;"Ausgabe",K2634=""),0,IF(K2634="x",-$E2634/(COUNTIF($J2634:$Q2634,"x")+1),-$E2634*N(K2634)))</f>
        <v/>
      </c>
      <c r="Z2634" s="34">
        <f>IF(OR($A2634="",$H2634&lt;&gt;"Ausgabe",L2634=""),0,IF(L2634="x",-$E2634/(COUNTIF($J2634:$Q2634,"x")+1),-$E2634*N(L2634)))</f>
        <v/>
      </c>
      <c r="AA2634" s="34">
        <f>IF(OR($A2634="",$H2634&lt;&gt;"Ausgabe",M2634=""),0,IF(M2634="x",-$E2634/(COUNTIF($J2634:$Q2634,"x")+1),-$E2634*N(M2634)))</f>
        <v/>
      </c>
      <c r="AB2634" s="34">
        <f>IF(OR($A2634="",$H2634&lt;&gt;"Ausgabe",N2634=""),0,IF(N2634="x",-$E2634/(COUNTIF($J2634:$Q2634,"x")+1),-$E2634*N(N2634)))</f>
        <v/>
      </c>
      <c r="AC2634" s="34">
        <f>IF(OR($A2634="",$H2634&lt;&gt;"Ausgabe",O2634=""),0,IF(O2634="x",-$E2634/(COUNTIF($J2634:$Q2634,"x")+1),-$E2634*N(O2634)))</f>
        <v/>
      </c>
      <c r="AD2634" s="34">
        <f>IF(OR($A2634="",$H2634&lt;&gt;"Ausgabe",P2634=""),0,IF(P2634="x",-$E2634/(COUNTIF($J2634:$Q2634,"x")+1),-$E2634*N(P2634)))</f>
        <v/>
      </c>
      <c r="AE2634" s="34">
        <f>IF(OR($A2634="",$H2634&lt;&gt;"Ausgabe",Q2634=""),0,IF(Q2634="x",-$E2634/(COUNTIF($J2634:$Q2634,"x")+1),-$E2634*N(Q2634)))</f>
        <v/>
      </c>
    </row>
    <row r="2635">
      <c r="A2635" s="30" t="n"/>
      <c r="E2635" s="31" t="n"/>
      <c r="J2635" s="32" t="n"/>
      <c r="K2635" s="32" t="n"/>
      <c r="L2635" s="32" t="n"/>
      <c r="M2635" s="32" t="n"/>
      <c r="N2635" s="32" t="n"/>
      <c r="O2635" s="32" t="n"/>
      <c r="P2635" s="32" t="n"/>
      <c r="Q2635" s="32" t="n"/>
      <c r="U2635" s="31">
        <f>IF($A2635="","",SUM(X2635:AE2635))</f>
        <v/>
      </c>
      <c r="V2635" s="31">
        <f>IF($A2635="","",IF($H2635&lt;&gt;"Ausgabe",0,-$E2635-$U2635))</f>
        <v/>
      </c>
      <c r="W2635" s="33">
        <f>IF($A2635="","",DATE(YEAR($A2635),MONTH($A2635),1))</f>
        <v/>
      </c>
      <c r="X2635" s="34">
        <f>IF(OR($A2635="",$H2635&lt;&gt;"Ausgabe",J2635=""),0,IF(J2635="x",-$E2635/(COUNTIF($J2635:$Q2635,"x")+1),-$E2635*N(J2635)))</f>
        <v/>
      </c>
      <c r="Y2635" s="34">
        <f>IF(OR($A2635="",$H2635&lt;&gt;"Ausgabe",K2635=""),0,IF(K2635="x",-$E2635/(COUNTIF($J2635:$Q2635,"x")+1),-$E2635*N(K2635)))</f>
        <v/>
      </c>
      <c r="Z2635" s="34">
        <f>IF(OR($A2635="",$H2635&lt;&gt;"Ausgabe",L2635=""),0,IF(L2635="x",-$E2635/(COUNTIF($J2635:$Q2635,"x")+1),-$E2635*N(L2635)))</f>
        <v/>
      </c>
      <c r="AA2635" s="34">
        <f>IF(OR($A2635="",$H2635&lt;&gt;"Ausgabe",M2635=""),0,IF(M2635="x",-$E2635/(COUNTIF($J2635:$Q2635,"x")+1),-$E2635*N(M2635)))</f>
        <v/>
      </c>
      <c r="AB2635" s="34">
        <f>IF(OR($A2635="",$H2635&lt;&gt;"Ausgabe",N2635=""),0,IF(N2635="x",-$E2635/(COUNTIF($J2635:$Q2635,"x")+1),-$E2635*N(N2635)))</f>
        <v/>
      </c>
      <c r="AC2635" s="34">
        <f>IF(OR($A2635="",$H2635&lt;&gt;"Ausgabe",O2635=""),0,IF(O2635="x",-$E2635/(COUNTIF($J2635:$Q2635,"x")+1),-$E2635*N(O2635)))</f>
        <v/>
      </c>
      <c r="AD2635" s="34">
        <f>IF(OR($A2635="",$H2635&lt;&gt;"Ausgabe",P2635=""),0,IF(P2635="x",-$E2635/(COUNTIF($J2635:$Q2635,"x")+1),-$E2635*N(P2635)))</f>
        <v/>
      </c>
      <c r="AE2635" s="34">
        <f>IF(OR($A2635="",$H2635&lt;&gt;"Ausgabe",Q2635=""),0,IF(Q2635="x",-$E2635/(COUNTIF($J2635:$Q2635,"x")+1),-$E2635*N(Q2635)))</f>
        <v/>
      </c>
    </row>
    <row r="2636">
      <c r="A2636" s="30" t="n"/>
      <c r="E2636" s="31" t="n"/>
      <c r="J2636" s="32" t="n"/>
      <c r="K2636" s="32" t="n"/>
      <c r="L2636" s="32" t="n"/>
      <c r="M2636" s="32" t="n"/>
      <c r="N2636" s="32" t="n"/>
      <c r="O2636" s="32" t="n"/>
      <c r="P2636" s="32" t="n"/>
      <c r="Q2636" s="32" t="n"/>
      <c r="U2636" s="31">
        <f>IF($A2636="","",SUM(X2636:AE2636))</f>
        <v/>
      </c>
      <c r="V2636" s="31">
        <f>IF($A2636="","",IF($H2636&lt;&gt;"Ausgabe",0,-$E2636-$U2636))</f>
        <v/>
      </c>
      <c r="W2636" s="33">
        <f>IF($A2636="","",DATE(YEAR($A2636),MONTH($A2636),1))</f>
        <v/>
      </c>
      <c r="X2636" s="34">
        <f>IF(OR($A2636="",$H2636&lt;&gt;"Ausgabe",J2636=""),0,IF(J2636="x",-$E2636/(COUNTIF($J2636:$Q2636,"x")+1),-$E2636*N(J2636)))</f>
        <v/>
      </c>
      <c r="Y2636" s="34">
        <f>IF(OR($A2636="",$H2636&lt;&gt;"Ausgabe",K2636=""),0,IF(K2636="x",-$E2636/(COUNTIF($J2636:$Q2636,"x")+1),-$E2636*N(K2636)))</f>
        <v/>
      </c>
      <c r="Z2636" s="34">
        <f>IF(OR($A2636="",$H2636&lt;&gt;"Ausgabe",L2636=""),0,IF(L2636="x",-$E2636/(COUNTIF($J2636:$Q2636,"x")+1),-$E2636*N(L2636)))</f>
        <v/>
      </c>
      <c r="AA2636" s="34">
        <f>IF(OR($A2636="",$H2636&lt;&gt;"Ausgabe",M2636=""),0,IF(M2636="x",-$E2636/(COUNTIF($J2636:$Q2636,"x")+1),-$E2636*N(M2636)))</f>
        <v/>
      </c>
      <c r="AB2636" s="34">
        <f>IF(OR($A2636="",$H2636&lt;&gt;"Ausgabe",N2636=""),0,IF(N2636="x",-$E2636/(COUNTIF($J2636:$Q2636,"x")+1),-$E2636*N(N2636)))</f>
        <v/>
      </c>
      <c r="AC2636" s="34">
        <f>IF(OR($A2636="",$H2636&lt;&gt;"Ausgabe",O2636=""),0,IF(O2636="x",-$E2636/(COUNTIF($J2636:$Q2636,"x")+1),-$E2636*N(O2636)))</f>
        <v/>
      </c>
      <c r="AD2636" s="34">
        <f>IF(OR($A2636="",$H2636&lt;&gt;"Ausgabe",P2636=""),0,IF(P2636="x",-$E2636/(COUNTIF($J2636:$Q2636,"x")+1),-$E2636*N(P2636)))</f>
        <v/>
      </c>
      <c r="AE2636" s="34">
        <f>IF(OR($A2636="",$H2636&lt;&gt;"Ausgabe",Q2636=""),0,IF(Q2636="x",-$E2636/(COUNTIF($J2636:$Q2636,"x")+1),-$E2636*N(Q2636)))</f>
        <v/>
      </c>
    </row>
    <row r="2637">
      <c r="A2637" s="30" t="n"/>
      <c r="E2637" s="31" t="n"/>
      <c r="J2637" s="32" t="n"/>
      <c r="K2637" s="32" t="n"/>
      <c r="L2637" s="32" t="n"/>
      <c r="M2637" s="32" t="n"/>
      <c r="N2637" s="32" t="n"/>
      <c r="O2637" s="32" t="n"/>
      <c r="P2637" s="32" t="n"/>
      <c r="Q2637" s="32" t="n"/>
      <c r="U2637" s="31">
        <f>IF($A2637="","",SUM(X2637:AE2637))</f>
        <v/>
      </c>
      <c r="V2637" s="31">
        <f>IF($A2637="","",IF($H2637&lt;&gt;"Ausgabe",0,-$E2637-$U2637))</f>
        <v/>
      </c>
      <c r="W2637" s="33">
        <f>IF($A2637="","",DATE(YEAR($A2637),MONTH($A2637),1))</f>
        <v/>
      </c>
      <c r="X2637" s="34">
        <f>IF(OR($A2637="",$H2637&lt;&gt;"Ausgabe",J2637=""),0,IF(J2637="x",-$E2637/(COUNTIF($J2637:$Q2637,"x")+1),-$E2637*N(J2637)))</f>
        <v/>
      </c>
      <c r="Y2637" s="34">
        <f>IF(OR($A2637="",$H2637&lt;&gt;"Ausgabe",K2637=""),0,IF(K2637="x",-$E2637/(COUNTIF($J2637:$Q2637,"x")+1),-$E2637*N(K2637)))</f>
        <v/>
      </c>
      <c r="Z2637" s="34">
        <f>IF(OR($A2637="",$H2637&lt;&gt;"Ausgabe",L2637=""),0,IF(L2637="x",-$E2637/(COUNTIF($J2637:$Q2637,"x")+1),-$E2637*N(L2637)))</f>
        <v/>
      </c>
      <c r="AA2637" s="34">
        <f>IF(OR($A2637="",$H2637&lt;&gt;"Ausgabe",M2637=""),0,IF(M2637="x",-$E2637/(COUNTIF($J2637:$Q2637,"x")+1),-$E2637*N(M2637)))</f>
        <v/>
      </c>
      <c r="AB2637" s="34">
        <f>IF(OR($A2637="",$H2637&lt;&gt;"Ausgabe",N2637=""),0,IF(N2637="x",-$E2637/(COUNTIF($J2637:$Q2637,"x")+1),-$E2637*N(N2637)))</f>
        <v/>
      </c>
      <c r="AC2637" s="34">
        <f>IF(OR($A2637="",$H2637&lt;&gt;"Ausgabe",O2637=""),0,IF(O2637="x",-$E2637/(COUNTIF($J2637:$Q2637,"x")+1),-$E2637*N(O2637)))</f>
        <v/>
      </c>
      <c r="AD2637" s="34">
        <f>IF(OR($A2637="",$H2637&lt;&gt;"Ausgabe",P2637=""),0,IF(P2637="x",-$E2637/(COUNTIF($J2637:$Q2637,"x")+1),-$E2637*N(P2637)))</f>
        <v/>
      </c>
      <c r="AE2637" s="34">
        <f>IF(OR($A2637="",$H2637&lt;&gt;"Ausgabe",Q2637=""),0,IF(Q2637="x",-$E2637/(COUNTIF($J2637:$Q2637,"x")+1),-$E2637*N(Q2637)))</f>
        <v/>
      </c>
    </row>
    <row r="2638">
      <c r="A2638" s="30" t="n"/>
      <c r="E2638" s="31" t="n"/>
      <c r="J2638" s="32" t="n"/>
      <c r="K2638" s="32" t="n"/>
      <c r="L2638" s="32" t="n"/>
      <c r="M2638" s="32" t="n"/>
      <c r="N2638" s="32" t="n"/>
      <c r="O2638" s="32" t="n"/>
      <c r="P2638" s="32" t="n"/>
      <c r="Q2638" s="32" t="n"/>
      <c r="U2638" s="31">
        <f>IF($A2638="","",SUM(X2638:AE2638))</f>
        <v/>
      </c>
      <c r="V2638" s="31">
        <f>IF($A2638="","",IF($H2638&lt;&gt;"Ausgabe",0,-$E2638-$U2638))</f>
        <v/>
      </c>
      <c r="W2638" s="33">
        <f>IF($A2638="","",DATE(YEAR($A2638),MONTH($A2638),1))</f>
        <v/>
      </c>
      <c r="X2638" s="34">
        <f>IF(OR($A2638="",$H2638&lt;&gt;"Ausgabe",J2638=""),0,IF(J2638="x",-$E2638/(COUNTIF($J2638:$Q2638,"x")+1),-$E2638*N(J2638)))</f>
        <v/>
      </c>
      <c r="Y2638" s="34">
        <f>IF(OR($A2638="",$H2638&lt;&gt;"Ausgabe",K2638=""),0,IF(K2638="x",-$E2638/(COUNTIF($J2638:$Q2638,"x")+1),-$E2638*N(K2638)))</f>
        <v/>
      </c>
      <c r="Z2638" s="34">
        <f>IF(OR($A2638="",$H2638&lt;&gt;"Ausgabe",L2638=""),0,IF(L2638="x",-$E2638/(COUNTIF($J2638:$Q2638,"x")+1),-$E2638*N(L2638)))</f>
        <v/>
      </c>
      <c r="AA2638" s="34">
        <f>IF(OR($A2638="",$H2638&lt;&gt;"Ausgabe",M2638=""),0,IF(M2638="x",-$E2638/(COUNTIF($J2638:$Q2638,"x")+1),-$E2638*N(M2638)))</f>
        <v/>
      </c>
      <c r="AB2638" s="34">
        <f>IF(OR($A2638="",$H2638&lt;&gt;"Ausgabe",N2638=""),0,IF(N2638="x",-$E2638/(COUNTIF($J2638:$Q2638,"x")+1),-$E2638*N(N2638)))</f>
        <v/>
      </c>
      <c r="AC2638" s="34">
        <f>IF(OR($A2638="",$H2638&lt;&gt;"Ausgabe",O2638=""),0,IF(O2638="x",-$E2638/(COUNTIF($J2638:$Q2638,"x")+1),-$E2638*N(O2638)))</f>
        <v/>
      </c>
      <c r="AD2638" s="34">
        <f>IF(OR($A2638="",$H2638&lt;&gt;"Ausgabe",P2638=""),0,IF(P2638="x",-$E2638/(COUNTIF($J2638:$Q2638,"x")+1),-$E2638*N(P2638)))</f>
        <v/>
      </c>
      <c r="AE2638" s="34">
        <f>IF(OR($A2638="",$H2638&lt;&gt;"Ausgabe",Q2638=""),0,IF(Q2638="x",-$E2638/(COUNTIF($J2638:$Q2638,"x")+1),-$E2638*N(Q2638)))</f>
        <v/>
      </c>
    </row>
    <row r="2639">
      <c r="A2639" s="30" t="n"/>
      <c r="E2639" s="31" t="n"/>
      <c r="J2639" s="32" t="n"/>
      <c r="K2639" s="32" t="n"/>
      <c r="L2639" s="32" t="n"/>
      <c r="M2639" s="32" t="n"/>
      <c r="N2639" s="32" t="n"/>
      <c r="O2639" s="32" t="n"/>
      <c r="P2639" s="32" t="n"/>
      <c r="Q2639" s="32" t="n"/>
      <c r="U2639" s="31">
        <f>IF($A2639="","",SUM(X2639:AE2639))</f>
        <v/>
      </c>
      <c r="V2639" s="31">
        <f>IF($A2639="","",IF($H2639&lt;&gt;"Ausgabe",0,-$E2639-$U2639))</f>
        <v/>
      </c>
      <c r="W2639" s="33">
        <f>IF($A2639="","",DATE(YEAR($A2639),MONTH($A2639),1))</f>
        <v/>
      </c>
      <c r="X2639" s="34">
        <f>IF(OR($A2639="",$H2639&lt;&gt;"Ausgabe",J2639=""),0,IF(J2639="x",-$E2639/(COUNTIF($J2639:$Q2639,"x")+1),-$E2639*N(J2639)))</f>
        <v/>
      </c>
      <c r="Y2639" s="34">
        <f>IF(OR($A2639="",$H2639&lt;&gt;"Ausgabe",K2639=""),0,IF(K2639="x",-$E2639/(COUNTIF($J2639:$Q2639,"x")+1),-$E2639*N(K2639)))</f>
        <v/>
      </c>
      <c r="Z2639" s="34">
        <f>IF(OR($A2639="",$H2639&lt;&gt;"Ausgabe",L2639=""),0,IF(L2639="x",-$E2639/(COUNTIF($J2639:$Q2639,"x")+1),-$E2639*N(L2639)))</f>
        <v/>
      </c>
      <c r="AA2639" s="34">
        <f>IF(OR($A2639="",$H2639&lt;&gt;"Ausgabe",M2639=""),0,IF(M2639="x",-$E2639/(COUNTIF($J2639:$Q2639,"x")+1),-$E2639*N(M2639)))</f>
        <v/>
      </c>
      <c r="AB2639" s="34">
        <f>IF(OR($A2639="",$H2639&lt;&gt;"Ausgabe",N2639=""),0,IF(N2639="x",-$E2639/(COUNTIF($J2639:$Q2639,"x")+1),-$E2639*N(N2639)))</f>
        <v/>
      </c>
      <c r="AC2639" s="34">
        <f>IF(OR($A2639="",$H2639&lt;&gt;"Ausgabe",O2639=""),0,IF(O2639="x",-$E2639/(COUNTIF($J2639:$Q2639,"x")+1),-$E2639*N(O2639)))</f>
        <v/>
      </c>
      <c r="AD2639" s="34">
        <f>IF(OR($A2639="",$H2639&lt;&gt;"Ausgabe",P2639=""),0,IF(P2639="x",-$E2639/(COUNTIF($J2639:$Q2639,"x")+1),-$E2639*N(P2639)))</f>
        <v/>
      </c>
      <c r="AE2639" s="34">
        <f>IF(OR($A2639="",$H2639&lt;&gt;"Ausgabe",Q2639=""),0,IF(Q2639="x",-$E2639/(COUNTIF($J2639:$Q2639,"x")+1),-$E2639*N(Q2639)))</f>
        <v/>
      </c>
    </row>
    <row r="2640">
      <c r="A2640" s="30" t="n"/>
      <c r="E2640" s="31" t="n"/>
      <c r="J2640" s="32" t="n"/>
      <c r="K2640" s="32" t="n"/>
      <c r="L2640" s="32" t="n"/>
      <c r="M2640" s="32" t="n"/>
      <c r="N2640" s="32" t="n"/>
      <c r="O2640" s="32" t="n"/>
      <c r="P2640" s="32" t="n"/>
      <c r="Q2640" s="32" t="n"/>
      <c r="U2640" s="31">
        <f>IF($A2640="","",SUM(X2640:AE2640))</f>
        <v/>
      </c>
      <c r="V2640" s="31">
        <f>IF($A2640="","",IF($H2640&lt;&gt;"Ausgabe",0,-$E2640-$U2640))</f>
        <v/>
      </c>
      <c r="W2640" s="33">
        <f>IF($A2640="","",DATE(YEAR($A2640),MONTH($A2640),1))</f>
        <v/>
      </c>
      <c r="X2640" s="34">
        <f>IF(OR($A2640="",$H2640&lt;&gt;"Ausgabe",J2640=""),0,IF(J2640="x",-$E2640/(COUNTIF($J2640:$Q2640,"x")+1),-$E2640*N(J2640)))</f>
        <v/>
      </c>
      <c r="Y2640" s="34">
        <f>IF(OR($A2640="",$H2640&lt;&gt;"Ausgabe",K2640=""),0,IF(K2640="x",-$E2640/(COUNTIF($J2640:$Q2640,"x")+1),-$E2640*N(K2640)))</f>
        <v/>
      </c>
      <c r="Z2640" s="34">
        <f>IF(OR($A2640="",$H2640&lt;&gt;"Ausgabe",L2640=""),0,IF(L2640="x",-$E2640/(COUNTIF($J2640:$Q2640,"x")+1),-$E2640*N(L2640)))</f>
        <v/>
      </c>
      <c r="AA2640" s="34">
        <f>IF(OR($A2640="",$H2640&lt;&gt;"Ausgabe",M2640=""),0,IF(M2640="x",-$E2640/(COUNTIF($J2640:$Q2640,"x")+1),-$E2640*N(M2640)))</f>
        <v/>
      </c>
      <c r="AB2640" s="34">
        <f>IF(OR($A2640="",$H2640&lt;&gt;"Ausgabe",N2640=""),0,IF(N2640="x",-$E2640/(COUNTIF($J2640:$Q2640,"x")+1),-$E2640*N(N2640)))</f>
        <v/>
      </c>
      <c r="AC2640" s="34">
        <f>IF(OR($A2640="",$H2640&lt;&gt;"Ausgabe",O2640=""),0,IF(O2640="x",-$E2640/(COUNTIF($J2640:$Q2640,"x")+1),-$E2640*N(O2640)))</f>
        <v/>
      </c>
      <c r="AD2640" s="34">
        <f>IF(OR($A2640="",$H2640&lt;&gt;"Ausgabe",P2640=""),0,IF(P2640="x",-$E2640/(COUNTIF($J2640:$Q2640,"x")+1),-$E2640*N(P2640)))</f>
        <v/>
      </c>
      <c r="AE2640" s="34">
        <f>IF(OR($A2640="",$H2640&lt;&gt;"Ausgabe",Q2640=""),0,IF(Q2640="x",-$E2640/(COUNTIF($J2640:$Q2640,"x")+1),-$E2640*N(Q2640)))</f>
        <v/>
      </c>
    </row>
    <row r="2641">
      <c r="A2641" s="30" t="n"/>
      <c r="E2641" s="31" t="n"/>
      <c r="J2641" s="32" t="n"/>
      <c r="K2641" s="32" t="n"/>
      <c r="L2641" s="32" t="n"/>
      <c r="M2641" s="32" t="n"/>
      <c r="N2641" s="32" t="n"/>
      <c r="O2641" s="32" t="n"/>
      <c r="P2641" s="32" t="n"/>
      <c r="Q2641" s="32" t="n"/>
      <c r="U2641" s="31">
        <f>IF($A2641="","",SUM(X2641:AE2641))</f>
        <v/>
      </c>
      <c r="V2641" s="31">
        <f>IF($A2641="","",IF($H2641&lt;&gt;"Ausgabe",0,-$E2641-$U2641))</f>
        <v/>
      </c>
      <c r="W2641" s="33">
        <f>IF($A2641="","",DATE(YEAR($A2641),MONTH($A2641),1))</f>
        <v/>
      </c>
      <c r="X2641" s="34">
        <f>IF(OR($A2641="",$H2641&lt;&gt;"Ausgabe",J2641=""),0,IF(J2641="x",-$E2641/(COUNTIF($J2641:$Q2641,"x")+1),-$E2641*N(J2641)))</f>
        <v/>
      </c>
      <c r="Y2641" s="34">
        <f>IF(OR($A2641="",$H2641&lt;&gt;"Ausgabe",K2641=""),0,IF(K2641="x",-$E2641/(COUNTIF($J2641:$Q2641,"x")+1),-$E2641*N(K2641)))</f>
        <v/>
      </c>
      <c r="Z2641" s="34">
        <f>IF(OR($A2641="",$H2641&lt;&gt;"Ausgabe",L2641=""),0,IF(L2641="x",-$E2641/(COUNTIF($J2641:$Q2641,"x")+1),-$E2641*N(L2641)))</f>
        <v/>
      </c>
      <c r="AA2641" s="34">
        <f>IF(OR($A2641="",$H2641&lt;&gt;"Ausgabe",M2641=""),0,IF(M2641="x",-$E2641/(COUNTIF($J2641:$Q2641,"x")+1),-$E2641*N(M2641)))</f>
        <v/>
      </c>
      <c r="AB2641" s="34">
        <f>IF(OR($A2641="",$H2641&lt;&gt;"Ausgabe",N2641=""),0,IF(N2641="x",-$E2641/(COUNTIF($J2641:$Q2641,"x")+1),-$E2641*N(N2641)))</f>
        <v/>
      </c>
      <c r="AC2641" s="34">
        <f>IF(OR($A2641="",$H2641&lt;&gt;"Ausgabe",O2641=""),0,IF(O2641="x",-$E2641/(COUNTIF($J2641:$Q2641,"x")+1),-$E2641*N(O2641)))</f>
        <v/>
      </c>
      <c r="AD2641" s="34">
        <f>IF(OR($A2641="",$H2641&lt;&gt;"Ausgabe",P2641=""),0,IF(P2641="x",-$E2641/(COUNTIF($J2641:$Q2641,"x")+1),-$E2641*N(P2641)))</f>
        <v/>
      </c>
      <c r="AE2641" s="34">
        <f>IF(OR($A2641="",$H2641&lt;&gt;"Ausgabe",Q2641=""),0,IF(Q2641="x",-$E2641/(COUNTIF($J2641:$Q2641,"x")+1),-$E2641*N(Q2641)))</f>
        <v/>
      </c>
    </row>
    <row r="2642">
      <c r="A2642" s="30" t="n"/>
      <c r="E2642" s="31" t="n"/>
      <c r="J2642" s="32" t="n"/>
      <c r="K2642" s="32" t="n"/>
      <c r="L2642" s="32" t="n"/>
      <c r="M2642" s="32" t="n"/>
      <c r="N2642" s="32" t="n"/>
      <c r="O2642" s="32" t="n"/>
      <c r="P2642" s="32" t="n"/>
      <c r="Q2642" s="32" t="n"/>
      <c r="U2642" s="31">
        <f>IF($A2642="","",SUM(X2642:AE2642))</f>
        <v/>
      </c>
      <c r="V2642" s="31">
        <f>IF($A2642="","",IF($H2642&lt;&gt;"Ausgabe",0,-$E2642-$U2642))</f>
        <v/>
      </c>
      <c r="W2642" s="33">
        <f>IF($A2642="","",DATE(YEAR($A2642),MONTH($A2642),1))</f>
        <v/>
      </c>
      <c r="X2642" s="34">
        <f>IF(OR($A2642="",$H2642&lt;&gt;"Ausgabe",J2642=""),0,IF(J2642="x",-$E2642/(COUNTIF($J2642:$Q2642,"x")+1),-$E2642*N(J2642)))</f>
        <v/>
      </c>
      <c r="Y2642" s="34">
        <f>IF(OR($A2642="",$H2642&lt;&gt;"Ausgabe",K2642=""),0,IF(K2642="x",-$E2642/(COUNTIF($J2642:$Q2642,"x")+1),-$E2642*N(K2642)))</f>
        <v/>
      </c>
      <c r="Z2642" s="34">
        <f>IF(OR($A2642="",$H2642&lt;&gt;"Ausgabe",L2642=""),0,IF(L2642="x",-$E2642/(COUNTIF($J2642:$Q2642,"x")+1),-$E2642*N(L2642)))</f>
        <v/>
      </c>
      <c r="AA2642" s="34">
        <f>IF(OR($A2642="",$H2642&lt;&gt;"Ausgabe",M2642=""),0,IF(M2642="x",-$E2642/(COUNTIF($J2642:$Q2642,"x")+1),-$E2642*N(M2642)))</f>
        <v/>
      </c>
      <c r="AB2642" s="34">
        <f>IF(OR($A2642="",$H2642&lt;&gt;"Ausgabe",N2642=""),0,IF(N2642="x",-$E2642/(COUNTIF($J2642:$Q2642,"x")+1),-$E2642*N(N2642)))</f>
        <v/>
      </c>
      <c r="AC2642" s="34">
        <f>IF(OR($A2642="",$H2642&lt;&gt;"Ausgabe",O2642=""),0,IF(O2642="x",-$E2642/(COUNTIF($J2642:$Q2642,"x")+1),-$E2642*N(O2642)))</f>
        <v/>
      </c>
      <c r="AD2642" s="34">
        <f>IF(OR($A2642="",$H2642&lt;&gt;"Ausgabe",P2642=""),0,IF(P2642="x",-$E2642/(COUNTIF($J2642:$Q2642,"x")+1),-$E2642*N(P2642)))</f>
        <v/>
      </c>
      <c r="AE2642" s="34">
        <f>IF(OR($A2642="",$H2642&lt;&gt;"Ausgabe",Q2642=""),0,IF(Q2642="x",-$E2642/(COUNTIF($J2642:$Q2642,"x")+1),-$E2642*N(Q2642)))</f>
        <v/>
      </c>
    </row>
    <row r="2643">
      <c r="A2643" s="30" t="n"/>
      <c r="E2643" s="31" t="n"/>
      <c r="J2643" s="32" t="n"/>
      <c r="K2643" s="32" t="n"/>
      <c r="L2643" s="32" t="n"/>
      <c r="M2643" s="32" t="n"/>
      <c r="N2643" s="32" t="n"/>
      <c r="O2643" s="32" t="n"/>
      <c r="P2643" s="32" t="n"/>
      <c r="Q2643" s="32" t="n"/>
      <c r="U2643" s="31">
        <f>IF($A2643="","",SUM(X2643:AE2643))</f>
        <v/>
      </c>
      <c r="V2643" s="31">
        <f>IF($A2643="","",IF($H2643&lt;&gt;"Ausgabe",0,-$E2643-$U2643))</f>
        <v/>
      </c>
      <c r="W2643" s="33">
        <f>IF($A2643="","",DATE(YEAR($A2643),MONTH($A2643),1))</f>
        <v/>
      </c>
      <c r="X2643" s="34">
        <f>IF(OR($A2643="",$H2643&lt;&gt;"Ausgabe",J2643=""),0,IF(J2643="x",-$E2643/(COUNTIF($J2643:$Q2643,"x")+1),-$E2643*N(J2643)))</f>
        <v/>
      </c>
      <c r="Y2643" s="34">
        <f>IF(OR($A2643="",$H2643&lt;&gt;"Ausgabe",K2643=""),0,IF(K2643="x",-$E2643/(COUNTIF($J2643:$Q2643,"x")+1),-$E2643*N(K2643)))</f>
        <v/>
      </c>
      <c r="Z2643" s="34">
        <f>IF(OR($A2643="",$H2643&lt;&gt;"Ausgabe",L2643=""),0,IF(L2643="x",-$E2643/(COUNTIF($J2643:$Q2643,"x")+1),-$E2643*N(L2643)))</f>
        <v/>
      </c>
      <c r="AA2643" s="34">
        <f>IF(OR($A2643="",$H2643&lt;&gt;"Ausgabe",M2643=""),0,IF(M2643="x",-$E2643/(COUNTIF($J2643:$Q2643,"x")+1),-$E2643*N(M2643)))</f>
        <v/>
      </c>
      <c r="AB2643" s="34">
        <f>IF(OR($A2643="",$H2643&lt;&gt;"Ausgabe",N2643=""),0,IF(N2643="x",-$E2643/(COUNTIF($J2643:$Q2643,"x")+1),-$E2643*N(N2643)))</f>
        <v/>
      </c>
      <c r="AC2643" s="34">
        <f>IF(OR($A2643="",$H2643&lt;&gt;"Ausgabe",O2643=""),0,IF(O2643="x",-$E2643/(COUNTIF($J2643:$Q2643,"x")+1),-$E2643*N(O2643)))</f>
        <v/>
      </c>
      <c r="AD2643" s="34">
        <f>IF(OR($A2643="",$H2643&lt;&gt;"Ausgabe",P2643=""),0,IF(P2643="x",-$E2643/(COUNTIF($J2643:$Q2643,"x")+1),-$E2643*N(P2643)))</f>
        <v/>
      </c>
      <c r="AE2643" s="34">
        <f>IF(OR($A2643="",$H2643&lt;&gt;"Ausgabe",Q2643=""),0,IF(Q2643="x",-$E2643/(COUNTIF($J2643:$Q2643,"x")+1),-$E2643*N(Q2643)))</f>
        <v/>
      </c>
    </row>
    <row r="2644">
      <c r="A2644" s="30" t="n"/>
      <c r="E2644" s="31" t="n"/>
      <c r="J2644" s="32" t="n"/>
      <c r="K2644" s="32" t="n"/>
      <c r="L2644" s="32" t="n"/>
      <c r="M2644" s="32" t="n"/>
      <c r="N2644" s="32" t="n"/>
      <c r="O2644" s="32" t="n"/>
      <c r="P2644" s="32" t="n"/>
      <c r="Q2644" s="32" t="n"/>
      <c r="U2644" s="31">
        <f>IF($A2644="","",SUM(X2644:AE2644))</f>
        <v/>
      </c>
      <c r="V2644" s="31">
        <f>IF($A2644="","",IF($H2644&lt;&gt;"Ausgabe",0,-$E2644-$U2644))</f>
        <v/>
      </c>
      <c r="W2644" s="33">
        <f>IF($A2644="","",DATE(YEAR($A2644),MONTH($A2644),1))</f>
        <v/>
      </c>
      <c r="X2644" s="34">
        <f>IF(OR($A2644="",$H2644&lt;&gt;"Ausgabe",J2644=""),0,IF(J2644="x",-$E2644/(COUNTIF($J2644:$Q2644,"x")+1),-$E2644*N(J2644)))</f>
        <v/>
      </c>
      <c r="Y2644" s="34">
        <f>IF(OR($A2644="",$H2644&lt;&gt;"Ausgabe",K2644=""),0,IF(K2644="x",-$E2644/(COUNTIF($J2644:$Q2644,"x")+1),-$E2644*N(K2644)))</f>
        <v/>
      </c>
      <c r="Z2644" s="34">
        <f>IF(OR($A2644="",$H2644&lt;&gt;"Ausgabe",L2644=""),0,IF(L2644="x",-$E2644/(COUNTIF($J2644:$Q2644,"x")+1),-$E2644*N(L2644)))</f>
        <v/>
      </c>
      <c r="AA2644" s="34">
        <f>IF(OR($A2644="",$H2644&lt;&gt;"Ausgabe",M2644=""),0,IF(M2644="x",-$E2644/(COUNTIF($J2644:$Q2644,"x")+1),-$E2644*N(M2644)))</f>
        <v/>
      </c>
      <c r="AB2644" s="34">
        <f>IF(OR($A2644="",$H2644&lt;&gt;"Ausgabe",N2644=""),0,IF(N2644="x",-$E2644/(COUNTIF($J2644:$Q2644,"x")+1),-$E2644*N(N2644)))</f>
        <v/>
      </c>
      <c r="AC2644" s="34">
        <f>IF(OR($A2644="",$H2644&lt;&gt;"Ausgabe",O2644=""),0,IF(O2644="x",-$E2644/(COUNTIF($J2644:$Q2644,"x")+1),-$E2644*N(O2644)))</f>
        <v/>
      </c>
      <c r="AD2644" s="34">
        <f>IF(OR($A2644="",$H2644&lt;&gt;"Ausgabe",P2644=""),0,IF(P2644="x",-$E2644/(COUNTIF($J2644:$Q2644,"x")+1),-$E2644*N(P2644)))</f>
        <v/>
      </c>
      <c r="AE2644" s="34">
        <f>IF(OR($A2644="",$H2644&lt;&gt;"Ausgabe",Q2644=""),0,IF(Q2644="x",-$E2644/(COUNTIF($J2644:$Q2644,"x")+1),-$E2644*N(Q2644)))</f>
        <v/>
      </c>
    </row>
    <row r="2645">
      <c r="A2645" s="30" t="n"/>
      <c r="E2645" s="31" t="n"/>
      <c r="J2645" s="32" t="n"/>
      <c r="K2645" s="32" t="n"/>
      <c r="L2645" s="32" t="n"/>
      <c r="M2645" s="32" t="n"/>
      <c r="N2645" s="32" t="n"/>
      <c r="O2645" s="32" t="n"/>
      <c r="P2645" s="32" t="n"/>
      <c r="Q2645" s="32" t="n"/>
      <c r="U2645" s="31">
        <f>IF($A2645="","",SUM(X2645:AE2645))</f>
        <v/>
      </c>
      <c r="V2645" s="31">
        <f>IF($A2645="","",IF($H2645&lt;&gt;"Ausgabe",0,-$E2645-$U2645))</f>
        <v/>
      </c>
      <c r="W2645" s="33">
        <f>IF($A2645="","",DATE(YEAR($A2645),MONTH($A2645),1))</f>
        <v/>
      </c>
      <c r="X2645" s="34">
        <f>IF(OR($A2645="",$H2645&lt;&gt;"Ausgabe",J2645=""),0,IF(J2645="x",-$E2645/(COUNTIF($J2645:$Q2645,"x")+1),-$E2645*N(J2645)))</f>
        <v/>
      </c>
      <c r="Y2645" s="34">
        <f>IF(OR($A2645="",$H2645&lt;&gt;"Ausgabe",K2645=""),0,IF(K2645="x",-$E2645/(COUNTIF($J2645:$Q2645,"x")+1),-$E2645*N(K2645)))</f>
        <v/>
      </c>
      <c r="Z2645" s="34">
        <f>IF(OR($A2645="",$H2645&lt;&gt;"Ausgabe",L2645=""),0,IF(L2645="x",-$E2645/(COUNTIF($J2645:$Q2645,"x")+1),-$E2645*N(L2645)))</f>
        <v/>
      </c>
      <c r="AA2645" s="34">
        <f>IF(OR($A2645="",$H2645&lt;&gt;"Ausgabe",M2645=""),0,IF(M2645="x",-$E2645/(COUNTIF($J2645:$Q2645,"x")+1),-$E2645*N(M2645)))</f>
        <v/>
      </c>
      <c r="AB2645" s="34">
        <f>IF(OR($A2645="",$H2645&lt;&gt;"Ausgabe",N2645=""),0,IF(N2645="x",-$E2645/(COUNTIF($J2645:$Q2645,"x")+1),-$E2645*N(N2645)))</f>
        <v/>
      </c>
      <c r="AC2645" s="34">
        <f>IF(OR($A2645="",$H2645&lt;&gt;"Ausgabe",O2645=""),0,IF(O2645="x",-$E2645/(COUNTIF($J2645:$Q2645,"x")+1),-$E2645*N(O2645)))</f>
        <v/>
      </c>
      <c r="AD2645" s="34">
        <f>IF(OR($A2645="",$H2645&lt;&gt;"Ausgabe",P2645=""),0,IF(P2645="x",-$E2645/(COUNTIF($J2645:$Q2645,"x")+1),-$E2645*N(P2645)))</f>
        <v/>
      </c>
      <c r="AE2645" s="34">
        <f>IF(OR($A2645="",$H2645&lt;&gt;"Ausgabe",Q2645=""),0,IF(Q2645="x",-$E2645/(COUNTIF($J2645:$Q2645,"x")+1),-$E2645*N(Q2645)))</f>
        <v/>
      </c>
    </row>
    <row r="2646">
      <c r="A2646" s="30" t="n"/>
      <c r="E2646" s="31" t="n"/>
      <c r="J2646" s="32" t="n"/>
      <c r="K2646" s="32" t="n"/>
      <c r="L2646" s="32" t="n"/>
      <c r="M2646" s="32" t="n"/>
      <c r="N2646" s="32" t="n"/>
      <c r="O2646" s="32" t="n"/>
      <c r="P2646" s="32" t="n"/>
      <c r="Q2646" s="32" t="n"/>
      <c r="U2646" s="31">
        <f>IF($A2646="","",SUM(X2646:AE2646))</f>
        <v/>
      </c>
      <c r="V2646" s="31">
        <f>IF($A2646="","",IF($H2646&lt;&gt;"Ausgabe",0,-$E2646-$U2646))</f>
        <v/>
      </c>
      <c r="W2646" s="33">
        <f>IF($A2646="","",DATE(YEAR($A2646),MONTH($A2646),1))</f>
        <v/>
      </c>
      <c r="X2646" s="34">
        <f>IF(OR($A2646="",$H2646&lt;&gt;"Ausgabe",J2646=""),0,IF(J2646="x",-$E2646/(COUNTIF($J2646:$Q2646,"x")+1),-$E2646*N(J2646)))</f>
        <v/>
      </c>
      <c r="Y2646" s="34">
        <f>IF(OR($A2646="",$H2646&lt;&gt;"Ausgabe",K2646=""),0,IF(K2646="x",-$E2646/(COUNTIF($J2646:$Q2646,"x")+1),-$E2646*N(K2646)))</f>
        <v/>
      </c>
      <c r="Z2646" s="34">
        <f>IF(OR($A2646="",$H2646&lt;&gt;"Ausgabe",L2646=""),0,IF(L2646="x",-$E2646/(COUNTIF($J2646:$Q2646,"x")+1),-$E2646*N(L2646)))</f>
        <v/>
      </c>
      <c r="AA2646" s="34">
        <f>IF(OR($A2646="",$H2646&lt;&gt;"Ausgabe",M2646=""),0,IF(M2646="x",-$E2646/(COUNTIF($J2646:$Q2646,"x")+1),-$E2646*N(M2646)))</f>
        <v/>
      </c>
      <c r="AB2646" s="34">
        <f>IF(OR($A2646="",$H2646&lt;&gt;"Ausgabe",N2646=""),0,IF(N2646="x",-$E2646/(COUNTIF($J2646:$Q2646,"x")+1),-$E2646*N(N2646)))</f>
        <v/>
      </c>
      <c r="AC2646" s="34">
        <f>IF(OR($A2646="",$H2646&lt;&gt;"Ausgabe",O2646=""),0,IF(O2646="x",-$E2646/(COUNTIF($J2646:$Q2646,"x")+1),-$E2646*N(O2646)))</f>
        <v/>
      </c>
      <c r="AD2646" s="34">
        <f>IF(OR($A2646="",$H2646&lt;&gt;"Ausgabe",P2646=""),0,IF(P2646="x",-$E2646/(COUNTIF($J2646:$Q2646,"x")+1),-$E2646*N(P2646)))</f>
        <v/>
      </c>
      <c r="AE2646" s="34">
        <f>IF(OR($A2646="",$H2646&lt;&gt;"Ausgabe",Q2646=""),0,IF(Q2646="x",-$E2646/(COUNTIF($J2646:$Q2646,"x")+1),-$E2646*N(Q2646)))</f>
        <v/>
      </c>
    </row>
    <row r="2647">
      <c r="A2647" s="30" t="n"/>
      <c r="E2647" s="31" t="n"/>
      <c r="J2647" s="32" t="n"/>
      <c r="K2647" s="32" t="n"/>
      <c r="L2647" s="32" t="n"/>
      <c r="M2647" s="32" t="n"/>
      <c r="N2647" s="32" t="n"/>
      <c r="O2647" s="32" t="n"/>
      <c r="P2647" s="32" t="n"/>
      <c r="Q2647" s="32" t="n"/>
      <c r="U2647" s="31">
        <f>IF($A2647="","",SUM(X2647:AE2647))</f>
        <v/>
      </c>
      <c r="V2647" s="31">
        <f>IF($A2647="","",IF($H2647&lt;&gt;"Ausgabe",0,-$E2647-$U2647))</f>
        <v/>
      </c>
      <c r="W2647" s="33">
        <f>IF($A2647="","",DATE(YEAR($A2647),MONTH($A2647),1))</f>
        <v/>
      </c>
      <c r="X2647" s="34">
        <f>IF(OR($A2647="",$H2647&lt;&gt;"Ausgabe",J2647=""),0,IF(J2647="x",-$E2647/(COUNTIF($J2647:$Q2647,"x")+1),-$E2647*N(J2647)))</f>
        <v/>
      </c>
      <c r="Y2647" s="34">
        <f>IF(OR($A2647="",$H2647&lt;&gt;"Ausgabe",K2647=""),0,IF(K2647="x",-$E2647/(COUNTIF($J2647:$Q2647,"x")+1),-$E2647*N(K2647)))</f>
        <v/>
      </c>
      <c r="Z2647" s="34">
        <f>IF(OR($A2647="",$H2647&lt;&gt;"Ausgabe",L2647=""),0,IF(L2647="x",-$E2647/(COUNTIF($J2647:$Q2647,"x")+1),-$E2647*N(L2647)))</f>
        <v/>
      </c>
      <c r="AA2647" s="34">
        <f>IF(OR($A2647="",$H2647&lt;&gt;"Ausgabe",M2647=""),0,IF(M2647="x",-$E2647/(COUNTIF($J2647:$Q2647,"x")+1),-$E2647*N(M2647)))</f>
        <v/>
      </c>
      <c r="AB2647" s="34">
        <f>IF(OR($A2647="",$H2647&lt;&gt;"Ausgabe",N2647=""),0,IF(N2647="x",-$E2647/(COUNTIF($J2647:$Q2647,"x")+1),-$E2647*N(N2647)))</f>
        <v/>
      </c>
      <c r="AC2647" s="34">
        <f>IF(OR($A2647="",$H2647&lt;&gt;"Ausgabe",O2647=""),0,IF(O2647="x",-$E2647/(COUNTIF($J2647:$Q2647,"x")+1),-$E2647*N(O2647)))</f>
        <v/>
      </c>
      <c r="AD2647" s="34">
        <f>IF(OR($A2647="",$H2647&lt;&gt;"Ausgabe",P2647=""),0,IF(P2647="x",-$E2647/(COUNTIF($J2647:$Q2647,"x")+1),-$E2647*N(P2647)))</f>
        <v/>
      </c>
      <c r="AE2647" s="34">
        <f>IF(OR($A2647="",$H2647&lt;&gt;"Ausgabe",Q2647=""),0,IF(Q2647="x",-$E2647/(COUNTIF($J2647:$Q2647,"x")+1),-$E2647*N(Q2647)))</f>
        <v/>
      </c>
    </row>
    <row r="2648">
      <c r="A2648" s="30" t="n"/>
      <c r="E2648" s="31" t="n"/>
      <c r="J2648" s="32" t="n"/>
      <c r="K2648" s="32" t="n"/>
      <c r="L2648" s="32" t="n"/>
      <c r="M2648" s="32" t="n"/>
      <c r="N2648" s="32" t="n"/>
      <c r="O2648" s="32" t="n"/>
      <c r="P2648" s="32" t="n"/>
      <c r="Q2648" s="32" t="n"/>
      <c r="U2648" s="31">
        <f>IF($A2648="","",SUM(X2648:AE2648))</f>
        <v/>
      </c>
      <c r="V2648" s="31">
        <f>IF($A2648="","",IF($H2648&lt;&gt;"Ausgabe",0,-$E2648-$U2648))</f>
        <v/>
      </c>
      <c r="W2648" s="33">
        <f>IF($A2648="","",DATE(YEAR($A2648),MONTH($A2648),1))</f>
        <v/>
      </c>
      <c r="X2648" s="34">
        <f>IF(OR($A2648="",$H2648&lt;&gt;"Ausgabe",J2648=""),0,IF(J2648="x",-$E2648/(COUNTIF($J2648:$Q2648,"x")+1),-$E2648*N(J2648)))</f>
        <v/>
      </c>
      <c r="Y2648" s="34">
        <f>IF(OR($A2648="",$H2648&lt;&gt;"Ausgabe",K2648=""),0,IF(K2648="x",-$E2648/(COUNTIF($J2648:$Q2648,"x")+1),-$E2648*N(K2648)))</f>
        <v/>
      </c>
      <c r="Z2648" s="34">
        <f>IF(OR($A2648="",$H2648&lt;&gt;"Ausgabe",L2648=""),0,IF(L2648="x",-$E2648/(COUNTIF($J2648:$Q2648,"x")+1),-$E2648*N(L2648)))</f>
        <v/>
      </c>
      <c r="AA2648" s="34">
        <f>IF(OR($A2648="",$H2648&lt;&gt;"Ausgabe",M2648=""),0,IF(M2648="x",-$E2648/(COUNTIF($J2648:$Q2648,"x")+1),-$E2648*N(M2648)))</f>
        <v/>
      </c>
      <c r="AB2648" s="34">
        <f>IF(OR($A2648="",$H2648&lt;&gt;"Ausgabe",N2648=""),0,IF(N2648="x",-$E2648/(COUNTIF($J2648:$Q2648,"x")+1),-$E2648*N(N2648)))</f>
        <v/>
      </c>
      <c r="AC2648" s="34">
        <f>IF(OR($A2648="",$H2648&lt;&gt;"Ausgabe",O2648=""),0,IF(O2648="x",-$E2648/(COUNTIF($J2648:$Q2648,"x")+1),-$E2648*N(O2648)))</f>
        <v/>
      </c>
      <c r="AD2648" s="34">
        <f>IF(OR($A2648="",$H2648&lt;&gt;"Ausgabe",P2648=""),0,IF(P2648="x",-$E2648/(COUNTIF($J2648:$Q2648,"x")+1),-$E2648*N(P2648)))</f>
        <v/>
      </c>
      <c r="AE2648" s="34">
        <f>IF(OR($A2648="",$H2648&lt;&gt;"Ausgabe",Q2648=""),0,IF(Q2648="x",-$E2648/(COUNTIF($J2648:$Q2648,"x")+1),-$E2648*N(Q2648)))</f>
        <v/>
      </c>
    </row>
    <row r="2649">
      <c r="A2649" s="30" t="n"/>
      <c r="E2649" s="31" t="n"/>
      <c r="J2649" s="32" t="n"/>
      <c r="K2649" s="32" t="n"/>
      <c r="L2649" s="32" t="n"/>
      <c r="M2649" s="32" t="n"/>
      <c r="N2649" s="32" t="n"/>
      <c r="O2649" s="32" t="n"/>
      <c r="P2649" s="32" t="n"/>
      <c r="Q2649" s="32" t="n"/>
      <c r="U2649" s="31">
        <f>IF($A2649="","",SUM(X2649:AE2649))</f>
        <v/>
      </c>
      <c r="V2649" s="31">
        <f>IF($A2649="","",IF($H2649&lt;&gt;"Ausgabe",0,-$E2649-$U2649))</f>
        <v/>
      </c>
      <c r="W2649" s="33">
        <f>IF($A2649="","",DATE(YEAR($A2649),MONTH($A2649),1))</f>
        <v/>
      </c>
      <c r="X2649" s="34">
        <f>IF(OR($A2649="",$H2649&lt;&gt;"Ausgabe",J2649=""),0,IF(J2649="x",-$E2649/(COUNTIF($J2649:$Q2649,"x")+1),-$E2649*N(J2649)))</f>
        <v/>
      </c>
      <c r="Y2649" s="34">
        <f>IF(OR($A2649="",$H2649&lt;&gt;"Ausgabe",K2649=""),0,IF(K2649="x",-$E2649/(COUNTIF($J2649:$Q2649,"x")+1),-$E2649*N(K2649)))</f>
        <v/>
      </c>
      <c r="Z2649" s="34">
        <f>IF(OR($A2649="",$H2649&lt;&gt;"Ausgabe",L2649=""),0,IF(L2649="x",-$E2649/(COUNTIF($J2649:$Q2649,"x")+1),-$E2649*N(L2649)))</f>
        <v/>
      </c>
      <c r="AA2649" s="34">
        <f>IF(OR($A2649="",$H2649&lt;&gt;"Ausgabe",M2649=""),0,IF(M2649="x",-$E2649/(COUNTIF($J2649:$Q2649,"x")+1),-$E2649*N(M2649)))</f>
        <v/>
      </c>
      <c r="AB2649" s="34">
        <f>IF(OR($A2649="",$H2649&lt;&gt;"Ausgabe",N2649=""),0,IF(N2649="x",-$E2649/(COUNTIF($J2649:$Q2649,"x")+1),-$E2649*N(N2649)))</f>
        <v/>
      </c>
      <c r="AC2649" s="34">
        <f>IF(OR($A2649="",$H2649&lt;&gt;"Ausgabe",O2649=""),0,IF(O2649="x",-$E2649/(COUNTIF($J2649:$Q2649,"x")+1),-$E2649*N(O2649)))</f>
        <v/>
      </c>
      <c r="AD2649" s="34">
        <f>IF(OR($A2649="",$H2649&lt;&gt;"Ausgabe",P2649=""),0,IF(P2649="x",-$E2649/(COUNTIF($J2649:$Q2649,"x")+1),-$E2649*N(P2649)))</f>
        <v/>
      </c>
      <c r="AE2649" s="34">
        <f>IF(OR($A2649="",$H2649&lt;&gt;"Ausgabe",Q2649=""),0,IF(Q2649="x",-$E2649/(COUNTIF($J2649:$Q2649,"x")+1),-$E2649*N(Q2649)))</f>
        <v/>
      </c>
    </row>
    <row r="2650">
      <c r="A2650" s="30" t="n"/>
      <c r="E2650" s="31" t="n"/>
      <c r="J2650" s="32" t="n"/>
      <c r="K2650" s="32" t="n"/>
      <c r="L2650" s="32" t="n"/>
      <c r="M2650" s="32" t="n"/>
      <c r="N2650" s="32" t="n"/>
      <c r="O2650" s="32" t="n"/>
      <c r="P2650" s="32" t="n"/>
      <c r="Q2650" s="32" t="n"/>
      <c r="U2650" s="31">
        <f>IF($A2650="","",SUM(X2650:AE2650))</f>
        <v/>
      </c>
      <c r="V2650" s="31">
        <f>IF($A2650="","",IF($H2650&lt;&gt;"Ausgabe",0,-$E2650-$U2650))</f>
        <v/>
      </c>
      <c r="W2650" s="33">
        <f>IF($A2650="","",DATE(YEAR($A2650),MONTH($A2650),1))</f>
        <v/>
      </c>
      <c r="X2650" s="34">
        <f>IF(OR($A2650="",$H2650&lt;&gt;"Ausgabe",J2650=""),0,IF(J2650="x",-$E2650/(COUNTIF($J2650:$Q2650,"x")+1),-$E2650*N(J2650)))</f>
        <v/>
      </c>
      <c r="Y2650" s="34">
        <f>IF(OR($A2650="",$H2650&lt;&gt;"Ausgabe",K2650=""),0,IF(K2650="x",-$E2650/(COUNTIF($J2650:$Q2650,"x")+1),-$E2650*N(K2650)))</f>
        <v/>
      </c>
      <c r="Z2650" s="34">
        <f>IF(OR($A2650="",$H2650&lt;&gt;"Ausgabe",L2650=""),0,IF(L2650="x",-$E2650/(COUNTIF($J2650:$Q2650,"x")+1),-$E2650*N(L2650)))</f>
        <v/>
      </c>
      <c r="AA2650" s="34">
        <f>IF(OR($A2650="",$H2650&lt;&gt;"Ausgabe",M2650=""),0,IF(M2650="x",-$E2650/(COUNTIF($J2650:$Q2650,"x")+1),-$E2650*N(M2650)))</f>
        <v/>
      </c>
      <c r="AB2650" s="34">
        <f>IF(OR($A2650="",$H2650&lt;&gt;"Ausgabe",N2650=""),0,IF(N2650="x",-$E2650/(COUNTIF($J2650:$Q2650,"x")+1),-$E2650*N(N2650)))</f>
        <v/>
      </c>
      <c r="AC2650" s="34">
        <f>IF(OR($A2650="",$H2650&lt;&gt;"Ausgabe",O2650=""),0,IF(O2650="x",-$E2650/(COUNTIF($J2650:$Q2650,"x")+1),-$E2650*N(O2650)))</f>
        <v/>
      </c>
      <c r="AD2650" s="34">
        <f>IF(OR($A2650="",$H2650&lt;&gt;"Ausgabe",P2650=""),0,IF(P2650="x",-$E2650/(COUNTIF($J2650:$Q2650,"x")+1),-$E2650*N(P2650)))</f>
        <v/>
      </c>
      <c r="AE2650" s="34">
        <f>IF(OR($A2650="",$H2650&lt;&gt;"Ausgabe",Q2650=""),0,IF(Q2650="x",-$E2650/(COUNTIF($J2650:$Q2650,"x")+1),-$E2650*N(Q2650)))</f>
        <v/>
      </c>
    </row>
    <row r="2651">
      <c r="A2651" s="30" t="n"/>
      <c r="E2651" s="31" t="n"/>
      <c r="J2651" s="32" t="n"/>
      <c r="K2651" s="32" t="n"/>
      <c r="L2651" s="32" t="n"/>
      <c r="M2651" s="32" t="n"/>
      <c r="N2651" s="32" t="n"/>
      <c r="O2651" s="32" t="n"/>
      <c r="P2651" s="32" t="n"/>
      <c r="Q2651" s="32" t="n"/>
      <c r="U2651" s="31">
        <f>IF($A2651="","",SUM(X2651:AE2651))</f>
        <v/>
      </c>
      <c r="V2651" s="31">
        <f>IF($A2651="","",IF($H2651&lt;&gt;"Ausgabe",0,-$E2651-$U2651))</f>
        <v/>
      </c>
      <c r="W2651" s="33">
        <f>IF($A2651="","",DATE(YEAR($A2651),MONTH($A2651),1))</f>
        <v/>
      </c>
      <c r="X2651" s="34">
        <f>IF(OR($A2651="",$H2651&lt;&gt;"Ausgabe",J2651=""),0,IF(J2651="x",-$E2651/(COUNTIF($J2651:$Q2651,"x")+1),-$E2651*N(J2651)))</f>
        <v/>
      </c>
      <c r="Y2651" s="34">
        <f>IF(OR($A2651="",$H2651&lt;&gt;"Ausgabe",K2651=""),0,IF(K2651="x",-$E2651/(COUNTIF($J2651:$Q2651,"x")+1),-$E2651*N(K2651)))</f>
        <v/>
      </c>
      <c r="Z2651" s="34">
        <f>IF(OR($A2651="",$H2651&lt;&gt;"Ausgabe",L2651=""),0,IF(L2651="x",-$E2651/(COUNTIF($J2651:$Q2651,"x")+1),-$E2651*N(L2651)))</f>
        <v/>
      </c>
      <c r="AA2651" s="34">
        <f>IF(OR($A2651="",$H2651&lt;&gt;"Ausgabe",M2651=""),0,IF(M2651="x",-$E2651/(COUNTIF($J2651:$Q2651,"x")+1),-$E2651*N(M2651)))</f>
        <v/>
      </c>
      <c r="AB2651" s="34">
        <f>IF(OR($A2651="",$H2651&lt;&gt;"Ausgabe",N2651=""),0,IF(N2651="x",-$E2651/(COUNTIF($J2651:$Q2651,"x")+1),-$E2651*N(N2651)))</f>
        <v/>
      </c>
      <c r="AC2651" s="34">
        <f>IF(OR($A2651="",$H2651&lt;&gt;"Ausgabe",O2651=""),0,IF(O2651="x",-$E2651/(COUNTIF($J2651:$Q2651,"x")+1),-$E2651*N(O2651)))</f>
        <v/>
      </c>
      <c r="AD2651" s="34">
        <f>IF(OR($A2651="",$H2651&lt;&gt;"Ausgabe",P2651=""),0,IF(P2651="x",-$E2651/(COUNTIF($J2651:$Q2651,"x")+1),-$E2651*N(P2651)))</f>
        <v/>
      </c>
      <c r="AE2651" s="34">
        <f>IF(OR($A2651="",$H2651&lt;&gt;"Ausgabe",Q2651=""),0,IF(Q2651="x",-$E2651/(COUNTIF($J2651:$Q2651,"x")+1),-$E2651*N(Q2651)))</f>
        <v/>
      </c>
    </row>
    <row r="2652">
      <c r="A2652" s="30" t="n"/>
      <c r="E2652" s="31" t="n"/>
      <c r="J2652" s="32" t="n"/>
      <c r="K2652" s="32" t="n"/>
      <c r="L2652" s="32" t="n"/>
      <c r="M2652" s="32" t="n"/>
      <c r="N2652" s="32" t="n"/>
      <c r="O2652" s="32" t="n"/>
      <c r="P2652" s="32" t="n"/>
      <c r="Q2652" s="32" t="n"/>
      <c r="U2652" s="31">
        <f>IF($A2652="","",SUM(X2652:AE2652))</f>
        <v/>
      </c>
      <c r="V2652" s="31">
        <f>IF($A2652="","",IF($H2652&lt;&gt;"Ausgabe",0,-$E2652-$U2652))</f>
        <v/>
      </c>
      <c r="W2652" s="33">
        <f>IF($A2652="","",DATE(YEAR($A2652),MONTH($A2652),1))</f>
        <v/>
      </c>
      <c r="X2652" s="34">
        <f>IF(OR($A2652="",$H2652&lt;&gt;"Ausgabe",J2652=""),0,IF(J2652="x",-$E2652/(COUNTIF($J2652:$Q2652,"x")+1),-$E2652*N(J2652)))</f>
        <v/>
      </c>
      <c r="Y2652" s="34">
        <f>IF(OR($A2652="",$H2652&lt;&gt;"Ausgabe",K2652=""),0,IF(K2652="x",-$E2652/(COUNTIF($J2652:$Q2652,"x")+1),-$E2652*N(K2652)))</f>
        <v/>
      </c>
      <c r="Z2652" s="34">
        <f>IF(OR($A2652="",$H2652&lt;&gt;"Ausgabe",L2652=""),0,IF(L2652="x",-$E2652/(COUNTIF($J2652:$Q2652,"x")+1),-$E2652*N(L2652)))</f>
        <v/>
      </c>
      <c r="AA2652" s="34">
        <f>IF(OR($A2652="",$H2652&lt;&gt;"Ausgabe",M2652=""),0,IF(M2652="x",-$E2652/(COUNTIF($J2652:$Q2652,"x")+1),-$E2652*N(M2652)))</f>
        <v/>
      </c>
      <c r="AB2652" s="34">
        <f>IF(OR($A2652="",$H2652&lt;&gt;"Ausgabe",N2652=""),0,IF(N2652="x",-$E2652/(COUNTIF($J2652:$Q2652,"x")+1),-$E2652*N(N2652)))</f>
        <v/>
      </c>
      <c r="AC2652" s="34">
        <f>IF(OR($A2652="",$H2652&lt;&gt;"Ausgabe",O2652=""),0,IF(O2652="x",-$E2652/(COUNTIF($J2652:$Q2652,"x")+1),-$E2652*N(O2652)))</f>
        <v/>
      </c>
      <c r="AD2652" s="34">
        <f>IF(OR($A2652="",$H2652&lt;&gt;"Ausgabe",P2652=""),0,IF(P2652="x",-$E2652/(COUNTIF($J2652:$Q2652,"x")+1),-$E2652*N(P2652)))</f>
        <v/>
      </c>
      <c r="AE2652" s="34">
        <f>IF(OR($A2652="",$H2652&lt;&gt;"Ausgabe",Q2652=""),0,IF(Q2652="x",-$E2652/(COUNTIF($J2652:$Q2652,"x")+1),-$E2652*N(Q2652)))</f>
        <v/>
      </c>
    </row>
    <row r="2653">
      <c r="A2653" s="30" t="n"/>
      <c r="E2653" s="31" t="n"/>
      <c r="J2653" s="32" t="n"/>
      <c r="K2653" s="32" t="n"/>
      <c r="L2653" s="32" t="n"/>
      <c r="M2653" s="32" t="n"/>
      <c r="N2653" s="32" t="n"/>
      <c r="O2653" s="32" t="n"/>
      <c r="P2653" s="32" t="n"/>
      <c r="Q2653" s="32" t="n"/>
      <c r="U2653" s="31">
        <f>IF($A2653="","",SUM(X2653:AE2653))</f>
        <v/>
      </c>
      <c r="V2653" s="31">
        <f>IF($A2653="","",IF($H2653&lt;&gt;"Ausgabe",0,-$E2653-$U2653))</f>
        <v/>
      </c>
      <c r="W2653" s="33">
        <f>IF($A2653="","",DATE(YEAR($A2653),MONTH($A2653),1))</f>
        <v/>
      </c>
      <c r="X2653" s="34">
        <f>IF(OR($A2653="",$H2653&lt;&gt;"Ausgabe",J2653=""),0,IF(J2653="x",-$E2653/(COUNTIF($J2653:$Q2653,"x")+1),-$E2653*N(J2653)))</f>
        <v/>
      </c>
      <c r="Y2653" s="34">
        <f>IF(OR($A2653="",$H2653&lt;&gt;"Ausgabe",K2653=""),0,IF(K2653="x",-$E2653/(COUNTIF($J2653:$Q2653,"x")+1),-$E2653*N(K2653)))</f>
        <v/>
      </c>
      <c r="Z2653" s="34">
        <f>IF(OR($A2653="",$H2653&lt;&gt;"Ausgabe",L2653=""),0,IF(L2653="x",-$E2653/(COUNTIF($J2653:$Q2653,"x")+1),-$E2653*N(L2653)))</f>
        <v/>
      </c>
      <c r="AA2653" s="34">
        <f>IF(OR($A2653="",$H2653&lt;&gt;"Ausgabe",M2653=""),0,IF(M2653="x",-$E2653/(COUNTIF($J2653:$Q2653,"x")+1),-$E2653*N(M2653)))</f>
        <v/>
      </c>
      <c r="AB2653" s="34">
        <f>IF(OR($A2653="",$H2653&lt;&gt;"Ausgabe",N2653=""),0,IF(N2653="x",-$E2653/(COUNTIF($J2653:$Q2653,"x")+1),-$E2653*N(N2653)))</f>
        <v/>
      </c>
      <c r="AC2653" s="34">
        <f>IF(OR($A2653="",$H2653&lt;&gt;"Ausgabe",O2653=""),0,IF(O2653="x",-$E2653/(COUNTIF($J2653:$Q2653,"x")+1),-$E2653*N(O2653)))</f>
        <v/>
      </c>
      <c r="AD2653" s="34">
        <f>IF(OR($A2653="",$H2653&lt;&gt;"Ausgabe",P2653=""),0,IF(P2653="x",-$E2653/(COUNTIF($J2653:$Q2653,"x")+1),-$E2653*N(P2653)))</f>
        <v/>
      </c>
      <c r="AE2653" s="34">
        <f>IF(OR($A2653="",$H2653&lt;&gt;"Ausgabe",Q2653=""),0,IF(Q2653="x",-$E2653/(COUNTIF($J2653:$Q2653,"x")+1),-$E2653*N(Q2653)))</f>
        <v/>
      </c>
    </row>
    <row r="2654">
      <c r="A2654" s="30" t="n"/>
      <c r="E2654" s="31" t="n"/>
      <c r="J2654" s="32" t="n"/>
      <c r="K2654" s="32" t="n"/>
      <c r="L2654" s="32" t="n"/>
      <c r="M2654" s="32" t="n"/>
      <c r="N2654" s="32" t="n"/>
      <c r="O2654" s="32" t="n"/>
      <c r="P2654" s="32" t="n"/>
      <c r="Q2654" s="32" t="n"/>
      <c r="U2654" s="31">
        <f>IF($A2654="","",SUM(X2654:AE2654))</f>
        <v/>
      </c>
      <c r="V2654" s="31">
        <f>IF($A2654="","",IF($H2654&lt;&gt;"Ausgabe",0,-$E2654-$U2654))</f>
        <v/>
      </c>
      <c r="W2654" s="33">
        <f>IF($A2654="","",DATE(YEAR($A2654),MONTH($A2654),1))</f>
        <v/>
      </c>
      <c r="X2654" s="34">
        <f>IF(OR($A2654="",$H2654&lt;&gt;"Ausgabe",J2654=""),0,IF(J2654="x",-$E2654/(COUNTIF($J2654:$Q2654,"x")+1),-$E2654*N(J2654)))</f>
        <v/>
      </c>
      <c r="Y2654" s="34">
        <f>IF(OR($A2654="",$H2654&lt;&gt;"Ausgabe",K2654=""),0,IF(K2654="x",-$E2654/(COUNTIF($J2654:$Q2654,"x")+1),-$E2654*N(K2654)))</f>
        <v/>
      </c>
      <c r="Z2654" s="34">
        <f>IF(OR($A2654="",$H2654&lt;&gt;"Ausgabe",L2654=""),0,IF(L2654="x",-$E2654/(COUNTIF($J2654:$Q2654,"x")+1),-$E2654*N(L2654)))</f>
        <v/>
      </c>
      <c r="AA2654" s="34">
        <f>IF(OR($A2654="",$H2654&lt;&gt;"Ausgabe",M2654=""),0,IF(M2654="x",-$E2654/(COUNTIF($J2654:$Q2654,"x")+1),-$E2654*N(M2654)))</f>
        <v/>
      </c>
      <c r="AB2654" s="34">
        <f>IF(OR($A2654="",$H2654&lt;&gt;"Ausgabe",N2654=""),0,IF(N2654="x",-$E2654/(COUNTIF($J2654:$Q2654,"x")+1),-$E2654*N(N2654)))</f>
        <v/>
      </c>
      <c r="AC2654" s="34">
        <f>IF(OR($A2654="",$H2654&lt;&gt;"Ausgabe",O2654=""),0,IF(O2654="x",-$E2654/(COUNTIF($J2654:$Q2654,"x")+1),-$E2654*N(O2654)))</f>
        <v/>
      </c>
      <c r="AD2654" s="34">
        <f>IF(OR($A2654="",$H2654&lt;&gt;"Ausgabe",P2654=""),0,IF(P2654="x",-$E2654/(COUNTIF($J2654:$Q2654,"x")+1),-$E2654*N(P2654)))</f>
        <v/>
      </c>
      <c r="AE2654" s="34">
        <f>IF(OR($A2654="",$H2654&lt;&gt;"Ausgabe",Q2654=""),0,IF(Q2654="x",-$E2654/(COUNTIF($J2654:$Q2654,"x")+1),-$E2654*N(Q2654)))</f>
        <v/>
      </c>
    </row>
    <row r="2655">
      <c r="A2655" s="30" t="n"/>
      <c r="E2655" s="31" t="n"/>
      <c r="J2655" s="32" t="n"/>
      <c r="K2655" s="32" t="n"/>
      <c r="L2655" s="32" t="n"/>
      <c r="M2655" s="32" t="n"/>
      <c r="N2655" s="32" t="n"/>
      <c r="O2655" s="32" t="n"/>
      <c r="P2655" s="32" t="n"/>
      <c r="Q2655" s="32" t="n"/>
      <c r="U2655" s="31">
        <f>IF($A2655="","",SUM(X2655:AE2655))</f>
        <v/>
      </c>
      <c r="V2655" s="31">
        <f>IF($A2655="","",IF($H2655&lt;&gt;"Ausgabe",0,-$E2655-$U2655))</f>
        <v/>
      </c>
      <c r="W2655" s="33">
        <f>IF($A2655="","",DATE(YEAR($A2655),MONTH($A2655),1))</f>
        <v/>
      </c>
      <c r="X2655" s="34">
        <f>IF(OR($A2655="",$H2655&lt;&gt;"Ausgabe",J2655=""),0,IF(J2655="x",-$E2655/(COUNTIF($J2655:$Q2655,"x")+1),-$E2655*N(J2655)))</f>
        <v/>
      </c>
      <c r="Y2655" s="34">
        <f>IF(OR($A2655="",$H2655&lt;&gt;"Ausgabe",K2655=""),0,IF(K2655="x",-$E2655/(COUNTIF($J2655:$Q2655,"x")+1),-$E2655*N(K2655)))</f>
        <v/>
      </c>
      <c r="Z2655" s="34">
        <f>IF(OR($A2655="",$H2655&lt;&gt;"Ausgabe",L2655=""),0,IF(L2655="x",-$E2655/(COUNTIF($J2655:$Q2655,"x")+1),-$E2655*N(L2655)))</f>
        <v/>
      </c>
      <c r="AA2655" s="34">
        <f>IF(OR($A2655="",$H2655&lt;&gt;"Ausgabe",M2655=""),0,IF(M2655="x",-$E2655/(COUNTIF($J2655:$Q2655,"x")+1),-$E2655*N(M2655)))</f>
        <v/>
      </c>
      <c r="AB2655" s="34">
        <f>IF(OR($A2655="",$H2655&lt;&gt;"Ausgabe",N2655=""),0,IF(N2655="x",-$E2655/(COUNTIF($J2655:$Q2655,"x")+1),-$E2655*N(N2655)))</f>
        <v/>
      </c>
      <c r="AC2655" s="34">
        <f>IF(OR($A2655="",$H2655&lt;&gt;"Ausgabe",O2655=""),0,IF(O2655="x",-$E2655/(COUNTIF($J2655:$Q2655,"x")+1),-$E2655*N(O2655)))</f>
        <v/>
      </c>
      <c r="AD2655" s="34">
        <f>IF(OR($A2655="",$H2655&lt;&gt;"Ausgabe",P2655=""),0,IF(P2655="x",-$E2655/(COUNTIF($J2655:$Q2655,"x")+1),-$E2655*N(P2655)))</f>
        <v/>
      </c>
      <c r="AE2655" s="34">
        <f>IF(OR($A2655="",$H2655&lt;&gt;"Ausgabe",Q2655=""),0,IF(Q2655="x",-$E2655/(COUNTIF($J2655:$Q2655,"x")+1),-$E2655*N(Q2655)))</f>
        <v/>
      </c>
    </row>
    <row r="2656">
      <c r="A2656" s="30" t="n"/>
      <c r="E2656" s="31" t="n"/>
      <c r="J2656" s="32" t="n"/>
      <c r="K2656" s="32" t="n"/>
      <c r="L2656" s="32" t="n"/>
      <c r="M2656" s="32" t="n"/>
      <c r="N2656" s="32" t="n"/>
      <c r="O2656" s="32" t="n"/>
      <c r="P2656" s="32" t="n"/>
      <c r="Q2656" s="32" t="n"/>
      <c r="U2656" s="31">
        <f>IF($A2656="","",SUM(X2656:AE2656))</f>
        <v/>
      </c>
      <c r="V2656" s="31">
        <f>IF($A2656="","",IF($H2656&lt;&gt;"Ausgabe",0,-$E2656-$U2656))</f>
        <v/>
      </c>
      <c r="W2656" s="33">
        <f>IF($A2656="","",DATE(YEAR($A2656),MONTH($A2656),1))</f>
        <v/>
      </c>
      <c r="X2656" s="34">
        <f>IF(OR($A2656="",$H2656&lt;&gt;"Ausgabe",J2656=""),0,IF(J2656="x",-$E2656/(COUNTIF($J2656:$Q2656,"x")+1),-$E2656*N(J2656)))</f>
        <v/>
      </c>
      <c r="Y2656" s="34">
        <f>IF(OR($A2656="",$H2656&lt;&gt;"Ausgabe",K2656=""),0,IF(K2656="x",-$E2656/(COUNTIF($J2656:$Q2656,"x")+1),-$E2656*N(K2656)))</f>
        <v/>
      </c>
      <c r="Z2656" s="34">
        <f>IF(OR($A2656="",$H2656&lt;&gt;"Ausgabe",L2656=""),0,IF(L2656="x",-$E2656/(COUNTIF($J2656:$Q2656,"x")+1),-$E2656*N(L2656)))</f>
        <v/>
      </c>
      <c r="AA2656" s="34">
        <f>IF(OR($A2656="",$H2656&lt;&gt;"Ausgabe",M2656=""),0,IF(M2656="x",-$E2656/(COUNTIF($J2656:$Q2656,"x")+1),-$E2656*N(M2656)))</f>
        <v/>
      </c>
      <c r="AB2656" s="34">
        <f>IF(OR($A2656="",$H2656&lt;&gt;"Ausgabe",N2656=""),0,IF(N2656="x",-$E2656/(COUNTIF($J2656:$Q2656,"x")+1),-$E2656*N(N2656)))</f>
        <v/>
      </c>
      <c r="AC2656" s="34">
        <f>IF(OR($A2656="",$H2656&lt;&gt;"Ausgabe",O2656=""),0,IF(O2656="x",-$E2656/(COUNTIF($J2656:$Q2656,"x")+1),-$E2656*N(O2656)))</f>
        <v/>
      </c>
      <c r="AD2656" s="34">
        <f>IF(OR($A2656="",$H2656&lt;&gt;"Ausgabe",P2656=""),0,IF(P2656="x",-$E2656/(COUNTIF($J2656:$Q2656,"x")+1),-$E2656*N(P2656)))</f>
        <v/>
      </c>
      <c r="AE2656" s="34">
        <f>IF(OR($A2656="",$H2656&lt;&gt;"Ausgabe",Q2656=""),0,IF(Q2656="x",-$E2656/(COUNTIF($J2656:$Q2656,"x")+1),-$E2656*N(Q2656)))</f>
        <v/>
      </c>
    </row>
    <row r="2657">
      <c r="A2657" s="30" t="n"/>
      <c r="E2657" s="31" t="n"/>
      <c r="J2657" s="32" t="n"/>
      <c r="K2657" s="32" t="n"/>
      <c r="L2657" s="32" t="n"/>
      <c r="M2657" s="32" t="n"/>
      <c r="N2657" s="32" t="n"/>
      <c r="O2657" s="32" t="n"/>
      <c r="P2657" s="32" t="n"/>
      <c r="Q2657" s="32" t="n"/>
      <c r="U2657" s="31">
        <f>IF($A2657="","",SUM(X2657:AE2657))</f>
        <v/>
      </c>
      <c r="V2657" s="31">
        <f>IF($A2657="","",IF($H2657&lt;&gt;"Ausgabe",0,-$E2657-$U2657))</f>
        <v/>
      </c>
      <c r="W2657" s="33">
        <f>IF($A2657="","",DATE(YEAR($A2657),MONTH($A2657),1))</f>
        <v/>
      </c>
      <c r="X2657" s="34">
        <f>IF(OR($A2657="",$H2657&lt;&gt;"Ausgabe",J2657=""),0,IF(J2657="x",-$E2657/(COUNTIF($J2657:$Q2657,"x")+1),-$E2657*N(J2657)))</f>
        <v/>
      </c>
      <c r="Y2657" s="34">
        <f>IF(OR($A2657="",$H2657&lt;&gt;"Ausgabe",K2657=""),0,IF(K2657="x",-$E2657/(COUNTIF($J2657:$Q2657,"x")+1),-$E2657*N(K2657)))</f>
        <v/>
      </c>
      <c r="Z2657" s="34">
        <f>IF(OR($A2657="",$H2657&lt;&gt;"Ausgabe",L2657=""),0,IF(L2657="x",-$E2657/(COUNTIF($J2657:$Q2657,"x")+1),-$E2657*N(L2657)))</f>
        <v/>
      </c>
      <c r="AA2657" s="34">
        <f>IF(OR($A2657="",$H2657&lt;&gt;"Ausgabe",M2657=""),0,IF(M2657="x",-$E2657/(COUNTIF($J2657:$Q2657,"x")+1),-$E2657*N(M2657)))</f>
        <v/>
      </c>
      <c r="AB2657" s="34">
        <f>IF(OR($A2657="",$H2657&lt;&gt;"Ausgabe",N2657=""),0,IF(N2657="x",-$E2657/(COUNTIF($J2657:$Q2657,"x")+1),-$E2657*N(N2657)))</f>
        <v/>
      </c>
      <c r="AC2657" s="34">
        <f>IF(OR($A2657="",$H2657&lt;&gt;"Ausgabe",O2657=""),0,IF(O2657="x",-$E2657/(COUNTIF($J2657:$Q2657,"x")+1),-$E2657*N(O2657)))</f>
        <v/>
      </c>
      <c r="AD2657" s="34">
        <f>IF(OR($A2657="",$H2657&lt;&gt;"Ausgabe",P2657=""),0,IF(P2657="x",-$E2657/(COUNTIF($J2657:$Q2657,"x")+1),-$E2657*N(P2657)))</f>
        <v/>
      </c>
      <c r="AE2657" s="34">
        <f>IF(OR($A2657="",$H2657&lt;&gt;"Ausgabe",Q2657=""),0,IF(Q2657="x",-$E2657/(COUNTIF($J2657:$Q2657,"x")+1),-$E2657*N(Q2657)))</f>
        <v/>
      </c>
    </row>
    <row r="2658">
      <c r="A2658" s="30" t="n"/>
      <c r="E2658" s="31" t="n"/>
      <c r="J2658" s="32" t="n"/>
      <c r="K2658" s="32" t="n"/>
      <c r="L2658" s="32" t="n"/>
      <c r="M2658" s="32" t="n"/>
      <c r="N2658" s="32" t="n"/>
      <c r="O2658" s="32" t="n"/>
      <c r="P2658" s="32" t="n"/>
      <c r="Q2658" s="32" t="n"/>
      <c r="U2658" s="31">
        <f>IF($A2658="","",SUM(X2658:AE2658))</f>
        <v/>
      </c>
      <c r="V2658" s="31">
        <f>IF($A2658="","",IF($H2658&lt;&gt;"Ausgabe",0,-$E2658-$U2658))</f>
        <v/>
      </c>
      <c r="W2658" s="33">
        <f>IF($A2658="","",DATE(YEAR($A2658),MONTH($A2658),1))</f>
        <v/>
      </c>
      <c r="X2658" s="34">
        <f>IF(OR($A2658="",$H2658&lt;&gt;"Ausgabe",J2658=""),0,IF(J2658="x",-$E2658/(COUNTIF($J2658:$Q2658,"x")+1),-$E2658*N(J2658)))</f>
        <v/>
      </c>
      <c r="Y2658" s="34">
        <f>IF(OR($A2658="",$H2658&lt;&gt;"Ausgabe",K2658=""),0,IF(K2658="x",-$E2658/(COUNTIF($J2658:$Q2658,"x")+1),-$E2658*N(K2658)))</f>
        <v/>
      </c>
      <c r="Z2658" s="34">
        <f>IF(OR($A2658="",$H2658&lt;&gt;"Ausgabe",L2658=""),0,IF(L2658="x",-$E2658/(COUNTIF($J2658:$Q2658,"x")+1),-$E2658*N(L2658)))</f>
        <v/>
      </c>
      <c r="AA2658" s="34">
        <f>IF(OR($A2658="",$H2658&lt;&gt;"Ausgabe",M2658=""),0,IF(M2658="x",-$E2658/(COUNTIF($J2658:$Q2658,"x")+1),-$E2658*N(M2658)))</f>
        <v/>
      </c>
      <c r="AB2658" s="34">
        <f>IF(OR($A2658="",$H2658&lt;&gt;"Ausgabe",N2658=""),0,IF(N2658="x",-$E2658/(COUNTIF($J2658:$Q2658,"x")+1),-$E2658*N(N2658)))</f>
        <v/>
      </c>
      <c r="AC2658" s="34">
        <f>IF(OR($A2658="",$H2658&lt;&gt;"Ausgabe",O2658=""),0,IF(O2658="x",-$E2658/(COUNTIF($J2658:$Q2658,"x")+1),-$E2658*N(O2658)))</f>
        <v/>
      </c>
      <c r="AD2658" s="34">
        <f>IF(OR($A2658="",$H2658&lt;&gt;"Ausgabe",P2658=""),0,IF(P2658="x",-$E2658/(COUNTIF($J2658:$Q2658,"x")+1),-$E2658*N(P2658)))</f>
        <v/>
      </c>
      <c r="AE2658" s="34">
        <f>IF(OR($A2658="",$H2658&lt;&gt;"Ausgabe",Q2658=""),0,IF(Q2658="x",-$E2658/(COUNTIF($J2658:$Q2658,"x")+1),-$E2658*N(Q2658)))</f>
        <v/>
      </c>
    </row>
    <row r="2659">
      <c r="A2659" s="30" t="n"/>
      <c r="E2659" s="31" t="n"/>
      <c r="J2659" s="32" t="n"/>
      <c r="K2659" s="32" t="n"/>
      <c r="L2659" s="32" t="n"/>
      <c r="M2659" s="32" t="n"/>
      <c r="N2659" s="32" t="n"/>
      <c r="O2659" s="32" t="n"/>
      <c r="P2659" s="32" t="n"/>
      <c r="Q2659" s="32" t="n"/>
      <c r="U2659" s="31">
        <f>IF($A2659="","",SUM(X2659:AE2659))</f>
        <v/>
      </c>
      <c r="V2659" s="31">
        <f>IF($A2659="","",IF($H2659&lt;&gt;"Ausgabe",0,-$E2659-$U2659))</f>
        <v/>
      </c>
      <c r="W2659" s="33">
        <f>IF($A2659="","",DATE(YEAR($A2659),MONTH($A2659),1))</f>
        <v/>
      </c>
      <c r="X2659" s="34">
        <f>IF(OR($A2659="",$H2659&lt;&gt;"Ausgabe",J2659=""),0,IF(J2659="x",-$E2659/(COUNTIF($J2659:$Q2659,"x")+1),-$E2659*N(J2659)))</f>
        <v/>
      </c>
      <c r="Y2659" s="34">
        <f>IF(OR($A2659="",$H2659&lt;&gt;"Ausgabe",K2659=""),0,IF(K2659="x",-$E2659/(COUNTIF($J2659:$Q2659,"x")+1),-$E2659*N(K2659)))</f>
        <v/>
      </c>
      <c r="Z2659" s="34">
        <f>IF(OR($A2659="",$H2659&lt;&gt;"Ausgabe",L2659=""),0,IF(L2659="x",-$E2659/(COUNTIF($J2659:$Q2659,"x")+1),-$E2659*N(L2659)))</f>
        <v/>
      </c>
      <c r="AA2659" s="34">
        <f>IF(OR($A2659="",$H2659&lt;&gt;"Ausgabe",M2659=""),0,IF(M2659="x",-$E2659/(COUNTIF($J2659:$Q2659,"x")+1),-$E2659*N(M2659)))</f>
        <v/>
      </c>
      <c r="AB2659" s="34">
        <f>IF(OR($A2659="",$H2659&lt;&gt;"Ausgabe",N2659=""),0,IF(N2659="x",-$E2659/(COUNTIF($J2659:$Q2659,"x")+1),-$E2659*N(N2659)))</f>
        <v/>
      </c>
      <c r="AC2659" s="34">
        <f>IF(OR($A2659="",$H2659&lt;&gt;"Ausgabe",O2659=""),0,IF(O2659="x",-$E2659/(COUNTIF($J2659:$Q2659,"x")+1),-$E2659*N(O2659)))</f>
        <v/>
      </c>
      <c r="AD2659" s="34">
        <f>IF(OR($A2659="",$H2659&lt;&gt;"Ausgabe",P2659=""),0,IF(P2659="x",-$E2659/(COUNTIF($J2659:$Q2659,"x")+1),-$E2659*N(P2659)))</f>
        <v/>
      </c>
      <c r="AE2659" s="34">
        <f>IF(OR($A2659="",$H2659&lt;&gt;"Ausgabe",Q2659=""),0,IF(Q2659="x",-$E2659/(COUNTIF($J2659:$Q2659,"x")+1),-$E2659*N(Q2659)))</f>
        <v/>
      </c>
    </row>
    <row r="2660">
      <c r="A2660" s="30" t="n"/>
      <c r="E2660" s="31" t="n"/>
      <c r="J2660" s="32" t="n"/>
      <c r="K2660" s="32" t="n"/>
      <c r="L2660" s="32" t="n"/>
      <c r="M2660" s="32" t="n"/>
      <c r="N2660" s="32" t="n"/>
      <c r="O2660" s="32" t="n"/>
      <c r="P2660" s="32" t="n"/>
      <c r="Q2660" s="32" t="n"/>
      <c r="U2660" s="31">
        <f>IF($A2660="","",SUM(X2660:AE2660))</f>
        <v/>
      </c>
      <c r="V2660" s="31">
        <f>IF($A2660="","",IF($H2660&lt;&gt;"Ausgabe",0,-$E2660-$U2660))</f>
        <v/>
      </c>
      <c r="W2660" s="33">
        <f>IF($A2660="","",DATE(YEAR($A2660),MONTH($A2660),1))</f>
        <v/>
      </c>
      <c r="X2660" s="34">
        <f>IF(OR($A2660="",$H2660&lt;&gt;"Ausgabe",J2660=""),0,IF(J2660="x",-$E2660/(COUNTIF($J2660:$Q2660,"x")+1),-$E2660*N(J2660)))</f>
        <v/>
      </c>
      <c r="Y2660" s="34">
        <f>IF(OR($A2660="",$H2660&lt;&gt;"Ausgabe",K2660=""),0,IF(K2660="x",-$E2660/(COUNTIF($J2660:$Q2660,"x")+1),-$E2660*N(K2660)))</f>
        <v/>
      </c>
      <c r="Z2660" s="34">
        <f>IF(OR($A2660="",$H2660&lt;&gt;"Ausgabe",L2660=""),0,IF(L2660="x",-$E2660/(COUNTIF($J2660:$Q2660,"x")+1),-$E2660*N(L2660)))</f>
        <v/>
      </c>
      <c r="AA2660" s="34">
        <f>IF(OR($A2660="",$H2660&lt;&gt;"Ausgabe",M2660=""),0,IF(M2660="x",-$E2660/(COUNTIF($J2660:$Q2660,"x")+1),-$E2660*N(M2660)))</f>
        <v/>
      </c>
      <c r="AB2660" s="34">
        <f>IF(OR($A2660="",$H2660&lt;&gt;"Ausgabe",N2660=""),0,IF(N2660="x",-$E2660/(COUNTIF($J2660:$Q2660,"x")+1),-$E2660*N(N2660)))</f>
        <v/>
      </c>
      <c r="AC2660" s="34">
        <f>IF(OR($A2660="",$H2660&lt;&gt;"Ausgabe",O2660=""),0,IF(O2660="x",-$E2660/(COUNTIF($J2660:$Q2660,"x")+1),-$E2660*N(O2660)))</f>
        <v/>
      </c>
      <c r="AD2660" s="34">
        <f>IF(OR($A2660="",$H2660&lt;&gt;"Ausgabe",P2660=""),0,IF(P2660="x",-$E2660/(COUNTIF($J2660:$Q2660,"x")+1),-$E2660*N(P2660)))</f>
        <v/>
      </c>
      <c r="AE2660" s="34">
        <f>IF(OR($A2660="",$H2660&lt;&gt;"Ausgabe",Q2660=""),0,IF(Q2660="x",-$E2660/(COUNTIF($J2660:$Q2660,"x")+1),-$E2660*N(Q2660)))</f>
        <v/>
      </c>
    </row>
    <row r="2661">
      <c r="A2661" s="30" t="n"/>
      <c r="E2661" s="31" t="n"/>
      <c r="J2661" s="32" t="n"/>
      <c r="K2661" s="32" t="n"/>
      <c r="L2661" s="32" t="n"/>
      <c r="M2661" s="32" t="n"/>
      <c r="N2661" s="32" t="n"/>
      <c r="O2661" s="32" t="n"/>
      <c r="P2661" s="32" t="n"/>
      <c r="Q2661" s="32" t="n"/>
      <c r="U2661" s="31">
        <f>IF($A2661="","",SUM(X2661:AE2661))</f>
        <v/>
      </c>
      <c r="V2661" s="31">
        <f>IF($A2661="","",IF($H2661&lt;&gt;"Ausgabe",0,-$E2661-$U2661))</f>
        <v/>
      </c>
      <c r="W2661" s="33">
        <f>IF($A2661="","",DATE(YEAR($A2661),MONTH($A2661),1))</f>
        <v/>
      </c>
      <c r="X2661" s="34">
        <f>IF(OR($A2661="",$H2661&lt;&gt;"Ausgabe",J2661=""),0,IF(J2661="x",-$E2661/(COUNTIF($J2661:$Q2661,"x")+1),-$E2661*N(J2661)))</f>
        <v/>
      </c>
      <c r="Y2661" s="34">
        <f>IF(OR($A2661="",$H2661&lt;&gt;"Ausgabe",K2661=""),0,IF(K2661="x",-$E2661/(COUNTIF($J2661:$Q2661,"x")+1),-$E2661*N(K2661)))</f>
        <v/>
      </c>
      <c r="Z2661" s="34">
        <f>IF(OR($A2661="",$H2661&lt;&gt;"Ausgabe",L2661=""),0,IF(L2661="x",-$E2661/(COUNTIF($J2661:$Q2661,"x")+1),-$E2661*N(L2661)))</f>
        <v/>
      </c>
      <c r="AA2661" s="34">
        <f>IF(OR($A2661="",$H2661&lt;&gt;"Ausgabe",M2661=""),0,IF(M2661="x",-$E2661/(COUNTIF($J2661:$Q2661,"x")+1),-$E2661*N(M2661)))</f>
        <v/>
      </c>
      <c r="AB2661" s="34">
        <f>IF(OR($A2661="",$H2661&lt;&gt;"Ausgabe",N2661=""),0,IF(N2661="x",-$E2661/(COUNTIF($J2661:$Q2661,"x")+1),-$E2661*N(N2661)))</f>
        <v/>
      </c>
      <c r="AC2661" s="34">
        <f>IF(OR($A2661="",$H2661&lt;&gt;"Ausgabe",O2661=""),0,IF(O2661="x",-$E2661/(COUNTIF($J2661:$Q2661,"x")+1),-$E2661*N(O2661)))</f>
        <v/>
      </c>
      <c r="AD2661" s="34">
        <f>IF(OR($A2661="",$H2661&lt;&gt;"Ausgabe",P2661=""),0,IF(P2661="x",-$E2661/(COUNTIF($J2661:$Q2661,"x")+1),-$E2661*N(P2661)))</f>
        <v/>
      </c>
      <c r="AE2661" s="34">
        <f>IF(OR($A2661="",$H2661&lt;&gt;"Ausgabe",Q2661=""),0,IF(Q2661="x",-$E2661/(COUNTIF($J2661:$Q2661,"x")+1),-$E2661*N(Q2661)))</f>
        <v/>
      </c>
    </row>
    <row r="2662">
      <c r="A2662" s="30" t="n"/>
      <c r="E2662" s="31" t="n"/>
      <c r="J2662" s="32" t="n"/>
      <c r="K2662" s="32" t="n"/>
      <c r="L2662" s="32" t="n"/>
      <c r="M2662" s="32" t="n"/>
      <c r="N2662" s="32" t="n"/>
      <c r="O2662" s="32" t="n"/>
      <c r="P2662" s="32" t="n"/>
      <c r="Q2662" s="32" t="n"/>
      <c r="U2662" s="31">
        <f>IF($A2662="","",SUM(X2662:AE2662))</f>
        <v/>
      </c>
      <c r="V2662" s="31">
        <f>IF($A2662="","",IF($H2662&lt;&gt;"Ausgabe",0,-$E2662-$U2662))</f>
        <v/>
      </c>
      <c r="W2662" s="33">
        <f>IF($A2662="","",DATE(YEAR($A2662),MONTH($A2662),1))</f>
        <v/>
      </c>
      <c r="X2662" s="34">
        <f>IF(OR($A2662="",$H2662&lt;&gt;"Ausgabe",J2662=""),0,IF(J2662="x",-$E2662/(COUNTIF($J2662:$Q2662,"x")+1),-$E2662*N(J2662)))</f>
        <v/>
      </c>
      <c r="Y2662" s="34">
        <f>IF(OR($A2662="",$H2662&lt;&gt;"Ausgabe",K2662=""),0,IF(K2662="x",-$E2662/(COUNTIF($J2662:$Q2662,"x")+1),-$E2662*N(K2662)))</f>
        <v/>
      </c>
      <c r="Z2662" s="34">
        <f>IF(OR($A2662="",$H2662&lt;&gt;"Ausgabe",L2662=""),0,IF(L2662="x",-$E2662/(COUNTIF($J2662:$Q2662,"x")+1),-$E2662*N(L2662)))</f>
        <v/>
      </c>
      <c r="AA2662" s="34">
        <f>IF(OR($A2662="",$H2662&lt;&gt;"Ausgabe",M2662=""),0,IF(M2662="x",-$E2662/(COUNTIF($J2662:$Q2662,"x")+1),-$E2662*N(M2662)))</f>
        <v/>
      </c>
      <c r="AB2662" s="34">
        <f>IF(OR($A2662="",$H2662&lt;&gt;"Ausgabe",N2662=""),0,IF(N2662="x",-$E2662/(COUNTIF($J2662:$Q2662,"x")+1),-$E2662*N(N2662)))</f>
        <v/>
      </c>
      <c r="AC2662" s="34">
        <f>IF(OR($A2662="",$H2662&lt;&gt;"Ausgabe",O2662=""),0,IF(O2662="x",-$E2662/(COUNTIF($J2662:$Q2662,"x")+1),-$E2662*N(O2662)))</f>
        <v/>
      </c>
      <c r="AD2662" s="34">
        <f>IF(OR($A2662="",$H2662&lt;&gt;"Ausgabe",P2662=""),0,IF(P2662="x",-$E2662/(COUNTIF($J2662:$Q2662,"x")+1),-$E2662*N(P2662)))</f>
        <v/>
      </c>
      <c r="AE2662" s="34">
        <f>IF(OR($A2662="",$H2662&lt;&gt;"Ausgabe",Q2662=""),0,IF(Q2662="x",-$E2662/(COUNTIF($J2662:$Q2662,"x")+1),-$E2662*N(Q2662)))</f>
        <v/>
      </c>
    </row>
    <row r="2663">
      <c r="A2663" s="30" t="n"/>
      <c r="E2663" s="31" t="n"/>
      <c r="J2663" s="32" t="n"/>
      <c r="K2663" s="32" t="n"/>
      <c r="L2663" s="32" t="n"/>
      <c r="M2663" s="32" t="n"/>
      <c r="N2663" s="32" t="n"/>
      <c r="O2663" s="32" t="n"/>
      <c r="P2663" s="32" t="n"/>
      <c r="Q2663" s="32" t="n"/>
      <c r="U2663" s="31">
        <f>IF($A2663="","",SUM(X2663:AE2663))</f>
        <v/>
      </c>
      <c r="V2663" s="31">
        <f>IF($A2663="","",IF($H2663&lt;&gt;"Ausgabe",0,-$E2663-$U2663))</f>
        <v/>
      </c>
      <c r="W2663" s="33">
        <f>IF($A2663="","",DATE(YEAR($A2663),MONTH($A2663),1))</f>
        <v/>
      </c>
      <c r="X2663" s="34">
        <f>IF(OR($A2663="",$H2663&lt;&gt;"Ausgabe",J2663=""),0,IF(J2663="x",-$E2663/(COUNTIF($J2663:$Q2663,"x")+1),-$E2663*N(J2663)))</f>
        <v/>
      </c>
      <c r="Y2663" s="34">
        <f>IF(OR($A2663="",$H2663&lt;&gt;"Ausgabe",K2663=""),0,IF(K2663="x",-$E2663/(COUNTIF($J2663:$Q2663,"x")+1),-$E2663*N(K2663)))</f>
        <v/>
      </c>
      <c r="Z2663" s="34">
        <f>IF(OR($A2663="",$H2663&lt;&gt;"Ausgabe",L2663=""),0,IF(L2663="x",-$E2663/(COUNTIF($J2663:$Q2663,"x")+1),-$E2663*N(L2663)))</f>
        <v/>
      </c>
      <c r="AA2663" s="34">
        <f>IF(OR($A2663="",$H2663&lt;&gt;"Ausgabe",M2663=""),0,IF(M2663="x",-$E2663/(COUNTIF($J2663:$Q2663,"x")+1),-$E2663*N(M2663)))</f>
        <v/>
      </c>
      <c r="AB2663" s="34">
        <f>IF(OR($A2663="",$H2663&lt;&gt;"Ausgabe",N2663=""),0,IF(N2663="x",-$E2663/(COUNTIF($J2663:$Q2663,"x")+1),-$E2663*N(N2663)))</f>
        <v/>
      </c>
      <c r="AC2663" s="34">
        <f>IF(OR($A2663="",$H2663&lt;&gt;"Ausgabe",O2663=""),0,IF(O2663="x",-$E2663/(COUNTIF($J2663:$Q2663,"x")+1),-$E2663*N(O2663)))</f>
        <v/>
      </c>
      <c r="AD2663" s="34">
        <f>IF(OR($A2663="",$H2663&lt;&gt;"Ausgabe",P2663=""),0,IF(P2663="x",-$E2663/(COUNTIF($J2663:$Q2663,"x")+1),-$E2663*N(P2663)))</f>
        <v/>
      </c>
      <c r="AE2663" s="34">
        <f>IF(OR($A2663="",$H2663&lt;&gt;"Ausgabe",Q2663=""),0,IF(Q2663="x",-$E2663/(COUNTIF($J2663:$Q2663,"x")+1),-$E2663*N(Q2663)))</f>
        <v/>
      </c>
    </row>
    <row r="2664">
      <c r="A2664" s="30" t="n"/>
      <c r="E2664" s="31" t="n"/>
      <c r="J2664" s="32" t="n"/>
      <c r="K2664" s="32" t="n"/>
      <c r="L2664" s="32" t="n"/>
      <c r="M2664" s="32" t="n"/>
      <c r="N2664" s="32" t="n"/>
      <c r="O2664" s="32" t="n"/>
      <c r="P2664" s="32" t="n"/>
      <c r="Q2664" s="32" t="n"/>
      <c r="U2664" s="31">
        <f>IF($A2664="","",SUM(X2664:AE2664))</f>
        <v/>
      </c>
      <c r="V2664" s="31">
        <f>IF($A2664="","",IF($H2664&lt;&gt;"Ausgabe",0,-$E2664-$U2664))</f>
        <v/>
      </c>
      <c r="W2664" s="33">
        <f>IF($A2664="","",DATE(YEAR($A2664),MONTH($A2664),1))</f>
        <v/>
      </c>
      <c r="X2664" s="34">
        <f>IF(OR($A2664="",$H2664&lt;&gt;"Ausgabe",J2664=""),0,IF(J2664="x",-$E2664/(COUNTIF($J2664:$Q2664,"x")+1),-$E2664*N(J2664)))</f>
        <v/>
      </c>
      <c r="Y2664" s="34">
        <f>IF(OR($A2664="",$H2664&lt;&gt;"Ausgabe",K2664=""),0,IF(K2664="x",-$E2664/(COUNTIF($J2664:$Q2664,"x")+1),-$E2664*N(K2664)))</f>
        <v/>
      </c>
      <c r="Z2664" s="34">
        <f>IF(OR($A2664="",$H2664&lt;&gt;"Ausgabe",L2664=""),0,IF(L2664="x",-$E2664/(COUNTIF($J2664:$Q2664,"x")+1),-$E2664*N(L2664)))</f>
        <v/>
      </c>
      <c r="AA2664" s="34">
        <f>IF(OR($A2664="",$H2664&lt;&gt;"Ausgabe",M2664=""),0,IF(M2664="x",-$E2664/(COUNTIF($J2664:$Q2664,"x")+1),-$E2664*N(M2664)))</f>
        <v/>
      </c>
      <c r="AB2664" s="34">
        <f>IF(OR($A2664="",$H2664&lt;&gt;"Ausgabe",N2664=""),0,IF(N2664="x",-$E2664/(COUNTIF($J2664:$Q2664,"x")+1),-$E2664*N(N2664)))</f>
        <v/>
      </c>
      <c r="AC2664" s="34">
        <f>IF(OR($A2664="",$H2664&lt;&gt;"Ausgabe",O2664=""),0,IF(O2664="x",-$E2664/(COUNTIF($J2664:$Q2664,"x")+1),-$E2664*N(O2664)))</f>
        <v/>
      </c>
      <c r="AD2664" s="34">
        <f>IF(OR($A2664="",$H2664&lt;&gt;"Ausgabe",P2664=""),0,IF(P2664="x",-$E2664/(COUNTIF($J2664:$Q2664,"x")+1),-$E2664*N(P2664)))</f>
        <v/>
      </c>
      <c r="AE2664" s="34">
        <f>IF(OR($A2664="",$H2664&lt;&gt;"Ausgabe",Q2664=""),0,IF(Q2664="x",-$E2664/(COUNTIF($J2664:$Q2664,"x")+1),-$E2664*N(Q2664)))</f>
        <v/>
      </c>
    </row>
    <row r="2665">
      <c r="A2665" s="30" t="n"/>
      <c r="E2665" s="31" t="n"/>
      <c r="J2665" s="32" t="n"/>
      <c r="K2665" s="32" t="n"/>
      <c r="L2665" s="32" t="n"/>
      <c r="M2665" s="32" t="n"/>
      <c r="N2665" s="32" t="n"/>
      <c r="O2665" s="32" t="n"/>
      <c r="P2665" s="32" t="n"/>
      <c r="Q2665" s="32" t="n"/>
      <c r="U2665" s="31">
        <f>IF($A2665="","",SUM(X2665:AE2665))</f>
        <v/>
      </c>
      <c r="V2665" s="31">
        <f>IF($A2665="","",IF($H2665&lt;&gt;"Ausgabe",0,-$E2665-$U2665))</f>
        <v/>
      </c>
      <c r="W2665" s="33">
        <f>IF($A2665="","",DATE(YEAR($A2665),MONTH($A2665),1))</f>
        <v/>
      </c>
      <c r="X2665" s="34">
        <f>IF(OR($A2665="",$H2665&lt;&gt;"Ausgabe",J2665=""),0,IF(J2665="x",-$E2665/(COUNTIF($J2665:$Q2665,"x")+1),-$E2665*N(J2665)))</f>
        <v/>
      </c>
      <c r="Y2665" s="34">
        <f>IF(OR($A2665="",$H2665&lt;&gt;"Ausgabe",K2665=""),0,IF(K2665="x",-$E2665/(COUNTIF($J2665:$Q2665,"x")+1),-$E2665*N(K2665)))</f>
        <v/>
      </c>
      <c r="Z2665" s="34">
        <f>IF(OR($A2665="",$H2665&lt;&gt;"Ausgabe",L2665=""),0,IF(L2665="x",-$E2665/(COUNTIF($J2665:$Q2665,"x")+1),-$E2665*N(L2665)))</f>
        <v/>
      </c>
      <c r="AA2665" s="34">
        <f>IF(OR($A2665="",$H2665&lt;&gt;"Ausgabe",M2665=""),0,IF(M2665="x",-$E2665/(COUNTIF($J2665:$Q2665,"x")+1),-$E2665*N(M2665)))</f>
        <v/>
      </c>
      <c r="AB2665" s="34">
        <f>IF(OR($A2665="",$H2665&lt;&gt;"Ausgabe",N2665=""),0,IF(N2665="x",-$E2665/(COUNTIF($J2665:$Q2665,"x")+1),-$E2665*N(N2665)))</f>
        <v/>
      </c>
      <c r="AC2665" s="34">
        <f>IF(OR($A2665="",$H2665&lt;&gt;"Ausgabe",O2665=""),0,IF(O2665="x",-$E2665/(COUNTIF($J2665:$Q2665,"x")+1),-$E2665*N(O2665)))</f>
        <v/>
      </c>
      <c r="AD2665" s="34">
        <f>IF(OR($A2665="",$H2665&lt;&gt;"Ausgabe",P2665=""),0,IF(P2665="x",-$E2665/(COUNTIF($J2665:$Q2665,"x")+1),-$E2665*N(P2665)))</f>
        <v/>
      </c>
      <c r="AE2665" s="34">
        <f>IF(OR($A2665="",$H2665&lt;&gt;"Ausgabe",Q2665=""),0,IF(Q2665="x",-$E2665/(COUNTIF($J2665:$Q2665,"x")+1),-$E2665*N(Q2665)))</f>
        <v/>
      </c>
    </row>
    <row r="2666">
      <c r="A2666" s="30" t="n"/>
      <c r="E2666" s="31" t="n"/>
      <c r="J2666" s="32" t="n"/>
      <c r="K2666" s="32" t="n"/>
      <c r="L2666" s="32" t="n"/>
      <c r="M2666" s="32" t="n"/>
      <c r="N2666" s="32" t="n"/>
      <c r="O2666" s="32" t="n"/>
      <c r="P2666" s="32" t="n"/>
      <c r="Q2666" s="32" t="n"/>
      <c r="U2666" s="31">
        <f>IF($A2666="","",SUM(X2666:AE2666))</f>
        <v/>
      </c>
      <c r="V2666" s="31">
        <f>IF($A2666="","",IF($H2666&lt;&gt;"Ausgabe",0,-$E2666-$U2666))</f>
        <v/>
      </c>
      <c r="W2666" s="33">
        <f>IF($A2666="","",DATE(YEAR($A2666),MONTH($A2666),1))</f>
        <v/>
      </c>
      <c r="X2666" s="34">
        <f>IF(OR($A2666="",$H2666&lt;&gt;"Ausgabe",J2666=""),0,IF(J2666="x",-$E2666/(COUNTIF($J2666:$Q2666,"x")+1),-$E2666*N(J2666)))</f>
        <v/>
      </c>
      <c r="Y2666" s="34">
        <f>IF(OR($A2666="",$H2666&lt;&gt;"Ausgabe",K2666=""),0,IF(K2666="x",-$E2666/(COUNTIF($J2666:$Q2666,"x")+1),-$E2666*N(K2666)))</f>
        <v/>
      </c>
      <c r="Z2666" s="34">
        <f>IF(OR($A2666="",$H2666&lt;&gt;"Ausgabe",L2666=""),0,IF(L2666="x",-$E2666/(COUNTIF($J2666:$Q2666,"x")+1),-$E2666*N(L2666)))</f>
        <v/>
      </c>
      <c r="AA2666" s="34">
        <f>IF(OR($A2666="",$H2666&lt;&gt;"Ausgabe",M2666=""),0,IF(M2666="x",-$E2666/(COUNTIF($J2666:$Q2666,"x")+1),-$E2666*N(M2666)))</f>
        <v/>
      </c>
      <c r="AB2666" s="34">
        <f>IF(OR($A2666="",$H2666&lt;&gt;"Ausgabe",N2666=""),0,IF(N2666="x",-$E2666/(COUNTIF($J2666:$Q2666,"x")+1),-$E2666*N(N2666)))</f>
        <v/>
      </c>
      <c r="AC2666" s="34">
        <f>IF(OR($A2666="",$H2666&lt;&gt;"Ausgabe",O2666=""),0,IF(O2666="x",-$E2666/(COUNTIF($J2666:$Q2666,"x")+1),-$E2666*N(O2666)))</f>
        <v/>
      </c>
      <c r="AD2666" s="34">
        <f>IF(OR($A2666="",$H2666&lt;&gt;"Ausgabe",P2666=""),0,IF(P2666="x",-$E2666/(COUNTIF($J2666:$Q2666,"x")+1),-$E2666*N(P2666)))</f>
        <v/>
      </c>
      <c r="AE2666" s="34">
        <f>IF(OR($A2666="",$H2666&lt;&gt;"Ausgabe",Q2666=""),0,IF(Q2666="x",-$E2666/(COUNTIF($J2666:$Q2666,"x")+1),-$E2666*N(Q2666)))</f>
        <v/>
      </c>
    </row>
    <row r="2667">
      <c r="A2667" s="30" t="n"/>
      <c r="E2667" s="31" t="n"/>
      <c r="J2667" s="32" t="n"/>
      <c r="K2667" s="32" t="n"/>
      <c r="L2667" s="32" t="n"/>
      <c r="M2667" s="32" t="n"/>
      <c r="N2667" s="32" t="n"/>
      <c r="O2667" s="32" t="n"/>
      <c r="P2667" s="32" t="n"/>
      <c r="Q2667" s="32" t="n"/>
      <c r="U2667" s="31">
        <f>IF($A2667="","",SUM(X2667:AE2667))</f>
        <v/>
      </c>
      <c r="V2667" s="31">
        <f>IF($A2667="","",IF($H2667&lt;&gt;"Ausgabe",0,-$E2667-$U2667))</f>
        <v/>
      </c>
      <c r="W2667" s="33">
        <f>IF($A2667="","",DATE(YEAR($A2667),MONTH($A2667),1))</f>
        <v/>
      </c>
      <c r="X2667" s="34">
        <f>IF(OR($A2667="",$H2667&lt;&gt;"Ausgabe",J2667=""),0,IF(J2667="x",-$E2667/(COUNTIF($J2667:$Q2667,"x")+1),-$E2667*N(J2667)))</f>
        <v/>
      </c>
      <c r="Y2667" s="34">
        <f>IF(OR($A2667="",$H2667&lt;&gt;"Ausgabe",K2667=""),0,IF(K2667="x",-$E2667/(COUNTIF($J2667:$Q2667,"x")+1),-$E2667*N(K2667)))</f>
        <v/>
      </c>
      <c r="Z2667" s="34">
        <f>IF(OR($A2667="",$H2667&lt;&gt;"Ausgabe",L2667=""),0,IF(L2667="x",-$E2667/(COUNTIF($J2667:$Q2667,"x")+1),-$E2667*N(L2667)))</f>
        <v/>
      </c>
      <c r="AA2667" s="34">
        <f>IF(OR($A2667="",$H2667&lt;&gt;"Ausgabe",M2667=""),0,IF(M2667="x",-$E2667/(COUNTIF($J2667:$Q2667,"x")+1),-$E2667*N(M2667)))</f>
        <v/>
      </c>
      <c r="AB2667" s="34">
        <f>IF(OR($A2667="",$H2667&lt;&gt;"Ausgabe",N2667=""),0,IF(N2667="x",-$E2667/(COUNTIF($J2667:$Q2667,"x")+1),-$E2667*N(N2667)))</f>
        <v/>
      </c>
      <c r="AC2667" s="34">
        <f>IF(OR($A2667="",$H2667&lt;&gt;"Ausgabe",O2667=""),0,IF(O2667="x",-$E2667/(COUNTIF($J2667:$Q2667,"x")+1),-$E2667*N(O2667)))</f>
        <v/>
      </c>
      <c r="AD2667" s="34">
        <f>IF(OR($A2667="",$H2667&lt;&gt;"Ausgabe",P2667=""),0,IF(P2667="x",-$E2667/(COUNTIF($J2667:$Q2667,"x")+1),-$E2667*N(P2667)))</f>
        <v/>
      </c>
      <c r="AE2667" s="34">
        <f>IF(OR($A2667="",$H2667&lt;&gt;"Ausgabe",Q2667=""),0,IF(Q2667="x",-$E2667/(COUNTIF($J2667:$Q2667,"x")+1),-$E2667*N(Q2667)))</f>
        <v/>
      </c>
    </row>
    <row r="2668">
      <c r="A2668" s="30" t="n"/>
      <c r="E2668" s="31" t="n"/>
      <c r="J2668" s="32" t="n"/>
      <c r="K2668" s="32" t="n"/>
      <c r="L2668" s="32" t="n"/>
      <c r="M2668" s="32" t="n"/>
      <c r="N2668" s="32" t="n"/>
      <c r="O2668" s="32" t="n"/>
      <c r="P2668" s="32" t="n"/>
      <c r="Q2668" s="32" t="n"/>
      <c r="U2668" s="31">
        <f>IF($A2668="","",SUM(X2668:AE2668))</f>
        <v/>
      </c>
      <c r="V2668" s="31">
        <f>IF($A2668="","",IF($H2668&lt;&gt;"Ausgabe",0,-$E2668-$U2668))</f>
        <v/>
      </c>
      <c r="W2668" s="33">
        <f>IF($A2668="","",DATE(YEAR($A2668),MONTH($A2668),1))</f>
        <v/>
      </c>
      <c r="X2668" s="34">
        <f>IF(OR($A2668="",$H2668&lt;&gt;"Ausgabe",J2668=""),0,IF(J2668="x",-$E2668/(COUNTIF($J2668:$Q2668,"x")+1),-$E2668*N(J2668)))</f>
        <v/>
      </c>
      <c r="Y2668" s="34">
        <f>IF(OR($A2668="",$H2668&lt;&gt;"Ausgabe",K2668=""),0,IF(K2668="x",-$E2668/(COUNTIF($J2668:$Q2668,"x")+1),-$E2668*N(K2668)))</f>
        <v/>
      </c>
      <c r="Z2668" s="34">
        <f>IF(OR($A2668="",$H2668&lt;&gt;"Ausgabe",L2668=""),0,IF(L2668="x",-$E2668/(COUNTIF($J2668:$Q2668,"x")+1),-$E2668*N(L2668)))</f>
        <v/>
      </c>
      <c r="AA2668" s="34">
        <f>IF(OR($A2668="",$H2668&lt;&gt;"Ausgabe",M2668=""),0,IF(M2668="x",-$E2668/(COUNTIF($J2668:$Q2668,"x")+1),-$E2668*N(M2668)))</f>
        <v/>
      </c>
      <c r="AB2668" s="34">
        <f>IF(OR($A2668="",$H2668&lt;&gt;"Ausgabe",N2668=""),0,IF(N2668="x",-$E2668/(COUNTIF($J2668:$Q2668,"x")+1),-$E2668*N(N2668)))</f>
        <v/>
      </c>
      <c r="AC2668" s="34">
        <f>IF(OR($A2668="",$H2668&lt;&gt;"Ausgabe",O2668=""),0,IF(O2668="x",-$E2668/(COUNTIF($J2668:$Q2668,"x")+1),-$E2668*N(O2668)))</f>
        <v/>
      </c>
      <c r="AD2668" s="34">
        <f>IF(OR($A2668="",$H2668&lt;&gt;"Ausgabe",P2668=""),0,IF(P2668="x",-$E2668/(COUNTIF($J2668:$Q2668,"x")+1),-$E2668*N(P2668)))</f>
        <v/>
      </c>
      <c r="AE2668" s="34">
        <f>IF(OR($A2668="",$H2668&lt;&gt;"Ausgabe",Q2668=""),0,IF(Q2668="x",-$E2668/(COUNTIF($J2668:$Q2668,"x")+1),-$E2668*N(Q2668)))</f>
        <v/>
      </c>
    </row>
    <row r="2669">
      <c r="A2669" s="30" t="n"/>
      <c r="E2669" s="31" t="n"/>
      <c r="J2669" s="32" t="n"/>
      <c r="K2669" s="32" t="n"/>
      <c r="L2669" s="32" t="n"/>
      <c r="M2669" s="32" t="n"/>
      <c r="N2669" s="32" t="n"/>
      <c r="O2669" s="32" t="n"/>
      <c r="P2669" s="32" t="n"/>
      <c r="Q2669" s="32" t="n"/>
      <c r="U2669" s="31">
        <f>IF($A2669="","",SUM(X2669:AE2669))</f>
        <v/>
      </c>
      <c r="V2669" s="31">
        <f>IF($A2669="","",IF($H2669&lt;&gt;"Ausgabe",0,-$E2669-$U2669))</f>
        <v/>
      </c>
      <c r="W2669" s="33">
        <f>IF($A2669="","",DATE(YEAR($A2669),MONTH($A2669),1))</f>
        <v/>
      </c>
      <c r="X2669" s="34">
        <f>IF(OR($A2669="",$H2669&lt;&gt;"Ausgabe",J2669=""),0,IF(J2669="x",-$E2669/(COUNTIF($J2669:$Q2669,"x")+1),-$E2669*N(J2669)))</f>
        <v/>
      </c>
      <c r="Y2669" s="34">
        <f>IF(OR($A2669="",$H2669&lt;&gt;"Ausgabe",K2669=""),0,IF(K2669="x",-$E2669/(COUNTIF($J2669:$Q2669,"x")+1),-$E2669*N(K2669)))</f>
        <v/>
      </c>
      <c r="Z2669" s="34">
        <f>IF(OR($A2669="",$H2669&lt;&gt;"Ausgabe",L2669=""),0,IF(L2669="x",-$E2669/(COUNTIF($J2669:$Q2669,"x")+1),-$E2669*N(L2669)))</f>
        <v/>
      </c>
      <c r="AA2669" s="34">
        <f>IF(OR($A2669="",$H2669&lt;&gt;"Ausgabe",M2669=""),0,IF(M2669="x",-$E2669/(COUNTIF($J2669:$Q2669,"x")+1),-$E2669*N(M2669)))</f>
        <v/>
      </c>
      <c r="AB2669" s="34">
        <f>IF(OR($A2669="",$H2669&lt;&gt;"Ausgabe",N2669=""),0,IF(N2669="x",-$E2669/(COUNTIF($J2669:$Q2669,"x")+1),-$E2669*N(N2669)))</f>
        <v/>
      </c>
      <c r="AC2669" s="34">
        <f>IF(OR($A2669="",$H2669&lt;&gt;"Ausgabe",O2669=""),0,IF(O2669="x",-$E2669/(COUNTIF($J2669:$Q2669,"x")+1),-$E2669*N(O2669)))</f>
        <v/>
      </c>
      <c r="AD2669" s="34">
        <f>IF(OR($A2669="",$H2669&lt;&gt;"Ausgabe",P2669=""),0,IF(P2669="x",-$E2669/(COUNTIF($J2669:$Q2669,"x")+1),-$E2669*N(P2669)))</f>
        <v/>
      </c>
      <c r="AE2669" s="34">
        <f>IF(OR($A2669="",$H2669&lt;&gt;"Ausgabe",Q2669=""),0,IF(Q2669="x",-$E2669/(COUNTIF($J2669:$Q2669,"x")+1),-$E2669*N(Q2669)))</f>
        <v/>
      </c>
    </row>
    <row r="2670">
      <c r="A2670" s="30" t="n"/>
      <c r="E2670" s="31" t="n"/>
      <c r="J2670" s="32" t="n"/>
      <c r="K2670" s="32" t="n"/>
      <c r="L2670" s="32" t="n"/>
      <c r="M2670" s="32" t="n"/>
      <c r="N2670" s="32" t="n"/>
      <c r="O2670" s="32" t="n"/>
      <c r="P2670" s="32" t="n"/>
      <c r="Q2670" s="32" t="n"/>
      <c r="U2670" s="31">
        <f>IF($A2670="","",SUM(X2670:AE2670))</f>
        <v/>
      </c>
      <c r="V2670" s="31">
        <f>IF($A2670="","",IF($H2670&lt;&gt;"Ausgabe",0,-$E2670-$U2670))</f>
        <v/>
      </c>
      <c r="W2670" s="33">
        <f>IF($A2670="","",DATE(YEAR($A2670),MONTH($A2670),1))</f>
        <v/>
      </c>
      <c r="X2670" s="34">
        <f>IF(OR($A2670="",$H2670&lt;&gt;"Ausgabe",J2670=""),0,IF(J2670="x",-$E2670/(COUNTIF($J2670:$Q2670,"x")+1),-$E2670*N(J2670)))</f>
        <v/>
      </c>
      <c r="Y2670" s="34">
        <f>IF(OR($A2670="",$H2670&lt;&gt;"Ausgabe",K2670=""),0,IF(K2670="x",-$E2670/(COUNTIF($J2670:$Q2670,"x")+1),-$E2670*N(K2670)))</f>
        <v/>
      </c>
      <c r="Z2670" s="34">
        <f>IF(OR($A2670="",$H2670&lt;&gt;"Ausgabe",L2670=""),0,IF(L2670="x",-$E2670/(COUNTIF($J2670:$Q2670,"x")+1),-$E2670*N(L2670)))</f>
        <v/>
      </c>
      <c r="AA2670" s="34">
        <f>IF(OR($A2670="",$H2670&lt;&gt;"Ausgabe",M2670=""),0,IF(M2670="x",-$E2670/(COUNTIF($J2670:$Q2670,"x")+1),-$E2670*N(M2670)))</f>
        <v/>
      </c>
      <c r="AB2670" s="34">
        <f>IF(OR($A2670="",$H2670&lt;&gt;"Ausgabe",N2670=""),0,IF(N2670="x",-$E2670/(COUNTIF($J2670:$Q2670,"x")+1),-$E2670*N(N2670)))</f>
        <v/>
      </c>
      <c r="AC2670" s="34">
        <f>IF(OR($A2670="",$H2670&lt;&gt;"Ausgabe",O2670=""),0,IF(O2670="x",-$E2670/(COUNTIF($J2670:$Q2670,"x")+1),-$E2670*N(O2670)))</f>
        <v/>
      </c>
      <c r="AD2670" s="34">
        <f>IF(OR($A2670="",$H2670&lt;&gt;"Ausgabe",P2670=""),0,IF(P2670="x",-$E2670/(COUNTIF($J2670:$Q2670,"x")+1),-$E2670*N(P2670)))</f>
        <v/>
      </c>
      <c r="AE2670" s="34">
        <f>IF(OR($A2670="",$H2670&lt;&gt;"Ausgabe",Q2670=""),0,IF(Q2670="x",-$E2670/(COUNTIF($J2670:$Q2670,"x")+1),-$E2670*N(Q2670)))</f>
        <v/>
      </c>
    </row>
    <row r="2671">
      <c r="A2671" s="30" t="n"/>
      <c r="E2671" s="31" t="n"/>
      <c r="J2671" s="32" t="n"/>
      <c r="K2671" s="32" t="n"/>
      <c r="L2671" s="32" t="n"/>
      <c r="M2671" s="32" t="n"/>
      <c r="N2671" s="32" t="n"/>
      <c r="O2671" s="32" t="n"/>
      <c r="P2671" s="32" t="n"/>
      <c r="Q2671" s="32" t="n"/>
      <c r="U2671" s="31">
        <f>IF($A2671="","",SUM(X2671:AE2671))</f>
        <v/>
      </c>
      <c r="V2671" s="31">
        <f>IF($A2671="","",IF($H2671&lt;&gt;"Ausgabe",0,-$E2671-$U2671))</f>
        <v/>
      </c>
      <c r="W2671" s="33">
        <f>IF($A2671="","",DATE(YEAR($A2671),MONTH($A2671),1))</f>
        <v/>
      </c>
      <c r="X2671" s="34">
        <f>IF(OR($A2671="",$H2671&lt;&gt;"Ausgabe",J2671=""),0,IF(J2671="x",-$E2671/(COUNTIF($J2671:$Q2671,"x")+1),-$E2671*N(J2671)))</f>
        <v/>
      </c>
      <c r="Y2671" s="34">
        <f>IF(OR($A2671="",$H2671&lt;&gt;"Ausgabe",K2671=""),0,IF(K2671="x",-$E2671/(COUNTIF($J2671:$Q2671,"x")+1),-$E2671*N(K2671)))</f>
        <v/>
      </c>
      <c r="Z2671" s="34">
        <f>IF(OR($A2671="",$H2671&lt;&gt;"Ausgabe",L2671=""),0,IF(L2671="x",-$E2671/(COUNTIF($J2671:$Q2671,"x")+1),-$E2671*N(L2671)))</f>
        <v/>
      </c>
      <c r="AA2671" s="34">
        <f>IF(OR($A2671="",$H2671&lt;&gt;"Ausgabe",M2671=""),0,IF(M2671="x",-$E2671/(COUNTIF($J2671:$Q2671,"x")+1),-$E2671*N(M2671)))</f>
        <v/>
      </c>
      <c r="AB2671" s="34">
        <f>IF(OR($A2671="",$H2671&lt;&gt;"Ausgabe",N2671=""),0,IF(N2671="x",-$E2671/(COUNTIF($J2671:$Q2671,"x")+1),-$E2671*N(N2671)))</f>
        <v/>
      </c>
      <c r="AC2671" s="34">
        <f>IF(OR($A2671="",$H2671&lt;&gt;"Ausgabe",O2671=""),0,IF(O2671="x",-$E2671/(COUNTIF($J2671:$Q2671,"x")+1),-$E2671*N(O2671)))</f>
        <v/>
      </c>
      <c r="AD2671" s="34">
        <f>IF(OR($A2671="",$H2671&lt;&gt;"Ausgabe",P2671=""),0,IF(P2671="x",-$E2671/(COUNTIF($J2671:$Q2671,"x")+1),-$E2671*N(P2671)))</f>
        <v/>
      </c>
      <c r="AE2671" s="34">
        <f>IF(OR($A2671="",$H2671&lt;&gt;"Ausgabe",Q2671=""),0,IF(Q2671="x",-$E2671/(COUNTIF($J2671:$Q2671,"x")+1),-$E2671*N(Q2671)))</f>
        <v/>
      </c>
    </row>
    <row r="2672">
      <c r="A2672" s="30" t="n"/>
      <c r="E2672" s="31" t="n"/>
      <c r="J2672" s="32" t="n"/>
      <c r="K2672" s="32" t="n"/>
      <c r="L2672" s="32" t="n"/>
      <c r="M2672" s="32" t="n"/>
      <c r="N2672" s="32" t="n"/>
      <c r="O2672" s="32" t="n"/>
      <c r="P2672" s="32" t="n"/>
      <c r="Q2672" s="32" t="n"/>
      <c r="U2672" s="31">
        <f>IF($A2672="","",SUM(X2672:AE2672))</f>
        <v/>
      </c>
      <c r="V2672" s="31">
        <f>IF($A2672="","",IF($H2672&lt;&gt;"Ausgabe",0,-$E2672-$U2672))</f>
        <v/>
      </c>
      <c r="W2672" s="33">
        <f>IF($A2672="","",DATE(YEAR($A2672),MONTH($A2672),1))</f>
        <v/>
      </c>
      <c r="X2672" s="34">
        <f>IF(OR($A2672="",$H2672&lt;&gt;"Ausgabe",J2672=""),0,IF(J2672="x",-$E2672/(COUNTIF($J2672:$Q2672,"x")+1),-$E2672*N(J2672)))</f>
        <v/>
      </c>
      <c r="Y2672" s="34">
        <f>IF(OR($A2672="",$H2672&lt;&gt;"Ausgabe",K2672=""),0,IF(K2672="x",-$E2672/(COUNTIF($J2672:$Q2672,"x")+1),-$E2672*N(K2672)))</f>
        <v/>
      </c>
      <c r="Z2672" s="34">
        <f>IF(OR($A2672="",$H2672&lt;&gt;"Ausgabe",L2672=""),0,IF(L2672="x",-$E2672/(COUNTIF($J2672:$Q2672,"x")+1),-$E2672*N(L2672)))</f>
        <v/>
      </c>
      <c r="AA2672" s="34">
        <f>IF(OR($A2672="",$H2672&lt;&gt;"Ausgabe",M2672=""),0,IF(M2672="x",-$E2672/(COUNTIF($J2672:$Q2672,"x")+1),-$E2672*N(M2672)))</f>
        <v/>
      </c>
      <c r="AB2672" s="34">
        <f>IF(OR($A2672="",$H2672&lt;&gt;"Ausgabe",N2672=""),0,IF(N2672="x",-$E2672/(COUNTIF($J2672:$Q2672,"x")+1),-$E2672*N(N2672)))</f>
        <v/>
      </c>
      <c r="AC2672" s="34">
        <f>IF(OR($A2672="",$H2672&lt;&gt;"Ausgabe",O2672=""),0,IF(O2672="x",-$E2672/(COUNTIF($J2672:$Q2672,"x")+1),-$E2672*N(O2672)))</f>
        <v/>
      </c>
      <c r="AD2672" s="34">
        <f>IF(OR($A2672="",$H2672&lt;&gt;"Ausgabe",P2672=""),0,IF(P2672="x",-$E2672/(COUNTIF($J2672:$Q2672,"x")+1),-$E2672*N(P2672)))</f>
        <v/>
      </c>
      <c r="AE2672" s="34">
        <f>IF(OR($A2672="",$H2672&lt;&gt;"Ausgabe",Q2672=""),0,IF(Q2672="x",-$E2672/(COUNTIF($J2672:$Q2672,"x")+1),-$E2672*N(Q2672)))</f>
        <v/>
      </c>
    </row>
    <row r="2673">
      <c r="A2673" s="30" t="n"/>
      <c r="E2673" s="31" t="n"/>
      <c r="J2673" s="32" t="n"/>
      <c r="K2673" s="32" t="n"/>
      <c r="L2673" s="32" t="n"/>
      <c r="M2673" s="32" t="n"/>
      <c r="N2673" s="32" t="n"/>
      <c r="O2673" s="32" t="n"/>
      <c r="P2673" s="32" t="n"/>
      <c r="Q2673" s="32" t="n"/>
      <c r="U2673" s="31">
        <f>IF($A2673="","",SUM(X2673:AE2673))</f>
        <v/>
      </c>
      <c r="V2673" s="31">
        <f>IF($A2673="","",IF($H2673&lt;&gt;"Ausgabe",0,-$E2673-$U2673))</f>
        <v/>
      </c>
      <c r="W2673" s="33">
        <f>IF($A2673="","",DATE(YEAR($A2673),MONTH($A2673),1))</f>
        <v/>
      </c>
      <c r="X2673" s="34">
        <f>IF(OR($A2673="",$H2673&lt;&gt;"Ausgabe",J2673=""),0,IF(J2673="x",-$E2673/(COUNTIF($J2673:$Q2673,"x")+1),-$E2673*N(J2673)))</f>
        <v/>
      </c>
      <c r="Y2673" s="34">
        <f>IF(OR($A2673="",$H2673&lt;&gt;"Ausgabe",K2673=""),0,IF(K2673="x",-$E2673/(COUNTIF($J2673:$Q2673,"x")+1),-$E2673*N(K2673)))</f>
        <v/>
      </c>
      <c r="Z2673" s="34">
        <f>IF(OR($A2673="",$H2673&lt;&gt;"Ausgabe",L2673=""),0,IF(L2673="x",-$E2673/(COUNTIF($J2673:$Q2673,"x")+1),-$E2673*N(L2673)))</f>
        <v/>
      </c>
      <c r="AA2673" s="34">
        <f>IF(OR($A2673="",$H2673&lt;&gt;"Ausgabe",M2673=""),0,IF(M2673="x",-$E2673/(COUNTIF($J2673:$Q2673,"x")+1),-$E2673*N(M2673)))</f>
        <v/>
      </c>
      <c r="AB2673" s="34">
        <f>IF(OR($A2673="",$H2673&lt;&gt;"Ausgabe",N2673=""),0,IF(N2673="x",-$E2673/(COUNTIF($J2673:$Q2673,"x")+1),-$E2673*N(N2673)))</f>
        <v/>
      </c>
      <c r="AC2673" s="34">
        <f>IF(OR($A2673="",$H2673&lt;&gt;"Ausgabe",O2673=""),0,IF(O2673="x",-$E2673/(COUNTIF($J2673:$Q2673,"x")+1),-$E2673*N(O2673)))</f>
        <v/>
      </c>
      <c r="AD2673" s="34">
        <f>IF(OR($A2673="",$H2673&lt;&gt;"Ausgabe",P2673=""),0,IF(P2673="x",-$E2673/(COUNTIF($J2673:$Q2673,"x")+1),-$E2673*N(P2673)))</f>
        <v/>
      </c>
      <c r="AE2673" s="34">
        <f>IF(OR($A2673="",$H2673&lt;&gt;"Ausgabe",Q2673=""),0,IF(Q2673="x",-$E2673/(COUNTIF($J2673:$Q2673,"x")+1),-$E2673*N(Q2673)))</f>
        <v/>
      </c>
    </row>
    <row r="2674">
      <c r="A2674" s="30" t="n"/>
      <c r="E2674" s="31" t="n"/>
      <c r="J2674" s="32" t="n"/>
      <c r="K2674" s="32" t="n"/>
      <c r="L2674" s="32" t="n"/>
      <c r="M2674" s="32" t="n"/>
      <c r="N2674" s="32" t="n"/>
      <c r="O2674" s="32" t="n"/>
      <c r="P2674" s="32" t="n"/>
      <c r="Q2674" s="32" t="n"/>
      <c r="U2674" s="31">
        <f>IF($A2674="","",SUM(X2674:AE2674))</f>
        <v/>
      </c>
      <c r="V2674" s="31">
        <f>IF($A2674="","",IF($H2674&lt;&gt;"Ausgabe",0,-$E2674-$U2674))</f>
        <v/>
      </c>
      <c r="W2674" s="33">
        <f>IF($A2674="","",DATE(YEAR($A2674),MONTH($A2674),1))</f>
        <v/>
      </c>
      <c r="X2674" s="34">
        <f>IF(OR($A2674="",$H2674&lt;&gt;"Ausgabe",J2674=""),0,IF(J2674="x",-$E2674/(COUNTIF($J2674:$Q2674,"x")+1),-$E2674*N(J2674)))</f>
        <v/>
      </c>
      <c r="Y2674" s="34">
        <f>IF(OR($A2674="",$H2674&lt;&gt;"Ausgabe",K2674=""),0,IF(K2674="x",-$E2674/(COUNTIF($J2674:$Q2674,"x")+1),-$E2674*N(K2674)))</f>
        <v/>
      </c>
      <c r="Z2674" s="34">
        <f>IF(OR($A2674="",$H2674&lt;&gt;"Ausgabe",L2674=""),0,IF(L2674="x",-$E2674/(COUNTIF($J2674:$Q2674,"x")+1),-$E2674*N(L2674)))</f>
        <v/>
      </c>
      <c r="AA2674" s="34">
        <f>IF(OR($A2674="",$H2674&lt;&gt;"Ausgabe",M2674=""),0,IF(M2674="x",-$E2674/(COUNTIF($J2674:$Q2674,"x")+1),-$E2674*N(M2674)))</f>
        <v/>
      </c>
      <c r="AB2674" s="34">
        <f>IF(OR($A2674="",$H2674&lt;&gt;"Ausgabe",N2674=""),0,IF(N2674="x",-$E2674/(COUNTIF($J2674:$Q2674,"x")+1),-$E2674*N(N2674)))</f>
        <v/>
      </c>
      <c r="AC2674" s="34">
        <f>IF(OR($A2674="",$H2674&lt;&gt;"Ausgabe",O2674=""),0,IF(O2674="x",-$E2674/(COUNTIF($J2674:$Q2674,"x")+1),-$E2674*N(O2674)))</f>
        <v/>
      </c>
      <c r="AD2674" s="34">
        <f>IF(OR($A2674="",$H2674&lt;&gt;"Ausgabe",P2674=""),0,IF(P2674="x",-$E2674/(COUNTIF($J2674:$Q2674,"x")+1),-$E2674*N(P2674)))</f>
        <v/>
      </c>
      <c r="AE2674" s="34">
        <f>IF(OR($A2674="",$H2674&lt;&gt;"Ausgabe",Q2674=""),0,IF(Q2674="x",-$E2674/(COUNTIF($J2674:$Q2674,"x")+1),-$E2674*N(Q2674)))</f>
        <v/>
      </c>
    </row>
    <row r="2675">
      <c r="A2675" s="30" t="n"/>
      <c r="E2675" s="31" t="n"/>
      <c r="J2675" s="32" t="n"/>
      <c r="K2675" s="32" t="n"/>
      <c r="L2675" s="32" t="n"/>
      <c r="M2675" s="32" t="n"/>
      <c r="N2675" s="32" t="n"/>
      <c r="O2675" s="32" t="n"/>
      <c r="P2675" s="32" t="n"/>
      <c r="Q2675" s="32" t="n"/>
      <c r="U2675" s="31">
        <f>IF($A2675="","",SUM(X2675:AE2675))</f>
        <v/>
      </c>
      <c r="V2675" s="31">
        <f>IF($A2675="","",IF($H2675&lt;&gt;"Ausgabe",0,-$E2675-$U2675))</f>
        <v/>
      </c>
      <c r="W2675" s="33">
        <f>IF($A2675="","",DATE(YEAR($A2675),MONTH($A2675),1))</f>
        <v/>
      </c>
      <c r="X2675" s="34">
        <f>IF(OR($A2675="",$H2675&lt;&gt;"Ausgabe",J2675=""),0,IF(J2675="x",-$E2675/(COUNTIF($J2675:$Q2675,"x")+1),-$E2675*N(J2675)))</f>
        <v/>
      </c>
      <c r="Y2675" s="34">
        <f>IF(OR($A2675="",$H2675&lt;&gt;"Ausgabe",K2675=""),0,IF(K2675="x",-$E2675/(COUNTIF($J2675:$Q2675,"x")+1),-$E2675*N(K2675)))</f>
        <v/>
      </c>
      <c r="Z2675" s="34">
        <f>IF(OR($A2675="",$H2675&lt;&gt;"Ausgabe",L2675=""),0,IF(L2675="x",-$E2675/(COUNTIF($J2675:$Q2675,"x")+1),-$E2675*N(L2675)))</f>
        <v/>
      </c>
      <c r="AA2675" s="34">
        <f>IF(OR($A2675="",$H2675&lt;&gt;"Ausgabe",M2675=""),0,IF(M2675="x",-$E2675/(COUNTIF($J2675:$Q2675,"x")+1),-$E2675*N(M2675)))</f>
        <v/>
      </c>
      <c r="AB2675" s="34">
        <f>IF(OR($A2675="",$H2675&lt;&gt;"Ausgabe",N2675=""),0,IF(N2675="x",-$E2675/(COUNTIF($J2675:$Q2675,"x")+1),-$E2675*N(N2675)))</f>
        <v/>
      </c>
      <c r="AC2675" s="34">
        <f>IF(OR($A2675="",$H2675&lt;&gt;"Ausgabe",O2675=""),0,IF(O2675="x",-$E2675/(COUNTIF($J2675:$Q2675,"x")+1),-$E2675*N(O2675)))</f>
        <v/>
      </c>
      <c r="AD2675" s="34">
        <f>IF(OR($A2675="",$H2675&lt;&gt;"Ausgabe",P2675=""),0,IF(P2675="x",-$E2675/(COUNTIF($J2675:$Q2675,"x")+1),-$E2675*N(P2675)))</f>
        <v/>
      </c>
      <c r="AE2675" s="34">
        <f>IF(OR($A2675="",$H2675&lt;&gt;"Ausgabe",Q2675=""),0,IF(Q2675="x",-$E2675/(COUNTIF($J2675:$Q2675,"x")+1),-$E2675*N(Q2675)))</f>
        <v/>
      </c>
    </row>
    <row r="2676">
      <c r="A2676" s="30" t="n"/>
      <c r="E2676" s="31" t="n"/>
      <c r="J2676" s="32" t="n"/>
      <c r="K2676" s="32" t="n"/>
      <c r="L2676" s="32" t="n"/>
      <c r="M2676" s="32" t="n"/>
      <c r="N2676" s="32" t="n"/>
      <c r="O2676" s="32" t="n"/>
      <c r="P2676" s="32" t="n"/>
      <c r="Q2676" s="32" t="n"/>
      <c r="U2676" s="31">
        <f>IF($A2676="","",SUM(X2676:AE2676))</f>
        <v/>
      </c>
      <c r="V2676" s="31">
        <f>IF($A2676="","",IF($H2676&lt;&gt;"Ausgabe",0,-$E2676-$U2676))</f>
        <v/>
      </c>
      <c r="W2676" s="33">
        <f>IF($A2676="","",DATE(YEAR($A2676),MONTH($A2676),1))</f>
        <v/>
      </c>
      <c r="X2676" s="34">
        <f>IF(OR($A2676="",$H2676&lt;&gt;"Ausgabe",J2676=""),0,IF(J2676="x",-$E2676/(COUNTIF($J2676:$Q2676,"x")+1),-$E2676*N(J2676)))</f>
        <v/>
      </c>
      <c r="Y2676" s="34">
        <f>IF(OR($A2676="",$H2676&lt;&gt;"Ausgabe",K2676=""),0,IF(K2676="x",-$E2676/(COUNTIF($J2676:$Q2676,"x")+1),-$E2676*N(K2676)))</f>
        <v/>
      </c>
      <c r="Z2676" s="34">
        <f>IF(OR($A2676="",$H2676&lt;&gt;"Ausgabe",L2676=""),0,IF(L2676="x",-$E2676/(COUNTIF($J2676:$Q2676,"x")+1),-$E2676*N(L2676)))</f>
        <v/>
      </c>
      <c r="AA2676" s="34">
        <f>IF(OR($A2676="",$H2676&lt;&gt;"Ausgabe",M2676=""),0,IF(M2676="x",-$E2676/(COUNTIF($J2676:$Q2676,"x")+1),-$E2676*N(M2676)))</f>
        <v/>
      </c>
      <c r="AB2676" s="34">
        <f>IF(OR($A2676="",$H2676&lt;&gt;"Ausgabe",N2676=""),0,IF(N2676="x",-$E2676/(COUNTIF($J2676:$Q2676,"x")+1),-$E2676*N(N2676)))</f>
        <v/>
      </c>
      <c r="AC2676" s="34">
        <f>IF(OR($A2676="",$H2676&lt;&gt;"Ausgabe",O2676=""),0,IF(O2676="x",-$E2676/(COUNTIF($J2676:$Q2676,"x")+1),-$E2676*N(O2676)))</f>
        <v/>
      </c>
      <c r="AD2676" s="34">
        <f>IF(OR($A2676="",$H2676&lt;&gt;"Ausgabe",P2676=""),0,IF(P2676="x",-$E2676/(COUNTIF($J2676:$Q2676,"x")+1),-$E2676*N(P2676)))</f>
        <v/>
      </c>
      <c r="AE2676" s="34">
        <f>IF(OR($A2676="",$H2676&lt;&gt;"Ausgabe",Q2676=""),0,IF(Q2676="x",-$E2676/(COUNTIF($J2676:$Q2676,"x")+1),-$E2676*N(Q2676)))</f>
        <v/>
      </c>
    </row>
    <row r="2677">
      <c r="A2677" s="30" t="n"/>
      <c r="E2677" s="31" t="n"/>
      <c r="J2677" s="32" t="n"/>
      <c r="K2677" s="32" t="n"/>
      <c r="L2677" s="32" t="n"/>
      <c r="M2677" s="32" t="n"/>
      <c r="N2677" s="32" t="n"/>
      <c r="O2677" s="32" t="n"/>
      <c r="P2677" s="32" t="n"/>
      <c r="Q2677" s="32" t="n"/>
      <c r="U2677" s="31">
        <f>IF($A2677="","",SUM(X2677:AE2677))</f>
        <v/>
      </c>
      <c r="V2677" s="31">
        <f>IF($A2677="","",IF($H2677&lt;&gt;"Ausgabe",0,-$E2677-$U2677))</f>
        <v/>
      </c>
      <c r="W2677" s="33">
        <f>IF($A2677="","",DATE(YEAR($A2677),MONTH($A2677),1))</f>
        <v/>
      </c>
      <c r="X2677" s="34">
        <f>IF(OR($A2677="",$H2677&lt;&gt;"Ausgabe",J2677=""),0,IF(J2677="x",-$E2677/(COUNTIF($J2677:$Q2677,"x")+1),-$E2677*N(J2677)))</f>
        <v/>
      </c>
      <c r="Y2677" s="34">
        <f>IF(OR($A2677="",$H2677&lt;&gt;"Ausgabe",K2677=""),0,IF(K2677="x",-$E2677/(COUNTIF($J2677:$Q2677,"x")+1),-$E2677*N(K2677)))</f>
        <v/>
      </c>
      <c r="Z2677" s="34">
        <f>IF(OR($A2677="",$H2677&lt;&gt;"Ausgabe",L2677=""),0,IF(L2677="x",-$E2677/(COUNTIF($J2677:$Q2677,"x")+1),-$E2677*N(L2677)))</f>
        <v/>
      </c>
      <c r="AA2677" s="34">
        <f>IF(OR($A2677="",$H2677&lt;&gt;"Ausgabe",M2677=""),0,IF(M2677="x",-$E2677/(COUNTIF($J2677:$Q2677,"x")+1),-$E2677*N(M2677)))</f>
        <v/>
      </c>
      <c r="AB2677" s="34">
        <f>IF(OR($A2677="",$H2677&lt;&gt;"Ausgabe",N2677=""),0,IF(N2677="x",-$E2677/(COUNTIF($J2677:$Q2677,"x")+1),-$E2677*N(N2677)))</f>
        <v/>
      </c>
      <c r="AC2677" s="34">
        <f>IF(OR($A2677="",$H2677&lt;&gt;"Ausgabe",O2677=""),0,IF(O2677="x",-$E2677/(COUNTIF($J2677:$Q2677,"x")+1),-$E2677*N(O2677)))</f>
        <v/>
      </c>
      <c r="AD2677" s="34">
        <f>IF(OR($A2677="",$H2677&lt;&gt;"Ausgabe",P2677=""),0,IF(P2677="x",-$E2677/(COUNTIF($J2677:$Q2677,"x")+1),-$E2677*N(P2677)))</f>
        <v/>
      </c>
      <c r="AE2677" s="34">
        <f>IF(OR($A2677="",$H2677&lt;&gt;"Ausgabe",Q2677=""),0,IF(Q2677="x",-$E2677/(COUNTIF($J2677:$Q2677,"x")+1),-$E2677*N(Q2677)))</f>
        <v/>
      </c>
    </row>
    <row r="2678">
      <c r="A2678" s="30" t="n"/>
      <c r="E2678" s="31" t="n"/>
      <c r="J2678" s="32" t="n"/>
      <c r="K2678" s="32" t="n"/>
      <c r="L2678" s="32" t="n"/>
      <c r="M2678" s="32" t="n"/>
      <c r="N2678" s="32" t="n"/>
      <c r="O2678" s="32" t="n"/>
      <c r="P2678" s="32" t="n"/>
      <c r="Q2678" s="32" t="n"/>
      <c r="U2678" s="31">
        <f>IF($A2678="","",SUM(X2678:AE2678))</f>
        <v/>
      </c>
      <c r="V2678" s="31">
        <f>IF($A2678="","",IF($H2678&lt;&gt;"Ausgabe",0,-$E2678-$U2678))</f>
        <v/>
      </c>
      <c r="W2678" s="33">
        <f>IF($A2678="","",DATE(YEAR($A2678),MONTH($A2678),1))</f>
        <v/>
      </c>
      <c r="X2678" s="34">
        <f>IF(OR($A2678="",$H2678&lt;&gt;"Ausgabe",J2678=""),0,IF(J2678="x",-$E2678/(COUNTIF($J2678:$Q2678,"x")+1),-$E2678*N(J2678)))</f>
        <v/>
      </c>
      <c r="Y2678" s="34">
        <f>IF(OR($A2678="",$H2678&lt;&gt;"Ausgabe",K2678=""),0,IF(K2678="x",-$E2678/(COUNTIF($J2678:$Q2678,"x")+1),-$E2678*N(K2678)))</f>
        <v/>
      </c>
      <c r="Z2678" s="34">
        <f>IF(OR($A2678="",$H2678&lt;&gt;"Ausgabe",L2678=""),0,IF(L2678="x",-$E2678/(COUNTIF($J2678:$Q2678,"x")+1),-$E2678*N(L2678)))</f>
        <v/>
      </c>
      <c r="AA2678" s="34">
        <f>IF(OR($A2678="",$H2678&lt;&gt;"Ausgabe",M2678=""),0,IF(M2678="x",-$E2678/(COUNTIF($J2678:$Q2678,"x")+1),-$E2678*N(M2678)))</f>
        <v/>
      </c>
      <c r="AB2678" s="34">
        <f>IF(OR($A2678="",$H2678&lt;&gt;"Ausgabe",N2678=""),0,IF(N2678="x",-$E2678/(COUNTIF($J2678:$Q2678,"x")+1),-$E2678*N(N2678)))</f>
        <v/>
      </c>
      <c r="AC2678" s="34">
        <f>IF(OR($A2678="",$H2678&lt;&gt;"Ausgabe",O2678=""),0,IF(O2678="x",-$E2678/(COUNTIF($J2678:$Q2678,"x")+1),-$E2678*N(O2678)))</f>
        <v/>
      </c>
      <c r="AD2678" s="34">
        <f>IF(OR($A2678="",$H2678&lt;&gt;"Ausgabe",P2678=""),0,IF(P2678="x",-$E2678/(COUNTIF($J2678:$Q2678,"x")+1),-$E2678*N(P2678)))</f>
        <v/>
      </c>
      <c r="AE2678" s="34">
        <f>IF(OR($A2678="",$H2678&lt;&gt;"Ausgabe",Q2678=""),0,IF(Q2678="x",-$E2678/(COUNTIF($J2678:$Q2678,"x")+1),-$E2678*N(Q2678)))</f>
        <v/>
      </c>
    </row>
    <row r="2679">
      <c r="A2679" s="30" t="n"/>
      <c r="E2679" s="31" t="n"/>
      <c r="J2679" s="32" t="n"/>
      <c r="K2679" s="32" t="n"/>
      <c r="L2679" s="32" t="n"/>
      <c r="M2679" s="32" t="n"/>
      <c r="N2679" s="32" t="n"/>
      <c r="O2679" s="32" t="n"/>
      <c r="P2679" s="32" t="n"/>
      <c r="Q2679" s="32" t="n"/>
      <c r="U2679" s="31">
        <f>IF($A2679="","",SUM(X2679:AE2679))</f>
        <v/>
      </c>
      <c r="V2679" s="31">
        <f>IF($A2679="","",IF($H2679&lt;&gt;"Ausgabe",0,-$E2679-$U2679))</f>
        <v/>
      </c>
      <c r="W2679" s="33">
        <f>IF($A2679="","",DATE(YEAR($A2679),MONTH($A2679),1))</f>
        <v/>
      </c>
      <c r="X2679" s="34">
        <f>IF(OR($A2679="",$H2679&lt;&gt;"Ausgabe",J2679=""),0,IF(J2679="x",-$E2679/(COUNTIF($J2679:$Q2679,"x")+1),-$E2679*N(J2679)))</f>
        <v/>
      </c>
      <c r="Y2679" s="34">
        <f>IF(OR($A2679="",$H2679&lt;&gt;"Ausgabe",K2679=""),0,IF(K2679="x",-$E2679/(COUNTIF($J2679:$Q2679,"x")+1),-$E2679*N(K2679)))</f>
        <v/>
      </c>
      <c r="Z2679" s="34">
        <f>IF(OR($A2679="",$H2679&lt;&gt;"Ausgabe",L2679=""),0,IF(L2679="x",-$E2679/(COUNTIF($J2679:$Q2679,"x")+1),-$E2679*N(L2679)))</f>
        <v/>
      </c>
      <c r="AA2679" s="34">
        <f>IF(OR($A2679="",$H2679&lt;&gt;"Ausgabe",M2679=""),0,IF(M2679="x",-$E2679/(COUNTIF($J2679:$Q2679,"x")+1),-$E2679*N(M2679)))</f>
        <v/>
      </c>
      <c r="AB2679" s="34">
        <f>IF(OR($A2679="",$H2679&lt;&gt;"Ausgabe",N2679=""),0,IF(N2679="x",-$E2679/(COUNTIF($J2679:$Q2679,"x")+1),-$E2679*N(N2679)))</f>
        <v/>
      </c>
      <c r="AC2679" s="34">
        <f>IF(OR($A2679="",$H2679&lt;&gt;"Ausgabe",O2679=""),0,IF(O2679="x",-$E2679/(COUNTIF($J2679:$Q2679,"x")+1),-$E2679*N(O2679)))</f>
        <v/>
      </c>
      <c r="AD2679" s="34">
        <f>IF(OR($A2679="",$H2679&lt;&gt;"Ausgabe",P2679=""),0,IF(P2679="x",-$E2679/(COUNTIF($J2679:$Q2679,"x")+1),-$E2679*N(P2679)))</f>
        <v/>
      </c>
      <c r="AE2679" s="34">
        <f>IF(OR($A2679="",$H2679&lt;&gt;"Ausgabe",Q2679=""),0,IF(Q2679="x",-$E2679/(COUNTIF($J2679:$Q2679,"x")+1),-$E2679*N(Q2679)))</f>
        <v/>
      </c>
    </row>
    <row r="2680">
      <c r="A2680" s="30" t="n"/>
      <c r="E2680" s="31" t="n"/>
      <c r="J2680" s="32" t="n"/>
      <c r="K2680" s="32" t="n"/>
      <c r="L2680" s="32" t="n"/>
      <c r="M2680" s="32" t="n"/>
      <c r="N2680" s="32" t="n"/>
      <c r="O2680" s="32" t="n"/>
      <c r="P2680" s="32" t="n"/>
      <c r="Q2680" s="32" t="n"/>
      <c r="U2680" s="31">
        <f>IF($A2680="","",SUM(X2680:AE2680))</f>
        <v/>
      </c>
      <c r="V2680" s="31">
        <f>IF($A2680="","",IF($H2680&lt;&gt;"Ausgabe",0,-$E2680-$U2680))</f>
        <v/>
      </c>
      <c r="W2680" s="33">
        <f>IF($A2680="","",DATE(YEAR($A2680),MONTH($A2680),1))</f>
        <v/>
      </c>
      <c r="X2680" s="34">
        <f>IF(OR($A2680="",$H2680&lt;&gt;"Ausgabe",J2680=""),0,IF(J2680="x",-$E2680/(COUNTIF($J2680:$Q2680,"x")+1),-$E2680*N(J2680)))</f>
        <v/>
      </c>
      <c r="Y2680" s="34">
        <f>IF(OR($A2680="",$H2680&lt;&gt;"Ausgabe",K2680=""),0,IF(K2680="x",-$E2680/(COUNTIF($J2680:$Q2680,"x")+1),-$E2680*N(K2680)))</f>
        <v/>
      </c>
      <c r="Z2680" s="34">
        <f>IF(OR($A2680="",$H2680&lt;&gt;"Ausgabe",L2680=""),0,IF(L2680="x",-$E2680/(COUNTIF($J2680:$Q2680,"x")+1),-$E2680*N(L2680)))</f>
        <v/>
      </c>
      <c r="AA2680" s="34">
        <f>IF(OR($A2680="",$H2680&lt;&gt;"Ausgabe",M2680=""),0,IF(M2680="x",-$E2680/(COUNTIF($J2680:$Q2680,"x")+1),-$E2680*N(M2680)))</f>
        <v/>
      </c>
      <c r="AB2680" s="34">
        <f>IF(OR($A2680="",$H2680&lt;&gt;"Ausgabe",N2680=""),0,IF(N2680="x",-$E2680/(COUNTIF($J2680:$Q2680,"x")+1),-$E2680*N(N2680)))</f>
        <v/>
      </c>
      <c r="AC2680" s="34">
        <f>IF(OR($A2680="",$H2680&lt;&gt;"Ausgabe",O2680=""),0,IF(O2680="x",-$E2680/(COUNTIF($J2680:$Q2680,"x")+1),-$E2680*N(O2680)))</f>
        <v/>
      </c>
      <c r="AD2680" s="34">
        <f>IF(OR($A2680="",$H2680&lt;&gt;"Ausgabe",P2680=""),0,IF(P2680="x",-$E2680/(COUNTIF($J2680:$Q2680,"x")+1),-$E2680*N(P2680)))</f>
        <v/>
      </c>
      <c r="AE2680" s="34">
        <f>IF(OR($A2680="",$H2680&lt;&gt;"Ausgabe",Q2680=""),0,IF(Q2680="x",-$E2680/(COUNTIF($J2680:$Q2680,"x")+1),-$E2680*N(Q2680)))</f>
        <v/>
      </c>
    </row>
    <row r="2681">
      <c r="A2681" s="30" t="n"/>
      <c r="E2681" s="31" t="n"/>
      <c r="J2681" s="32" t="n"/>
      <c r="K2681" s="32" t="n"/>
      <c r="L2681" s="32" t="n"/>
      <c r="M2681" s="32" t="n"/>
      <c r="N2681" s="32" t="n"/>
      <c r="O2681" s="32" t="n"/>
      <c r="P2681" s="32" t="n"/>
      <c r="Q2681" s="32" t="n"/>
      <c r="U2681" s="31">
        <f>IF($A2681="","",SUM(X2681:AE2681))</f>
        <v/>
      </c>
      <c r="V2681" s="31">
        <f>IF($A2681="","",IF($H2681&lt;&gt;"Ausgabe",0,-$E2681-$U2681))</f>
        <v/>
      </c>
      <c r="W2681" s="33">
        <f>IF($A2681="","",DATE(YEAR($A2681),MONTH($A2681),1))</f>
        <v/>
      </c>
      <c r="X2681" s="34">
        <f>IF(OR($A2681="",$H2681&lt;&gt;"Ausgabe",J2681=""),0,IF(J2681="x",-$E2681/(COUNTIF($J2681:$Q2681,"x")+1),-$E2681*N(J2681)))</f>
        <v/>
      </c>
      <c r="Y2681" s="34">
        <f>IF(OR($A2681="",$H2681&lt;&gt;"Ausgabe",K2681=""),0,IF(K2681="x",-$E2681/(COUNTIF($J2681:$Q2681,"x")+1),-$E2681*N(K2681)))</f>
        <v/>
      </c>
      <c r="Z2681" s="34">
        <f>IF(OR($A2681="",$H2681&lt;&gt;"Ausgabe",L2681=""),0,IF(L2681="x",-$E2681/(COUNTIF($J2681:$Q2681,"x")+1),-$E2681*N(L2681)))</f>
        <v/>
      </c>
      <c r="AA2681" s="34">
        <f>IF(OR($A2681="",$H2681&lt;&gt;"Ausgabe",M2681=""),0,IF(M2681="x",-$E2681/(COUNTIF($J2681:$Q2681,"x")+1),-$E2681*N(M2681)))</f>
        <v/>
      </c>
      <c r="AB2681" s="34">
        <f>IF(OR($A2681="",$H2681&lt;&gt;"Ausgabe",N2681=""),0,IF(N2681="x",-$E2681/(COUNTIF($J2681:$Q2681,"x")+1),-$E2681*N(N2681)))</f>
        <v/>
      </c>
      <c r="AC2681" s="34">
        <f>IF(OR($A2681="",$H2681&lt;&gt;"Ausgabe",O2681=""),0,IF(O2681="x",-$E2681/(COUNTIF($J2681:$Q2681,"x")+1),-$E2681*N(O2681)))</f>
        <v/>
      </c>
      <c r="AD2681" s="34">
        <f>IF(OR($A2681="",$H2681&lt;&gt;"Ausgabe",P2681=""),0,IF(P2681="x",-$E2681/(COUNTIF($J2681:$Q2681,"x")+1),-$E2681*N(P2681)))</f>
        <v/>
      </c>
      <c r="AE2681" s="34">
        <f>IF(OR($A2681="",$H2681&lt;&gt;"Ausgabe",Q2681=""),0,IF(Q2681="x",-$E2681/(COUNTIF($J2681:$Q2681,"x")+1),-$E2681*N(Q2681)))</f>
        <v/>
      </c>
    </row>
    <row r="2682">
      <c r="A2682" s="30" t="n"/>
      <c r="E2682" s="31" t="n"/>
      <c r="J2682" s="32" t="n"/>
      <c r="K2682" s="32" t="n"/>
      <c r="L2682" s="32" t="n"/>
      <c r="M2682" s="32" t="n"/>
      <c r="N2682" s="32" t="n"/>
      <c r="O2682" s="32" t="n"/>
      <c r="P2682" s="32" t="n"/>
      <c r="Q2682" s="32" t="n"/>
      <c r="U2682" s="31">
        <f>IF($A2682="","",SUM(X2682:AE2682))</f>
        <v/>
      </c>
      <c r="V2682" s="31">
        <f>IF($A2682="","",IF($H2682&lt;&gt;"Ausgabe",0,-$E2682-$U2682))</f>
        <v/>
      </c>
      <c r="W2682" s="33">
        <f>IF($A2682="","",DATE(YEAR($A2682),MONTH($A2682),1))</f>
        <v/>
      </c>
      <c r="X2682" s="34">
        <f>IF(OR($A2682="",$H2682&lt;&gt;"Ausgabe",J2682=""),0,IF(J2682="x",-$E2682/(COUNTIF($J2682:$Q2682,"x")+1),-$E2682*N(J2682)))</f>
        <v/>
      </c>
      <c r="Y2682" s="34">
        <f>IF(OR($A2682="",$H2682&lt;&gt;"Ausgabe",K2682=""),0,IF(K2682="x",-$E2682/(COUNTIF($J2682:$Q2682,"x")+1),-$E2682*N(K2682)))</f>
        <v/>
      </c>
      <c r="Z2682" s="34">
        <f>IF(OR($A2682="",$H2682&lt;&gt;"Ausgabe",L2682=""),0,IF(L2682="x",-$E2682/(COUNTIF($J2682:$Q2682,"x")+1),-$E2682*N(L2682)))</f>
        <v/>
      </c>
      <c r="AA2682" s="34">
        <f>IF(OR($A2682="",$H2682&lt;&gt;"Ausgabe",M2682=""),0,IF(M2682="x",-$E2682/(COUNTIF($J2682:$Q2682,"x")+1),-$E2682*N(M2682)))</f>
        <v/>
      </c>
      <c r="AB2682" s="34">
        <f>IF(OR($A2682="",$H2682&lt;&gt;"Ausgabe",N2682=""),0,IF(N2682="x",-$E2682/(COUNTIF($J2682:$Q2682,"x")+1),-$E2682*N(N2682)))</f>
        <v/>
      </c>
      <c r="AC2682" s="34">
        <f>IF(OR($A2682="",$H2682&lt;&gt;"Ausgabe",O2682=""),0,IF(O2682="x",-$E2682/(COUNTIF($J2682:$Q2682,"x")+1),-$E2682*N(O2682)))</f>
        <v/>
      </c>
      <c r="AD2682" s="34">
        <f>IF(OR($A2682="",$H2682&lt;&gt;"Ausgabe",P2682=""),0,IF(P2682="x",-$E2682/(COUNTIF($J2682:$Q2682,"x")+1),-$E2682*N(P2682)))</f>
        <v/>
      </c>
      <c r="AE2682" s="34">
        <f>IF(OR($A2682="",$H2682&lt;&gt;"Ausgabe",Q2682=""),0,IF(Q2682="x",-$E2682/(COUNTIF($J2682:$Q2682,"x")+1),-$E2682*N(Q2682)))</f>
        <v/>
      </c>
    </row>
    <row r="2683">
      <c r="A2683" s="30" t="n"/>
      <c r="E2683" s="31" t="n"/>
      <c r="J2683" s="32" t="n"/>
      <c r="K2683" s="32" t="n"/>
      <c r="L2683" s="32" t="n"/>
      <c r="M2683" s="32" t="n"/>
      <c r="N2683" s="32" t="n"/>
      <c r="O2683" s="32" t="n"/>
      <c r="P2683" s="32" t="n"/>
      <c r="Q2683" s="32" t="n"/>
      <c r="U2683" s="31">
        <f>IF($A2683="","",SUM(X2683:AE2683))</f>
        <v/>
      </c>
      <c r="V2683" s="31">
        <f>IF($A2683="","",IF($H2683&lt;&gt;"Ausgabe",0,-$E2683-$U2683))</f>
        <v/>
      </c>
      <c r="W2683" s="33">
        <f>IF($A2683="","",DATE(YEAR($A2683),MONTH($A2683),1))</f>
        <v/>
      </c>
      <c r="X2683" s="34">
        <f>IF(OR($A2683="",$H2683&lt;&gt;"Ausgabe",J2683=""),0,IF(J2683="x",-$E2683/(COUNTIF($J2683:$Q2683,"x")+1),-$E2683*N(J2683)))</f>
        <v/>
      </c>
      <c r="Y2683" s="34">
        <f>IF(OR($A2683="",$H2683&lt;&gt;"Ausgabe",K2683=""),0,IF(K2683="x",-$E2683/(COUNTIF($J2683:$Q2683,"x")+1),-$E2683*N(K2683)))</f>
        <v/>
      </c>
      <c r="Z2683" s="34">
        <f>IF(OR($A2683="",$H2683&lt;&gt;"Ausgabe",L2683=""),0,IF(L2683="x",-$E2683/(COUNTIF($J2683:$Q2683,"x")+1),-$E2683*N(L2683)))</f>
        <v/>
      </c>
      <c r="AA2683" s="34">
        <f>IF(OR($A2683="",$H2683&lt;&gt;"Ausgabe",M2683=""),0,IF(M2683="x",-$E2683/(COUNTIF($J2683:$Q2683,"x")+1),-$E2683*N(M2683)))</f>
        <v/>
      </c>
      <c r="AB2683" s="34">
        <f>IF(OR($A2683="",$H2683&lt;&gt;"Ausgabe",N2683=""),0,IF(N2683="x",-$E2683/(COUNTIF($J2683:$Q2683,"x")+1),-$E2683*N(N2683)))</f>
        <v/>
      </c>
      <c r="AC2683" s="34">
        <f>IF(OR($A2683="",$H2683&lt;&gt;"Ausgabe",O2683=""),0,IF(O2683="x",-$E2683/(COUNTIF($J2683:$Q2683,"x")+1),-$E2683*N(O2683)))</f>
        <v/>
      </c>
      <c r="AD2683" s="34">
        <f>IF(OR($A2683="",$H2683&lt;&gt;"Ausgabe",P2683=""),0,IF(P2683="x",-$E2683/(COUNTIF($J2683:$Q2683,"x")+1),-$E2683*N(P2683)))</f>
        <v/>
      </c>
      <c r="AE2683" s="34">
        <f>IF(OR($A2683="",$H2683&lt;&gt;"Ausgabe",Q2683=""),0,IF(Q2683="x",-$E2683/(COUNTIF($J2683:$Q2683,"x")+1),-$E2683*N(Q2683)))</f>
        <v/>
      </c>
    </row>
    <row r="2684">
      <c r="A2684" s="30" t="n"/>
      <c r="E2684" s="31" t="n"/>
      <c r="J2684" s="32" t="n"/>
      <c r="K2684" s="32" t="n"/>
      <c r="L2684" s="32" t="n"/>
      <c r="M2684" s="32" t="n"/>
      <c r="N2684" s="32" t="n"/>
      <c r="O2684" s="32" t="n"/>
      <c r="P2684" s="32" t="n"/>
      <c r="Q2684" s="32" t="n"/>
      <c r="U2684" s="31">
        <f>IF($A2684="","",SUM(X2684:AE2684))</f>
        <v/>
      </c>
      <c r="V2684" s="31">
        <f>IF($A2684="","",IF($H2684&lt;&gt;"Ausgabe",0,-$E2684-$U2684))</f>
        <v/>
      </c>
      <c r="W2684" s="33">
        <f>IF($A2684="","",DATE(YEAR($A2684),MONTH($A2684),1))</f>
        <v/>
      </c>
      <c r="X2684" s="34">
        <f>IF(OR($A2684="",$H2684&lt;&gt;"Ausgabe",J2684=""),0,IF(J2684="x",-$E2684/(COUNTIF($J2684:$Q2684,"x")+1),-$E2684*N(J2684)))</f>
        <v/>
      </c>
      <c r="Y2684" s="34">
        <f>IF(OR($A2684="",$H2684&lt;&gt;"Ausgabe",K2684=""),0,IF(K2684="x",-$E2684/(COUNTIF($J2684:$Q2684,"x")+1),-$E2684*N(K2684)))</f>
        <v/>
      </c>
      <c r="Z2684" s="34">
        <f>IF(OR($A2684="",$H2684&lt;&gt;"Ausgabe",L2684=""),0,IF(L2684="x",-$E2684/(COUNTIF($J2684:$Q2684,"x")+1),-$E2684*N(L2684)))</f>
        <v/>
      </c>
      <c r="AA2684" s="34">
        <f>IF(OR($A2684="",$H2684&lt;&gt;"Ausgabe",M2684=""),0,IF(M2684="x",-$E2684/(COUNTIF($J2684:$Q2684,"x")+1),-$E2684*N(M2684)))</f>
        <v/>
      </c>
      <c r="AB2684" s="34">
        <f>IF(OR($A2684="",$H2684&lt;&gt;"Ausgabe",N2684=""),0,IF(N2684="x",-$E2684/(COUNTIF($J2684:$Q2684,"x")+1),-$E2684*N(N2684)))</f>
        <v/>
      </c>
      <c r="AC2684" s="34">
        <f>IF(OR($A2684="",$H2684&lt;&gt;"Ausgabe",O2684=""),0,IF(O2684="x",-$E2684/(COUNTIF($J2684:$Q2684,"x")+1),-$E2684*N(O2684)))</f>
        <v/>
      </c>
      <c r="AD2684" s="34">
        <f>IF(OR($A2684="",$H2684&lt;&gt;"Ausgabe",P2684=""),0,IF(P2684="x",-$E2684/(COUNTIF($J2684:$Q2684,"x")+1),-$E2684*N(P2684)))</f>
        <v/>
      </c>
      <c r="AE2684" s="34">
        <f>IF(OR($A2684="",$H2684&lt;&gt;"Ausgabe",Q2684=""),0,IF(Q2684="x",-$E2684/(COUNTIF($J2684:$Q2684,"x")+1),-$E2684*N(Q2684)))</f>
        <v/>
      </c>
    </row>
    <row r="2685">
      <c r="A2685" s="30" t="n"/>
      <c r="E2685" s="31" t="n"/>
      <c r="J2685" s="32" t="n"/>
      <c r="K2685" s="32" t="n"/>
      <c r="L2685" s="32" t="n"/>
      <c r="M2685" s="32" t="n"/>
      <c r="N2685" s="32" t="n"/>
      <c r="O2685" s="32" t="n"/>
      <c r="P2685" s="32" t="n"/>
      <c r="Q2685" s="32" t="n"/>
      <c r="U2685" s="31">
        <f>IF($A2685="","",SUM(X2685:AE2685))</f>
        <v/>
      </c>
      <c r="V2685" s="31">
        <f>IF($A2685="","",IF($H2685&lt;&gt;"Ausgabe",0,-$E2685-$U2685))</f>
        <v/>
      </c>
      <c r="W2685" s="33">
        <f>IF($A2685="","",DATE(YEAR($A2685),MONTH($A2685),1))</f>
        <v/>
      </c>
      <c r="X2685" s="34">
        <f>IF(OR($A2685="",$H2685&lt;&gt;"Ausgabe",J2685=""),0,IF(J2685="x",-$E2685/(COUNTIF($J2685:$Q2685,"x")+1),-$E2685*N(J2685)))</f>
        <v/>
      </c>
      <c r="Y2685" s="34">
        <f>IF(OR($A2685="",$H2685&lt;&gt;"Ausgabe",K2685=""),0,IF(K2685="x",-$E2685/(COUNTIF($J2685:$Q2685,"x")+1),-$E2685*N(K2685)))</f>
        <v/>
      </c>
      <c r="Z2685" s="34">
        <f>IF(OR($A2685="",$H2685&lt;&gt;"Ausgabe",L2685=""),0,IF(L2685="x",-$E2685/(COUNTIF($J2685:$Q2685,"x")+1),-$E2685*N(L2685)))</f>
        <v/>
      </c>
      <c r="AA2685" s="34">
        <f>IF(OR($A2685="",$H2685&lt;&gt;"Ausgabe",M2685=""),0,IF(M2685="x",-$E2685/(COUNTIF($J2685:$Q2685,"x")+1),-$E2685*N(M2685)))</f>
        <v/>
      </c>
      <c r="AB2685" s="34">
        <f>IF(OR($A2685="",$H2685&lt;&gt;"Ausgabe",N2685=""),0,IF(N2685="x",-$E2685/(COUNTIF($J2685:$Q2685,"x")+1),-$E2685*N(N2685)))</f>
        <v/>
      </c>
      <c r="AC2685" s="34">
        <f>IF(OR($A2685="",$H2685&lt;&gt;"Ausgabe",O2685=""),0,IF(O2685="x",-$E2685/(COUNTIF($J2685:$Q2685,"x")+1),-$E2685*N(O2685)))</f>
        <v/>
      </c>
      <c r="AD2685" s="34">
        <f>IF(OR($A2685="",$H2685&lt;&gt;"Ausgabe",P2685=""),0,IF(P2685="x",-$E2685/(COUNTIF($J2685:$Q2685,"x")+1),-$E2685*N(P2685)))</f>
        <v/>
      </c>
      <c r="AE2685" s="34">
        <f>IF(OR($A2685="",$H2685&lt;&gt;"Ausgabe",Q2685=""),0,IF(Q2685="x",-$E2685/(COUNTIF($J2685:$Q2685,"x")+1),-$E2685*N(Q2685)))</f>
        <v/>
      </c>
    </row>
    <row r="2686">
      <c r="A2686" s="30" t="n"/>
      <c r="E2686" s="31" t="n"/>
      <c r="J2686" s="32" t="n"/>
      <c r="K2686" s="32" t="n"/>
      <c r="L2686" s="32" t="n"/>
      <c r="M2686" s="32" t="n"/>
      <c r="N2686" s="32" t="n"/>
      <c r="O2686" s="32" t="n"/>
      <c r="P2686" s="32" t="n"/>
      <c r="Q2686" s="32" t="n"/>
      <c r="U2686" s="31">
        <f>IF($A2686="","",SUM(X2686:AE2686))</f>
        <v/>
      </c>
      <c r="V2686" s="31">
        <f>IF($A2686="","",IF($H2686&lt;&gt;"Ausgabe",0,-$E2686-$U2686))</f>
        <v/>
      </c>
      <c r="W2686" s="33">
        <f>IF($A2686="","",DATE(YEAR($A2686),MONTH($A2686),1))</f>
        <v/>
      </c>
      <c r="X2686" s="34">
        <f>IF(OR($A2686="",$H2686&lt;&gt;"Ausgabe",J2686=""),0,IF(J2686="x",-$E2686/(COUNTIF($J2686:$Q2686,"x")+1),-$E2686*N(J2686)))</f>
        <v/>
      </c>
      <c r="Y2686" s="34">
        <f>IF(OR($A2686="",$H2686&lt;&gt;"Ausgabe",K2686=""),0,IF(K2686="x",-$E2686/(COUNTIF($J2686:$Q2686,"x")+1),-$E2686*N(K2686)))</f>
        <v/>
      </c>
      <c r="Z2686" s="34">
        <f>IF(OR($A2686="",$H2686&lt;&gt;"Ausgabe",L2686=""),0,IF(L2686="x",-$E2686/(COUNTIF($J2686:$Q2686,"x")+1),-$E2686*N(L2686)))</f>
        <v/>
      </c>
      <c r="AA2686" s="34">
        <f>IF(OR($A2686="",$H2686&lt;&gt;"Ausgabe",M2686=""),0,IF(M2686="x",-$E2686/(COUNTIF($J2686:$Q2686,"x")+1),-$E2686*N(M2686)))</f>
        <v/>
      </c>
      <c r="AB2686" s="34">
        <f>IF(OR($A2686="",$H2686&lt;&gt;"Ausgabe",N2686=""),0,IF(N2686="x",-$E2686/(COUNTIF($J2686:$Q2686,"x")+1),-$E2686*N(N2686)))</f>
        <v/>
      </c>
      <c r="AC2686" s="34">
        <f>IF(OR($A2686="",$H2686&lt;&gt;"Ausgabe",O2686=""),0,IF(O2686="x",-$E2686/(COUNTIF($J2686:$Q2686,"x")+1),-$E2686*N(O2686)))</f>
        <v/>
      </c>
      <c r="AD2686" s="34">
        <f>IF(OR($A2686="",$H2686&lt;&gt;"Ausgabe",P2686=""),0,IF(P2686="x",-$E2686/(COUNTIF($J2686:$Q2686,"x")+1),-$E2686*N(P2686)))</f>
        <v/>
      </c>
      <c r="AE2686" s="34">
        <f>IF(OR($A2686="",$H2686&lt;&gt;"Ausgabe",Q2686=""),0,IF(Q2686="x",-$E2686/(COUNTIF($J2686:$Q2686,"x")+1),-$E2686*N(Q2686)))</f>
        <v/>
      </c>
    </row>
    <row r="2687">
      <c r="A2687" s="30" t="n"/>
      <c r="E2687" s="31" t="n"/>
      <c r="J2687" s="32" t="n"/>
      <c r="K2687" s="32" t="n"/>
      <c r="L2687" s="32" t="n"/>
      <c r="M2687" s="32" t="n"/>
      <c r="N2687" s="32" t="n"/>
      <c r="O2687" s="32" t="n"/>
      <c r="P2687" s="32" t="n"/>
      <c r="Q2687" s="32" t="n"/>
      <c r="U2687" s="31">
        <f>IF($A2687="","",SUM(X2687:AE2687))</f>
        <v/>
      </c>
      <c r="V2687" s="31">
        <f>IF($A2687="","",IF($H2687&lt;&gt;"Ausgabe",0,-$E2687-$U2687))</f>
        <v/>
      </c>
      <c r="W2687" s="33">
        <f>IF($A2687="","",DATE(YEAR($A2687),MONTH($A2687),1))</f>
        <v/>
      </c>
      <c r="X2687" s="34">
        <f>IF(OR($A2687="",$H2687&lt;&gt;"Ausgabe",J2687=""),0,IF(J2687="x",-$E2687/(COUNTIF($J2687:$Q2687,"x")+1),-$E2687*N(J2687)))</f>
        <v/>
      </c>
      <c r="Y2687" s="34">
        <f>IF(OR($A2687="",$H2687&lt;&gt;"Ausgabe",K2687=""),0,IF(K2687="x",-$E2687/(COUNTIF($J2687:$Q2687,"x")+1),-$E2687*N(K2687)))</f>
        <v/>
      </c>
      <c r="Z2687" s="34">
        <f>IF(OR($A2687="",$H2687&lt;&gt;"Ausgabe",L2687=""),0,IF(L2687="x",-$E2687/(COUNTIF($J2687:$Q2687,"x")+1),-$E2687*N(L2687)))</f>
        <v/>
      </c>
      <c r="AA2687" s="34">
        <f>IF(OR($A2687="",$H2687&lt;&gt;"Ausgabe",M2687=""),0,IF(M2687="x",-$E2687/(COUNTIF($J2687:$Q2687,"x")+1),-$E2687*N(M2687)))</f>
        <v/>
      </c>
      <c r="AB2687" s="34">
        <f>IF(OR($A2687="",$H2687&lt;&gt;"Ausgabe",N2687=""),0,IF(N2687="x",-$E2687/(COUNTIF($J2687:$Q2687,"x")+1),-$E2687*N(N2687)))</f>
        <v/>
      </c>
      <c r="AC2687" s="34">
        <f>IF(OR($A2687="",$H2687&lt;&gt;"Ausgabe",O2687=""),0,IF(O2687="x",-$E2687/(COUNTIF($J2687:$Q2687,"x")+1),-$E2687*N(O2687)))</f>
        <v/>
      </c>
      <c r="AD2687" s="34">
        <f>IF(OR($A2687="",$H2687&lt;&gt;"Ausgabe",P2687=""),0,IF(P2687="x",-$E2687/(COUNTIF($J2687:$Q2687,"x")+1),-$E2687*N(P2687)))</f>
        <v/>
      </c>
      <c r="AE2687" s="34">
        <f>IF(OR($A2687="",$H2687&lt;&gt;"Ausgabe",Q2687=""),0,IF(Q2687="x",-$E2687/(COUNTIF($J2687:$Q2687,"x")+1),-$E2687*N(Q2687)))</f>
        <v/>
      </c>
    </row>
    <row r="2688">
      <c r="A2688" s="30" t="n"/>
      <c r="E2688" s="31" t="n"/>
      <c r="J2688" s="32" t="n"/>
      <c r="K2688" s="32" t="n"/>
      <c r="L2688" s="32" t="n"/>
      <c r="M2688" s="32" t="n"/>
      <c r="N2688" s="32" t="n"/>
      <c r="O2688" s="32" t="n"/>
      <c r="P2688" s="32" t="n"/>
      <c r="Q2688" s="32" t="n"/>
      <c r="U2688" s="31">
        <f>IF($A2688="","",SUM(X2688:AE2688))</f>
        <v/>
      </c>
      <c r="V2688" s="31">
        <f>IF($A2688="","",IF($H2688&lt;&gt;"Ausgabe",0,-$E2688-$U2688))</f>
        <v/>
      </c>
      <c r="W2688" s="33">
        <f>IF($A2688="","",DATE(YEAR($A2688),MONTH($A2688),1))</f>
        <v/>
      </c>
      <c r="X2688" s="34">
        <f>IF(OR($A2688="",$H2688&lt;&gt;"Ausgabe",J2688=""),0,IF(J2688="x",-$E2688/(COUNTIF($J2688:$Q2688,"x")+1),-$E2688*N(J2688)))</f>
        <v/>
      </c>
      <c r="Y2688" s="34">
        <f>IF(OR($A2688="",$H2688&lt;&gt;"Ausgabe",K2688=""),0,IF(K2688="x",-$E2688/(COUNTIF($J2688:$Q2688,"x")+1),-$E2688*N(K2688)))</f>
        <v/>
      </c>
      <c r="Z2688" s="34">
        <f>IF(OR($A2688="",$H2688&lt;&gt;"Ausgabe",L2688=""),0,IF(L2688="x",-$E2688/(COUNTIF($J2688:$Q2688,"x")+1),-$E2688*N(L2688)))</f>
        <v/>
      </c>
      <c r="AA2688" s="34">
        <f>IF(OR($A2688="",$H2688&lt;&gt;"Ausgabe",M2688=""),0,IF(M2688="x",-$E2688/(COUNTIF($J2688:$Q2688,"x")+1),-$E2688*N(M2688)))</f>
        <v/>
      </c>
      <c r="AB2688" s="34">
        <f>IF(OR($A2688="",$H2688&lt;&gt;"Ausgabe",N2688=""),0,IF(N2688="x",-$E2688/(COUNTIF($J2688:$Q2688,"x")+1),-$E2688*N(N2688)))</f>
        <v/>
      </c>
      <c r="AC2688" s="34">
        <f>IF(OR($A2688="",$H2688&lt;&gt;"Ausgabe",O2688=""),0,IF(O2688="x",-$E2688/(COUNTIF($J2688:$Q2688,"x")+1),-$E2688*N(O2688)))</f>
        <v/>
      </c>
      <c r="AD2688" s="34">
        <f>IF(OR($A2688="",$H2688&lt;&gt;"Ausgabe",P2688=""),0,IF(P2688="x",-$E2688/(COUNTIF($J2688:$Q2688,"x")+1),-$E2688*N(P2688)))</f>
        <v/>
      </c>
      <c r="AE2688" s="34">
        <f>IF(OR($A2688="",$H2688&lt;&gt;"Ausgabe",Q2688=""),0,IF(Q2688="x",-$E2688/(COUNTIF($J2688:$Q2688,"x")+1),-$E2688*N(Q2688)))</f>
        <v/>
      </c>
    </row>
    <row r="2689">
      <c r="A2689" s="30" t="n"/>
      <c r="E2689" s="31" t="n"/>
      <c r="J2689" s="32" t="n"/>
      <c r="K2689" s="32" t="n"/>
      <c r="L2689" s="32" t="n"/>
      <c r="M2689" s="32" t="n"/>
      <c r="N2689" s="32" t="n"/>
      <c r="O2689" s="32" t="n"/>
      <c r="P2689" s="32" t="n"/>
      <c r="Q2689" s="32" t="n"/>
      <c r="U2689" s="31">
        <f>IF($A2689="","",SUM(X2689:AE2689))</f>
        <v/>
      </c>
      <c r="V2689" s="31">
        <f>IF($A2689="","",IF($H2689&lt;&gt;"Ausgabe",0,-$E2689-$U2689))</f>
        <v/>
      </c>
      <c r="W2689" s="33">
        <f>IF($A2689="","",DATE(YEAR($A2689),MONTH($A2689),1))</f>
        <v/>
      </c>
      <c r="X2689" s="34">
        <f>IF(OR($A2689="",$H2689&lt;&gt;"Ausgabe",J2689=""),0,IF(J2689="x",-$E2689/(COUNTIF($J2689:$Q2689,"x")+1),-$E2689*N(J2689)))</f>
        <v/>
      </c>
      <c r="Y2689" s="34">
        <f>IF(OR($A2689="",$H2689&lt;&gt;"Ausgabe",K2689=""),0,IF(K2689="x",-$E2689/(COUNTIF($J2689:$Q2689,"x")+1),-$E2689*N(K2689)))</f>
        <v/>
      </c>
      <c r="Z2689" s="34">
        <f>IF(OR($A2689="",$H2689&lt;&gt;"Ausgabe",L2689=""),0,IF(L2689="x",-$E2689/(COUNTIF($J2689:$Q2689,"x")+1),-$E2689*N(L2689)))</f>
        <v/>
      </c>
      <c r="AA2689" s="34">
        <f>IF(OR($A2689="",$H2689&lt;&gt;"Ausgabe",M2689=""),0,IF(M2689="x",-$E2689/(COUNTIF($J2689:$Q2689,"x")+1),-$E2689*N(M2689)))</f>
        <v/>
      </c>
      <c r="AB2689" s="34">
        <f>IF(OR($A2689="",$H2689&lt;&gt;"Ausgabe",N2689=""),0,IF(N2689="x",-$E2689/(COUNTIF($J2689:$Q2689,"x")+1),-$E2689*N(N2689)))</f>
        <v/>
      </c>
      <c r="AC2689" s="34">
        <f>IF(OR($A2689="",$H2689&lt;&gt;"Ausgabe",O2689=""),0,IF(O2689="x",-$E2689/(COUNTIF($J2689:$Q2689,"x")+1),-$E2689*N(O2689)))</f>
        <v/>
      </c>
      <c r="AD2689" s="34">
        <f>IF(OR($A2689="",$H2689&lt;&gt;"Ausgabe",P2689=""),0,IF(P2689="x",-$E2689/(COUNTIF($J2689:$Q2689,"x")+1),-$E2689*N(P2689)))</f>
        <v/>
      </c>
      <c r="AE2689" s="34">
        <f>IF(OR($A2689="",$H2689&lt;&gt;"Ausgabe",Q2689=""),0,IF(Q2689="x",-$E2689/(COUNTIF($J2689:$Q2689,"x")+1),-$E2689*N(Q2689)))</f>
        <v/>
      </c>
    </row>
    <row r="2690">
      <c r="A2690" s="30" t="n"/>
      <c r="E2690" s="31" t="n"/>
      <c r="J2690" s="32" t="n"/>
      <c r="K2690" s="32" t="n"/>
      <c r="L2690" s="32" t="n"/>
      <c r="M2690" s="32" t="n"/>
      <c r="N2690" s="32" t="n"/>
      <c r="O2690" s="32" t="n"/>
      <c r="P2690" s="32" t="n"/>
      <c r="Q2690" s="32" t="n"/>
      <c r="U2690" s="31">
        <f>IF($A2690="","",SUM(X2690:AE2690))</f>
        <v/>
      </c>
      <c r="V2690" s="31">
        <f>IF($A2690="","",IF($H2690&lt;&gt;"Ausgabe",0,-$E2690-$U2690))</f>
        <v/>
      </c>
      <c r="W2690" s="33">
        <f>IF($A2690="","",DATE(YEAR($A2690),MONTH($A2690),1))</f>
        <v/>
      </c>
      <c r="X2690" s="34">
        <f>IF(OR($A2690="",$H2690&lt;&gt;"Ausgabe",J2690=""),0,IF(J2690="x",-$E2690/(COUNTIF($J2690:$Q2690,"x")+1),-$E2690*N(J2690)))</f>
        <v/>
      </c>
      <c r="Y2690" s="34">
        <f>IF(OR($A2690="",$H2690&lt;&gt;"Ausgabe",K2690=""),0,IF(K2690="x",-$E2690/(COUNTIF($J2690:$Q2690,"x")+1),-$E2690*N(K2690)))</f>
        <v/>
      </c>
      <c r="Z2690" s="34">
        <f>IF(OR($A2690="",$H2690&lt;&gt;"Ausgabe",L2690=""),0,IF(L2690="x",-$E2690/(COUNTIF($J2690:$Q2690,"x")+1),-$E2690*N(L2690)))</f>
        <v/>
      </c>
      <c r="AA2690" s="34">
        <f>IF(OR($A2690="",$H2690&lt;&gt;"Ausgabe",M2690=""),0,IF(M2690="x",-$E2690/(COUNTIF($J2690:$Q2690,"x")+1),-$E2690*N(M2690)))</f>
        <v/>
      </c>
      <c r="AB2690" s="34">
        <f>IF(OR($A2690="",$H2690&lt;&gt;"Ausgabe",N2690=""),0,IF(N2690="x",-$E2690/(COUNTIF($J2690:$Q2690,"x")+1),-$E2690*N(N2690)))</f>
        <v/>
      </c>
      <c r="AC2690" s="34">
        <f>IF(OR($A2690="",$H2690&lt;&gt;"Ausgabe",O2690=""),0,IF(O2690="x",-$E2690/(COUNTIF($J2690:$Q2690,"x")+1),-$E2690*N(O2690)))</f>
        <v/>
      </c>
      <c r="AD2690" s="34">
        <f>IF(OR($A2690="",$H2690&lt;&gt;"Ausgabe",P2690=""),0,IF(P2690="x",-$E2690/(COUNTIF($J2690:$Q2690,"x")+1),-$E2690*N(P2690)))</f>
        <v/>
      </c>
      <c r="AE2690" s="34">
        <f>IF(OR($A2690="",$H2690&lt;&gt;"Ausgabe",Q2690=""),0,IF(Q2690="x",-$E2690/(COUNTIF($J2690:$Q2690,"x")+1),-$E2690*N(Q2690)))</f>
        <v/>
      </c>
    </row>
    <row r="2691">
      <c r="A2691" s="30" t="n"/>
      <c r="E2691" s="31" t="n"/>
      <c r="J2691" s="32" t="n"/>
      <c r="K2691" s="32" t="n"/>
      <c r="L2691" s="32" t="n"/>
      <c r="M2691" s="32" t="n"/>
      <c r="N2691" s="32" t="n"/>
      <c r="O2691" s="32" t="n"/>
      <c r="P2691" s="32" t="n"/>
      <c r="Q2691" s="32" t="n"/>
      <c r="U2691" s="31">
        <f>IF($A2691="","",SUM(X2691:AE2691))</f>
        <v/>
      </c>
      <c r="V2691" s="31">
        <f>IF($A2691="","",IF($H2691&lt;&gt;"Ausgabe",0,-$E2691-$U2691))</f>
        <v/>
      </c>
      <c r="W2691" s="33">
        <f>IF($A2691="","",DATE(YEAR($A2691),MONTH($A2691),1))</f>
        <v/>
      </c>
      <c r="X2691" s="34">
        <f>IF(OR($A2691="",$H2691&lt;&gt;"Ausgabe",J2691=""),0,IF(J2691="x",-$E2691/(COUNTIF($J2691:$Q2691,"x")+1),-$E2691*N(J2691)))</f>
        <v/>
      </c>
      <c r="Y2691" s="34">
        <f>IF(OR($A2691="",$H2691&lt;&gt;"Ausgabe",K2691=""),0,IF(K2691="x",-$E2691/(COUNTIF($J2691:$Q2691,"x")+1),-$E2691*N(K2691)))</f>
        <v/>
      </c>
      <c r="Z2691" s="34">
        <f>IF(OR($A2691="",$H2691&lt;&gt;"Ausgabe",L2691=""),0,IF(L2691="x",-$E2691/(COUNTIF($J2691:$Q2691,"x")+1),-$E2691*N(L2691)))</f>
        <v/>
      </c>
      <c r="AA2691" s="34">
        <f>IF(OR($A2691="",$H2691&lt;&gt;"Ausgabe",M2691=""),0,IF(M2691="x",-$E2691/(COUNTIF($J2691:$Q2691,"x")+1),-$E2691*N(M2691)))</f>
        <v/>
      </c>
      <c r="AB2691" s="34">
        <f>IF(OR($A2691="",$H2691&lt;&gt;"Ausgabe",N2691=""),0,IF(N2691="x",-$E2691/(COUNTIF($J2691:$Q2691,"x")+1),-$E2691*N(N2691)))</f>
        <v/>
      </c>
      <c r="AC2691" s="34">
        <f>IF(OR($A2691="",$H2691&lt;&gt;"Ausgabe",O2691=""),0,IF(O2691="x",-$E2691/(COUNTIF($J2691:$Q2691,"x")+1),-$E2691*N(O2691)))</f>
        <v/>
      </c>
      <c r="AD2691" s="34">
        <f>IF(OR($A2691="",$H2691&lt;&gt;"Ausgabe",P2691=""),0,IF(P2691="x",-$E2691/(COUNTIF($J2691:$Q2691,"x")+1),-$E2691*N(P2691)))</f>
        <v/>
      </c>
      <c r="AE2691" s="34">
        <f>IF(OR($A2691="",$H2691&lt;&gt;"Ausgabe",Q2691=""),0,IF(Q2691="x",-$E2691/(COUNTIF($J2691:$Q2691,"x")+1),-$E2691*N(Q2691)))</f>
        <v/>
      </c>
    </row>
    <row r="2692">
      <c r="A2692" s="30" t="n"/>
      <c r="E2692" s="31" t="n"/>
      <c r="J2692" s="32" t="n"/>
      <c r="K2692" s="32" t="n"/>
      <c r="L2692" s="32" t="n"/>
      <c r="M2692" s="32" t="n"/>
      <c r="N2692" s="32" t="n"/>
      <c r="O2692" s="32" t="n"/>
      <c r="P2692" s="32" t="n"/>
      <c r="Q2692" s="32" t="n"/>
      <c r="U2692" s="31">
        <f>IF($A2692="","",SUM(X2692:AE2692))</f>
        <v/>
      </c>
      <c r="V2692" s="31">
        <f>IF($A2692="","",IF($H2692&lt;&gt;"Ausgabe",0,-$E2692-$U2692))</f>
        <v/>
      </c>
      <c r="W2692" s="33">
        <f>IF($A2692="","",DATE(YEAR($A2692),MONTH($A2692),1))</f>
        <v/>
      </c>
      <c r="X2692" s="34">
        <f>IF(OR($A2692="",$H2692&lt;&gt;"Ausgabe",J2692=""),0,IF(J2692="x",-$E2692/(COUNTIF($J2692:$Q2692,"x")+1),-$E2692*N(J2692)))</f>
        <v/>
      </c>
      <c r="Y2692" s="34">
        <f>IF(OR($A2692="",$H2692&lt;&gt;"Ausgabe",K2692=""),0,IF(K2692="x",-$E2692/(COUNTIF($J2692:$Q2692,"x")+1),-$E2692*N(K2692)))</f>
        <v/>
      </c>
      <c r="Z2692" s="34">
        <f>IF(OR($A2692="",$H2692&lt;&gt;"Ausgabe",L2692=""),0,IF(L2692="x",-$E2692/(COUNTIF($J2692:$Q2692,"x")+1),-$E2692*N(L2692)))</f>
        <v/>
      </c>
      <c r="AA2692" s="34">
        <f>IF(OR($A2692="",$H2692&lt;&gt;"Ausgabe",M2692=""),0,IF(M2692="x",-$E2692/(COUNTIF($J2692:$Q2692,"x")+1),-$E2692*N(M2692)))</f>
        <v/>
      </c>
      <c r="AB2692" s="34">
        <f>IF(OR($A2692="",$H2692&lt;&gt;"Ausgabe",N2692=""),0,IF(N2692="x",-$E2692/(COUNTIF($J2692:$Q2692,"x")+1),-$E2692*N(N2692)))</f>
        <v/>
      </c>
      <c r="AC2692" s="34">
        <f>IF(OR($A2692="",$H2692&lt;&gt;"Ausgabe",O2692=""),0,IF(O2692="x",-$E2692/(COUNTIF($J2692:$Q2692,"x")+1),-$E2692*N(O2692)))</f>
        <v/>
      </c>
      <c r="AD2692" s="34">
        <f>IF(OR($A2692="",$H2692&lt;&gt;"Ausgabe",P2692=""),0,IF(P2692="x",-$E2692/(COUNTIF($J2692:$Q2692,"x")+1),-$E2692*N(P2692)))</f>
        <v/>
      </c>
      <c r="AE2692" s="34">
        <f>IF(OR($A2692="",$H2692&lt;&gt;"Ausgabe",Q2692=""),0,IF(Q2692="x",-$E2692/(COUNTIF($J2692:$Q2692,"x")+1),-$E2692*N(Q2692)))</f>
        <v/>
      </c>
    </row>
    <row r="2693">
      <c r="A2693" s="30" t="n"/>
      <c r="E2693" s="31" t="n"/>
      <c r="J2693" s="32" t="n"/>
      <c r="K2693" s="32" t="n"/>
      <c r="L2693" s="32" t="n"/>
      <c r="M2693" s="32" t="n"/>
      <c r="N2693" s="32" t="n"/>
      <c r="O2693" s="32" t="n"/>
      <c r="P2693" s="32" t="n"/>
      <c r="Q2693" s="32" t="n"/>
      <c r="U2693" s="31">
        <f>IF($A2693="","",SUM(X2693:AE2693))</f>
        <v/>
      </c>
      <c r="V2693" s="31">
        <f>IF($A2693="","",IF($H2693&lt;&gt;"Ausgabe",0,-$E2693-$U2693))</f>
        <v/>
      </c>
      <c r="W2693" s="33">
        <f>IF($A2693="","",DATE(YEAR($A2693),MONTH($A2693),1))</f>
        <v/>
      </c>
      <c r="X2693" s="34">
        <f>IF(OR($A2693="",$H2693&lt;&gt;"Ausgabe",J2693=""),0,IF(J2693="x",-$E2693/(COUNTIF($J2693:$Q2693,"x")+1),-$E2693*N(J2693)))</f>
        <v/>
      </c>
      <c r="Y2693" s="34">
        <f>IF(OR($A2693="",$H2693&lt;&gt;"Ausgabe",K2693=""),0,IF(K2693="x",-$E2693/(COUNTIF($J2693:$Q2693,"x")+1),-$E2693*N(K2693)))</f>
        <v/>
      </c>
      <c r="Z2693" s="34">
        <f>IF(OR($A2693="",$H2693&lt;&gt;"Ausgabe",L2693=""),0,IF(L2693="x",-$E2693/(COUNTIF($J2693:$Q2693,"x")+1),-$E2693*N(L2693)))</f>
        <v/>
      </c>
      <c r="AA2693" s="34">
        <f>IF(OR($A2693="",$H2693&lt;&gt;"Ausgabe",M2693=""),0,IF(M2693="x",-$E2693/(COUNTIF($J2693:$Q2693,"x")+1),-$E2693*N(M2693)))</f>
        <v/>
      </c>
      <c r="AB2693" s="34">
        <f>IF(OR($A2693="",$H2693&lt;&gt;"Ausgabe",N2693=""),0,IF(N2693="x",-$E2693/(COUNTIF($J2693:$Q2693,"x")+1),-$E2693*N(N2693)))</f>
        <v/>
      </c>
      <c r="AC2693" s="34">
        <f>IF(OR($A2693="",$H2693&lt;&gt;"Ausgabe",O2693=""),0,IF(O2693="x",-$E2693/(COUNTIF($J2693:$Q2693,"x")+1),-$E2693*N(O2693)))</f>
        <v/>
      </c>
      <c r="AD2693" s="34">
        <f>IF(OR($A2693="",$H2693&lt;&gt;"Ausgabe",P2693=""),0,IF(P2693="x",-$E2693/(COUNTIF($J2693:$Q2693,"x")+1),-$E2693*N(P2693)))</f>
        <v/>
      </c>
      <c r="AE2693" s="34">
        <f>IF(OR($A2693="",$H2693&lt;&gt;"Ausgabe",Q2693=""),0,IF(Q2693="x",-$E2693/(COUNTIF($J2693:$Q2693,"x")+1),-$E2693*N(Q2693)))</f>
        <v/>
      </c>
    </row>
    <row r="2694">
      <c r="A2694" s="30" t="n"/>
      <c r="E2694" s="31" t="n"/>
      <c r="J2694" s="32" t="n"/>
      <c r="K2694" s="32" t="n"/>
      <c r="L2694" s="32" t="n"/>
      <c r="M2694" s="32" t="n"/>
      <c r="N2694" s="32" t="n"/>
      <c r="O2694" s="32" t="n"/>
      <c r="P2694" s="32" t="n"/>
      <c r="Q2694" s="32" t="n"/>
      <c r="U2694" s="31">
        <f>IF($A2694="","",SUM(X2694:AE2694))</f>
        <v/>
      </c>
      <c r="V2694" s="31">
        <f>IF($A2694="","",IF($H2694&lt;&gt;"Ausgabe",0,-$E2694-$U2694))</f>
        <v/>
      </c>
      <c r="W2694" s="33">
        <f>IF($A2694="","",DATE(YEAR($A2694),MONTH($A2694),1))</f>
        <v/>
      </c>
      <c r="X2694" s="34">
        <f>IF(OR($A2694="",$H2694&lt;&gt;"Ausgabe",J2694=""),0,IF(J2694="x",-$E2694/(COUNTIF($J2694:$Q2694,"x")+1),-$E2694*N(J2694)))</f>
        <v/>
      </c>
      <c r="Y2694" s="34">
        <f>IF(OR($A2694="",$H2694&lt;&gt;"Ausgabe",K2694=""),0,IF(K2694="x",-$E2694/(COUNTIF($J2694:$Q2694,"x")+1),-$E2694*N(K2694)))</f>
        <v/>
      </c>
      <c r="Z2694" s="34">
        <f>IF(OR($A2694="",$H2694&lt;&gt;"Ausgabe",L2694=""),0,IF(L2694="x",-$E2694/(COUNTIF($J2694:$Q2694,"x")+1),-$E2694*N(L2694)))</f>
        <v/>
      </c>
      <c r="AA2694" s="34">
        <f>IF(OR($A2694="",$H2694&lt;&gt;"Ausgabe",M2694=""),0,IF(M2694="x",-$E2694/(COUNTIF($J2694:$Q2694,"x")+1),-$E2694*N(M2694)))</f>
        <v/>
      </c>
      <c r="AB2694" s="34">
        <f>IF(OR($A2694="",$H2694&lt;&gt;"Ausgabe",N2694=""),0,IF(N2694="x",-$E2694/(COUNTIF($J2694:$Q2694,"x")+1),-$E2694*N(N2694)))</f>
        <v/>
      </c>
      <c r="AC2694" s="34">
        <f>IF(OR($A2694="",$H2694&lt;&gt;"Ausgabe",O2694=""),0,IF(O2694="x",-$E2694/(COUNTIF($J2694:$Q2694,"x")+1),-$E2694*N(O2694)))</f>
        <v/>
      </c>
      <c r="AD2694" s="34">
        <f>IF(OR($A2694="",$H2694&lt;&gt;"Ausgabe",P2694=""),0,IF(P2694="x",-$E2694/(COUNTIF($J2694:$Q2694,"x")+1),-$E2694*N(P2694)))</f>
        <v/>
      </c>
      <c r="AE2694" s="34">
        <f>IF(OR($A2694="",$H2694&lt;&gt;"Ausgabe",Q2694=""),0,IF(Q2694="x",-$E2694/(COUNTIF($J2694:$Q2694,"x")+1),-$E2694*N(Q2694)))</f>
        <v/>
      </c>
    </row>
    <row r="2695">
      <c r="A2695" s="30" t="n"/>
      <c r="E2695" s="31" t="n"/>
      <c r="J2695" s="32" t="n"/>
      <c r="K2695" s="32" t="n"/>
      <c r="L2695" s="32" t="n"/>
      <c r="M2695" s="32" t="n"/>
      <c r="N2695" s="32" t="n"/>
      <c r="O2695" s="32" t="n"/>
      <c r="P2695" s="32" t="n"/>
      <c r="Q2695" s="32" t="n"/>
      <c r="U2695" s="31">
        <f>IF($A2695="","",SUM(X2695:AE2695))</f>
        <v/>
      </c>
      <c r="V2695" s="31">
        <f>IF($A2695="","",IF($H2695&lt;&gt;"Ausgabe",0,-$E2695-$U2695))</f>
        <v/>
      </c>
      <c r="W2695" s="33">
        <f>IF($A2695="","",DATE(YEAR($A2695),MONTH($A2695),1))</f>
        <v/>
      </c>
      <c r="X2695" s="34">
        <f>IF(OR($A2695="",$H2695&lt;&gt;"Ausgabe",J2695=""),0,IF(J2695="x",-$E2695/(COUNTIF($J2695:$Q2695,"x")+1),-$E2695*N(J2695)))</f>
        <v/>
      </c>
      <c r="Y2695" s="34">
        <f>IF(OR($A2695="",$H2695&lt;&gt;"Ausgabe",K2695=""),0,IF(K2695="x",-$E2695/(COUNTIF($J2695:$Q2695,"x")+1),-$E2695*N(K2695)))</f>
        <v/>
      </c>
      <c r="Z2695" s="34">
        <f>IF(OR($A2695="",$H2695&lt;&gt;"Ausgabe",L2695=""),0,IF(L2695="x",-$E2695/(COUNTIF($J2695:$Q2695,"x")+1),-$E2695*N(L2695)))</f>
        <v/>
      </c>
      <c r="AA2695" s="34">
        <f>IF(OR($A2695="",$H2695&lt;&gt;"Ausgabe",M2695=""),0,IF(M2695="x",-$E2695/(COUNTIF($J2695:$Q2695,"x")+1),-$E2695*N(M2695)))</f>
        <v/>
      </c>
      <c r="AB2695" s="34">
        <f>IF(OR($A2695="",$H2695&lt;&gt;"Ausgabe",N2695=""),0,IF(N2695="x",-$E2695/(COUNTIF($J2695:$Q2695,"x")+1),-$E2695*N(N2695)))</f>
        <v/>
      </c>
      <c r="AC2695" s="34">
        <f>IF(OR($A2695="",$H2695&lt;&gt;"Ausgabe",O2695=""),0,IF(O2695="x",-$E2695/(COUNTIF($J2695:$Q2695,"x")+1),-$E2695*N(O2695)))</f>
        <v/>
      </c>
      <c r="AD2695" s="34">
        <f>IF(OR($A2695="",$H2695&lt;&gt;"Ausgabe",P2695=""),0,IF(P2695="x",-$E2695/(COUNTIF($J2695:$Q2695,"x")+1),-$E2695*N(P2695)))</f>
        <v/>
      </c>
      <c r="AE2695" s="34">
        <f>IF(OR($A2695="",$H2695&lt;&gt;"Ausgabe",Q2695=""),0,IF(Q2695="x",-$E2695/(COUNTIF($J2695:$Q2695,"x")+1),-$E2695*N(Q2695)))</f>
        <v/>
      </c>
    </row>
    <row r="2696">
      <c r="A2696" s="30" t="n"/>
      <c r="E2696" s="31" t="n"/>
      <c r="J2696" s="32" t="n"/>
      <c r="K2696" s="32" t="n"/>
      <c r="L2696" s="32" t="n"/>
      <c r="M2696" s="32" t="n"/>
      <c r="N2696" s="32" t="n"/>
      <c r="O2696" s="32" t="n"/>
      <c r="P2696" s="32" t="n"/>
      <c r="Q2696" s="32" t="n"/>
      <c r="U2696" s="31">
        <f>IF($A2696="","",SUM(X2696:AE2696))</f>
        <v/>
      </c>
      <c r="V2696" s="31">
        <f>IF($A2696="","",IF($H2696&lt;&gt;"Ausgabe",0,-$E2696-$U2696))</f>
        <v/>
      </c>
      <c r="W2696" s="33">
        <f>IF($A2696="","",DATE(YEAR($A2696),MONTH($A2696),1))</f>
        <v/>
      </c>
      <c r="X2696" s="34">
        <f>IF(OR($A2696="",$H2696&lt;&gt;"Ausgabe",J2696=""),0,IF(J2696="x",-$E2696/(COUNTIF($J2696:$Q2696,"x")+1),-$E2696*N(J2696)))</f>
        <v/>
      </c>
      <c r="Y2696" s="34">
        <f>IF(OR($A2696="",$H2696&lt;&gt;"Ausgabe",K2696=""),0,IF(K2696="x",-$E2696/(COUNTIF($J2696:$Q2696,"x")+1),-$E2696*N(K2696)))</f>
        <v/>
      </c>
      <c r="Z2696" s="34">
        <f>IF(OR($A2696="",$H2696&lt;&gt;"Ausgabe",L2696=""),0,IF(L2696="x",-$E2696/(COUNTIF($J2696:$Q2696,"x")+1),-$E2696*N(L2696)))</f>
        <v/>
      </c>
      <c r="AA2696" s="34">
        <f>IF(OR($A2696="",$H2696&lt;&gt;"Ausgabe",M2696=""),0,IF(M2696="x",-$E2696/(COUNTIF($J2696:$Q2696,"x")+1),-$E2696*N(M2696)))</f>
        <v/>
      </c>
      <c r="AB2696" s="34">
        <f>IF(OR($A2696="",$H2696&lt;&gt;"Ausgabe",N2696=""),0,IF(N2696="x",-$E2696/(COUNTIF($J2696:$Q2696,"x")+1),-$E2696*N(N2696)))</f>
        <v/>
      </c>
      <c r="AC2696" s="34">
        <f>IF(OR($A2696="",$H2696&lt;&gt;"Ausgabe",O2696=""),0,IF(O2696="x",-$E2696/(COUNTIF($J2696:$Q2696,"x")+1),-$E2696*N(O2696)))</f>
        <v/>
      </c>
      <c r="AD2696" s="34">
        <f>IF(OR($A2696="",$H2696&lt;&gt;"Ausgabe",P2696=""),0,IF(P2696="x",-$E2696/(COUNTIF($J2696:$Q2696,"x")+1),-$E2696*N(P2696)))</f>
        <v/>
      </c>
      <c r="AE2696" s="34">
        <f>IF(OR($A2696="",$H2696&lt;&gt;"Ausgabe",Q2696=""),0,IF(Q2696="x",-$E2696/(COUNTIF($J2696:$Q2696,"x")+1),-$E2696*N(Q2696)))</f>
        <v/>
      </c>
    </row>
    <row r="2697">
      <c r="A2697" s="30" t="n"/>
      <c r="E2697" s="31" t="n"/>
      <c r="J2697" s="32" t="n"/>
      <c r="K2697" s="32" t="n"/>
      <c r="L2697" s="32" t="n"/>
      <c r="M2697" s="32" t="n"/>
      <c r="N2697" s="32" t="n"/>
      <c r="O2697" s="32" t="n"/>
      <c r="P2697" s="32" t="n"/>
      <c r="Q2697" s="32" t="n"/>
      <c r="U2697" s="31">
        <f>IF($A2697="","",SUM(X2697:AE2697))</f>
        <v/>
      </c>
      <c r="V2697" s="31">
        <f>IF($A2697="","",IF($H2697&lt;&gt;"Ausgabe",0,-$E2697-$U2697))</f>
        <v/>
      </c>
      <c r="W2697" s="33">
        <f>IF($A2697="","",DATE(YEAR($A2697),MONTH($A2697),1))</f>
        <v/>
      </c>
      <c r="X2697" s="34">
        <f>IF(OR($A2697="",$H2697&lt;&gt;"Ausgabe",J2697=""),0,IF(J2697="x",-$E2697/(COUNTIF($J2697:$Q2697,"x")+1),-$E2697*N(J2697)))</f>
        <v/>
      </c>
      <c r="Y2697" s="34">
        <f>IF(OR($A2697="",$H2697&lt;&gt;"Ausgabe",K2697=""),0,IF(K2697="x",-$E2697/(COUNTIF($J2697:$Q2697,"x")+1),-$E2697*N(K2697)))</f>
        <v/>
      </c>
      <c r="Z2697" s="34">
        <f>IF(OR($A2697="",$H2697&lt;&gt;"Ausgabe",L2697=""),0,IF(L2697="x",-$E2697/(COUNTIF($J2697:$Q2697,"x")+1),-$E2697*N(L2697)))</f>
        <v/>
      </c>
      <c r="AA2697" s="34">
        <f>IF(OR($A2697="",$H2697&lt;&gt;"Ausgabe",M2697=""),0,IF(M2697="x",-$E2697/(COUNTIF($J2697:$Q2697,"x")+1),-$E2697*N(M2697)))</f>
        <v/>
      </c>
      <c r="AB2697" s="34">
        <f>IF(OR($A2697="",$H2697&lt;&gt;"Ausgabe",N2697=""),0,IF(N2697="x",-$E2697/(COUNTIF($J2697:$Q2697,"x")+1),-$E2697*N(N2697)))</f>
        <v/>
      </c>
      <c r="AC2697" s="34">
        <f>IF(OR($A2697="",$H2697&lt;&gt;"Ausgabe",O2697=""),0,IF(O2697="x",-$E2697/(COUNTIF($J2697:$Q2697,"x")+1),-$E2697*N(O2697)))</f>
        <v/>
      </c>
      <c r="AD2697" s="34">
        <f>IF(OR($A2697="",$H2697&lt;&gt;"Ausgabe",P2697=""),0,IF(P2697="x",-$E2697/(COUNTIF($J2697:$Q2697,"x")+1),-$E2697*N(P2697)))</f>
        <v/>
      </c>
      <c r="AE2697" s="34">
        <f>IF(OR($A2697="",$H2697&lt;&gt;"Ausgabe",Q2697=""),0,IF(Q2697="x",-$E2697/(COUNTIF($J2697:$Q2697,"x")+1),-$E2697*N(Q2697)))</f>
        <v/>
      </c>
    </row>
    <row r="2698">
      <c r="A2698" s="30" t="n"/>
      <c r="E2698" s="31" t="n"/>
      <c r="J2698" s="32" t="n"/>
      <c r="K2698" s="32" t="n"/>
      <c r="L2698" s="32" t="n"/>
      <c r="M2698" s="32" t="n"/>
      <c r="N2698" s="32" t="n"/>
      <c r="O2698" s="32" t="n"/>
      <c r="P2698" s="32" t="n"/>
      <c r="Q2698" s="32" t="n"/>
      <c r="U2698" s="31">
        <f>IF($A2698="","",SUM(X2698:AE2698))</f>
        <v/>
      </c>
      <c r="V2698" s="31">
        <f>IF($A2698="","",IF($H2698&lt;&gt;"Ausgabe",0,-$E2698-$U2698))</f>
        <v/>
      </c>
      <c r="W2698" s="33">
        <f>IF($A2698="","",DATE(YEAR($A2698),MONTH($A2698),1))</f>
        <v/>
      </c>
      <c r="X2698" s="34">
        <f>IF(OR($A2698="",$H2698&lt;&gt;"Ausgabe",J2698=""),0,IF(J2698="x",-$E2698/(COUNTIF($J2698:$Q2698,"x")+1),-$E2698*N(J2698)))</f>
        <v/>
      </c>
      <c r="Y2698" s="34">
        <f>IF(OR($A2698="",$H2698&lt;&gt;"Ausgabe",K2698=""),0,IF(K2698="x",-$E2698/(COUNTIF($J2698:$Q2698,"x")+1),-$E2698*N(K2698)))</f>
        <v/>
      </c>
      <c r="Z2698" s="34">
        <f>IF(OR($A2698="",$H2698&lt;&gt;"Ausgabe",L2698=""),0,IF(L2698="x",-$E2698/(COUNTIF($J2698:$Q2698,"x")+1),-$E2698*N(L2698)))</f>
        <v/>
      </c>
      <c r="AA2698" s="34">
        <f>IF(OR($A2698="",$H2698&lt;&gt;"Ausgabe",M2698=""),0,IF(M2698="x",-$E2698/(COUNTIF($J2698:$Q2698,"x")+1),-$E2698*N(M2698)))</f>
        <v/>
      </c>
      <c r="AB2698" s="34">
        <f>IF(OR($A2698="",$H2698&lt;&gt;"Ausgabe",N2698=""),0,IF(N2698="x",-$E2698/(COUNTIF($J2698:$Q2698,"x")+1),-$E2698*N(N2698)))</f>
        <v/>
      </c>
      <c r="AC2698" s="34">
        <f>IF(OR($A2698="",$H2698&lt;&gt;"Ausgabe",O2698=""),0,IF(O2698="x",-$E2698/(COUNTIF($J2698:$Q2698,"x")+1),-$E2698*N(O2698)))</f>
        <v/>
      </c>
      <c r="AD2698" s="34">
        <f>IF(OR($A2698="",$H2698&lt;&gt;"Ausgabe",P2698=""),0,IF(P2698="x",-$E2698/(COUNTIF($J2698:$Q2698,"x")+1),-$E2698*N(P2698)))</f>
        <v/>
      </c>
      <c r="AE2698" s="34">
        <f>IF(OR($A2698="",$H2698&lt;&gt;"Ausgabe",Q2698=""),0,IF(Q2698="x",-$E2698/(COUNTIF($J2698:$Q2698,"x")+1),-$E2698*N(Q2698)))</f>
        <v/>
      </c>
    </row>
    <row r="2699">
      <c r="A2699" s="30" t="n"/>
      <c r="E2699" s="31" t="n"/>
      <c r="J2699" s="32" t="n"/>
      <c r="K2699" s="32" t="n"/>
      <c r="L2699" s="32" t="n"/>
      <c r="M2699" s="32" t="n"/>
      <c r="N2699" s="32" t="n"/>
      <c r="O2699" s="32" t="n"/>
      <c r="P2699" s="32" t="n"/>
      <c r="Q2699" s="32" t="n"/>
      <c r="U2699" s="31">
        <f>IF($A2699="","",SUM(X2699:AE2699))</f>
        <v/>
      </c>
      <c r="V2699" s="31">
        <f>IF($A2699="","",IF($H2699&lt;&gt;"Ausgabe",0,-$E2699-$U2699))</f>
        <v/>
      </c>
      <c r="W2699" s="33">
        <f>IF($A2699="","",DATE(YEAR($A2699),MONTH($A2699),1))</f>
        <v/>
      </c>
      <c r="X2699" s="34">
        <f>IF(OR($A2699="",$H2699&lt;&gt;"Ausgabe",J2699=""),0,IF(J2699="x",-$E2699/(COUNTIF($J2699:$Q2699,"x")+1),-$E2699*N(J2699)))</f>
        <v/>
      </c>
      <c r="Y2699" s="34">
        <f>IF(OR($A2699="",$H2699&lt;&gt;"Ausgabe",K2699=""),0,IF(K2699="x",-$E2699/(COUNTIF($J2699:$Q2699,"x")+1),-$E2699*N(K2699)))</f>
        <v/>
      </c>
      <c r="Z2699" s="34">
        <f>IF(OR($A2699="",$H2699&lt;&gt;"Ausgabe",L2699=""),0,IF(L2699="x",-$E2699/(COUNTIF($J2699:$Q2699,"x")+1),-$E2699*N(L2699)))</f>
        <v/>
      </c>
      <c r="AA2699" s="34">
        <f>IF(OR($A2699="",$H2699&lt;&gt;"Ausgabe",M2699=""),0,IF(M2699="x",-$E2699/(COUNTIF($J2699:$Q2699,"x")+1),-$E2699*N(M2699)))</f>
        <v/>
      </c>
      <c r="AB2699" s="34">
        <f>IF(OR($A2699="",$H2699&lt;&gt;"Ausgabe",N2699=""),0,IF(N2699="x",-$E2699/(COUNTIF($J2699:$Q2699,"x")+1),-$E2699*N(N2699)))</f>
        <v/>
      </c>
      <c r="AC2699" s="34">
        <f>IF(OR($A2699="",$H2699&lt;&gt;"Ausgabe",O2699=""),0,IF(O2699="x",-$E2699/(COUNTIF($J2699:$Q2699,"x")+1),-$E2699*N(O2699)))</f>
        <v/>
      </c>
      <c r="AD2699" s="34">
        <f>IF(OR($A2699="",$H2699&lt;&gt;"Ausgabe",P2699=""),0,IF(P2699="x",-$E2699/(COUNTIF($J2699:$Q2699,"x")+1),-$E2699*N(P2699)))</f>
        <v/>
      </c>
      <c r="AE2699" s="34">
        <f>IF(OR($A2699="",$H2699&lt;&gt;"Ausgabe",Q2699=""),0,IF(Q2699="x",-$E2699/(COUNTIF($J2699:$Q2699,"x")+1),-$E2699*N(Q2699)))</f>
        <v/>
      </c>
    </row>
    <row r="2700">
      <c r="A2700" s="30" t="n"/>
      <c r="E2700" s="31" t="n"/>
      <c r="J2700" s="32" t="n"/>
      <c r="K2700" s="32" t="n"/>
      <c r="L2700" s="32" t="n"/>
      <c r="M2700" s="32" t="n"/>
      <c r="N2700" s="32" t="n"/>
      <c r="O2700" s="32" t="n"/>
      <c r="P2700" s="32" t="n"/>
      <c r="Q2700" s="32" t="n"/>
      <c r="U2700" s="31">
        <f>IF($A2700="","",SUM(X2700:AE2700))</f>
        <v/>
      </c>
      <c r="V2700" s="31">
        <f>IF($A2700="","",IF($H2700&lt;&gt;"Ausgabe",0,-$E2700-$U2700))</f>
        <v/>
      </c>
      <c r="W2700" s="33">
        <f>IF($A2700="","",DATE(YEAR($A2700),MONTH($A2700),1))</f>
        <v/>
      </c>
      <c r="X2700" s="34">
        <f>IF(OR($A2700="",$H2700&lt;&gt;"Ausgabe",J2700=""),0,IF(J2700="x",-$E2700/(COUNTIF($J2700:$Q2700,"x")+1),-$E2700*N(J2700)))</f>
        <v/>
      </c>
      <c r="Y2700" s="34">
        <f>IF(OR($A2700="",$H2700&lt;&gt;"Ausgabe",K2700=""),0,IF(K2700="x",-$E2700/(COUNTIF($J2700:$Q2700,"x")+1),-$E2700*N(K2700)))</f>
        <v/>
      </c>
      <c r="Z2700" s="34">
        <f>IF(OR($A2700="",$H2700&lt;&gt;"Ausgabe",L2700=""),0,IF(L2700="x",-$E2700/(COUNTIF($J2700:$Q2700,"x")+1),-$E2700*N(L2700)))</f>
        <v/>
      </c>
      <c r="AA2700" s="34">
        <f>IF(OR($A2700="",$H2700&lt;&gt;"Ausgabe",M2700=""),0,IF(M2700="x",-$E2700/(COUNTIF($J2700:$Q2700,"x")+1),-$E2700*N(M2700)))</f>
        <v/>
      </c>
      <c r="AB2700" s="34">
        <f>IF(OR($A2700="",$H2700&lt;&gt;"Ausgabe",N2700=""),0,IF(N2700="x",-$E2700/(COUNTIF($J2700:$Q2700,"x")+1),-$E2700*N(N2700)))</f>
        <v/>
      </c>
      <c r="AC2700" s="34">
        <f>IF(OR($A2700="",$H2700&lt;&gt;"Ausgabe",O2700=""),0,IF(O2700="x",-$E2700/(COUNTIF($J2700:$Q2700,"x")+1),-$E2700*N(O2700)))</f>
        <v/>
      </c>
      <c r="AD2700" s="34">
        <f>IF(OR($A2700="",$H2700&lt;&gt;"Ausgabe",P2700=""),0,IF(P2700="x",-$E2700/(COUNTIF($J2700:$Q2700,"x")+1),-$E2700*N(P2700)))</f>
        <v/>
      </c>
      <c r="AE2700" s="34">
        <f>IF(OR($A2700="",$H2700&lt;&gt;"Ausgabe",Q2700=""),0,IF(Q2700="x",-$E2700/(COUNTIF($J2700:$Q2700,"x")+1),-$E2700*N(Q2700)))</f>
        <v/>
      </c>
    </row>
    <row r="2701">
      <c r="A2701" s="30" t="n"/>
      <c r="E2701" s="31" t="n"/>
      <c r="J2701" s="32" t="n"/>
      <c r="K2701" s="32" t="n"/>
      <c r="L2701" s="32" t="n"/>
      <c r="M2701" s="32" t="n"/>
      <c r="N2701" s="32" t="n"/>
      <c r="O2701" s="32" t="n"/>
      <c r="P2701" s="32" t="n"/>
      <c r="Q2701" s="32" t="n"/>
      <c r="U2701" s="31">
        <f>IF($A2701="","",SUM(X2701:AE2701))</f>
        <v/>
      </c>
      <c r="V2701" s="31">
        <f>IF($A2701="","",IF($H2701&lt;&gt;"Ausgabe",0,-$E2701-$U2701))</f>
        <v/>
      </c>
      <c r="W2701" s="33">
        <f>IF($A2701="","",DATE(YEAR($A2701),MONTH($A2701),1))</f>
        <v/>
      </c>
      <c r="X2701" s="34">
        <f>IF(OR($A2701="",$H2701&lt;&gt;"Ausgabe",J2701=""),0,IF(J2701="x",-$E2701/(COUNTIF($J2701:$Q2701,"x")+1),-$E2701*N(J2701)))</f>
        <v/>
      </c>
      <c r="Y2701" s="34">
        <f>IF(OR($A2701="",$H2701&lt;&gt;"Ausgabe",K2701=""),0,IF(K2701="x",-$E2701/(COUNTIF($J2701:$Q2701,"x")+1),-$E2701*N(K2701)))</f>
        <v/>
      </c>
      <c r="Z2701" s="34">
        <f>IF(OR($A2701="",$H2701&lt;&gt;"Ausgabe",L2701=""),0,IF(L2701="x",-$E2701/(COUNTIF($J2701:$Q2701,"x")+1),-$E2701*N(L2701)))</f>
        <v/>
      </c>
      <c r="AA2701" s="34">
        <f>IF(OR($A2701="",$H2701&lt;&gt;"Ausgabe",M2701=""),0,IF(M2701="x",-$E2701/(COUNTIF($J2701:$Q2701,"x")+1),-$E2701*N(M2701)))</f>
        <v/>
      </c>
      <c r="AB2701" s="34">
        <f>IF(OR($A2701="",$H2701&lt;&gt;"Ausgabe",N2701=""),0,IF(N2701="x",-$E2701/(COUNTIF($J2701:$Q2701,"x")+1),-$E2701*N(N2701)))</f>
        <v/>
      </c>
      <c r="AC2701" s="34">
        <f>IF(OR($A2701="",$H2701&lt;&gt;"Ausgabe",O2701=""),0,IF(O2701="x",-$E2701/(COUNTIF($J2701:$Q2701,"x")+1),-$E2701*N(O2701)))</f>
        <v/>
      </c>
      <c r="AD2701" s="34">
        <f>IF(OR($A2701="",$H2701&lt;&gt;"Ausgabe",P2701=""),0,IF(P2701="x",-$E2701/(COUNTIF($J2701:$Q2701,"x")+1),-$E2701*N(P2701)))</f>
        <v/>
      </c>
      <c r="AE2701" s="34">
        <f>IF(OR($A2701="",$H2701&lt;&gt;"Ausgabe",Q2701=""),0,IF(Q2701="x",-$E2701/(COUNTIF($J2701:$Q2701,"x")+1),-$E2701*N(Q2701)))</f>
        <v/>
      </c>
    </row>
    <row r="2702">
      <c r="A2702" s="30" t="n"/>
      <c r="E2702" s="31" t="n"/>
      <c r="J2702" s="32" t="n"/>
      <c r="K2702" s="32" t="n"/>
      <c r="L2702" s="32" t="n"/>
      <c r="M2702" s="32" t="n"/>
      <c r="N2702" s="32" t="n"/>
      <c r="O2702" s="32" t="n"/>
      <c r="P2702" s="32" t="n"/>
      <c r="Q2702" s="32" t="n"/>
      <c r="U2702" s="31">
        <f>IF($A2702="","",SUM(X2702:AE2702))</f>
        <v/>
      </c>
      <c r="V2702" s="31">
        <f>IF($A2702="","",IF($H2702&lt;&gt;"Ausgabe",0,-$E2702-$U2702))</f>
        <v/>
      </c>
      <c r="W2702" s="33">
        <f>IF($A2702="","",DATE(YEAR($A2702),MONTH($A2702),1))</f>
        <v/>
      </c>
      <c r="X2702" s="34">
        <f>IF(OR($A2702="",$H2702&lt;&gt;"Ausgabe",J2702=""),0,IF(J2702="x",-$E2702/(COUNTIF($J2702:$Q2702,"x")+1),-$E2702*N(J2702)))</f>
        <v/>
      </c>
      <c r="Y2702" s="34">
        <f>IF(OR($A2702="",$H2702&lt;&gt;"Ausgabe",K2702=""),0,IF(K2702="x",-$E2702/(COUNTIF($J2702:$Q2702,"x")+1),-$E2702*N(K2702)))</f>
        <v/>
      </c>
      <c r="Z2702" s="34">
        <f>IF(OR($A2702="",$H2702&lt;&gt;"Ausgabe",L2702=""),0,IF(L2702="x",-$E2702/(COUNTIF($J2702:$Q2702,"x")+1),-$E2702*N(L2702)))</f>
        <v/>
      </c>
      <c r="AA2702" s="34">
        <f>IF(OR($A2702="",$H2702&lt;&gt;"Ausgabe",M2702=""),0,IF(M2702="x",-$E2702/(COUNTIF($J2702:$Q2702,"x")+1),-$E2702*N(M2702)))</f>
        <v/>
      </c>
      <c r="AB2702" s="34">
        <f>IF(OR($A2702="",$H2702&lt;&gt;"Ausgabe",N2702=""),0,IF(N2702="x",-$E2702/(COUNTIF($J2702:$Q2702,"x")+1),-$E2702*N(N2702)))</f>
        <v/>
      </c>
      <c r="AC2702" s="34">
        <f>IF(OR($A2702="",$H2702&lt;&gt;"Ausgabe",O2702=""),0,IF(O2702="x",-$E2702/(COUNTIF($J2702:$Q2702,"x")+1),-$E2702*N(O2702)))</f>
        <v/>
      </c>
      <c r="AD2702" s="34">
        <f>IF(OR($A2702="",$H2702&lt;&gt;"Ausgabe",P2702=""),0,IF(P2702="x",-$E2702/(COUNTIF($J2702:$Q2702,"x")+1),-$E2702*N(P2702)))</f>
        <v/>
      </c>
      <c r="AE2702" s="34">
        <f>IF(OR($A2702="",$H2702&lt;&gt;"Ausgabe",Q2702=""),0,IF(Q2702="x",-$E2702/(COUNTIF($J2702:$Q2702,"x")+1),-$E2702*N(Q2702)))</f>
        <v/>
      </c>
    </row>
    <row r="2703">
      <c r="A2703" s="30" t="n"/>
      <c r="E2703" s="31" t="n"/>
      <c r="J2703" s="32" t="n"/>
      <c r="K2703" s="32" t="n"/>
      <c r="L2703" s="32" t="n"/>
      <c r="M2703" s="32" t="n"/>
      <c r="N2703" s="32" t="n"/>
      <c r="O2703" s="32" t="n"/>
      <c r="P2703" s="32" t="n"/>
      <c r="Q2703" s="32" t="n"/>
      <c r="U2703" s="31">
        <f>IF($A2703="","",SUM(X2703:AE2703))</f>
        <v/>
      </c>
      <c r="V2703" s="31">
        <f>IF($A2703="","",IF($H2703&lt;&gt;"Ausgabe",0,-$E2703-$U2703))</f>
        <v/>
      </c>
      <c r="W2703" s="33">
        <f>IF($A2703="","",DATE(YEAR($A2703),MONTH($A2703),1))</f>
        <v/>
      </c>
      <c r="X2703" s="34">
        <f>IF(OR($A2703="",$H2703&lt;&gt;"Ausgabe",J2703=""),0,IF(J2703="x",-$E2703/(COUNTIF($J2703:$Q2703,"x")+1),-$E2703*N(J2703)))</f>
        <v/>
      </c>
      <c r="Y2703" s="34">
        <f>IF(OR($A2703="",$H2703&lt;&gt;"Ausgabe",K2703=""),0,IF(K2703="x",-$E2703/(COUNTIF($J2703:$Q2703,"x")+1),-$E2703*N(K2703)))</f>
        <v/>
      </c>
      <c r="Z2703" s="34">
        <f>IF(OR($A2703="",$H2703&lt;&gt;"Ausgabe",L2703=""),0,IF(L2703="x",-$E2703/(COUNTIF($J2703:$Q2703,"x")+1),-$E2703*N(L2703)))</f>
        <v/>
      </c>
      <c r="AA2703" s="34">
        <f>IF(OR($A2703="",$H2703&lt;&gt;"Ausgabe",M2703=""),0,IF(M2703="x",-$E2703/(COUNTIF($J2703:$Q2703,"x")+1),-$E2703*N(M2703)))</f>
        <v/>
      </c>
      <c r="AB2703" s="34">
        <f>IF(OR($A2703="",$H2703&lt;&gt;"Ausgabe",N2703=""),0,IF(N2703="x",-$E2703/(COUNTIF($J2703:$Q2703,"x")+1),-$E2703*N(N2703)))</f>
        <v/>
      </c>
      <c r="AC2703" s="34">
        <f>IF(OR($A2703="",$H2703&lt;&gt;"Ausgabe",O2703=""),0,IF(O2703="x",-$E2703/(COUNTIF($J2703:$Q2703,"x")+1),-$E2703*N(O2703)))</f>
        <v/>
      </c>
      <c r="AD2703" s="34">
        <f>IF(OR($A2703="",$H2703&lt;&gt;"Ausgabe",P2703=""),0,IF(P2703="x",-$E2703/(COUNTIF($J2703:$Q2703,"x")+1),-$E2703*N(P2703)))</f>
        <v/>
      </c>
      <c r="AE2703" s="34">
        <f>IF(OR($A2703="",$H2703&lt;&gt;"Ausgabe",Q2703=""),0,IF(Q2703="x",-$E2703/(COUNTIF($J2703:$Q2703,"x")+1),-$E2703*N(Q2703)))</f>
        <v/>
      </c>
    </row>
    <row r="2704">
      <c r="A2704" s="30" t="n"/>
      <c r="E2704" s="31" t="n"/>
      <c r="J2704" s="32" t="n"/>
      <c r="K2704" s="32" t="n"/>
      <c r="L2704" s="32" t="n"/>
      <c r="M2704" s="32" t="n"/>
      <c r="N2704" s="32" t="n"/>
      <c r="O2704" s="32" t="n"/>
      <c r="P2704" s="32" t="n"/>
      <c r="Q2704" s="32" t="n"/>
      <c r="U2704" s="31">
        <f>IF($A2704="","",SUM(X2704:AE2704))</f>
        <v/>
      </c>
      <c r="V2704" s="31">
        <f>IF($A2704="","",IF($H2704&lt;&gt;"Ausgabe",0,-$E2704-$U2704))</f>
        <v/>
      </c>
      <c r="W2704" s="33">
        <f>IF($A2704="","",DATE(YEAR($A2704),MONTH($A2704),1))</f>
        <v/>
      </c>
      <c r="X2704" s="34">
        <f>IF(OR($A2704="",$H2704&lt;&gt;"Ausgabe",J2704=""),0,IF(J2704="x",-$E2704/(COUNTIF($J2704:$Q2704,"x")+1),-$E2704*N(J2704)))</f>
        <v/>
      </c>
      <c r="Y2704" s="34">
        <f>IF(OR($A2704="",$H2704&lt;&gt;"Ausgabe",K2704=""),0,IF(K2704="x",-$E2704/(COUNTIF($J2704:$Q2704,"x")+1),-$E2704*N(K2704)))</f>
        <v/>
      </c>
      <c r="Z2704" s="34">
        <f>IF(OR($A2704="",$H2704&lt;&gt;"Ausgabe",L2704=""),0,IF(L2704="x",-$E2704/(COUNTIF($J2704:$Q2704,"x")+1),-$E2704*N(L2704)))</f>
        <v/>
      </c>
      <c r="AA2704" s="34">
        <f>IF(OR($A2704="",$H2704&lt;&gt;"Ausgabe",M2704=""),0,IF(M2704="x",-$E2704/(COUNTIF($J2704:$Q2704,"x")+1),-$E2704*N(M2704)))</f>
        <v/>
      </c>
      <c r="AB2704" s="34">
        <f>IF(OR($A2704="",$H2704&lt;&gt;"Ausgabe",N2704=""),0,IF(N2704="x",-$E2704/(COUNTIF($J2704:$Q2704,"x")+1),-$E2704*N(N2704)))</f>
        <v/>
      </c>
      <c r="AC2704" s="34">
        <f>IF(OR($A2704="",$H2704&lt;&gt;"Ausgabe",O2704=""),0,IF(O2704="x",-$E2704/(COUNTIF($J2704:$Q2704,"x")+1),-$E2704*N(O2704)))</f>
        <v/>
      </c>
      <c r="AD2704" s="34">
        <f>IF(OR($A2704="",$H2704&lt;&gt;"Ausgabe",P2704=""),0,IF(P2704="x",-$E2704/(COUNTIF($J2704:$Q2704,"x")+1),-$E2704*N(P2704)))</f>
        <v/>
      </c>
      <c r="AE2704" s="34">
        <f>IF(OR($A2704="",$H2704&lt;&gt;"Ausgabe",Q2704=""),0,IF(Q2704="x",-$E2704/(COUNTIF($J2704:$Q2704,"x")+1),-$E2704*N(Q2704)))</f>
        <v/>
      </c>
    </row>
    <row r="2705">
      <c r="A2705" s="30" t="n"/>
      <c r="E2705" s="31" t="n"/>
      <c r="J2705" s="32" t="n"/>
      <c r="K2705" s="32" t="n"/>
      <c r="L2705" s="32" t="n"/>
      <c r="M2705" s="32" t="n"/>
      <c r="N2705" s="32" t="n"/>
      <c r="O2705" s="32" t="n"/>
      <c r="P2705" s="32" t="n"/>
      <c r="Q2705" s="32" t="n"/>
      <c r="U2705" s="31">
        <f>IF($A2705="","",SUM(X2705:AE2705))</f>
        <v/>
      </c>
      <c r="V2705" s="31">
        <f>IF($A2705="","",IF($H2705&lt;&gt;"Ausgabe",0,-$E2705-$U2705))</f>
        <v/>
      </c>
      <c r="W2705" s="33">
        <f>IF($A2705="","",DATE(YEAR($A2705),MONTH($A2705),1))</f>
        <v/>
      </c>
      <c r="X2705" s="34">
        <f>IF(OR($A2705="",$H2705&lt;&gt;"Ausgabe",J2705=""),0,IF(J2705="x",-$E2705/(COUNTIF($J2705:$Q2705,"x")+1),-$E2705*N(J2705)))</f>
        <v/>
      </c>
      <c r="Y2705" s="34">
        <f>IF(OR($A2705="",$H2705&lt;&gt;"Ausgabe",K2705=""),0,IF(K2705="x",-$E2705/(COUNTIF($J2705:$Q2705,"x")+1),-$E2705*N(K2705)))</f>
        <v/>
      </c>
      <c r="Z2705" s="34">
        <f>IF(OR($A2705="",$H2705&lt;&gt;"Ausgabe",L2705=""),0,IF(L2705="x",-$E2705/(COUNTIF($J2705:$Q2705,"x")+1),-$E2705*N(L2705)))</f>
        <v/>
      </c>
      <c r="AA2705" s="34">
        <f>IF(OR($A2705="",$H2705&lt;&gt;"Ausgabe",M2705=""),0,IF(M2705="x",-$E2705/(COUNTIF($J2705:$Q2705,"x")+1),-$E2705*N(M2705)))</f>
        <v/>
      </c>
      <c r="AB2705" s="34">
        <f>IF(OR($A2705="",$H2705&lt;&gt;"Ausgabe",N2705=""),0,IF(N2705="x",-$E2705/(COUNTIF($J2705:$Q2705,"x")+1),-$E2705*N(N2705)))</f>
        <v/>
      </c>
      <c r="AC2705" s="34">
        <f>IF(OR($A2705="",$H2705&lt;&gt;"Ausgabe",O2705=""),0,IF(O2705="x",-$E2705/(COUNTIF($J2705:$Q2705,"x")+1),-$E2705*N(O2705)))</f>
        <v/>
      </c>
      <c r="AD2705" s="34">
        <f>IF(OR($A2705="",$H2705&lt;&gt;"Ausgabe",P2705=""),0,IF(P2705="x",-$E2705/(COUNTIF($J2705:$Q2705,"x")+1),-$E2705*N(P2705)))</f>
        <v/>
      </c>
      <c r="AE2705" s="34">
        <f>IF(OR($A2705="",$H2705&lt;&gt;"Ausgabe",Q2705=""),0,IF(Q2705="x",-$E2705/(COUNTIF($J2705:$Q2705,"x")+1),-$E2705*N(Q2705)))</f>
        <v/>
      </c>
    </row>
    <row r="2706">
      <c r="A2706" s="30" t="n"/>
      <c r="E2706" s="31" t="n"/>
      <c r="J2706" s="32" t="n"/>
      <c r="K2706" s="32" t="n"/>
      <c r="L2706" s="32" t="n"/>
      <c r="M2706" s="32" t="n"/>
      <c r="N2706" s="32" t="n"/>
      <c r="O2706" s="32" t="n"/>
      <c r="P2706" s="32" t="n"/>
      <c r="Q2706" s="32" t="n"/>
      <c r="U2706" s="31">
        <f>IF($A2706="","",SUM(X2706:AE2706))</f>
        <v/>
      </c>
      <c r="V2706" s="31">
        <f>IF($A2706="","",IF($H2706&lt;&gt;"Ausgabe",0,-$E2706-$U2706))</f>
        <v/>
      </c>
      <c r="W2706" s="33">
        <f>IF($A2706="","",DATE(YEAR($A2706),MONTH($A2706),1))</f>
        <v/>
      </c>
      <c r="X2706" s="34">
        <f>IF(OR($A2706="",$H2706&lt;&gt;"Ausgabe",J2706=""),0,IF(J2706="x",-$E2706/(COUNTIF($J2706:$Q2706,"x")+1),-$E2706*N(J2706)))</f>
        <v/>
      </c>
      <c r="Y2706" s="34">
        <f>IF(OR($A2706="",$H2706&lt;&gt;"Ausgabe",K2706=""),0,IF(K2706="x",-$E2706/(COUNTIF($J2706:$Q2706,"x")+1),-$E2706*N(K2706)))</f>
        <v/>
      </c>
      <c r="Z2706" s="34">
        <f>IF(OR($A2706="",$H2706&lt;&gt;"Ausgabe",L2706=""),0,IF(L2706="x",-$E2706/(COUNTIF($J2706:$Q2706,"x")+1),-$E2706*N(L2706)))</f>
        <v/>
      </c>
      <c r="AA2706" s="34">
        <f>IF(OR($A2706="",$H2706&lt;&gt;"Ausgabe",M2706=""),0,IF(M2706="x",-$E2706/(COUNTIF($J2706:$Q2706,"x")+1),-$E2706*N(M2706)))</f>
        <v/>
      </c>
      <c r="AB2706" s="34">
        <f>IF(OR($A2706="",$H2706&lt;&gt;"Ausgabe",N2706=""),0,IF(N2706="x",-$E2706/(COUNTIF($J2706:$Q2706,"x")+1),-$E2706*N(N2706)))</f>
        <v/>
      </c>
      <c r="AC2706" s="34">
        <f>IF(OR($A2706="",$H2706&lt;&gt;"Ausgabe",O2706=""),0,IF(O2706="x",-$E2706/(COUNTIF($J2706:$Q2706,"x")+1),-$E2706*N(O2706)))</f>
        <v/>
      </c>
      <c r="AD2706" s="34">
        <f>IF(OR($A2706="",$H2706&lt;&gt;"Ausgabe",P2706=""),0,IF(P2706="x",-$E2706/(COUNTIF($J2706:$Q2706,"x")+1),-$E2706*N(P2706)))</f>
        <v/>
      </c>
      <c r="AE2706" s="34">
        <f>IF(OR($A2706="",$H2706&lt;&gt;"Ausgabe",Q2706=""),0,IF(Q2706="x",-$E2706/(COUNTIF($J2706:$Q2706,"x")+1),-$E2706*N(Q2706)))</f>
        <v/>
      </c>
    </row>
    <row r="2707">
      <c r="A2707" s="30" t="n"/>
      <c r="E2707" s="31" t="n"/>
      <c r="J2707" s="32" t="n"/>
      <c r="K2707" s="32" t="n"/>
      <c r="L2707" s="32" t="n"/>
      <c r="M2707" s="32" t="n"/>
      <c r="N2707" s="32" t="n"/>
      <c r="O2707" s="32" t="n"/>
      <c r="P2707" s="32" t="n"/>
      <c r="Q2707" s="32" t="n"/>
      <c r="U2707" s="31">
        <f>IF($A2707="","",SUM(X2707:AE2707))</f>
        <v/>
      </c>
      <c r="V2707" s="31">
        <f>IF($A2707="","",IF($H2707&lt;&gt;"Ausgabe",0,-$E2707-$U2707))</f>
        <v/>
      </c>
      <c r="W2707" s="33">
        <f>IF($A2707="","",DATE(YEAR($A2707),MONTH($A2707),1))</f>
        <v/>
      </c>
      <c r="X2707" s="34">
        <f>IF(OR($A2707="",$H2707&lt;&gt;"Ausgabe",J2707=""),0,IF(J2707="x",-$E2707/(COUNTIF($J2707:$Q2707,"x")+1),-$E2707*N(J2707)))</f>
        <v/>
      </c>
      <c r="Y2707" s="34">
        <f>IF(OR($A2707="",$H2707&lt;&gt;"Ausgabe",K2707=""),0,IF(K2707="x",-$E2707/(COUNTIF($J2707:$Q2707,"x")+1),-$E2707*N(K2707)))</f>
        <v/>
      </c>
      <c r="Z2707" s="34">
        <f>IF(OR($A2707="",$H2707&lt;&gt;"Ausgabe",L2707=""),0,IF(L2707="x",-$E2707/(COUNTIF($J2707:$Q2707,"x")+1),-$E2707*N(L2707)))</f>
        <v/>
      </c>
      <c r="AA2707" s="34">
        <f>IF(OR($A2707="",$H2707&lt;&gt;"Ausgabe",M2707=""),0,IF(M2707="x",-$E2707/(COUNTIF($J2707:$Q2707,"x")+1),-$E2707*N(M2707)))</f>
        <v/>
      </c>
      <c r="AB2707" s="34">
        <f>IF(OR($A2707="",$H2707&lt;&gt;"Ausgabe",N2707=""),0,IF(N2707="x",-$E2707/(COUNTIF($J2707:$Q2707,"x")+1),-$E2707*N(N2707)))</f>
        <v/>
      </c>
      <c r="AC2707" s="34">
        <f>IF(OR($A2707="",$H2707&lt;&gt;"Ausgabe",O2707=""),0,IF(O2707="x",-$E2707/(COUNTIF($J2707:$Q2707,"x")+1),-$E2707*N(O2707)))</f>
        <v/>
      </c>
      <c r="AD2707" s="34">
        <f>IF(OR($A2707="",$H2707&lt;&gt;"Ausgabe",P2707=""),0,IF(P2707="x",-$E2707/(COUNTIF($J2707:$Q2707,"x")+1),-$E2707*N(P2707)))</f>
        <v/>
      </c>
      <c r="AE2707" s="34">
        <f>IF(OR($A2707="",$H2707&lt;&gt;"Ausgabe",Q2707=""),0,IF(Q2707="x",-$E2707/(COUNTIF($J2707:$Q2707,"x")+1),-$E2707*N(Q2707)))</f>
        <v/>
      </c>
    </row>
    <row r="2708">
      <c r="A2708" s="30" t="n"/>
      <c r="E2708" s="31" t="n"/>
      <c r="J2708" s="32" t="n"/>
      <c r="K2708" s="32" t="n"/>
      <c r="L2708" s="32" t="n"/>
      <c r="M2708" s="32" t="n"/>
      <c r="N2708" s="32" t="n"/>
      <c r="O2708" s="32" t="n"/>
      <c r="P2708" s="32" t="n"/>
      <c r="Q2708" s="32" t="n"/>
      <c r="U2708" s="31">
        <f>IF($A2708="","",SUM(X2708:AE2708))</f>
        <v/>
      </c>
      <c r="V2708" s="31">
        <f>IF($A2708="","",IF($H2708&lt;&gt;"Ausgabe",0,-$E2708-$U2708))</f>
        <v/>
      </c>
      <c r="W2708" s="33">
        <f>IF($A2708="","",DATE(YEAR($A2708),MONTH($A2708),1))</f>
        <v/>
      </c>
      <c r="X2708" s="34">
        <f>IF(OR($A2708="",$H2708&lt;&gt;"Ausgabe",J2708=""),0,IF(J2708="x",-$E2708/(COUNTIF($J2708:$Q2708,"x")+1),-$E2708*N(J2708)))</f>
        <v/>
      </c>
      <c r="Y2708" s="34">
        <f>IF(OR($A2708="",$H2708&lt;&gt;"Ausgabe",K2708=""),0,IF(K2708="x",-$E2708/(COUNTIF($J2708:$Q2708,"x")+1),-$E2708*N(K2708)))</f>
        <v/>
      </c>
      <c r="Z2708" s="34">
        <f>IF(OR($A2708="",$H2708&lt;&gt;"Ausgabe",L2708=""),0,IF(L2708="x",-$E2708/(COUNTIF($J2708:$Q2708,"x")+1),-$E2708*N(L2708)))</f>
        <v/>
      </c>
      <c r="AA2708" s="34">
        <f>IF(OR($A2708="",$H2708&lt;&gt;"Ausgabe",M2708=""),0,IF(M2708="x",-$E2708/(COUNTIF($J2708:$Q2708,"x")+1),-$E2708*N(M2708)))</f>
        <v/>
      </c>
      <c r="AB2708" s="34">
        <f>IF(OR($A2708="",$H2708&lt;&gt;"Ausgabe",N2708=""),0,IF(N2708="x",-$E2708/(COUNTIF($J2708:$Q2708,"x")+1),-$E2708*N(N2708)))</f>
        <v/>
      </c>
      <c r="AC2708" s="34">
        <f>IF(OR($A2708="",$H2708&lt;&gt;"Ausgabe",O2708=""),0,IF(O2708="x",-$E2708/(COUNTIF($J2708:$Q2708,"x")+1),-$E2708*N(O2708)))</f>
        <v/>
      </c>
      <c r="AD2708" s="34">
        <f>IF(OR($A2708="",$H2708&lt;&gt;"Ausgabe",P2708=""),0,IF(P2708="x",-$E2708/(COUNTIF($J2708:$Q2708,"x")+1),-$E2708*N(P2708)))</f>
        <v/>
      </c>
      <c r="AE2708" s="34">
        <f>IF(OR($A2708="",$H2708&lt;&gt;"Ausgabe",Q2708=""),0,IF(Q2708="x",-$E2708/(COUNTIF($J2708:$Q2708,"x")+1),-$E2708*N(Q2708)))</f>
        <v/>
      </c>
    </row>
    <row r="2709">
      <c r="A2709" s="30" t="n"/>
      <c r="E2709" s="31" t="n"/>
      <c r="J2709" s="32" t="n"/>
      <c r="K2709" s="32" t="n"/>
      <c r="L2709" s="32" t="n"/>
      <c r="M2709" s="32" t="n"/>
      <c r="N2709" s="32" t="n"/>
      <c r="O2709" s="32" t="n"/>
      <c r="P2709" s="32" t="n"/>
      <c r="Q2709" s="32" t="n"/>
      <c r="U2709" s="31">
        <f>IF($A2709="","",SUM(X2709:AE2709))</f>
        <v/>
      </c>
      <c r="V2709" s="31">
        <f>IF($A2709="","",IF($H2709&lt;&gt;"Ausgabe",0,-$E2709-$U2709))</f>
        <v/>
      </c>
      <c r="W2709" s="33">
        <f>IF($A2709="","",DATE(YEAR($A2709),MONTH($A2709),1))</f>
        <v/>
      </c>
      <c r="X2709" s="34">
        <f>IF(OR($A2709="",$H2709&lt;&gt;"Ausgabe",J2709=""),0,IF(J2709="x",-$E2709/(COUNTIF($J2709:$Q2709,"x")+1),-$E2709*N(J2709)))</f>
        <v/>
      </c>
      <c r="Y2709" s="34">
        <f>IF(OR($A2709="",$H2709&lt;&gt;"Ausgabe",K2709=""),0,IF(K2709="x",-$E2709/(COUNTIF($J2709:$Q2709,"x")+1),-$E2709*N(K2709)))</f>
        <v/>
      </c>
      <c r="Z2709" s="34">
        <f>IF(OR($A2709="",$H2709&lt;&gt;"Ausgabe",L2709=""),0,IF(L2709="x",-$E2709/(COUNTIF($J2709:$Q2709,"x")+1),-$E2709*N(L2709)))</f>
        <v/>
      </c>
      <c r="AA2709" s="34">
        <f>IF(OR($A2709="",$H2709&lt;&gt;"Ausgabe",M2709=""),0,IF(M2709="x",-$E2709/(COUNTIF($J2709:$Q2709,"x")+1),-$E2709*N(M2709)))</f>
        <v/>
      </c>
      <c r="AB2709" s="34">
        <f>IF(OR($A2709="",$H2709&lt;&gt;"Ausgabe",N2709=""),0,IF(N2709="x",-$E2709/(COUNTIF($J2709:$Q2709,"x")+1),-$E2709*N(N2709)))</f>
        <v/>
      </c>
      <c r="AC2709" s="34">
        <f>IF(OR($A2709="",$H2709&lt;&gt;"Ausgabe",O2709=""),0,IF(O2709="x",-$E2709/(COUNTIF($J2709:$Q2709,"x")+1),-$E2709*N(O2709)))</f>
        <v/>
      </c>
      <c r="AD2709" s="34">
        <f>IF(OR($A2709="",$H2709&lt;&gt;"Ausgabe",P2709=""),0,IF(P2709="x",-$E2709/(COUNTIF($J2709:$Q2709,"x")+1),-$E2709*N(P2709)))</f>
        <v/>
      </c>
      <c r="AE2709" s="34">
        <f>IF(OR($A2709="",$H2709&lt;&gt;"Ausgabe",Q2709=""),0,IF(Q2709="x",-$E2709/(COUNTIF($J2709:$Q2709,"x")+1),-$E2709*N(Q2709)))</f>
        <v/>
      </c>
    </row>
    <row r="2710">
      <c r="A2710" s="30" t="n"/>
      <c r="E2710" s="31" t="n"/>
      <c r="J2710" s="32" t="n"/>
      <c r="K2710" s="32" t="n"/>
      <c r="L2710" s="32" t="n"/>
      <c r="M2710" s="32" t="n"/>
      <c r="N2710" s="32" t="n"/>
      <c r="O2710" s="32" t="n"/>
      <c r="P2710" s="32" t="n"/>
      <c r="Q2710" s="32" t="n"/>
      <c r="U2710" s="31">
        <f>IF($A2710="","",SUM(X2710:AE2710))</f>
        <v/>
      </c>
      <c r="V2710" s="31">
        <f>IF($A2710="","",IF($H2710&lt;&gt;"Ausgabe",0,-$E2710-$U2710))</f>
        <v/>
      </c>
      <c r="W2710" s="33">
        <f>IF($A2710="","",DATE(YEAR($A2710),MONTH($A2710),1))</f>
        <v/>
      </c>
      <c r="X2710" s="34">
        <f>IF(OR($A2710="",$H2710&lt;&gt;"Ausgabe",J2710=""),0,IF(J2710="x",-$E2710/(COUNTIF($J2710:$Q2710,"x")+1),-$E2710*N(J2710)))</f>
        <v/>
      </c>
      <c r="Y2710" s="34">
        <f>IF(OR($A2710="",$H2710&lt;&gt;"Ausgabe",K2710=""),0,IF(K2710="x",-$E2710/(COUNTIF($J2710:$Q2710,"x")+1),-$E2710*N(K2710)))</f>
        <v/>
      </c>
      <c r="Z2710" s="34">
        <f>IF(OR($A2710="",$H2710&lt;&gt;"Ausgabe",L2710=""),0,IF(L2710="x",-$E2710/(COUNTIF($J2710:$Q2710,"x")+1),-$E2710*N(L2710)))</f>
        <v/>
      </c>
      <c r="AA2710" s="34">
        <f>IF(OR($A2710="",$H2710&lt;&gt;"Ausgabe",M2710=""),0,IF(M2710="x",-$E2710/(COUNTIF($J2710:$Q2710,"x")+1),-$E2710*N(M2710)))</f>
        <v/>
      </c>
      <c r="AB2710" s="34">
        <f>IF(OR($A2710="",$H2710&lt;&gt;"Ausgabe",N2710=""),0,IF(N2710="x",-$E2710/(COUNTIF($J2710:$Q2710,"x")+1),-$E2710*N(N2710)))</f>
        <v/>
      </c>
      <c r="AC2710" s="34">
        <f>IF(OR($A2710="",$H2710&lt;&gt;"Ausgabe",O2710=""),0,IF(O2710="x",-$E2710/(COUNTIF($J2710:$Q2710,"x")+1),-$E2710*N(O2710)))</f>
        <v/>
      </c>
      <c r="AD2710" s="34">
        <f>IF(OR($A2710="",$H2710&lt;&gt;"Ausgabe",P2710=""),0,IF(P2710="x",-$E2710/(COUNTIF($J2710:$Q2710,"x")+1),-$E2710*N(P2710)))</f>
        <v/>
      </c>
      <c r="AE2710" s="34">
        <f>IF(OR($A2710="",$H2710&lt;&gt;"Ausgabe",Q2710=""),0,IF(Q2710="x",-$E2710/(COUNTIF($J2710:$Q2710,"x")+1),-$E2710*N(Q2710)))</f>
        <v/>
      </c>
    </row>
    <row r="2711">
      <c r="A2711" s="30" t="n"/>
      <c r="E2711" s="31" t="n"/>
      <c r="J2711" s="32" t="n"/>
      <c r="K2711" s="32" t="n"/>
      <c r="L2711" s="32" t="n"/>
      <c r="M2711" s="32" t="n"/>
      <c r="N2711" s="32" t="n"/>
      <c r="O2711" s="32" t="n"/>
      <c r="P2711" s="32" t="n"/>
      <c r="Q2711" s="32" t="n"/>
      <c r="U2711" s="31">
        <f>IF($A2711="","",SUM(X2711:AE2711))</f>
        <v/>
      </c>
      <c r="V2711" s="31">
        <f>IF($A2711="","",IF($H2711&lt;&gt;"Ausgabe",0,-$E2711-$U2711))</f>
        <v/>
      </c>
      <c r="W2711" s="33">
        <f>IF($A2711="","",DATE(YEAR($A2711),MONTH($A2711),1))</f>
        <v/>
      </c>
      <c r="X2711" s="34">
        <f>IF(OR($A2711="",$H2711&lt;&gt;"Ausgabe",J2711=""),0,IF(J2711="x",-$E2711/(COUNTIF($J2711:$Q2711,"x")+1),-$E2711*N(J2711)))</f>
        <v/>
      </c>
      <c r="Y2711" s="34">
        <f>IF(OR($A2711="",$H2711&lt;&gt;"Ausgabe",K2711=""),0,IF(K2711="x",-$E2711/(COUNTIF($J2711:$Q2711,"x")+1),-$E2711*N(K2711)))</f>
        <v/>
      </c>
      <c r="Z2711" s="34">
        <f>IF(OR($A2711="",$H2711&lt;&gt;"Ausgabe",L2711=""),0,IF(L2711="x",-$E2711/(COUNTIF($J2711:$Q2711,"x")+1),-$E2711*N(L2711)))</f>
        <v/>
      </c>
      <c r="AA2711" s="34">
        <f>IF(OR($A2711="",$H2711&lt;&gt;"Ausgabe",M2711=""),0,IF(M2711="x",-$E2711/(COUNTIF($J2711:$Q2711,"x")+1),-$E2711*N(M2711)))</f>
        <v/>
      </c>
      <c r="AB2711" s="34">
        <f>IF(OR($A2711="",$H2711&lt;&gt;"Ausgabe",N2711=""),0,IF(N2711="x",-$E2711/(COUNTIF($J2711:$Q2711,"x")+1),-$E2711*N(N2711)))</f>
        <v/>
      </c>
      <c r="AC2711" s="34">
        <f>IF(OR($A2711="",$H2711&lt;&gt;"Ausgabe",O2711=""),0,IF(O2711="x",-$E2711/(COUNTIF($J2711:$Q2711,"x")+1),-$E2711*N(O2711)))</f>
        <v/>
      </c>
      <c r="AD2711" s="34">
        <f>IF(OR($A2711="",$H2711&lt;&gt;"Ausgabe",P2711=""),0,IF(P2711="x",-$E2711/(COUNTIF($J2711:$Q2711,"x")+1),-$E2711*N(P2711)))</f>
        <v/>
      </c>
      <c r="AE2711" s="34">
        <f>IF(OR($A2711="",$H2711&lt;&gt;"Ausgabe",Q2711=""),0,IF(Q2711="x",-$E2711/(COUNTIF($J2711:$Q2711,"x")+1),-$E2711*N(Q2711)))</f>
        <v/>
      </c>
    </row>
    <row r="2712">
      <c r="A2712" s="30" t="n"/>
      <c r="E2712" s="31" t="n"/>
      <c r="J2712" s="32" t="n"/>
      <c r="K2712" s="32" t="n"/>
      <c r="L2712" s="32" t="n"/>
      <c r="M2712" s="32" t="n"/>
      <c r="N2712" s="32" t="n"/>
      <c r="O2712" s="32" t="n"/>
      <c r="P2712" s="32" t="n"/>
      <c r="Q2712" s="32" t="n"/>
      <c r="U2712" s="31">
        <f>IF($A2712="","",SUM(X2712:AE2712))</f>
        <v/>
      </c>
      <c r="V2712" s="31">
        <f>IF($A2712="","",IF($H2712&lt;&gt;"Ausgabe",0,-$E2712-$U2712))</f>
        <v/>
      </c>
      <c r="W2712" s="33">
        <f>IF($A2712="","",DATE(YEAR($A2712),MONTH($A2712),1))</f>
        <v/>
      </c>
      <c r="X2712" s="34">
        <f>IF(OR($A2712="",$H2712&lt;&gt;"Ausgabe",J2712=""),0,IF(J2712="x",-$E2712/(COUNTIF($J2712:$Q2712,"x")+1),-$E2712*N(J2712)))</f>
        <v/>
      </c>
      <c r="Y2712" s="34">
        <f>IF(OR($A2712="",$H2712&lt;&gt;"Ausgabe",K2712=""),0,IF(K2712="x",-$E2712/(COUNTIF($J2712:$Q2712,"x")+1),-$E2712*N(K2712)))</f>
        <v/>
      </c>
      <c r="Z2712" s="34">
        <f>IF(OR($A2712="",$H2712&lt;&gt;"Ausgabe",L2712=""),0,IF(L2712="x",-$E2712/(COUNTIF($J2712:$Q2712,"x")+1),-$E2712*N(L2712)))</f>
        <v/>
      </c>
      <c r="AA2712" s="34">
        <f>IF(OR($A2712="",$H2712&lt;&gt;"Ausgabe",M2712=""),0,IF(M2712="x",-$E2712/(COUNTIF($J2712:$Q2712,"x")+1),-$E2712*N(M2712)))</f>
        <v/>
      </c>
      <c r="AB2712" s="34">
        <f>IF(OR($A2712="",$H2712&lt;&gt;"Ausgabe",N2712=""),0,IF(N2712="x",-$E2712/(COUNTIF($J2712:$Q2712,"x")+1),-$E2712*N(N2712)))</f>
        <v/>
      </c>
      <c r="AC2712" s="34">
        <f>IF(OR($A2712="",$H2712&lt;&gt;"Ausgabe",O2712=""),0,IF(O2712="x",-$E2712/(COUNTIF($J2712:$Q2712,"x")+1),-$E2712*N(O2712)))</f>
        <v/>
      </c>
      <c r="AD2712" s="34">
        <f>IF(OR($A2712="",$H2712&lt;&gt;"Ausgabe",P2712=""),0,IF(P2712="x",-$E2712/(COUNTIF($J2712:$Q2712,"x")+1),-$E2712*N(P2712)))</f>
        <v/>
      </c>
      <c r="AE2712" s="34">
        <f>IF(OR($A2712="",$H2712&lt;&gt;"Ausgabe",Q2712=""),0,IF(Q2712="x",-$E2712/(COUNTIF($J2712:$Q2712,"x")+1),-$E2712*N(Q2712)))</f>
        <v/>
      </c>
    </row>
    <row r="2713">
      <c r="A2713" s="30" t="n"/>
      <c r="E2713" s="31" t="n"/>
      <c r="J2713" s="32" t="n"/>
      <c r="K2713" s="32" t="n"/>
      <c r="L2713" s="32" t="n"/>
      <c r="M2713" s="32" t="n"/>
      <c r="N2713" s="32" t="n"/>
      <c r="O2713" s="32" t="n"/>
      <c r="P2713" s="32" t="n"/>
      <c r="Q2713" s="32" t="n"/>
      <c r="U2713" s="31">
        <f>IF($A2713="","",SUM(X2713:AE2713))</f>
        <v/>
      </c>
      <c r="V2713" s="31">
        <f>IF($A2713="","",IF($H2713&lt;&gt;"Ausgabe",0,-$E2713-$U2713))</f>
        <v/>
      </c>
      <c r="W2713" s="33">
        <f>IF($A2713="","",DATE(YEAR($A2713),MONTH($A2713),1))</f>
        <v/>
      </c>
      <c r="X2713" s="34">
        <f>IF(OR($A2713="",$H2713&lt;&gt;"Ausgabe",J2713=""),0,IF(J2713="x",-$E2713/(COUNTIF($J2713:$Q2713,"x")+1),-$E2713*N(J2713)))</f>
        <v/>
      </c>
      <c r="Y2713" s="34">
        <f>IF(OR($A2713="",$H2713&lt;&gt;"Ausgabe",K2713=""),0,IF(K2713="x",-$E2713/(COUNTIF($J2713:$Q2713,"x")+1),-$E2713*N(K2713)))</f>
        <v/>
      </c>
      <c r="Z2713" s="34">
        <f>IF(OR($A2713="",$H2713&lt;&gt;"Ausgabe",L2713=""),0,IF(L2713="x",-$E2713/(COUNTIF($J2713:$Q2713,"x")+1),-$E2713*N(L2713)))</f>
        <v/>
      </c>
      <c r="AA2713" s="34">
        <f>IF(OR($A2713="",$H2713&lt;&gt;"Ausgabe",M2713=""),0,IF(M2713="x",-$E2713/(COUNTIF($J2713:$Q2713,"x")+1),-$E2713*N(M2713)))</f>
        <v/>
      </c>
      <c r="AB2713" s="34">
        <f>IF(OR($A2713="",$H2713&lt;&gt;"Ausgabe",N2713=""),0,IF(N2713="x",-$E2713/(COUNTIF($J2713:$Q2713,"x")+1),-$E2713*N(N2713)))</f>
        <v/>
      </c>
      <c r="AC2713" s="34">
        <f>IF(OR($A2713="",$H2713&lt;&gt;"Ausgabe",O2713=""),0,IF(O2713="x",-$E2713/(COUNTIF($J2713:$Q2713,"x")+1),-$E2713*N(O2713)))</f>
        <v/>
      </c>
      <c r="AD2713" s="34">
        <f>IF(OR($A2713="",$H2713&lt;&gt;"Ausgabe",P2713=""),0,IF(P2713="x",-$E2713/(COUNTIF($J2713:$Q2713,"x")+1),-$E2713*N(P2713)))</f>
        <v/>
      </c>
      <c r="AE2713" s="34">
        <f>IF(OR($A2713="",$H2713&lt;&gt;"Ausgabe",Q2713=""),0,IF(Q2713="x",-$E2713/(COUNTIF($J2713:$Q2713,"x")+1),-$E2713*N(Q2713)))</f>
        <v/>
      </c>
    </row>
    <row r="2714">
      <c r="A2714" s="30" t="n"/>
      <c r="E2714" s="31" t="n"/>
      <c r="J2714" s="32" t="n"/>
      <c r="K2714" s="32" t="n"/>
      <c r="L2714" s="32" t="n"/>
      <c r="M2714" s="32" t="n"/>
      <c r="N2714" s="32" t="n"/>
      <c r="O2714" s="32" t="n"/>
      <c r="P2714" s="32" t="n"/>
      <c r="Q2714" s="32" t="n"/>
      <c r="U2714" s="31">
        <f>IF($A2714="","",SUM(X2714:AE2714))</f>
        <v/>
      </c>
      <c r="V2714" s="31">
        <f>IF($A2714="","",IF($H2714&lt;&gt;"Ausgabe",0,-$E2714-$U2714))</f>
        <v/>
      </c>
      <c r="W2714" s="33">
        <f>IF($A2714="","",DATE(YEAR($A2714),MONTH($A2714),1))</f>
        <v/>
      </c>
      <c r="X2714" s="34">
        <f>IF(OR($A2714="",$H2714&lt;&gt;"Ausgabe",J2714=""),0,IF(J2714="x",-$E2714/(COUNTIF($J2714:$Q2714,"x")+1),-$E2714*N(J2714)))</f>
        <v/>
      </c>
      <c r="Y2714" s="34">
        <f>IF(OR($A2714="",$H2714&lt;&gt;"Ausgabe",K2714=""),0,IF(K2714="x",-$E2714/(COUNTIF($J2714:$Q2714,"x")+1),-$E2714*N(K2714)))</f>
        <v/>
      </c>
      <c r="Z2714" s="34">
        <f>IF(OR($A2714="",$H2714&lt;&gt;"Ausgabe",L2714=""),0,IF(L2714="x",-$E2714/(COUNTIF($J2714:$Q2714,"x")+1),-$E2714*N(L2714)))</f>
        <v/>
      </c>
      <c r="AA2714" s="34">
        <f>IF(OR($A2714="",$H2714&lt;&gt;"Ausgabe",M2714=""),0,IF(M2714="x",-$E2714/(COUNTIF($J2714:$Q2714,"x")+1),-$E2714*N(M2714)))</f>
        <v/>
      </c>
      <c r="AB2714" s="34">
        <f>IF(OR($A2714="",$H2714&lt;&gt;"Ausgabe",N2714=""),0,IF(N2714="x",-$E2714/(COUNTIF($J2714:$Q2714,"x")+1),-$E2714*N(N2714)))</f>
        <v/>
      </c>
      <c r="AC2714" s="34">
        <f>IF(OR($A2714="",$H2714&lt;&gt;"Ausgabe",O2714=""),0,IF(O2714="x",-$E2714/(COUNTIF($J2714:$Q2714,"x")+1),-$E2714*N(O2714)))</f>
        <v/>
      </c>
      <c r="AD2714" s="34">
        <f>IF(OR($A2714="",$H2714&lt;&gt;"Ausgabe",P2714=""),0,IF(P2714="x",-$E2714/(COUNTIF($J2714:$Q2714,"x")+1),-$E2714*N(P2714)))</f>
        <v/>
      </c>
      <c r="AE2714" s="34">
        <f>IF(OR($A2714="",$H2714&lt;&gt;"Ausgabe",Q2714=""),0,IF(Q2714="x",-$E2714/(COUNTIF($J2714:$Q2714,"x")+1),-$E2714*N(Q2714)))</f>
        <v/>
      </c>
    </row>
    <row r="2715">
      <c r="A2715" s="30" t="n"/>
      <c r="E2715" s="31" t="n"/>
      <c r="J2715" s="32" t="n"/>
      <c r="K2715" s="32" t="n"/>
      <c r="L2715" s="32" t="n"/>
      <c r="M2715" s="32" t="n"/>
      <c r="N2715" s="32" t="n"/>
      <c r="O2715" s="32" t="n"/>
      <c r="P2715" s="32" t="n"/>
      <c r="Q2715" s="32" t="n"/>
      <c r="U2715" s="31">
        <f>IF($A2715="","",SUM(X2715:AE2715))</f>
        <v/>
      </c>
      <c r="V2715" s="31">
        <f>IF($A2715="","",IF($H2715&lt;&gt;"Ausgabe",0,-$E2715-$U2715))</f>
        <v/>
      </c>
      <c r="W2715" s="33">
        <f>IF($A2715="","",DATE(YEAR($A2715),MONTH($A2715),1))</f>
        <v/>
      </c>
      <c r="X2715" s="34">
        <f>IF(OR($A2715="",$H2715&lt;&gt;"Ausgabe",J2715=""),0,IF(J2715="x",-$E2715/(COUNTIF($J2715:$Q2715,"x")+1),-$E2715*N(J2715)))</f>
        <v/>
      </c>
      <c r="Y2715" s="34">
        <f>IF(OR($A2715="",$H2715&lt;&gt;"Ausgabe",K2715=""),0,IF(K2715="x",-$E2715/(COUNTIF($J2715:$Q2715,"x")+1),-$E2715*N(K2715)))</f>
        <v/>
      </c>
      <c r="Z2715" s="34">
        <f>IF(OR($A2715="",$H2715&lt;&gt;"Ausgabe",L2715=""),0,IF(L2715="x",-$E2715/(COUNTIF($J2715:$Q2715,"x")+1),-$E2715*N(L2715)))</f>
        <v/>
      </c>
      <c r="AA2715" s="34">
        <f>IF(OR($A2715="",$H2715&lt;&gt;"Ausgabe",M2715=""),0,IF(M2715="x",-$E2715/(COUNTIF($J2715:$Q2715,"x")+1),-$E2715*N(M2715)))</f>
        <v/>
      </c>
      <c r="AB2715" s="34">
        <f>IF(OR($A2715="",$H2715&lt;&gt;"Ausgabe",N2715=""),0,IF(N2715="x",-$E2715/(COUNTIF($J2715:$Q2715,"x")+1),-$E2715*N(N2715)))</f>
        <v/>
      </c>
      <c r="AC2715" s="34">
        <f>IF(OR($A2715="",$H2715&lt;&gt;"Ausgabe",O2715=""),0,IF(O2715="x",-$E2715/(COUNTIF($J2715:$Q2715,"x")+1),-$E2715*N(O2715)))</f>
        <v/>
      </c>
      <c r="AD2715" s="34">
        <f>IF(OR($A2715="",$H2715&lt;&gt;"Ausgabe",P2715=""),0,IF(P2715="x",-$E2715/(COUNTIF($J2715:$Q2715,"x")+1),-$E2715*N(P2715)))</f>
        <v/>
      </c>
      <c r="AE2715" s="34">
        <f>IF(OR($A2715="",$H2715&lt;&gt;"Ausgabe",Q2715=""),0,IF(Q2715="x",-$E2715/(COUNTIF($J2715:$Q2715,"x")+1),-$E2715*N(Q2715)))</f>
        <v/>
      </c>
    </row>
    <row r="2716">
      <c r="A2716" s="30" t="n"/>
      <c r="E2716" s="31" t="n"/>
      <c r="J2716" s="32" t="n"/>
      <c r="K2716" s="32" t="n"/>
      <c r="L2716" s="32" t="n"/>
      <c r="M2716" s="32" t="n"/>
      <c r="N2716" s="32" t="n"/>
      <c r="O2716" s="32" t="n"/>
      <c r="P2716" s="32" t="n"/>
      <c r="Q2716" s="32" t="n"/>
      <c r="U2716" s="31">
        <f>IF($A2716="","",SUM(X2716:AE2716))</f>
        <v/>
      </c>
      <c r="V2716" s="31">
        <f>IF($A2716="","",IF($H2716&lt;&gt;"Ausgabe",0,-$E2716-$U2716))</f>
        <v/>
      </c>
      <c r="W2716" s="33">
        <f>IF($A2716="","",DATE(YEAR($A2716),MONTH($A2716),1))</f>
        <v/>
      </c>
      <c r="X2716" s="34">
        <f>IF(OR($A2716="",$H2716&lt;&gt;"Ausgabe",J2716=""),0,IF(J2716="x",-$E2716/(COUNTIF($J2716:$Q2716,"x")+1),-$E2716*N(J2716)))</f>
        <v/>
      </c>
      <c r="Y2716" s="34">
        <f>IF(OR($A2716="",$H2716&lt;&gt;"Ausgabe",K2716=""),0,IF(K2716="x",-$E2716/(COUNTIF($J2716:$Q2716,"x")+1),-$E2716*N(K2716)))</f>
        <v/>
      </c>
      <c r="Z2716" s="34">
        <f>IF(OR($A2716="",$H2716&lt;&gt;"Ausgabe",L2716=""),0,IF(L2716="x",-$E2716/(COUNTIF($J2716:$Q2716,"x")+1),-$E2716*N(L2716)))</f>
        <v/>
      </c>
      <c r="AA2716" s="34">
        <f>IF(OR($A2716="",$H2716&lt;&gt;"Ausgabe",M2716=""),0,IF(M2716="x",-$E2716/(COUNTIF($J2716:$Q2716,"x")+1),-$E2716*N(M2716)))</f>
        <v/>
      </c>
      <c r="AB2716" s="34">
        <f>IF(OR($A2716="",$H2716&lt;&gt;"Ausgabe",N2716=""),0,IF(N2716="x",-$E2716/(COUNTIF($J2716:$Q2716,"x")+1),-$E2716*N(N2716)))</f>
        <v/>
      </c>
      <c r="AC2716" s="34">
        <f>IF(OR($A2716="",$H2716&lt;&gt;"Ausgabe",O2716=""),0,IF(O2716="x",-$E2716/(COUNTIF($J2716:$Q2716,"x")+1),-$E2716*N(O2716)))</f>
        <v/>
      </c>
      <c r="AD2716" s="34">
        <f>IF(OR($A2716="",$H2716&lt;&gt;"Ausgabe",P2716=""),0,IF(P2716="x",-$E2716/(COUNTIF($J2716:$Q2716,"x")+1),-$E2716*N(P2716)))</f>
        <v/>
      </c>
      <c r="AE2716" s="34">
        <f>IF(OR($A2716="",$H2716&lt;&gt;"Ausgabe",Q2716=""),0,IF(Q2716="x",-$E2716/(COUNTIF($J2716:$Q2716,"x")+1),-$E2716*N(Q2716)))</f>
        <v/>
      </c>
    </row>
    <row r="2717">
      <c r="A2717" s="30" t="n"/>
      <c r="E2717" s="31" t="n"/>
      <c r="J2717" s="32" t="n"/>
      <c r="K2717" s="32" t="n"/>
      <c r="L2717" s="32" t="n"/>
      <c r="M2717" s="32" t="n"/>
      <c r="N2717" s="32" t="n"/>
      <c r="O2717" s="32" t="n"/>
      <c r="P2717" s="32" t="n"/>
      <c r="Q2717" s="32" t="n"/>
      <c r="U2717" s="31">
        <f>IF($A2717="","",SUM(X2717:AE2717))</f>
        <v/>
      </c>
      <c r="V2717" s="31">
        <f>IF($A2717="","",IF($H2717&lt;&gt;"Ausgabe",0,-$E2717-$U2717))</f>
        <v/>
      </c>
      <c r="W2717" s="33">
        <f>IF($A2717="","",DATE(YEAR($A2717),MONTH($A2717),1))</f>
        <v/>
      </c>
      <c r="X2717" s="34">
        <f>IF(OR($A2717="",$H2717&lt;&gt;"Ausgabe",J2717=""),0,IF(J2717="x",-$E2717/(COUNTIF($J2717:$Q2717,"x")+1),-$E2717*N(J2717)))</f>
        <v/>
      </c>
      <c r="Y2717" s="34">
        <f>IF(OR($A2717="",$H2717&lt;&gt;"Ausgabe",K2717=""),0,IF(K2717="x",-$E2717/(COUNTIF($J2717:$Q2717,"x")+1),-$E2717*N(K2717)))</f>
        <v/>
      </c>
      <c r="Z2717" s="34">
        <f>IF(OR($A2717="",$H2717&lt;&gt;"Ausgabe",L2717=""),0,IF(L2717="x",-$E2717/(COUNTIF($J2717:$Q2717,"x")+1),-$E2717*N(L2717)))</f>
        <v/>
      </c>
      <c r="AA2717" s="34">
        <f>IF(OR($A2717="",$H2717&lt;&gt;"Ausgabe",M2717=""),0,IF(M2717="x",-$E2717/(COUNTIF($J2717:$Q2717,"x")+1),-$E2717*N(M2717)))</f>
        <v/>
      </c>
      <c r="AB2717" s="34">
        <f>IF(OR($A2717="",$H2717&lt;&gt;"Ausgabe",N2717=""),0,IF(N2717="x",-$E2717/(COUNTIF($J2717:$Q2717,"x")+1),-$E2717*N(N2717)))</f>
        <v/>
      </c>
      <c r="AC2717" s="34">
        <f>IF(OR($A2717="",$H2717&lt;&gt;"Ausgabe",O2717=""),0,IF(O2717="x",-$E2717/(COUNTIF($J2717:$Q2717,"x")+1),-$E2717*N(O2717)))</f>
        <v/>
      </c>
      <c r="AD2717" s="34">
        <f>IF(OR($A2717="",$H2717&lt;&gt;"Ausgabe",P2717=""),0,IF(P2717="x",-$E2717/(COUNTIF($J2717:$Q2717,"x")+1),-$E2717*N(P2717)))</f>
        <v/>
      </c>
      <c r="AE2717" s="34">
        <f>IF(OR($A2717="",$H2717&lt;&gt;"Ausgabe",Q2717=""),0,IF(Q2717="x",-$E2717/(COUNTIF($J2717:$Q2717,"x")+1),-$E2717*N(Q2717)))</f>
        <v/>
      </c>
    </row>
    <row r="2718">
      <c r="A2718" s="30" t="n"/>
      <c r="E2718" s="31" t="n"/>
      <c r="J2718" s="32" t="n"/>
      <c r="K2718" s="32" t="n"/>
      <c r="L2718" s="32" t="n"/>
      <c r="M2718" s="32" t="n"/>
      <c r="N2718" s="32" t="n"/>
      <c r="O2718" s="32" t="n"/>
      <c r="P2718" s="32" t="n"/>
      <c r="Q2718" s="32" t="n"/>
      <c r="U2718" s="31">
        <f>IF($A2718="","",SUM(X2718:AE2718))</f>
        <v/>
      </c>
      <c r="V2718" s="31">
        <f>IF($A2718="","",IF($H2718&lt;&gt;"Ausgabe",0,-$E2718-$U2718))</f>
        <v/>
      </c>
      <c r="W2718" s="33">
        <f>IF($A2718="","",DATE(YEAR($A2718),MONTH($A2718),1))</f>
        <v/>
      </c>
      <c r="X2718" s="34">
        <f>IF(OR($A2718="",$H2718&lt;&gt;"Ausgabe",J2718=""),0,IF(J2718="x",-$E2718/(COUNTIF($J2718:$Q2718,"x")+1),-$E2718*N(J2718)))</f>
        <v/>
      </c>
      <c r="Y2718" s="34">
        <f>IF(OR($A2718="",$H2718&lt;&gt;"Ausgabe",K2718=""),0,IF(K2718="x",-$E2718/(COUNTIF($J2718:$Q2718,"x")+1),-$E2718*N(K2718)))</f>
        <v/>
      </c>
      <c r="Z2718" s="34">
        <f>IF(OR($A2718="",$H2718&lt;&gt;"Ausgabe",L2718=""),0,IF(L2718="x",-$E2718/(COUNTIF($J2718:$Q2718,"x")+1),-$E2718*N(L2718)))</f>
        <v/>
      </c>
      <c r="AA2718" s="34">
        <f>IF(OR($A2718="",$H2718&lt;&gt;"Ausgabe",M2718=""),0,IF(M2718="x",-$E2718/(COUNTIF($J2718:$Q2718,"x")+1),-$E2718*N(M2718)))</f>
        <v/>
      </c>
      <c r="AB2718" s="34">
        <f>IF(OR($A2718="",$H2718&lt;&gt;"Ausgabe",N2718=""),0,IF(N2718="x",-$E2718/(COUNTIF($J2718:$Q2718,"x")+1),-$E2718*N(N2718)))</f>
        <v/>
      </c>
      <c r="AC2718" s="34">
        <f>IF(OR($A2718="",$H2718&lt;&gt;"Ausgabe",O2718=""),0,IF(O2718="x",-$E2718/(COUNTIF($J2718:$Q2718,"x")+1),-$E2718*N(O2718)))</f>
        <v/>
      </c>
      <c r="AD2718" s="34">
        <f>IF(OR($A2718="",$H2718&lt;&gt;"Ausgabe",P2718=""),0,IF(P2718="x",-$E2718/(COUNTIF($J2718:$Q2718,"x")+1),-$E2718*N(P2718)))</f>
        <v/>
      </c>
      <c r="AE2718" s="34">
        <f>IF(OR($A2718="",$H2718&lt;&gt;"Ausgabe",Q2718=""),0,IF(Q2718="x",-$E2718/(COUNTIF($J2718:$Q2718,"x")+1),-$E2718*N(Q2718)))</f>
        <v/>
      </c>
    </row>
    <row r="2719">
      <c r="A2719" s="30" t="n"/>
      <c r="E2719" s="31" t="n"/>
      <c r="J2719" s="32" t="n"/>
      <c r="K2719" s="32" t="n"/>
      <c r="L2719" s="32" t="n"/>
      <c r="M2719" s="32" t="n"/>
      <c r="N2719" s="32" t="n"/>
      <c r="O2719" s="32" t="n"/>
      <c r="P2719" s="32" t="n"/>
      <c r="Q2719" s="32" t="n"/>
      <c r="U2719" s="31">
        <f>IF($A2719="","",SUM(X2719:AE2719))</f>
        <v/>
      </c>
      <c r="V2719" s="31">
        <f>IF($A2719="","",IF($H2719&lt;&gt;"Ausgabe",0,-$E2719-$U2719))</f>
        <v/>
      </c>
      <c r="W2719" s="33">
        <f>IF($A2719="","",DATE(YEAR($A2719),MONTH($A2719),1))</f>
        <v/>
      </c>
      <c r="X2719" s="34">
        <f>IF(OR($A2719="",$H2719&lt;&gt;"Ausgabe",J2719=""),0,IF(J2719="x",-$E2719/(COUNTIF($J2719:$Q2719,"x")+1),-$E2719*N(J2719)))</f>
        <v/>
      </c>
      <c r="Y2719" s="34">
        <f>IF(OR($A2719="",$H2719&lt;&gt;"Ausgabe",K2719=""),0,IF(K2719="x",-$E2719/(COUNTIF($J2719:$Q2719,"x")+1),-$E2719*N(K2719)))</f>
        <v/>
      </c>
      <c r="Z2719" s="34">
        <f>IF(OR($A2719="",$H2719&lt;&gt;"Ausgabe",L2719=""),0,IF(L2719="x",-$E2719/(COUNTIF($J2719:$Q2719,"x")+1),-$E2719*N(L2719)))</f>
        <v/>
      </c>
      <c r="AA2719" s="34">
        <f>IF(OR($A2719="",$H2719&lt;&gt;"Ausgabe",M2719=""),0,IF(M2719="x",-$E2719/(COUNTIF($J2719:$Q2719,"x")+1),-$E2719*N(M2719)))</f>
        <v/>
      </c>
      <c r="AB2719" s="34">
        <f>IF(OR($A2719="",$H2719&lt;&gt;"Ausgabe",N2719=""),0,IF(N2719="x",-$E2719/(COUNTIF($J2719:$Q2719,"x")+1),-$E2719*N(N2719)))</f>
        <v/>
      </c>
      <c r="AC2719" s="34">
        <f>IF(OR($A2719="",$H2719&lt;&gt;"Ausgabe",O2719=""),0,IF(O2719="x",-$E2719/(COUNTIF($J2719:$Q2719,"x")+1),-$E2719*N(O2719)))</f>
        <v/>
      </c>
      <c r="AD2719" s="34">
        <f>IF(OR($A2719="",$H2719&lt;&gt;"Ausgabe",P2719=""),0,IF(P2719="x",-$E2719/(COUNTIF($J2719:$Q2719,"x")+1),-$E2719*N(P2719)))</f>
        <v/>
      </c>
      <c r="AE2719" s="34">
        <f>IF(OR($A2719="",$H2719&lt;&gt;"Ausgabe",Q2719=""),0,IF(Q2719="x",-$E2719/(COUNTIF($J2719:$Q2719,"x")+1),-$E2719*N(Q2719)))</f>
        <v/>
      </c>
    </row>
    <row r="2720">
      <c r="A2720" s="30" t="n"/>
      <c r="E2720" s="31" t="n"/>
      <c r="J2720" s="32" t="n"/>
      <c r="K2720" s="32" t="n"/>
      <c r="L2720" s="32" t="n"/>
      <c r="M2720" s="32" t="n"/>
      <c r="N2720" s="32" t="n"/>
      <c r="O2720" s="32" t="n"/>
      <c r="P2720" s="32" t="n"/>
      <c r="Q2720" s="32" t="n"/>
      <c r="U2720" s="31">
        <f>IF($A2720="","",SUM(X2720:AE2720))</f>
        <v/>
      </c>
      <c r="V2720" s="31">
        <f>IF($A2720="","",IF($H2720&lt;&gt;"Ausgabe",0,-$E2720-$U2720))</f>
        <v/>
      </c>
      <c r="W2720" s="33">
        <f>IF($A2720="","",DATE(YEAR($A2720),MONTH($A2720),1))</f>
        <v/>
      </c>
      <c r="X2720" s="34">
        <f>IF(OR($A2720="",$H2720&lt;&gt;"Ausgabe",J2720=""),0,IF(J2720="x",-$E2720/(COUNTIF($J2720:$Q2720,"x")+1),-$E2720*N(J2720)))</f>
        <v/>
      </c>
      <c r="Y2720" s="34">
        <f>IF(OR($A2720="",$H2720&lt;&gt;"Ausgabe",K2720=""),0,IF(K2720="x",-$E2720/(COUNTIF($J2720:$Q2720,"x")+1),-$E2720*N(K2720)))</f>
        <v/>
      </c>
      <c r="Z2720" s="34">
        <f>IF(OR($A2720="",$H2720&lt;&gt;"Ausgabe",L2720=""),0,IF(L2720="x",-$E2720/(COUNTIF($J2720:$Q2720,"x")+1),-$E2720*N(L2720)))</f>
        <v/>
      </c>
      <c r="AA2720" s="34">
        <f>IF(OR($A2720="",$H2720&lt;&gt;"Ausgabe",M2720=""),0,IF(M2720="x",-$E2720/(COUNTIF($J2720:$Q2720,"x")+1),-$E2720*N(M2720)))</f>
        <v/>
      </c>
      <c r="AB2720" s="34">
        <f>IF(OR($A2720="",$H2720&lt;&gt;"Ausgabe",N2720=""),0,IF(N2720="x",-$E2720/(COUNTIF($J2720:$Q2720,"x")+1),-$E2720*N(N2720)))</f>
        <v/>
      </c>
      <c r="AC2720" s="34">
        <f>IF(OR($A2720="",$H2720&lt;&gt;"Ausgabe",O2720=""),0,IF(O2720="x",-$E2720/(COUNTIF($J2720:$Q2720,"x")+1),-$E2720*N(O2720)))</f>
        <v/>
      </c>
      <c r="AD2720" s="34">
        <f>IF(OR($A2720="",$H2720&lt;&gt;"Ausgabe",P2720=""),0,IF(P2720="x",-$E2720/(COUNTIF($J2720:$Q2720,"x")+1),-$E2720*N(P2720)))</f>
        <v/>
      </c>
      <c r="AE2720" s="34">
        <f>IF(OR($A2720="",$H2720&lt;&gt;"Ausgabe",Q2720=""),0,IF(Q2720="x",-$E2720/(COUNTIF($J2720:$Q2720,"x")+1),-$E2720*N(Q2720)))</f>
        <v/>
      </c>
    </row>
    <row r="2721">
      <c r="A2721" s="30" t="n"/>
      <c r="E2721" s="31" t="n"/>
      <c r="J2721" s="32" t="n"/>
      <c r="K2721" s="32" t="n"/>
      <c r="L2721" s="32" t="n"/>
      <c r="M2721" s="32" t="n"/>
      <c r="N2721" s="32" t="n"/>
      <c r="O2721" s="32" t="n"/>
      <c r="P2721" s="32" t="n"/>
      <c r="Q2721" s="32" t="n"/>
      <c r="U2721" s="31">
        <f>IF($A2721="","",SUM(X2721:AE2721))</f>
        <v/>
      </c>
      <c r="V2721" s="31">
        <f>IF($A2721="","",IF($H2721&lt;&gt;"Ausgabe",0,-$E2721-$U2721))</f>
        <v/>
      </c>
      <c r="W2721" s="33">
        <f>IF($A2721="","",DATE(YEAR($A2721),MONTH($A2721),1))</f>
        <v/>
      </c>
      <c r="X2721" s="34">
        <f>IF(OR($A2721="",$H2721&lt;&gt;"Ausgabe",J2721=""),0,IF(J2721="x",-$E2721/(COUNTIF($J2721:$Q2721,"x")+1),-$E2721*N(J2721)))</f>
        <v/>
      </c>
      <c r="Y2721" s="34">
        <f>IF(OR($A2721="",$H2721&lt;&gt;"Ausgabe",K2721=""),0,IF(K2721="x",-$E2721/(COUNTIF($J2721:$Q2721,"x")+1),-$E2721*N(K2721)))</f>
        <v/>
      </c>
      <c r="Z2721" s="34">
        <f>IF(OR($A2721="",$H2721&lt;&gt;"Ausgabe",L2721=""),0,IF(L2721="x",-$E2721/(COUNTIF($J2721:$Q2721,"x")+1),-$E2721*N(L2721)))</f>
        <v/>
      </c>
      <c r="AA2721" s="34">
        <f>IF(OR($A2721="",$H2721&lt;&gt;"Ausgabe",M2721=""),0,IF(M2721="x",-$E2721/(COUNTIF($J2721:$Q2721,"x")+1),-$E2721*N(M2721)))</f>
        <v/>
      </c>
      <c r="AB2721" s="34">
        <f>IF(OR($A2721="",$H2721&lt;&gt;"Ausgabe",N2721=""),0,IF(N2721="x",-$E2721/(COUNTIF($J2721:$Q2721,"x")+1),-$E2721*N(N2721)))</f>
        <v/>
      </c>
      <c r="AC2721" s="34">
        <f>IF(OR($A2721="",$H2721&lt;&gt;"Ausgabe",O2721=""),0,IF(O2721="x",-$E2721/(COUNTIF($J2721:$Q2721,"x")+1),-$E2721*N(O2721)))</f>
        <v/>
      </c>
      <c r="AD2721" s="34">
        <f>IF(OR($A2721="",$H2721&lt;&gt;"Ausgabe",P2721=""),0,IF(P2721="x",-$E2721/(COUNTIF($J2721:$Q2721,"x")+1),-$E2721*N(P2721)))</f>
        <v/>
      </c>
      <c r="AE2721" s="34">
        <f>IF(OR($A2721="",$H2721&lt;&gt;"Ausgabe",Q2721=""),0,IF(Q2721="x",-$E2721/(COUNTIF($J2721:$Q2721,"x")+1),-$E2721*N(Q2721)))</f>
        <v/>
      </c>
    </row>
    <row r="2722">
      <c r="A2722" s="30" t="n"/>
      <c r="E2722" s="31" t="n"/>
      <c r="J2722" s="32" t="n"/>
      <c r="K2722" s="32" t="n"/>
      <c r="L2722" s="32" t="n"/>
      <c r="M2722" s="32" t="n"/>
      <c r="N2722" s="32" t="n"/>
      <c r="O2722" s="32" t="n"/>
      <c r="P2722" s="32" t="n"/>
      <c r="Q2722" s="32" t="n"/>
      <c r="U2722" s="31">
        <f>IF($A2722="","",SUM(X2722:AE2722))</f>
        <v/>
      </c>
      <c r="V2722" s="31">
        <f>IF($A2722="","",IF($H2722&lt;&gt;"Ausgabe",0,-$E2722-$U2722))</f>
        <v/>
      </c>
      <c r="W2722" s="33">
        <f>IF($A2722="","",DATE(YEAR($A2722),MONTH($A2722),1))</f>
        <v/>
      </c>
      <c r="X2722" s="34">
        <f>IF(OR($A2722="",$H2722&lt;&gt;"Ausgabe",J2722=""),0,IF(J2722="x",-$E2722/(COUNTIF($J2722:$Q2722,"x")+1),-$E2722*N(J2722)))</f>
        <v/>
      </c>
      <c r="Y2722" s="34">
        <f>IF(OR($A2722="",$H2722&lt;&gt;"Ausgabe",K2722=""),0,IF(K2722="x",-$E2722/(COUNTIF($J2722:$Q2722,"x")+1),-$E2722*N(K2722)))</f>
        <v/>
      </c>
      <c r="Z2722" s="34">
        <f>IF(OR($A2722="",$H2722&lt;&gt;"Ausgabe",L2722=""),0,IF(L2722="x",-$E2722/(COUNTIF($J2722:$Q2722,"x")+1),-$E2722*N(L2722)))</f>
        <v/>
      </c>
      <c r="AA2722" s="34">
        <f>IF(OR($A2722="",$H2722&lt;&gt;"Ausgabe",M2722=""),0,IF(M2722="x",-$E2722/(COUNTIF($J2722:$Q2722,"x")+1),-$E2722*N(M2722)))</f>
        <v/>
      </c>
      <c r="AB2722" s="34">
        <f>IF(OR($A2722="",$H2722&lt;&gt;"Ausgabe",N2722=""),0,IF(N2722="x",-$E2722/(COUNTIF($J2722:$Q2722,"x")+1),-$E2722*N(N2722)))</f>
        <v/>
      </c>
      <c r="AC2722" s="34">
        <f>IF(OR($A2722="",$H2722&lt;&gt;"Ausgabe",O2722=""),0,IF(O2722="x",-$E2722/(COUNTIF($J2722:$Q2722,"x")+1),-$E2722*N(O2722)))</f>
        <v/>
      </c>
      <c r="AD2722" s="34">
        <f>IF(OR($A2722="",$H2722&lt;&gt;"Ausgabe",P2722=""),0,IF(P2722="x",-$E2722/(COUNTIF($J2722:$Q2722,"x")+1),-$E2722*N(P2722)))</f>
        <v/>
      </c>
      <c r="AE2722" s="34">
        <f>IF(OR($A2722="",$H2722&lt;&gt;"Ausgabe",Q2722=""),0,IF(Q2722="x",-$E2722/(COUNTIF($J2722:$Q2722,"x")+1),-$E2722*N(Q2722)))</f>
        <v/>
      </c>
    </row>
    <row r="2723">
      <c r="A2723" s="30" t="n"/>
      <c r="E2723" s="31" t="n"/>
      <c r="J2723" s="32" t="n"/>
      <c r="K2723" s="32" t="n"/>
      <c r="L2723" s="32" t="n"/>
      <c r="M2723" s="32" t="n"/>
      <c r="N2723" s="32" t="n"/>
      <c r="O2723" s="32" t="n"/>
      <c r="P2723" s="32" t="n"/>
      <c r="Q2723" s="32" t="n"/>
      <c r="U2723" s="31">
        <f>IF($A2723="","",SUM(X2723:AE2723))</f>
        <v/>
      </c>
      <c r="V2723" s="31">
        <f>IF($A2723="","",IF($H2723&lt;&gt;"Ausgabe",0,-$E2723-$U2723))</f>
        <v/>
      </c>
      <c r="W2723" s="33">
        <f>IF($A2723="","",DATE(YEAR($A2723),MONTH($A2723),1))</f>
        <v/>
      </c>
      <c r="X2723" s="34">
        <f>IF(OR($A2723="",$H2723&lt;&gt;"Ausgabe",J2723=""),0,IF(J2723="x",-$E2723/(COUNTIF($J2723:$Q2723,"x")+1),-$E2723*N(J2723)))</f>
        <v/>
      </c>
      <c r="Y2723" s="34">
        <f>IF(OR($A2723="",$H2723&lt;&gt;"Ausgabe",K2723=""),0,IF(K2723="x",-$E2723/(COUNTIF($J2723:$Q2723,"x")+1),-$E2723*N(K2723)))</f>
        <v/>
      </c>
      <c r="Z2723" s="34">
        <f>IF(OR($A2723="",$H2723&lt;&gt;"Ausgabe",L2723=""),0,IF(L2723="x",-$E2723/(COUNTIF($J2723:$Q2723,"x")+1),-$E2723*N(L2723)))</f>
        <v/>
      </c>
      <c r="AA2723" s="34">
        <f>IF(OR($A2723="",$H2723&lt;&gt;"Ausgabe",M2723=""),0,IF(M2723="x",-$E2723/(COUNTIF($J2723:$Q2723,"x")+1),-$E2723*N(M2723)))</f>
        <v/>
      </c>
      <c r="AB2723" s="34">
        <f>IF(OR($A2723="",$H2723&lt;&gt;"Ausgabe",N2723=""),0,IF(N2723="x",-$E2723/(COUNTIF($J2723:$Q2723,"x")+1),-$E2723*N(N2723)))</f>
        <v/>
      </c>
      <c r="AC2723" s="34">
        <f>IF(OR($A2723="",$H2723&lt;&gt;"Ausgabe",O2723=""),0,IF(O2723="x",-$E2723/(COUNTIF($J2723:$Q2723,"x")+1),-$E2723*N(O2723)))</f>
        <v/>
      </c>
      <c r="AD2723" s="34">
        <f>IF(OR($A2723="",$H2723&lt;&gt;"Ausgabe",P2723=""),0,IF(P2723="x",-$E2723/(COUNTIF($J2723:$Q2723,"x")+1),-$E2723*N(P2723)))</f>
        <v/>
      </c>
      <c r="AE2723" s="34">
        <f>IF(OR($A2723="",$H2723&lt;&gt;"Ausgabe",Q2723=""),0,IF(Q2723="x",-$E2723/(COUNTIF($J2723:$Q2723,"x")+1),-$E2723*N(Q2723)))</f>
        <v/>
      </c>
    </row>
    <row r="2724">
      <c r="A2724" s="30" t="n"/>
      <c r="E2724" s="31" t="n"/>
      <c r="J2724" s="32" t="n"/>
      <c r="K2724" s="32" t="n"/>
      <c r="L2724" s="32" t="n"/>
      <c r="M2724" s="32" t="n"/>
      <c r="N2724" s="32" t="n"/>
      <c r="O2724" s="32" t="n"/>
      <c r="P2724" s="32" t="n"/>
      <c r="Q2724" s="32" t="n"/>
      <c r="U2724" s="31">
        <f>IF($A2724="","",SUM(X2724:AE2724))</f>
        <v/>
      </c>
      <c r="V2724" s="31">
        <f>IF($A2724="","",IF($H2724&lt;&gt;"Ausgabe",0,-$E2724-$U2724))</f>
        <v/>
      </c>
      <c r="W2724" s="33">
        <f>IF($A2724="","",DATE(YEAR($A2724),MONTH($A2724),1))</f>
        <v/>
      </c>
      <c r="X2724" s="34">
        <f>IF(OR($A2724="",$H2724&lt;&gt;"Ausgabe",J2724=""),0,IF(J2724="x",-$E2724/(COUNTIF($J2724:$Q2724,"x")+1),-$E2724*N(J2724)))</f>
        <v/>
      </c>
      <c r="Y2724" s="34">
        <f>IF(OR($A2724="",$H2724&lt;&gt;"Ausgabe",K2724=""),0,IF(K2724="x",-$E2724/(COUNTIF($J2724:$Q2724,"x")+1),-$E2724*N(K2724)))</f>
        <v/>
      </c>
      <c r="Z2724" s="34">
        <f>IF(OR($A2724="",$H2724&lt;&gt;"Ausgabe",L2724=""),0,IF(L2724="x",-$E2724/(COUNTIF($J2724:$Q2724,"x")+1),-$E2724*N(L2724)))</f>
        <v/>
      </c>
      <c r="AA2724" s="34">
        <f>IF(OR($A2724="",$H2724&lt;&gt;"Ausgabe",M2724=""),0,IF(M2724="x",-$E2724/(COUNTIF($J2724:$Q2724,"x")+1),-$E2724*N(M2724)))</f>
        <v/>
      </c>
      <c r="AB2724" s="34">
        <f>IF(OR($A2724="",$H2724&lt;&gt;"Ausgabe",N2724=""),0,IF(N2724="x",-$E2724/(COUNTIF($J2724:$Q2724,"x")+1),-$E2724*N(N2724)))</f>
        <v/>
      </c>
      <c r="AC2724" s="34">
        <f>IF(OR($A2724="",$H2724&lt;&gt;"Ausgabe",O2724=""),0,IF(O2724="x",-$E2724/(COUNTIF($J2724:$Q2724,"x")+1),-$E2724*N(O2724)))</f>
        <v/>
      </c>
      <c r="AD2724" s="34">
        <f>IF(OR($A2724="",$H2724&lt;&gt;"Ausgabe",P2724=""),0,IF(P2724="x",-$E2724/(COUNTIF($J2724:$Q2724,"x")+1),-$E2724*N(P2724)))</f>
        <v/>
      </c>
      <c r="AE2724" s="34">
        <f>IF(OR($A2724="",$H2724&lt;&gt;"Ausgabe",Q2724=""),0,IF(Q2724="x",-$E2724/(COUNTIF($J2724:$Q2724,"x")+1),-$E2724*N(Q2724)))</f>
        <v/>
      </c>
    </row>
    <row r="2725">
      <c r="A2725" s="30" t="n"/>
      <c r="E2725" s="31" t="n"/>
      <c r="J2725" s="32" t="n"/>
      <c r="K2725" s="32" t="n"/>
      <c r="L2725" s="32" t="n"/>
      <c r="M2725" s="32" t="n"/>
      <c r="N2725" s="32" t="n"/>
      <c r="O2725" s="32" t="n"/>
      <c r="P2725" s="32" t="n"/>
      <c r="Q2725" s="32" t="n"/>
      <c r="U2725" s="31">
        <f>IF($A2725="","",SUM(X2725:AE2725))</f>
        <v/>
      </c>
      <c r="V2725" s="31">
        <f>IF($A2725="","",IF($H2725&lt;&gt;"Ausgabe",0,-$E2725-$U2725))</f>
        <v/>
      </c>
      <c r="W2725" s="33">
        <f>IF($A2725="","",DATE(YEAR($A2725),MONTH($A2725),1))</f>
        <v/>
      </c>
      <c r="X2725" s="34">
        <f>IF(OR($A2725="",$H2725&lt;&gt;"Ausgabe",J2725=""),0,IF(J2725="x",-$E2725/(COUNTIF($J2725:$Q2725,"x")+1),-$E2725*N(J2725)))</f>
        <v/>
      </c>
      <c r="Y2725" s="34">
        <f>IF(OR($A2725="",$H2725&lt;&gt;"Ausgabe",K2725=""),0,IF(K2725="x",-$E2725/(COUNTIF($J2725:$Q2725,"x")+1),-$E2725*N(K2725)))</f>
        <v/>
      </c>
      <c r="Z2725" s="34">
        <f>IF(OR($A2725="",$H2725&lt;&gt;"Ausgabe",L2725=""),0,IF(L2725="x",-$E2725/(COUNTIF($J2725:$Q2725,"x")+1),-$E2725*N(L2725)))</f>
        <v/>
      </c>
      <c r="AA2725" s="34">
        <f>IF(OR($A2725="",$H2725&lt;&gt;"Ausgabe",M2725=""),0,IF(M2725="x",-$E2725/(COUNTIF($J2725:$Q2725,"x")+1),-$E2725*N(M2725)))</f>
        <v/>
      </c>
      <c r="AB2725" s="34">
        <f>IF(OR($A2725="",$H2725&lt;&gt;"Ausgabe",N2725=""),0,IF(N2725="x",-$E2725/(COUNTIF($J2725:$Q2725,"x")+1),-$E2725*N(N2725)))</f>
        <v/>
      </c>
      <c r="AC2725" s="34">
        <f>IF(OR($A2725="",$H2725&lt;&gt;"Ausgabe",O2725=""),0,IF(O2725="x",-$E2725/(COUNTIF($J2725:$Q2725,"x")+1),-$E2725*N(O2725)))</f>
        <v/>
      </c>
      <c r="AD2725" s="34">
        <f>IF(OR($A2725="",$H2725&lt;&gt;"Ausgabe",P2725=""),0,IF(P2725="x",-$E2725/(COUNTIF($J2725:$Q2725,"x")+1),-$E2725*N(P2725)))</f>
        <v/>
      </c>
      <c r="AE2725" s="34">
        <f>IF(OR($A2725="",$H2725&lt;&gt;"Ausgabe",Q2725=""),0,IF(Q2725="x",-$E2725/(COUNTIF($J2725:$Q2725,"x")+1),-$E2725*N(Q2725)))</f>
        <v/>
      </c>
    </row>
    <row r="2726">
      <c r="A2726" s="30" t="n"/>
      <c r="E2726" s="31" t="n"/>
      <c r="J2726" s="32" t="n"/>
      <c r="K2726" s="32" t="n"/>
      <c r="L2726" s="32" t="n"/>
      <c r="M2726" s="32" t="n"/>
      <c r="N2726" s="32" t="n"/>
      <c r="O2726" s="32" t="n"/>
      <c r="P2726" s="32" t="n"/>
      <c r="Q2726" s="32" t="n"/>
      <c r="U2726" s="31">
        <f>IF($A2726="","",SUM(X2726:AE2726))</f>
        <v/>
      </c>
      <c r="V2726" s="31">
        <f>IF($A2726="","",IF($H2726&lt;&gt;"Ausgabe",0,-$E2726-$U2726))</f>
        <v/>
      </c>
      <c r="W2726" s="33">
        <f>IF($A2726="","",DATE(YEAR($A2726),MONTH($A2726),1))</f>
        <v/>
      </c>
      <c r="X2726" s="34">
        <f>IF(OR($A2726="",$H2726&lt;&gt;"Ausgabe",J2726=""),0,IF(J2726="x",-$E2726/(COUNTIF($J2726:$Q2726,"x")+1),-$E2726*N(J2726)))</f>
        <v/>
      </c>
      <c r="Y2726" s="34">
        <f>IF(OR($A2726="",$H2726&lt;&gt;"Ausgabe",K2726=""),0,IF(K2726="x",-$E2726/(COUNTIF($J2726:$Q2726,"x")+1),-$E2726*N(K2726)))</f>
        <v/>
      </c>
      <c r="Z2726" s="34">
        <f>IF(OR($A2726="",$H2726&lt;&gt;"Ausgabe",L2726=""),0,IF(L2726="x",-$E2726/(COUNTIF($J2726:$Q2726,"x")+1),-$E2726*N(L2726)))</f>
        <v/>
      </c>
      <c r="AA2726" s="34">
        <f>IF(OR($A2726="",$H2726&lt;&gt;"Ausgabe",M2726=""),0,IF(M2726="x",-$E2726/(COUNTIF($J2726:$Q2726,"x")+1),-$E2726*N(M2726)))</f>
        <v/>
      </c>
      <c r="AB2726" s="34">
        <f>IF(OR($A2726="",$H2726&lt;&gt;"Ausgabe",N2726=""),0,IF(N2726="x",-$E2726/(COUNTIF($J2726:$Q2726,"x")+1),-$E2726*N(N2726)))</f>
        <v/>
      </c>
      <c r="AC2726" s="34">
        <f>IF(OR($A2726="",$H2726&lt;&gt;"Ausgabe",O2726=""),0,IF(O2726="x",-$E2726/(COUNTIF($J2726:$Q2726,"x")+1),-$E2726*N(O2726)))</f>
        <v/>
      </c>
      <c r="AD2726" s="34">
        <f>IF(OR($A2726="",$H2726&lt;&gt;"Ausgabe",P2726=""),0,IF(P2726="x",-$E2726/(COUNTIF($J2726:$Q2726,"x")+1),-$E2726*N(P2726)))</f>
        <v/>
      </c>
      <c r="AE2726" s="34">
        <f>IF(OR($A2726="",$H2726&lt;&gt;"Ausgabe",Q2726=""),0,IF(Q2726="x",-$E2726/(COUNTIF($J2726:$Q2726,"x")+1),-$E2726*N(Q2726)))</f>
        <v/>
      </c>
    </row>
    <row r="2727">
      <c r="A2727" s="30" t="n"/>
      <c r="E2727" s="31" t="n"/>
      <c r="J2727" s="32" t="n"/>
      <c r="K2727" s="32" t="n"/>
      <c r="L2727" s="32" t="n"/>
      <c r="M2727" s="32" t="n"/>
      <c r="N2727" s="32" t="n"/>
      <c r="O2727" s="32" t="n"/>
      <c r="P2727" s="32" t="n"/>
      <c r="Q2727" s="32" t="n"/>
      <c r="U2727" s="31">
        <f>IF($A2727="","",SUM(X2727:AE2727))</f>
        <v/>
      </c>
      <c r="V2727" s="31">
        <f>IF($A2727="","",IF($H2727&lt;&gt;"Ausgabe",0,-$E2727-$U2727))</f>
        <v/>
      </c>
      <c r="W2727" s="33">
        <f>IF($A2727="","",DATE(YEAR($A2727),MONTH($A2727),1))</f>
        <v/>
      </c>
      <c r="X2727" s="34">
        <f>IF(OR($A2727="",$H2727&lt;&gt;"Ausgabe",J2727=""),0,IF(J2727="x",-$E2727/(COUNTIF($J2727:$Q2727,"x")+1),-$E2727*N(J2727)))</f>
        <v/>
      </c>
      <c r="Y2727" s="34">
        <f>IF(OR($A2727="",$H2727&lt;&gt;"Ausgabe",K2727=""),0,IF(K2727="x",-$E2727/(COUNTIF($J2727:$Q2727,"x")+1),-$E2727*N(K2727)))</f>
        <v/>
      </c>
      <c r="Z2727" s="34">
        <f>IF(OR($A2727="",$H2727&lt;&gt;"Ausgabe",L2727=""),0,IF(L2727="x",-$E2727/(COUNTIF($J2727:$Q2727,"x")+1),-$E2727*N(L2727)))</f>
        <v/>
      </c>
      <c r="AA2727" s="34">
        <f>IF(OR($A2727="",$H2727&lt;&gt;"Ausgabe",M2727=""),0,IF(M2727="x",-$E2727/(COUNTIF($J2727:$Q2727,"x")+1),-$E2727*N(M2727)))</f>
        <v/>
      </c>
      <c r="AB2727" s="34">
        <f>IF(OR($A2727="",$H2727&lt;&gt;"Ausgabe",N2727=""),0,IF(N2727="x",-$E2727/(COUNTIF($J2727:$Q2727,"x")+1),-$E2727*N(N2727)))</f>
        <v/>
      </c>
      <c r="AC2727" s="34">
        <f>IF(OR($A2727="",$H2727&lt;&gt;"Ausgabe",O2727=""),0,IF(O2727="x",-$E2727/(COUNTIF($J2727:$Q2727,"x")+1),-$E2727*N(O2727)))</f>
        <v/>
      </c>
      <c r="AD2727" s="34">
        <f>IF(OR($A2727="",$H2727&lt;&gt;"Ausgabe",P2727=""),0,IF(P2727="x",-$E2727/(COUNTIF($J2727:$Q2727,"x")+1),-$E2727*N(P2727)))</f>
        <v/>
      </c>
      <c r="AE2727" s="34">
        <f>IF(OR($A2727="",$H2727&lt;&gt;"Ausgabe",Q2727=""),0,IF(Q2727="x",-$E2727/(COUNTIF($J2727:$Q2727,"x")+1),-$E2727*N(Q2727)))</f>
        <v/>
      </c>
    </row>
    <row r="2728">
      <c r="A2728" s="30" t="n"/>
      <c r="E2728" s="31" t="n"/>
      <c r="J2728" s="32" t="n"/>
      <c r="K2728" s="32" t="n"/>
      <c r="L2728" s="32" t="n"/>
      <c r="M2728" s="32" t="n"/>
      <c r="N2728" s="32" t="n"/>
      <c r="O2728" s="32" t="n"/>
      <c r="P2728" s="32" t="n"/>
      <c r="Q2728" s="32" t="n"/>
      <c r="U2728" s="31">
        <f>IF($A2728="","",SUM(X2728:AE2728))</f>
        <v/>
      </c>
      <c r="V2728" s="31">
        <f>IF($A2728="","",IF($H2728&lt;&gt;"Ausgabe",0,-$E2728-$U2728))</f>
        <v/>
      </c>
      <c r="W2728" s="33">
        <f>IF($A2728="","",DATE(YEAR($A2728),MONTH($A2728),1))</f>
        <v/>
      </c>
      <c r="X2728" s="34">
        <f>IF(OR($A2728="",$H2728&lt;&gt;"Ausgabe",J2728=""),0,IF(J2728="x",-$E2728/(COUNTIF($J2728:$Q2728,"x")+1),-$E2728*N(J2728)))</f>
        <v/>
      </c>
      <c r="Y2728" s="34">
        <f>IF(OR($A2728="",$H2728&lt;&gt;"Ausgabe",K2728=""),0,IF(K2728="x",-$E2728/(COUNTIF($J2728:$Q2728,"x")+1),-$E2728*N(K2728)))</f>
        <v/>
      </c>
      <c r="Z2728" s="34">
        <f>IF(OR($A2728="",$H2728&lt;&gt;"Ausgabe",L2728=""),0,IF(L2728="x",-$E2728/(COUNTIF($J2728:$Q2728,"x")+1),-$E2728*N(L2728)))</f>
        <v/>
      </c>
      <c r="AA2728" s="34">
        <f>IF(OR($A2728="",$H2728&lt;&gt;"Ausgabe",M2728=""),0,IF(M2728="x",-$E2728/(COUNTIF($J2728:$Q2728,"x")+1),-$E2728*N(M2728)))</f>
        <v/>
      </c>
      <c r="AB2728" s="34">
        <f>IF(OR($A2728="",$H2728&lt;&gt;"Ausgabe",N2728=""),0,IF(N2728="x",-$E2728/(COUNTIF($J2728:$Q2728,"x")+1),-$E2728*N(N2728)))</f>
        <v/>
      </c>
      <c r="AC2728" s="34">
        <f>IF(OR($A2728="",$H2728&lt;&gt;"Ausgabe",O2728=""),0,IF(O2728="x",-$E2728/(COUNTIF($J2728:$Q2728,"x")+1),-$E2728*N(O2728)))</f>
        <v/>
      </c>
      <c r="AD2728" s="34">
        <f>IF(OR($A2728="",$H2728&lt;&gt;"Ausgabe",P2728=""),0,IF(P2728="x",-$E2728/(COUNTIF($J2728:$Q2728,"x")+1),-$E2728*N(P2728)))</f>
        <v/>
      </c>
      <c r="AE2728" s="34">
        <f>IF(OR($A2728="",$H2728&lt;&gt;"Ausgabe",Q2728=""),0,IF(Q2728="x",-$E2728/(COUNTIF($J2728:$Q2728,"x")+1),-$E2728*N(Q2728)))</f>
        <v/>
      </c>
    </row>
    <row r="2729">
      <c r="A2729" s="30" t="n"/>
      <c r="E2729" s="31" t="n"/>
      <c r="J2729" s="32" t="n"/>
      <c r="K2729" s="32" t="n"/>
      <c r="L2729" s="32" t="n"/>
      <c r="M2729" s="32" t="n"/>
      <c r="N2729" s="32" t="n"/>
      <c r="O2729" s="32" t="n"/>
      <c r="P2729" s="32" t="n"/>
      <c r="Q2729" s="32" t="n"/>
      <c r="U2729" s="31">
        <f>IF($A2729="","",SUM(X2729:AE2729))</f>
        <v/>
      </c>
      <c r="V2729" s="31">
        <f>IF($A2729="","",IF($H2729&lt;&gt;"Ausgabe",0,-$E2729-$U2729))</f>
        <v/>
      </c>
      <c r="W2729" s="33">
        <f>IF($A2729="","",DATE(YEAR($A2729),MONTH($A2729),1))</f>
        <v/>
      </c>
      <c r="X2729" s="34">
        <f>IF(OR($A2729="",$H2729&lt;&gt;"Ausgabe",J2729=""),0,IF(J2729="x",-$E2729/(COUNTIF($J2729:$Q2729,"x")+1),-$E2729*N(J2729)))</f>
        <v/>
      </c>
      <c r="Y2729" s="34">
        <f>IF(OR($A2729="",$H2729&lt;&gt;"Ausgabe",K2729=""),0,IF(K2729="x",-$E2729/(COUNTIF($J2729:$Q2729,"x")+1),-$E2729*N(K2729)))</f>
        <v/>
      </c>
      <c r="Z2729" s="34">
        <f>IF(OR($A2729="",$H2729&lt;&gt;"Ausgabe",L2729=""),0,IF(L2729="x",-$E2729/(COUNTIF($J2729:$Q2729,"x")+1),-$E2729*N(L2729)))</f>
        <v/>
      </c>
      <c r="AA2729" s="34">
        <f>IF(OR($A2729="",$H2729&lt;&gt;"Ausgabe",M2729=""),0,IF(M2729="x",-$E2729/(COUNTIF($J2729:$Q2729,"x")+1),-$E2729*N(M2729)))</f>
        <v/>
      </c>
      <c r="AB2729" s="34">
        <f>IF(OR($A2729="",$H2729&lt;&gt;"Ausgabe",N2729=""),0,IF(N2729="x",-$E2729/(COUNTIF($J2729:$Q2729,"x")+1),-$E2729*N(N2729)))</f>
        <v/>
      </c>
      <c r="AC2729" s="34">
        <f>IF(OR($A2729="",$H2729&lt;&gt;"Ausgabe",O2729=""),0,IF(O2729="x",-$E2729/(COUNTIF($J2729:$Q2729,"x")+1),-$E2729*N(O2729)))</f>
        <v/>
      </c>
      <c r="AD2729" s="34">
        <f>IF(OR($A2729="",$H2729&lt;&gt;"Ausgabe",P2729=""),0,IF(P2729="x",-$E2729/(COUNTIF($J2729:$Q2729,"x")+1),-$E2729*N(P2729)))</f>
        <v/>
      </c>
      <c r="AE2729" s="34">
        <f>IF(OR($A2729="",$H2729&lt;&gt;"Ausgabe",Q2729=""),0,IF(Q2729="x",-$E2729/(COUNTIF($J2729:$Q2729,"x")+1),-$E2729*N(Q2729)))</f>
        <v/>
      </c>
    </row>
    <row r="2730">
      <c r="A2730" s="30" t="n"/>
      <c r="E2730" s="31" t="n"/>
      <c r="J2730" s="32" t="n"/>
      <c r="K2730" s="32" t="n"/>
      <c r="L2730" s="32" t="n"/>
      <c r="M2730" s="32" t="n"/>
      <c r="N2730" s="32" t="n"/>
      <c r="O2730" s="32" t="n"/>
      <c r="P2730" s="32" t="n"/>
      <c r="Q2730" s="32" t="n"/>
      <c r="U2730" s="31">
        <f>IF($A2730="","",SUM(X2730:AE2730))</f>
        <v/>
      </c>
      <c r="V2730" s="31">
        <f>IF($A2730="","",IF($H2730&lt;&gt;"Ausgabe",0,-$E2730-$U2730))</f>
        <v/>
      </c>
      <c r="W2730" s="33">
        <f>IF($A2730="","",DATE(YEAR($A2730),MONTH($A2730),1))</f>
        <v/>
      </c>
      <c r="X2730" s="34">
        <f>IF(OR($A2730="",$H2730&lt;&gt;"Ausgabe",J2730=""),0,IF(J2730="x",-$E2730/(COUNTIF($J2730:$Q2730,"x")+1),-$E2730*N(J2730)))</f>
        <v/>
      </c>
      <c r="Y2730" s="34">
        <f>IF(OR($A2730="",$H2730&lt;&gt;"Ausgabe",K2730=""),0,IF(K2730="x",-$E2730/(COUNTIF($J2730:$Q2730,"x")+1),-$E2730*N(K2730)))</f>
        <v/>
      </c>
      <c r="Z2730" s="34">
        <f>IF(OR($A2730="",$H2730&lt;&gt;"Ausgabe",L2730=""),0,IF(L2730="x",-$E2730/(COUNTIF($J2730:$Q2730,"x")+1),-$E2730*N(L2730)))</f>
        <v/>
      </c>
      <c r="AA2730" s="34">
        <f>IF(OR($A2730="",$H2730&lt;&gt;"Ausgabe",M2730=""),0,IF(M2730="x",-$E2730/(COUNTIF($J2730:$Q2730,"x")+1),-$E2730*N(M2730)))</f>
        <v/>
      </c>
      <c r="AB2730" s="34">
        <f>IF(OR($A2730="",$H2730&lt;&gt;"Ausgabe",N2730=""),0,IF(N2730="x",-$E2730/(COUNTIF($J2730:$Q2730,"x")+1),-$E2730*N(N2730)))</f>
        <v/>
      </c>
      <c r="AC2730" s="34">
        <f>IF(OR($A2730="",$H2730&lt;&gt;"Ausgabe",O2730=""),0,IF(O2730="x",-$E2730/(COUNTIF($J2730:$Q2730,"x")+1),-$E2730*N(O2730)))</f>
        <v/>
      </c>
      <c r="AD2730" s="34">
        <f>IF(OR($A2730="",$H2730&lt;&gt;"Ausgabe",P2730=""),0,IF(P2730="x",-$E2730/(COUNTIF($J2730:$Q2730,"x")+1),-$E2730*N(P2730)))</f>
        <v/>
      </c>
      <c r="AE2730" s="34">
        <f>IF(OR($A2730="",$H2730&lt;&gt;"Ausgabe",Q2730=""),0,IF(Q2730="x",-$E2730/(COUNTIF($J2730:$Q2730,"x")+1),-$E2730*N(Q2730)))</f>
        <v/>
      </c>
    </row>
    <row r="2731">
      <c r="A2731" s="30" t="n"/>
      <c r="E2731" s="31" t="n"/>
      <c r="J2731" s="32" t="n"/>
      <c r="K2731" s="32" t="n"/>
      <c r="L2731" s="32" t="n"/>
      <c r="M2731" s="32" t="n"/>
      <c r="N2731" s="32" t="n"/>
      <c r="O2731" s="32" t="n"/>
      <c r="P2731" s="32" t="n"/>
      <c r="Q2731" s="32" t="n"/>
      <c r="U2731" s="31">
        <f>IF($A2731="","",SUM(X2731:AE2731))</f>
        <v/>
      </c>
      <c r="V2731" s="31">
        <f>IF($A2731="","",IF($H2731&lt;&gt;"Ausgabe",0,-$E2731-$U2731))</f>
        <v/>
      </c>
      <c r="W2731" s="33">
        <f>IF($A2731="","",DATE(YEAR($A2731),MONTH($A2731),1))</f>
        <v/>
      </c>
      <c r="X2731" s="34">
        <f>IF(OR($A2731="",$H2731&lt;&gt;"Ausgabe",J2731=""),0,IF(J2731="x",-$E2731/(COUNTIF($J2731:$Q2731,"x")+1),-$E2731*N(J2731)))</f>
        <v/>
      </c>
      <c r="Y2731" s="34">
        <f>IF(OR($A2731="",$H2731&lt;&gt;"Ausgabe",K2731=""),0,IF(K2731="x",-$E2731/(COUNTIF($J2731:$Q2731,"x")+1),-$E2731*N(K2731)))</f>
        <v/>
      </c>
      <c r="Z2731" s="34">
        <f>IF(OR($A2731="",$H2731&lt;&gt;"Ausgabe",L2731=""),0,IF(L2731="x",-$E2731/(COUNTIF($J2731:$Q2731,"x")+1),-$E2731*N(L2731)))</f>
        <v/>
      </c>
      <c r="AA2731" s="34">
        <f>IF(OR($A2731="",$H2731&lt;&gt;"Ausgabe",M2731=""),0,IF(M2731="x",-$E2731/(COUNTIF($J2731:$Q2731,"x")+1),-$E2731*N(M2731)))</f>
        <v/>
      </c>
      <c r="AB2731" s="34">
        <f>IF(OR($A2731="",$H2731&lt;&gt;"Ausgabe",N2731=""),0,IF(N2731="x",-$E2731/(COUNTIF($J2731:$Q2731,"x")+1),-$E2731*N(N2731)))</f>
        <v/>
      </c>
      <c r="AC2731" s="34">
        <f>IF(OR($A2731="",$H2731&lt;&gt;"Ausgabe",O2731=""),0,IF(O2731="x",-$E2731/(COUNTIF($J2731:$Q2731,"x")+1),-$E2731*N(O2731)))</f>
        <v/>
      </c>
      <c r="AD2731" s="34">
        <f>IF(OR($A2731="",$H2731&lt;&gt;"Ausgabe",P2731=""),0,IF(P2731="x",-$E2731/(COUNTIF($J2731:$Q2731,"x")+1),-$E2731*N(P2731)))</f>
        <v/>
      </c>
      <c r="AE2731" s="34">
        <f>IF(OR($A2731="",$H2731&lt;&gt;"Ausgabe",Q2731=""),0,IF(Q2731="x",-$E2731/(COUNTIF($J2731:$Q2731,"x")+1),-$E2731*N(Q2731)))</f>
        <v/>
      </c>
    </row>
    <row r="2732">
      <c r="A2732" s="30" t="n"/>
      <c r="E2732" s="31" t="n"/>
      <c r="J2732" s="32" t="n"/>
      <c r="K2732" s="32" t="n"/>
      <c r="L2732" s="32" t="n"/>
      <c r="M2732" s="32" t="n"/>
      <c r="N2732" s="32" t="n"/>
      <c r="O2732" s="32" t="n"/>
      <c r="P2732" s="32" t="n"/>
      <c r="Q2732" s="32" t="n"/>
      <c r="U2732" s="31">
        <f>IF($A2732="","",SUM(X2732:AE2732))</f>
        <v/>
      </c>
      <c r="V2732" s="31">
        <f>IF($A2732="","",IF($H2732&lt;&gt;"Ausgabe",0,-$E2732-$U2732))</f>
        <v/>
      </c>
      <c r="W2732" s="33">
        <f>IF($A2732="","",DATE(YEAR($A2732),MONTH($A2732),1))</f>
        <v/>
      </c>
      <c r="X2732" s="34">
        <f>IF(OR($A2732="",$H2732&lt;&gt;"Ausgabe",J2732=""),0,IF(J2732="x",-$E2732/(COUNTIF($J2732:$Q2732,"x")+1),-$E2732*N(J2732)))</f>
        <v/>
      </c>
      <c r="Y2732" s="34">
        <f>IF(OR($A2732="",$H2732&lt;&gt;"Ausgabe",K2732=""),0,IF(K2732="x",-$E2732/(COUNTIF($J2732:$Q2732,"x")+1),-$E2732*N(K2732)))</f>
        <v/>
      </c>
      <c r="Z2732" s="34">
        <f>IF(OR($A2732="",$H2732&lt;&gt;"Ausgabe",L2732=""),0,IF(L2732="x",-$E2732/(COUNTIF($J2732:$Q2732,"x")+1),-$E2732*N(L2732)))</f>
        <v/>
      </c>
      <c r="AA2732" s="34">
        <f>IF(OR($A2732="",$H2732&lt;&gt;"Ausgabe",M2732=""),0,IF(M2732="x",-$E2732/(COUNTIF($J2732:$Q2732,"x")+1),-$E2732*N(M2732)))</f>
        <v/>
      </c>
      <c r="AB2732" s="34">
        <f>IF(OR($A2732="",$H2732&lt;&gt;"Ausgabe",N2732=""),0,IF(N2732="x",-$E2732/(COUNTIF($J2732:$Q2732,"x")+1),-$E2732*N(N2732)))</f>
        <v/>
      </c>
      <c r="AC2732" s="34">
        <f>IF(OR($A2732="",$H2732&lt;&gt;"Ausgabe",O2732=""),0,IF(O2732="x",-$E2732/(COUNTIF($J2732:$Q2732,"x")+1),-$E2732*N(O2732)))</f>
        <v/>
      </c>
      <c r="AD2732" s="34">
        <f>IF(OR($A2732="",$H2732&lt;&gt;"Ausgabe",P2732=""),0,IF(P2732="x",-$E2732/(COUNTIF($J2732:$Q2732,"x")+1),-$E2732*N(P2732)))</f>
        <v/>
      </c>
      <c r="AE2732" s="34">
        <f>IF(OR($A2732="",$H2732&lt;&gt;"Ausgabe",Q2732=""),0,IF(Q2732="x",-$E2732/(COUNTIF($J2732:$Q2732,"x")+1),-$E2732*N(Q2732)))</f>
        <v/>
      </c>
    </row>
    <row r="2733">
      <c r="A2733" s="30" t="n"/>
      <c r="E2733" s="31" t="n"/>
      <c r="J2733" s="32" t="n"/>
      <c r="K2733" s="32" t="n"/>
      <c r="L2733" s="32" t="n"/>
      <c r="M2733" s="32" t="n"/>
      <c r="N2733" s="32" t="n"/>
      <c r="O2733" s="32" t="n"/>
      <c r="P2733" s="32" t="n"/>
      <c r="Q2733" s="32" t="n"/>
      <c r="U2733" s="31">
        <f>IF($A2733="","",SUM(X2733:AE2733))</f>
        <v/>
      </c>
      <c r="V2733" s="31">
        <f>IF($A2733="","",IF($H2733&lt;&gt;"Ausgabe",0,-$E2733-$U2733))</f>
        <v/>
      </c>
      <c r="W2733" s="33">
        <f>IF($A2733="","",DATE(YEAR($A2733),MONTH($A2733),1))</f>
        <v/>
      </c>
      <c r="X2733" s="34">
        <f>IF(OR($A2733="",$H2733&lt;&gt;"Ausgabe",J2733=""),0,IF(J2733="x",-$E2733/(COUNTIF($J2733:$Q2733,"x")+1),-$E2733*N(J2733)))</f>
        <v/>
      </c>
      <c r="Y2733" s="34">
        <f>IF(OR($A2733="",$H2733&lt;&gt;"Ausgabe",K2733=""),0,IF(K2733="x",-$E2733/(COUNTIF($J2733:$Q2733,"x")+1),-$E2733*N(K2733)))</f>
        <v/>
      </c>
      <c r="Z2733" s="34">
        <f>IF(OR($A2733="",$H2733&lt;&gt;"Ausgabe",L2733=""),0,IF(L2733="x",-$E2733/(COUNTIF($J2733:$Q2733,"x")+1),-$E2733*N(L2733)))</f>
        <v/>
      </c>
      <c r="AA2733" s="34">
        <f>IF(OR($A2733="",$H2733&lt;&gt;"Ausgabe",M2733=""),0,IF(M2733="x",-$E2733/(COUNTIF($J2733:$Q2733,"x")+1),-$E2733*N(M2733)))</f>
        <v/>
      </c>
      <c r="AB2733" s="34">
        <f>IF(OR($A2733="",$H2733&lt;&gt;"Ausgabe",N2733=""),0,IF(N2733="x",-$E2733/(COUNTIF($J2733:$Q2733,"x")+1),-$E2733*N(N2733)))</f>
        <v/>
      </c>
      <c r="AC2733" s="34">
        <f>IF(OR($A2733="",$H2733&lt;&gt;"Ausgabe",O2733=""),0,IF(O2733="x",-$E2733/(COUNTIF($J2733:$Q2733,"x")+1),-$E2733*N(O2733)))</f>
        <v/>
      </c>
      <c r="AD2733" s="34">
        <f>IF(OR($A2733="",$H2733&lt;&gt;"Ausgabe",P2733=""),0,IF(P2733="x",-$E2733/(COUNTIF($J2733:$Q2733,"x")+1),-$E2733*N(P2733)))</f>
        <v/>
      </c>
      <c r="AE2733" s="34">
        <f>IF(OR($A2733="",$H2733&lt;&gt;"Ausgabe",Q2733=""),0,IF(Q2733="x",-$E2733/(COUNTIF($J2733:$Q2733,"x")+1),-$E2733*N(Q2733)))</f>
        <v/>
      </c>
    </row>
    <row r="2734">
      <c r="A2734" s="30" t="n"/>
      <c r="E2734" s="31" t="n"/>
      <c r="J2734" s="32" t="n"/>
      <c r="K2734" s="32" t="n"/>
      <c r="L2734" s="32" t="n"/>
      <c r="M2734" s="32" t="n"/>
      <c r="N2734" s="32" t="n"/>
      <c r="O2734" s="32" t="n"/>
      <c r="P2734" s="32" t="n"/>
      <c r="Q2734" s="32" t="n"/>
      <c r="U2734" s="31">
        <f>IF($A2734="","",SUM(X2734:AE2734))</f>
        <v/>
      </c>
      <c r="V2734" s="31">
        <f>IF($A2734="","",IF($H2734&lt;&gt;"Ausgabe",0,-$E2734-$U2734))</f>
        <v/>
      </c>
      <c r="W2734" s="33">
        <f>IF($A2734="","",DATE(YEAR($A2734),MONTH($A2734),1))</f>
        <v/>
      </c>
      <c r="X2734" s="34">
        <f>IF(OR($A2734="",$H2734&lt;&gt;"Ausgabe",J2734=""),0,IF(J2734="x",-$E2734/(COUNTIF($J2734:$Q2734,"x")+1),-$E2734*N(J2734)))</f>
        <v/>
      </c>
      <c r="Y2734" s="34">
        <f>IF(OR($A2734="",$H2734&lt;&gt;"Ausgabe",K2734=""),0,IF(K2734="x",-$E2734/(COUNTIF($J2734:$Q2734,"x")+1),-$E2734*N(K2734)))</f>
        <v/>
      </c>
      <c r="Z2734" s="34">
        <f>IF(OR($A2734="",$H2734&lt;&gt;"Ausgabe",L2734=""),0,IF(L2734="x",-$E2734/(COUNTIF($J2734:$Q2734,"x")+1),-$E2734*N(L2734)))</f>
        <v/>
      </c>
      <c r="AA2734" s="34">
        <f>IF(OR($A2734="",$H2734&lt;&gt;"Ausgabe",M2734=""),0,IF(M2734="x",-$E2734/(COUNTIF($J2734:$Q2734,"x")+1),-$E2734*N(M2734)))</f>
        <v/>
      </c>
      <c r="AB2734" s="34">
        <f>IF(OR($A2734="",$H2734&lt;&gt;"Ausgabe",N2734=""),0,IF(N2734="x",-$E2734/(COUNTIF($J2734:$Q2734,"x")+1),-$E2734*N(N2734)))</f>
        <v/>
      </c>
      <c r="AC2734" s="34">
        <f>IF(OR($A2734="",$H2734&lt;&gt;"Ausgabe",O2734=""),0,IF(O2734="x",-$E2734/(COUNTIF($J2734:$Q2734,"x")+1),-$E2734*N(O2734)))</f>
        <v/>
      </c>
      <c r="AD2734" s="34">
        <f>IF(OR($A2734="",$H2734&lt;&gt;"Ausgabe",P2734=""),0,IF(P2734="x",-$E2734/(COUNTIF($J2734:$Q2734,"x")+1),-$E2734*N(P2734)))</f>
        <v/>
      </c>
      <c r="AE2734" s="34">
        <f>IF(OR($A2734="",$H2734&lt;&gt;"Ausgabe",Q2734=""),0,IF(Q2734="x",-$E2734/(COUNTIF($J2734:$Q2734,"x")+1),-$E2734*N(Q2734)))</f>
        <v/>
      </c>
    </row>
    <row r="2735">
      <c r="A2735" s="30" t="n"/>
      <c r="E2735" s="31" t="n"/>
      <c r="J2735" s="32" t="n"/>
      <c r="K2735" s="32" t="n"/>
      <c r="L2735" s="32" t="n"/>
      <c r="M2735" s="32" t="n"/>
      <c r="N2735" s="32" t="n"/>
      <c r="O2735" s="32" t="n"/>
      <c r="P2735" s="32" t="n"/>
      <c r="Q2735" s="32" t="n"/>
      <c r="U2735" s="31">
        <f>IF($A2735="","",SUM(X2735:AE2735))</f>
        <v/>
      </c>
      <c r="V2735" s="31">
        <f>IF($A2735="","",IF($H2735&lt;&gt;"Ausgabe",0,-$E2735-$U2735))</f>
        <v/>
      </c>
      <c r="W2735" s="33">
        <f>IF($A2735="","",DATE(YEAR($A2735),MONTH($A2735),1))</f>
        <v/>
      </c>
      <c r="X2735" s="34">
        <f>IF(OR($A2735="",$H2735&lt;&gt;"Ausgabe",J2735=""),0,IF(J2735="x",-$E2735/(COUNTIF($J2735:$Q2735,"x")+1),-$E2735*N(J2735)))</f>
        <v/>
      </c>
      <c r="Y2735" s="34">
        <f>IF(OR($A2735="",$H2735&lt;&gt;"Ausgabe",K2735=""),0,IF(K2735="x",-$E2735/(COUNTIF($J2735:$Q2735,"x")+1),-$E2735*N(K2735)))</f>
        <v/>
      </c>
      <c r="Z2735" s="34">
        <f>IF(OR($A2735="",$H2735&lt;&gt;"Ausgabe",L2735=""),0,IF(L2735="x",-$E2735/(COUNTIF($J2735:$Q2735,"x")+1),-$E2735*N(L2735)))</f>
        <v/>
      </c>
      <c r="AA2735" s="34">
        <f>IF(OR($A2735="",$H2735&lt;&gt;"Ausgabe",M2735=""),0,IF(M2735="x",-$E2735/(COUNTIF($J2735:$Q2735,"x")+1),-$E2735*N(M2735)))</f>
        <v/>
      </c>
      <c r="AB2735" s="34">
        <f>IF(OR($A2735="",$H2735&lt;&gt;"Ausgabe",N2735=""),0,IF(N2735="x",-$E2735/(COUNTIF($J2735:$Q2735,"x")+1),-$E2735*N(N2735)))</f>
        <v/>
      </c>
      <c r="AC2735" s="34">
        <f>IF(OR($A2735="",$H2735&lt;&gt;"Ausgabe",O2735=""),0,IF(O2735="x",-$E2735/(COUNTIF($J2735:$Q2735,"x")+1),-$E2735*N(O2735)))</f>
        <v/>
      </c>
      <c r="AD2735" s="34">
        <f>IF(OR($A2735="",$H2735&lt;&gt;"Ausgabe",P2735=""),0,IF(P2735="x",-$E2735/(COUNTIF($J2735:$Q2735,"x")+1),-$E2735*N(P2735)))</f>
        <v/>
      </c>
      <c r="AE2735" s="34">
        <f>IF(OR($A2735="",$H2735&lt;&gt;"Ausgabe",Q2735=""),0,IF(Q2735="x",-$E2735/(COUNTIF($J2735:$Q2735,"x")+1),-$E2735*N(Q2735)))</f>
        <v/>
      </c>
    </row>
    <row r="2736">
      <c r="A2736" s="30" t="n"/>
      <c r="E2736" s="31" t="n"/>
      <c r="J2736" s="32" t="n"/>
      <c r="K2736" s="32" t="n"/>
      <c r="L2736" s="32" t="n"/>
      <c r="M2736" s="32" t="n"/>
      <c r="N2736" s="32" t="n"/>
      <c r="O2736" s="32" t="n"/>
      <c r="P2736" s="32" t="n"/>
      <c r="Q2736" s="32" t="n"/>
      <c r="U2736" s="31">
        <f>IF($A2736="","",SUM(X2736:AE2736))</f>
        <v/>
      </c>
      <c r="V2736" s="31">
        <f>IF($A2736="","",IF($H2736&lt;&gt;"Ausgabe",0,-$E2736-$U2736))</f>
        <v/>
      </c>
      <c r="W2736" s="33">
        <f>IF($A2736="","",DATE(YEAR($A2736),MONTH($A2736),1))</f>
        <v/>
      </c>
      <c r="X2736" s="34">
        <f>IF(OR($A2736="",$H2736&lt;&gt;"Ausgabe",J2736=""),0,IF(J2736="x",-$E2736/(COUNTIF($J2736:$Q2736,"x")+1),-$E2736*N(J2736)))</f>
        <v/>
      </c>
      <c r="Y2736" s="34">
        <f>IF(OR($A2736="",$H2736&lt;&gt;"Ausgabe",K2736=""),0,IF(K2736="x",-$E2736/(COUNTIF($J2736:$Q2736,"x")+1),-$E2736*N(K2736)))</f>
        <v/>
      </c>
      <c r="Z2736" s="34">
        <f>IF(OR($A2736="",$H2736&lt;&gt;"Ausgabe",L2736=""),0,IF(L2736="x",-$E2736/(COUNTIF($J2736:$Q2736,"x")+1),-$E2736*N(L2736)))</f>
        <v/>
      </c>
      <c r="AA2736" s="34">
        <f>IF(OR($A2736="",$H2736&lt;&gt;"Ausgabe",M2736=""),0,IF(M2736="x",-$E2736/(COUNTIF($J2736:$Q2736,"x")+1),-$E2736*N(M2736)))</f>
        <v/>
      </c>
      <c r="AB2736" s="34">
        <f>IF(OR($A2736="",$H2736&lt;&gt;"Ausgabe",N2736=""),0,IF(N2736="x",-$E2736/(COUNTIF($J2736:$Q2736,"x")+1),-$E2736*N(N2736)))</f>
        <v/>
      </c>
      <c r="AC2736" s="34">
        <f>IF(OR($A2736="",$H2736&lt;&gt;"Ausgabe",O2736=""),0,IF(O2736="x",-$E2736/(COUNTIF($J2736:$Q2736,"x")+1),-$E2736*N(O2736)))</f>
        <v/>
      </c>
      <c r="AD2736" s="34">
        <f>IF(OR($A2736="",$H2736&lt;&gt;"Ausgabe",P2736=""),0,IF(P2736="x",-$E2736/(COUNTIF($J2736:$Q2736,"x")+1),-$E2736*N(P2736)))</f>
        <v/>
      </c>
      <c r="AE2736" s="34">
        <f>IF(OR($A2736="",$H2736&lt;&gt;"Ausgabe",Q2736=""),0,IF(Q2736="x",-$E2736/(COUNTIF($J2736:$Q2736,"x")+1),-$E2736*N(Q2736)))</f>
        <v/>
      </c>
    </row>
    <row r="2737">
      <c r="A2737" s="30" t="n"/>
      <c r="E2737" s="31" t="n"/>
      <c r="J2737" s="32" t="n"/>
      <c r="K2737" s="32" t="n"/>
      <c r="L2737" s="32" t="n"/>
      <c r="M2737" s="32" t="n"/>
      <c r="N2737" s="32" t="n"/>
      <c r="O2737" s="32" t="n"/>
      <c r="P2737" s="32" t="n"/>
      <c r="Q2737" s="32" t="n"/>
      <c r="U2737" s="31">
        <f>IF($A2737="","",SUM(X2737:AE2737))</f>
        <v/>
      </c>
      <c r="V2737" s="31">
        <f>IF($A2737="","",IF($H2737&lt;&gt;"Ausgabe",0,-$E2737-$U2737))</f>
        <v/>
      </c>
      <c r="W2737" s="33">
        <f>IF($A2737="","",DATE(YEAR($A2737),MONTH($A2737),1))</f>
        <v/>
      </c>
      <c r="X2737" s="34">
        <f>IF(OR($A2737="",$H2737&lt;&gt;"Ausgabe",J2737=""),0,IF(J2737="x",-$E2737/(COUNTIF($J2737:$Q2737,"x")+1),-$E2737*N(J2737)))</f>
        <v/>
      </c>
      <c r="Y2737" s="34">
        <f>IF(OR($A2737="",$H2737&lt;&gt;"Ausgabe",K2737=""),0,IF(K2737="x",-$E2737/(COUNTIF($J2737:$Q2737,"x")+1),-$E2737*N(K2737)))</f>
        <v/>
      </c>
      <c r="Z2737" s="34">
        <f>IF(OR($A2737="",$H2737&lt;&gt;"Ausgabe",L2737=""),0,IF(L2737="x",-$E2737/(COUNTIF($J2737:$Q2737,"x")+1),-$E2737*N(L2737)))</f>
        <v/>
      </c>
      <c r="AA2737" s="34">
        <f>IF(OR($A2737="",$H2737&lt;&gt;"Ausgabe",M2737=""),0,IF(M2737="x",-$E2737/(COUNTIF($J2737:$Q2737,"x")+1),-$E2737*N(M2737)))</f>
        <v/>
      </c>
      <c r="AB2737" s="34">
        <f>IF(OR($A2737="",$H2737&lt;&gt;"Ausgabe",N2737=""),0,IF(N2737="x",-$E2737/(COUNTIF($J2737:$Q2737,"x")+1),-$E2737*N(N2737)))</f>
        <v/>
      </c>
      <c r="AC2737" s="34">
        <f>IF(OR($A2737="",$H2737&lt;&gt;"Ausgabe",O2737=""),0,IF(O2737="x",-$E2737/(COUNTIF($J2737:$Q2737,"x")+1),-$E2737*N(O2737)))</f>
        <v/>
      </c>
      <c r="AD2737" s="34">
        <f>IF(OR($A2737="",$H2737&lt;&gt;"Ausgabe",P2737=""),0,IF(P2737="x",-$E2737/(COUNTIF($J2737:$Q2737,"x")+1),-$E2737*N(P2737)))</f>
        <v/>
      </c>
      <c r="AE2737" s="34">
        <f>IF(OR($A2737="",$H2737&lt;&gt;"Ausgabe",Q2737=""),0,IF(Q2737="x",-$E2737/(COUNTIF($J2737:$Q2737,"x")+1),-$E2737*N(Q2737)))</f>
        <v/>
      </c>
    </row>
    <row r="2738">
      <c r="A2738" s="30" t="n"/>
      <c r="E2738" s="31" t="n"/>
      <c r="J2738" s="32" t="n"/>
      <c r="K2738" s="32" t="n"/>
      <c r="L2738" s="32" t="n"/>
      <c r="M2738" s="32" t="n"/>
      <c r="N2738" s="32" t="n"/>
      <c r="O2738" s="32" t="n"/>
      <c r="P2738" s="32" t="n"/>
      <c r="Q2738" s="32" t="n"/>
      <c r="U2738" s="31">
        <f>IF($A2738="","",SUM(X2738:AE2738))</f>
        <v/>
      </c>
      <c r="V2738" s="31">
        <f>IF($A2738="","",IF($H2738&lt;&gt;"Ausgabe",0,-$E2738-$U2738))</f>
        <v/>
      </c>
      <c r="W2738" s="33">
        <f>IF($A2738="","",DATE(YEAR($A2738),MONTH($A2738),1))</f>
        <v/>
      </c>
      <c r="X2738" s="34">
        <f>IF(OR($A2738="",$H2738&lt;&gt;"Ausgabe",J2738=""),0,IF(J2738="x",-$E2738/(COUNTIF($J2738:$Q2738,"x")+1),-$E2738*N(J2738)))</f>
        <v/>
      </c>
      <c r="Y2738" s="34">
        <f>IF(OR($A2738="",$H2738&lt;&gt;"Ausgabe",K2738=""),0,IF(K2738="x",-$E2738/(COUNTIF($J2738:$Q2738,"x")+1),-$E2738*N(K2738)))</f>
        <v/>
      </c>
      <c r="Z2738" s="34">
        <f>IF(OR($A2738="",$H2738&lt;&gt;"Ausgabe",L2738=""),0,IF(L2738="x",-$E2738/(COUNTIF($J2738:$Q2738,"x")+1),-$E2738*N(L2738)))</f>
        <v/>
      </c>
      <c r="AA2738" s="34">
        <f>IF(OR($A2738="",$H2738&lt;&gt;"Ausgabe",M2738=""),0,IF(M2738="x",-$E2738/(COUNTIF($J2738:$Q2738,"x")+1),-$E2738*N(M2738)))</f>
        <v/>
      </c>
      <c r="AB2738" s="34">
        <f>IF(OR($A2738="",$H2738&lt;&gt;"Ausgabe",N2738=""),0,IF(N2738="x",-$E2738/(COUNTIF($J2738:$Q2738,"x")+1),-$E2738*N(N2738)))</f>
        <v/>
      </c>
      <c r="AC2738" s="34">
        <f>IF(OR($A2738="",$H2738&lt;&gt;"Ausgabe",O2738=""),0,IF(O2738="x",-$E2738/(COUNTIF($J2738:$Q2738,"x")+1),-$E2738*N(O2738)))</f>
        <v/>
      </c>
      <c r="AD2738" s="34">
        <f>IF(OR($A2738="",$H2738&lt;&gt;"Ausgabe",P2738=""),0,IF(P2738="x",-$E2738/(COUNTIF($J2738:$Q2738,"x")+1),-$E2738*N(P2738)))</f>
        <v/>
      </c>
      <c r="AE2738" s="34">
        <f>IF(OR($A2738="",$H2738&lt;&gt;"Ausgabe",Q2738=""),0,IF(Q2738="x",-$E2738/(COUNTIF($J2738:$Q2738,"x")+1),-$E2738*N(Q2738)))</f>
        <v/>
      </c>
    </row>
    <row r="2739">
      <c r="A2739" s="30" t="n"/>
      <c r="E2739" s="31" t="n"/>
      <c r="J2739" s="32" t="n"/>
      <c r="K2739" s="32" t="n"/>
      <c r="L2739" s="32" t="n"/>
      <c r="M2739" s="32" t="n"/>
      <c r="N2739" s="32" t="n"/>
      <c r="O2739" s="32" t="n"/>
      <c r="P2739" s="32" t="n"/>
      <c r="Q2739" s="32" t="n"/>
      <c r="U2739" s="31">
        <f>IF($A2739="","",SUM(X2739:AE2739))</f>
        <v/>
      </c>
      <c r="V2739" s="31">
        <f>IF($A2739="","",IF($H2739&lt;&gt;"Ausgabe",0,-$E2739-$U2739))</f>
        <v/>
      </c>
      <c r="W2739" s="33">
        <f>IF($A2739="","",DATE(YEAR($A2739),MONTH($A2739),1))</f>
        <v/>
      </c>
      <c r="X2739" s="34">
        <f>IF(OR($A2739="",$H2739&lt;&gt;"Ausgabe",J2739=""),0,IF(J2739="x",-$E2739/(COUNTIF($J2739:$Q2739,"x")+1),-$E2739*N(J2739)))</f>
        <v/>
      </c>
      <c r="Y2739" s="34">
        <f>IF(OR($A2739="",$H2739&lt;&gt;"Ausgabe",K2739=""),0,IF(K2739="x",-$E2739/(COUNTIF($J2739:$Q2739,"x")+1),-$E2739*N(K2739)))</f>
        <v/>
      </c>
      <c r="Z2739" s="34">
        <f>IF(OR($A2739="",$H2739&lt;&gt;"Ausgabe",L2739=""),0,IF(L2739="x",-$E2739/(COUNTIF($J2739:$Q2739,"x")+1),-$E2739*N(L2739)))</f>
        <v/>
      </c>
      <c r="AA2739" s="34">
        <f>IF(OR($A2739="",$H2739&lt;&gt;"Ausgabe",M2739=""),0,IF(M2739="x",-$E2739/(COUNTIF($J2739:$Q2739,"x")+1),-$E2739*N(M2739)))</f>
        <v/>
      </c>
      <c r="AB2739" s="34">
        <f>IF(OR($A2739="",$H2739&lt;&gt;"Ausgabe",N2739=""),0,IF(N2739="x",-$E2739/(COUNTIF($J2739:$Q2739,"x")+1),-$E2739*N(N2739)))</f>
        <v/>
      </c>
      <c r="AC2739" s="34">
        <f>IF(OR($A2739="",$H2739&lt;&gt;"Ausgabe",O2739=""),0,IF(O2739="x",-$E2739/(COUNTIF($J2739:$Q2739,"x")+1),-$E2739*N(O2739)))</f>
        <v/>
      </c>
      <c r="AD2739" s="34">
        <f>IF(OR($A2739="",$H2739&lt;&gt;"Ausgabe",P2739=""),0,IF(P2739="x",-$E2739/(COUNTIF($J2739:$Q2739,"x")+1),-$E2739*N(P2739)))</f>
        <v/>
      </c>
      <c r="AE2739" s="34">
        <f>IF(OR($A2739="",$H2739&lt;&gt;"Ausgabe",Q2739=""),0,IF(Q2739="x",-$E2739/(COUNTIF($J2739:$Q2739,"x")+1),-$E2739*N(Q2739)))</f>
        <v/>
      </c>
    </row>
    <row r="2740">
      <c r="A2740" s="30" t="n"/>
      <c r="E2740" s="31" t="n"/>
      <c r="J2740" s="32" t="n"/>
      <c r="K2740" s="32" t="n"/>
      <c r="L2740" s="32" t="n"/>
      <c r="M2740" s="32" t="n"/>
      <c r="N2740" s="32" t="n"/>
      <c r="O2740" s="32" t="n"/>
      <c r="P2740" s="32" t="n"/>
      <c r="Q2740" s="32" t="n"/>
      <c r="U2740" s="31">
        <f>IF($A2740="","",SUM(X2740:AE2740))</f>
        <v/>
      </c>
      <c r="V2740" s="31">
        <f>IF($A2740="","",IF($H2740&lt;&gt;"Ausgabe",0,-$E2740-$U2740))</f>
        <v/>
      </c>
      <c r="W2740" s="33">
        <f>IF($A2740="","",DATE(YEAR($A2740),MONTH($A2740),1))</f>
        <v/>
      </c>
      <c r="X2740" s="34">
        <f>IF(OR($A2740="",$H2740&lt;&gt;"Ausgabe",J2740=""),0,IF(J2740="x",-$E2740/(COUNTIF($J2740:$Q2740,"x")+1),-$E2740*N(J2740)))</f>
        <v/>
      </c>
      <c r="Y2740" s="34">
        <f>IF(OR($A2740="",$H2740&lt;&gt;"Ausgabe",K2740=""),0,IF(K2740="x",-$E2740/(COUNTIF($J2740:$Q2740,"x")+1),-$E2740*N(K2740)))</f>
        <v/>
      </c>
      <c r="Z2740" s="34">
        <f>IF(OR($A2740="",$H2740&lt;&gt;"Ausgabe",L2740=""),0,IF(L2740="x",-$E2740/(COUNTIF($J2740:$Q2740,"x")+1),-$E2740*N(L2740)))</f>
        <v/>
      </c>
      <c r="AA2740" s="34">
        <f>IF(OR($A2740="",$H2740&lt;&gt;"Ausgabe",M2740=""),0,IF(M2740="x",-$E2740/(COUNTIF($J2740:$Q2740,"x")+1),-$E2740*N(M2740)))</f>
        <v/>
      </c>
      <c r="AB2740" s="34">
        <f>IF(OR($A2740="",$H2740&lt;&gt;"Ausgabe",N2740=""),0,IF(N2740="x",-$E2740/(COUNTIF($J2740:$Q2740,"x")+1),-$E2740*N(N2740)))</f>
        <v/>
      </c>
      <c r="AC2740" s="34">
        <f>IF(OR($A2740="",$H2740&lt;&gt;"Ausgabe",O2740=""),0,IF(O2740="x",-$E2740/(COUNTIF($J2740:$Q2740,"x")+1),-$E2740*N(O2740)))</f>
        <v/>
      </c>
      <c r="AD2740" s="34">
        <f>IF(OR($A2740="",$H2740&lt;&gt;"Ausgabe",P2740=""),0,IF(P2740="x",-$E2740/(COUNTIF($J2740:$Q2740,"x")+1),-$E2740*N(P2740)))</f>
        <v/>
      </c>
      <c r="AE2740" s="34">
        <f>IF(OR($A2740="",$H2740&lt;&gt;"Ausgabe",Q2740=""),0,IF(Q2740="x",-$E2740/(COUNTIF($J2740:$Q2740,"x")+1),-$E2740*N(Q2740)))</f>
        <v/>
      </c>
    </row>
    <row r="2741">
      <c r="A2741" s="30" t="n"/>
      <c r="E2741" s="31" t="n"/>
      <c r="J2741" s="32" t="n"/>
      <c r="K2741" s="32" t="n"/>
      <c r="L2741" s="32" t="n"/>
      <c r="M2741" s="32" t="n"/>
      <c r="N2741" s="32" t="n"/>
      <c r="O2741" s="32" t="n"/>
      <c r="P2741" s="32" t="n"/>
      <c r="Q2741" s="32" t="n"/>
      <c r="U2741" s="31">
        <f>IF($A2741="","",SUM(X2741:AE2741))</f>
        <v/>
      </c>
      <c r="V2741" s="31">
        <f>IF($A2741="","",IF($H2741&lt;&gt;"Ausgabe",0,-$E2741-$U2741))</f>
        <v/>
      </c>
      <c r="W2741" s="33">
        <f>IF($A2741="","",DATE(YEAR($A2741),MONTH($A2741),1))</f>
        <v/>
      </c>
      <c r="X2741" s="34">
        <f>IF(OR($A2741="",$H2741&lt;&gt;"Ausgabe",J2741=""),0,IF(J2741="x",-$E2741/(COUNTIF($J2741:$Q2741,"x")+1),-$E2741*N(J2741)))</f>
        <v/>
      </c>
      <c r="Y2741" s="34">
        <f>IF(OR($A2741="",$H2741&lt;&gt;"Ausgabe",K2741=""),0,IF(K2741="x",-$E2741/(COUNTIF($J2741:$Q2741,"x")+1),-$E2741*N(K2741)))</f>
        <v/>
      </c>
      <c r="Z2741" s="34">
        <f>IF(OR($A2741="",$H2741&lt;&gt;"Ausgabe",L2741=""),0,IF(L2741="x",-$E2741/(COUNTIF($J2741:$Q2741,"x")+1),-$E2741*N(L2741)))</f>
        <v/>
      </c>
      <c r="AA2741" s="34">
        <f>IF(OR($A2741="",$H2741&lt;&gt;"Ausgabe",M2741=""),0,IF(M2741="x",-$E2741/(COUNTIF($J2741:$Q2741,"x")+1),-$E2741*N(M2741)))</f>
        <v/>
      </c>
      <c r="AB2741" s="34">
        <f>IF(OR($A2741="",$H2741&lt;&gt;"Ausgabe",N2741=""),0,IF(N2741="x",-$E2741/(COUNTIF($J2741:$Q2741,"x")+1),-$E2741*N(N2741)))</f>
        <v/>
      </c>
      <c r="AC2741" s="34">
        <f>IF(OR($A2741="",$H2741&lt;&gt;"Ausgabe",O2741=""),0,IF(O2741="x",-$E2741/(COUNTIF($J2741:$Q2741,"x")+1),-$E2741*N(O2741)))</f>
        <v/>
      </c>
      <c r="AD2741" s="34">
        <f>IF(OR($A2741="",$H2741&lt;&gt;"Ausgabe",P2741=""),0,IF(P2741="x",-$E2741/(COUNTIF($J2741:$Q2741,"x")+1),-$E2741*N(P2741)))</f>
        <v/>
      </c>
      <c r="AE2741" s="34">
        <f>IF(OR($A2741="",$H2741&lt;&gt;"Ausgabe",Q2741=""),0,IF(Q2741="x",-$E2741/(COUNTIF($J2741:$Q2741,"x")+1),-$E2741*N(Q2741)))</f>
        <v/>
      </c>
    </row>
    <row r="2742">
      <c r="A2742" s="30" t="n"/>
      <c r="E2742" s="31" t="n"/>
      <c r="J2742" s="32" t="n"/>
      <c r="K2742" s="32" t="n"/>
      <c r="L2742" s="32" t="n"/>
      <c r="M2742" s="32" t="n"/>
      <c r="N2742" s="32" t="n"/>
      <c r="O2742" s="32" t="n"/>
      <c r="P2742" s="32" t="n"/>
      <c r="Q2742" s="32" t="n"/>
      <c r="U2742" s="31">
        <f>IF($A2742="","",SUM(X2742:AE2742))</f>
        <v/>
      </c>
      <c r="V2742" s="31">
        <f>IF($A2742="","",IF($H2742&lt;&gt;"Ausgabe",0,-$E2742-$U2742))</f>
        <v/>
      </c>
      <c r="W2742" s="33">
        <f>IF($A2742="","",DATE(YEAR($A2742),MONTH($A2742),1))</f>
        <v/>
      </c>
      <c r="X2742" s="34">
        <f>IF(OR($A2742="",$H2742&lt;&gt;"Ausgabe",J2742=""),0,IF(J2742="x",-$E2742/(COUNTIF($J2742:$Q2742,"x")+1),-$E2742*N(J2742)))</f>
        <v/>
      </c>
      <c r="Y2742" s="34">
        <f>IF(OR($A2742="",$H2742&lt;&gt;"Ausgabe",K2742=""),0,IF(K2742="x",-$E2742/(COUNTIF($J2742:$Q2742,"x")+1),-$E2742*N(K2742)))</f>
        <v/>
      </c>
      <c r="Z2742" s="34">
        <f>IF(OR($A2742="",$H2742&lt;&gt;"Ausgabe",L2742=""),0,IF(L2742="x",-$E2742/(COUNTIF($J2742:$Q2742,"x")+1),-$E2742*N(L2742)))</f>
        <v/>
      </c>
      <c r="AA2742" s="34">
        <f>IF(OR($A2742="",$H2742&lt;&gt;"Ausgabe",M2742=""),0,IF(M2742="x",-$E2742/(COUNTIF($J2742:$Q2742,"x")+1),-$E2742*N(M2742)))</f>
        <v/>
      </c>
      <c r="AB2742" s="34">
        <f>IF(OR($A2742="",$H2742&lt;&gt;"Ausgabe",N2742=""),0,IF(N2742="x",-$E2742/(COUNTIF($J2742:$Q2742,"x")+1),-$E2742*N(N2742)))</f>
        <v/>
      </c>
      <c r="AC2742" s="34">
        <f>IF(OR($A2742="",$H2742&lt;&gt;"Ausgabe",O2742=""),0,IF(O2742="x",-$E2742/(COUNTIF($J2742:$Q2742,"x")+1),-$E2742*N(O2742)))</f>
        <v/>
      </c>
      <c r="AD2742" s="34">
        <f>IF(OR($A2742="",$H2742&lt;&gt;"Ausgabe",P2742=""),0,IF(P2742="x",-$E2742/(COUNTIF($J2742:$Q2742,"x")+1),-$E2742*N(P2742)))</f>
        <v/>
      </c>
      <c r="AE2742" s="34">
        <f>IF(OR($A2742="",$H2742&lt;&gt;"Ausgabe",Q2742=""),0,IF(Q2742="x",-$E2742/(COUNTIF($J2742:$Q2742,"x")+1),-$E2742*N(Q2742)))</f>
        <v/>
      </c>
    </row>
    <row r="2743">
      <c r="A2743" s="30" t="n"/>
      <c r="E2743" s="31" t="n"/>
      <c r="J2743" s="32" t="n"/>
      <c r="K2743" s="32" t="n"/>
      <c r="L2743" s="32" t="n"/>
      <c r="M2743" s="32" t="n"/>
      <c r="N2743" s="32" t="n"/>
      <c r="O2743" s="32" t="n"/>
      <c r="P2743" s="32" t="n"/>
      <c r="Q2743" s="32" t="n"/>
      <c r="U2743" s="31">
        <f>IF($A2743="","",SUM(X2743:AE2743))</f>
        <v/>
      </c>
      <c r="V2743" s="31">
        <f>IF($A2743="","",IF($H2743&lt;&gt;"Ausgabe",0,-$E2743-$U2743))</f>
        <v/>
      </c>
      <c r="W2743" s="33">
        <f>IF($A2743="","",DATE(YEAR($A2743),MONTH($A2743),1))</f>
        <v/>
      </c>
      <c r="X2743" s="34">
        <f>IF(OR($A2743="",$H2743&lt;&gt;"Ausgabe",J2743=""),0,IF(J2743="x",-$E2743/(COUNTIF($J2743:$Q2743,"x")+1),-$E2743*N(J2743)))</f>
        <v/>
      </c>
      <c r="Y2743" s="34">
        <f>IF(OR($A2743="",$H2743&lt;&gt;"Ausgabe",K2743=""),0,IF(K2743="x",-$E2743/(COUNTIF($J2743:$Q2743,"x")+1),-$E2743*N(K2743)))</f>
        <v/>
      </c>
      <c r="Z2743" s="34">
        <f>IF(OR($A2743="",$H2743&lt;&gt;"Ausgabe",L2743=""),0,IF(L2743="x",-$E2743/(COUNTIF($J2743:$Q2743,"x")+1),-$E2743*N(L2743)))</f>
        <v/>
      </c>
      <c r="AA2743" s="34">
        <f>IF(OR($A2743="",$H2743&lt;&gt;"Ausgabe",M2743=""),0,IF(M2743="x",-$E2743/(COUNTIF($J2743:$Q2743,"x")+1),-$E2743*N(M2743)))</f>
        <v/>
      </c>
      <c r="AB2743" s="34">
        <f>IF(OR($A2743="",$H2743&lt;&gt;"Ausgabe",N2743=""),0,IF(N2743="x",-$E2743/(COUNTIF($J2743:$Q2743,"x")+1),-$E2743*N(N2743)))</f>
        <v/>
      </c>
      <c r="AC2743" s="34">
        <f>IF(OR($A2743="",$H2743&lt;&gt;"Ausgabe",O2743=""),0,IF(O2743="x",-$E2743/(COUNTIF($J2743:$Q2743,"x")+1),-$E2743*N(O2743)))</f>
        <v/>
      </c>
      <c r="AD2743" s="34">
        <f>IF(OR($A2743="",$H2743&lt;&gt;"Ausgabe",P2743=""),0,IF(P2743="x",-$E2743/(COUNTIF($J2743:$Q2743,"x")+1),-$E2743*N(P2743)))</f>
        <v/>
      </c>
      <c r="AE2743" s="34">
        <f>IF(OR($A2743="",$H2743&lt;&gt;"Ausgabe",Q2743=""),0,IF(Q2743="x",-$E2743/(COUNTIF($J2743:$Q2743,"x")+1),-$E2743*N(Q2743)))</f>
        <v/>
      </c>
    </row>
    <row r="2744">
      <c r="A2744" s="30" t="n"/>
      <c r="E2744" s="31" t="n"/>
      <c r="J2744" s="32" t="n"/>
      <c r="K2744" s="32" t="n"/>
      <c r="L2744" s="32" t="n"/>
      <c r="M2744" s="32" t="n"/>
      <c r="N2744" s="32" t="n"/>
      <c r="O2744" s="32" t="n"/>
      <c r="P2744" s="32" t="n"/>
      <c r="Q2744" s="32" t="n"/>
      <c r="U2744" s="31">
        <f>IF($A2744="","",SUM(X2744:AE2744))</f>
        <v/>
      </c>
      <c r="V2744" s="31">
        <f>IF($A2744="","",IF($H2744&lt;&gt;"Ausgabe",0,-$E2744-$U2744))</f>
        <v/>
      </c>
      <c r="W2744" s="33">
        <f>IF($A2744="","",DATE(YEAR($A2744),MONTH($A2744),1))</f>
        <v/>
      </c>
      <c r="X2744" s="34">
        <f>IF(OR($A2744="",$H2744&lt;&gt;"Ausgabe",J2744=""),0,IF(J2744="x",-$E2744/(COUNTIF($J2744:$Q2744,"x")+1),-$E2744*N(J2744)))</f>
        <v/>
      </c>
      <c r="Y2744" s="34">
        <f>IF(OR($A2744="",$H2744&lt;&gt;"Ausgabe",K2744=""),0,IF(K2744="x",-$E2744/(COUNTIF($J2744:$Q2744,"x")+1),-$E2744*N(K2744)))</f>
        <v/>
      </c>
      <c r="Z2744" s="34">
        <f>IF(OR($A2744="",$H2744&lt;&gt;"Ausgabe",L2744=""),0,IF(L2744="x",-$E2744/(COUNTIF($J2744:$Q2744,"x")+1),-$E2744*N(L2744)))</f>
        <v/>
      </c>
      <c r="AA2744" s="34">
        <f>IF(OR($A2744="",$H2744&lt;&gt;"Ausgabe",M2744=""),0,IF(M2744="x",-$E2744/(COUNTIF($J2744:$Q2744,"x")+1),-$E2744*N(M2744)))</f>
        <v/>
      </c>
      <c r="AB2744" s="34">
        <f>IF(OR($A2744="",$H2744&lt;&gt;"Ausgabe",N2744=""),0,IF(N2744="x",-$E2744/(COUNTIF($J2744:$Q2744,"x")+1),-$E2744*N(N2744)))</f>
        <v/>
      </c>
      <c r="AC2744" s="34">
        <f>IF(OR($A2744="",$H2744&lt;&gt;"Ausgabe",O2744=""),0,IF(O2744="x",-$E2744/(COUNTIF($J2744:$Q2744,"x")+1),-$E2744*N(O2744)))</f>
        <v/>
      </c>
      <c r="AD2744" s="34">
        <f>IF(OR($A2744="",$H2744&lt;&gt;"Ausgabe",P2744=""),0,IF(P2744="x",-$E2744/(COUNTIF($J2744:$Q2744,"x")+1),-$E2744*N(P2744)))</f>
        <v/>
      </c>
      <c r="AE2744" s="34">
        <f>IF(OR($A2744="",$H2744&lt;&gt;"Ausgabe",Q2744=""),0,IF(Q2744="x",-$E2744/(COUNTIF($J2744:$Q2744,"x")+1),-$E2744*N(Q2744)))</f>
        <v/>
      </c>
    </row>
    <row r="2745">
      <c r="A2745" s="30" t="n"/>
      <c r="E2745" s="31" t="n"/>
      <c r="J2745" s="32" t="n"/>
      <c r="K2745" s="32" t="n"/>
      <c r="L2745" s="32" t="n"/>
      <c r="M2745" s="32" t="n"/>
      <c r="N2745" s="32" t="n"/>
      <c r="O2745" s="32" t="n"/>
      <c r="P2745" s="32" t="n"/>
      <c r="Q2745" s="32" t="n"/>
      <c r="U2745" s="31">
        <f>IF($A2745="","",SUM(X2745:AE2745))</f>
        <v/>
      </c>
      <c r="V2745" s="31">
        <f>IF($A2745="","",IF($H2745&lt;&gt;"Ausgabe",0,-$E2745-$U2745))</f>
        <v/>
      </c>
      <c r="W2745" s="33">
        <f>IF($A2745="","",DATE(YEAR($A2745),MONTH($A2745),1))</f>
        <v/>
      </c>
      <c r="X2745" s="34">
        <f>IF(OR($A2745="",$H2745&lt;&gt;"Ausgabe",J2745=""),0,IF(J2745="x",-$E2745/(COUNTIF($J2745:$Q2745,"x")+1),-$E2745*N(J2745)))</f>
        <v/>
      </c>
      <c r="Y2745" s="34">
        <f>IF(OR($A2745="",$H2745&lt;&gt;"Ausgabe",K2745=""),0,IF(K2745="x",-$E2745/(COUNTIF($J2745:$Q2745,"x")+1),-$E2745*N(K2745)))</f>
        <v/>
      </c>
      <c r="Z2745" s="34">
        <f>IF(OR($A2745="",$H2745&lt;&gt;"Ausgabe",L2745=""),0,IF(L2745="x",-$E2745/(COUNTIF($J2745:$Q2745,"x")+1),-$E2745*N(L2745)))</f>
        <v/>
      </c>
      <c r="AA2745" s="34">
        <f>IF(OR($A2745="",$H2745&lt;&gt;"Ausgabe",M2745=""),0,IF(M2745="x",-$E2745/(COUNTIF($J2745:$Q2745,"x")+1),-$E2745*N(M2745)))</f>
        <v/>
      </c>
      <c r="AB2745" s="34">
        <f>IF(OR($A2745="",$H2745&lt;&gt;"Ausgabe",N2745=""),0,IF(N2745="x",-$E2745/(COUNTIF($J2745:$Q2745,"x")+1),-$E2745*N(N2745)))</f>
        <v/>
      </c>
      <c r="AC2745" s="34">
        <f>IF(OR($A2745="",$H2745&lt;&gt;"Ausgabe",O2745=""),0,IF(O2745="x",-$E2745/(COUNTIF($J2745:$Q2745,"x")+1),-$E2745*N(O2745)))</f>
        <v/>
      </c>
      <c r="AD2745" s="34">
        <f>IF(OR($A2745="",$H2745&lt;&gt;"Ausgabe",P2745=""),0,IF(P2745="x",-$E2745/(COUNTIF($J2745:$Q2745,"x")+1),-$E2745*N(P2745)))</f>
        <v/>
      </c>
      <c r="AE2745" s="34">
        <f>IF(OR($A2745="",$H2745&lt;&gt;"Ausgabe",Q2745=""),0,IF(Q2745="x",-$E2745/(COUNTIF($J2745:$Q2745,"x")+1),-$E2745*N(Q2745)))</f>
        <v/>
      </c>
    </row>
    <row r="2746">
      <c r="A2746" s="30" t="n"/>
      <c r="E2746" s="31" t="n"/>
      <c r="J2746" s="32" t="n"/>
      <c r="K2746" s="32" t="n"/>
      <c r="L2746" s="32" t="n"/>
      <c r="M2746" s="32" t="n"/>
      <c r="N2746" s="32" t="n"/>
      <c r="O2746" s="32" t="n"/>
      <c r="P2746" s="32" t="n"/>
      <c r="Q2746" s="32" t="n"/>
      <c r="U2746" s="31">
        <f>IF($A2746="","",SUM(X2746:AE2746))</f>
        <v/>
      </c>
      <c r="V2746" s="31">
        <f>IF($A2746="","",IF($H2746&lt;&gt;"Ausgabe",0,-$E2746-$U2746))</f>
        <v/>
      </c>
      <c r="W2746" s="33">
        <f>IF($A2746="","",DATE(YEAR($A2746),MONTH($A2746),1))</f>
        <v/>
      </c>
      <c r="X2746" s="34">
        <f>IF(OR($A2746="",$H2746&lt;&gt;"Ausgabe",J2746=""),0,IF(J2746="x",-$E2746/(COUNTIF($J2746:$Q2746,"x")+1),-$E2746*N(J2746)))</f>
        <v/>
      </c>
      <c r="Y2746" s="34">
        <f>IF(OR($A2746="",$H2746&lt;&gt;"Ausgabe",K2746=""),0,IF(K2746="x",-$E2746/(COUNTIF($J2746:$Q2746,"x")+1),-$E2746*N(K2746)))</f>
        <v/>
      </c>
      <c r="Z2746" s="34">
        <f>IF(OR($A2746="",$H2746&lt;&gt;"Ausgabe",L2746=""),0,IF(L2746="x",-$E2746/(COUNTIF($J2746:$Q2746,"x")+1),-$E2746*N(L2746)))</f>
        <v/>
      </c>
      <c r="AA2746" s="34">
        <f>IF(OR($A2746="",$H2746&lt;&gt;"Ausgabe",M2746=""),0,IF(M2746="x",-$E2746/(COUNTIF($J2746:$Q2746,"x")+1),-$E2746*N(M2746)))</f>
        <v/>
      </c>
      <c r="AB2746" s="34">
        <f>IF(OR($A2746="",$H2746&lt;&gt;"Ausgabe",N2746=""),0,IF(N2746="x",-$E2746/(COUNTIF($J2746:$Q2746,"x")+1),-$E2746*N(N2746)))</f>
        <v/>
      </c>
      <c r="AC2746" s="34">
        <f>IF(OR($A2746="",$H2746&lt;&gt;"Ausgabe",O2746=""),0,IF(O2746="x",-$E2746/(COUNTIF($J2746:$Q2746,"x")+1),-$E2746*N(O2746)))</f>
        <v/>
      </c>
      <c r="AD2746" s="34">
        <f>IF(OR($A2746="",$H2746&lt;&gt;"Ausgabe",P2746=""),0,IF(P2746="x",-$E2746/(COUNTIF($J2746:$Q2746,"x")+1),-$E2746*N(P2746)))</f>
        <v/>
      </c>
      <c r="AE2746" s="34">
        <f>IF(OR($A2746="",$H2746&lt;&gt;"Ausgabe",Q2746=""),0,IF(Q2746="x",-$E2746/(COUNTIF($J2746:$Q2746,"x")+1),-$E2746*N(Q2746)))</f>
        <v/>
      </c>
    </row>
    <row r="2747">
      <c r="A2747" s="30" t="n"/>
      <c r="E2747" s="31" t="n"/>
      <c r="J2747" s="32" t="n"/>
      <c r="K2747" s="32" t="n"/>
      <c r="L2747" s="32" t="n"/>
      <c r="M2747" s="32" t="n"/>
      <c r="N2747" s="32" t="n"/>
      <c r="O2747" s="32" t="n"/>
      <c r="P2747" s="32" t="n"/>
      <c r="Q2747" s="32" t="n"/>
      <c r="U2747" s="31">
        <f>IF($A2747="","",SUM(X2747:AE2747))</f>
        <v/>
      </c>
      <c r="V2747" s="31">
        <f>IF($A2747="","",IF($H2747&lt;&gt;"Ausgabe",0,-$E2747-$U2747))</f>
        <v/>
      </c>
      <c r="W2747" s="33">
        <f>IF($A2747="","",DATE(YEAR($A2747),MONTH($A2747),1))</f>
        <v/>
      </c>
      <c r="X2747" s="34">
        <f>IF(OR($A2747="",$H2747&lt;&gt;"Ausgabe",J2747=""),0,IF(J2747="x",-$E2747/(COUNTIF($J2747:$Q2747,"x")+1),-$E2747*N(J2747)))</f>
        <v/>
      </c>
      <c r="Y2747" s="34">
        <f>IF(OR($A2747="",$H2747&lt;&gt;"Ausgabe",K2747=""),0,IF(K2747="x",-$E2747/(COUNTIF($J2747:$Q2747,"x")+1),-$E2747*N(K2747)))</f>
        <v/>
      </c>
      <c r="Z2747" s="34">
        <f>IF(OR($A2747="",$H2747&lt;&gt;"Ausgabe",L2747=""),0,IF(L2747="x",-$E2747/(COUNTIF($J2747:$Q2747,"x")+1),-$E2747*N(L2747)))</f>
        <v/>
      </c>
      <c r="AA2747" s="34">
        <f>IF(OR($A2747="",$H2747&lt;&gt;"Ausgabe",M2747=""),0,IF(M2747="x",-$E2747/(COUNTIF($J2747:$Q2747,"x")+1),-$E2747*N(M2747)))</f>
        <v/>
      </c>
      <c r="AB2747" s="34">
        <f>IF(OR($A2747="",$H2747&lt;&gt;"Ausgabe",N2747=""),0,IF(N2747="x",-$E2747/(COUNTIF($J2747:$Q2747,"x")+1),-$E2747*N(N2747)))</f>
        <v/>
      </c>
      <c r="AC2747" s="34">
        <f>IF(OR($A2747="",$H2747&lt;&gt;"Ausgabe",O2747=""),0,IF(O2747="x",-$E2747/(COUNTIF($J2747:$Q2747,"x")+1),-$E2747*N(O2747)))</f>
        <v/>
      </c>
      <c r="AD2747" s="34">
        <f>IF(OR($A2747="",$H2747&lt;&gt;"Ausgabe",P2747=""),0,IF(P2747="x",-$E2747/(COUNTIF($J2747:$Q2747,"x")+1),-$E2747*N(P2747)))</f>
        <v/>
      </c>
      <c r="AE2747" s="34">
        <f>IF(OR($A2747="",$H2747&lt;&gt;"Ausgabe",Q2747=""),0,IF(Q2747="x",-$E2747/(COUNTIF($J2747:$Q2747,"x")+1),-$E2747*N(Q2747)))</f>
        <v/>
      </c>
    </row>
    <row r="2748">
      <c r="A2748" s="30" t="n"/>
      <c r="E2748" s="31" t="n"/>
      <c r="J2748" s="32" t="n"/>
      <c r="K2748" s="32" t="n"/>
      <c r="L2748" s="32" t="n"/>
      <c r="M2748" s="32" t="n"/>
      <c r="N2748" s="32" t="n"/>
      <c r="O2748" s="32" t="n"/>
      <c r="P2748" s="32" t="n"/>
      <c r="Q2748" s="32" t="n"/>
      <c r="U2748" s="31">
        <f>IF($A2748="","",SUM(X2748:AE2748))</f>
        <v/>
      </c>
      <c r="V2748" s="31">
        <f>IF($A2748="","",IF($H2748&lt;&gt;"Ausgabe",0,-$E2748-$U2748))</f>
        <v/>
      </c>
      <c r="W2748" s="33">
        <f>IF($A2748="","",DATE(YEAR($A2748),MONTH($A2748),1))</f>
        <v/>
      </c>
      <c r="X2748" s="34">
        <f>IF(OR($A2748="",$H2748&lt;&gt;"Ausgabe",J2748=""),0,IF(J2748="x",-$E2748/(COUNTIF($J2748:$Q2748,"x")+1),-$E2748*N(J2748)))</f>
        <v/>
      </c>
      <c r="Y2748" s="34">
        <f>IF(OR($A2748="",$H2748&lt;&gt;"Ausgabe",K2748=""),0,IF(K2748="x",-$E2748/(COUNTIF($J2748:$Q2748,"x")+1),-$E2748*N(K2748)))</f>
        <v/>
      </c>
      <c r="Z2748" s="34">
        <f>IF(OR($A2748="",$H2748&lt;&gt;"Ausgabe",L2748=""),0,IF(L2748="x",-$E2748/(COUNTIF($J2748:$Q2748,"x")+1),-$E2748*N(L2748)))</f>
        <v/>
      </c>
      <c r="AA2748" s="34">
        <f>IF(OR($A2748="",$H2748&lt;&gt;"Ausgabe",M2748=""),0,IF(M2748="x",-$E2748/(COUNTIF($J2748:$Q2748,"x")+1),-$E2748*N(M2748)))</f>
        <v/>
      </c>
      <c r="AB2748" s="34">
        <f>IF(OR($A2748="",$H2748&lt;&gt;"Ausgabe",N2748=""),0,IF(N2748="x",-$E2748/(COUNTIF($J2748:$Q2748,"x")+1),-$E2748*N(N2748)))</f>
        <v/>
      </c>
      <c r="AC2748" s="34">
        <f>IF(OR($A2748="",$H2748&lt;&gt;"Ausgabe",O2748=""),0,IF(O2748="x",-$E2748/(COUNTIF($J2748:$Q2748,"x")+1),-$E2748*N(O2748)))</f>
        <v/>
      </c>
      <c r="AD2748" s="34">
        <f>IF(OR($A2748="",$H2748&lt;&gt;"Ausgabe",P2748=""),0,IF(P2748="x",-$E2748/(COUNTIF($J2748:$Q2748,"x")+1),-$E2748*N(P2748)))</f>
        <v/>
      </c>
      <c r="AE2748" s="34">
        <f>IF(OR($A2748="",$H2748&lt;&gt;"Ausgabe",Q2748=""),0,IF(Q2748="x",-$E2748/(COUNTIF($J2748:$Q2748,"x")+1),-$E2748*N(Q2748)))</f>
        <v/>
      </c>
    </row>
    <row r="2749">
      <c r="A2749" s="30" t="n"/>
      <c r="E2749" s="31" t="n"/>
      <c r="J2749" s="32" t="n"/>
      <c r="K2749" s="32" t="n"/>
      <c r="L2749" s="32" t="n"/>
      <c r="M2749" s="32" t="n"/>
      <c r="N2749" s="32" t="n"/>
      <c r="O2749" s="32" t="n"/>
      <c r="P2749" s="32" t="n"/>
      <c r="Q2749" s="32" t="n"/>
      <c r="U2749" s="31">
        <f>IF($A2749="","",SUM(X2749:AE2749))</f>
        <v/>
      </c>
      <c r="V2749" s="31">
        <f>IF($A2749="","",IF($H2749&lt;&gt;"Ausgabe",0,-$E2749-$U2749))</f>
        <v/>
      </c>
      <c r="W2749" s="33">
        <f>IF($A2749="","",DATE(YEAR($A2749),MONTH($A2749),1))</f>
        <v/>
      </c>
      <c r="X2749" s="34">
        <f>IF(OR($A2749="",$H2749&lt;&gt;"Ausgabe",J2749=""),0,IF(J2749="x",-$E2749/(COUNTIF($J2749:$Q2749,"x")+1),-$E2749*N(J2749)))</f>
        <v/>
      </c>
      <c r="Y2749" s="34">
        <f>IF(OR($A2749="",$H2749&lt;&gt;"Ausgabe",K2749=""),0,IF(K2749="x",-$E2749/(COUNTIF($J2749:$Q2749,"x")+1),-$E2749*N(K2749)))</f>
        <v/>
      </c>
      <c r="Z2749" s="34">
        <f>IF(OR($A2749="",$H2749&lt;&gt;"Ausgabe",L2749=""),0,IF(L2749="x",-$E2749/(COUNTIF($J2749:$Q2749,"x")+1),-$E2749*N(L2749)))</f>
        <v/>
      </c>
      <c r="AA2749" s="34">
        <f>IF(OR($A2749="",$H2749&lt;&gt;"Ausgabe",M2749=""),0,IF(M2749="x",-$E2749/(COUNTIF($J2749:$Q2749,"x")+1),-$E2749*N(M2749)))</f>
        <v/>
      </c>
      <c r="AB2749" s="34">
        <f>IF(OR($A2749="",$H2749&lt;&gt;"Ausgabe",N2749=""),0,IF(N2749="x",-$E2749/(COUNTIF($J2749:$Q2749,"x")+1),-$E2749*N(N2749)))</f>
        <v/>
      </c>
      <c r="AC2749" s="34">
        <f>IF(OR($A2749="",$H2749&lt;&gt;"Ausgabe",O2749=""),0,IF(O2749="x",-$E2749/(COUNTIF($J2749:$Q2749,"x")+1),-$E2749*N(O2749)))</f>
        <v/>
      </c>
      <c r="AD2749" s="34">
        <f>IF(OR($A2749="",$H2749&lt;&gt;"Ausgabe",P2749=""),0,IF(P2749="x",-$E2749/(COUNTIF($J2749:$Q2749,"x")+1),-$E2749*N(P2749)))</f>
        <v/>
      </c>
      <c r="AE2749" s="34">
        <f>IF(OR($A2749="",$H2749&lt;&gt;"Ausgabe",Q2749=""),0,IF(Q2749="x",-$E2749/(COUNTIF($J2749:$Q2749,"x")+1),-$E2749*N(Q2749)))</f>
        <v/>
      </c>
    </row>
    <row r="2750">
      <c r="A2750" s="30" t="n"/>
      <c r="E2750" s="31" t="n"/>
      <c r="J2750" s="32" t="n"/>
      <c r="K2750" s="32" t="n"/>
      <c r="L2750" s="32" t="n"/>
      <c r="M2750" s="32" t="n"/>
      <c r="N2750" s="32" t="n"/>
      <c r="O2750" s="32" t="n"/>
      <c r="P2750" s="32" t="n"/>
      <c r="Q2750" s="32" t="n"/>
      <c r="U2750" s="31">
        <f>IF($A2750="","",SUM(X2750:AE2750))</f>
        <v/>
      </c>
      <c r="V2750" s="31">
        <f>IF($A2750="","",IF($H2750&lt;&gt;"Ausgabe",0,-$E2750-$U2750))</f>
        <v/>
      </c>
      <c r="W2750" s="33">
        <f>IF($A2750="","",DATE(YEAR($A2750),MONTH($A2750),1))</f>
        <v/>
      </c>
      <c r="X2750" s="34">
        <f>IF(OR($A2750="",$H2750&lt;&gt;"Ausgabe",J2750=""),0,IF(J2750="x",-$E2750/(COUNTIF($J2750:$Q2750,"x")+1),-$E2750*N(J2750)))</f>
        <v/>
      </c>
      <c r="Y2750" s="34">
        <f>IF(OR($A2750="",$H2750&lt;&gt;"Ausgabe",K2750=""),0,IF(K2750="x",-$E2750/(COUNTIF($J2750:$Q2750,"x")+1),-$E2750*N(K2750)))</f>
        <v/>
      </c>
      <c r="Z2750" s="34">
        <f>IF(OR($A2750="",$H2750&lt;&gt;"Ausgabe",L2750=""),0,IF(L2750="x",-$E2750/(COUNTIF($J2750:$Q2750,"x")+1),-$E2750*N(L2750)))</f>
        <v/>
      </c>
      <c r="AA2750" s="34">
        <f>IF(OR($A2750="",$H2750&lt;&gt;"Ausgabe",M2750=""),0,IF(M2750="x",-$E2750/(COUNTIF($J2750:$Q2750,"x")+1),-$E2750*N(M2750)))</f>
        <v/>
      </c>
      <c r="AB2750" s="34">
        <f>IF(OR($A2750="",$H2750&lt;&gt;"Ausgabe",N2750=""),0,IF(N2750="x",-$E2750/(COUNTIF($J2750:$Q2750,"x")+1),-$E2750*N(N2750)))</f>
        <v/>
      </c>
      <c r="AC2750" s="34">
        <f>IF(OR($A2750="",$H2750&lt;&gt;"Ausgabe",O2750=""),0,IF(O2750="x",-$E2750/(COUNTIF($J2750:$Q2750,"x")+1),-$E2750*N(O2750)))</f>
        <v/>
      </c>
      <c r="AD2750" s="34">
        <f>IF(OR($A2750="",$H2750&lt;&gt;"Ausgabe",P2750=""),0,IF(P2750="x",-$E2750/(COUNTIF($J2750:$Q2750,"x")+1),-$E2750*N(P2750)))</f>
        <v/>
      </c>
      <c r="AE2750" s="34">
        <f>IF(OR($A2750="",$H2750&lt;&gt;"Ausgabe",Q2750=""),0,IF(Q2750="x",-$E2750/(COUNTIF($J2750:$Q2750,"x")+1),-$E2750*N(Q2750)))</f>
        <v/>
      </c>
    </row>
    <row r="2751">
      <c r="A2751" s="30" t="n"/>
      <c r="E2751" s="31" t="n"/>
      <c r="J2751" s="32" t="n"/>
      <c r="K2751" s="32" t="n"/>
      <c r="L2751" s="32" t="n"/>
      <c r="M2751" s="32" t="n"/>
      <c r="N2751" s="32" t="n"/>
      <c r="O2751" s="32" t="n"/>
      <c r="P2751" s="32" t="n"/>
      <c r="Q2751" s="32" t="n"/>
      <c r="U2751" s="31">
        <f>IF($A2751="","",SUM(X2751:AE2751))</f>
        <v/>
      </c>
      <c r="V2751" s="31">
        <f>IF($A2751="","",IF($H2751&lt;&gt;"Ausgabe",0,-$E2751-$U2751))</f>
        <v/>
      </c>
      <c r="W2751" s="33">
        <f>IF($A2751="","",DATE(YEAR($A2751),MONTH($A2751),1))</f>
        <v/>
      </c>
      <c r="X2751" s="34">
        <f>IF(OR($A2751="",$H2751&lt;&gt;"Ausgabe",J2751=""),0,IF(J2751="x",-$E2751/(COUNTIF($J2751:$Q2751,"x")+1),-$E2751*N(J2751)))</f>
        <v/>
      </c>
      <c r="Y2751" s="34">
        <f>IF(OR($A2751="",$H2751&lt;&gt;"Ausgabe",K2751=""),0,IF(K2751="x",-$E2751/(COUNTIF($J2751:$Q2751,"x")+1),-$E2751*N(K2751)))</f>
        <v/>
      </c>
      <c r="Z2751" s="34">
        <f>IF(OR($A2751="",$H2751&lt;&gt;"Ausgabe",L2751=""),0,IF(L2751="x",-$E2751/(COUNTIF($J2751:$Q2751,"x")+1),-$E2751*N(L2751)))</f>
        <v/>
      </c>
      <c r="AA2751" s="34">
        <f>IF(OR($A2751="",$H2751&lt;&gt;"Ausgabe",M2751=""),0,IF(M2751="x",-$E2751/(COUNTIF($J2751:$Q2751,"x")+1),-$E2751*N(M2751)))</f>
        <v/>
      </c>
      <c r="AB2751" s="34">
        <f>IF(OR($A2751="",$H2751&lt;&gt;"Ausgabe",N2751=""),0,IF(N2751="x",-$E2751/(COUNTIF($J2751:$Q2751,"x")+1),-$E2751*N(N2751)))</f>
        <v/>
      </c>
      <c r="AC2751" s="34">
        <f>IF(OR($A2751="",$H2751&lt;&gt;"Ausgabe",O2751=""),0,IF(O2751="x",-$E2751/(COUNTIF($J2751:$Q2751,"x")+1),-$E2751*N(O2751)))</f>
        <v/>
      </c>
      <c r="AD2751" s="34">
        <f>IF(OR($A2751="",$H2751&lt;&gt;"Ausgabe",P2751=""),0,IF(P2751="x",-$E2751/(COUNTIF($J2751:$Q2751,"x")+1),-$E2751*N(P2751)))</f>
        <v/>
      </c>
      <c r="AE2751" s="34">
        <f>IF(OR($A2751="",$H2751&lt;&gt;"Ausgabe",Q2751=""),0,IF(Q2751="x",-$E2751/(COUNTIF($J2751:$Q2751,"x")+1),-$E2751*N(Q2751)))</f>
        <v/>
      </c>
    </row>
    <row r="2752">
      <c r="A2752" s="30" t="n"/>
      <c r="E2752" s="31" t="n"/>
      <c r="J2752" s="32" t="n"/>
      <c r="K2752" s="32" t="n"/>
      <c r="L2752" s="32" t="n"/>
      <c r="M2752" s="32" t="n"/>
      <c r="N2752" s="32" t="n"/>
      <c r="O2752" s="32" t="n"/>
      <c r="P2752" s="32" t="n"/>
      <c r="Q2752" s="32" t="n"/>
      <c r="U2752" s="31">
        <f>IF($A2752="","",SUM(X2752:AE2752))</f>
        <v/>
      </c>
      <c r="V2752" s="31">
        <f>IF($A2752="","",IF($H2752&lt;&gt;"Ausgabe",0,-$E2752-$U2752))</f>
        <v/>
      </c>
      <c r="W2752" s="33">
        <f>IF($A2752="","",DATE(YEAR($A2752),MONTH($A2752),1))</f>
        <v/>
      </c>
      <c r="X2752" s="34">
        <f>IF(OR($A2752="",$H2752&lt;&gt;"Ausgabe",J2752=""),0,IF(J2752="x",-$E2752/(COUNTIF($J2752:$Q2752,"x")+1),-$E2752*N(J2752)))</f>
        <v/>
      </c>
      <c r="Y2752" s="34">
        <f>IF(OR($A2752="",$H2752&lt;&gt;"Ausgabe",K2752=""),0,IF(K2752="x",-$E2752/(COUNTIF($J2752:$Q2752,"x")+1),-$E2752*N(K2752)))</f>
        <v/>
      </c>
      <c r="Z2752" s="34">
        <f>IF(OR($A2752="",$H2752&lt;&gt;"Ausgabe",L2752=""),0,IF(L2752="x",-$E2752/(COUNTIF($J2752:$Q2752,"x")+1),-$E2752*N(L2752)))</f>
        <v/>
      </c>
      <c r="AA2752" s="34">
        <f>IF(OR($A2752="",$H2752&lt;&gt;"Ausgabe",M2752=""),0,IF(M2752="x",-$E2752/(COUNTIF($J2752:$Q2752,"x")+1),-$E2752*N(M2752)))</f>
        <v/>
      </c>
      <c r="AB2752" s="34">
        <f>IF(OR($A2752="",$H2752&lt;&gt;"Ausgabe",N2752=""),0,IF(N2752="x",-$E2752/(COUNTIF($J2752:$Q2752,"x")+1),-$E2752*N(N2752)))</f>
        <v/>
      </c>
      <c r="AC2752" s="34">
        <f>IF(OR($A2752="",$H2752&lt;&gt;"Ausgabe",O2752=""),0,IF(O2752="x",-$E2752/(COUNTIF($J2752:$Q2752,"x")+1),-$E2752*N(O2752)))</f>
        <v/>
      </c>
      <c r="AD2752" s="34">
        <f>IF(OR($A2752="",$H2752&lt;&gt;"Ausgabe",P2752=""),0,IF(P2752="x",-$E2752/(COUNTIF($J2752:$Q2752,"x")+1),-$E2752*N(P2752)))</f>
        <v/>
      </c>
      <c r="AE2752" s="34">
        <f>IF(OR($A2752="",$H2752&lt;&gt;"Ausgabe",Q2752=""),0,IF(Q2752="x",-$E2752/(COUNTIF($J2752:$Q2752,"x")+1),-$E2752*N(Q2752)))</f>
        <v/>
      </c>
    </row>
    <row r="2753">
      <c r="A2753" s="30" t="n"/>
      <c r="E2753" s="31" t="n"/>
      <c r="J2753" s="32" t="n"/>
      <c r="K2753" s="32" t="n"/>
      <c r="L2753" s="32" t="n"/>
      <c r="M2753" s="32" t="n"/>
      <c r="N2753" s="32" t="n"/>
      <c r="O2753" s="32" t="n"/>
      <c r="P2753" s="32" t="n"/>
      <c r="Q2753" s="32" t="n"/>
      <c r="U2753" s="31">
        <f>IF($A2753="","",SUM(X2753:AE2753))</f>
        <v/>
      </c>
      <c r="V2753" s="31">
        <f>IF($A2753="","",IF($H2753&lt;&gt;"Ausgabe",0,-$E2753-$U2753))</f>
        <v/>
      </c>
      <c r="W2753" s="33">
        <f>IF($A2753="","",DATE(YEAR($A2753),MONTH($A2753),1))</f>
        <v/>
      </c>
      <c r="X2753" s="34">
        <f>IF(OR($A2753="",$H2753&lt;&gt;"Ausgabe",J2753=""),0,IF(J2753="x",-$E2753/(COUNTIF($J2753:$Q2753,"x")+1),-$E2753*N(J2753)))</f>
        <v/>
      </c>
      <c r="Y2753" s="34">
        <f>IF(OR($A2753="",$H2753&lt;&gt;"Ausgabe",K2753=""),0,IF(K2753="x",-$E2753/(COUNTIF($J2753:$Q2753,"x")+1),-$E2753*N(K2753)))</f>
        <v/>
      </c>
      <c r="Z2753" s="34">
        <f>IF(OR($A2753="",$H2753&lt;&gt;"Ausgabe",L2753=""),0,IF(L2753="x",-$E2753/(COUNTIF($J2753:$Q2753,"x")+1),-$E2753*N(L2753)))</f>
        <v/>
      </c>
      <c r="AA2753" s="34">
        <f>IF(OR($A2753="",$H2753&lt;&gt;"Ausgabe",M2753=""),0,IF(M2753="x",-$E2753/(COUNTIF($J2753:$Q2753,"x")+1),-$E2753*N(M2753)))</f>
        <v/>
      </c>
      <c r="AB2753" s="34">
        <f>IF(OR($A2753="",$H2753&lt;&gt;"Ausgabe",N2753=""),0,IF(N2753="x",-$E2753/(COUNTIF($J2753:$Q2753,"x")+1),-$E2753*N(N2753)))</f>
        <v/>
      </c>
      <c r="AC2753" s="34">
        <f>IF(OR($A2753="",$H2753&lt;&gt;"Ausgabe",O2753=""),0,IF(O2753="x",-$E2753/(COUNTIF($J2753:$Q2753,"x")+1),-$E2753*N(O2753)))</f>
        <v/>
      </c>
      <c r="AD2753" s="34">
        <f>IF(OR($A2753="",$H2753&lt;&gt;"Ausgabe",P2753=""),0,IF(P2753="x",-$E2753/(COUNTIF($J2753:$Q2753,"x")+1),-$E2753*N(P2753)))</f>
        <v/>
      </c>
      <c r="AE2753" s="34">
        <f>IF(OR($A2753="",$H2753&lt;&gt;"Ausgabe",Q2753=""),0,IF(Q2753="x",-$E2753/(COUNTIF($J2753:$Q2753,"x")+1),-$E2753*N(Q2753)))</f>
        <v/>
      </c>
    </row>
    <row r="2754">
      <c r="A2754" s="30" t="n"/>
      <c r="E2754" s="31" t="n"/>
      <c r="J2754" s="32" t="n"/>
      <c r="K2754" s="32" t="n"/>
      <c r="L2754" s="32" t="n"/>
      <c r="M2754" s="32" t="n"/>
      <c r="N2754" s="32" t="n"/>
      <c r="O2754" s="32" t="n"/>
      <c r="P2754" s="32" t="n"/>
      <c r="Q2754" s="32" t="n"/>
      <c r="U2754" s="31">
        <f>IF($A2754="","",SUM(X2754:AE2754))</f>
        <v/>
      </c>
      <c r="V2754" s="31">
        <f>IF($A2754="","",IF($H2754&lt;&gt;"Ausgabe",0,-$E2754-$U2754))</f>
        <v/>
      </c>
      <c r="W2754" s="33">
        <f>IF($A2754="","",DATE(YEAR($A2754),MONTH($A2754),1))</f>
        <v/>
      </c>
      <c r="X2754" s="34">
        <f>IF(OR($A2754="",$H2754&lt;&gt;"Ausgabe",J2754=""),0,IF(J2754="x",-$E2754/(COUNTIF($J2754:$Q2754,"x")+1),-$E2754*N(J2754)))</f>
        <v/>
      </c>
      <c r="Y2754" s="34">
        <f>IF(OR($A2754="",$H2754&lt;&gt;"Ausgabe",K2754=""),0,IF(K2754="x",-$E2754/(COUNTIF($J2754:$Q2754,"x")+1),-$E2754*N(K2754)))</f>
        <v/>
      </c>
      <c r="Z2754" s="34">
        <f>IF(OR($A2754="",$H2754&lt;&gt;"Ausgabe",L2754=""),0,IF(L2754="x",-$E2754/(COUNTIF($J2754:$Q2754,"x")+1),-$E2754*N(L2754)))</f>
        <v/>
      </c>
      <c r="AA2754" s="34">
        <f>IF(OR($A2754="",$H2754&lt;&gt;"Ausgabe",M2754=""),0,IF(M2754="x",-$E2754/(COUNTIF($J2754:$Q2754,"x")+1),-$E2754*N(M2754)))</f>
        <v/>
      </c>
      <c r="AB2754" s="34">
        <f>IF(OR($A2754="",$H2754&lt;&gt;"Ausgabe",N2754=""),0,IF(N2754="x",-$E2754/(COUNTIF($J2754:$Q2754,"x")+1),-$E2754*N(N2754)))</f>
        <v/>
      </c>
      <c r="AC2754" s="34">
        <f>IF(OR($A2754="",$H2754&lt;&gt;"Ausgabe",O2754=""),0,IF(O2754="x",-$E2754/(COUNTIF($J2754:$Q2754,"x")+1),-$E2754*N(O2754)))</f>
        <v/>
      </c>
      <c r="AD2754" s="34">
        <f>IF(OR($A2754="",$H2754&lt;&gt;"Ausgabe",P2754=""),0,IF(P2754="x",-$E2754/(COUNTIF($J2754:$Q2754,"x")+1),-$E2754*N(P2754)))</f>
        <v/>
      </c>
      <c r="AE2754" s="34">
        <f>IF(OR($A2754="",$H2754&lt;&gt;"Ausgabe",Q2754=""),0,IF(Q2754="x",-$E2754/(COUNTIF($J2754:$Q2754,"x")+1),-$E2754*N(Q2754)))</f>
        <v/>
      </c>
    </row>
    <row r="2755">
      <c r="A2755" s="30" t="n"/>
      <c r="E2755" s="31" t="n"/>
      <c r="J2755" s="32" t="n"/>
      <c r="K2755" s="32" t="n"/>
      <c r="L2755" s="32" t="n"/>
      <c r="M2755" s="32" t="n"/>
      <c r="N2755" s="32" t="n"/>
      <c r="O2755" s="32" t="n"/>
      <c r="P2755" s="32" t="n"/>
      <c r="Q2755" s="32" t="n"/>
      <c r="U2755" s="31">
        <f>IF($A2755="","",SUM(X2755:AE2755))</f>
        <v/>
      </c>
      <c r="V2755" s="31">
        <f>IF($A2755="","",IF($H2755&lt;&gt;"Ausgabe",0,-$E2755-$U2755))</f>
        <v/>
      </c>
      <c r="W2755" s="33">
        <f>IF($A2755="","",DATE(YEAR($A2755),MONTH($A2755),1))</f>
        <v/>
      </c>
      <c r="X2755" s="34">
        <f>IF(OR($A2755="",$H2755&lt;&gt;"Ausgabe",J2755=""),0,IF(J2755="x",-$E2755/(COUNTIF($J2755:$Q2755,"x")+1),-$E2755*N(J2755)))</f>
        <v/>
      </c>
      <c r="Y2755" s="34">
        <f>IF(OR($A2755="",$H2755&lt;&gt;"Ausgabe",K2755=""),0,IF(K2755="x",-$E2755/(COUNTIF($J2755:$Q2755,"x")+1),-$E2755*N(K2755)))</f>
        <v/>
      </c>
      <c r="Z2755" s="34">
        <f>IF(OR($A2755="",$H2755&lt;&gt;"Ausgabe",L2755=""),0,IF(L2755="x",-$E2755/(COUNTIF($J2755:$Q2755,"x")+1),-$E2755*N(L2755)))</f>
        <v/>
      </c>
      <c r="AA2755" s="34">
        <f>IF(OR($A2755="",$H2755&lt;&gt;"Ausgabe",M2755=""),0,IF(M2755="x",-$E2755/(COUNTIF($J2755:$Q2755,"x")+1),-$E2755*N(M2755)))</f>
        <v/>
      </c>
      <c r="AB2755" s="34">
        <f>IF(OR($A2755="",$H2755&lt;&gt;"Ausgabe",N2755=""),0,IF(N2755="x",-$E2755/(COUNTIF($J2755:$Q2755,"x")+1),-$E2755*N(N2755)))</f>
        <v/>
      </c>
      <c r="AC2755" s="34">
        <f>IF(OR($A2755="",$H2755&lt;&gt;"Ausgabe",O2755=""),0,IF(O2755="x",-$E2755/(COUNTIF($J2755:$Q2755,"x")+1),-$E2755*N(O2755)))</f>
        <v/>
      </c>
      <c r="AD2755" s="34">
        <f>IF(OR($A2755="",$H2755&lt;&gt;"Ausgabe",P2755=""),0,IF(P2755="x",-$E2755/(COUNTIF($J2755:$Q2755,"x")+1),-$E2755*N(P2755)))</f>
        <v/>
      </c>
      <c r="AE2755" s="34">
        <f>IF(OR($A2755="",$H2755&lt;&gt;"Ausgabe",Q2755=""),0,IF(Q2755="x",-$E2755/(COUNTIF($J2755:$Q2755,"x")+1),-$E2755*N(Q2755)))</f>
        <v/>
      </c>
    </row>
    <row r="2756">
      <c r="A2756" s="30" t="n"/>
      <c r="E2756" s="31" t="n"/>
      <c r="J2756" s="32" t="n"/>
      <c r="K2756" s="32" t="n"/>
      <c r="L2756" s="32" t="n"/>
      <c r="M2756" s="32" t="n"/>
      <c r="N2756" s="32" t="n"/>
      <c r="O2756" s="32" t="n"/>
      <c r="P2756" s="32" t="n"/>
      <c r="Q2756" s="32" t="n"/>
      <c r="U2756" s="31">
        <f>IF($A2756="","",SUM(X2756:AE2756))</f>
        <v/>
      </c>
      <c r="V2756" s="31">
        <f>IF($A2756="","",IF($H2756&lt;&gt;"Ausgabe",0,-$E2756-$U2756))</f>
        <v/>
      </c>
      <c r="W2756" s="33">
        <f>IF($A2756="","",DATE(YEAR($A2756),MONTH($A2756),1))</f>
        <v/>
      </c>
      <c r="X2756" s="34">
        <f>IF(OR($A2756="",$H2756&lt;&gt;"Ausgabe",J2756=""),0,IF(J2756="x",-$E2756/(COUNTIF($J2756:$Q2756,"x")+1),-$E2756*N(J2756)))</f>
        <v/>
      </c>
      <c r="Y2756" s="34">
        <f>IF(OR($A2756="",$H2756&lt;&gt;"Ausgabe",K2756=""),0,IF(K2756="x",-$E2756/(COUNTIF($J2756:$Q2756,"x")+1),-$E2756*N(K2756)))</f>
        <v/>
      </c>
      <c r="Z2756" s="34">
        <f>IF(OR($A2756="",$H2756&lt;&gt;"Ausgabe",L2756=""),0,IF(L2756="x",-$E2756/(COUNTIF($J2756:$Q2756,"x")+1),-$E2756*N(L2756)))</f>
        <v/>
      </c>
      <c r="AA2756" s="34">
        <f>IF(OR($A2756="",$H2756&lt;&gt;"Ausgabe",M2756=""),0,IF(M2756="x",-$E2756/(COUNTIF($J2756:$Q2756,"x")+1),-$E2756*N(M2756)))</f>
        <v/>
      </c>
      <c r="AB2756" s="34">
        <f>IF(OR($A2756="",$H2756&lt;&gt;"Ausgabe",N2756=""),0,IF(N2756="x",-$E2756/(COUNTIF($J2756:$Q2756,"x")+1),-$E2756*N(N2756)))</f>
        <v/>
      </c>
      <c r="AC2756" s="34">
        <f>IF(OR($A2756="",$H2756&lt;&gt;"Ausgabe",O2756=""),0,IF(O2756="x",-$E2756/(COUNTIF($J2756:$Q2756,"x")+1),-$E2756*N(O2756)))</f>
        <v/>
      </c>
      <c r="AD2756" s="34">
        <f>IF(OR($A2756="",$H2756&lt;&gt;"Ausgabe",P2756=""),0,IF(P2756="x",-$E2756/(COUNTIF($J2756:$Q2756,"x")+1),-$E2756*N(P2756)))</f>
        <v/>
      </c>
      <c r="AE2756" s="34">
        <f>IF(OR($A2756="",$H2756&lt;&gt;"Ausgabe",Q2756=""),0,IF(Q2756="x",-$E2756/(COUNTIF($J2756:$Q2756,"x")+1),-$E2756*N(Q2756)))</f>
        <v/>
      </c>
    </row>
    <row r="2757">
      <c r="A2757" s="30" t="n"/>
      <c r="E2757" s="31" t="n"/>
      <c r="J2757" s="32" t="n"/>
      <c r="K2757" s="32" t="n"/>
      <c r="L2757" s="32" t="n"/>
      <c r="M2757" s="32" t="n"/>
      <c r="N2757" s="32" t="n"/>
      <c r="O2757" s="32" t="n"/>
      <c r="P2757" s="32" t="n"/>
      <c r="Q2757" s="32" t="n"/>
      <c r="U2757" s="31">
        <f>IF($A2757="","",SUM(X2757:AE2757))</f>
        <v/>
      </c>
      <c r="V2757" s="31">
        <f>IF($A2757="","",IF($H2757&lt;&gt;"Ausgabe",0,-$E2757-$U2757))</f>
        <v/>
      </c>
      <c r="W2757" s="33">
        <f>IF($A2757="","",DATE(YEAR($A2757),MONTH($A2757),1))</f>
        <v/>
      </c>
      <c r="X2757" s="34">
        <f>IF(OR($A2757="",$H2757&lt;&gt;"Ausgabe",J2757=""),0,IF(J2757="x",-$E2757/(COUNTIF($J2757:$Q2757,"x")+1),-$E2757*N(J2757)))</f>
        <v/>
      </c>
      <c r="Y2757" s="34">
        <f>IF(OR($A2757="",$H2757&lt;&gt;"Ausgabe",K2757=""),0,IF(K2757="x",-$E2757/(COUNTIF($J2757:$Q2757,"x")+1),-$E2757*N(K2757)))</f>
        <v/>
      </c>
      <c r="Z2757" s="34">
        <f>IF(OR($A2757="",$H2757&lt;&gt;"Ausgabe",L2757=""),0,IF(L2757="x",-$E2757/(COUNTIF($J2757:$Q2757,"x")+1),-$E2757*N(L2757)))</f>
        <v/>
      </c>
      <c r="AA2757" s="34">
        <f>IF(OR($A2757="",$H2757&lt;&gt;"Ausgabe",M2757=""),0,IF(M2757="x",-$E2757/(COUNTIF($J2757:$Q2757,"x")+1),-$E2757*N(M2757)))</f>
        <v/>
      </c>
      <c r="AB2757" s="34">
        <f>IF(OR($A2757="",$H2757&lt;&gt;"Ausgabe",N2757=""),0,IF(N2757="x",-$E2757/(COUNTIF($J2757:$Q2757,"x")+1),-$E2757*N(N2757)))</f>
        <v/>
      </c>
      <c r="AC2757" s="34">
        <f>IF(OR($A2757="",$H2757&lt;&gt;"Ausgabe",O2757=""),0,IF(O2757="x",-$E2757/(COUNTIF($J2757:$Q2757,"x")+1),-$E2757*N(O2757)))</f>
        <v/>
      </c>
      <c r="AD2757" s="34">
        <f>IF(OR($A2757="",$H2757&lt;&gt;"Ausgabe",P2757=""),0,IF(P2757="x",-$E2757/(COUNTIF($J2757:$Q2757,"x")+1),-$E2757*N(P2757)))</f>
        <v/>
      </c>
      <c r="AE2757" s="34">
        <f>IF(OR($A2757="",$H2757&lt;&gt;"Ausgabe",Q2757=""),0,IF(Q2757="x",-$E2757/(COUNTIF($J2757:$Q2757,"x")+1),-$E2757*N(Q2757)))</f>
        <v/>
      </c>
    </row>
    <row r="2758">
      <c r="A2758" s="30" t="n"/>
      <c r="E2758" s="31" t="n"/>
      <c r="J2758" s="32" t="n"/>
      <c r="K2758" s="32" t="n"/>
      <c r="L2758" s="32" t="n"/>
      <c r="M2758" s="32" t="n"/>
      <c r="N2758" s="32" t="n"/>
      <c r="O2758" s="32" t="n"/>
      <c r="P2758" s="32" t="n"/>
      <c r="Q2758" s="32" t="n"/>
      <c r="U2758" s="31">
        <f>IF($A2758="","",SUM(X2758:AE2758))</f>
        <v/>
      </c>
      <c r="V2758" s="31">
        <f>IF($A2758="","",IF($H2758&lt;&gt;"Ausgabe",0,-$E2758-$U2758))</f>
        <v/>
      </c>
      <c r="W2758" s="33">
        <f>IF($A2758="","",DATE(YEAR($A2758),MONTH($A2758),1))</f>
        <v/>
      </c>
      <c r="X2758" s="34">
        <f>IF(OR($A2758="",$H2758&lt;&gt;"Ausgabe",J2758=""),0,IF(J2758="x",-$E2758/(COUNTIF($J2758:$Q2758,"x")+1),-$E2758*N(J2758)))</f>
        <v/>
      </c>
      <c r="Y2758" s="34">
        <f>IF(OR($A2758="",$H2758&lt;&gt;"Ausgabe",K2758=""),0,IF(K2758="x",-$E2758/(COUNTIF($J2758:$Q2758,"x")+1),-$E2758*N(K2758)))</f>
        <v/>
      </c>
      <c r="Z2758" s="34">
        <f>IF(OR($A2758="",$H2758&lt;&gt;"Ausgabe",L2758=""),0,IF(L2758="x",-$E2758/(COUNTIF($J2758:$Q2758,"x")+1),-$E2758*N(L2758)))</f>
        <v/>
      </c>
      <c r="AA2758" s="34">
        <f>IF(OR($A2758="",$H2758&lt;&gt;"Ausgabe",M2758=""),0,IF(M2758="x",-$E2758/(COUNTIF($J2758:$Q2758,"x")+1),-$E2758*N(M2758)))</f>
        <v/>
      </c>
      <c r="AB2758" s="34">
        <f>IF(OR($A2758="",$H2758&lt;&gt;"Ausgabe",N2758=""),0,IF(N2758="x",-$E2758/(COUNTIF($J2758:$Q2758,"x")+1),-$E2758*N(N2758)))</f>
        <v/>
      </c>
      <c r="AC2758" s="34">
        <f>IF(OR($A2758="",$H2758&lt;&gt;"Ausgabe",O2758=""),0,IF(O2758="x",-$E2758/(COUNTIF($J2758:$Q2758,"x")+1),-$E2758*N(O2758)))</f>
        <v/>
      </c>
      <c r="AD2758" s="34">
        <f>IF(OR($A2758="",$H2758&lt;&gt;"Ausgabe",P2758=""),0,IF(P2758="x",-$E2758/(COUNTIF($J2758:$Q2758,"x")+1),-$E2758*N(P2758)))</f>
        <v/>
      </c>
      <c r="AE2758" s="34">
        <f>IF(OR($A2758="",$H2758&lt;&gt;"Ausgabe",Q2758=""),0,IF(Q2758="x",-$E2758/(COUNTIF($J2758:$Q2758,"x")+1),-$E2758*N(Q2758)))</f>
        <v/>
      </c>
    </row>
    <row r="2759">
      <c r="A2759" s="30" t="n"/>
      <c r="E2759" s="31" t="n"/>
      <c r="J2759" s="32" t="n"/>
      <c r="K2759" s="32" t="n"/>
      <c r="L2759" s="32" t="n"/>
      <c r="M2759" s="32" t="n"/>
      <c r="N2759" s="32" t="n"/>
      <c r="O2759" s="32" t="n"/>
      <c r="P2759" s="32" t="n"/>
      <c r="Q2759" s="32" t="n"/>
      <c r="U2759" s="31">
        <f>IF($A2759="","",SUM(X2759:AE2759))</f>
        <v/>
      </c>
      <c r="V2759" s="31">
        <f>IF($A2759="","",IF($H2759&lt;&gt;"Ausgabe",0,-$E2759-$U2759))</f>
        <v/>
      </c>
      <c r="W2759" s="33">
        <f>IF($A2759="","",DATE(YEAR($A2759),MONTH($A2759),1))</f>
        <v/>
      </c>
      <c r="X2759" s="34">
        <f>IF(OR($A2759="",$H2759&lt;&gt;"Ausgabe",J2759=""),0,IF(J2759="x",-$E2759/(COUNTIF($J2759:$Q2759,"x")+1),-$E2759*N(J2759)))</f>
        <v/>
      </c>
      <c r="Y2759" s="34">
        <f>IF(OR($A2759="",$H2759&lt;&gt;"Ausgabe",K2759=""),0,IF(K2759="x",-$E2759/(COUNTIF($J2759:$Q2759,"x")+1),-$E2759*N(K2759)))</f>
        <v/>
      </c>
      <c r="Z2759" s="34">
        <f>IF(OR($A2759="",$H2759&lt;&gt;"Ausgabe",L2759=""),0,IF(L2759="x",-$E2759/(COUNTIF($J2759:$Q2759,"x")+1),-$E2759*N(L2759)))</f>
        <v/>
      </c>
      <c r="AA2759" s="34">
        <f>IF(OR($A2759="",$H2759&lt;&gt;"Ausgabe",M2759=""),0,IF(M2759="x",-$E2759/(COUNTIF($J2759:$Q2759,"x")+1),-$E2759*N(M2759)))</f>
        <v/>
      </c>
      <c r="AB2759" s="34">
        <f>IF(OR($A2759="",$H2759&lt;&gt;"Ausgabe",N2759=""),0,IF(N2759="x",-$E2759/(COUNTIF($J2759:$Q2759,"x")+1),-$E2759*N(N2759)))</f>
        <v/>
      </c>
      <c r="AC2759" s="34">
        <f>IF(OR($A2759="",$H2759&lt;&gt;"Ausgabe",O2759=""),0,IF(O2759="x",-$E2759/(COUNTIF($J2759:$Q2759,"x")+1),-$E2759*N(O2759)))</f>
        <v/>
      </c>
      <c r="AD2759" s="34">
        <f>IF(OR($A2759="",$H2759&lt;&gt;"Ausgabe",P2759=""),0,IF(P2759="x",-$E2759/(COUNTIF($J2759:$Q2759,"x")+1),-$E2759*N(P2759)))</f>
        <v/>
      </c>
      <c r="AE2759" s="34">
        <f>IF(OR($A2759="",$H2759&lt;&gt;"Ausgabe",Q2759=""),0,IF(Q2759="x",-$E2759/(COUNTIF($J2759:$Q2759,"x")+1),-$E2759*N(Q2759)))</f>
        <v/>
      </c>
    </row>
    <row r="2760">
      <c r="A2760" s="30" t="n"/>
      <c r="E2760" s="31" t="n"/>
      <c r="J2760" s="32" t="n"/>
      <c r="K2760" s="32" t="n"/>
      <c r="L2760" s="32" t="n"/>
      <c r="M2760" s="32" t="n"/>
      <c r="N2760" s="32" t="n"/>
      <c r="O2760" s="32" t="n"/>
      <c r="P2760" s="32" t="n"/>
      <c r="Q2760" s="32" t="n"/>
      <c r="U2760" s="31">
        <f>IF($A2760="","",SUM(X2760:AE2760))</f>
        <v/>
      </c>
      <c r="V2760" s="31">
        <f>IF($A2760="","",IF($H2760&lt;&gt;"Ausgabe",0,-$E2760-$U2760))</f>
        <v/>
      </c>
      <c r="W2760" s="33">
        <f>IF($A2760="","",DATE(YEAR($A2760),MONTH($A2760),1))</f>
        <v/>
      </c>
      <c r="X2760" s="34">
        <f>IF(OR($A2760="",$H2760&lt;&gt;"Ausgabe",J2760=""),0,IF(J2760="x",-$E2760/(COUNTIF($J2760:$Q2760,"x")+1),-$E2760*N(J2760)))</f>
        <v/>
      </c>
      <c r="Y2760" s="34">
        <f>IF(OR($A2760="",$H2760&lt;&gt;"Ausgabe",K2760=""),0,IF(K2760="x",-$E2760/(COUNTIF($J2760:$Q2760,"x")+1),-$E2760*N(K2760)))</f>
        <v/>
      </c>
      <c r="Z2760" s="34">
        <f>IF(OR($A2760="",$H2760&lt;&gt;"Ausgabe",L2760=""),0,IF(L2760="x",-$E2760/(COUNTIF($J2760:$Q2760,"x")+1),-$E2760*N(L2760)))</f>
        <v/>
      </c>
      <c r="AA2760" s="34">
        <f>IF(OR($A2760="",$H2760&lt;&gt;"Ausgabe",M2760=""),0,IF(M2760="x",-$E2760/(COUNTIF($J2760:$Q2760,"x")+1),-$E2760*N(M2760)))</f>
        <v/>
      </c>
      <c r="AB2760" s="34">
        <f>IF(OR($A2760="",$H2760&lt;&gt;"Ausgabe",N2760=""),0,IF(N2760="x",-$E2760/(COUNTIF($J2760:$Q2760,"x")+1),-$E2760*N(N2760)))</f>
        <v/>
      </c>
      <c r="AC2760" s="34">
        <f>IF(OR($A2760="",$H2760&lt;&gt;"Ausgabe",O2760=""),0,IF(O2760="x",-$E2760/(COUNTIF($J2760:$Q2760,"x")+1),-$E2760*N(O2760)))</f>
        <v/>
      </c>
      <c r="AD2760" s="34">
        <f>IF(OR($A2760="",$H2760&lt;&gt;"Ausgabe",P2760=""),0,IF(P2760="x",-$E2760/(COUNTIF($J2760:$Q2760,"x")+1),-$E2760*N(P2760)))</f>
        <v/>
      </c>
      <c r="AE2760" s="34">
        <f>IF(OR($A2760="",$H2760&lt;&gt;"Ausgabe",Q2760=""),0,IF(Q2760="x",-$E2760/(COUNTIF($J2760:$Q2760,"x")+1),-$E2760*N(Q2760)))</f>
        <v/>
      </c>
    </row>
    <row r="2761">
      <c r="A2761" s="30" t="n"/>
      <c r="E2761" s="31" t="n"/>
      <c r="J2761" s="32" t="n"/>
      <c r="K2761" s="32" t="n"/>
      <c r="L2761" s="32" t="n"/>
      <c r="M2761" s="32" t="n"/>
      <c r="N2761" s="32" t="n"/>
      <c r="O2761" s="32" t="n"/>
      <c r="P2761" s="32" t="n"/>
      <c r="Q2761" s="32" t="n"/>
      <c r="U2761" s="31">
        <f>IF($A2761="","",SUM(X2761:AE2761))</f>
        <v/>
      </c>
      <c r="V2761" s="31">
        <f>IF($A2761="","",IF($H2761&lt;&gt;"Ausgabe",0,-$E2761-$U2761))</f>
        <v/>
      </c>
      <c r="W2761" s="33">
        <f>IF($A2761="","",DATE(YEAR($A2761),MONTH($A2761),1))</f>
        <v/>
      </c>
      <c r="X2761" s="34">
        <f>IF(OR($A2761="",$H2761&lt;&gt;"Ausgabe",J2761=""),0,IF(J2761="x",-$E2761/(COUNTIF($J2761:$Q2761,"x")+1),-$E2761*N(J2761)))</f>
        <v/>
      </c>
      <c r="Y2761" s="34">
        <f>IF(OR($A2761="",$H2761&lt;&gt;"Ausgabe",K2761=""),0,IF(K2761="x",-$E2761/(COUNTIF($J2761:$Q2761,"x")+1),-$E2761*N(K2761)))</f>
        <v/>
      </c>
      <c r="Z2761" s="34">
        <f>IF(OR($A2761="",$H2761&lt;&gt;"Ausgabe",L2761=""),0,IF(L2761="x",-$E2761/(COUNTIF($J2761:$Q2761,"x")+1),-$E2761*N(L2761)))</f>
        <v/>
      </c>
      <c r="AA2761" s="34">
        <f>IF(OR($A2761="",$H2761&lt;&gt;"Ausgabe",M2761=""),0,IF(M2761="x",-$E2761/(COUNTIF($J2761:$Q2761,"x")+1),-$E2761*N(M2761)))</f>
        <v/>
      </c>
      <c r="AB2761" s="34">
        <f>IF(OR($A2761="",$H2761&lt;&gt;"Ausgabe",N2761=""),0,IF(N2761="x",-$E2761/(COUNTIF($J2761:$Q2761,"x")+1),-$E2761*N(N2761)))</f>
        <v/>
      </c>
      <c r="AC2761" s="34">
        <f>IF(OR($A2761="",$H2761&lt;&gt;"Ausgabe",O2761=""),0,IF(O2761="x",-$E2761/(COUNTIF($J2761:$Q2761,"x")+1),-$E2761*N(O2761)))</f>
        <v/>
      </c>
      <c r="AD2761" s="34">
        <f>IF(OR($A2761="",$H2761&lt;&gt;"Ausgabe",P2761=""),0,IF(P2761="x",-$E2761/(COUNTIF($J2761:$Q2761,"x")+1),-$E2761*N(P2761)))</f>
        <v/>
      </c>
      <c r="AE2761" s="34">
        <f>IF(OR($A2761="",$H2761&lt;&gt;"Ausgabe",Q2761=""),0,IF(Q2761="x",-$E2761/(COUNTIF($J2761:$Q2761,"x")+1),-$E2761*N(Q2761)))</f>
        <v/>
      </c>
    </row>
    <row r="2762">
      <c r="A2762" s="30" t="n"/>
      <c r="E2762" s="31" t="n"/>
      <c r="J2762" s="32" t="n"/>
      <c r="K2762" s="32" t="n"/>
      <c r="L2762" s="32" t="n"/>
      <c r="M2762" s="32" t="n"/>
      <c r="N2762" s="32" t="n"/>
      <c r="O2762" s="32" t="n"/>
      <c r="P2762" s="32" t="n"/>
      <c r="Q2762" s="32" t="n"/>
      <c r="U2762" s="31">
        <f>IF($A2762="","",SUM(X2762:AE2762))</f>
        <v/>
      </c>
      <c r="V2762" s="31">
        <f>IF($A2762="","",IF($H2762&lt;&gt;"Ausgabe",0,-$E2762-$U2762))</f>
        <v/>
      </c>
      <c r="W2762" s="33">
        <f>IF($A2762="","",DATE(YEAR($A2762),MONTH($A2762),1))</f>
        <v/>
      </c>
      <c r="X2762" s="34">
        <f>IF(OR($A2762="",$H2762&lt;&gt;"Ausgabe",J2762=""),0,IF(J2762="x",-$E2762/(COUNTIF($J2762:$Q2762,"x")+1),-$E2762*N(J2762)))</f>
        <v/>
      </c>
      <c r="Y2762" s="34">
        <f>IF(OR($A2762="",$H2762&lt;&gt;"Ausgabe",K2762=""),0,IF(K2762="x",-$E2762/(COUNTIF($J2762:$Q2762,"x")+1),-$E2762*N(K2762)))</f>
        <v/>
      </c>
      <c r="Z2762" s="34">
        <f>IF(OR($A2762="",$H2762&lt;&gt;"Ausgabe",L2762=""),0,IF(L2762="x",-$E2762/(COUNTIF($J2762:$Q2762,"x")+1),-$E2762*N(L2762)))</f>
        <v/>
      </c>
      <c r="AA2762" s="34">
        <f>IF(OR($A2762="",$H2762&lt;&gt;"Ausgabe",M2762=""),0,IF(M2762="x",-$E2762/(COUNTIF($J2762:$Q2762,"x")+1),-$E2762*N(M2762)))</f>
        <v/>
      </c>
      <c r="AB2762" s="34">
        <f>IF(OR($A2762="",$H2762&lt;&gt;"Ausgabe",N2762=""),0,IF(N2762="x",-$E2762/(COUNTIF($J2762:$Q2762,"x")+1),-$E2762*N(N2762)))</f>
        <v/>
      </c>
      <c r="AC2762" s="34">
        <f>IF(OR($A2762="",$H2762&lt;&gt;"Ausgabe",O2762=""),0,IF(O2762="x",-$E2762/(COUNTIF($J2762:$Q2762,"x")+1),-$E2762*N(O2762)))</f>
        <v/>
      </c>
      <c r="AD2762" s="34">
        <f>IF(OR($A2762="",$H2762&lt;&gt;"Ausgabe",P2762=""),0,IF(P2762="x",-$E2762/(COUNTIF($J2762:$Q2762,"x")+1),-$E2762*N(P2762)))</f>
        <v/>
      </c>
      <c r="AE2762" s="34">
        <f>IF(OR($A2762="",$H2762&lt;&gt;"Ausgabe",Q2762=""),0,IF(Q2762="x",-$E2762/(COUNTIF($J2762:$Q2762,"x")+1),-$E2762*N(Q2762)))</f>
        <v/>
      </c>
    </row>
    <row r="2763">
      <c r="A2763" s="30" t="n"/>
      <c r="E2763" s="31" t="n"/>
      <c r="J2763" s="32" t="n"/>
      <c r="K2763" s="32" t="n"/>
      <c r="L2763" s="32" t="n"/>
      <c r="M2763" s="32" t="n"/>
      <c r="N2763" s="32" t="n"/>
      <c r="O2763" s="32" t="n"/>
      <c r="P2763" s="32" t="n"/>
      <c r="Q2763" s="32" t="n"/>
      <c r="U2763" s="31">
        <f>IF($A2763="","",SUM(X2763:AE2763))</f>
        <v/>
      </c>
      <c r="V2763" s="31">
        <f>IF($A2763="","",IF($H2763&lt;&gt;"Ausgabe",0,-$E2763-$U2763))</f>
        <v/>
      </c>
      <c r="W2763" s="33">
        <f>IF($A2763="","",DATE(YEAR($A2763),MONTH($A2763),1))</f>
        <v/>
      </c>
      <c r="X2763" s="34">
        <f>IF(OR($A2763="",$H2763&lt;&gt;"Ausgabe",J2763=""),0,IF(J2763="x",-$E2763/(COUNTIF($J2763:$Q2763,"x")+1),-$E2763*N(J2763)))</f>
        <v/>
      </c>
      <c r="Y2763" s="34">
        <f>IF(OR($A2763="",$H2763&lt;&gt;"Ausgabe",K2763=""),0,IF(K2763="x",-$E2763/(COUNTIF($J2763:$Q2763,"x")+1),-$E2763*N(K2763)))</f>
        <v/>
      </c>
      <c r="Z2763" s="34">
        <f>IF(OR($A2763="",$H2763&lt;&gt;"Ausgabe",L2763=""),0,IF(L2763="x",-$E2763/(COUNTIF($J2763:$Q2763,"x")+1),-$E2763*N(L2763)))</f>
        <v/>
      </c>
      <c r="AA2763" s="34">
        <f>IF(OR($A2763="",$H2763&lt;&gt;"Ausgabe",M2763=""),0,IF(M2763="x",-$E2763/(COUNTIF($J2763:$Q2763,"x")+1),-$E2763*N(M2763)))</f>
        <v/>
      </c>
      <c r="AB2763" s="34">
        <f>IF(OR($A2763="",$H2763&lt;&gt;"Ausgabe",N2763=""),0,IF(N2763="x",-$E2763/(COUNTIF($J2763:$Q2763,"x")+1),-$E2763*N(N2763)))</f>
        <v/>
      </c>
      <c r="AC2763" s="34">
        <f>IF(OR($A2763="",$H2763&lt;&gt;"Ausgabe",O2763=""),0,IF(O2763="x",-$E2763/(COUNTIF($J2763:$Q2763,"x")+1),-$E2763*N(O2763)))</f>
        <v/>
      </c>
      <c r="AD2763" s="34">
        <f>IF(OR($A2763="",$H2763&lt;&gt;"Ausgabe",P2763=""),0,IF(P2763="x",-$E2763/(COUNTIF($J2763:$Q2763,"x")+1),-$E2763*N(P2763)))</f>
        <v/>
      </c>
      <c r="AE2763" s="34">
        <f>IF(OR($A2763="",$H2763&lt;&gt;"Ausgabe",Q2763=""),0,IF(Q2763="x",-$E2763/(COUNTIF($J2763:$Q2763,"x")+1),-$E2763*N(Q2763)))</f>
        <v/>
      </c>
    </row>
    <row r="2764">
      <c r="A2764" s="30" t="n"/>
      <c r="E2764" s="31" t="n"/>
      <c r="J2764" s="32" t="n"/>
      <c r="K2764" s="32" t="n"/>
      <c r="L2764" s="32" t="n"/>
      <c r="M2764" s="32" t="n"/>
      <c r="N2764" s="32" t="n"/>
      <c r="O2764" s="32" t="n"/>
      <c r="P2764" s="32" t="n"/>
      <c r="Q2764" s="32" t="n"/>
      <c r="U2764" s="31">
        <f>IF($A2764="","",SUM(X2764:AE2764))</f>
        <v/>
      </c>
      <c r="V2764" s="31">
        <f>IF($A2764="","",IF($H2764&lt;&gt;"Ausgabe",0,-$E2764-$U2764))</f>
        <v/>
      </c>
      <c r="W2764" s="33">
        <f>IF($A2764="","",DATE(YEAR($A2764),MONTH($A2764),1))</f>
        <v/>
      </c>
      <c r="X2764" s="34">
        <f>IF(OR($A2764="",$H2764&lt;&gt;"Ausgabe",J2764=""),0,IF(J2764="x",-$E2764/(COUNTIF($J2764:$Q2764,"x")+1),-$E2764*N(J2764)))</f>
        <v/>
      </c>
      <c r="Y2764" s="34">
        <f>IF(OR($A2764="",$H2764&lt;&gt;"Ausgabe",K2764=""),0,IF(K2764="x",-$E2764/(COUNTIF($J2764:$Q2764,"x")+1),-$E2764*N(K2764)))</f>
        <v/>
      </c>
      <c r="Z2764" s="34">
        <f>IF(OR($A2764="",$H2764&lt;&gt;"Ausgabe",L2764=""),0,IF(L2764="x",-$E2764/(COUNTIF($J2764:$Q2764,"x")+1),-$E2764*N(L2764)))</f>
        <v/>
      </c>
      <c r="AA2764" s="34">
        <f>IF(OR($A2764="",$H2764&lt;&gt;"Ausgabe",M2764=""),0,IF(M2764="x",-$E2764/(COUNTIF($J2764:$Q2764,"x")+1),-$E2764*N(M2764)))</f>
        <v/>
      </c>
      <c r="AB2764" s="34">
        <f>IF(OR($A2764="",$H2764&lt;&gt;"Ausgabe",N2764=""),0,IF(N2764="x",-$E2764/(COUNTIF($J2764:$Q2764,"x")+1),-$E2764*N(N2764)))</f>
        <v/>
      </c>
      <c r="AC2764" s="34">
        <f>IF(OR($A2764="",$H2764&lt;&gt;"Ausgabe",O2764=""),0,IF(O2764="x",-$E2764/(COUNTIF($J2764:$Q2764,"x")+1),-$E2764*N(O2764)))</f>
        <v/>
      </c>
      <c r="AD2764" s="34">
        <f>IF(OR($A2764="",$H2764&lt;&gt;"Ausgabe",P2764=""),0,IF(P2764="x",-$E2764/(COUNTIF($J2764:$Q2764,"x")+1),-$E2764*N(P2764)))</f>
        <v/>
      </c>
      <c r="AE2764" s="34">
        <f>IF(OR($A2764="",$H2764&lt;&gt;"Ausgabe",Q2764=""),0,IF(Q2764="x",-$E2764/(COUNTIF($J2764:$Q2764,"x")+1),-$E2764*N(Q2764)))</f>
        <v/>
      </c>
    </row>
    <row r="2765">
      <c r="A2765" s="30" t="n"/>
      <c r="E2765" s="31" t="n"/>
      <c r="J2765" s="32" t="n"/>
      <c r="K2765" s="32" t="n"/>
      <c r="L2765" s="32" t="n"/>
      <c r="M2765" s="32" t="n"/>
      <c r="N2765" s="32" t="n"/>
      <c r="O2765" s="32" t="n"/>
      <c r="P2765" s="32" t="n"/>
      <c r="Q2765" s="32" t="n"/>
      <c r="U2765" s="31">
        <f>IF($A2765="","",SUM(X2765:AE2765))</f>
        <v/>
      </c>
      <c r="V2765" s="31">
        <f>IF($A2765="","",IF($H2765&lt;&gt;"Ausgabe",0,-$E2765-$U2765))</f>
        <v/>
      </c>
      <c r="W2765" s="33">
        <f>IF($A2765="","",DATE(YEAR($A2765),MONTH($A2765),1))</f>
        <v/>
      </c>
      <c r="X2765" s="34">
        <f>IF(OR($A2765="",$H2765&lt;&gt;"Ausgabe",J2765=""),0,IF(J2765="x",-$E2765/(COUNTIF($J2765:$Q2765,"x")+1),-$E2765*N(J2765)))</f>
        <v/>
      </c>
      <c r="Y2765" s="34">
        <f>IF(OR($A2765="",$H2765&lt;&gt;"Ausgabe",K2765=""),0,IF(K2765="x",-$E2765/(COUNTIF($J2765:$Q2765,"x")+1),-$E2765*N(K2765)))</f>
        <v/>
      </c>
      <c r="Z2765" s="34">
        <f>IF(OR($A2765="",$H2765&lt;&gt;"Ausgabe",L2765=""),0,IF(L2765="x",-$E2765/(COUNTIF($J2765:$Q2765,"x")+1),-$E2765*N(L2765)))</f>
        <v/>
      </c>
      <c r="AA2765" s="34">
        <f>IF(OR($A2765="",$H2765&lt;&gt;"Ausgabe",M2765=""),0,IF(M2765="x",-$E2765/(COUNTIF($J2765:$Q2765,"x")+1),-$E2765*N(M2765)))</f>
        <v/>
      </c>
      <c r="AB2765" s="34">
        <f>IF(OR($A2765="",$H2765&lt;&gt;"Ausgabe",N2765=""),0,IF(N2765="x",-$E2765/(COUNTIF($J2765:$Q2765,"x")+1),-$E2765*N(N2765)))</f>
        <v/>
      </c>
      <c r="AC2765" s="34">
        <f>IF(OR($A2765="",$H2765&lt;&gt;"Ausgabe",O2765=""),0,IF(O2765="x",-$E2765/(COUNTIF($J2765:$Q2765,"x")+1),-$E2765*N(O2765)))</f>
        <v/>
      </c>
      <c r="AD2765" s="34">
        <f>IF(OR($A2765="",$H2765&lt;&gt;"Ausgabe",P2765=""),0,IF(P2765="x",-$E2765/(COUNTIF($J2765:$Q2765,"x")+1),-$E2765*N(P2765)))</f>
        <v/>
      </c>
      <c r="AE2765" s="34">
        <f>IF(OR($A2765="",$H2765&lt;&gt;"Ausgabe",Q2765=""),0,IF(Q2765="x",-$E2765/(COUNTIF($J2765:$Q2765,"x")+1),-$E2765*N(Q2765)))</f>
        <v/>
      </c>
    </row>
    <row r="2766">
      <c r="A2766" s="30" t="n"/>
      <c r="E2766" s="31" t="n"/>
      <c r="J2766" s="32" t="n"/>
      <c r="K2766" s="32" t="n"/>
      <c r="L2766" s="32" t="n"/>
      <c r="M2766" s="32" t="n"/>
      <c r="N2766" s="32" t="n"/>
      <c r="O2766" s="32" t="n"/>
      <c r="P2766" s="32" t="n"/>
      <c r="Q2766" s="32" t="n"/>
      <c r="U2766" s="31">
        <f>IF($A2766="","",SUM(X2766:AE2766))</f>
        <v/>
      </c>
      <c r="V2766" s="31">
        <f>IF($A2766="","",IF($H2766&lt;&gt;"Ausgabe",0,-$E2766-$U2766))</f>
        <v/>
      </c>
      <c r="W2766" s="33">
        <f>IF($A2766="","",DATE(YEAR($A2766),MONTH($A2766),1))</f>
        <v/>
      </c>
      <c r="X2766" s="34">
        <f>IF(OR($A2766="",$H2766&lt;&gt;"Ausgabe",J2766=""),0,IF(J2766="x",-$E2766/(COUNTIF($J2766:$Q2766,"x")+1),-$E2766*N(J2766)))</f>
        <v/>
      </c>
      <c r="Y2766" s="34">
        <f>IF(OR($A2766="",$H2766&lt;&gt;"Ausgabe",K2766=""),0,IF(K2766="x",-$E2766/(COUNTIF($J2766:$Q2766,"x")+1),-$E2766*N(K2766)))</f>
        <v/>
      </c>
      <c r="Z2766" s="34">
        <f>IF(OR($A2766="",$H2766&lt;&gt;"Ausgabe",L2766=""),0,IF(L2766="x",-$E2766/(COUNTIF($J2766:$Q2766,"x")+1),-$E2766*N(L2766)))</f>
        <v/>
      </c>
      <c r="AA2766" s="34">
        <f>IF(OR($A2766="",$H2766&lt;&gt;"Ausgabe",M2766=""),0,IF(M2766="x",-$E2766/(COUNTIF($J2766:$Q2766,"x")+1),-$E2766*N(M2766)))</f>
        <v/>
      </c>
      <c r="AB2766" s="34">
        <f>IF(OR($A2766="",$H2766&lt;&gt;"Ausgabe",N2766=""),0,IF(N2766="x",-$E2766/(COUNTIF($J2766:$Q2766,"x")+1),-$E2766*N(N2766)))</f>
        <v/>
      </c>
      <c r="AC2766" s="34">
        <f>IF(OR($A2766="",$H2766&lt;&gt;"Ausgabe",O2766=""),0,IF(O2766="x",-$E2766/(COUNTIF($J2766:$Q2766,"x")+1),-$E2766*N(O2766)))</f>
        <v/>
      </c>
      <c r="AD2766" s="34">
        <f>IF(OR($A2766="",$H2766&lt;&gt;"Ausgabe",P2766=""),0,IF(P2766="x",-$E2766/(COUNTIF($J2766:$Q2766,"x")+1),-$E2766*N(P2766)))</f>
        <v/>
      </c>
      <c r="AE2766" s="34">
        <f>IF(OR($A2766="",$H2766&lt;&gt;"Ausgabe",Q2766=""),0,IF(Q2766="x",-$E2766/(COUNTIF($J2766:$Q2766,"x")+1),-$E2766*N(Q2766)))</f>
        <v/>
      </c>
    </row>
    <row r="2767">
      <c r="A2767" s="30" t="n"/>
      <c r="E2767" s="31" t="n"/>
      <c r="J2767" s="32" t="n"/>
      <c r="K2767" s="32" t="n"/>
      <c r="L2767" s="32" t="n"/>
      <c r="M2767" s="32" t="n"/>
      <c r="N2767" s="32" t="n"/>
      <c r="O2767" s="32" t="n"/>
      <c r="P2767" s="32" t="n"/>
      <c r="Q2767" s="32" t="n"/>
      <c r="U2767" s="31">
        <f>IF($A2767="","",SUM(X2767:AE2767))</f>
        <v/>
      </c>
      <c r="V2767" s="31">
        <f>IF($A2767="","",IF($H2767&lt;&gt;"Ausgabe",0,-$E2767-$U2767))</f>
        <v/>
      </c>
      <c r="W2767" s="33">
        <f>IF($A2767="","",DATE(YEAR($A2767),MONTH($A2767),1))</f>
        <v/>
      </c>
      <c r="X2767" s="34">
        <f>IF(OR($A2767="",$H2767&lt;&gt;"Ausgabe",J2767=""),0,IF(J2767="x",-$E2767/(COUNTIF($J2767:$Q2767,"x")+1),-$E2767*N(J2767)))</f>
        <v/>
      </c>
      <c r="Y2767" s="34">
        <f>IF(OR($A2767="",$H2767&lt;&gt;"Ausgabe",K2767=""),0,IF(K2767="x",-$E2767/(COUNTIF($J2767:$Q2767,"x")+1),-$E2767*N(K2767)))</f>
        <v/>
      </c>
      <c r="Z2767" s="34">
        <f>IF(OR($A2767="",$H2767&lt;&gt;"Ausgabe",L2767=""),0,IF(L2767="x",-$E2767/(COUNTIF($J2767:$Q2767,"x")+1),-$E2767*N(L2767)))</f>
        <v/>
      </c>
      <c r="AA2767" s="34">
        <f>IF(OR($A2767="",$H2767&lt;&gt;"Ausgabe",M2767=""),0,IF(M2767="x",-$E2767/(COUNTIF($J2767:$Q2767,"x")+1),-$E2767*N(M2767)))</f>
        <v/>
      </c>
      <c r="AB2767" s="34">
        <f>IF(OR($A2767="",$H2767&lt;&gt;"Ausgabe",N2767=""),0,IF(N2767="x",-$E2767/(COUNTIF($J2767:$Q2767,"x")+1),-$E2767*N(N2767)))</f>
        <v/>
      </c>
      <c r="AC2767" s="34">
        <f>IF(OR($A2767="",$H2767&lt;&gt;"Ausgabe",O2767=""),0,IF(O2767="x",-$E2767/(COUNTIF($J2767:$Q2767,"x")+1),-$E2767*N(O2767)))</f>
        <v/>
      </c>
      <c r="AD2767" s="34">
        <f>IF(OR($A2767="",$H2767&lt;&gt;"Ausgabe",P2767=""),0,IF(P2767="x",-$E2767/(COUNTIF($J2767:$Q2767,"x")+1),-$E2767*N(P2767)))</f>
        <v/>
      </c>
      <c r="AE2767" s="34">
        <f>IF(OR($A2767="",$H2767&lt;&gt;"Ausgabe",Q2767=""),0,IF(Q2767="x",-$E2767/(COUNTIF($J2767:$Q2767,"x")+1),-$E2767*N(Q2767)))</f>
        <v/>
      </c>
    </row>
    <row r="2768">
      <c r="A2768" s="30" t="n"/>
      <c r="E2768" s="31" t="n"/>
      <c r="J2768" s="32" t="n"/>
      <c r="K2768" s="32" t="n"/>
      <c r="L2768" s="32" t="n"/>
      <c r="M2768" s="32" t="n"/>
      <c r="N2768" s="32" t="n"/>
      <c r="O2768" s="32" t="n"/>
      <c r="P2768" s="32" t="n"/>
      <c r="Q2768" s="32" t="n"/>
      <c r="U2768" s="31">
        <f>IF($A2768="","",SUM(X2768:AE2768))</f>
        <v/>
      </c>
      <c r="V2768" s="31">
        <f>IF($A2768="","",IF($H2768&lt;&gt;"Ausgabe",0,-$E2768-$U2768))</f>
        <v/>
      </c>
      <c r="W2768" s="33">
        <f>IF($A2768="","",DATE(YEAR($A2768),MONTH($A2768),1))</f>
        <v/>
      </c>
      <c r="X2768" s="34">
        <f>IF(OR($A2768="",$H2768&lt;&gt;"Ausgabe",J2768=""),0,IF(J2768="x",-$E2768/(COUNTIF($J2768:$Q2768,"x")+1),-$E2768*N(J2768)))</f>
        <v/>
      </c>
      <c r="Y2768" s="34">
        <f>IF(OR($A2768="",$H2768&lt;&gt;"Ausgabe",K2768=""),0,IF(K2768="x",-$E2768/(COUNTIF($J2768:$Q2768,"x")+1),-$E2768*N(K2768)))</f>
        <v/>
      </c>
      <c r="Z2768" s="34">
        <f>IF(OR($A2768="",$H2768&lt;&gt;"Ausgabe",L2768=""),0,IF(L2768="x",-$E2768/(COUNTIF($J2768:$Q2768,"x")+1),-$E2768*N(L2768)))</f>
        <v/>
      </c>
      <c r="AA2768" s="34">
        <f>IF(OR($A2768="",$H2768&lt;&gt;"Ausgabe",M2768=""),0,IF(M2768="x",-$E2768/(COUNTIF($J2768:$Q2768,"x")+1),-$E2768*N(M2768)))</f>
        <v/>
      </c>
      <c r="AB2768" s="34">
        <f>IF(OR($A2768="",$H2768&lt;&gt;"Ausgabe",N2768=""),0,IF(N2768="x",-$E2768/(COUNTIF($J2768:$Q2768,"x")+1),-$E2768*N(N2768)))</f>
        <v/>
      </c>
      <c r="AC2768" s="34">
        <f>IF(OR($A2768="",$H2768&lt;&gt;"Ausgabe",O2768=""),0,IF(O2768="x",-$E2768/(COUNTIF($J2768:$Q2768,"x")+1),-$E2768*N(O2768)))</f>
        <v/>
      </c>
      <c r="AD2768" s="34">
        <f>IF(OR($A2768="",$H2768&lt;&gt;"Ausgabe",P2768=""),0,IF(P2768="x",-$E2768/(COUNTIF($J2768:$Q2768,"x")+1),-$E2768*N(P2768)))</f>
        <v/>
      </c>
      <c r="AE2768" s="34">
        <f>IF(OR($A2768="",$H2768&lt;&gt;"Ausgabe",Q2768=""),0,IF(Q2768="x",-$E2768/(COUNTIF($J2768:$Q2768,"x")+1),-$E2768*N(Q2768)))</f>
        <v/>
      </c>
    </row>
    <row r="2769">
      <c r="A2769" s="30" t="n"/>
      <c r="E2769" s="31" t="n"/>
      <c r="J2769" s="32" t="n"/>
      <c r="K2769" s="32" t="n"/>
      <c r="L2769" s="32" t="n"/>
      <c r="M2769" s="32" t="n"/>
      <c r="N2769" s="32" t="n"/>
      <c r="O2769" s="32" t="n"/>
      <c r="P2769" s="32" t="n"/>
      <c r="Q2769" s="32" t="n"/>
      <c r="U2769" s="31">
        <f>IF($A2769="","",SUM(X2769:AE2769))</f>
        <v/>
      </c>
      <c r="V2769" s="31">
        <f>IF($A2769="","",IF($H2769&lt;&gt;"Ausgabe",0,-$E2769-$U2769))</f>
        <v/>
      </c>
      <c r="W2769" s="33">
        <f>IF($A2769="","",DATE(YEAR($A2769),MONTH($A2769),1))</f>
        <v/>
      </c>
      <c r="X2769" s="34">
        <f>IF(OR($A2769="",$H2769&lt;&gt;"Ausgabe",J2769=""),0,IF(J2769="x",-$E2769/(COUNTIF($J2769:$Q2769,"x")+1),-$E2769*N(J2769)))</f>
        <v/>
      </c>
      <c r="Y2769" s="34">
        <f>IF(OR($A2769="",$H2769&lt;&gt;"Ausgabe",K2769=""),0,IF(K2769="x",-$E2769/(COUNTIF($J2769:$Q2769,"x")+1),-$E2769*N(K2769)))</f>
        <v/>
      </c>
      <c r="Z2769" s="34">
        <f>IF(OR($A2769="",$H2769&lt;&gt;"Ausgabe",L2769=""),0,IF(L2769="x",-$E2769/(COUNTIF($J2769:$Q2769,"x")+1),-$E2769*N(L2769)))</f>
        <v/>
      </c>
      <c r="AA2769" s="34">
        <f>IF(OR($A2769="",$H2769&lt;&gt;"Ausgabe",M2769=""),0,IF(M2769="x",-$E2769/(COUNTIF($J2769:$Q2769,"x")+1),-$E2769*N(M2769)))</f>
        <v/>
      </c>
      <c r="AB2769" s="34">
        <f>IF(OR($A2769="",$H2769&lt;&gt;"Ausgabe",N2769=""),0,IF(N2769="x",-$E2769/(COUNTIF($J2769:$Q2769,"x")+1),-$E2769*N(N2769)))</f>
        <v/>
      </c>
      <c r="AC2769" s="34">
        <f>IF(OR($A2769="",$H2769&lt;&gt;"Ausgabe",O2769=""),0,IF(O2769="x",-$E2769/(COUNTIF($J2769:$Q2769,"x")+1),-$E2769*N(O2769)))</f>
        <v/>
      </c>
      <c r="AD2769" s="34">
        <f>IF(OR($A2769="",$H2769&lt;&gt;"Ausgabe",P2769=""),0,IF(P2769="x",-$E2769/(COUNTIF($J2769:$Q2769,"x")+1),-$E2769*N(P2769)))</f>
        <v/>
      </c>
      <c r="AE2769" s="34">
        <f>IF(OR($A2769="",$H2769&lt;&gt;"Ausgabe",Q2769=""),0,IF(Q2769="x",-$E2769/(COUNTIF($J2769:$Q2769,"x")+1),-$E2769*N(Q2769)))</f>
        <v/>
      </c>
    </row>
    <row r="2770">
      <c r="A2770" s="30" t="n"/>
      <c r="E2770" s="31" t="n"/>
      <c r="J2770" s="32" t="n"/>
      <c r="K2770" s="32" t="n"/>
      <c r="L2770" s="32" t="n"/>
      <c r="M2770" s="32" t="n"/>
      <c r="N2770" s="32" t="n"/>
      <c r="O2770" s="32" t="n"/>
      <c r="P2770" s="32" t="n"/>
      <c r="Q2770" s="32" t="n"/>
      <c r="U2770" s="31">
        <f>IF($A2770="","",SUM(X2770:AE2770))</f>
        <v/>
      </c>
      <c r="V2770" s="31">
        <f>IF($A2770="","",IF($H2770&lt;&gt;"Ausgabe",0,-$E2770-$U2770))</f>
        <v/>
      </c>
      <c r="W2770" s="33">
        <f>IF($A2770="","",DATE(YEAR($A2770),MONTH($A2770),1))</f>
        <v/>
      </c>
      <c r="X2770" s="34">
        <f>IF(OR($A2770="",$H2770&lt;&gt;"Ausgabe",J2770=""),0,IF(J2770="x",-$E2770/(COUNTIF($J2770:$Q2770,"x")+1),-$E2770*N(J2770)))</f>
        <v/>
      </c>
      <c r="Y2770" s="34">
        <f>IF(OR($A2770="",$H2770&lt;&gt;"Ausgabe",K2770=""),0,IF(K2770="x",-$E2770/(COUNTIF($J2770:$Q2770,"x")+1),-$E2770*N(K2770)))</f>
        <v/>
      </c>
      <c r="Z2770" s="34">
        <f>IF(OR($A2770="",$H2770&lt;&gt;"Ausgabe",L2770=""),0,IF(L2770="x",-$E2770/(COUNTIF($J2770:$Q2770,"x")+1),-$E2770*N(L2770)))</f>
        <v/>
      </c>
      <c r="AA2770" s="34">
        <f>IF(OR($A2770="",$H2770&lt;&gt;"Ausgabe",M2770=""),0,IF(M2770="x",-$E2770/(COUNTIF($J2770:$Q2770,"x")+1),-$E2770*N(M2770)))</f>
        <v/>
      </c>
      <c r="AB2770" s="34">
        <f>IF(OR($A2770="",$H2770&lt;&gt;"Ausgabe",N2770=""),0,IF(N2770="x",-$E2770/(COUNTIF($J2770:$Q2770,"x")+1),-$E2770*N(N2770)))</f>
        <v/>
      </c>
      <c r="AC2770" s="34">
        <f>IF(OR($A2770="",$H2770&lt;&gt;"Ausgabe",O2770=""),0,IF(O2770="x",-$E2770/(COUNTIF($J2770:$Q2770,"x")+1),-$E2770*N(O2770)))</f>
        <v/>
      </c>
      <c r="AD2770" s="34">
        <f>IF(OR($A2770="",$H2770&lt;&gt;"Ausgabe",P2770=""),0,IF(P2770="x",-$E2770/(COUNTIF($J2770:$Q2770,"x")+1),-$E2770*N(P2770)))</f>
        <v/>
      </c>
      <c r="AE2770" s="34">
        <f>IF(OR($A2770="",$H2770&lt;&gt;"Ausgabe",Q2770=""),0,IF(Q2770="x",-$E2770/(COUNTIF($J2770:$Q2770,"x")+1),-$E2770*N(Q2770)))</f>
        <v/>
      </c>
    </row>
    <row r="2771">
      <c r="A2771" s="30" t="n"/>
      <c r="E2771" s="31" t="n"/>
      <c r="J2771" s="32" t="n"/>
      <c r="K2771" s="32" t="n"/>
      <c r="L2771" s="32" t="n"/>
      <c r="M2771" s="32" t="n"/>
      <c r="N2771" s="32" t="n"/>
      <c r="O2771" s="32" t="n"/>
      <c r="P2771" s="32" t="n"/>
      <c r="Q2771" s="32" t="n"/>
      <c r="U2771" s="31">
        <f>IF($A2771="","",SUM(X2771:AE2771))</f>
        <v/>
      </c>
      <c r="V2771" s="31">
        <f>IF($A2771="","",IF($H2771&lt;&gt;"Ausgabe",0,-$E2771-$U2771))</f>
        <v/>
      </c>
      <c r="W2771" s="33">
        <f>IF($A2771="","",DATE(YEAR($A2771),MONTH($A2771),1))</f>
        <v/>
      </c>
      <c r="X2771" s="34">
        <f>IF(OR($A2771="",$H2771&lt;&gt;"Ausgabe",J2771=""),0,IF(J2771="x",-$E2771/(COUNTIF($J2771:$Q2771,"x")+1),-$E2771*N(J2771)))</f>
        <v/>
      </c>
      <c r="Y2771" s="34">
        <f>IF(OR($A2771="",$H2771&lt;&gt;"Ausgabe",K2771=""),0,IF(K2771="x",-$E2771/(COUNTIF($J2771:$Q2771,"x")+1),-$E2771*N(K2771)))</f>
        <v/>
      </c>
      <c r="Z2771" s="34">
        <f>IF(OR($A2771="",$H2771&lt;&gt;"Ausgabe",L2771=""),0,IF(L2771="x",-$E2771/(COUNTIF($J2771:$Q2771,"x")+1),-$E2771*N(L2771)))</f>
        <v/>
      </c>
      <c r="AA2771" s="34">
        <f>IF(OR($A2771="",$H2771&lt;&gt;"Ausgabe",M2771=""),0,IF(M2771="x",-$E2771/(COUNTIF($J2771:$Q2771,"x")+1),-$E2771*N(M2771)))</f>
        <v/>
      </c>
      <c r="AB2771" s="34">
        <f>IF(OR($A2771="",$H2771&lt;&gt;"Ausgabe",N2771=""),0,IF(N2771="x",-$E2771/(COUNTIF($J2771:$Q2771,"x")+1),-$E2771*N(N2771)))</f>
        <v/>
      </c>
      <c r="AC2771" s="34">
        <f>IF(OR($A2771="",$H2771&lt;&gt;"Ausgabe",O2771=""),0,IF(O2771="x",-$E2771/(COUNTIF($J2771:$Q2771,"x")+1),-$E2771*N(O2771)))</f>
        <v/>
      </c>
      <c r="AD2771" s="34">
        <f>IF(OR($A2771="",$H2771&lt;&gt;"Ausgabe",P2771=""),0,IF(P2771="x",-$E2771/(COUNTIF($J2771:$Q2771,"x")+1),-$E2771*N(P2771)))</f>
        <v/>
      </c>
      <c r="AE2771" s="34">
        <f>IF(OR($A2771="",$H2771&lt;&gt;"Ausgabe",Q2771=""),0,IF(Q2771="x",-$E2771/(COUNTIF($J2771:$Q2771,"x")+1),-$E2771*N(Q2771)))</f>
        <v/>
      </c>
    </row>
    <row r="2772">
      <c r="A2772" s="30" t="n"/>
      <c r="E2772" s="31" t="n"/>
      <c r="J2772" s="32" t="n"/>
      <c r="K2772" s="32" t="n"/>
      <c r="L2772" s="32" t="n"/>
      <c r="M2772" s="32" t="n"/>
      <c r="N2772" s="32" t="n"/>
      <c r="O2772" s="32" t="n"/>
      <c r="P2772" s="32" t="n"/>
      <c r="Q2772" s="32" t="n"/>
      <c r="U2772" s="31">
        <f>IF($A2772="","",SUM(X2772:AE2772))</f>
        <v/>
      </c>
      <c r="V2772" s="31">
        <f>IF($A2772="","",IF($H2772&lt;&gt;"Ausgabe",0,-$E2772-$U2772))</f>
        <v/>
      </c>
      <c r="W2772" s="33">
        <f>IF($A2772="","",DATE(YEAR($A2772),MONTH($A2772),1))</f>
        <v/>
      </c>
      <c r="X2772" s="34">
        <f>IF(OR($A2772="",$H2772&lt;&gt;"Ausgabe",J2772=""),0,IF(J2772="x",-$E2772/(COUNTIF($J2772:$Q2772,"x")+1),-$E2772*N(J2772)))</f>
        <v/>
      </c>
      <c r="Y2772" s="34">
        <f>IF(OR($A2772="",$H2772&lt;&gt;"Ausgabe",K2772=""),0,IF(K2772="x",-$E2772/(COUNTIF($J2772:$Q2772,"x")+1),-$E2772*N(K2772)))</f>
        <v/>
      </c>
      <c r="Z2772" s="34">
        <f>IF(OR($A2772="",$H2772&lt;&gt;"Ausgabe",L2772=""),0,IF(L2772="x",-$E2772/(COUNTIF($J2772:$Q2772,"x")+1),-$E2772*N(L2772)))</f>
        <v/>
      </c>
      <c r="AA2772" s="34">
        <f>IF(OR($A2772="",$H2772&lt;&gt;"Ausgabe",M2772=""),0,IF(M2772="x",-$E2772/(COUNTIF($J2772:$Q2772,"x")+1),-$E2772*N(M2772)))</f>
        <v/>
      </c>
      <c r="AB2772" s="34">
        <f>IF(OR($A2772="",$H2772&lt;&gt;"Ausgabe",N2772=""),0,IF(N2772="x",-$E2772/(COUNTIF($J2772:$Q2772,"x")+1),-$E2772*N(N2772)))</f>
        <v/>
      </c>
      <c r="AC2772" s="34">
        <f>IF(OR($A2772="",$H2772&lt;&gt;"Ausgabe",O2772=""),0,IF(O2772="x",-$E2772/(COUNTIF($J2772:$Q2772,"x")+1),-$E2772*N(O2772)))</f>
        <v/>
      </c>
      <c r="AD2772" s="34">
        <f>IF(OR($A2772="",$H2772&lt;&gt;"Ausgabe",P2772=""),0,IF(P2772="x",-$E2772/(COUNTIF($J2772:$Q2772,"x")+1),-$E2772*N(P2772)))</f>
        <v/>
      </c>
      <c r="AE2772" s="34">
        <f>IF(OR($A2772="",$H2772&lt;&gt;"Ausgabe",Q2772=""),0,IF(Q2772="x",-$E2772/(COUNTIF($J2772:$Q2772,"x")+1),-$E2772*N(Q2772)))</f>
        <v/>
      </c>
    </row>
    <row r="2773">
      <c r="A2773" s="30" t="n"/>
      <c r="E2773" s="31" t="n"/>
      <c r="J2773" s="32" t="n"/>
      <c r="K2773" s="32" t="n"/>
      <c r="L2773" s="32" t="n"/>
      <c r="M2773" s="32" t="n"/>
      <c r="N2773" s="32" t="n"/>
      <c r="O2773" s="32" t="n"/>
      <c r="P2773" s="32" t="n"/>
      <c r="Q2773" s="32" t="n"/>
      <c r="U2773" s="31">
        <f>IF($A2773="","",SUM(X2773:AE2773))</f>
        <v/>
      </c>
      <c r="V2773" s="31">
        <f>IF($A2773="","",IF($H2773&lt;&gt;"Ausgabe",0,-$E2773-$U2773))</f>
        <v/>
      </c>
      <c r="W2773" s="33">
        <f>IF($A2773="","",DATE(YEAR($A2773),MONTH($A2773),1))</f>
        <v/>
      </c>
      <c r="X2773" s="34">
        <f>IF(OR($A2773="",$H2773&lt;&gt;"Ausgabe",J2773=""),0,IF(J2773="x",-$E2773/(COUNTIF($J2773:$Q2773,"x")+1),-$E2773*N(J2773)))</f>
        <v/>
      </c>
      <c r="Y2773" s="34">
        <f>IF(OR($A2773="",$H2773&lt;&gt;"Ausgabe",K2773=""),0,IF(K2773="x",-$E2773/(COUNTIF($J2773:$Q2773,"x")+1),-$E2773*N(K2773)))</f>
        <v/>
      </c>
      <c r="Z2773" s="34">
        <f>IF(OR($A2773="",$H2773&lt;&gt;"Ausgabe",L2773=""),0,IF(L2773="x",-$E2773/(COUNTIF($J2773:$Q2773,"x")+1),-$E2773*N(L2773)))</f>
        <v/>
      </c>
      <c r="AA2773" s="34">
        <f>IF(OR($A2773="",$H2773&lt;&gt;"Ausgabe",M2773=""),0,IF(M2773="x",-$E2773/(COUNTIF($J2773:$Q2773,"x")+1),-$E2773*N(M2773)))</f>
        <v/>
      </c>
      <c r="AB2773" s="34">
        <f>IF(OR($A2773="",$H2773&lt;&gt;"Ausgabe",N2773=""),0,IF(N2773="x",-$E2773/(COUNTIF($J2773:$Q2773,"x")+1),-$E2773*N(N2773)))</f>
        <v/>
      </c>
      <c r="AC2773" s="34">
        <f>IF(OR($A2773="",$H2773&lt;&gt;"Ausgabe",O2773=""),0,IF(O2773="x",-$E2773/(COUNTIF($J2773:$Q2773,"x")+1),-$E2773*N(O2773)))</f>
        <v/>
      </c>
      <c r="AD2773" s="34">
        <f>IF(OR($A2773="",$H2773&lt;&gt;"Ausgabe",P2773=""),0,IF(P2773="x",-$E2773/(COUNTIF($J2773:$Q2773,"x")+1),-$E2773*N(P2773)))</f>
        <v/>
      </c>
      <c r="AE2773" s="34">
        <f>IF(OR($A2773="",$H2773&lt;&gt;"Ausgabe",Q2773=""),0,IF(Q2773="x",-$E2773/(COUNTIF($J2773:$Q2773,"x")+1),-$E2773*N(Q2773)))</f>
        <v/>
      </c>
    </row>
    <row r="2774">
      <c r="A2774" s="30" t="n"/>
      <c r="E2774" s="31" t="n"/>
      <c r="J2774" s="32" t="n"/>
      <c r="K2774" s="32" t="n"/>
      <c r="L2774" s="32" t="n"/>
      <c r="M2774" s="32" t="n"/>
      <c r="N2774" s="32" t="n"/>
      <c r="O2774" s="32" t="n"/>
      <c r="P2774" s="32" t="n"/>
      <c r="Q2774" s="32" t="n"/>
      <c r="U2774" s="31">
        <f>IF($A2774="","",SUM(X2774:AE2774))</f>
        <v/>
      </c>
      <c r="V2774" s="31">
        <f>IF($A2774="","",IF($H2774&lt;&gt;"Ausgabe",0,-$E2774-$U2774))</f>
        <v/>
      </c>
      <c r="W2774" s="33">
        <f>IF($A2774="","",DATE(YEAR($A2774),MONTH($A2774),1))</f>
        <v/>
      </c>
      <c r="X2774" s="34">
        <f>IF(OR($A2774="",$H2774&lt;&gt;"Ausgabe",J2774=""),0,IF(J2774="x",-$E2774/(COUNTIF($J2774:$Q2774,"x")+1),-$E2774*N(J2774)))</f>
        <v/>
      </c>
      <c r="Y2774" s="34">
        <f>IF(OR($A2774="",$H2774&lt;&gt;"Ausgabe",K2774=""),0,IF(K2774="x",-$E2774/(COUNTIF($J2774:$Q2774,"x")+1),-$E2774*N(K2774)))</f>
        <v/>
      </c>
      <c r="Z2774" s="34">
        <f>IF(OR($A2774="",$H2774&lt;&gt;"Ausgabe",L2774=""),0,IF(L2774="x",-$E2774/(COUNTIF($J2774:$Q2774,"x")+1),-$E2774*N(L2774)))</f>
        <v/>
      </c>
      <c r="AA2774" s="34">
        <f>IF(OR($A2774="",$H2774&lt;&gt;"Ausgabe",M2774=""),0,IF(M2774="x",-$E2774/(COUNTIF($J2774:$Q2774,"x")+1),-$E2774*N(M2774)))</f>
        <v/>
      </c>
      <c r="AB2774" s="34">
        <f>IF(OR($A2774="",$H2774&lt;&gt;"Ausgabe",N2774=""),0,IF(N2774="x",-$E2774/(COUNTIF($J2774:$Q2774,"x")+1),-$E2774*N(N2774)))</f>
        <v/>
      </c>
      <c r="AC2774" s="34">
        <f>IF(OR($A2774="",$H2774&lt;&gt;"Ausgabe",O2774=""),0,IF(O2774="x",-$E2774/(COUNTIF($J2774:$Q2774,"x")+1),-$E2774*N(O2774)))</f>
        <v/>
      </c>
      <c r="AD2774" s="34">
        <f>IF(OR($A2774="",$H2774&lt;&gt;"Ausgabe",P2774=""),0,IF(P2774="x",-$E2774/(COUNTIF($J2774:$Q2774,"x")+1),-$E2774*N(P2774)))</f>
        <v/>
      </c>
      <c r="AE2774" s="34">
        <f>IF(OR($A2774="",$H2774&lt;&gt;"Ausgabe",Q2774=""),0,IF(Q2774="x",-$E2774/(COUNTIF($J2774:$Q2774,"x")+1),-$E2774*N(Q2774)))</f>
        <v/>
      </c>
    </row>
    <row r="2775">
      <c r="A2775" s="30" t="n"/>
      <c r="E2775" s="31" t="n"/>
      <c r="J2775" s="32" t="n"/>
      <c r="K2775" s="32" t="n"/>
      <c r="L2775" s="32" t="n"/>
      <c r="M2775" s="32" t="n"/>
      <c r="N2775" s="32" t="n"/>
      <c r="O2775" s="32" t="n"/>
      <c r="P2775" s="32" t="n"/>
      <c r="Q2775" s="32" t="n"/>
      <c r="U2775" s="31">
        <f>IF($A2775="","",SUM(X2775:AE2775))</f>
        <v/>
      </c>
      <c r="V2775" s="31">
        <f>IF($A2775="","",IF($H2775&lt;&gt;"Ausgabe",0,-$E2775-$U2775))</f>
        <v/>
      </c>
      <c r="W2775" s="33">
        <f>IF($A2775="","",DATE(YEAR($A2775),MONTH($A2775),1))</f>
        <v/>
      </c>
      <c r="X2775" s="34">
        <f>IF(OR($A2775="",$H2775&lt;&gt;"Ausgabe",J2775=""),0,IF(J2775="x",-$E2775/(COUNTIF($J2775:$Q2775,"x")+1),-$E2775*N(J2775)))</f>
        <v/>
      </c>
      <c r="Y2775" s="34">
        <f>IF(OR($A2775="",$H2775&lt;&gt;"Ausgabe",K2775=""),0,IF(K2775="x",-$E2775/(COUNTIF($J2775:$Q2775,"x")+1),-$E2775*N(K2775)))</f>
        <v/>
      </c>
      <c r="Z2775" s="34">
        <f>IF(OR($A2775="",$H2775&lt;&gt;"Ausgabe",L2775=""),0,IF(L2775="x",-$E2775/(COUNTIF($J2775:$Q2775,"x")+1),-$E2775*N(L2775)))</f>
        <v/>
      </c>
      <c r="AA2775" s="34">
        <f>IF(OR($A2775="",$H2775&lt;&gt;"Ausgabe",M2775=""),0,IF(M2775="x",-$E2775/(COUNTIF($J2775:$Q2775,"x")+1),-$E2775*N(M2775)))</f>
        <v/>
      </c>
      <c r="AB2775" s="34">
        <f>IF(OR($A2775="",$H2775&lt;&gt;"Ausgabe",N2775=""),0,IF(N2775="x",-$E2775/(COUNTIF($J2775:$Q2775,"x")+1),-$E2775*N(N2775)))</f>
        <v/>
      </c>
      <c r="AC2775" s="34">
        <f>IF(OR($A2775="",$H2775&lt;&gt;"Ausgabe",O2775=""),0,IF(O2775="x",-$E2775/(COUNTIF($J2775:$Q2775,"x")+1),-$E2775*N(O2775)))</f>
        <v/>
      </c>
      <c r="AD2775" s="34">
        <f>IF(OR($A2775="",$H2775&lt;&gt;"Ausgabe",P2775=""),0,IF(P2775="x",-$E2775/(COUNTIF($J2775:$Q2775,"x")+1),-$E2775*N(P2775)))</f>
        <v/>
      </c>
      <c r="AE2775" s="34">
        <f>IF(OR($A2775="",$H2775&lt;&gt;"Ausgabe",Q2775=""),0,IF(Q2775="x",-$E2775/(COUNTIF($J2775:$Q2775,"x")+1),-$E2775*N(Q2775)))</f>
        <v/>
      </c>
    </row>
    <row r="2776">
      <c r="A2776" s="30" t="n"/>
      <c r="E2776" s="31" t="n"/>
      <c r="J2776" s="32" t="n"/>
      <c r="K2776" s="32" t="n"/>
      <c r="L2776" s="32" t="n"/>
      <c r="M2776" s="32" t="n"/>
      <c r="N2776" s="32" t="n"/>
      <c r="O2776" s="32" t="n"/>
      <c r="P2776" s="32" t="n"/>
      <c r="Q2776" s="32" t="n"/>
      <c r="U2776" s="31">
        <f>IF($A2776="","",SUM(X2776:AE2776))</f>
        <v/>
      </c>
      <c r="V2776" s="31">
        <f>IF($A2776="","",IF($H2776&lt;&gt;"Ausgabe",0,-$E2776-$U2776))</f>
        <v/>
      </c>
      <c r="W2776" s="33">
        <f>IF($A2776="","",DATE(YEAR($A2776),MONTH($A2776),1))</f>
        <v/>
      </c>
      <c r="X2776" s="34">
        <f>IF(OR($A2776="",$H2776&lt;&gt;"Ausgabe",J2776=""),0,IF(J2776="x",-$E2776/(COUNTIF($J2776:$Q2776,"x")+1),-$E2776*N(J2776)))</f>
        <v/>
      </c>
      <c r="Y2776" s="34">
        <f>IF(OR($A2776="",$H2776&lt;&gt;"Ausgabe",K2776=""),0,IF(K2776="x",-$E2776/(COUNTIF($J2776:$Q2776,"x")+1),-$E2776*N(K2776)))</f>
        <v/>
      </c>
      <c r="Z2776" s="34">
        <f>IF(OR($A2776="",$H2776&lt;&gt;"Ausgabe",L2776=""),0,IF(L2776="x",-$E2776/(COUNTIF($J2776:$Q2776,"x")+1),-$E2776*N(L2776)))</f>
        <v/>
      </c>
      <c r="AA2776" s="34">
        <f>IF(OR($A2776="",$H2776&lt;&gt;"Ausgabe",M2776=""),0,IF(M2776="x",-$E2776/(COUNTIF($J2776:$Q2776,"x")+1),-$E2776*N(M2776)))</f>
        <v/>
      </c>
      <c r="AB2776" s="34">
        <f>IF(OR($A2776="",$H2776&lt;&gt;"Ausgabe",N2776=""),0,IF(N2776="x",-$E2776/(COUNTIF($J2776:$Q2776,"x")+1),-$E2776*N(N2776)))</f>
        <v/>
      </c>
      <c r="AC2776" s="34">
        <f>IF(OR($A2776="",$H2776&lt;&gt;"Ausgabe",O2776=""),0,IF(O2776="x",-$E2776/(COUNTIF($J2776:$Q2776,"x")+1),-$E2776*N(O2776)))</f>
        <v/>
      </c>
      <c r="AD2776" s="34">
        <f>IF(OR($A2776="",$H2776&lt;&gt;"Ausgabe",P2776=""),0,IF(P2776="x",-$E2776/(COUNTIF($J2776:$Q2776,"x")+1),-$E2776*N(P2776)))</f>
        <v/>
      </c>
      <c r="AE2776" s="34">
        <f>IF(OR($A2776="",$H2776&lt;&gt;"Ausgabe",Q2776=""),0,IF(Q2776="x",-$E2776/(COUNTIF($J2776:$Q2776,"x")+1),-$E2776*N(Q2776)))</f>
        <v/>
      </c>
    </row>
    <row r="2777">
      <c r="A2777" s="30" t="n"/>
      <c r="E2777" s="31" t="n"/>
      <c r="J2777" s="32" t="n"/>
      <c r="K2777" s="32" t="n"/>
      <c r="L2777" s="32" t="n"/>
      <c r="M2777" s="32" t="n"/>
      <c r="N2777" s="32" t="n"/>
      <c r="O2777" s="32" t="n"/>
      <c r="P2777" s="32" t="n"/>
      <c r="Q2777" s="32" t="n"/>
      <c r="U2777" s="31">
        <f>IF($A2777="","",SUM(X2777:AE2777))</f>
        <v/>
      </c>
      <c r="V2777" s="31">
        <f>IF($A2777="","",IF($H2777&lt;&gt;"Ausgabe",0,-$E2777-$U2777))</f>
        <v/>
      </c>
      <c r="W2777" s="33">
        <f>IF($A2777="","",DATE(YEAR($A2777),MONTH($A2777),1))</f>
        <v/>
      </c>
      <c r="X2777" s="34">
        <f>IF(OR($A2777="",$H2777&lt;&gt;"Ausgabe",J2777=""),0,IF(J2777="x",-$E2777/(COUNTIF($J2777:$Q2777,"x")+1),-$E2777*N(J2777)))</f>
        <v/>
      </c>
      <c r="Y2777" s="34">
        <f>IF(OR($A2777="",$H2777&lt;&gt;"Ausgabe",K2777=""),0,IF(K2777="x",-$E2777/(COUNTIF($J2777:$Q2777,"x")+1),-$E2777*N(K2777)))</f>
        <v/>
      </c>
      <c r="Z2777" s="34">
        <f>IF(OR($A2777="",$H2777&lt;&gt;"Ausgabe",L2777=""),0,IF(L2777="x",-$E2777/(COUNTIF($J2777:$Q2777,"x")+1),-$E2777*N(L2777)))</f>
        <v/>
      </c>
      <c r="AA2777" s="34">
        <f>IF(OR($A2777="",$H2777&lt;&gt;"Ausgabe",M2777=""),0,IF(M2777="x",-$E2777/(COUNTIF($J2777:$Q2777,"x")+1),-$E2777*N(M2777)))</f>
        <v/>
      </c>
      <c r="AB2777" s="34">
        <f>IF(OR($A2777="",$H2777&lt;&gt;"Ausgabe",N2777=""),0,IF(N2777="x",-$E2777/(COUNTIF($J2777:$Q2777,"x")+1),-$E2777*N(N2777)))</f>
        <v/>
      </c>
      <c r="AC2777" s="34">
        <f>IF(OR($A2777="",$H2777&lt;&gt;"Ausgabe",O2777=""),0,IF(O2777="x",-$E2777/(COUNTIF($J2777:$Q2777,"x")+1),-$E2777*N(O2777)))</f>
        <v/>
      </c>
      <c r="AD2777" s="34">
        <f>IF(OR($A2777="",$H2777&lt;&gt;"Ausgabe",P2777=""),0,IF(P2777="x",-$E2777/(COUNTIF($J2777:$Q2777,"x")+1),-$E2777*N(P2777)))</f>
        <v/>
      </c>
      <c r="AE2777" s="34">
        <f>IF(OR($A2777="",$H2777&lt;&gt;"Ausgabe",Q2777=""),0,IF(Q2777="x",-$E2777/(COUNTIF($J2777:$Q2777,"x")+1),-$E2777*N(Q2777)))</f>
        <v/>
      </c>
    </row>
    <row r="2778">
      <c r="A2778" s="30" t="n"/>
      <c r="E2778" s="31" t="n"/>
      <c r="J2778" s="32" t="n"/>
      <c r="K2778" s="32" t="n"/>
      <c r="L2778" s="32" t="n"/>
      <c r="M2778" s="32" t="n"/>
      <c r="N2778" s="32" t="n"/>
      <c r="O2778" s="32" t="n"/>
      <c r="P2778" s="32" t="n"/>
      <c r="Q2778" s="32" t="n"/>
      <c r="U2778" s="31">
        <f>IF($A2778="","",SUM(X2778:AE2778))</f>
        <v/>
      </c>
      <c r="V2778" s="31">
        <f>IF($A2778="","",IF($H2778&lt;&gt;"Ausgabe",0,-$E2778-$U2778))</f>
        <v/>
      </c>
      <c r="W2778" s="33">
        <f>IF($A2778="","",DATE(YEAR($A2778),MONTH($A2778),1))</f>
        <v/>
      </c>
      <c r="X2778" s="34">
        <f>IF(OR($A2778="",$H2778&lt;&gt;"Ausgabe",J2778=""),0,IF(J2778="x",-$E2778/(COUNTIF($J2778:$Q2778,"x")+1),-$E2778*N(J2778)))</f>
        <v/>
      </c>
      <c r="Y2778" s="34">
        <f>IF(OR($A2778="",$H2778&lt;&gt;"Ausgabe",K2778=""),0,IF(K2778="x",-$E2778/(COUNTIF($J2778:$Q2778,"x")+1),-$E2778*N(K2778)))</f>
        <v/>
      </c>
      <c r="Z2778" s="34">
        <f>IF(OR($A2778="",$H2778&lt;&gt;"Ausgabe",L2778=""),0,IF(L2778="x",-$E2778/(COUNTIF($J2778:$Q2778,"x")+1),-$E2778*N(L2778)))</f>
        <v/>
      </c>
      <c r="AA2778" s="34">
        <f>IF(OR($A2778="",$H2778&lt;&gt;"Ausgabe",M2778=""),0,IF(M2778="x",-$E2778/(COUNTIF($J2778:$Q2778,"x")+1),-$E2778*N(M2778)))</f>
        <v/>
      </c>
      <c r="AB2778" s="34">
        <f>IF(OR($A2778="",$H2778&lt;&gt;"Ausgabe",N2778=""),0,IF(N2778="x",-$E2778/(COUNTIF($J2778:$Q2778,"x")+1),-$E2778*N(N2778)))</f>
        <v/>
      </c>
      <c r="AC2778" s="34">
        <f>IF(OR($A2778="",$H2778&lt;&gt;"Ausgabe",O2778=""),0,IF(O2778="x",-$E2778/(COUNTIF($J2778:$Q2778,"x")+1),-$E2778*N(O2778)))</f>
        <v/>
      </c>
      <c r="AD2778" s="34">
        <f>IF(OR($A2778="",$H2778&lt;&gt;"Ausgabe",P2778=""),0,IF(P2778="x",-$E2778/(COUNTIF($J2778:$Q2778,"x")+1),-$E2778*N(P2778)))</f>
        <v/>
      </c>
      <c r="AE2778" s="34">
        <f>IF(OR($A2778="",$H2778&lt;&gt;"Ausgabe",Q2778=""),0,IF(Q2778="x",-$E2778/(COUNTIF($J2778:$Q2778,"x")+1),-$E2778*N(Q2778)))</f>
        <v/>
      </c>
    </row>
    <row r="2779">
      <c r="A2779" s="30" t="n"/>
      <c r="E2779" s="31" t="n"/>
      <c r="J2779" s="32" t="n"/>
      <c r="K2779" s="32" t="n"/>
      <c r="L2779" s="32" t="n"/>
      <c r="M2779" s="32" t="n"/>
      <c r="N2779" s="32" t="n"/>
      <c r="O2779" s="32" t="n"/>
      <c r="P2779" s="32" t="n"/>
      <c r="Q2779" s="32" t="n"/>
      <c r="U2779" s="31">
        <f>IF($A2779="","",SUM(X2779:AE2779))</f>
        <v/>
      </c>
      <c r="V2779" s="31">
        <f>IF($A2779="","",IF($H2779&lt;&gt;"Ausgabe",0,-$E2779-$U2779))</f>
        <v/>
      </c>
      <c r="W2779" s="33">
        <f>IF($A2779="","",DATE(YEAR($A2779),MONTH($A2779),1))</f>
        <v/>
      </c>
      <c r="X2779" s="34">
        <f>IF(OR($A2779="",$H2779&lt;&gt;"Ausgabe",J2779=""),0,IF(J2779="x",-$E2779/(COUNTIF($J2779:$Q2779,"x")+1),-$E2779*N(J2779)))</f>
        <v/>
      </c>
      <c r="Y2779" s="34">
        <f>IF(OR($A2779="",$H2779&lt;&gt;"Ausgabe",K2779=""),0,IF(K2779="x",-$E2779/(COUNTIF($J2779:$Q2779,"x")+1),-$E2779*N(K2779)))</f>
        <v/>
      </c>
      <c r="Z2779" s="34">
        <f>IF(OR($A2779="",$H2779&lt;&gt;"Ausgabe",L2779=""),0,IF(L2779="x",-$E2779/(COUNTIF($J2779:$Q2779,"x")+1),-$E2779*N(L2779)))</f>
        <v/>
      </c>
      <c r="AA2779" s="34">
        <f>IF(OR($A2779="",$H2779&lt;&gt;"Ausgabe",M2779=""),0,IF(M2779="x",-$E2779/(COUNTIF($J2779:$Q2779,"x")+1),-$E2779*N(M2779)))</f>
        <v/>
      </c>
      <c r="AB2779" s="34">
        <f>IF(OR($A2779="",$H2779&lt;&gt;"Ausgabe",N2779=""),0,IF(N2779="x",-$E2779/(COUNTIF($J2779:$Q2779,"x")+1),-$E2779*N(N2779)))</f>
        <v/>
      </c>
      <c r="AC2779" s="34">
        <f>IF(OR($A2779="",$H2779&lt;&gt;"Ausgabe",O2779=""),0,IF(O2779="x",-$E2779/(COUNTIF($J2779:$Q2779,"x")+1),-$E2779*N(O2779)))</f>
        <v/>
      </c>
      <c r="AD2779" s="34">
        <f>IF(OR($A2779="",$H2779&lt;&gt;"Ausgabe",P2779=""),0,IF(P2779="x",-$E2779/(COUNTIF($J2779:$Q2779,"x")+1),-$E2779*N(P2779)))</f>
        <v/>
      </c>
      <c r="AE2779" s="34">
        <f>IF(OR($A2779="",$H2779&lt;&gt;"Ausgabe",Q2779=""),0,IF(Q2779="x",-$E2779/(COUNTIF($J2779:$Q2779,"x")+1),-$E2779*N(Q2779)))</f>
        <v/>
      </c>
    </row>
    <row r="2780">
      <c r="A2780" s="30" t="n"/>
      <c r="E2780" s="31" t="n"/>
      <c r="J2780" s="32" t="n"/>
      <c r="K2780" s="32" t="n"/>
      <c r="L2780" s="32" t="n"/>
      <c r="M2780" s="32" t="n"/>
      <c r="N2780" s="32" t="n"/>
      <c r="O2780" s="32" t="n"/>
      <c r="P2780" s="32" t="n"/>
      <c r="Q2780" s="32" t="n"/>
      <c r="U2780" s="31">
        <f>IF($A2780="","",SUM(X2780:AE2780))</f>
        <v/>
      </c>
      <c r="V2780" s="31">
        <f>IF($A2780="","",IF($H2780&lt;&gt;"Ausgabe",0,-$E2780-$U2780))</f>
        <v/>
      </c>
      <c r="W2780" s="33">
        <f>IF($A2780="","",DATE(YEAR($A2780),MONTH($A2780),1))</f>
        <v/>
      </c>
      <c r="X2780" s="34">
        <f>IF(OR($A2780="",$H2780&lt;&gt;"Ausgabe",J2780=""),0,IF(J2780="x",-$E2780/(COUNTIF($J2780:$Q2780,"x")+1),-$E2780*N(J2780)))</f>
        <v/>
      </c>
      <c r="Y2780" s="34">
        <f>IF(OR($A2780="",$H2780&lt;&gt;"Ausgabe",K2780=""),0,IF(K2780="x",-$E2780/(COUNTIF($J2780:$Q2780,"x")+1),-$E2780*N(K2780)))</f>
        <v/>
      </c>
      <c r="Z2780" s="34">
        <f>IF(OR($A2780="",$H2780&lt;&gt;"Ausgabe",L2780=""),0,IF(L2780="x",-$E2780/(COUNTIF($J2780:$Q2780,"x")+1),-$E2780*N(L2780)))</f>
        <v/>
      </c>
      <c r="AA2780" s="34">
        <f>IF(OR($A2780="",$H2780&lt;&gt;"Ausgabe",M2780=""),0,IF(M2780="x",-$E2780/(COUNTIF($J2780:$Q2780,"x")+1),-$E2780*N(M2780)))</f>
        <v/>
      </c>
      <c r="AB2780" s="34">
        <f>IF(OR($A2780="",$H2780&lt;&gt;"Ausgabe",N2780=""),0,IF(N2780="x",-$E2780/(COUNTIF($J2780:$Q2780,"x")+1),-$E2780*N(N2780)))</f>
        <v/>
      </c>
      <c r="AC2780" s="34">
        <f>IF(OR($A2780="",$H2780&lt;&gt;"Ausgabe",O2780=""),0,IF(O2780="x",-$E2780/(COUNTIF($J2780:$Q2780,"x")+1),-$E2780*N(O2780)))</f>
        <v/>
      </c>
      <c r="AD2780" s="34">
        <f>IF(OR($A2780="",$H2780&lt;&gt;"Ausgabe",P2780=""),0,IF(P2780="x",-$E2780/(COUNTIF($J2780:$Q2780,"x")+1),-$E2780*N(P2780)))</f>
        <v/>
      </c>
      <c r="AE2780" s="34">
        <f>IF(OR($A2780="",$H2780&lt;&gt;"Ausgabe",Q2780=""),0,IF(Q2780="x",-$E2780/(COUNTIF($J2780:$Q2780,"x")+1),-$E2780*N(Q2780)))</f>
        <v/>
      </c>
    </row>
    <row r="2781">
      <c r="A2781" s="30" t="n"/>
      <c r="E2781" s="31" t="n"/>
      <c r="J2781" s="32" t="n"/>
      <c r="K2781" s="32" t="n"/>
      <c r="L2781" s="32" t="n"/>
      <c r="M2781" s="32" t="n"/>
      <c r="N2781" s="32" t="n"/>
      <c r="O2781" s="32" t="n"/>
      <c r="P2781" s="32" t="n"/>
      <c r="Q2781" s="32" t="n"/>
      <c r="U2781" s="31">
        <f>IF($A2781="","",SUM(X2781:AE2781))</f>
        <v/>
      </c>
      <c r="V2781" s="31">
        <f>IF($A2781="","",IF($H2781&lt;&gt;"Ausgabe",0,-$E2781-$U2781))</f>
        <v/>
      </c>
      <c r="W2781" s="33">
        <f>IF($A2781="","",DATE(YEAR($A2781),MONTH($A2781),1))</f>
        <v/>
      </c>
      <c r="X2781" s="34">
        <f>IF(OR($A2781="",$H2781&lt;&gt;"Ausgabe",J2781=""),0,IF(J2781="x",-$E2781/(COUNTIF($J2781:$Q2781,"x")+1),-$E2781*N(J2781)))</f>
        <v/>
      </c>
      <c r="Y2781" s="34">
        <f>IF(OR($A2781="",$H2781&lt;&gt;"Ausgabe",K2781=""),0,IF(K2781="x",-$E2781/(COUNTIF($J2781:$Q2781,"x")+1),-$E2781*N(K2781)))</f>
        <v/>
      </c>
      <c r="Z2781" s="34">
        <f>IF(OR($A2781="",$H2781&lt;&gt;"Ausgabe",L2781=""),0,IF(L2781="x",-$E2781/(COUNTIF($J2781:$Q2781,"x")+1),-$E2781*N(L2781)))</f>
        <v/>
      </c>
      <c r="AA2781" s="34">
        <f>IF(OR($A2781="",$H2781&lt;&gt;"Ausgabe",M2781=""),0,IF(M2781="x",-$E2781/(COUNTIF($J2781:$Q2781,"x")+1),-$E2781*N(M2781)))</f>
        <v/>
      </c>
      <c r="AB2781" s="34">
        <f>IF(OR($A2781="",$H2781&lt;&gt;"Ausgabe",N2781=""),0,IF(N2781="x",-$E2781/(COUNTIF($J2781:$Q2781,"x")+1),-$E2781*N(N2781)))</f>
        <v/>
      </c>
      <c r="AC2781" s="34">
        <f>IF(OR($A2781="",$H2781&lt;&gt;"Ausgabe",O2781=""),0,IF(O2781="x",-$E2781/(COUNTIF($J2781:$Q2781,"x")+1),-$E2781*N(O2781)))</f>
        <v/>
      </c>
      <c r="AD2781" s="34">
        <f>IF(OR($A2781="",$H2781&lt;&gt;"Ausgabe",P2781=""),0,IF(P2781="x",-$E2781/(COUNTIF($J2781:$Q2781,"x")+1),-$E2781*N(P2781)))</f>
        <v/>
      </c>
      <c r="AE2781" s="34">
        <f>IF(OR($A2781="",$H2781&lt;&gt;"Ausgabe",Q2781=""),0,IF(Q2781="x",-$E2781/(COUNTIF($J2781:$Q2781,"x")+1),-$E2781*N(Q2781)))</f>
        <v/>
      </c>
    </row>
    <row r="2782">
      <c r="A2782" s="30" t="n"/>
      <c r="E2782" s="31" t="n"/>
      <c r="J2782" s="32" t="n"/>
      <c r="K2782" s="32" t="n"/>
      <c r="L2782" s="32" t="n"/>
      <c r="M2782" s="32" t="n"/>
      <c r="N2782" s="32" t="n"/>
      <c r="O2782" s="32" t="n"/>
      <c r="P2782" s="32" t="n"/>
      <c r="Q2782" s="32" t="n"/>
      <c r="U2782" s="31">
        <f>IF($A2782="","",SUM(X2782:AE2782))</f>
        <v/>
      </c>
      <c r="V2782" s="31">
        <f>IF($A2782="","",IF($H2782&lt;&gt;"Ausgabe",0,-$E2782-$U2782))</f>
        <v/>
      </c>
      <c r="W2782" s="33">
        <f>IF($A2782="","",DATE(YEAR($A2782),MONTH($A2782),1))</f>
        <v/>
      </c>
      <c r="X2782" s="34">
        <f>IF(OR($A2782="",$H2782&lt;&gt;"Ausgabe",J2782=""),0,IF(J2782="x",-$E2782/(COUNTIF($J2782:$Q2782,"x")+1),-$E2782*N(J2782)))</f>
        <v/>
      </c>
      <c r="Y2782" s="34">
        <f>IF(OR($A2782="",$H2782&lt;&gt;"Ausgabe",K2782=""),0,IF(K2782="x",-$E2782/(COUNTIF($J2782:$Q2782,"x")+1),-$E2782*N(K2782)))</f>
        <v/>
      </c>
      <c r="Z2782" s="34">
        <f>IF(OR($A2782="",$H2782&lt;&gt;"Ausgabe",L2782=""),0,IF(L2782="x",-$E2782/(COUNTIF($J2782:$Q2782,"x")+1),-$E2782*N(L2782)))</f>
        <v/>
      </c>
      <c r="AA2782" s="34">
        <f>IF(OR($A2782="",$H2782&lt;&gt;"Ausgabe",M2782=""),0,IF(M2782="x",-$E2782/(COUNTIF($J2782:$Q2782,"x")+1),-$E2782*N(M2782)))</f>
        <v/>
      </c>
      <c r="AB2782" s="34">
        <f>IF(OR($A2782="",$H2782&lt;&gt;"Ausgabe",N2782=""),0,IF(N2782="x",-$E2782/(COUNTIF($J2782:$Q2782,"x")+1),-$E2782*N(N2782)))</f>
        <v/>
      </c>
      <c r="AC2782" s="34">
        <f>IF(OR($A2782="",$H2782&lt;&gt;"Ausgabe",O2782=""),0,IF(O2782="x",-$E2782/(COUNTIF($J2782:$Q2782,"x")+1),-$E2782*N(O2782)))</f>
        <v/>
      </c>
      <c r="AD2782" s="34">
        <f>IF(OR($A2782="",$H2782&lt;&gt;"Ausgabe",P2782=""),0,IF(P2782="x",-$E2782/(COUNTIF($J2782:$Q2782,"x")+1),-$E2782*N(P2782)))</f>
        <v/>
      </c>
      <c r="AE2782" s="34">
        <f>IF(OR($A2782="",$H2782&lt;&gt;"Ausgabe",Q2782=""),0,IF(Q2782="x",-$E2782/(COUNTIF($J2782:$Q2782,"x")+1),-$E2782*N(Q2782)))</f>
        <v/>
      </c>
    </row>
    <row r="2783">
      <c r="A2783" s="30" t="n"/>
      <c r="E2783" s="31" t="n"/>
      <c r="J2783" s="32" t="n"/>
      <c r="K2783" s="32" t="n"/>
      <c r="L2783" s="32" t="n"/>
      <c r="M2783" s="32" t="n"/>
      <c r="N2783" s="32" t="n"/>
      <c r="O2783" s="32" t="n"/>
      <c r="P2783" s="32" t="n"/>
      <c r="Q2783" s="32" t="n"/>
      <c r="U2783" s="31">
        <f>IF($A2783="","",SUM(X2783:AE2783))</f>
        <v/>
      </c>
      <c r="V2783" s="31">
        <f>IF($A2783="","",IF($H2783&lt;&gt;"Ausgabe",0,-$E2783-$U2783))</f>
        <v/>
      </c>
      <c r="W2783" s="33">
        <f>IF($A2783="","",DATE(YEAR($A2783),MONTH($A2783),1))</f>
        <v/>
      </c>
      <c r="X2783" s="34">
        <f>IF(OR($A2783="",$H2783&lt;&gt;"Ausgabe",J2783=""),0,IF(J2783="x",-$E2783/(COUNTIF($J2783:$Q2783,"x")+1),-$E2783*N(J2783)))</f>
        <v/>
      </c>
      <c r="Y2783" s="34">
        <f>IF(OR($A2783="",$H2783&lt;&gt;"Ausgabe",K2783=""),0,IF(K2783="x",-$E2783/(COUNTIF($J2783:$Q2783,"x")+1),-$E2783*N(K2783)))</f>
        <v/>
      </c>
      <c r="Z2783" s="34">
        <f>IF(OR($A2783="",$H2783&lt;&gt;"Ausgabe",L2783=""),0,IF(L2783="x",-$E2783/(COUNTIF($J2783:$Q2783,"x")+1),-$E2783*N(L2783)))</f>
        <v/>
      </c>
      <c r="AA2783" s="34">
        <f>IF(OR($A2783="",$H2783&lt;&gt;"Ausgabe",M2783=""),0,IF(M2783="x",-$E2783/(COUNTIF($J2783:$Q2783,"x")+1),-$E2783*N(M2783)))</f>
        <v/>
      </c>
      <c r="AB2783" s="34">
        <f>IF(OR($A2783="",$H2783&lt;&gt;"Ausgabe",N2783=""),0,IF(N2783="x",-$E2783/(COUNTIF($J2783:$Q2783,"x")+1),-$E2783*N(N2783)))</f>
        <v/>
      </c>
      <c r="AC2783" s="34">
        <f>IF(OR($A2783="",$H2783&lt;&gt;"Ausgabe",O2783=""),0,IF(O2783="x",-$E2783/(COUNTIF($J2783:$Q2783,"x")+1),-$E2783*N(O2783)))</f>
        <v/>
      </c>
      <c r="AD2783" s="34">
        <f>IF(OR($A2783="",$H2783&lt;&gt;"Ausgabe",P2783=""),0,IF(P2783="x",-$E2783/(COUNTIF($J2783:$Q2783,"x")+1),-$E2783*N(P2783)))</f>
        <v/>
      </c>
      <c r="AE2783" s="34">
        <f>IF(OR($A2783="",$H2783&lt;&gt;"Ausgabe",Q2783=""),0,IF(Q2783="x",-$E2783/(COUNTIF($J2783:$Q2783,"x")+1),-$E2783*N(Q2783)))</f>
        <v/>
      </c>
    </row>
    <row r="2784">
      <c r="A2784" s="30" t="n"/>
      <c r="E2784" s="31" t="n"/>
      <c r="J2784" s="32" t="n"/>
      <c r="K2784" s="32" t="n"/>
      <c r="L2784" s="32" t="n"/>
      <c r="M2784" s="32" t="n"/>
      <c r="N2784" s="32" t="n"/>
      <c r="O2784" s="32" t="n"/>
      <c r="P2784" s="32" t="n"/>
      <c r="Q2784" s="32" t="n"/>
      <c r="U2784" s="31">
        <f>IF($A2784="","",SUM(X2784:AE2784))</f>
        <v/>
      </c>
      <c r="V2784" s="31">
        <f>IF($A2784="","",IF($H2784&lt;&gt;"Ausgabe",0,-$E2784-$U2784))</f>
        <v/>
      </c>
      <c r="W2784" s="33">
        <f>IF($A2784="","",DATE(YEAR($A2784),MONTH($A2784),1))</f>
        <v/>
      </c>
      <c r="X2784" s="34">
        <f>IF(OR($A2784="",$H2784&lt;&gt;"Ausgabe",J2784=""),0,IF(J2784="x",-$E2784/(COUNTIF($J2784:$Q2784,"x")+1),-$E2784*N(J2784)))</f>
        <v/>
      </c>
      <c r="Y2784" s="34">
        <f>IF(OR($A2784="",$H2784&lt;&gt;"Ausgabe",K2784=""),0,IF(K2784="x",-$E2784/(COUNTIF($J2784:$Q2784,"x")+1),-$E2784*N(K2784)))</f>
        <v/>
      </c>
      <c r="Z2784" s="34">
        <f>IF(OR($A2784="",$H2784&lt;&gt;"Ausgabe",L2784=""),0,IF(L2784="x",-$E2784/(COUNTIF($J2784:$Q2784,"x")+1),-$E2784*N(L2784)))</f>
        <v/>
      </c>
      <c r="AA2784" s="34">
        <f>IF(OR($A2784="",$H2784&lt;&gt;"Ausgabe",M2784=""),0,IF(M2784="x",-$E2784/(COUNTIF($J2784:$Q2784,"x")+1),-$E2784*N(M2784)))</f>
        <v/>
      </c>
      <c r="AB2784" s="34">
        <f>IF(OR($A2784="",$H2784&lt;&gt;"Ausgabe",N2784=""),0,IF(N2784="x",-$E2784/(COUNTIF($J2784:$Q2784,"x")+1),-$E2784*N(N2784)))</f>
        <v/>
      </c>
      <c r="AC2784" s="34">
        <f>IF(OR($A2784="",$H2784&lt;&gt;"Ausgabe",O2784=""),0,IF(O2784="x",-$E2784/(COUNTIF($J2784:$Q2784,"x")+1),-$E2784*N(O2784)))</f>
        <v/>
      </c>
      <c r="AD2784" s="34">
        <f>IF(OR($A2784="",$H2784&lt;&gt;"Ausgabe",P2784=""),0,IF(P2784="x",-$E2784/(COUNTIF($J2784:$Q2784,"x")+1),-$E2784*N(P2784)))</f>
        <v/>
      </c>
      <c r="AE2784" s="34">
        <f>IF(OR($A2784="",$H2784&lt;&gt;"Ausgabe",Q2784=""),0,IF(Q2784="x",-$E2784/(COUNTIF($J2784:$Q2784,"x")+1),-$E2784*N(Q2784)))</f>
        <v/>
      </c>
    </row>
    <row r="2785">
      <c r="A2785" s="30" t="n"/>
      <c r="E2785" s="31" t="n"/>
      <c r="J2785" s="32" t="n"/>
      <c r="K2785" s="32" t="n"/>
      <c r="L2785" s="32" t="n"/>
      <c r="M2785" s="32" t="n"/>
      <c r="N2785" s="32" t="n"/>
      <c r="O2785" s="32" t="n"/>
      <c r="P2785" s="32" t="n"/>
      <c r="Q2785" s="32" t="n"/>
      <c r="U2785" s="31">
        <f>IF($A2785="","",SUM(X2785:AE2785))</f>
        <v/>
      </c>
      <c r="V2785" s="31">
        <f>IF($A2785="","",IF($H2785&lt;&gt;"Ausgabe",0,-$E2785-$U2785))</f>
        <v/>
      </c>
      <c r="W2785" s="33">
        <f>IF($A2785="","",DATE(YEAR($A2785),MONTH($A2785),1))</f>
        <v/>
      </c>
      <c r="X2785" s="34">
        <f>IF(OR($A2785="",$H2785&lt;&gt;"Ausgabe",J2785=""),0,IF(J2785="x",-$E2785/(COUNTIF($J2785:$Q2785,"x")+1),-$E2785*N(J2785)))</f>
        <v/>
      </c>
      <c r="Y2785" s="34">
        <f>IF(OR($A2785="",$H2785&lt;&gt;"Ausgabe",K2785=""),0,IF(K2785="x",-$E2785/(COUNTIF($J2785:$Q2785,"x")+1),-$E2785*N(K2785)))</f>
        <v/>
      </c>
      <c r="Z2785" s="34">
        <f>IF(OR($A2785="",$H2785&lt;&gt;"Ausgabe",L2785=""),0,IF(L2785="x",-$E2785/(COUNTIF($J2785:$Q2785,"x")+1),-$E2785*N(L2785)))</f>
        <v/>
      </c>
      <c r="AA2785" s="34">
        <f>IF(OR($A2785="",$H2785&lt;&gt;"Ausgabe",M2785=""),0,IF(M2785="x",-$E2785/(COUNTIF($J2785:$Q2785,"x")+1),-$E2785*N(M2785)))</f>
        <v/>
      </c>
      <c r="AB2785" s="34">
        <f>IF(OR($A2785="",$H2785&lt;&gt;"Ausgabe",N2785=""),0,IF(N2785="x",-$E2785/(COUNTIF($J2785:$Q2785,"x")+1),-$E2785*N(N2785)))</f>
        <v/>
      </c>
      <c r="AC2785" s="34">
        <f>IF(OR($A2785="",$H2785&lt;&gt;"Ausgabe",O2785=""),0,IF(O2785="x",-$E2785/(COUNTIF($J2785:$Q2785,"x")+1),-$E2785*N(O2785)))</f>
        <v/>
      </c>
      <c r="AD2785" s="34">
        <f>IF(OR($A2785="",$H2785&lt;&gt;"Ausgabe",P2785=""),0,IF(P2785="x",-$E2785/(COUNTIF($J2785:$Q2785,"x")+1),-$E2785*N(P2785)))</f>
        <v/>
      </c>
      <c r="AE2785" s="34">
        <f>IF(OR($A2785="",$H2785&lt;&gt;"Ausgabe",Q2785=""),0,IF(Q2785="x",-$E2785/(COUNTIF($J2785:$Q2785,"x")+1),-$E2785*N(Q2785)))</f>
        <v/>
      </c>
    </row>
    <row r="2786">
      <c r="A2786" s="30" t="n"/>
      <c r="E2786" s="31" t="n"/>
      <c r="J2786" s="32" t="n"/>
      <c r="K2786" s="32" t="n"/>
      <c r="L2786" s="32" t="n"/>
      <c r="M2786" s="32" t="n"/>
      <c r="N2786" s="32" t="n"/>
      <c r="O2786" s="32" t="n"/>
      <c r="P2786" s="32" t="n"/>
      <c r="Q2786" s="32" t="n"/>
      <c r="U2786" s="31">
        <f>IF($A2786="","",SUM(X2786:AE2786))</f>
        <v/>
      </c>
      <c r="V2786" s="31">
        <f>IF($A2786="","",IF($H2786&lt;&gt;"Ausgabe",0,-$E2786-$U2786))</f>
        <v/>
      </c>
      <c r="W2786" s="33">
        <f>IF($A2786="","",DATE(YEAR($A2786),MONTH($A2786),1))</f>
        <v/>
      </c>
      <c r="X2786" s="34">
        <f>IF(OR($A2786="",$H2786&lt;&gt;"Ausgabe",J2786=""),0,IF(J2786="x",-$E2786/(COUNTIF($J2786:$Q2786,"x")+1),-$E2786*N(J2786)))</f>
        <v/>
      </c>
      <c r="Y2786" s="34">
        <f>IF(OR($A2786="",$H2786&lt;&gt;"Ausgabe",K2786=""),0,IF(K2786="x",-$E2786/(COUNTIF($J2786:$Q2786,"x")+1),-$E2786*N(K2786)))</f>
        <v/>
      </c>
      <c r="Z2786" s="34">
        <f>IF(OR($A2786="",$H2786&lt;&gt;"Ausgabe",L2786=""),0,IF(L2786="x",-$E2786/(COUNTIF($J2786:$Q2786,"x")+1),-$E2786*N(L2786)))</f>
        <v/>
      </c>
      <c r="AA2786" s="34">
        <f>IF(OR($A2786="",$H2786&lt;&gt;"Ausgabe",M2786=""),0,IF(M2786="x",-$E2786/(COUNTIF($J2786:$Q2786,"x")+1),-$E2786*N(M2786)))</f>
        <v/>
      </c>
      <c r="AB2786" s="34">
        <f>IF(OR($A2786="",$H2786&lt;&gt;"Ausgabe",N2786=""),0,IF(N2786="x",-$E2786/(COUNTIF($J2786:$Q2786,"x")+1),-$E2786*N(N2786)))</f>
        <v/>
      </c>
      <c r="AC2786" s="34">
        <f>IF(OR($A2786="",$H2786&lt;&gt;"Ausgabe",O2786=""),0,IF(O2786="x",-$E2786/(COUNTIF($J2786:$Q2786,"x")+1),-$E2786*N(O2786)))</f>
        <v/>
      </c>
      <c r="AD2786" s="34">
        <f>IF(OR($A2786="",$H2786&lt;&gt;"Ausgabe",P2786=""),0,IF(P2786="x",-$E2786/(COUNTIF($J2786:$Q2786,"x")+1),-$E2786*N(P2786)))</f>
        <v/>
      </c>
      <c r="AE2786" s="34">
        <f>IF(OR($A2786="",$H2786&lt;&gt;"Ausgabe",Q2786=""),0,IF(Q2786="x",-$E2786/(COUNTIF($J2786:$Q2786,"x")+1),-$E2786*N(Q2786)))</f>
        <v/>
      </c>
    </row>
    <row r="2787">
      <c r="A2787" s="30" t="n"/>
      <c r="E2787" s="31" t="n"/>
      <c r="J2787" s="32" t="n"/>
      <c r="K2787" s="32" t="n"/>
      <c r="L2787" s="32" t="n"/>
      <c r="M2787" s="32" t="n"/>
      <c r="N2787" s="32" t="n"/>
      <c r="O2787" s="32" t="n"/>
      <c r="P2787" s="32" t="n"/>
      <c r="Q2787" s="32" t="n"/>
      <c r="U2787" s="31">
        <f>IF($A2787="","",SUM(X2787:AE2787))</f>
        <v/>
      </c>
      <c r="V2787" s="31">
        <f>IF($A2787="","",IF($H2787&lt;&gt;"Ausgabe",0,-$E2787-$U2787))</f>
        <v/>
      </c>
      <c r="W2787" s="33">
        <f>IF($A2787="","",DATE(YEAR($A2787),MONTH($A2787),1))</f>
        <v/>
      </c>
      <c r="X2787" s="34">
        <f>IF(OR($A2787="",$H2787&lt;&gt;"Ausgabe",J2787=""),0,IF(J2787="x",-$E2787/(COUNTIF($J2787:$Q2787,"x")+1),-$E2787*N(J2787)))</f>
        <v/>
      </c>
      <c r="Y2787" s="34">
        <f>IF(OR($A2787="",$H2787&lt;&gt;"Ausgabe",K2787=""),0,IF(K2787="x",-$E2787/(COUNTIF($J2787:$Q2787,"x")+1),-$E2787*N(K2787)))</f>
        <v/>
      </c>
      <c r="Z2787" s="34">
        <f>IF(OR($A2787="",$H2787&lt;&gt;"Ausgabe",L2787=""),0,IF(L2787="x",-$E2787/(COUNTIF($J2787:$Q2787,"x")+1),-$E2787*N(L2787)))</f>
        <v/>
      </c>
      <c r="AA2787" s="34">
        <f>IF(OR($A2787="",$H2787&lt;&gt;"Ausgabe",M2787=""),0,IF(M2787="x",-$E2787/(COUNTIF($J2787:$Q2787,"x")+1),-$E2787*N(M2787)))</f>
        <v/>
      </c>
      <c r="AB2787" s="34">
        <f>IF(OR($A2787="",$H2787&lt;&gt;"Ausgabe",N2787=""),0,IF(N2787="x",-$E2787/(COUNTIF($J2787:$Q2787,"x")+1),-$E2787*N(N2787)))</f>
        <v/>
      </c>
      <c r="AC2787" s="34">
        <f>IF(OR($A2787="",$H2787&lt;&gt;"Ausgabe",O2787=""),0,IF(O2787="x",-$E2787/(COUNTIF($J2787:$Q2787,"x")+1),-$E2787*N(O2787)))</f>
        <v/>
      </c>
      <c r="AD2787" s="34">
        <f>IF(OR($A2787="",$H2787&lt;&gt;"Ausgabe",P2787=""),0,IF(P2787="x",-$E2787/(COUNTIF($J2787:$Q2787,"x")+1),-$E2787*N(P2787)))</f>
        <v/>
      </c>
      <c r="AE2787" s="34">
        <f>IF(OR($A2787="",$H2787&lt;&gt;"Ausgabe",Q2787=""),0,IF(Q2787="x",-$E2787/(COUNTIF($J2787:$Q2787,"x")+1),-$E2787*N(Q2787)))</f>
        <v/>
      </c>
    </row>
    <row r="2788">
      <c r="A2788" s="30" t="n"/>
      <c r="E2788" s="31" t="n"/>
      <c r="J2788" s="32" t="n"/>
      <c r="K2788" s="32" t="n"/>
      <c r="L2788" s="32" t="n"/>
      <c r="M2788" s="32" t="n"/>
      <c r="N2788" s="32" t="n"/>
      <c r="O2788" s="32" t="n"/>
      <c r="P2788" s="32" t="n"/>
      <c r="Q2788" s="32" t="n"/>
      <c r="U2788" s="31">
        <f>IF($A2788="","",SUM(X2788:AE2788))</f>
        <v/>
      </c>
      <c r="V2788" s="31">
        <f>IF($A2788="","",IF($H2788&lt;&gt;"Ausgabe",0,-$E2788-$U2788))</f>
        <v/>
      </c>
      <c r="W2788" s="33">
        <f>IF($A2788="","",DATE(YEAR($A2788),MONTH($A2788),1))</f>
        <v/>
      </c>
      <c r="X2788" s="34">
        <f>IF(OR($A2788="",$H2788&lt;&gt;"Ausgabe",J2788=""),0,IF(J2788="x",-$E2788/(COUNTIF($J2788:$Q2788,"x")+1),-$E2788*N(J2788)))</f>
        <v/>
      </c>
      <c r="Y2788" s="34">
        <f>IF(OR($A2788="",$H2788&lt;&gt;"Ausgabe",K2788=""),0,IF(K2788="x",-$E2788/(COUNTIF($J2788:$Q2788,"x")+1),-$E2788*N(K2788)))</f>
        <v/>
      </c>
      <c r="Z2788" s="34">
        <f>IF(OR($A2788="",$H2788&lt;&gt;"Ausgabe",L2788=""),0,IF(L2788="x",-$E2788/(COUNTIF($J2788:$Q2788,"x")+1),-$E2788*N(L2788)))</f>
        <v/>
      </c>
      <c r="AA2788" s="34">
        <f>IF(OR($A2788="",$H2788&lt;&gt;"Ausgabe",M2788=""),0,IF(M2788="x",-$E2788/(COUNTIF($J2788:$Q2788,"x")+1),-$E2788*N(M2788)))</f>
        <v/>
      </c>
      <c r="AB2788" s="34">
        <f>IF(OR($A2788="",$H2788&lt;&gt;"Ausgabe",N2788=""),0,IF(N2788="x",-$E2788/(COUNTIF($J2788:$Q2788,"x")+1),-$E2788*N(N2788)))</f>
        <v/>
      </c>
      <c r="AC2788" s="34">
        <f>IF(OR($A2788="",$H2788&lt;&gt;"Ausgabe",O2788=""),0,IF(O2788="x",-$E2788/(COUNTIF($J2788:$Q2788,"x")+1),-$E2788*N(O2788)))</f>
        <v/>
      </c>
      <c r="AD2788" s="34">
        <f>IF(OR($A2788="",$H2788&lt;&gt;"Ausgabe",P2788=""),0,IF(P2788="x",-$E2788/(COUNTIF($J2788:$Q2788,"x")+1),-$E2788*N(P2788)))</f>
        <v/>
      </c>
      <c r="AE2788" s="34">
        <f>IF(OR($A2788="",$H2788&lt;&gt;"Ausgabe",Q2788=""),0,IF(Q2788="x",-$E2788/(COUNTIF($J2788:$Q2788,"x")+1),-$E2788*N(Q2788)))</f>
        <v/>
      </c>
    </row>
    <row r="2789">
      <c r="A2789" s="30" t="n"/>
      <c r="E2789" s="31" t="n"/>
      <c r="J2789" s="32" t="n"/>
      <c r="K2789" s="32" t="n"/>
      <c r="L2789" s="32" t="n"/>
      <c r="M2789" s="32" t="n"/>
      <c r="N2789" s="32" t="n"/>
      <c r="O2789" s="32" t="n"/>
      <c r="P2789" s="32" t="n"/>
      <c r="Q2789" s="32" t="n"/>
      <c r="U2789" s="31">
        <f>IF($A2789="","",SUM(X2789:AE2789))</f>
        <v/>
      </c>
      <c r="V2789" s="31">
        <f>IF($A2789="","",IF($H2789&lt;&gt;"Ausgabe",0,-$E2789-$U2789))</f>
        <v/>
      </c>
      <c r="W2789" s="33">
        <f>IF($A2789="","",DATE(YEAR($A2789),MONTH($A2789),1))</f>
        <v/>
      </c>
      <c r="X2789" s="34">
        <f>IF(OR($A2789="",$H2789&lt;&gt;"Ausgabe",J2789=""),0,IF(J2789="x",-$E2789/(COUNTIF($J2789:$Q2789,"x")+1),-$E2789*N(J2789)))</f>
        <v/>
      </c>
      <c r="Y2789" s="34">
        <f>IF(OR($A2789="",$H2789&lt;&gt;"Ausgabe",K2789=""),0,IF(K2789="x",-$E2789/(COUNTIF($J2789:$Q2789,"x")+1),-$E2789*N(K2789)))</f>
        <v/>
      </c>
      <c r="Z2789" s="34">
        <f>IF(OR($A2789="",$H2789&lt;&gt;"Ausgabe",L2789=""),0,IF(L2789="x",-$E2789/(COUNTIF($J2789:$Q2789,"x")+1),-$E2789*N(L2789)))</f>
        <v/>
      </c>
      <c r="AA2789" s="34">
        <f>IF(OR($A2789="",$H2789&lt;&gt;"Ausgabe",M2789=""),0,IF(M2789="x",-$E2789/(COUNTIF($J2789:$Q2789,"x")+1),-$E2789*N(M2789)))</f>
        <v/>
      </c>
      <c r="AB2789" s="34">
        <f>IF(OR($A2789="",$H2789&lt;&gt;"Ausgabe",N2789=""),0,IF(N2789="x",-$E2789/(COUNTIF($J2789:$Q2789,"x")+1),-$E2789*N(N2789)))</f>
        <v/>
      </c>
      <c r="AC2789" s="34">
        <f>IF(OR($A2789="",$H2789&lt;&gt;"Ausgabe",O2789=""),0,IF(O2789="x",-$E2789/(COUNTIF($J2789:$Q2789,"x")+1),-$E2789*N(O2789)))</f>
        <v/>
      </c>
      <c r="AD2789" s="34">
        <f>IF(OR($A2789="",$H2789&lt;&gt;"Ausgabe",P2789=""),0,IF(P2789="x",-$E2789/(COUNTIF($J2789:$Q2789,"x")+1),-$E2789*N(P2789)))</f>
        <v/>
      </c>
      <c r="AE2789" s="34">
        <f>IF(OR($A2789="",$H2789&lt;&gt;"Ausgabe",Q2789=""),0,IF(Q2789="x",-$E2789/(COUNTIF($J2789:$Q2789,"x")+1),-$E2789*N(Q2789)))</f>
        <v/>
      </c>
    </row>
    <row r="2790">
      <c r="A2790" s="30" t="n"/>
      <c r="E2790" s="31" t="n"/>
      <c r="J2790" s="32" t="n"/>
      <c r="K2790" s="32" t="n"/>
      <c r="L2790" s="32" t="n"/>
      <c r="M2790" s="32" t="n"/>
      <c r="N2790" s="32" t="n"/>
      <c r="O2790" s="32" t="n"/>
      <c r="P2790" s="32" t="n"/>
      <c r="Q2790" s="32" t="n"/>
      <c r="U2790" s="31">
        <f>IF($A2790="","",SUM(X2790:AE2790))</f>
        <v/>
      </c>
      <c r="V2790" s="31">
        <f>IF($A2790="","",IF($H2790&lt;&gt;"Ausgabe",0,-$E2790-$U2790))</f>
        <v/>
      </c>
      <c r="W2790" s="33">
        <f>IF($A2790="","",DATE(YEAR($A2790),MONTH($A2790),1))</f>
        <v/>
      </c>
      <c r="X2790" s="34">
        <f>IF(OR($A2790="",$H2790&lt;&gt;"Ausgabe",J2790=""),0,IF(J2790="x",-$E2790/(COUNTIF($J2790:$Q2790,"x")+1),-$E2790*N(J2790)))</f>
        <v/>
      </c>
      <c r="Y2790" s="34">
        <f>IF(OR($A2790="",$H2790&lt;&gt;"Ausgabe",K2790=""),0,IF(K2790="x",-$E2790/(COUNTIF($J2790:$Q2790,"x")+1),-$E2790*N(K2790)))</f>
        <v/>
      </c>
      <c r="Z2790" s="34">
        <f>IF(OR($A2790="",$H2790&lt;&gt;"Ausgabe",L2790=""),0,IF(L2790="x",-$E2790/(COUNTIF($J2790:$Q2790,"x")+1),-$E2790*N(L2790)))</f>
        <v/>
      </c>
      <c r="AA2790" s="34">
        <f>IF(OR($A2790="",$H2790&lt;&gt;"Ausgabe",M2790=""),0,IF(M2790="x",-$E2790/(COUNTIF($J2790:$Q2790,"x")+1),-$E2790*N(M2790)))</f>
        <v/>
      </c>
      <c r="AB2790" s="34">
        <f>IF(OR($A2790="",$H2790&lt;&gt;"Ausgabe",N2790=""),0,IF(N2790="x",-$E2790/(COUNTIF($J2790:$Q2790,"x")+1),-$E2790*N(N2790)))</f>
        <v/>
      </c>
      <c r="AC2790" s="34">
        <f>IF(OR($A2790="",$H2790&lt;&gt;"Ausgabe",O2790=""),0,IF(O2790="x",-$E2790/(COUNTIF($J2790:$Q2790,"x")+1),-$E2790*N(O2790)))</f>
        <v/>
      </c>
      <c r="AD2790" s="34">
        <f>IF(OR($A2790="",$H2790&lt;&gt;"Ausgabe",P2790=""),0,IF(P2790="x",-$E2790/(COUNTIF($J2790:$Q2790,"x")+1),-$E2790*N(P2790)))</f>
        <v/>
      </c>
      <c r="AE2790" s="34">
        <f>IF(OR($A2790="",$H2790&lt;&gt;"Ausgabe",Q2790=""),0,IF(Q2790="x",-$E2790/(COUNTIF($J2790:$Q2790,"x")+1),-$E2790*N(Q2790)))</f>
        <v/>
      </c>
    </row>
    <row r="2791">
      <c r="A2791" s="30" t="n"/>
      <c r="E2791" s="31" t="n"/>
      <c r="J2791" s="32" t="n"/>
      <c r="K2791" s="32" t="n"/>
      <c r="L2791" s="32" t="n"/>
      <c r="M2791" s="32" t="n"/>
      <c r="N2791" s="32" t="n"/>
      <c r="O2791" s="32" t="n"/>
      <c r="P2791" s="32" t="n"/>
      <c r="Q2791" s="32" t="n"/>
      <c r="U2791" s="31">
        <f>IF($A2791="","",SUM(X2791:AE2791))</f>
        <v/>
      </c>
      <c r="V2791" s="31">
        <f>IF($A2791="","",IF($H2791&lt;&gt;"Ausgabe",0,-$E2791-$U2791))</f>
        <v/>
      </c>
      <c r="W2791" s="33">
        <f>IF($A2791="","",DATE(YEAR($A2791),MONTH($A2791),1))</f>
        <v/>
      </c>
      <c r="X2791" s="34">
        <f>IF(OR($A2791="",$H2791&lt;&gt;"Ausgabe",J2791=""),0,IF(J2791="x",-$E2791/(COUNTIF($J2791:$Q2791,"x")+1),-$E2791*N(J2791)))</f>
        <v/>
      </c>
      <c r="Y2791" s="34">
        <f>IF(OR($A2791="",$H2791&lt;&gt;"Ausgabe",K2791=""),0,IF(K2791="x",-$E2791/(COUNTIF($J2791:$Q2791,"x")+1),-$E2791*N(K2791)))</f>
        <v/>
      </c>
      <c r="Z2791" s="34">
        <f>IF(OR($A2791="",$H2791&lt;&gt;"Ausgabe",L2791=""),0,IF(L2791="x",-$E2791/(COUNTIF($J2791:$Q2791,"x")+1),-$E2791*N(L2791)))</f>
        <v/>
      </c>
      <c r="AA2791" s="34">
        <f>IF(OR($A2791="",$H2791&lt;&gt;"Ausgabe",M2791=""),0,IF(M2791="x",-$E2791/(COUNTIF($J2791:$Q2791,"x")+1),-$E2791*N(M2791)))</f>
        <v/>
      </c>
      <c r="AB2791" s="34">
        <f>IF(OR($A2791="",$H2791&lt;&gt;"Ausgabe",N2791=""),0,IF(N2791="x",-$E2791/(COUNTIF($J2791:$Q2791,"x")+1),-$E2791*N(N2791)))</f>
        <v/>
      </c>
      <c r="AC2791" s="34">
        <f>IF(OR($A2791="",$H2791&lt;&gt;"Ausgabe",O2791=""),0,IF(O2791="x",-$E2791/(COUNTIF($J2791:$Q2791,"x")+1),-$E2791*N(O2791)))</f>
        <v/>
      </c>
      <c r="AD2791" s="34">
        <f>IF(OR($A2791="",$H2791&lt;&gt;"Ausgabe",P2791=""),0,IF(P2791="x",-$E2791/(COUNTIF($J2791:$Q2791,"x")+1),-$E2791*N(P2791)))</f>
        <v/>
      </c>
      <c r="AE2791" s="34">
        <f>IF(OR($A2791="",$H2791&lt;&gt;"Ausgabe",Q2791=""),0,IF(Q2791="x",-$E2791/(COUNTIF($J2791:$Q2791,"x")+1),-$E2791*N(Q2791)))</f>
        <v/>
      </c>
    </row>
    <row r="2792">
      <c r="A2792" s="30" t="n"/>
      <c r="E2792" s="31" t="n"/>
      <c r="J2792" s="32" t="n"/>
      <c r="K2792" s="32" t="n"/>
      <c r="L2792" s="32" t="n"/>
      <c r="M2792" s="32" t="n"/>
      <c r="N2792" s="32" t="n"/>
      <c r="O2792" s="32" t="n"/>
      <c r="P2792" s="32" t="n"/>
      <c r="Q2792" s="32" t="n"/>
      <c r="U2792" s="31">
        <f>IF($A2792="","",SUM(X2792:AE2792))</f>
        <v/>
      </c>
      <c r="V2792" s="31">
        <f>IF($A2792="","",IF($H2792&lt;&gt;"Ausgabe",0,-$E2792-$U2792))</f>
        <v/>
      </c>
      <c r="W2792" s="33">
        <f>IF($A2792="","",DATE(YEAR($A2792),MONTH($A2792),1))</f>
        <v/>
      </c>
      <c r="X2792" s="34">
        <f>IF(OR($A2792="",$H2792&lt;&gt;"Ausgabe",J2792=""),0,IF(J2792="x",-$E2792/(COUNTIF($J2792:$Q2792,"x")+1),-$E2792*N(J2792)))</f>
        <v/>
      </c>
      <c r="Y2792" s="34">
        <f>IF(OR($A2792="",$H2792&lt;&gt;"Ausgabe",K2792=""),0,IF(K2792="x",-$E2792/(COUNTIF($J2792:$Q2792,"x")+1),-$E2792*N(K2792)))</f>
        <v/>
      </c>
      <c r="Z2792" s="34">
        <f>IF(OR($A2792="",$H2792&lt;&gt;"Ausgabe",L2792=""),0,IF(L2792="x",-$E2792/(COUNTIF($J2792:$Q2792,"x")+1),-$E2792*N(L2792)))</f>
        <v/>
      </c>
      <c r="AA2792" s="34">
        <f>IF(OR($A2792="",$H2792&lt;&gt;"Ausgabe",M2792=""),0,IF(M2792="x",-$E2792/(COUNTIF($J2792:$Q2792,"x")+1),-$E2792*N(M2792)))</f>
        <v/>
      </c>
      <c r="AB2792" s="34">
        <f>IF(OR($A2792="",$H2792&lt;&gt;"Ausgabe",N2792=""),0,IF(N2792="x",-$E2792/(COUNTIF($J2792:$Q2792,"x")+1),-$E2792*N(N2792)))</f>
        <v/>
      </c>
      <c r="AC2792" s="34">
        <f>IF(OR($A2792="",$H2792&lt;&gt;"Ausgabe",O2792=""),0,IF(O2792="x",-$E2792/(COUNTIF($J2792:$Q2792,"x")+1),-$E2792*N(O2792)))</f>
        <v/>
      </c>
      <c r="AD2792" s="34">
        <f>IF(OR($A2792="",$H2792&lt;&gt;"Ausgabe",P2792=""),0,IF(P2792="x",-$E2792/(COUNTIF($J2792:$Q2792,"x")+1),-$E2792*N(P2792)))</f>
        <v/>
      </c>
      <c r="AE2792" s="34">
        <f>IF(OR($A2792="",$H2792&lt;&gt;"Ausgabe",Q2792=""),0,IF(Q2792="x",-$E2792/(COUNTIF($J2792:$Q2792,"x")+1),-$E2792*N(Q2792)))</f>
        <v/>
      </c>
    </row>
    <row r="2793">
      <c r="A2793" s="30" t="n"/>
      <c r="E2793" s="31" t="n"/>
      <c r="J2793" s="32" t="n"/>
      <c r="K2793" s="32" t="n"/>
      <c r="L2793" s="32" t="n"/>
      <c r="M2793" s="32" t="n"/>
      <c r="N2793" s="32" t="n"/>
      <c r="O2793" s="32" t="n"/>
      <c r="P2793" s="32" t="n"/>
      <c r="Q2793" s="32" t="n"/>
      <c r="U2793" s="31">
        <f>IF($A2793="","",SUM(X2793:AE2793))</f>
        <v/>
      </c>
      <c r="V2793" s="31">
        <f>IF($A2793="","",IF($H2793&lt;&gt;"Ausgabe",0,-$E2793-$U2793))</f>
        <v/>
      </c>
      <c r="W2793" s="33">
        <f>IF($A2793="","",DATE(YEAR($A2793),MONTH($A2793),1))</f>
        <v/>
      </c>
      <c r="X2793" s="34">
        <f>IF(OR($A2793="",$H2793&lt;&gt;"Ausgabe",J2793=""),0,IF(J2793="x",-$E2793/(COUNTIF($J2793:$Q2793,"x")+1),-$E2793*N(J2793)))</f>
        <v/>
      </c>
      <c r="Y2793" s="34">
        <f>IF(OR($A2793="",$H2793&lt;&gt;"Ausgabe",K2793=""),0,IF(K2793="x",-$E2793/(COUNTIF($J2793:$Q2793,"x")+1),-$E2793*N(K2793)))</f>
        <v/>
      </c>
      <c r="Z2793" s="34">
        <f>IF(OR($A2793="",$H2793&lt;&gt;"Ausgabe",L2793=""),0,IF(L2793="x",-$E2793/(COUNTIF($J2793:$Q2793,"x")+1),-$E2793*N(L2793)))</f>
        <v/>
      </c>
      <c r="AA2793" s="34">
        <f>IF(OR($A2793="",$H2793&lt;&gt;"Ausgabe",M2793=""),0,IF(M2793="x",-$E2793/(COUNTIF($J2793:$Q2793,"x")+1),-$E2793*N(M2793)))</f>
        <v/>
      </c>
      <c r="AB2793" s="34">
        <f>IF(OR($A2793="",$H2793&lt;&gt;"Ausgabe",N2793=""),0,IF(N2793="x",-$E2793/(COUNTIF($J2793:$Q2793,"x")+1),-$E2793*N(N2793)))</f>
        <v/>
      </c>
      <c r="AC2793" s="34">
        <f>IF(OR($A2793="",$H2793&lt;&gt;"Ausgabe",O2793=""),0,IF(O2793="x",-$E2793/(COUNTIF($J2793:$Q2793,"x")+1),-$E2793*N(O2793)))</f>
        <v/>
      </c>
      <c r="AD2793" s="34">
        <f>IF(OR($A2793="",$H2793&lt;&gt;"Ausgabe",P2793=""),0,IF(P2793="x",-$E2793/(COUNTIF($J2793:$Q2793,"x")+1),-$E2793*N(P2793)))</f>
        <v/>
      </c>
      <c r="AE2793" s="34">
        <f>IF(OR($A2793="",$H2793&lt;&gt;"Ausgabe",Q2793=""),0,IF(Q2793="x",-$E2793/(COUNTIF($J2793:$Q2793,"x")+1),-$E2793*N(Q2793)))</f>
        <v/>
      </c>
    </row>
    <row r="2794">
      <c r="A2794" s="30" t="n"/>
      <c r="E2794" s="31" t="n"/>
      <c r="J2794" s="32" t="n"/>
      <c r="K2794" s="32" t="n"/>
      <c r="L2794" s="32" t="n"/>
      <c r="M2794" s="32" t="n"/>
      <c r="N2794" s="32" t="n"/>
      <c r="O2794" s="32" t="n"/>
      <c r="P2794" s="32" t="n"/>
      <c r="Q2794" s="32" t="n"/>
      <c r="U2794" s="31">
        <f>IF($A2794="","",SUM(X2794:AE2794))</f>
        <v/>
      </c>
      <c r="V2794" s="31">
        <f>IF($A2794="","",IF($H2794&lt;&gt;"Ausgabe",0,-$E2794-$U2794))</f>
        <v/>
      </c>
      <c r="W2794" s="33">
        <f>IF($A2794="","",DATE(YEAR($A2794),MONTH($A2794),1))</f>
        <v/>
      </c>
      <c r="X2794" s="34">
        <f>IF(OR($A2794="",$H2794&lt;&gt;"Ausgabe",J2794=""),0,IF(J2794="x",-$E2794/(COUNTIF($J2794:$Q2794,"x")+1),-$E2794*N(J2794)))</f>
        <v/>
      </c>
      <c r="Y2794" s="34">
        <f>IF(OR($A2794="",$H2794&lt;&gt;"Ausgabe",K2794=""),0,IF(K2794="x",-$E2794/(COUNTIF($J2794:$Q2794,"x")+1),-$E2794*N(K2794)))</f>
        <v/>
      </c>
      <c r="Z2794" s="34">
        <f>IF(OR($A2794="",$H2794&lt;&gt;"Ausgabe",L2794=""),0,IF(L2794="x",-$E2794/(COUNTIF($J2794:$Q2794,"x")+1),-$E2794*N(L2794)))</f>
        <v/>
      </c>
      <c r="AA2794" s="34">
        <f>IF(OR($A2794="",$H2794&lt;&gt;"Ausgabe",M2794=""),0,IF(M2794="x",-$E2794/(COUNTIF($J2794:$Q2794,"x")+1),-$E2794*N(M2794)))</f>
        <v/>
      </c>
      <c r="AB2794" s="34">
        <f>IF(OR($A2794="",$H2794&lt;&gt;"Ausgabe",N2794=""),0,IF(N2794="x",-$E2794/(COUNTIF($J2794:$Q2794,"x")+1),-$E2794*N(N2794)))</f>
        <v/>
      </c>
      <c r="AC2794" s="34">
        <f>IF(OR($A2794="",$H2794&lt;&gt;"Ausgabe",O2794=""),0,IF(O2794="x",-$E2794/(COUNTIF($J2794:$Q2794,"x")+1),-$E2794*N(O2794)))</f>
        <v/>
      </c>
      <c r="AD2794" s="34">
        <f>IF(OR($A2794="",$H2794&lt;&gt;"Ausgabe",P2794=""),0,IF(P2794="x",-$E2794/(COUNTIF($J2794:$Q2794,"x")+1),-$E2794*N(P2794)))</f>
        <v/>
      </c>
      <c r="AE2794" s="34">
        <f>IF(OR($A2794="",$H2794&lt;&gt;"Ausgabe",Q2794=""),0,IF(Q2794="x",-$E2794/(COUNTIF($J2794:$Q2794,"x")+1),-$E2794*N(Q2794)))</f>
        <v/>
      </c>
    </row>
    <row r="2795">
      <c r="A2795" s="30" t="n"/>
      <c r="E2795" s="31" t="n"/>
      <c r="J2795" s="32" t="n"/>
      <c r="K2795" s="32" t="n"/>
      <c r="L2795" s="32" t="n"/>
      <c r="M2795" s="32" t="n"/>
      <c r="N2795" s="32" t="n"/>
      <c r="O2795" s="32" t="n"/>
      <c r="P2795" s="32" t="n"/>
      <c r="Q2795" s="32" t="n"/>
      <c r="U2795" s="31">
        <f>IF($A2795="","",SUM(X2795:AE2795))</f>
        <v/>
      </c>
      <c r="V2795" s="31">
        <f>IF($A2795="","",IF($H2795&lt;&gt;"Ausgabe",0,-$E2795-$U2795))</f>
        <v/>
      </c>
      <c r="W2795" s="33">
        <f>IF($A2795="","",DATE(YEAR($A2795),MONTH($A2795),1))</f>
        <v/>
      </c>
      <c r="X2795" s="34">
        <f>IF(OR($A2795="",$H2795&lt;&gt;"Ausgabe",J2795=""),0,IF(J2795="x",-$E2795/(COUNTIF($J2795:$Q2795,"x")+1),-$E2795*N(J2795)))</f>
        <v/>
      </c>
      <c r="Y2795" s="34">
        <f>IF(OR($A2795="",$H2795&lt;&gt;"Ausgabe",K2795=""),0,IF(K2795="x",-$E2795/(COUNTIF($J2795:$Q2795,"x")+1),-$E2795*N(K2795)))</f>
        <v/>
      </c>
      <c r="Z2795" s="34">
        <f>IF(OR($A2795="",$H2795&lt;&gt;"Ausgabe",L2795=""),0,IF(L2795="x",-$E2795/(COUNTIF($J2795:$Q2795,"x")+1),-$E2795*N(L2795)))</f>
        <v/>
      </c>
      <c r="AA2795" s="34">
        <f>IF(OR($A2795="",$H2795&lt;&gt;"Ausgabe",M2795=""),0,IF(M2795="x",-$E2795/(COUNTIF($J2795:$Q2795,"x")+1),-$E2795*N(M2795)))</f>
        <v/>
      </c>
      <c r="AB2795" s="34">
        <f>IF(OR($A2795="",$H2795&lt;&gt;"Ausgabe",N2795=""),0,IF(N2795="x",-$E2795/(COUNTIF($J2795:$Q2795,"x")+1),-$E2795*N(N2795)))</f>
        <v/>
      </c>
      <c r="AC2795" s="34">
        <f>IF(OR($A2795="",$H2795&lt;&gt;"Ausgabe",O2795=""),0,IF(O2795="x",-$E2795/(COUNTIF($J2795:$Q2795,"x")+1),-$E2795*N(O2795)))</f>
        <v/>
      </c>
      <c r="AD2795" s="34">
        <f>IF(OR($A2795="",$H2795&lt;&gt;"Ausgabe",P2795=""),0,IF(P2795="x",-$E2795/(COUNTIF($J2795:$Q2795,"x")+1),-$E2795*N(P2795)))</f>
        <v/>
      </c>
      <c r="AE2795" s="34">
        <f>IF(OR($A2795="",$H2795&lt;&gt;"Ausgabe",Q2795=""),0,IF(Q2795="x",-$E2795/(COUNTIF($J2795:$Q2795,"x")+1),-$E2795*N(Q2795)))</f>
        <v/>
      </c>
    </row>
    <row r="2796">
      <c r="A2796" s="30" t="n"/>
      <c r="E2796" s="31" t="n"/>
      <c r="J2796" s="32" t="n"/>
      <c r="K2796" s="32" t="n"/>
      <c r="L2796" s="32" t="n"/>
      <c r="M2796" s="32" t="n"/>
      <c r="N2796" s="32" t="n"/>
      <c r="O2796" s="32" t="n"/>
      <c r="P2796" s="32" t="n"/>
      <c r="Q2796" s="32" t="n"/>
      <c r="U2796" s="31">
        <f>IF($A2796="","",SUM(X2796:AE2796))</f>
        <v/>
      </c>
      <c r="V2796" s="31">
        <f>IF($A2796="","",IF($H2796&lt;&gt;"Ausgabe",0,-$E2796-$U2796))</f>
        <v/>
      </c>
      <c r="W2796" s="33">
        <f>IF($A2796="","",DATE(YEAR($A2796),MONTH($A2796),1))</f>
        <v/>
      </c>
      <c r="X2796" s="34">
        <f>IF(OR($A2796="",$H2796&lt;&gt;"Ausgabe",J2796=""),0,IF(J2796="x",-$E2796/(COUNTIF($J2796:$Q2796,"x")+1),-$E2796*N(J2796)))</f>
        <v/>
      </c>
      <c r="Y2796" s="34">
        <f>IF(OR($A2796="",$H2796&lt;&gt;"Ausgabe",K2796=""),0,IF(K2796="x",-$E2796/(COUNTIF($J2796:$Q2796,"x")+1),-$E2796*N(K2796)))</f>
        <v/>
      </c>
      <c r="Z2796" s="34">
        <f>IF(OR($A2796="",$H2796&lt;&gt;"Ausgabe",L2796=""),0,IF(L2796="x",-$E2796/(COUNTIF($J2796:$Q2796,"x")+1),-$E2796*N(L2796)))</f>
        <v/>
      </c>
      <c r="AA2796" s="34">
        <f>IF(OR($A2796="",$H2796&lt;&gt;"Ausgabe",M2796=""),0,IF(M2796="x",-$E2796/(COUNTIF($J2796:$Q2796,"x")+1),-$E2796*N(M2796)))</f>
        <v/>
      </c>
      <c r="AB2796" s="34">
        <f>IF(OR($A2796="",$H2796&lt;&gt;"Ausgabe",N2796=""),0,IF(N2796="x",-$E2796/(COUNTIF($J2796:$Q2796,"x")+1),-$E2796*N(N2796)))</f>
        <v/>
      </c>
      <c r="AC2796" s="34">
        <f>IF(OR($A2796="",$H2796&lt;&gt;"Ausgabe",O2796=""),0,IF(O2796="x",-$E2796/(COUNTIF($J2796:$Q2796,"x")+1),-$E2796*N(O2796)))</f>
        <v/>
      </c>
      <c r="AD2796" s="34">
        <f>IF(OR($A2796="",$H2796&lt;&gt;"Ausgabe",P2796=""),0,IF(P2796="x",-$E2796/(COUNTIF($J2796:$Q2796,"x")+1),-$E2796*N(P2796)))</f>
        <v/>
      </c>
      <c r="AE2796" s="34">
        <f>IF(OR($A2796="",$H2796&lt;&gt;"Ausgabe",Q2796=""),0,IF(Q2796="x",-$E2796/(COUNTIF($J2796:$Q2796,"x")+1),-$E2796*N(Q2796)))</f>
        <v/>
      </c>
    </row>
    <row r="2797">
      <c r="A2797" s="30" t="n"/>
      <c r="E2797" s="31" t="n"/>
      <c r="J2797" s="32" t="n"/>
      <c r="K2797" s="32" t="n"/>
      <c r="L2797" s="32" t="n"/>
      <c r="M2797" s="32" t="n"/>
      <c r="N2797" s="32" t="n"/>
      <c r="O2797" s="32" t="n"/>
      <c r="P2797" s="32" t="n"/>
      <c r="Q2797" s="32" t="n"/>
      <c r="U2797" s="31">
        <f>IF($A2797="","",SUM(X2797:AE2797))</f>
        <v/>
      </c>
      <c r="V2797" s="31">
        <f>IF($A2797="","",IF($H2797&lt;&gt;"Ausgabe",0,-$E2797-$U2797))</f>
        <v/>
      </c>
      <c r="W2797" s="33">
        <f>IF($A2797="","",DATE(YEAR($A2797),MONTH($A2797),1))</f>
        <v/>
      </c>
      <c r="X2797" s="34">
        <f>IF(OR($A2797="",$H2797&lt;&gt;"Ausgabe",J2797=""),0,IF(J2797="x",-$E2797/(COUNTIF($J2797:$Q2797,"x")+1),-$E2797*N(J2797)))</f>
        <v/>
      </c>
      <c r="Y2797" s="34">
        <f>IF(OR($A2797="",$H2797&lt;&gt;"Ausgabe",K2797=""),0,IF(K2797="x",-$E2797/(COUNTIF($J2797:$Q2797,"x")+1),-$E2797*N(K2797)))</f>
        <v/>
      </c>
      <c r="Z2797" s="34">
        <f>IF(OR($A2797="",$H2797&lt;&gt;"Ausgabe",L2797=""),0,IF(L2797="x",-$E2797/(COUNTIF($J2797:$Q2797,"x")+1),-$E2797*N(L2797)))</f>
        <v/>
      </c>
      <c r="AA2797" s="34">
        <f>IF(OR($A2797="",$H2797&lt;&gt;"Ausgabe",M2797=""),0,IF(M2797="x",-$E2797/(COUNTIF($J2797:$Q2797,"x")+1),-$E2797*N(M2797)))</f>
        <v/>
      </c>
      <c r="AB2797" s="34">
        <f>IF(OR($A2797="",$H2797&lt;&gt;"Ausgabe",N2797=""),0,IF(N2797="x",-$E2797/(COUNTIF($J2797:$Q2797,"x")+1),-$E2797*N(N2797)))</f>
        <v/>
      </c>
      <c r="AC2797" s="34">
        <f>IF(OR($A2797="",$H2797&lt;&gt;"Ausgabe",O2797=""),0,IF(O2797="x",-$E2797/(COUNTIF($J2797:$Q2797,"x")+1),-$E2797*N(O2797)))</f>
        <v/>
      </c>
      <c r="AD2797" s="34">
        <f>IF(OR($A2797="",$H2797&lt;&gt;"Ausgabe",P2797=""),0,IF(P2797="x",-$E2797/(COUNTIF($J2797:$Q2797,"x")+1),-$E2797*N(P2797)))</f>
        <v/>
      </c>
      <c r="AE2797" s="34">
        <f>IF(OR($A2797="",$H2797&lt;&gt;"Ausgabe",Q2797=""),0,IF(Q2797="x",-$E2797/(COUNTIF($J2797:$Q2797,"x")+1),-$E2797*N(Q2797)))</f>
        <v/>
      </c>
    </row>
    <row r="2798">
      <c r="A2798" s="30" t="n"/>
      <c r="E2798" s="31" t="n"/>
      <c r="J2798" s="32" t="n"/>
      <c r="K2798" s="32" t="n"/>
      <c r="L2798" s="32" t="n"/>
      <c r="M2798" s="32" t="n"/>
      <c r="N2798" s="32" t="n"/>
      <c r="O2798" s="32" t="n"/>
      <c r="P2798" s="32" t="n"/>
      <c r="Q2798" s="32" t="n"/>
      <c r="U2798" s="31">
        <f>IF($A2798="","",SUM(X2798:AE2798))</f>
        <v/>
      </c>
      <c r="V2798" s="31">
        <f>IF($A2798="","",IF($H2798&lt;&gt;"Ausgabe",0,-$E2798-$U2798))</f>
        <v/>
      </c>
      <c r="W2798" s="33">
        <f>IF($A2798="","",DATE(YEAR($A2798),MONTH($A2798),1))</f>
        <v/>
      </c>
      <c r="X2798" s="34">
        <f>IF(OR($A2798="",$H2798&lt;&gt;"Ausgabe",J2798=""),0,IF(J2798="x",-$E2798/(COUNTIF($J2798:$Q2798,"x")+1),-$E2798*N(J2798)))</f>
        <v/>
      </c>
      <c r="Y2798" s="34">
        <f>IF(OR($A2798="",$H2798&lt;&gt;"Ausgabe",K2798=""),0,IF(K2798="x",-$E2798/(COUNTIF($J2798:$Q2798,"x")+1),-$E2798*N(K2798)))</f>
        <v/>
      </c>
      <c r="Z2798" s="34">
        <f>IF(OR($A2798="",$H2798&lt;&gt;"Ausgabe",L2798=""),0,IF(L2798="x",-$E2798/(COUNTIF($J2798:$Q2798,"x")+1),-$E2798*N(L2798)))</f>
        <v/>
      </c>
      <c r="AA2798" s="34">
        <f>IF(OR($A2798="",$H2798&lt;&gt;"Ausgabe",M2798=""),0,IF(M2798="x",-$E2798/(COUNTIF($J2798:$Q2798,"x")+1),-$E2798*N(M2798)))</f>
        <v/>
      </c>
      <c r="AB2798" s="34">
        <f>IF(OR($A2798="",$H2798&lt;&gt;"Ausgabe",N2798=""),0,IF(N2798="x",-$E2798/(COUNTIF($J2798:$Q2798,"x")+1),-$E2798*N(N2798)))</f>
        <v/>
      </c>
      <c r="AC2798" s="34">
        <f>IF(OR($A2798="",$H2798&lt;&gt;"Ausgabe",O2798=""),0,IF(O2798="x",-$E2798/(COUNTIF($J2798:$Q2798,"x")+1),-$E2798*N(O2798)))</f>
        <v/>
      </c>
      <c r="AD2798" s="34">
        <f>IF(OR($A2798="",$H2798&lt;&gt;"Ausgabe",P2798=""),0,IF(P2798="x",-$E2798/(COUNTIF($J2798:$Q2798,"x")+1),-$E2798*N(P2798)))</f>
        <v/>
      </c>
      <c r="AE2798" s="34">
        <f>IF(OR($A2798="",$H2798&lt;&gt;"Ausgabe",Q2798=""),0,IF(Q2798="x",-$E2798/(COUNTIF($J2798:$Q2798,"x")+1),-$E2798*N(Q2798)))</f>
        <v/>
      </c>
    </row>
    <row r="2799">
      <c r="A2799" s="30" t="n"/>
      <c r="E2799" s="31" t="n"/>
      <c r="J2799" s="32" t="n"/>
      <c r="K2799" s="32" t="n"/>
      <c r="L2799" s="32" t="n"/>
      <c r="M2799" s="32" t="n"/>
      <c r="N2799" s="32" t="n"/>
      <c r="O2799" s="32" t="n"/>
      <c r="P2799" s="32" t="n"/>
      <c r="Q2799" s="32" t="n"/>
      <c r="U2799" s="31">
        <f>IF($A2799="","",SUM(X2799:AE2799))</f>
        <v/>
      </c>
      <c r="V2799" s="31">
        <f>IF($A2799="","",IF($H2799&lt;&gt;"Ausgabe",0,-$E2799-$U2799))</f>
        <v/>
      </c>
      <c r="W2799" s="33">
        <f>IF($A2799="","",DATE(YEAR($A2799),MONTH($A2799),1))</f>
        <v/>
      </c>
      <c r="X2799" s="34">
        <f>IF(OR($A2799="",$H2799&lt;&gt;"Ausgabe",J2799=""),0,IF(J2799="x",-$E2799/(COUNTIF($J2799:$Q2799,"x")+1),-$E2799*N(J2799)))</f>
        <v/>
      </c>
      <c r="Y2799" s="34">
        <f>IF(OR($A2799="",$H2799&lt;&gt;"Ausgabe",K2799=""),0,IF(K2799="x",-$E2799/(COUNTIF($J2799:$Q2799,"x")+1),-$E2799*N(K2799)))</f>
        <v/>
      </c>
      <c r="Z2799" s="34">
        <f>IF(OR($A2799="",$H2799&lt;&gt;"Ausgabe",L2799=""),0,IF(L2799="x",-$E2799/(COUNTIF($J2799:$Q2799,"x")+1),-$E2799*N(L2799)))</f>
        <v/>
      </c>
      <c r="AA2799" s="34">
        <f>IF(OR($A2799="",$H2799&lt;&gt;"Ausgabe",M2799=""),0,IF(M2799="x",-$E2799/(COUNTIF($J2799:$Q2799,"x")+1),-$E2799*N(M2799)))</f>
        <v/>
      </c>
      <c r="AB2799" s="34">
        <f>IF(OR($A2799="",$H2799&lt;&gt;"Ausgabe",N2799=""),0,IF(N2799="x",-$E2799/(COUNTIF($J2799:$Q2799,"x")+1),-$E2799*N(N2799)))</f>
        <v/>
      </c>
      <c r="AC2799" s="34">
        <f>IF(OR($A2799="",$H2799&lt;&gt;"Ausgabe",O2799=""),0,IF(O2799="x",-$E2799/(COUNTIF($J2799:$Q2799,"x")+1),-$E2799*N(O2799)))</f>
        <v/>
      </c>
      <c r="AD2799" s="34">
        <f>IF(OR($A2799="",$H2799&lt;&gt;"Ausgabe",P2799=""),0,IF(P2799="x",-$E2799/(COUNTIF($J2799:$Q2799,"x")+1),-$E2799*N(P2799)))</f>
        <v/>
      </c>
      <c r="AE2799" s="34">
        <f>IF(OR($A2799="",$H2799&lt;&gt;"Ausgabe",Q2799=""),0,IF(Q2799="x",-$E2799/(COUNTIF($J2799:$Q2799,"x")+1),-$E2799*N(Q2799)))</f>
        <v/>
      </c>
    </row>
    <row r="2800">
      <c r="A2800" s="30" t="n"/>
      <c r="E2800" s="31" t="n"/>
      <c r="J2800" s="32" t="n"/>
      <c r="K2800" s="32" t="n"/>
      <c r="L2800" s="32" t="n"/>
      <c r="M2800" s="32" t="n"/>
      <c r="N2800" s="32" t="n"/>
      <c r="O2800" s="32" t="n"/>
      <c r="P2800" s="32" t="n"/>
      <c r="Q2800" s="32" t="n"/>
      <c r="U2800" s="31">
        <f>IF($A2800="","",SUM(X2800:AE2800))</f>
        <v/>
      </c>
      <c r="V2800" s="31">
        <f>IF($A2800="","",IF($H2800&lt;&gt;"Ausgabe",0,-$E2800-$U2800))</f>
        <v/>
      </c>
      <c r="W2800" s="33">
        <f>IF($A2800="","",DATE(YEAR($A2800),MONTH($A2800),1))</f>
        <v/>
      </c>
      <c r="X2800" s="34">
        <f>IF(OR($A2800="",$H2800&lt;&gt;"Ausgabe",J2800=""),0,IF(J2800="x",-$E2800/(COUNTIF($J2800:$Q2800,"x")+1),-$E2800*N(J2800)))</f>
        <v/>
      </c>
      <c r="Y2800" s="34">
        <f>IF(OR($A2800="",$H2800&lt;&gt;"Ausgabe",K2800=""),0,IF(K2800="x",-$E2800/(COUNTIF($J2800:$Q2800,"x")+1),-$E2800*N(K2800)))</f>
        <v/>
      </c>
      <c r="Z2800" s="34">
        <f>IF(OR($A2800="",$H2800&lt;&gt;"Ausgabe",L2800=""),0,IF(L2800="x",-$E2800/(COUNTIF($J2800:$Q2800,"x")+1),-$E2800*N(L2800)))</f>
        <v/>
      </c>
      <c r="AA2800" s="34">
        <f>IF(OR($A2800="",$H2800&lt;&gt;"Ausgabe",M2800=""),0,IF(M2800="x",-$E2800/(COUNTIF($J2800:$Q2800,"x")+1),-$E2800*N(M2800)))</f>
        <v/>
      </c>
      <c r="AB2800" s="34">
        <f>IF(OR($A2800="",$H2800&lt;&gt;"Ausgabe",N2800=""),0,IF(N2800="x",-$E2800/(COUNTIF($J2800:$Q2800,"x")+1),-$E2800*N(N2800)))</f>
        <v/>
      </c>
      <c r="AC2800" s="34">
        <f>IF(OR($A2800="",$H2800&lt;&gt;"Ausgabe",O2800=""),0,IF(O2800="x",-$E2800/(COUNTIF($J2800:$Q2800,"x")+1),-$E2800*N(O2800)))</f>
        <v/>
      </c>
      <c r="AD2800" s="34">
        <f>IF(OR($A2800="",$H2800&lt;&gt;"Ausgabe",P2800=""),0,IF(P2800="x",-$E2800/(COUNTIF($J2800:$Q2800,"x")+1),-$E2800*N(P2800)))</f>
        <v/>
      </c>
      <c r="AE2800" s="34">
        <f>IF(OR($A2800="",$H2800&lt;&gt;"Ausgabe",Q2800=""),0,IF(Q2800="x",-$E2800/(COUNTIF($J2800:$Q2800,"x")+1),-$E2800*N(Q2800)))</f>
        <v/>
      </c>
    </row>
    <row r="2801">
      <c r="A2801" s="30" t="n"/>
      <c r="E2801" s="31" t="n"/>
      <c r="J2801" s="32" t="n"/>
      <c r="K2801" s="32" t="n"/>
      <c r="L2801" s="32" t="n"/>
      <c r="M2801" s="32" t="n"/>
      <c r="N2801" s="32" t="n"/>
      <c r="O2801" s="32" t="n"/>
      <c r="P2801" s="32" t="n"/>
      <c r="Q2801" s="32" t="n"/>
      <c r="U2801" s="31">
        <f>IF($A2801="","",SUM(X2801:AE2801))</f>
        <v/>
      </c>
      <c r="V2801" s="31">
        <f>IF($A2801="","",IF($H2801&lt;&gt;"Ausgabe",0,-$E2801-$U2801))</f>
        <v/>
      </c>
      <c r="W2801" s="33">
        <f>IF($A2801="","",DATE(YEAR($A2801),MONTH($A2801),1))</f>
        <v/>
      </c>
      <c r="X2801" s="34">
        <f>IF(OR($A2801="",$H2801&lt;&gt;"Ausgabe",J2801=""),0,IF(J2801="x",-$E2801/(COUNTIF($J2801:$Q2801,"x")+1),-$E2801*N(J2801)))</f>
        <v/>
      </c>
      <c r="Y2801" s="34">
        <f>IF(OR($A2801="",$H2801&lt;&gt;"Ausgabe",K2801=""),0,IF(K2801="x",-$E2801/(COUNTIF($J2801:$Q2801,"x")+1),-$E2801*N(K2801)))</f>
        <v/>
      </c>
      <c r="Z2801" s="34">
        <f>IF(OR($A2801="",$H2801&lt;&gt;"Ausgabe",L2801=""),0,IF(L2801="x",-$E2801/(COUNTIF($J2801:$Q2801,"x")+1),-$E2801*N(L2801)))</f>
        <v/>
      </c>
      <c r="AA2801" s="34">
        <f>IF(OR($A2801="",$H2801&lt;&gt;"Ausgabe",M2801=""),0,IF(M2801="x",-$E2801/(COUNTIF($J2801:$Q2801,"x")+1),-$E2801*N(M2801)))</f>
        <v/>
      </c>
      <c r="AB2801" s="34">
        <f>IF(OR($A2801="",$H2801&lt;&gt;"Ausgabe",N2801=""),0,IF(N2801="x",-$E2801/(COUNTIF($J2801:$Q2801,"x")+1),-$E2801*N(N2801)))</f>
        <v/>
      </c>
      <c r="AC2801" s="34">
        <f>IF(OR($A2801="",$H2801&lt;&gt;"Ausgabe",O2801=""),0,IF(O2801="x",-$E2801/(COUNTIF($J2801:$Q2801,"x")+1),-$E2801*N(O2801)))</f>
        <v/>
      </c>
      <c r="AD2801" s="34">
        <f>IF(OR($A2801="",$H2801&lt;&gt;"Ausgabe",P2801=""),0,IF(P2801="x",-$E2801/(COUNTIF($J2801:$Q2801,"x")+1),-$E2801*N(P2801)))</f>
        <v/>
      </c>
      <c r="AE2801" s="34">
        <f>IF(OR($A2801="",$H2801&lt;&gt;"Ausgabe",Q2801=""),0,IF(Q2801="x",-$E2801/(COUNTIF($J2801:$Q2801,"x")+1),-$E2801*N(Q2801)))</f>
        <v/>
      </c>
    </row>
    <row r="2802">
      <c r="A2802" s="30" t="n"/>
      <c r="E2802" s="31" t="n"/>
      <c r="J2802" s="32" t="n"/>
      <c r="K2802" s="32" t="n"/>
      <c r="L2802" s="32" t="n"/>
      <c r="M2802" s="32" t="n"/>
      <c r="N2802" s="32" t="n"/>
      <c r="O2802" s="32" t="n"/>
      <c r="P2802" s="32" t="n"/>
      <c r="Q2802" s="32" t="n"/>
      <c r="U2802" s="31">
        <f>IF($A2802="","",SUM(X2802:AE2802))</f>
        <v/>
      </c>
      <c r="V2802" s="31">
        <f>IF($A2802="","",IF($H2802&lt;&gt;"Ausgabe",0,-$E2802-$U2802))</f>
        <v/>
      </c>
      <c r="W2802" s="33">
        <f>IF($A2802="","",DATE(YEAR($A2802),MONTH($A2802),1))</f>
        <v/>
      </c>
      <c r="X2802" s="34">
        <f>IF(OR($A2802="",$H2802&lt;&gt;"Ausgabe",J2802=""),0,IF(J2802="x",-$E2802/(COUNTIF($J2802:$Q2802,"x")+1),-$E2802*N(J2802)))</f>
        <v/>
      </c>
      <c r="Y2802" s="34">
        <f>IF(OR($A2802="",$H2802&lt;&gt;"Ausgabe",K2802=""),0,IF(K2802="x",-$E2802/(COUNTIF($J2802:$Q2802,"x")+1),-$E2802*N(K2802)))</f>
        <v/>
      </c>
      <c r="Z2802" s="34">
        <f>IF(OR($A2802="",$H2802&lt;&gt;"Ausgabe",L2802=""),0,IF(L2802="x",-$E2802/(COUNTIF($J2802:$Q2802,"x")+1),-$E2802*N(L2802)))</f>
        <v/>
      </c>
      <c r="AA2802" s="34">
        <f>IF(OR($A2802="",$H2802&lt;&gt;"Ausgabe",M2802=""),0,IF(M2802="x",-$E2802/(COUNTIF($J2802:$Q2802,"x")+1),-$E2802*N(M2802)))</f>
        <v/>
      </c>
      <c r="AB2802" s="34">
        <f>IF(OR($A2802="",$H2802&lt;&gt;"Ausgabe",N2802=""),0,IF(N2802="x",-$E2802/(COUNTIF($J2802:$Q2802,"x")+1),-$E2802*N(N2802)))</f>
        <v/>
      </c>
      <c r="AC2802" s="34">
        <f>IF(OR($A2802="",$H2802&lt;&gt;"Ausgabe",O2802=""),0,IF(O2802="x",-$E2802/(COUNTIF($J2802:$Q2802,"x")+1),-$E2802*N(O2802)))</f>
        <v/>
      </c>
      <c r="AD2802" s="34">
        <f>IF(OR($A2802="",$H2802&lt;&gt;"Ausgabe",P2802=""),0,IF(P2802="x",-$E2802/(COUNTIF($J2802:$Q2802,"x")+1),-$E2802*N(P2802)))</f>
        <v/>
      </c>
      <c r="AE2802" s="34">
        <f>IF(OR($A2802="",$H2802&lt;&gt;"Ausgabe",Q2802=""),0,IF(Q2802="x",-$E2802/(COUNTIF($J2802:$Q2802,"x")+1),-$E2802*N(Q2802)))</f>
        <v/>
      </c>
    </row>
    <row r="2803">
      <c r="A2803" s="30" t="n"/>
      <c r="E2803" s="31" t="n"/>
      <c r="J2803" s="32" t="n"/>
      <c r="K2803" s="32" t="n"/>
      <c r="L2803" s="32" t="n"/>
      <c r="M2803" s="32" t="n"/>
      <c r="N2803" s="32" t="n"/>
      <c r="O2803" s="32" t="n"/>
      <c r="P2803" s="32" t="n"/>
      <c r="Q2803" s="32" t="n"/>
      <c r="U2803" s="31">
        <f>IF($A2803="","",SUM(X2803:AE2803))</f>
        <v/>
      </c>
      <c r="V2803" s="31">
        <f>IF($A2803="","",IF($H2803&lt;&gt;"Ausgabe",0,-$E2803-$U2803))</f>
        <v/>
      </c>
      <c r="W2803" s="33">
        <f>IF($A2803="","",DATE(YEAR($A2803),MONTH($A2803),1))</f>
        <v/>
      </c>
      <c r="X2803" s="34">
        <f>IF(OR($A2803="",$H2803&lt;&gt;"Ausgabe",J2803=""),0,IF(J2803="x",-$E2803/(COUNTIF($J2803:$Q2803,"x")+1),-$E2803*N(J2803)))</f>
        <v/>
      </c>
      <c r="Y2803" s="34">
        <f>IF(OR($A2803="",$H2803&lt;&gt;"Ausgabe",K2803=""),0,IF(K2803="x",-$E2803/(COUNTIF($J2803:$Q2803,"x")+1),-$E2803*N(K2803)))</f>
        <v/>
      </c>
      <c r="Z2803" s="34">
        <f>IF(OR($A2803="",$H2803&lt;&gt;"Ausgabe",L2803=""),0,IF(L2803="x",-$E2803/(COUNTIF($J2803:$Q2803,"x")+1),-$E2803*N(L2803)))</f>
        <v/>
      </c>
      <c r="AA2803" s="34">
        <f>IF(OR($A2803="",$H2803&lt;&gt;"Ausgabe",M2803=""),0,IF(M2803="x",-$E2803/(COUNTIF($J2803:$Q2803,"x")+1),-$E2803*N(M2803)))</f>
        <v/>
      </c>
      <c r="AB2803" s="34">
        <f>IF(OR($A2803="",$H2803&lt;&gt;"Ausgabe",N2803=""),0,IF(N2803="x",-$E2803/(COUNTIF($J2803:$Q2803,"x")+1),-$E2803*N(N2803)))</f>
        <v/>
      </c>
      <c r="AC2803" s="34">
        <f>IF(OR($A2803="",$H2803&lt;&gt;"Ausgabe",O2803=""),0,IF(O2803="x",-$E2803/(COUNTIF($J2803:$Q2803,"x")+1),-$E2803*N(O2803)))</f>
        <v/>
      </c>
      <c r="AD2803" s="34">
        <f>IF(OR($A2803="",$H2803&lt;&gt;"Ausgabe",P2803=""),0,IF(P2803="x",-$E2803/(COUNTIF($J2803:$Q2803,"x")+1),-$E2803*N(P2803)))</f>
        <v/>
      </c>
      <c r="AE2803" s="34">
        <f>IF(OR($A2803="",$H2803&lt;&gt;"Ausgabe",Q2803=""),0,IF(Q2803="x",-$E2803/(COUNTIF($J2803:$Q2803,"x")+1),-$E2803*N(Q2803)))</f>
        <v/>
      </c>
    </row>
    <row r="2804">
      <c r="A2804" s="30" t="n"/>
      <c r="E2804" s="31" t="n"/>
      <c r="J2804" s="32" t="n"/>
      <c r="K2804" s="32" t="n"/>
      <c r="L2804" s="32" t="n"/>
      <c r="M2804" s="32" t="n"/>
      <c r="N2804" s="32" t="n"/>
      <c r="O2804" s="32" t="n"/>
      <c r="P2804" s="32" t="n"/>
      <c r="Q2804" s="32" t="n"/>
      <c r="U2804" s="31">
        <f>IF($A2804="","",SUM(X2804:AE2804))</f>
        <v/>
      </c>
      <c r="V2804" s="31">
        <f>IF($A2804="","",IF($H2804&lt;&gt;"Ausgabe",0,-$E2804-$U2804))</f>
        <v/>
      </c>
      <c r="W2804" s="33">
        <f>IF($A2804="","",DATE(YEAR($A2804),MONTH($A2804),1))</f>
        <v/>
      </c>
      <c r="X2804" s="34">
        <f>IF(OR($A2804="",$H2804&lt;&gt;"Ausgabe",J2804=""),0,IF(J2804="x",-$E2804/(COUNTIF($J2804:$Q2804,"x")+1),-$E2804*N(J2804)))</f>
        <v/>
      </c>
      <c r="Y2804" s="34">
        <f>IF(OR($A2804="",$H2804&lt;&gt;"Ausgabe",K2804=""),0,IF(K2804="x",-$E2804/(COUNTIF($J2804:$Q2804,"x")+1),-$E2804*N(K2804)))</f>
        <v/>
      </c>
      <c r="Z2804" s="34">
        <f>IF(OR($A2804="",$H2804&lt;&gt;"Ausgabe",L2804=""),0,IF(L2804="x",-$E2804/(COUNTIF($J2804:$Q2804,"x")+1),-$E2804*N(L2804)))</f>
        <v/>
      </c>
      <c r="AA2804" s="34">
        <f>IF(OR($A2804="",$H2804&lt;&gt;"Ausgabe",M2804=""),0,IF(M2804="x",-$E2804/(COUNTIF($J2804:$Q2804,"x")+1),-$E2804*N(M2804)))</f>
        <v/>
      </c>
      <c r="AB2804" s="34">
        <f>IF(OR($A2804="",$H2804&lt;&gt;"Ausgabe",N2804=""),0,IF(N2804="x",-$E2804/(COUNTIF($J2804:$Q2804,"x")+1),-$E2804*N(N2804)))</f>
        <v/>
      </c>
      <c r="AC2804" s="34">
        <f>IF(OR($A2804="",$H2804&lt;&gt;"Ausgabe",O2804=""),0,IF(O2804="x",-$E2804/(COUNTIF($J2804:$Q2804,"x")+1),-$E2804*N(O2804)))</f>
        <v/>
      </c>
      <c r="AD2804" s="34">
        <f>IF(OR($A2804="",$H2804&lt;&gt;"Ausgabe",P2804=""),0,IF(P2804="x",-$E2804/(COUNTIF($J2804:$Q2804,"x")+1),-$E2804*N(P2804)))</f>
        <v/>
      </c>
      <c r="AE2804" s="34">
        <f>IF(OR($A2804="",$H2804&lt;&gt;"Ausgabe",Q2804=""),0,IF(Q2804="x",-$E2804/(COUNTIF($J2804:$Q2804,"x")+1),-$E2804*N(Q2804)))</f>
        <v/>
      </c>
    </row>
    <row r="2805">
      <c r="A2805" s="30" t="n"/>
      <c r="E2805" s="31" t="n"/>
      <c r="J2805" s="32" t="n"/>
      <c r="K2805" s="32" t="n"/>
      <c r="L2805" s="32" t="n"/>
      <c r="M2805" s="32" t="n"/>
      <c r="N2805" s="32" t="n"/>
      <c r="O2805" s="32" t="n"/>
      <c r="P2805" s="32" t="n"/>
      <c r="Q2805" s="32" t="n"/>
      <c r="U2805" s="31">
        <f>IF($A2805="","",SUM(X2805:AE2805))</f>
        <v/>
      </c>
      <c r="V2805" s="31">
        <f>IF($A2805="","",IF($H2805&lt;&gt;"Ausgabe",0,-$E2805-$U2805))</f>
        <v/>
      </c>
      <c r="W2805" s="33">
        <f>IF($A2805="","",DATE(YEAR($A2805),MONTH($A2805),1))</f>
        <v/>
      </c>
      <c r="X2805" s="34">
        <f>IF(OR($A2805="",$H2805&lt;&gt;"Ausgabe",J2805=""),0,IF(J2805="x",-$E2805/(COUNTIF($J2805:$Q2805,"x")+1),-$E2805*N(J2805)))</f>
        <v/>
      </c>
      <c r="Y2805" s="34">
        <f>IF(OR($A2805="",$H2805&lt;&gt;"Ausgabe",K2805=""),0,IF(K2805="x",-$E2805/(COUNTIF($J2805:$Q2805,"x")+1),-$E2805*N(K2805)))</f>
        <v/>
      </c>
      <c r="Z2805" s="34">
        <f>IF(OR($A2805="",$H2805&lt;&gt;"Ausgabe",L2805=""),0,IF(L2805="x",-$E2805/(COUNTIF($J2805:$Q2805,"x")+1),-$E2805*N(L2805)))</f>
        <v/>
      </c>
      <c r="AA2805" s="34">
        <f>IF(OR($A2805="",$H2805&lt;&gt;"Ausgabe",M2805=""),0,IF(M2805="x",-$E2805/(COUNTIF($J2805:$Q2805,"x")+1),-$E2805*N(M2805)))</f>
        <v/>
      </c>
      <c r="AB2805" s="34">
        <f>IF(OR($A2805="",$H2805&lt;&gt;"Ausgabe",N2805=""),0,IF(N2805="x",-$E2805/(COUNTIF($J2805:$Q2805,"x")+1),-$E2805*N(N2805)))</f>
        <v/>
      </c>
      <c r="AC2805" s="34">
        <f>IF(OR($A2805="",$H2805&lt;&gt;"Ausgabe",O2805=""),0,IF(O2805="x",-$E2805/(COUNTIF($J2805:$Q2805,"x")+1),-$E2805*N(O2805)))</f>
        <v/>
      </c>
      <c r="AD2805" s="34">
        <f>IF(OR($A2805="",$H2805&lt;&gt;"Ausgabe",P2805=""),0,IF(P2805="x",-$E2805/(COUNTIF($J2805:$Q2805,"x")+1),-$E2805*N(P2805)))</f>
        <v/>
      </c>
      <c r="AE2805" s="34">
        <f>IF(OR($A2805="",$H2805&lt;&gt;"Ausgabe",Q2805=""),0,IF(Q2805="x",-$E2805/(COUNTIF($J2805:$Q2805,"x")+1),-$E2805*N(Q2805)))</f>
        <v/>
      </c>
    </row>
    <row r="2806">
      <c r="A2806" s="30" t="n"/>
      <c r="E2806" s="31" t="n"/>
      <c r="J2806" s="32" t="n"/>
      <c r="K2806" s="32" t="n"/>
      <c r="L2806" s="32" t="n"/>
      <c r="M2806" s="32" t="n"/>
      <c r="N2806" s="32" t="n"/>
      <c r="O2806" s="32" t="n"/>
      <c r="P2806" s="32" t="n"/>
      <c r="Q2806" s="32" t="n"/>
      <c r="U2806" s="31">
        <f>IF($A2806="","",SUM(X2806:AE2806))</f>
        <v/>
      </c>
      <c r="V2806" s="31">
        <f>IF($A2806="","",IF($H2806&lt;&gt;"Ausgabe",0,-$E2806-$U2806))</f>
        <v/>
      </c>
      <c r="W2806" s="33">
        <f>IF($A2806="","",DATE(YEAR($A2806),MONTH($A2806),1))</f>
        <v/>
      </c>
      <c r="X2806" s="34">
        <f>IF(OR($A2806="",$H2806&lt;&gt;"Ausgabe",J2806=""),0,IF(J2806="x",-$E2806/(COUNTIF($J2806:$Q2806,"x")+1),-$E2806*N(J2806)))</f>
        <v/>
      </c>
      <c r="Y2806" s="34">
        <f>IF(OR($A2806="",$H2806&lt;&gt;"Ausgabe",K2806=""),0,IF(K2806="x",-$E2806/(COUNTIF($J2806:$Q2806,"x")+1),-$E2806*N(K2806)))</f>
        <v/>
      </c>
      <c r="Z2806" s="34">
        <f>IF(OR($A2806="",$H2806&lt;&gt;"Ausgabe",L2806=""),0,IF(L2806="x",-$E2806/(COUNTIF($J2806:$Q2806,"x")+1),-$E2806*N(L2806)))</f>
        <v/>
      </c>
      <c r="AA2806" s="34">
        <f>IF(OR($A2806="",$H2806&lt;&gt;"Ausgabe",M2806=""),0,IF(M2806="x",-$E2806/(COUNTIF($J2806:$Q2806,"x")+1),-$E2806*N(M2806)))</f>
        <v/>
      </c>
      <c r="AB2806" s="34">
        <f>IF(OR($A2806="",$H2806&lt;&gt;"Ausgabe",N2806=""),0,IF(N2806="x",-$E2806/(COUNTIF($J2806:$Q2806,"x")+1),-$E2806*N(N2806)))</f>
        <v/>
      </c>
      <c r="AC2806" s="34">
        <f>IF(OR($A2806="",$H2806&lt;&gt;"Ausgabe",O2806=""),0,IF(O2806="x",-$E2806/(COUNTIF($J2806:$Q2806,"x")+1),-$E2806*N(O2806)))</f>
        <v/>
      </c>
      <c r="AD2806" s="34">
        <f>IF(OR($A2806="",$H2806&lt;&gt;"Ausgabe",P2806=""),0,IF(P2806="x",-$E2806/(COUNTIF($J2806:$Q2806,"x")+1),-$E2806*N(P2806)))</f>
        <v/>
      </c>
      <c r="AE2806" s="34">
        <f>IF(OR($A2806="",$H2806&lt;&gt;"Ausgabe",Q2806=""),0,IF(Q2806="x",-$E2806/(COUNTIF($J2806:$Q2806,"x")+1),-$E2806*N(Q2806)))</f>
        <v/>
      </c>
    </row>
    <row r="2807">
      <c r="A2807" s="30" t="n"/>
      <c r="E2807" s="31" t="n"/>
      <c r="J2807" s="32" t="n"/>
      <c r="K2807" s="32" t="n"/>
      <c r="L2807" s="32" t="n"/>
      <c r="M2807" s="32" t="n"/>
      <c r="N2807" s="32" t="n"/>
      <c r="O2807" s="32" t="n"/>
      <c r="P2807" s="32" t="n"/>
      <c r="Q2807" s="32" t="n"/>
      <c r="U2807" s="31">
        <f>IF($A2807="","",SUM(X2807:AE2807))</f>
        <v/>
      </c>
      <c r="V2807" s="31">
        <f>IF($A2807="","",IF($H2807&lt;&gt;"Ausgabe",0,-$E2807-$U2807))</f>
        <v/>
      </c>
      <c r="W2807" s="33">
        <f>IF($A2807="","",DATE(YEAR($A2807),MONTH($A2807),1))</f>
        <v/>
      </c>
      <c r="X2807" s="34">
        <f>IF(OR($A2807="",$H2807&lt;&gt;"Ausgabe",J2807=""),0,IF(J2807="x",-$E2807/(COUNTIF($J2807:$Q2807,"x")+1),-$E2807*N(J2807)))</f>
        <v/>
      </c>
      <c r="Y2807" s="34">
        <f>IF(OR($A2807="",$H2807&lt;&gt;"Ausgabe",K2807=""),0,IF(K2807="x",-$E2807/(COUNTIF($J2807:$Q2807,"x")+1),-$E2807*N(K2807)))</f>
        <v/>
      </c>
      <c r="Z2807" s="34">
        <f>IF(OR($A2807="",$H2807&lt;&gt;"Ausgabe",L2807=""),0,IF(L2807="x",-$E2807/(COUNTIF($J2807:$Q2807,"x")+1),-$E2807*N(L2807)))</f>
        <v/>
      </c>
      <c r="AA2807" s="34">
        <f>IF(OR($A2807="",$H2807&lt;&gt;"Ausgabe",M2807=""),0,IF(M2807="x",-$E2807/(COUNTIF($J2807:$Q2807,"x")+1),-$E2807*N(M2807)))</f>
        <v/>
      </c>
      <c r="AB2807" s="34">
        <f>IF(OR($A2807="",$H2807&lt;&gt;"Ausgabe",N2807=""),0,IF(N2807="x",-$E2807/(COUNTIF($J2807:$Q2807,"x")+1),-$E2807*N(N2807)))</f>
        <v/>
      </c>
      <c r="AC2807" s="34">
        <f>IF(OR($A2807="",$H2807&lt;&gt;"Ausgabe",O2807=""),0,IF(O2807="x",-$E2807/(COUNTIF($J2807:$Q2807,"x")+1),-$E2807*N(O2807)))</f>
        <v/>
      </c>
      <c r="AD2807" s="34">
        <f>IF(OR($A2807="",$H2807&lt;&gt;"Ausgabe",P2807=""),0,IF(P2807="x",-$E2807/(COUNTIF($J2807:$Q2807,"x")+1),-$E2807*N(P2807)))</f>
        <v/>
      </c>
      <c r="AE2807" s="34">
        <f>IF(OR($A2807="",$H2807&lt;&gt;"Ausgabe",Q2807=""),0,IF(Q2807="x",-$E2807/(COUNTIF($J2807:$Q2807,"x")+1),-$E2807*N(Q2807)))</f>
        <v/>
      </c>
    </row>
    <row r="2808">
      <c r="A2808" s="30" t="n"/>
      <c r="E2808" s="31" t="n"/>
      <c r="J2808" s="32" t="n"/>
      <c r="K2808" s="32" t="n"/>
      <c r="L2808" s="32" t="n"/>
      <c r="M2808" s="32" t="n"/>
      <c r="N2808" s="32" t="n"/>
      <c r="O2808" s="32" t="n"/>
      <c r="P2808" s="32" t="n"/>
      <c r="Q2808" s="32" t="n"/>
      <c r="U2808" s="31">
        <f>IF($A2808="","",SUM(X2808:AE2808))</f>
        <v/>
      </c>
      <c r="V2808" s="31">
        <f>IF($A2808="","",IF($H2808&lt;&gt;"Ausgabe",0,-$E2808-$U2808))</f>
        <v/>
      </c>
      <c r="W2808" s="33">
        <f>IF($A2808="","",DATE(YEAR($A2808),MONTH($A2808),1))</f>
        <v/>
      </c>
      <c r="X2808" s="34">
        <f>IF(OR($A2808="",$H2808&lt;&gt;"Ausgabe",J2808=""),0,IF(J2808="x",-$E2808/(COUNTIF($J2808:$Q2808,"x")+1),-$E2808*N(J2808)))</f>
        <v/>
      </c>
      <c r="Y2808" s="34">
        <f>IF(OR($A2808="",$H2808&lt;&gt;"Ausgabe",K2808=""),0,IF(K2808="x",-$E2808/(COUNTIF($J2808:$Q2808,"x")+1),-$E2808*N(K2808)))</f>
        <v/>
      </c>
      <c r="Z2808" s="34">
        <f>IF(OR($A2808="",$H2808&lt;&gt;"Ausgabe",L2808=""),0,IF(L2808="x",-$E2808/(COUNTIF($J2808:$Q2808,"x")+1),-$E2808*N(L2808)))</f>
        <v/>
      </c>
      <c r="AA2808" s="34">
        <f>IF(OR($A2808="",$H2808&lt;&gt;"Ausgabe",M2808=""),0,IF(M2808="x",-$E2808/(COUNTIF($J2808:$Q2808,"x")+1),-$E2808*N(M2808)))</f>
        <v/>
      </c>
      <c r="AB2808" s="34">
        <f>IF(OR($A2808="",$H2808&lt;&gt;"Ausgabe",N2808=""),0,IF(N2808="x",-$E2808/(COUNTIF($J2808:$Q2808,"x")+1),-$E2808*N(N2808)))</f>
        <v/>
      </c>
      <c r="AC2808" s="34">
        <f>IF(OR($A2808="",$H2808&lt;&gt;"Ausgabe",O2808=""),0,IF(O2808="x",-$E2808/(COUNTIF($J2808:$Q2808,"x")+1),-$E2808*N(O2808)))</f>
        <v/>
      </c>
      <c r="AD2808" s="34">
        <f>IF(OR($A2808="",$H2808&lt;&gt;"Ausgabe",P2808=""),0,IF(P2808="x",-$E2808/(COUNTIF($J2808:$Q2808,"x")+1),-$E2808*N(P2808)))</f>
        <v/>
      </c>
      <c r="AE2808" s="34">
        <f>IF(OR($A2808="",$H2808&lt;&gt;"Ausgabe",Q2808=""),0,IF(Q2808="x",-$E2808/(COUNTIF($J2808:$Q2808,"x")+1),-$E2808*N(Q2808)))</f>
        <v/>
      </c>
    </row>
    <row r="2809">
      <c r="A2809" s="30" t="n"/>
      <c r="E2809" s="31" t="n"/>
      <c r="J2809" s="32" t="n"/>
      <c r="K2809" s="32" t="n"/>
      <c r="L2809" s="32" t="n"/>
      <c r="M2809" s="32" t="n"/>
      <c r="N2809" s="32" t="n"/>
      <c r="O2809" s="32" t="n"/>
      <c r="P2809" s="32" t="n"/>
      <c r="Q2809" s="32" t="n"/>
      <c r="U2809" s="31">
        <f>IF($A2809="","",SUM(X2809:AE2809))</f>
        <v/>
      </c>
      <c r="V2809" s="31">
        <f>IF($A2809="","",IF($H2809&lt;&gt;"Ausgabe",0,-$E2809-$U2809))</f>
        <v/>
      </c>
      <c r="W2809" s="33">
        <f>IF($A2809="","",DATE(YEAR($A2809),MONTH($A2809),1))</f>
        <v/>
      </c>
      <c r="X2809" s="34">
        <f>IF(OR($A2809="",$H2809&lt;&gt;"Ausgabe",J2809=""),0,IF(J2809="x",-$E2809/(COUNTIF($J2809:$Q2809,"x")+1),-$E2809*N(J2809)))</f>
        <v/>
      </c>
      <c r="Y2809" s="34">
        <f>IF(OR($A2809="",$H2809&lt;&gt;"Ausgabe",K2809=""),0,IF(K2809="x",-$E2809/(COUNTIF($J2809:$Q2809,"x")+1),-$E2809*N(K2809)))</f>
        <v/>
      </c>
      <c r="Z2809" s="34">
        <f>IF(OR($A2809="",$H2809&lt;&gt;"Ausgabe",L2809=""),0,IF(L2809="x",-$E2809/(COUNTIF($J2809:$Q2809,"x")+1),-$E2809*N(L2809)))</f>
        <v/>
      </c>
      <c r="AA2809" s="34">
        <f>IF(OR($A2809="",$H2809&lt;&gt;"Ausgabe",M2809=""),0,IF(M2809="x",-$E2809/(COUNTIF($J2809:$Q2809,"x")+1),-$E2809*N(M2809)))</f>
        <v/>
      </c>
      <c r="AB2809" s="34">
        <f>IF(OR($A2809="",$H2809&lt;&gt;"Ausgabe",N2809=""),0,IF(N2809="x",-$E2809/(COUNTIF($J2809:$Q2809,"x")+1),-$E2809*N(N2809)))</f>
        <v/>
      </c>
      <c r="AC2809" s="34">
        <f>IF(OR($A2809="",$H2809&lt;&gt;"Ausgabe",O2809=""),0,IF(O2809="x",-$E2809/(COUNTIF($J2809:$Q2809,"x")+1),-$E2809*N(O2809)))</f>
        <v/>
      </c>
      <c r="AD2809" s="34">
        <f>IF(OR($A2809="",$H2809&lt;&gt;"Ausgabe",P2809=""),0,IF(P2809="x",-$E2809/(COUNTIF($J2809:$Q2809,"x")+1),-$E2809*N(P2809)))</f>
        <v/>
      </c>
      <c r="AE2809" s="34">
        <f>IF(OR($A2809="",$H2809&lt;&gt;"Ausgabe",Q2809=""),0,IF(Q2809="x",-$E2809/(COUNTIF($J2809:$Q2809,"x")+1),-$E2809*N(Q2809)))</f>
        <v/>
      </c>
    </row>
    <row r="2810">
      <c r="A2810" s="30" t="n"/>
      <c r="E2810" s="31" t="n"/>
      <c r="J2810" s="32" t="n"/>
      <c r="K2810" s="32" t="n"/>
      <c r="L2810" s="32" t="n"/>
      <c r="M2810" s="32" t="n"/>
      <c r="N2810" s="32" t="n"/>
      <c r="O2810" s="32" t="n"/>
      <c r="P2810" s="32" t="n"/>
      <c r="Q2810" s="32" t="n"/>
      <c r="U2810" s="31">
        <f>IF($A2810="","",SUM(X2810:AE2810))</f>
        <v/>
      </c>
      <c r="V2810" s="31">
        <f>IF($A2810="","",IF($H2810&lt;&gt;"Ausgabe",0,-$E2810-$U2810))</f>
        <v/>
      </c>
      <c r="W2810" s="33">
        <f>IF($A2810="","",DATE(YEAR($A2810),MONTH($A2810),1))</f>
        <v/>
      </c>
      <c r="X2810" s="34">
        <f>IF(OR($A2810="",$H2810&lt;&gt;"Ausgabe",J2810=""),0,IF(J2810="x",-$E2810/(COUNTIF($J2810:$Q2810,"x")+1),-$E2810*N(J2810)))</f>
        <v/>
      </c>
      <c r="Y2810" s="34">
        <f>IF(OR($A2810="",$H2810&lt;&gt;"Ausgabe",K2810=""),0,IF(K2810="x",-$E2810/(COUNTIF($J2810:$Q2810,"x")+1),-$E2810*N(K2810)))</f>
        <v/>
      </c>
      <c r="Z2810" s="34">
        <f>IF(OR($A2810="",$H2810&lt;&gt;"Ausgabe",L2810=""),0,IF(L2810="x",-$E2810/(COUNTIF($J2810:$Q2810,"x")+1),-$E2810*N(L2810)))</f>
        <v/>
      </c>
      <c r="AA2810" s="34">
        <f>IF(OR($A2810="",$H2810&lt;&gt;"Ausgabe",M2810=""),0,IF(M2810="x",-$E2810/(COUNTIF($J2810:$Q2810,"x")+1),-$E2810*N(M2810)))</f>
        <v/>
      </c>
      <c r="AB2810" s="34">
        <f>IF(OR($A2810="",$H2810&lt;&gt;"Ausgabe",N2810=""),0,IF(N2810="x",-$E2810/(COUNTIF($J2810:$Q2810,"x")+1),-$E2810*N(N2810)))</f>
        <v/>
      </c>
      <c r="AC2810" s="34">
        <f>IF(OR($A2810="",$H2810&lt;&gt;"Ausgabe",O2810=""),0,IF(O2810="x",-$E2810/(COUNTIF($J2810:$Q2810,"x")+1),-$E2810*N(O2810)))</f>
        <v/>
      </c>
      <c r="AD2810" s="34">
        <f>IF(OR($A2810="",$H2810&lt;&gt;"Ausgabe",P2810=""),0,IF(P2810="x",-$E2810/(COUNTIF($J2810:$Q2810,"x")+1),-$E2810*N(P2810)))</f>
        <v/>
      </c>
      <c r="AE2810" s="34">
        <f>IF(OR($A2810="",$H2810&lt;&gt;"Ausgabe",Q2810=""),0,IF(Q2810="x",-$E2810/(COUNTIF($J2810:$Q2810,"x")+1),-$E2810*N(Q2810)))</f>
        <v/>
      </c>
    </row>
    <row r="2811">
      <c r="A2811" s="30" t="n"/>
      <c r="E2811" s="31" t="n"/>
      <c r="J2811" s="32" t="n"/>
      <c r="K2811" s="32" t="n"/>
      <c r="L2811" s="32" t="n"/>
      <c r="M2811" s="32" t="n"/>
      <c r="N2811" s="32" t="n"/>
      <c r="O2811" s="32" t="n"/>
      <c r="P2811" s="32" t="n"/>
      <c r="Q2811" s="32" t="n"/>
      <c r="U2811" s="31">
        <f>IF($A2811="","",SUM(X2811:AE2811))</f>
        <v/>
      </c>
      <c r="V2811" s="31">
        <f>IF($A2811="","",IF($H2811&lt;&gt;"Ausgabe",0,-$E2811-$U2811))</f>
        <v/>
      </c>
      <c r="W2811" s="33">
        <f>IF($A2811="","",DATE(YEAR($A2811),MONTH($A2811),1))</f>
        <v/>
      </c>
      <c r="X2811" s="34">
        <f>IF(OR($A2811="",$H2811&lt;&gt;"Ausgabe",J2811=""),0,IF(J2811="x",-$E2811/(COUNTIF($J2811:$Q2811,"x")+1),-$E2811*N(J2811)))</f>
        <v/>
      </c>
      <c r="Y2811" s="34">
        <f>IF(OR($A2811="",$H2811&lt;&gt;"Ausgabe",K2811=""),0,IF(K2811="x",-$E2811/(COUNTIF($J2811:$Q2811,"x")+1),-$E2811*N(K2811)))</f>
        <v/>
      </c>
      <c r="Z2811" s="34">
        <f>IF(OR($A2811="",$H2811&lt;&gt;"Ausgabe",L2811=""),0,IF(L2811="x",-$E2811/(COUNTIF($J2811:$Q2811,"x")+1),-$E2811*N(L2811)))</f>
        <v/>
      </c>
      <c r="AA2811" s="34">
        <f>IF(OR($A2811="",$H2811&lt;&gt;"Ausgabe",M2811=""),0,IF(M2811="x",-$E2811/(COUNTIF($J2811:$Q2811,"x")+1),-$E2811*N(M2811)))</f>
        <v/>
      </c>
      <c r="AB2811" s="34">
        <f>IF(OR($A2811="",$H2811&lt;&gt;"Ausgabe",N2811=""),0,IF(N2811="x",-$E2811/(COUNTIF($J2811:$Q2811,"x")+1),-$E2811*N(N2811)))</f>
        <v/>
      </c>
      <c r="AC2811" s="34">
        <f>IF(OR($A2811="",$H2811&lt;&gt;"Ausgabe",O2811=""),0,IF(O2811="x",-$E2811/(COUNTIF($J2811:$Q2811,"x")+1),-$E2811*N(O2811)))</f>
        <v/>
      </c>
      <c r="AD2811" s="34">
        <f>IF(OR($A2811="",$H2811&lt;&gt;"Ausgabe",P2811=""),0,IF(P2811="x",-$E2811/(COUNTIF($J2811:$Q2811,"x")+1),-$E2811*N(P2811)))</f>
        <v/>
      </c>
      <c r="AE2811" s="34">
        <f>IF(OR($A2811="",$H2811&lt;&gt;"Ausgabe",Q2811=""),0,IF(Q2811="x",-$E2811/(COUNTIF($J2811:$Q2811,"x")+1),-$E2811*N(Q2811)))</f>
        <v/>
      </c>
    </row>
    <row r="2812">
      <c r="A2812" s="30" t="n"/>
      <c r="E2812" s="31" t="n"/>
      <c r="J2812" s="32" t="n"/>
      <c r="K2812" s="32" t="n"/>
      <c r="L2812" s="32" t="n"/>
      <c r="M2812" s="32" t="n"/>
      <c r="N2812" s="32" t="n"/>
      <c r="O2812" s="32" t="n"/>
      <c r="P2812" s="32" t="n"/>
      <c r="Q2812" s="32" t="n"/>
      <c r="U2812" s="31">
        <f>IF($A2812="","",SUM(X2812:AE2812))</f>
        <v/>
      </c>
      <c r="V2812" s="31">
        <f>IF($A2812="","",IF($H2812&lt;&gt;"Ausgabe",0,-$E2812-$U2812))</f>
        <v/>
      </c>
      <c r="W2812" s="33">
        <f>IF($A2812="","",DATE(YEAR($A2812),MONTH($A2812),1))</f>
        <v/>
      </c>
      <c r="X2812" s="34">
        <f>IF(OR($A2812="",$H2812&lt;&gt;"Ausgabe",J2812=""),0,IF(J2812="x",-$E2812/(COUNTIF($J2812:$Q2812,"x")+1),-$E2812*N(J2812)))</f>
        <v/>
      </c>
      <c r="Y2812" s="34">
        <f>IF(OR($A2812="",$H2812&lt;&gt;"Ausgabe",K2812=""),0,IF(K2812="x",-$E2812/(COUNTIF($J2812:$Q2812,"x")+1),-$E2812*N(K2812)))</f>
        <v/>
      </c>
      <c r="Z2812" s="34">
        <f>IF(OR($A2812="",$H2812&lt;&gt;"Ausgabe",L2812=""),0,IF(L2812="x",-$E2812/(COUNTIF($J2812:$Q2812,"x")+1),-$E2812*N(L2812)))</f>
        <v/>
      </c>
      <c r="AA2812" s="34">
        <f>IF(OR($A2812="",$H2812&lt;&gt;"Ausgabe",M2812=""),0,IF(M2812="x",-$E2812/(COUNTIF($J2812:$Q2812,"x")+1),-$E2812*N(M2812)))</f>
        <v/>
      </c>
      <c r="AB2812" s="34">
        <f>IF(OR($A2812="",$H2812&lt;&gt;"Ausgabe",N2812=""),0,IF(N2812="x",-$E2812/(COUNTIF($J2812:$Q2812,"x")+1),-$E2812*N(N2812)))</f>
        <v/>
      </c>
      <c r="AC2812" s="34">
        <f>IF(OR($A2812="",$H2812&lt;&gt;"Ausgabe",O2812=""),0,IF(O2812="x",-$E2812/(COUNTIF($J2812:$Q2812,"x")+1),-$E2812*N(O2812)))</f>
        <v/>
      </c>
      <c r="AD2812" s="34">
        <f>IF(OR($A2812="",$H2812&lt;&gt;"Ausgabe",P2812=""),0,IF(P2812="x",-$E2812/(COUNTIF($J2812:$Q2812,"x")+1),-$E2812*N(P2812)))</f>
        <v/>
      </c>
      <c r="AE2812" s="34">
        <f>IF(OR($A2812="",$H2812&lt;&gt;"Ausgabe",Q2812=""),0,IF(Q2812="x",-$E2812/(COUNTIF($J2812:$Q2812,"x")+1),-$E2812*N(Q2812)))</f>
        <v/>
      </c>
    </row>
    <row r="2813">
      <c r="A2813" s="30" t="n"/>
      <c r="E2813" s="31" t="n"/>
      <c r="J2813" s="32" t="n"/>
      <c r="K2813" s="32" t="n"/>
      <c r="L2813" s="32" t="n"/>
      <c r="M2813" s="32" t="n"/>
      <c r="N2813" s="32" t="n"/>
      <c r="O2813" s="32" t="n"/>
      <c r="P2813" s="32" t="n"/>
      <c r="Q2813" s="32" t="n"/>
      <c r="U2813" s="31">
        <f>IF($A2813="","",SUM(X2813:AE2813))</f>
        <v/>
      </c>
      <c r="V2813" s="31">
        <f>IF($A2813="","",IF($H2813&lt;&gt;"Ausgabe",0,-$E2813-$U2813))</f>
        <v/>
      </c>
      <c r="W2813" s="33">
        <f>IF($A2813="","",DATE(YEAR($A2813),MONTH($A2813),1))</f>
        <v/>
      </c>
      <c r="X2813" s="34">
        <f>IF(OR($A2813="",$H2813&lt;&gt;"Ausgabe",J2813=""),0,IF(J2813="x",-$E2813/(COUNTIF($J2813:$Q2813,"x")+1),-$E2813*N(J2813)))</f>
        <v/>
      </c>
      <c r="Y2813" s="34">
        <f>IF(OR($A2813="",$H2813&lt;&gt;"Ausgabe",K2813=""),0,IF(K2813="x",-$E2813/(COUNTIF($J2813:$Q2813,"x")+1),-$E2813*N(K2813)))</f>
        <v/>
      </c>
      <c r="Z2813" s="34">
        <f>IF(OR($A2813="",$H2813&lt;&gt;"Ausgabe",L2813=""),0,IF(L2813="x",-$E2813/(COUNTIF($J2813:$Q2813,"x")+1),-$E2813*N(L2813)))</f>
        <v/>
      </c>
      <c r="AA2813" s="34">
        <f>IF(OR($A2813="",$H2813&lt;&gt;"Ausgabe",M2813=""),0,IF(M2813="x",-$E2813/(COUNTIF($J2813:$Q2813,"x")+1),-$E2813*N(M2813)))</f>
        <v/>
      </c>
      <c r="AB2813" s="34">
        <f>IF(OR($A2813="",$H2813&lt;&gt;"Ausgabe",N2813=""),0,IF(N2813="x",-$E2813/(COUNTIF($J2813:$Q2813,"x")+1),-$E2813*N(N2813)))</f>
        <v/>
      </c>
      <c r="AC2813" s="34">
        <f>IF(OR($A2813="",$H2813&lt;&gt;"Ausgabe",O2813=""),0,IF(O2813="x",-$E2813/(COUNTIF($J2813:$Q2813,"x")+1),-$E2813*N(O2813)))</f>
        <v/>
      </c>
      <c r="AD2813" s="34">
        <f>IF(OR($A2813="",$H2813&lt;&gt;"Ausgabe",P2813=""),0,IF(P2813="x",-$E2813/(COUNTIF($J2813:$Q2813,"x")+1),-$E2813*N(P2813)))</f>
        <v/>
      </c>
      <c r="AE2813" s="34">
        <f>IF(OR($A2813="",$H2813&lt;&gt;"Ausgabe",Q2813=""),0,IF(Q2813="x",-$E2813/(COUNTIF($J2813:$Q2813,"x")+1),-$E2813*N(Q2813)))</f>
        <v/>
      </c>
    </row>
    <row r="2814">
      <c r="A2814" s="30" t="n"/>
      <c r="E2814" s="31" t="n"/>
      <c r="J2814" s="32" t="n"/>
      <c r="K2814" s="32" t="n"/>
      <c r="L2814" s="32" t="n"/>
      <c r="M2814" s="32" t="n"/>
      <c r="N2814" s="32" t="n"/>
      <c r="O2814" s="32" t="n"/>
      <c r="P2814" s="32" t="n"/>
      <c r="Q2814" s="32" t="n"/>
      <c r="U2814" s="31">
        <f>IF($A2814="","",SUM(X2814:AE2814))</f>
        <v/>
      </c>
      <c r="V2814" s="31">
        <f>IF($A2814="","",IF($H2814&lt;&gt;"Ausgabe",0,-$E2814-$U2814))</f>
        <v/>
      </c>
      <c r="W2814" s="33">
        <f>IF($A2814="","",DATE(YEAR($A2814),MONTH($A2814),1))</f>
        <v/>
      </c>
      <c r="X2814" s="34">
        <f>IF(OR($A2814="",$H2814&lt;&gt;"Ausgabe",J2814=""),0,IF(J2814="x",-$E2814/(COUNTIF($J2814:$Q2814,"x")+1),-$E2814*N(J2814)))</f>
        <v/>
      </c>
      <c r="Y2814" s="34">
        <f>IF(OR($A2814="",$H2814&lt;&gt;"Ausgabe",K2814=""),0,IF(K2814="x",-$E2814/(COUNTIF($J2814:$Q2814,"x")+1),-$E2814*N(K2814)))</f>
        <v/>
      </c>
      <c r="Z2814" s="34">
        <f>IF(OR($A2814="",$H2814&lt;&gt;"Ausgabe",L2814=""),0,IF(L2814="x",-$E2814/(COUNTIF($J2814:$Q2814,"x")+1),-$E2814*N(L2814)))</f>
        <v/>
      </c>
      <c r="AA2814" s="34">
        <f>IF(OR($A2814="",$H2814&lt;&gt;"Ausgabe",M2814=""),0,IF(M2814="x",-$E2814/(COUNTIF($J2814:$Q2814,"x")+1),-$E2814*N(M2814)))</f>
        <v/>
      </c>
      <c r="AB2814" s="34">
        <f>IF(OR($A2814="",$H2814&lt;&gt;"Ausgabe",N2814=""),0,IF(N2814="x",-$E2814/(COUNTIF($J2814:$Q2814,"x")+1),-$E2814*N(N2814)))</f>
        <v/>
      </c>
      <c r="AC2814" s="34">
        <f>IF(OR($A2814="",$H2814&lt;&gt;"Ausgabe",O2814=""),0,IF(O2814="x",-$E2814/(COUNTIF($J2814:$Q2814,"x")+1),-$E2814*N(O2814)))</f>
        <v/>
      </c>
      <c r="AD2814" s="34">
        <f>IF(OR($A2814="",$H2814&lt;&gt;"Ausgabe",P2814=""),0,IF(P2814="x",-$E2814/(COUNTIF($J2814:$Q2814,"x")+1),-$E2814*N(P2814)))</f>
        <v/>
      </c>
      <c r="AE2814" s="34">
        <f>IF(OR($A2814="",$H2814&lt;&gt;"Ausgabe",Q2814=""),0,IF(Q2814="x",-$E2814/(COUNTIF($J2814:$Q2814,"x")+1),-$E2814*N(Q2814)))</f>
        <v/>
      </c>
    </row>
    <row r="2815">
      <c r="A2815" s="30" t="n"/>
      <c r="E2815" s="31" t="n"/>
      <c r="J2815" s="32" t="n"/>
      <c r="K2815" s="32" t="n"/>
      <c r="L2815" s="32" t="n"/>
      <c r="M2815" s="32" t="n"/>
      <c r="N2815" s="32" t="n"/>
      <c r="O2815" s="32" t="n"/>
      <c r="P2815" s="32" t="n"/>
      <c r="Q2815" s="32" t="n"/>
      <c r="U2815" s="31">
        <f>IF($A2815="","",SUM(X2815:AE2815))</f>
        <v/>
      </c>
      <c r="V2815" s="31">
        <f>IF($A2815="","",IF($H2815&lt;&gt;"Ausgabe",0,-$E2815-$U2815))</f>
        <v/>
      </c>
      <c r="W2815" s="33">
        <f>IF($A2815="","",DATE(YEAR($A2815),MONTH($A2815),1))</f>
        <v/>
      </c>
      <c r="X2815" s="34">
        <f>IF(OR($A2815="",$H2815&lt;&gt;"Ausgabe",J2815=""),0,IF(J2815="x",-$E2815/(COUNTIF($J2815:$Q2815,"x")+1),-$E2815*N(J2815)))</f>
        <v/>
      </c>
      <c r="Y2815" s="34">
        <f>IF(OR($A2815="",$H2815&lt;&gt;"Ausgabe",K2815=""),0,IF(K2815="x",-$E2815/(COUNTIF($J2815:$Q2815,"x")+1),-$E2815*N(K2815)))</f>
        <v/>
      </c>
      <c r="Z2815" s="34">
        <f>IF(OR($A2815="",$H2815&lt;&gt;"Ausgabe",L2815=""),0,IF(L2815="x",-$E2815/(COUNTIF($J2815:$Q2815,"x")+1),-$E2815*N(L2815)))</f>
        <v/>
      </c>
      <c r="AA2815" s="34">
        <f>IF(OR($A2815="",$H2815&lt;&gt;"Ausgabe",M2815=""),0,IF(M2815="x",-$E2815/(COUNTIF($J2815:$Q2815,"x")+1),-$E2815*N(M2815)))</f>
        <v/>
      </c>
      <c r="AB2815" s="34">
        <f>IF(OR($A2815="",$H2815&lt;&gt;"Ausgabe",N2815=""),0,IF(N2815="x",-$E2815/(COUNTIF($J2815:$Q2815,"x")+1),-$E2815*N(N2815)))</f>
        <v/>
      </c>
      <c r="AC2815" s="34">
        <f>IF(OR($A2815="",$H2815&lt;&gt;"Ausgabe",O2815=""),0,IF(O2815="x",-$E2815/(COUNTIF($J2815:$Q2815,"x")+1),-$E2815*N(O2815)))</f>
        <v/>
      </c>
      <c r="AD2815" s="34">
        <f>IF(OR($A2815="",$H2815&lt;&gt;"Ausgabe",P2815=""),0,IF(P2815="x",-$E2815/(COUNTIF($J2815:$Q2815,"x")+1),-$E2815*N(P2815)))</f>
        <v/>
      </c>
      <c r="AE2815" s="34">
        <f>IF(OR($A2815="",$H2815&lt;&gt;"Ausgabe",Q2815=""),0,IF(Q2815="x",-$E2815/(COUNTIF($J2815:$Q2815,"x")+1),-$E2815*N(Q2815)))</f>
        <v/>
      </c>
    </row>
    <row r="2816">
      <c r="A2816" s="30" t="n"/>
      <c r="E2816" s="31" t="n"/>
      <c r="J2816" s="32" t="n"/>
      <c r="K2816" s="32" t="n"/>
      <c r="L2816" s="32" t="n"/>
      <c r="M2816" s="32" t="n"/>
      <c r="N2816" s="32" t="n"/>
      <c r="O2816" s="32" t="n"/>
      <c r="P2816" s="32" t="n"/>
      <c r="Q2816" s="32" t="n"/>
      <c r="U2816" s="31">
        <f>IF($A2816="","",SUM(X2816:AE2816))</f>
        <v/>
      </c>
      <c r="V2816" s="31">
        <f>IF($A2816="","",IF($H2816&lt;&gt;"Ausgabe",0,-$E2816-$U2816))</f>
        <v/>
      </c>
      <c r="W2816" s="33">
        <f>IF($A2816="","",DATE(YEAR($A2816),MONTH($A2816),1))</f>
        <v/>
      </c>
      <c r="X2816" s="34">
        <f>IF(OR($A2816="",$H2816&lt;&gt;"Ausgabe",J2816=""),0,IF(J2816="x",-$E2816/(COUNTIF($J2816:$Q2816,"x")+1),-$E2816*N(J2816)))</f>
        <v/>
      </c>
      <c r="Y2816" s="34">
        <f>IF(OR($A2816="",$H2816&lt;&gt;"Ausgabe",K2816=""),0,IF(K2816="x",-$E2816/(COUNTIF($J2816:$Q2816,"x")+1),-$E2816*N(K2816)))</f>
        <v/>
      </c>
      <c r="Z2816" s="34">
        <f>IF(OR($A2816="",$H2816&lt;&gt;"Ausgabe",L2816=""),0,IF(L2816="x",-$E2816/(COUNTIF($J2816:$Q2816,"x")+1),-$E2816*N(L2816)))</f>
        <v/>
      </c>
      <c r="AA2816" s="34">
        <f>IF(OR($A2816="",$H2816&lt;&gt;"Ausgabe",M2816=""),0,IF(M2816="x",-$E2816/(COUNTIF($J2816:$Q2816,"x")+1),-$E2816*N(M2816)))</f>
        <v/>
      </c>
      <c r="AB2816" s="34">
        <f>IF(OR($A2816="",$H2816&lt;&gt;"Ausgabe",N2816=""),0,IF(N2816="x",-$E2816/(COUNTIF($J2816:$Q2816,"x")+1),-$E2816*N(N2816)))</f>
        <v/>
      </c>
      <c r="AC2816" s="34">
        <f>IF(OR($A2816="",$H2816&lt;&gt;"Ausgabe",O2816=""),0,IF(O2816="x",-$E2816/(COUNTIF($J2816:$Q2816,"x")+1),-$E2816*N(O2816)))</f>
        <v/>
      </c>
      <c r="AD2816" s="34">
        <f>IF(OR($A2816="",$H2816&lt;&gt;"Ausgabe",P2816=""),0,IF(P2816="x",-$E2816/(COUNTIF($J2816:$Q2816,"x")+1),-$E2816*N(P2816)))</f>
        <v/>
      </c>
      <c r="AE2816" s="34">
        <f>IF(OR($A2816="",$H2816&lt;&gt;"Ausgabe",Q2816=""),0,IF(Q2816="x",-$E2816/(COUNTIF($J2816:$Q2816,"x")+1),-$E2816*N(Q2816)))</f>
        <v/>
      </c>
    </row>
    <row r="2817">
      <c r="A2817" s="30" t="n"/>
      <c r="E2817" s="31" t="n"/>
      <c r="J2817" s="32" t="n"/>
      <c r="K2817" s="32" t="n"/>
      <c r="L2817" s="32" t="n"/>
      <c r="M2817" s="32" t="n"/>
      <c r="N2817" s="32" t="n"/>
      <c r="O2817" s="32" t="n"/>
      <c r="P2817" s="32" t="n"/>
      <c r="Q2817" s="32" t="n"/>
      <c r="U2817" s="31">
        <f>IF($A2817="","",SUM(X2817:AE2817))</f>
        <v/>
      </c>
      <c r="V2817" s="31">
        <f>IF($A2817="","",IF($H2817&lt;&gt;"Ausgabe",0,-$E2817-$U2817))</f>
        <v/>
      </c>
      <c r="W2817" s="33">
        <f>IF($A2817="","",DATE(YEAR($A2817),MONTH($A2817),1))</f>
        <v/>
      </c>
      <c r="X2817" s="34">
        <f>IF(OR($A2817="",$H2817&lt;&gt;"Ausgabe",J2817=""),0,IF(J2817="x",-$E2817/(COUNTIF($J2817:$Q2817,"x")+1),-$E2817*N(J2817)))</f>
        <v/>
      </c>
      <c r="Y2817" s="34">
        <f>IF(OR($A2817="",$H2817&lt;&gt;"Ausgabe",K2817=""),0,IF(K2817="x",-$E2817/(COUNTIF($J2817:$Q2817,"x")+1),-$E2817*N(K2817)))</f>
        <v/>
      </c>
      <c r="Z2817" s="34">
        <f>IF(OR($A2817="",$H2817&lt;&gt;"Ausgabe",L2817=""),0,IF(L2817="x",-$E2817/(COUNTIF($J2817:$Q2817,"x")+1),-$E2817*N(L2817)))</f>
        <v/>
      </c>
      <c r="AA2817" s="34">
        <f>IF(OR($A2817="",$H2817&lt;&gt;"Ausgabe",M2817=""),0,IF(M2817="x",-$E2817/(COUNTIF($J2817:$Q2817,"x")+1),-$E2817*N(M2817)))</f>
        <v/>
      </c>
      <c r="AB2817" s="34">
        <f>IF(OR($A2817="",$H2817&lt;&gt;"Ausgabe",N2817=""),0,IF(N2817="x",-$E2817/(COUNTIF($J2817:$Q2817,"x")+1),-$E2817*N(N2817)))</f>
        <v/>
      </c>
      <c r="AC2817" s="34">
        <f>IF(OR($A2817="",$H2817&lt;&gt;"Ausgabe",O2817=""),0,IF(O2817="x",-$E2817/(COUNTIF($J2817:$Q2817,"x")+1),-$E2817*N(O2817)))</f>
        <v/>
      </c>
      <c r="AD2817" s="34">
        <f>IF(OR($A2817="",$H2817&lt;&gt;"Ausgabe",P2817=""),0,IF(P2817="x",-$E2817/(COUNTIF($J2817:$Q2817,"x")+1),-$E2817*N(P2817)))</f>
        <v/>
      </c>
      <c r="AE2817" s="34">
        <f>IF(OR($A2817="",$H2817&lt;&gt;"Ausgabe",Q2817=""),0,IF(Q2817="x",-$E2817/(COUNTIF($J2817:$Q2817,"x")+1),-$E2817*N(Q2817)))</f>
        <v/>
      </c>
    </row>
    <row r="2818">
      <c r="A2818" s="30" t="n"/>
      <c r="E2818" s="31" t="n"/>
      <c r="J2818" s="32" t="n"/>
      <c r="K2818" s="32" t="n"/>
      <c r="L2818" s="32" t="n"/>
      <c r="M2818" s="32" t="n"/>
      <c r="N2818" s="32" t="n"/>
      <c r="O2818" s="32" t="n"/>
      <c r="P2818" s="32" t="n"/>
      <c r="Q2818" s="32" t="n"/>
      <c r="U2818" s="31">
        <f>IF($A2818="","",SUM(X2818:AE2818))</f>
        <v/>
      </c>
      <c r="V2818" s="31">
        <f>IF($A2818="","",IF($H2818&lt;&gt;"Ausgabe",0,-$E2818-$U2818))</f>
        <v/>
      </c>
      <c r="W2818" s="33">
        <f>IF($A2818="","",DATE(YEAR($A2818),MONTH($A2818),1))</f>
        <v/>
      </c>
      <c r="X2818" s="34">
        <f>IF(OR($A2818="",$H2818&lt;&gt;"Ausgabe",J2818=""),0,IF(J2818="x",-$E2818/(COUNTIF($J2818:$Q2818,"x")+1),-$E2818*N(J2818)))</f>
        <v/>
      </c>
      <c r="Y2818" s="34">
        <f>IF(OR($A2818="",$H2818&lt;&gt;"Ausgabe",K2818=""),0,IF(K2818="x",-$E2818/(COUNTIF($J2818:$Q2818,"x")+1),-$E2818*N(K2818)))</f>
        <v/>
      </c>
      <c r="Z2818" s="34">
        <f>IF(OR($A2818="",$H2818&lt;&gt;"Ausgabe",L2818=""),0,IF(L2818="x",-$E2818/(COUNTIF($J2818:$Q2818,"x")+1),-$E2818*N(L2818)))</f>
        <v/>
      </c>
      <c r="AA2818" s="34">
        <f>IF(OR($A2818="",$H2818&lt;&gt;"Ausgabe",M2818=""),0,IF(M2818="x",-$E2818/(COUNTIF($J2818:$Q2818,"x")+1),-$E2818*N(M2818)))</f>
        <v/>
      </c>
      <c r="AB2818" s="34">
        <f>IF(OR($A2818="",$H2818&lt;&gt;"Ausgabe",N2818=""),0,IF(N2818="x",-$E2818/(COUNTIF($J2818:$Q2818,"x")+1),-$E2818*N(N2818)))</f>
        <v/>
      </c>
      <c r="AC2818" s="34">
        <f>IF(OR($A2818="",$H2818&lt;&gt;"Ausgabe",O2818=""),0,IF(O2818="x",-$E2818/(COUNTIF($J2818:$Q2818,"x")+1),-$E2818*N(O2818)))</f>
        <v/>
      </c>
      <c r="AD2818" s="34">
        <f>IF(OR($A2818="",$H2818&lt;&gt;"Ausgabe",P2818=""),0,IF(P2818="x",-$E2818/(COUNTIF($J2818:$Q2818,"x")+1),-$E2818*N(P2818)))</f>
        <v/>
      </c>
      <c r="AE2818" s="34">
        <f>IF(OR($A2818="",$H2818&lt;&gt;"Ausgabe",Q2818=""),0,IF(Q2818="x",-$E2818/(COUNTIF($J2818:$Q2818,"x")+1),-$E2818*N(Q2818)))</f>
        <v/>
      </c>
    </row>
    <row r="2819">
      <c r="A2819" s="30" t="n"/>
      <c r="E2819" s="31" t="n"/>
      <c r="J2819" s="32" t="n"/>
      <c r="K2819" s="32" t="n"/>
      <c r="L2819" s="32" t="n"/>
      <c r="M2819" s="32" t="n"/>
      <c r="N2819" s="32" t="n"/>
      <c r="O2819" s="32" t="n"/>
      <c r="P2819" s="32" t="n"/>
      <c r="Q2819" s="32" t="n"/>
      <c r="U2819" s="31">
        <f>IF($A2819="","",SUM(X2819:AE2819))</f>
        <v/>
      </c>
      <c r="V2819" s="31">
        <f>IF($A2819="","",IF($H2819&lt;&gt;"Ausgabe",0,-$E2819-$U2819))</f>
        <v/>
      </c>
      <c r="W2819" s="33">
        <f>IF($A2819="","",DATE(YEAR($A2819),MONTH($A2819),1))</f>
        <v/>
      </c>
      <c r="X2819" s="34">
        <f>IF(OR($A2819="",$H2819&lt;&gt;"Ausgabe",J2819=""),0,IF(J2819="x",-$E2819/(COUNTIF($J2819:$Q2819,"x")+1),-$E2819*N(J2819)))</f>
        <v/>
      </c>
      <c r="Y2819" s="34">
        <f>IF(OR($A2819="",$H2819&lt;&gt;"Ausgabe",K2819=""),0,IF(K2819="x",-$E2819/(COUNTIF($J2819:$Q2819,"x")+1),-$E2819*N(K2819)))</f>
        <v/>
      </c>
      <c r="Z2819" s="34">
        <f>IF(OR($A2819="",$H2819&lt;&gt;"Ausgabe",L2819=""),0,IF(L2819="x",-$E2819/(COUNTIF($J2819:$Q2819,"x")+1),-$E2819*N(L2819)))</f>
        <v/>
      </c>
      <c r="AA2819" s="34">
        <f>IF(OR($A2819="",$H2819&lt;&gt;"Ausgabe",M2819=""),0,IF(M2819="x",-$E2819/(COUNTIF($J2819:$Q2819,"x")+1),-$E2819*N(M2819)))</f>
        <v/>
      </c>
      <c r="AB2819" s="34">
        <f>IF(OR($A2819="",$H2819&lt;&gt;"Ausgabe",N2819=""),0,IF(N2819="x",-$E2819/(COUNTIF($J2819:$Q2819,"x")+1),-$E2819*N(N2819)))</f>
        <v/>
      </c>
      <c r="AC2819" s="34">
        <f>IF(OR($A2819="",$H2819&lt;&gt;"Ausgabe",O2819=""),0,IF(O2819="x",-$E2819/(COUNTIF($J2819:$Q2819,"x")+1),-$E2819*N(O2819)))</f>
        <v/>
      </c>
      <c r="AD2819" s="34">
        <f>IF(OR($A2819="",$H2819&lt;&gt;"Ausgabe",P2819=""),0,IF(P2819="x",-$E2819/(COUNTIF($J2819:$Q2819,"x")+1),-$E2819*N(P2819)))</f>
        <v/>
      </c>
      <c r="AE2819" s="34">
        <f>IF(OR($A2819="",$H2819&lt;&gt;"Ausgabe",Q2819=""),0,IF(Q2819="x",-$E2819/(COUNTIF($J2819:$Q2819,"x")+1),-$E2819*N(Q2819)))</f>
        <v/>
      </c>
    </row>
    <row r="2820">
      <c r="A2820" s="30" t="n"/>
      <c r="E2820" s="31" t="n"/>
      <c r="J2820" s="32" t="n"/>
      <c r="K2820" s="32" t="n"/>
      <c r="L2820" s="32" t="n"/>
      <c r="M2820" s="32" t="n"/>
      <c r="N2820" s="32" t="n"/>
      <c r="O2820" s="32" t="n"/>
      <c r="P2820" s="32" t="n"/>
      <c r="Q2820" s="32" t="n"/>
      <c r="U2820" s="31">
        <f>IF($A2820="","",SUM(X2820:AE2820))</f>
        <v/>
      </c>
      <c r="V2820" s="31">
        <f>IF($A2820="","",IF($H2820&lt;&gt;"Ausgabe",0,-$E2820-$U2820))</f>
        <v/>
      </c>
      <c r="W2820" s="33">
        <f>IF($A2820="","",DATE(YEAR($A2820),MONTH($A2820),1))</f>
        <v/>
      </c>
      <c r="X2820" s="34">
        <f>IF(OR($A2820="",$H2820&lt;&gt;"Ausgabe",J2820=""),0,IF(J2820="x",-$E2820/(COUNTIF($J2820:$Q2820,"x")+1),-$E2820*N(J2820)))</f>
        <v/>
      </c>
      <c r="Y2820" s="34">
        <f>IF(OR($A2820="",$H2820&lt;&gt;"Ausgabe",K2820=""),0,IF(K2820="x",-$E2820/(COUNTIF($J2820:$Q2820,"x")+1),-$E2820*N(K2820)))</f>
        <v/>
      </c>
      <c r="Z2820" s="34">
        <f>IF(OR($A2820="",$H2820&lt;&gt;"Ausgabe",L2820=""),0,IF(L2820="x",-$E2820/(COUNTIF($J2820:$Q2820,"x")+1),-$E2820*N(L2820)))</f>
        <v/>
      </c>
      <c r="AA2820" s="34">
        <f>IF(OR($A2820="",$H2820&lt;&gt;"Ausgabe",M2820=""),0,IF(M2820="x",-$E2820/(COUNTIF($J2820:$Q2820,"x")+1),-$E2820*N(M2820)))</f>
        <v/>
      </c>
      <c r="AB2820" s="34">
        <f>IF(OR($A2820="",$H2820&lt;&gt;"Ausgabe",N2820=""),0,IF(N2820="x",-$E2820/(COUNTIF($J2820:$Q2820,"x")+1),-$E2820*N(N2820)))</f>
        <v/>
      </c>
      <c r="AC2820" s="34">
        <f>IF(OR($A2820="",$H2820&lt;&gt;"Ausgabe",O2820=""),0,IF(O2820="x",-$E2820/(COUNTIF($J2820:$Q2820,"x")+1),-$E2820*N(O2820)))</f>
        <v/>
      </c>
      <c r="AD2820" s="34">
        <f>IF(OR($A2820="",$H2820&lt;&gt;"Ausgabe",P2820=""),0,IF(P2820="x",-$E2820/(COUNTIF($J2820:$Q2820,"x")+1),-$E2820*N(P2820)))</f>
        <v/>
      </c>
      <c r="AE2820" s="34">
        <f>IF(OR($A2820="",$H2820&lt;&gt;"Ausgabe",Q2820=""),0,IF(Q2820="x",-$E2820/(COUNTIF($J2820:$Q2820,"x")+1),-$E2820*N(Q2820)))</f>
        <v/>
      </c>
    </row>
    <row r="2821">
      <c r="A2821" s="30" t="n"/>
      <c r="E2821" s="31" t="n"/>
      <c r="J2821" s="32" t="n"/>
      <c r="K2821" s="32" t="n"/>
      <c r="L2821" s="32" t="n"/>
      <c r="M2821" s="32" t="n"/>
      <c r="N2821" s="32" t="n"/>
      <c r="O2821" s="32" t="n"/>
      <c r="P2821" s="32" t="n"/>
      <c r="Q2821" s="32" t="n"/>
      <c r="U2821" s="31">
        <f>IF($A2821="","",SUM(X2821:AE2821))</f>
        <v/>
      </c>
      <c r="V2821" s="31">
        <f>IF($A2821="","",IF($H2821&lt;&gt;"Ausgabe",0,-$E2821-$U2821))</f>
        <v/>
      </c>
      <c r="W2821" s="33">
        <f>IF($A2821="","",DATE(YEAR($A2821),MONTH($A2821),1))</f>
        <v/>
      </c>
      <c r="X2821" s="34">
        <f>IF(OR($A2821="",$H2821&lt;&gt;"Ausgabe",J2821=""),0,IF(J2821="x",-$E2821/(COUNTIF($J2821:$Q2821,"x")+1),-$E2821*N(J2821)))</f>
        <v/>
      </c>
      <c r="Y2821" s="34">
        <f>IF(OR($A2821="",$H2821&lt;&gt;"Ausgabe",K2821=""),0,IF(K2821="x",-$E2821/(COUNTIF($J2821:$Q2821,"x")+1),-$E2821*N(K2821)))</f>
        <v/>
      </c>
      <c r="Z2821" s="34">
        <f>IF(OR($A2821="",$H2821&lt;&gt;"Ausgabe",L2821=""),0,IF(L2821="x",-$E2821/(COUNTIF($J2821:$Q2821,"x")+1),-$E2821*N(L2821)))</f>
        <v/>
      </c>
      <c r="AA2821" s="34">
        <f>IF(OR($A2821="",$H2821&lt;&gt;"Ausgabe",M2821=""),0,IF(M2821="x",-$E2821/(COUNTIF($J2821:$Q2821,"x")+1),-$E2821*N(M2821)))</f>
        <v/>
      </c>
      <c r="AB2821" s="34">
        <f>IF(OR($A2821="",$H2821&lt;&gt;"Ausgabe",N2821=""),0,IF(N2821="x",-$E2821/(COUNTIF($J2821:$Q2821,"x")+1),-$E2821*N(N2821)))</f>
        <v/>
      </c>
      <c r="AC2821" s="34">
        <f>IF(OR($A2821="",$H2821&lt;&gt;"Ausgabe",O2821=""),0,IF(O2821="x",-$E2821/(COUNTIF($J2821:$Q2821,"x")+1),-$E2821*N(O2821)))</f>
        <v/>
      </c>
      <c r="AD2821" s="34">
        <f>IF(OR($A2821="",$H2821&lt;&gt;"Ausgabe",P2821=""),0,IF(P2821="x",-$E2821/(COUNTIF($J2821:$Q2821,"x")+1),-$E2821*N(P2821)))</f>
        <v/>
      </c>
      <c r="AE2821" s="34">
        <f>IF(OR($A2821="",$H2821&lt;&gt;"Ausgabe",Q2821=""),0,IF(Q2821="x",-$E2821/(COUNTIF($J2821:$Q2821,"x")+1),-$E2821*N(Q2821)))</f>
        <v/>
      </c>
    </row>
    <row r="2822">
      <c r="A2822" s="30" t="n"/>
      <c r="E2822" s="31" t="n"/>
      <c r="J2822" s="32" t="n"/>
      <c r="K2822" s="32" t="n"/>
      <c r="L2822" s="32" t="n"/>
      <c r="M2822" s="32" t="n"/>
      <c r="N2822" s="32" t="n"/>
      <c r="O2822" s="32" t="n"/>
      <c r="P2822" s="32" t="n"/>
      <c r="Q2822" s="32" t="n"/>
      <c r="U2822" s="31">
        <f>IF($A2822="","",SUM(X2822:AE2822))</f>
        <v/>
      </c>
      <c r="V2822" s="31">
        <f>IF($A2822="","",IF($H2822&lt;&gt;"Ausgabe",0,-$E2822-$U2822))</f>
        <v/>
      </c>
      <c r="W2822" s="33">
        <f>IF($A2822="","",DATE(YEAR($A2822),MONTH($A2822),1))</f>
        <v/>
      </c>
      <c r="X2822" s="34">
        <f>IF(OR($A2822="",$H2822&lt;&gt;"Ausgabe",J2822=""),0,IF(J2822="x",-$E2822/(COUNTIF($J2822:$Q2822,"x")+1),-$E2822*N(J2822)))</f>
        <v/>
      </c>
      <c r="Y2822" s="34">
        <f>IF(OR($A2822="",$H2822&lt;&gt;"Ausgabe",K2822=""),0,IF(K2822="x",-$E2822/(COUNTIF($J2822:$Q2822,"x")+1),-$E2822*N(K2822)))</f>
        <v/>
      </c>
      <c r="Z2822" s="34">
        <f>IF(OR($A2822="",$H2822&lt;&gt;"Ausgabe",L2822=""),0,IF(L2822="x",-$E2822/(COUNTIF($J2822:$Q2822,"x")+1),-$E2822*N(L2822)))</f>
        <v/>
      </c>
      <c r="AA2822" s="34">
        <f>IF(OR($A2822="",$H2822&lt;&gt;"Ausgabe",M2822=""),0,IF(M2822="x",-$E2822/(COUNTIF($J2822:$Q2822,"x")+1),-$E2822*N(M2822)))</f>
        <v/>
      </c>
      <c r="AB2822" s="34">
        <f>IF(OR($A2822="",$H2822&lt;&gt;"Ausgabe",N2822=""),0,IF(N2822="x",-$E2822/(COUNTIF($J2822:$Q2822,"x")+1),-$E2822*N(N2822)))</f>
        <v/>
      </c>
      <c r="AC2822" s="34">
        <f>IF(OR($A2822="",$H2822&lt;&gt;"Ausgabe",O2822=""),0,IF(O2822="x",-$E2822/(COUNTIF($J2822:$Q2822,"x")+1),-$E2822*N(O2822)))</f>
        <v/>
      </c>
      <c r="AD2822" s="34">
        <f>IF(OR($A2822="",$H2822&lt;&gt;"Ausgabe",P2822=""),0,IF(P2822="x",-$E2822/(COUNTIF($J2822:$Q2822,"x")+1),-$E2822*N(P2822)))</f>
        <v/>
      </c>
      <c r="AE2822" s="34">
        <f>IF(OR($A2822="",$H2822&lt;&gt;"Ausgabe",Q2822=""),0,IF(Q2822="x",-$E2822/(COUNTIF($J2822:$Q2822,"x")+1),-$E2822*N(Q2822)))</f>
        <v/>
      </c>
    </row>
    <row r="2823">
      <c r="A2823" s="30" t="n"/>
      <c r="E2823" s="31" t="n"/>
      <c r="J2823" s="32" t="n"/>
      <c r="K2823" s="32" t="n"/>
      <c r="L2823" s="32" t="n"/>
      <c r="M2823" s="32" t="n"/>
      <c r="N2823" s="32" t="n"/>
      <c r="O2823" s="32" t="n"/>
      <c r="P2823" s="32" t="n"/>
      <c r="Q2823" s="32" t="n"/>
      <c r="U2823" s="31">
        <f>IF($A2823="","",SUM(X2823:AE2823))</f>
        <v/>
      </c>
      <c r="V2823" s="31">
        <f>IF($A2823="","",IF($H2823&lt;&gt;"Ausgabe",0,-$E2823-$U2823))</f>
        <v/>
      </c>
      <c r="W2823" s="33">
        <f>IF($A2823="","",DATE(YEAR($A2823),MONTH($A2823),1))</f>
        <v/>
      </c>
      <c r="X2823" s="34">
        <f>IF(OR($A2823="",$H2823&lt;&gt;"Ausgabe",J2823=""),0,IF(J2823="x",-$E2823/(COUNTIF($J2823:$Q2823,"x")+1),-$E2823*N(J2823)))</f>
        <v/>
      </c>
      <c r="Y2823" s="34">
        <f>IF(OR($A2823="",$H2823&lt;&gt;"Ausgabe",K2823=""),0,IF(K2823="x",-$E2823/(COUNTIF($J2823:$Q2823,"x")+1),-$E2823*N(K2823)))</f>
        <v/>
      </c>
      <c r="Z2823" s="34">
        <f>IF(OR($A2823="",$H2823&lt;&gt;"Ausgabe",L2823=""),0,IF(L2823="x",-$E2823/(COUNTIF($J2823:$Q2823,"x")+1),-$E2823*N(L2823)))</f>
        <v/>
      </c>
      <c r="AA2823" s="34">
        <f>IF(OR($A2823="",$H2823&lt;&gt;"Ausgabe",M2823=""),0,IF(M2823="x",-$E2823/(COUNTIF($J2823:$Q2823,"x")+1),-$E2823*N(M2823)))</f>
        <v/>
      </c>
      <c r="AB2823" s="34">
        <f>IF(OR($A2823="",$H2823&lt;&gt;"Ausgabe",N2823=""),0,IF(N2823="x",-$E2823/(COUNTIF($J2823:$Q2823,"x")+1),-$E2823*N(N2823)))</f>
        <v/>
      </c>
      <c r="AC2823" s="34">
        <f>IF(OR($A2823="",$H2823&lt;&gt;"Ausgabe",O2823=""),0,IF(O2823="x",-$E2823/(COUNTIF($J2823:$Q2823,"x")+1),-$E2823*N(O2823)))</f>
        <v/>
      </c>
      <c r="AD2823" s="34">
        <f>IF(OR($A2823="",$H2823&lt;&gt;"Ausgabe",P2823=""),0,IF(P2823="x",-$E2823/(COUNTIF($J2823:$Q2823,"x")+1),-$E2823*N(P2823)))</f>
        <v/>
      </c>
      <c r="AE2823" s="34">
        <f>IF(OR($A2823="",$H2823&lt;&gt;"Ausgabe",Q2823=""),0,IF(Q2823="x",-$E2823/(COUNTIF($J2823:$Q2823,"x")+1),-$E2823*N(Q2823)))</f>
        <v/>
      </c>
    </row>
    <row r="2824">
      <c r="A2824" s="30" t="n"/>
      <c r="E2824" s="31" t="n"/>
      <c r="J2824" s="32" t="n"/>
      <c r="K2824" s="32" t="n"/>
      <c r="L2824" s="32" t="n"/>
      <c r="M2824" s="32" t="n"/>
      <c r="N2824" s="32" t="n"/>
      <c r="O2824" s="32" t="n"/>
      <c r="P2824" s="32" t="n"/>
      <c r="Q2824" s="32" t="n"/>
      <c r="U2824" s="31">
        <f>IF($A2824="","",SUM(X2824:AE2824))</f>
        <v/>
      </c>
      <c r="V2824" s="31">
        <f>IF($A2824="","",IF($H2824&lt;&gt;"Ausgabe",0,-$E2824-$U2824))</f>
        <v/>
      </c>
      <c r="W2824" s="33">
        <f>IF($A2824="","",DATE(YEAR($A2824),MONTH($A2824),1))</f>
        <v/>
      </c>
      <c r="X2824" s="34">
        <f>IF(OR($A2824="",$H2824&lt;&gt;"Ausgabe",J2824=""),0,IF(J2824="x",-$E2824/(COUNTIF($J2824:$Q2824,"x")+1),-$E2824*N(J2824)))</f>
        <v/>
      </c>
      <c r="Y2824" s="34">
        <f>IF(OR($A2824="",$H2824&lt;&gt;"Ausgabe",K2824=""),0,IF(K2824="x",-$E2824/(COUNTIF($J2824:$Q2824,"x")+1),-$E2824*N(K2824)))</f>
        <v/>
      </c>
      <c r="Z2824" s="34">
        <f>IF(OR($A2824="",$H2824&lt;&gt;"Ausgabe",L2824=""),0,IF(L2824="x",-$E2824/(COUNTIF($J2824:$Q2824,"x")+1),-$E2824*N(L2824)))</f>
        <v/>
      </c>
      <c r="AA2824" s="34">
        <f>IF(OR($A2824="",$H2824&lt;&gt;"Ausgabe",M2824=""),0,IF(M2824="x",-$E2824/(COUNTIF($J2824:$Q2824,"x")+1),-$E2824*N(M2824)))</f>
        <v/>
      </c>
      <c r="AB2824" s="34">
        <f>IF(OR($A2824="",$H2824&lt;&gt;"Ausgabe",N2824=""),0,IF(N2824="x",-$E2824/(COUNTIF($J2824:$Q2824,"x")+1),-$E2824*N(N2824)))</f>
        <v/>
      </c>
      <c r="AC2824" s="34">
        <f>IF(OR($A2824="",$H2824&lt;&gt;"Ausgabe",O2824=""),0,IF(O2824="x",-$E2824/(COUNTIF($J2824:$Q2824,"x")+1),-$E2824*N(O2824)))</f>
        <v/>
      </c>
      <c r="AD2824" s="34">
        <f>IF(OR($A2824="",$H2824&lt;&gt;"Ausgabe",P2824=""),0,IF(P2824="x",-$E2824/(COUNTIF($J2824:$Q2824,"x")+1),-$E2824*N(P2824)))</f>
        <v/>
      </c>
      <c r="AE2824" s="34">
        <f>IF(OR($A2824="",$H2824&lt;&gt;"Ausgabe",Q2824=""),0,IF(Q2824="x",-$E2824/(COUNTIF($J2824:$Q2824,"x")+1),-$E2824*N(Q2824)))</f>
        <v/>
      </c>
    </row>
    <row r="2825">
      <c r="A2825" s="30" t="n"/>
      <c r="E2825" s="31" t="n"/>
      <c r="J2825" s="32" t="n"/>
      <c r="K2825" s="32" t="n"/>
      <c r="L2825" s="32" t="n"/>
      <c r="M2825" s="32" t="n"/>
      <c r="N2825" s="32" t="n"/>
      <c r="O2825" s="32" t="n"/>
      <c r="P2825" s="32" t="n"/>
      <c r="Q2825" s="32" t="n"/>
      <c r="U2825" s="31">
        <f>IF($A2825="","",SUM(X2825:AE2825))</f>
        <v/>
      </c>
      <c r="V2825" s="31">
        <f>IF($A2825="","",IF($H2825&lt;&gt;"Ausgabe",0,-$E2825-$U2825))</f>
        <v/>
      </c>
      <c r="W2825" s="33">
        <f>IF($A2825="","",DATE(YEAR($A2825),MONTH($A2825),1))</f>
        <v/>
      </c>
      <c r="X2825" s="34">
        <f>IF(OR($A2825="",$H2825&lt;&gt;"Ausgabe",J2825=""),0,IF(J2825="x",-$E2825/(COUNTIF($J2825:$Q2825,"x")+1),-$E2825*N(J2825)))</f>
        <v/>
      </c>
      <c r="Y2825" s="34">
        <f>IF(OR($A2825="",$H2825&lt;&gt;"Ausgabe",K2825=""),0,IF(K2825="x",-$E2825/(COUNTIF($J2825:$Q2825,"x")+1),-$E2825*N(K2825)))</f>
        <v/>
      </c>
      <c r="Z2825" s="34">
        <f>IF(OR($A2825="",$H2825&lt;&gt;"Ausgabe",L2825=""),0,IF(L2825="x",-$E2825/(COUNTIF($J2825:$Q2825,"x")+1),-$E2825*N(L2825)))</f>
        <v/>
      </c>
      <c r="AA2825" s="34">
        <f>IF(OR($A2825="",$H2825&lt;&gt;"Ausgabe",M2825=""),0,IF(M2825="x",-$E2825/(COUNTIF($J2825:$Q2825,"x")+1),-$E2825*N(M2825)))</f>
        <v/>
      </c>
      <c r="AB2825" s="34">
        <f>IF(OR($A2825="",$H2825&lt;&gt;"Ausgabe",N2825=""),0,IF(N2825="x",-$E2825/(COUNTIF($J2825:$Q2825,"x")+1),-$E2825*N(N2825)))</f>
        <v/>
      </c>
      <c r="AC2825" s="34">
        <f>IF(OR($A2825="",$H2825&lt;&gt;"Ausgabe",O2825=""),0,IF(O2825="x",-$E2825/(COUNTIF($J2825:$Q2825,"x")+1),-$E2825*N(O2825)))</f>
        <v/>
      </c>
      <c r="AD2825" s="34">
        <f>IF(OR($A2825="",$H2825&lt;&gt;"Ausgabe",P2825=""),0,IF(P2825="x",-$E2825/(COUNTIF($J2825:$Q2825,"x")+1),-$E2825*N(P2825)))</f>
        <v/>
      </c>
      <c r="AE2825" s="34">
        <f>IF(OR($A2825="",$H2825&lt;&gt;"Ausgabe",Q2825=""),0,IF(Q2825="x",-$E2825/(COUNTIF($J2825:$Q2825,"x")+1),-$E2825*N(Q2825)))</f>
        <v/>
      </c>
    </row>
    <row r="2826">
      <c r="A2826" s="30" t="n"/>
      <c r="E2826" s="31" t="n"/>
      <c r="J2826" s="32" t="n"/>
      <c r="K2826" s="32" t="n"/>
      <c r="L2826" s="32" t="n"/>
      <c r="M2826" s="32" t="n"/>
      <c r="N2826" s="32" t="n"/>
      <c r="O2826" s="32" t="n"/>
      <c r="P2826" s="32" t="n"/>
      <c r="Q2826" s="32" t="n"/>
      <c r="U2826" s="31">
        <f>IF($A2826="","",SUM(X2826:AE2826))</f>
        <v/>
      </c>
      <c r="V2826" s="31">
        <f>IF($A2826="","",IF($H2826&lt;&gt;"Ausgabe",0,-$E2826-$U2826))</f>
        <v/>
      </c>
      <c r="W2826" s="33">
        <f>IF($A2826="","",DATE(YEAR($A2826),MONTH($A2826),1))</f>
        <v/>
      </c>
      <c r="X2826" s="34">
        <f>IF(OR($A2826="",$H2826&lt;&gt;"Ausgabe",J2826=""),0,IF(J2826="x",-$E2826/(COUNTIF($J2826:$Q2826,"x")+1),-$E2826*N(J2826)))</f>
        <v/>
      </c>
      <c r="Y2826" s="34">
        <f>IF(OR($A2826="",$H2826&lt;&gt;"Ausgabe",K2826=""),0,IF(K2826="x",-$E2826/(COUNTIF($J2826:$Q2826,"x")+1),-$E2826*N(K2826)))</f>
        <v/>
      </c>
      <c r="Z2826" s="34">
        <f>IF(OR($A2826="",$H2826&lt;&gt;"Ausgabe",L2826=""),0,IF(L2826="x",-$E2826/(COUNTIF($J2826:$Q2826,"x")+1),-$E2826*N(L2826)))</f>
        <v/>
      </c>
      <c r="AA2826" s="34">
        <f>IF(OR($A2826="",$H2826&lt;&gt;"Ausgabe",M2826=""),0,IF(M2826="x",-$E2826/(COUNTIF($J2826:$Q2826,"x")+1),-$E2826*N(M2826)))</f>
        <v/>
      </c>
      <c r="AB2826" s="34">
        <f>IF(OR($A2826="",$H2826&lt;&gt;"Ausgabe",N2826=""),0,IF(N2826="x",-$E2826/(COUNTIF($J2826:$Q2826,"x")+1),-$E2826*N(N2826)))</f>
        <v/>
      </c>
      <c r="AC2826" s="34">
        <f>IF(OR($A2826="",$H2826&lt;&gt;"Ausgabe",O2826=""),0,IF(O2826="x",-$E2826/(COUNTIF($J2826:$Q2826,"x")+1),-$E2826*N(O2826)))</f>
        <v/>
      </c>
      <c r="AD2826" s="34">
        <f>IF(OR($A2826="",$H2826&lt;&gt;"Ausgabe",P2826=""),0,IF(P2826="x",-$E2826/(COUNTIF($J2826:$Q2826,"x")+1),-$E2826*N(P2826)))</f>
        <v/>
      </c>
      <c r="AE2826" s="34">
        <f>IF(OR($A2826="",$H2826&lt;&gt;"Ausgabe",Q2826=""),0,IF(Q2826="x",-$E2826/(COUNTIF($J2826:$Q2826,"x")+1),-$E2826*N(Q2826)))</f>
        <v/>
      </c>
    </row>
    <row r="2827">
      <c r="A2827" s="30" t="n"/>
      <c r="E2827" s="31" t="n"/>
      <c r="J2827" s="32" t="n"/>
      <c r="K2827" s="32" t="n"/>
      <c r="L2827" s="32" t="n"/>
      <c r="M2827" s="32" t="n"/>
      <c r="N2827" s="32" t="n"/>
      <c r="O2827" s="32" t="n"/>
      <c r="P2827" s="32" t="n"/>
      <c r="Q2827" s="32" t="n"/>
      <c r="U2827" s="31">
        <f>IF($A2827="","",SUM(X2827:AE2827))</f>
        <v/>
      </c>
      <c r="V2827" s="31">
        <f>IF($A2827="","",IF($H2827&lt;&gt;"Ausgabe",0,-$E2827-$U2827))</f>
        <v/>
      </c>
      <c r="W2827" s="33">
        <f>IF($A2827="","",DATE(YEAR($A2827),MONTH($A2827),1))</f>
        <v/>
      </c>
      <c r="X2827" s="34">
        <f>IF(OR($A2827="",$H2827&lt;&gt;"Ausgabe",J2827=""),0,IF(J2827="x",-$E2827/(COUNTIF($J2827:$Q2827,"x")+1),-$E2827*N(J2827)))</f>
        <v/>
      </c>
      <c r="Y2827" s="34">
        <f>IF(OR($A2827="",$H2827&lt;&gt;"Ausgabe",K2827=""),0,IF(K2827="x",-$E2827/(COUNTIF($J2827:$Q2827,"x")+1),-$E2827*N(K2827)))</f>
        <v/>
      </c>
      <c r="Z2827" s="34">
        <f>IF(OR($A2827="",$H2827&lt;&gt;"Ausgabe",L2827=""),0,IF(L2827="x",-$E2827/(COUNTIF($J2827:$Q2827,"x")+1),-$E2827*N(L2827)))</f>
        <v/>
      </c>
      <c r="AA2827" s="34">
        <f>IF(OR($A2827="",$H2827&lt;&gt;"Ausgabe",M2827=""),0,IF(M2827="x",-$E2827/(COUNTIF($J2827:$Q2827,"x")+1),-$E2827*N(M2827)))</f>
        <v/>
      </c>
      <c r="AB2827" s="34">
        <f>IF(OR($A2827="",$H2827&lt;&gt;"Ausgabe",N2827=""),0,IF(N2827="x",-$E2827/(COUNTIF($J2827:$Q2827,"x")+1),-$E2827*N(N2827)))</f>
        <v/>
      </c>
      <c r="AC2827" s="34">
        <f>IF(OR($A2827="",$H2827&lt;&gt;"Ausgabe",O2827=""),0,IF(O2827="x",-$E2827/(COUNTIF($J2827:$Q2827,"x")+1),-$E2827*N(O2827)))</f>
        <v/>
      </c>
      <c r="AD2827" s="34">
        <f>IF(OR($A2827="",$H2827&lt;&gt;"Ausgabe",P2827=""),0,IF(P2827="x",-$E2827/(COUNTIF($J2827:$Q2827,"x")+1),-$E2827*N(P2827)))</f>
        <v/>
      </c>
      <c r="AE2827" s="34">
        <f>IF(OR($A2827="",$H2827&lt;&gt;"Ausgabe",Q2827=""),0,IF(Q2827="x",-$E2827/(COUNTIF($J2827:$Q2827,"x")+1),-$E2827*N(Q2827)))</f>
        <v/>
      </c>
    </row>
    <row r="2828">
      <c r="A2828" s="30" t="n"/>
      <c r="E2828" s="31" t="n"/>
      <c r="J2828" s="32" t="n"/>
      <c r="K2828" s="32" t="n"/>
      <c r="L2828" s="32" t="n"/>
      <c r="M2828" s="32" t="n"/>
      <c r="N2828" s="32" t="n"/>
      <c r="O2828" s="32" t="n"/>
      <c r="P2828" s="32" t="n"/>
      <c r="Q2828" s="32" t="n"/>
      <c r="U2828" s="31">
        <f>IF($A2828="","",SUM(X2828:AE2828))</f>
        <v/>
      </c>
      <c r="V2828" s="31">
        <f>IF($A2828="","",IF($H2828&lt;&gt;"Ausgabe",0,-$E2828-$U2828))</f>
        <v/>
      </c>
      <c r="W2828" s="33">
        <f>IF($A2828="","",DATE(YEAR($A2828),MONTH($A2828),1))</f>
        <v/>
      </c>
      <c r="X2828" s="34">
        <f>IF(OR($A2828="",$H2828&lt;&gt;"Ausgabe",J2828=""),0,IF(J2828="x",-$E2828/(COUNTIF($J2828:$Q2828,"x")+1),-$E2828*N(J2828)))</f>
        <v/>
      </c>
      <c r="Y2828" s="34">
        <f>IF(OR($A2828="",$H2828&lt;&gt;"Ausgabe",K2828=""),0,IF(K2828="x",-$E2828/(COUNTIF($J2828:$Q2828,"x")+1),-$E2828*N(K2828)))</f>
        <v/>
      </c>
      <c r="Z2828" s="34">
        <f>IF(OR($A2828="",$H2828&lt;&gt;"Ausgabe",L2828=""),0,IF(L2828="x",-$E2828/(COUNTIF($J2828:$Q2828,"x")+1),-$E2828*N(L2828)))</f>
        <v/>
      </c>
      <c r="AA2828" s="34">
        <f>IF(OR($A2828="",$H2828&lt;&gt;"Ausgabe",M2828=""),0,IF(M2828="x",-$E2828/(COUNTIF($J2828:$Q2828,"x")+1),-$E2828*N(M2828)))</f>
        <v/>
      </c>
      <c r="AB2828" s="34">
        <f>IF(OR($A2828="",$H2828&lt;&gt;"Ausgabe",N2828=""),0,IF(N2828="x",-$E2828/(COUNTIF($J2828:$Q2828,"x")+1),-$E2828*N(N2828)))</f>
        <v/>
      </c>
      <c r="AC2828" s="34">
        <f>IF(OR($A2828="",$H2828&lt;&gt;"Ausgabe",O2828=""),0,IF(O2828="x",-$E2828/(COUNTIF($J2828:$Q2828,"x")+1),-$E2828*N(O2828)))</f>
        <v/>
      </c>
      <c r="AD2828" s="34">
        <f>IF(OR($A2828="",$H2828&lt;&gt;"Ausgabe",P2828=""),0,IF(P2828="x",-$E2828/(COUNTIF($J2828:$Q2828,"x")+1),-$E2828*N(P2828)))</f>
        <v/>
      </c>
      <c r="AE2828" s="34">
        <f>IF(OR($A2828="",$H2828&lt;&gt;"Ausgabe",Q2828=""),0,IF(Q2828="x",-$E2828/(COUNTIF($J2828:$Q2828,"x")+1),-$E2828*N(Q2828)))</f>
        <v/>
      </c>
    </row>
    <row r="2829">
      <c r="A2829" s="30" t="n"/>
      <c r="E2829" s="31" t="n"/>
      <c r="J2829" s="32" t="n"/>
      <c r="K2829" s="32" t="n"/>
      <c r="L2829" s="32" t="n"/>
      <c r="M2829" s="32" t="n"/>
      <c r="N2829" s="32" t="n"/>
      <c r="O2829" s="32" t="n"/>
      <c r="P2829" s="32" t="n"/>
      <c r="Q2829" s="32" t="n"/>
      <c r="U2829" s="31">
        <f>IF($A2829="","",SUM(X2829:AE2829))</f>
        <v/>
      </c>
      <c r="V2829" s="31">
        <f>IF($A2829="","",IF($H2829&lt;&gt;"Ausgabe",0,-$E2829-$U2829))</f>
        <v/>
      </c>
      <c r="W2829" s="33">
        <f>IF($A2829="","",DATE(YEAR($A2829),MONTH($A2829),1))</f>
        <v/>
      </c>
      <c r="X2829" s="34">
        <f>IF(OR($A2829="",$H2829&lt;&gt;"Ausgabe",J2829=""),0,IF(J2829="x",-$E2829/(COUNTIF($J2829:$Q2829,"x")+1),-$E2829*N(J2829)))</f>
        <v/>
      </c>
      <c r="Y2829" s="34">
        <f>IF(OR($A2829="",$H2829&lt;&gt;"Ausgabe",K2829=""),0,IF(K2829="x",-$E2829/(COUNTIF($J2829:$Q2829,"x")+1),-$E2829*N(K2829)))</f>
        <v/>
      </c>
      <c r="Z2829" s="34">
        <f>IF(OR($A2829="",$H2829&lt;&gt;"Ausgabe",L2829=""),0,IF(L2829="x",-$E2829/(COUNTIF($J2829:$Q2829,"x")+1),-$E2829*N(L2829)))</f>
        <v/>
      </c>
      <c r="AA2829" s="34">
        <f>IF(OR($A2829="",$H2829&lt;&gt;"Ausgabe",M2829=""),0,IF(M2829="x",-$E2829/(COUNTIF($J2829:$Q2829,"x")+1),-$E2829*N(M2829)))</f>
        <v/>
      </c>
      <c r="AB2829" s="34">
        <f>IF(OR($A2829="",$H2829&lt;&gt;"Ausgabe",N2829=""),0,IF(N2829="x",-$E2829/(COUNTIF($J2829:$Q2829,"x")+1),-$E2829*N(N2829)))</f>
        <v/>
      </c>
      <c r="AC2829" s="34">
        <f>IF(OR($A2829="",$H2829&lt;&gt;"Ausgabe",O2829=""),0,IF(O2829="x",-$E2829/(COUNTIF($J2829:$Q2829,"x")+1),-$E2829*N(O2829)))</f>
        <v/>
      </c>
      <c r="AD2829" s="34">
        <f>IF(OR($A2829="",$H2829&lt;&gt;"Ausgabe",P2829=""),0,IF(P2829="x",-$E2829/(COUNTIF($J2829:$Q2829,"x")+1),-$E2829*N(P2829)))</f>
        <v/>
      </c>
      <c r="AE2829" s="34">
        <f>IF(OR($A2829="",$H2829&lt;&gt;"Ausgabe",Q2829=""),0,IF(Q2829="x",-$E2829/(COUNTIF($J2829:$Q2829,"x")+1),-$E2829*N(Q2829)))</f>
        <v/>
      </c>
    </row>
    <row r="2830">
      <c r="A2830" s="30" t="n"/>
      <c r="E2830" s="31" t="n"/>
      <c r="J2830" s="32" t="n"/>
      <c r="K2830" s="32" t="n"/>
      <c r="L2830" s="32" t="n"/>
      <c r="M2830" s="32" t="n"/>
      <c r="N2830" s="32" t="n"/>
      <c r="O2830" s="32" t="n"/>
      <c r="P2830" s="32" t="n"/>
      <c r="Q2830" s="32" t="n"/>
      <c r="U2830" s="31">
        <f>IF($A2830="","",SUM(X2830:AE2830))</f>
        <v/>
      </c>
      <c r="V2830" s="31">
        <f>IF($A2830="","",IF($H2830&lt;&gt;"Ausgabe",0,-$E2830-$U2830))</f>
        <v/>
      </c>
      <c r="W2830" s="33">
        <f>IF($A2830="","",DATE(YEAR($A2830),MONTH($A2830),1))</f>
        <v/>
      </c>
      <c r="X2830" s="34">
        <f>IF(OR($A2830="",$H2830&lt;&gt;"Ausgabe",J2830=""),0,IF(J2830="x",-$E2830/(COUNTIF($J2830:$Q2830,"x")+1),-$E2830*N(J2830)))</f>
        <v/>
      </c>
      <c r="Y2830" s="34">
        <f>IF(OR($A2830="",$H2830&lt;&gt;"Ausgabe",K2830=""),0,IF(K2830="x",-$E2830/(COUNTIF($J2830:$Q2830,"x")+1),-$E2830*N(K2830)))</f>
        <v/>
      </c>
      <c r="Z2830" s="34">
        <f>IF(OR($A2830="",$H2830&lt;&gt;"Ausgabe",L2830=""),0,IF(L2830="x",-$E2830/(COUNTIF($J2830:$Q2830,"x")+1),-$E2830*N(L2830)))</f>
        <v/>
      </c>
      <c r="AA2830" s="34">
        <f>IF(OR($A2830="",$H2830&lt;&gt;"Ausgabe",M2830=""),0,IF(M2830="x",-$E2830/(COUNTIF($J2830:$Q2830,"x")+1),-$E2830*N(M2830)))</f>
        <v/>
      </c>
      <c r="AB2830" s="34">
        <f>IF(OR($A2830="",$H2830&lt;&gt;"Ausgabe",N2830=""),0,IF(N2830="x",-$E2830/(COUNTIF($J2830:$Q2830,"x")+1),-$E2830*N(N2830)))</f>
        <v/>
      </c>
      <c r="AC2830" s="34">
        <f>IF(OR($A2830="",$H2830&lt;&gt;"Ausgabe",O2830=""),0,IF(O2830="x",-$E2830/(COUNTIF($J2830:$Q2830,"x")+1),-$E2830*N(O2830)))</f>
        <v/>
      </c>
      <c r="AD2830" s="34">
        <f>IF(OR($A2830="",$H2830&lt;&gt;"Ausgabe",P2830=""),0,IF(P2830="x",-$E2830/(COUNTIF($J2830:$Q2830,"x")+1),-$E2830*N(P2830)))</f>
        <v/>
      </c>
      <c r="AE2830" s="34">
        <f>IF(OR($A2830="",$H2830&lt;&gt;"Ausgabe",Q2830=""),0,IF(Q2830="x",-$E2830/(COUNTIF($J2830:$Q2830,"x")+1),-$E2830*N(Q2830)))</f>
        <v/>
      </c>
    </row>
    <row r="2831">
      <c r="A2831" s="30" t="n"/>
      <c r="E2831" s="31" t="n"/>
      <c r="J2831" s="32" t="n"/>
      <c r="K2831" s="32" t="n"/>
      <c r="L2831" s="32" t="n"/>
      <c r="M2831" s="32" t="n"/>
      <c r="N2831" s="32" t="n"/>
      <c r="O2831" s="32" t="n"/>
      <c r="P2831" s="32" t="n"/>
      <c r="Q2831" s="32" t="n"/>
      <c r="U2831" s="31">
        <f>IF($A2831="","",SUM(X2831:AE2831))</f>
        <v/>
      </c>
      <c r="V2831" s="31">
        <f>IF($A2831="","",IF($H2831&lt;&gt;"Ausgabe",0,-$E2831-$U2831))</f>
        <v/>
      </c>
      <c r="W2831" s="33">
        <f>IF($A2831="","",DATE(YEAR($A2831),MONTH($A2831),1))</f>
        <v/>
      </c>
      <c r="X2831" s="34">
        <f>IF(OR($A2831="",$H2831&lt;&gt;"Ausgabe",J2831=""),0,IF(J2831="x",-$E2831/(COUNTIF($J2831:$Q2831,"x")+1),-$E2831*N(J2831)))</f>
        <v/>
      </c>
      <c r="Y2831" s="34">
        <f>IF(OR($A2831="",$H2831&lt;&gt;"Ausgabe",K2831=""),0,IF(K2831="x",-$E2831/(COUNTIF($J2831:$Q2831,"x")+1),-$E2831*N(K2831)))</f>
        <v/>
      </c>
      <c r="Z2831" s="34">
        <f>IF(OR($A2831="",$H2831&lt;&gt;"Ausgabe",L2831=""),0,IF(L2831="x",-$E2831/(COUNTIF($J2831:$Q2831,"x")+1),-$E2831*N(L2831)))</f>
        <v/>
      </c>
      <c r="AA2831" s="34">
        <f>IF(OR($A2831="",$H2831&lt;&gt;"Ausgabe",M2831=""),0,IF(M2831="x",-$E2831/(COUNTIF($J2831:$Q2831,"x")+1),-$E2831*N(M2831)))</f>
        <v/>
      </c>
      <c r="AB2831" s="34">
        <f>IF(OR($A2831="",$H2831&lt;&gt;"Ausgabe",N2831=""),0,IF(N2831="x",-$E2831/(COUNTIF($J2831:$Q2831,"x")+1),-$E2831*N(N2831)))</f>
        <v/>
      </c>
      <c r="AC2831" s="34">
        <f>IF(OR($A2831="",$H2831&lt;&gt;"Ausgabe",O2831=""),0,IF(O2831="x",-$E2831/(COUNTIF($J2831:$Q2831,"x")+1),-$E2831*N(O2831)))</f>
        <v/>
      </c>
      <c r="AD2831" s="34">
        <f>IF(OR($A2831="",$H2831&lt;&gt;"Ausgabe",P2831=""),0,IF(P2831="x",-$E2831/(COUNTIF($J2831:$Q2831,"x")+1),-$E2831*N(P2831)))</f>
        <v/>
      </c>
      <c r="AE2831" s="34">
        <f>IF(OR($A2831="",$H2831&lt;&gt;"Ausgabe",Q2831=""),0,IF(Q2831="x",-$E2831/(COUNTIF($J2831:$Q2831,"x")+1),-$E2831*N(Q2831)))</f>
        <v/>
      </c>
    </row>
    <row r="2832">
      <c r="A2832" s="30" t="n"/>
      <c r="E2832" s="31" t="n"/>
      <c r="J2832" s="32" t="n"/>
      <c r="K2832" s="32" t="n"/>
      <c r="L2832" s="32" t="n"/>
      <c r="M2832" s="32" t="n"/>
      <c r="N2832" s="32" t="n"/>
      <c r="O2832" s="32" t="n"/>
      <c r="P2832" s="32" t="n"/>
      <c r="Q2832" s="32" t="n"/>
      <c r="U2832" s="31">
        <f>IF($A2832="","",SUM(X2832:AE2832))</f>
        <v/>
      </c>
      <c r="V2832" s="31">
        <f>IF($A2832="","",IF($H2832&lt;&gt;"Ausgabe",0,-$E2832-$U2832))</f>
        <v/>
      </c>
      <c r="W2832" s="33">
        <f>IF($A2832="","",DATE(YEAR($A2832),MONTH($A2832),1))</f>
        <v/>
      </c>
      <c r="X2832" s="34">
        <f>IF(OR($A2832="",$H2832&lt;&gt;"Ausgabe",J2832=""),0,IF(J2832="x",-$E2832/(COUNTIF($J2832:$Q2832,"x")+1),-$E2832*N(J2832)))</f>
        <v/>
      </c>
      <c r="Y2832" s="34">
        <f>IF(OR($A2832="",$H2832&lt;&gt;"Ausgabe",K2832=""),0,IF(K2832="x",-$E2832/(COUNTIF($J2832:$Q2832,"x")+1),-$E2832*N(K2832)))</f>
        <v/>
      </c>
      <c r="Z2832" s="34">
        <f>IF(OR($A2832="",$H2832&lt;&gt;"Ausgabe",L2832=""),0,IF(L2832="x",-$E2832/(COUNTIF($J2832:$Q2832,"x")+1),-$E2832*N(L2832)))</f>
        <v/>
      </c>
      <c r="AA2832" s="34">
        <f>IF(OR($A2832="",$H2832&lt;&gt;"Ausgabe",M2832=""),0,IF(M2832="x",-$E2832/(COUNTIF($J2832:$Q2832,"x")+1),-$E2832*N(M2832)))</f>
        <v/>
      </c>
      <c r="AB2832" s="34">
        <f>IF(OR($A2832="",$H2832&lt;&gt;"Ausgabe",N2832=""),0,IF(N2832="x",-$E2832/(COUNTIF($J2832:$Q2832,"x")+1),-$E2832*N(N2832)))</f>
        <v/>
      </c>
      <c r="AC2832" s="34">
        <f>IF(OR($A2832="",$H2832&lt;&gt;"Ausgabe",O2832=""),0,IF(O2832="x",-$E2832/(COUNTIF($J2832:$Q2832,"x")+1),-$E2832*N(O2832)))</f>
        <v/>
      </c>
      <c r="AD2832" s="34">
        <f>IF(OR($A2832="",$H2832&lt;&gt;"Ausgabe",P2832=""),0,IF(P2832="x",-$E2832/(COUNTIF($J2832:$Q2832,"x")+1),-$E2832*N(P2832)))</f>
        <v/>
      </c>
      <c r="AE2832" s="34">
        <f>IF(OR($A2832="",$H2832&lt;&gt;"Ausgabe",Q2832=""),0,IF(Q2832="x",-$E2832/(COUNTIF($J2832:$Q2832,"x")+1),-$E2832*N(Q2832)))</f>
        <v/>
      </c>
    </row>
    <row r="2833">
      <c r="A2833" s="30" t="n"/>
      <c r="E2833" s="31" t="n"/>
      <c r="J2833" s="32" t="n"/>
      <c r="K2833" s="32" t="n"/>
      <c r="L2833" s="32" t="n"/>
      <c r="M2833" s="32" t="n"/>
      <c r="N2833" s="32" t="n"/>
      <c r="O2833" s="32" t="n"/>
      <c r="P2833" s="32" t="n"/>
      <c r="Q2833" s="32" t="n"/>
      <c r="U2833" s="31">
        <f>IF($A2833="","",SUM(X2833:AE2833))</f>
        <v/>
      </c>
      <c r="V2833" s="31">
        <f>IF($A2833="","",IF($H2833&lt;&gt;"Ausgabe",0,-$E2833-$U2833))</f>
        <v/>
      </c>
      <c r="W2833" s="33">
        <f>IF($A2833="","",DATE(YEAR($A2833),MONTH($A2833),1))</f>
        <v/>
      </c>
      <c r="X2833" s="34">
        <f>IF(OR($A2833="",$H2833&lt;&gt;"Ausgabe",J2833=""),0,IF(J2833="x",-$E2833/(COUNTIF($J2833:$Q2833,"x")+1),-$E2833*N(J2833)))</f>
        <v/>
      </c>
      <c r="Y2833" s="34">
        <f>IF(OR($A2833="",$H2833&lt;&gt;"Ausgabe",K2833=""),0,IF(K2833="x",-$E2833/(COUNTIF($J2833:$Q2833,"x")+1),-$E2833*N(K2833)))</f>
        <v/>
      </c>
      <c r="Z2833" s="34">
        <f>IF(OR($A2833="",$H2833&lt;&gt;"Ausgabe",L2833=""),0,IF(L2833="x",-$E2833/(COUNTIF($J2833:$Q2833,"x")+1),-$E2833*N(L2833)))</f>
        <v/>
      </c>
      <c r="AA2833" s="34">
        <f>IF(OR($A2833="",$H2833&lt;&gt;"Ausgabe",M2833=""),0,IF(M2833="x",-$E2833/(COUNTIF($J2833:$Q2833,"x")+1),-$E2833*N(M2833)))</f>
        <v/>
      </c>
      <c r="AB2833" s="34">
        <f>IF(OR($A2833="",$H2833&lt;&gt;"Ausgabe",N2833=""),0,IF(N2833="x",-$E2833/(COUNTIF($J2833:$Q2833,"x")+1),-$E2833*N(N2833)))</f>
        <v/>
      </c>
      <c r="AC2833" s="34">
        <f>IF(OR($A2833="",$H2833&lt;&gt;"Ausgabe",O2833=""),0,IF(O2833="x",-$E2833/(COUNTIF($J2833:$Q2833,"x")+1),-$E2833*N(O2833)))</f>
        <v/>
      </c>
      <c r="AD2833" s="34">
        <f>IF(OR($A2833="",$H2833&lt;&gt;"Ausgabe",P2833=""),0,IF(P2833="x",-$E2833/(COUNTIF($J2833:$Q2833,"x")+1),-$E2833*N(P2833)))</f>
        <v/>
      </c>
      <c r="AE2833" s="34">
        <f>IF(OR($A2833="",$H2833&lt;&gt;"Ausgabe",Q2833=""),0,IF(Q2833="x",-$E2833/(COUNTIF($J2833:$Q2833,"x")+1),-$E2833*N(Q2833)))</f>
        <v/>
      </c>
    </row>
    <row r="2834">
      <c r="A2834" s="30" t="n"/>
      <c r="E2834" s="31" t="n"/>
      <c r="J2834" s="32" t="n"/>
      <c r="K2834" s="32" t="n"/>
      <c r="L2834" s="32" t="n"/>
      <c r="M2834" s="32" t="n"/>
      <c r="N2834" s="32" t="n"/>
      <c r="O2834" s="32" t="n"/>
      <c r="P2834" s="32" t="n"/>
      <c r="Q2834" s="32" t="n"/>
      <c r="U2834" s="31">
        <f>IF($A2834="","",SUM(X2834:AE2834))</f>
        <v/>
      </c>
      <c r="V2834" s="31">
        <f>IF($A2834="","",IF($H2834&lt;&gt;"Ausgabe",0,-$E2834-$U2834))</f>
        <v/>
      </c>
      <c r="W2834" s="33">
        <f>IF($A2834="","",DATE(YEAR($A2834),MONTH($A2834),1))</f>
        <v/>
      </c>
      <c r="X2834" s="34">
        <f>IF(OR($A2834="",$H2834&lt;&gt;"Ausgabe",J2834=""),0,IF(J2834="x",-$E2834/(COUNTIF($J2834:$Q2834,"x")+1),-$E2834*N(J2834)))</f>
        <v/>
      </c>
      <c r="Y2834" s="34">
        <f>IF(OR($A2834="",$H2834&lt;&gt;"Ausgabe",K2834=""),0,IF(K2834="x",-$E2834/(COUNTIF($J2834:$Q2834,"x")+1),-$E2834*N(K2834)))</f>
        <v/>
      </c>
      <c r="Z2834" s="34">
        <f>IF(OR($A2834="",$H2834&lt;&gt;"Ausgabe",L2834=""),0,IF(L2834="x",-$E2834/(COUNTIF($J2834:$Q2834,"x")+1),-$E2834*N(L2834)))</f>
        <v/>
      </c>
      <c r="AA2834" s="34">
        <f>IF(OR($A2834="",$H2834&lt;&gt;"Ausgabe",M2834=""),0,IF(M2834="x",-$E2834/(COUNTIF($J2834:$Q2834,"x")+1),-$E2834*N(M2834)))</f>
        <v/>
      </c>
      <c r="AB2834" s="34">
        <f>IF(OR($A2834="",$H2834&lt;&gt;"Ausgabe",N2834=""),0,IF(N2834="x",-$E2834/(COUNTIF($J2834:$Q2834,"x")+1),-$E2834*N(N2834)))</f>
        <v/>
      </c>
      <c r="AC2834" s="34">
        <f>IF(OR($A2834="",$H2834&lt;&gt;"Ausgabe",O2834=""),0,IF(O2834="x",-$E2834/(COUNTIF($J2834:$Q2834,"x")+1),-$E2834*N(O2834)))</f>
        <v/>
      </c>
      <c r="AD2834" s="34">
        <f>IF(OR($A2834="",$H2834&lt;&gt;"Ausgabe",P2834=""),0,IF(P2834="x",-$E2834/(COUNTIF($J2834:$Q2834,"x")+1),-$E2834*N(P2834)))</f>
        <v/>
      </c>
      <c r="AE2834" s="34">
        <f>IF(OR($A2834="",$H2834&lt;&gt;"Ausgabe",Q2834=""),0,IF(Q2834="x",-$E2834/(COUNTIF($J2834:$Q2834,"x")+1),-$E2834*N(Q2834)))</f>
        <v/>
      </c>
    </row>
    <row r="2835">
      <c r="A2835" s="30" t="n"/>
      <c r="E2835" s="31" t="n"/>
      <c r="J2835" s="32" t="n"/>
      <c r="K2835" s="32" t="n"/>
      <c r="L2835" s="32" t="n"/>
      <c r="M2835" s="32" t="n"/>
      <c r="N2835" s="32" t="n"/>
      <c r="O2835" s="32" t="n"/>
      <c r="P2835" s="32" t="n"/>
      <c r="Q2835" s="32" t="n"/>
      <c r="U2835" s="31">
        <f>IF($A2835="","",SUM(X2835:AE2835))</f>
        <v/>
      </c>
      <c r="V2835" s="31">
        <f>IF($A2835="","",IF($H2835&lt;&gt;"Ausgabe",0,-$E2835-$U2835))</f>
        <v/>
      </c>
      <c r="W2835" s="33">
        <f>IF($A2835="","",DATE(YEAR($A2835),MONTH($A2835),1))</f>
        <v/>
      </c>
      <c r="X2835" s="34">
        <f>IF(OR($A2835="",$H2835&lt;&gt;"Ausgabe",J2835=""),0,IF(J2835="x",-$E2835/(COUNTIF($J2835:$Q2835,"x")+1),-$E2835*N(J2835)))</f>
        <v/>
      </c>
      <c r="Y2835" s="34">
        <f>IF(OR($A2835="",$H2835&lt;&gt;"Ausgabe",K2835=""),0,IF(K2835="x",-$E2835/(COUNTIF($J2835:$Q2835,"x")+1),-$E2835*N(K2835)))</f>
        <v/>
      </c>
      <c r="Z2835" s="34">
        <f>IF(OR($A2835="",$H2835&lt;&gt;"Ausgabe",L2835=""),0,IF(L2835="x",-$E2835/(COUNTIF($J2835:$Q2835,"x")+1),-$E2835*N(L2835)))</f>
        <v/>
      </c>
      <c r="AA2835" s="34">
        <f>IF(OR($A2835="",$H2835&lt;&gt;"Ausgabe",M2835=""),0,IF(M2835="x",-$E2835/(COUNTIF($J2835:$Q2835,"x")+1),-$E2835*N(M2835)))</f>
        <v/>
      </c>
      <c r="AB2835" s="34">
        <f>IF(OR($A2835="",$H2835&lt;&gt;"Ausgabe",N2835=""),0,IF(N2835="x",-$E2835/(COUNTIF($J2835:$Q2835,"x")+1),-$E2835*N(N2835)))</f>
        <v/>
      </c>
      <c r="AC2835" s="34">
        <f>IF(OR($A2835="",$H2835&lt;&gt;"Ausgabe",O2835=""),0,IF(O2835="x",-$E2835/(COUNTIF($J2835:$Q2835,"x")+1),-$E2835*N(O2835)))</f>
        <v/>
      </c>
      <c r="AD2835" s="34">
        <f>IF(OR($A2835="",$H2835&lt;&gt;"Ausgabe",P2835=""),0,IF(P2835="x",-$E2835/(COUNTIF($J2835:$Q2835,"x")+1),-$E2835*N(P2835)))</f>
        <v/>
      </c>
      <c r="AE2835" s="34">
        <f>IF(OR($A2835="",$H2835&lt;&gt;"Ausgabe",Q2835=""),0,IF(Q2835="x",-$E2835/(COUNTIF($J2835:$Q2835,"x")+1),-$E2835*N(Q2835)))</f>
        <v/>
      </c>
    </row>
    <row r="2836">
      <c r="A2836" s="30" t="n"/>
      <c r="E2836" s="31" t="n"/>
      <c r="J2836" s="32" t="n"/>
      <c r="K2836" s="32" t="n"/>
      <c r="L2836" s="32" t="n"/>
      <c r="M2836" s="32" t="n"/>
      <c r="N2836" s="32" t="n"/>
      <c r="O2836" s="32" t="n"/>
      <c r="P2836" s="32" t="n"/>
      <c r="Q2836" s="32" t="n"/>
      <c r="U2836" s="31">
        <f>IF($A2836="","",SUM(X2836:AE2836))</f>
        <v/>
      </c>
      <c r="V2836" s="31">
        <f>IF($A2836="","",IF($H2836&lt;&gt;"Ausgabe",0,-$E2836-$U2836))</f>
        <v/>
      </c>
      <c r="W2836" s="33">
        <f>IF($A2836="","",DATE(YEAR($A2836),MONTH($A2836),1))</f>
        <v/>
      </c>
      <c r="X2836" s="34">
        <f>IF(OR($A2836="",$H2836&lt;&gt;"Ausgabe",J2836=""),0,IF(J2836="x",-$E2836/(COUNTIF($J2836:$Q2836,"x")+1),-$E2836*N(J2836)))</f>
        <v/>
      </c>
      <c r="Y2836" s="34">
        <f>IF(OR($A2836="",$H2836&lt;&gt;"Ausgabe",K2836=""),0,IF(K2836="x",-$E2836/(COUNTIF($J2836:$Q2836,"x")+1),-$E2836*N(K2836)))</f>
        <v/>
      </c>
      <c r="Z2836" s="34">
        <f>IF(OR($A2836="",$H2836&lt;&gt;"Ausgabe",L2836=""),0,IF(L2836="x",-$E2836/(COUNTIF($J2836:$Q2836,"x")+1),-$E2836*N(L2836)))</f>
        <v/>
      </c>
      <c r="AA2836" s="34">
        <f>IF(OR($A2836="",$H2836&lt;&gt;"Ausgabe",M2836=""),0,IF(M2836="x",-$E2836/(COUNTIF($J2836:$Q2836,"x")+1),-$E2836*N(M2836)))</f>
        <v/>
      </c>
      <c r="AB2836" s="34">
        <f>IF(OR($A2836="",$H2836&lt;&gt;"Ausgabe",N2836=""),0,IF(N2836="x",-$E2836/(COUNTIF($J2836:$Q2836,"x")+1),-$E2836*N(N2836)))</f>
        <v/>
      </c>
      <c r="AC2836" s="34">
        <f>IF(OR($A2836="",$H2836&lt;&gt;"Ausgabe",O2836=""),0,IF(O2836="x",-$E2836/(COUNTIF($J2836:$Q2836,"x")+1),-$E2836*N(O2836)))</f>
        <v/>
      </c>
      <c r="AD2836" s="34">
        <f>IF(OR($A2836="",$H2836&lt;&gt;"Ausgabe",P2836=""),0,IF(P2836="x",-$E2836/(COUNTIF($J2836:$Q2836,"x")+1),-$E2836*N(P2836)))</f>
        <v/>
      </c>
      <c r="AE2836" s="34">
        <f>IF(OR($A2836="",$H2836&lt;&gt;"Ausgabe",Q2836=""),0,IF(Q2836="x",-$E2836/(COUNTIF($J2836:$Q2836,"x")+1),-$E2836*N(Q2836)))</f>
        <v/>
      </c>
    </row>
    <row r="2837">
      <c r="A2837" s="30" t="n"/>
      <c r="E2837" s="31" t="n"/>
      <c r="J2837" s="32" t="n"/>
      <c r="K2837" s="32" t="n"/>
      <c r="L2837" s="32" t="n"/>
      <c r="M2837" s="32" t="n"/>
      <c r="N2837" s="32" t="n"/>
      <c r="O2837" s="32" t="n"/>
      <c r="P2837" s="32" t="n"/>
      <c r="Q2837" s="32" t="n"/>
      <c r="U2837" s="31">
        <f>IF($A2837="","",SUM(X2837:AE2837))</f>
        <v/>
      </c>
      <c r="V2837" s="31">
        <f>IF($A2837="","",IF($H2837&lt;&gt;"Ausgabe",0,-$E2837-$U2837))</f>
        <v/>
      </c>
      <c r="W2837" s="33">
        <f>IF($A2837="","",DATE(YEAR($A2837),MONTH($A2837),1))</f>
        <v/>
      </c>
      <c r="X2837" s="34">
        <f>IF(OR($A2837="",$H2837&lt;&gt;"Ausgabe",J2837=""),0,IF(J2837="x",-$E2837/(COUNTIF($J2837:$Q2837,"x")+1),-$E2837*N(J2837)))</f>
        <v/>
      </c>
      <c r="Y2837" s="34">
        <f>IF(OR($A2837="",$H2837&lt;&gt;"Ausgabe",K2837=""),0,IF(K2837="x",-$E2837/(COUNTIF($J2837:$Q2837,"x")+1),-$E2837*N(K2837)))</f>
        <v/>
      </c>
      <c r="Z2837" s="34">
        <f>IF(OR($A2837="",$H2837&lt;&gt;"Ausgabe",L2837=""),0,IF(L2837="x",-$E2837/(COUNTIF($J2837:$Q2837,"x")+1),-$E2837*N(L2837)))</f>
        <v/>
      </c>
      <c r="AA2837" s="34">
        <f>IF(OR($A2837="",$H2837&lt;&gt;"Ausgabe",M2837=""),0,IF(M2837="x",-$E2837/(COUNTIF($J2837:$Q2837,"x")+1),-$E2837*N(M2837)))</f>
        <v/>
      </c>
      <c r="AB2837" s="34">
        <f>IF(OR($A2837="",$H2837&lt;&gt;"Ausgabe",N2837=""),0,IF(N2837="x",-$E2837/(COUNTIF($J2837:$Q2837,"x")+1),-$E2837*N(N2837)))</f>
        <v/>
      </c>
      <c r="AC2837" s="34">
        <f>IF(OR($A2837="",$H2837&lt;&gt;"Ausgabe",O2837=""),0,IF(O2837="x",-$E2837/(COUNTIF($J2837:$Q2837,"x")+1),-$E2837*N(O2837)))</f>
        <v/>
      </c>
      <c r="AD2837" s="34">
        <f>IF(OR($A2837="",$H2837&lt;&gt;"Ausgabe",P2837=""),0,IF(P2837="x",-$E2837/(COUNTIF($J2837:$Q2837,"x")+1),-$E2837*N(P2837)))</f>
        <v/>
      </c>
      <c r="AE2837" s="34">
        <f>IF(OR($A2837="",$H2837&lt;&gt;"Ausgabe",Q2837=""),0,IF(Q2837="x",-$E2837/(COUNTIF($J2837:$Q2837,"x")+1),-$E2837*N(Q2837)))</f>
        <v/>
      </c>
    </row>
    <row r="2838">
      <c r="A2838" s="30" t="n"/>
      <c r="E2838" s="31" t="n"/>
      <c r="J2838" s="32" t="n"/>
      <c r="K2838" s="32" t="n"/>
      <c r="L2838" s="32" t="n"/>
      <c r="M2838" s="32" t="n"/>
      <c r="N2838" s="32" t="n"/>
      <c r="O2838" s="32" t="n"/>
      <c r="P2838" s="32" t="n"/>
      <c r="Q2838" s="32" t="n"/>
      <c r="U2838" s="31">
        <f>IF($A2838="","",SUM(X2838:AE2838))</f>
        <v/>
      </c>
      <c r="V2838" s="31">
        <f>IF($A2838="","",IF($H2838&lt;&gt;"Ausgabe",0,-$E2838-$U2838))</f>
        <v/>
      </c>
      <c r="W2838" s="33">
        <f>IF($A2838="","",DATE(YEAR($A2838),MONTH($A2838),1))</f>
        <v/>
      </c>
      <c r="X2838" s="34">
        <f>IF(OR($A2838="",$H2838&lt;&gt;"Ausgabe",J2838=""),0,IF(J2838="x",-$E2838/(COUNTIF($J2838:$Q2838,"x")+1),-$E2838*N(J2838)))</f>
        <v/>
      </c>
      <c r="Y2838" s="34">
        <f>IF(OR($A2838="",$H2838&lt;&gt;"Ausgabe",K2838=""),0,IF(K2838="x",-$E2838/(COUNTIF($J2838:$Q2838,"x")+1),-$E2838*N(K2838)))</f>
        <v/>
      </c>
      <c r="Z2838" s="34">
        <f>IF(OR($A2838="",$H2838&lt;&gt;"Ausgabe",L2838=""),0,IF(L2838="x",-$E2838/(COUNTIF($J2838:$Q2838,"x")+1),-$E2838*N(L2838)))</f>
        <v/>
      </c>
      <c r="AA2838" s="34">
        <f>IF(OR($A2838="",$H2838&lt;&gt;"Ausgabe",M2838=""),0,IF(M2838="x",-$E2838/(COUNTIF($J2838:$Q2838,"x")+1),-$E2838*N(M2838)))</f>
        <v/>
      </c>
      <c r="AB2838" s="34">
        <f>IF(OR($A2838="",$H2838&lt;&gt;"Ausgabe",N2838=""),0,IF(N2838="x",-$E2838/(COUNTIF($J2838:$Q2838,"x")+1),-$E2838*N(N2838)))</f>
        <v/>
      </c>
      <c r="AC2838" s="34">
        <f>IF(OR($A2838="",$H2838&lt;&gt;"Ausgabe",O2838=""),0,IF(O2838="x",-$E2838/(COUNTIF($J2838:$Q2838,"x")+1),-$E2838*N(O2838)))</f>
        <v/>
      </c>
      <c r="AD2838" s="34">
        <f>IF(OR($A2838="",$H2838&lt;&gt;"Ausgabe",P2838=""),0,IF(P2838="x",-$E2838/(COUNTIF($J2838:$Q2838,"x")+1),-$E2838*N(P2838)))</f>
        <v/>
      </c>
      <c r="AE2838" s="34">
        <f>IF(OR($A2838="",$H2838&lt;&gt;"Ausgabe",Q2838=""),0,IF(Q2838="x",-$E2838/(COUNTIF($J2838:$Q2838,"x")+1),-$E2838*N(Q2838)))</f>
        <v/>
      </c>
    </row>
    <row r="2839">
      <c r="A2839" s="30" t="n"/>
      <c r="E2839" s="31" t="n"/>
      <c r="J2839" s="32" t="n"/>
      <c r="K2839" s="32" t="n"/>
      <c r="L2839" s="32" t="n"/>
      <c r="M2839" s="32" t="n"/>
      <c r="N2839" s="32" t="n"/>
      <c r="O2839" s="32" t="n"/>
      <c r="P2839" s="32" t="n"/>
      <c r="Q2839" s="32" t="n"/>
      <c r="U2839" s="31">
        <f>IF($A2839="","",SUM(X2839:AE2839))</f>
        <v/>
      </c>
      <c r="V2839" s="31">
        <f>IF($A2839="","",IF($H2839&lt;&gt;"Ausgabe",0,-$E2839-$U2839))</f>
        <v/>
      </c>
      <c r="W2839" s="33">
        <f>IF($A2839="","",DATE(YEAR($A2839),MONTH($A2839),1))</f>
        <v/>
      </c>
      <c r="X2839" s="34">
        <f>IF(OR($A2839="",$H2839&lt;&gt;"Ausgabe",J2839=""),0,IF(J2839="x",-$E2839/(COUNTIF($J2839:$Q2839,"x")+1),-$E2839*N(J2839)))</f>
        <v/>
      </c>
      <c r="Y2839" s="34">
        <f>IF(OR($A2839="",$H2839&lt;&gt;"Ausgabe",K2839=""),0,IF(K2839="x",-$E2839/(COUNTIF($J2839:$Q2839,"x")+1),-$E2839*N(K2839)))</f>
        <v/>
      </c>
      <c r="Z2839" s="34">
        <f>IF(OR($A2839="",$H2839&lt;&gt;"Ausgabe",L2839=""),0,IF(L2839="x",-$E2839/(COUNTIF($J2839:$Q2839,"x")+1),-$E2839*N(L2839)))</f>
        <v/>
      </c>
      <c r="AA2839" s="34">
        <f>IF(OR($A2839="",$H2839&lt;&gt;"Ausgabe",M2839=""),0,IF(M2839="x",-$E2839/(COUNTIF($J2839:$Q2839,"x")+1),-$E2839*N(M2839)))</f>
        <v/>
      </c>
      <c r="AB2839" s="34">
        <f>IF(OR($A2839="",$H2839&lt;&gt;"Ausgabe",N2839=""),0,IF(N2839="x",-$E2839/(COUNTIF($J2839:$Q2839,"x")+1),-$E2839*N(N2839)))</f>
        <v/>
      </c>
      <c r="AC2839" s="34">
        <f>IF(OR($A2839="",$H2839&lt;&gt;"Ausgabe",O2839=""),0,IF(O2839="x",-$E2839/(COUNTIF($J2839:$Q2839,"x")+1),-$E2839*N(O2839)))</f>
        <v/>
      </c>
      <c r="AD2839" s="34">
        <f>IF(OR($A2839="",$H2839&lt;&gt;"Ausgabe",P2839=""),0,IF(P2839="x",-$E2839/(COUNTIF($J2839:$Q2839,"x")+1),-$E2839*N(P2839)))</f>
        <v/>
      </c>
      <c r="AE2839" s="34">
        <f>IF(OR($A2839="",$H2839&lt;&gt;"Ausgabe",Q2839=""),0,IF(Q2839="x",-$E2839/(COUNTIF($J2839:$Q2839,"x")+1),-$E2839*N(Q2839)))</f>
        <v/>
      </c>
    </row>
    <row r="2840">
      <c r="A2840" s="30" t="n"/>
      <c r="E2840" s="31" t="n"/>
      <c r="J2840" s="32" t="n"/>
      <c r="K2840" s="32" t="n"/>
      <c r="L2840" s="32" t="n"/>
      <c r="M2840" s="32" t="n"/>
      <c r="N2840" s="32" t="n"/>
      <c r="O2840" s="32" t="n"/>
      <c r="P2840" s="32" t="n"/>
      <c r="Q2840" s="32" t="n"/>
      <c r="U2840" s="31">
        <f>IF($A2840="","",SUM(X2840:AE2840))</f>
        <v/>
      </c>
      <c r="V2840" s="31">
        <f>IF($A2840="","",IF($H2840&lt;&gt;"Ausgabe",0,-$E2840-$U2840))</f>
        <v/>
      </c>
      <c r="W2840" s="33">
        <f>IF($A2840="","",DATE(YEAR($A2840),MONTH($A2840),1))</f>
        <v/>
      </c>
      <c r="X2840" s="34">
        <f>IF(OR($A2840="",$H2840&lt;&gt;"Ausgabe",J2840=""),0,IF(J2840="x",-$E2840/(COUNTIF($J2840:$Q2840,"x")+1),-$E2840*N(J2840)))</f>
        <v/>
      </c>
      <c r="Y2840" s="34">
        <f>IF(OR($A2840="",$H2840&lt;&gt;"Ausgabe",K2840=""),0,IF(K2840="x",-$E2840/(COUNTIF($J2840:$Q2840,"x")+1),-$E2840*N(K2840)))</f>
        <v/>
      </c>
      <c r="Z2840" s="34">
        <f>IF(OR($A2840="",$H2840&lt;&gt;"Ausgabe",L2840=""),0,IF(L2840="x",-$E2840/(COUNTIF($J2840:$Q2840,"x")+1),-$E2840*N(L2840)))</f>
        <v/>
      </c>
      <c r="AA2840" s="34">
        <f>IF(OR($A2840="",$H2840&lt;&gt;"Ausgabe",M2840=""),0,IF(M2840="x",-$E2840/(COUNTIF($J2840:$Q2840,"x")+1),-$E2840*N(M2840)))</f>
        <v/>
      </c>
      <c r="AB2840" s="34">
        <f>IF(OR($A2840="",$H2840&lt;&gt;"Ausgabe",N2840=""),0,IF(N2840="x",-$E2840/(COUNTIF($J2840:$Q2840,"x")+1),-$E2840*N(N2840)))</f>
        <v/>
      </c>
      <c r="AC2840" s="34">
        <f>IF(OR($A2840="",$H2840&lt;&gt;"Ausgabe",O2840=""),0,IF(O2840="x",-$E2840/(COUNTIF($J2840:$Q2840,"x")+1),-$E2840*N(O2840)))</f>
        <v/>
      </c>
      <c r="AD2840" s="34">
        <f>IF(OR($A2840="",$H2840&lt;&gt;"Ausgabe",P2840=""),0,IF(P2840="x",-$E2840/(COUNTIF($J2840:$Q2840,"x")+1),-$E2840*N(P2840)))</f>
        <v/>
      </c>
      <c r="AE2840" s="34">
        <f>IF(OR($A2840="",$H2840&lt;&gt;"Ausgabe",Q2840=""),0,IF(Q2840="x",-$E2840/(COUNTIF($J2840:$Q2840,"x")+1),-$E2840*N(Q2840)))</f>
        <v/>
      </c>
    </row>
    <row r="2841">
      <c r="A2841" s="30" t="n"/>
      <c r="E2841" s="31" t="n"/>
      <c r="J2841" s="32" t="n"/>
      <c r="K2841" s="32" t="n"/>
      <c r="L2841" s="32" t="n"/>
      <c r="M2841" s="32" t="n"/>
      <c r="N2841" s="32" t="n"/>
      <c r="O2841" s="32" t="n"/>
      <c r="P2841" s="32" t="n"/>
      <c r="Q2841" s="32" t="n"/>
      <c r="U2841" s="31">
        <f>IF($A2841="","",SUM(X2841:AE2841))</f>
        <v/>
      </c>
      <c r="V2841" s="31">
        <f>IF($A2841="","",IF($H2841&lt;&gt;"Ausgabe",0,-$E2841-$U2841))</f>
        <v/>
      </c>
      <c r="W2841" s="33">
        <f>IF($A2841="","",DATE(YEAR($A2841),MONTH($A2841),1))</f>
        <v/>
      </c>
      <c r="X2841" s="34">
        <f>IF(OR($A2841="",$H2841&lt;&gt;"Ausgabe",J2841=""),0,IF(J2841="x",-$E2841/(COUNTIF($J2841:$Q2841,"x")+1),-$E2841*N(J2841)))</f>
        <v/>
      </c>
      <c r="Y2841" s="34">
        <f>IF(OR($A2841="",$H2841&lt;&gt;"Ausgabe",K2841=""),0,IF(K2841="x",-$E2841/(COUNTIF($J2841:$Q2841,"x")+1),-$E2841*N(K2841)))</f>
        <v/>
      </c>
      <c r="Z2841" s="34">
        <f>IF(OR($A2841="",$H2841&lt;&gt;"Ausgabe",L2841=""),0,IF(L2841="x",-$E2841/(COUNTIF($J2841:$Q2841,"x")+1),-$E2841*N(L2841)))</f>
        <v/>
      </c>
      <c r="AA2841" s="34">
        <f>IF(OR($A2841="",$H2841&lt;&gt;"Ausgabe",M2841=""),0,IF(M2841="x",-$E2841/(COUNTIF($J2841:$Q2841,"x")+1),-$E2841*N(M2841)))</f>
        <v/>
      </c>
      <c r="AB2841" s="34">
        <f>IF(OR($A2841="",$H2841&lt;&gt;"Ausgabe",N2841=""),0,IF(N2841="x",-$E2841/(COUNTIF($J2841:$Q2841,"x")+1),-$E2841*N(N2841)))</f>
        <v/>
      </c>
      <c r="AC2841" s="34">
        <f>IF(OR($A2841="",$H2841&lt;&gt;"Ausgabe",O2841=""),0,IF(O2841="x",-$E2841/(COUNTIF($J2841:$Q2841,"x")+1),-$E2841*N(O2841)))</f>
        <v/>
      </c>
      <c r="AD2841" s="34">
        <f>IF(OR($A2841="",$H2841&lt;&gt;"Ausgabe",P2841=""),0,IF(P2841="x",-$E2841/(COUNTIF($J2841:$Q2841,"x")+1),-$E2841*N(P2841)))</f>
        <v/>
      </c>
      <c r="AE2841" s="34">
        <f>IF(OR($A2841="",$H2841&lt;&gt;"Ausgabe",Q2841=""),0,IF(Q2841="x",-$E2841/(COUNTIF($J2841:$Q2841,"x")+1),-$E2841*N(Q2841)))</f>
        <v/>
      </c>
    </row>
    <row r="2842">
      <c r="A2842" s="30" t="n"/>
      <c r="E2842" s="31" t="n"/>
      <c r="J2842" s="32" t="n"/>
      <c r="K2842" s="32" t="n"/>
      <c r="L2842" s="32" t="n"/>
      <c r="M2842" s="32" t="n"/>
      <c r="N2842" s="32" t="n"/>
      <c r="O2842" s="32" t="n"/>
      <c r="P2842" s="32" t="n"/>
      <c r="Q2842" s="32" t="n"/>
      <c r="U2842" s="31">
        <f>IF($A2842="","",SUM(X2842:AE2842))</f>
        <v/>
      </c>
      <c r="V2842" s="31">
        <f>IF($A2842="","",IF($H2842&lt;&gt;"Ausgabe",0,-$E2842-$U2842))</f>
        <v/>
      </c>
      <c r="W2842" s="33">
        <f>IF($A2842="","",DATE(YEAR($A2842),MONTH($A2842),1))</f>
        <v/>
      </c>
      <c r="X2842" s="34">
        <f>IF(OR($A2842="",$H2842&lt;&gt;"Ausgabe",J2842=""),0,IF(J2842="x",-$E2842/(COUNTIF($J2842:$Q2842,"x")+1),-$E2842*N(J2842)))</f>
        <v/>
      </c>
      <c r="Y2842" s="34">
        <f>IF(OR($A2842="",$H2842&lt;&gt;"Ausgabe",K2842=""),0,IF(K2842="x",-$E2842/(COUNTIF($J2842:$Q2842,"x")+1),-$E2842*N(K2842)))</f>
        <v/>
      </c>
      <c r="Z2842" s="34">
        <f>IF(OR($A2842="",$H2842&lt;&gt;"Ausgabe",L2842=""),0,IF(L2842="x",-$E2842/(COUNTIF($J2842:$Q2842,"x")+1),-$E2842*N(L2842)))</f>
        <v/>
      </c>
      <c r="AA2842" s="34">
        <f>IF(OR($A2842="",$H2842&lt;&gt;"Ausgabe",M2842=""),0,IF(M2842="x",-$E2842/(COUNTIF($J2842:$Q2842,"x")+1),-$E2842*N(M2842)))</f>
        <v/>
      </c>
      <c r="AB2842" s="34">
        <f>IF(OR($A2842="",$H2842&lt;&gt;"Ausgabe",N2842=""),0,IF(N2842="x",-$E2842/(COUNTIF($J2842:$Q2842,"x")+1),-$E2842*N(N2842)))</f>
        <v/>
      </c>
      <c r="AC2842" s="34">
        <f>IF(OR($A2842="",$H2842&lt;&gt;"Ausgabe",O2842=""),0,IF(O2842="x",-$E2842/(COUNTIF($J2842:$Q2842,"x")+1),-$E2842*N(O2842)))</f>
        <v/>
      </c>
      <c r="AD2842" s="34">
        <f>IF(OR($A2842="",$H2842&lt;&gt;"Ausgabe",P2842=""),0,IF(P2842="x",-$E2842/(COUNTIF($J2842:$Q2842,"x")+1),-$E2842*N(P2842)))</f>
        <v/>
      </c>
      <c r="AE2842" s="34">
        <f>IF(OR($A2842="",$H2842&lt;&gt;"Ausgabe",Q2842=""),0,IF(Q2842="x",-$E2842/(COUNTIF($J2842:$Q2842,"x")+1),-$E2842*N(Q2842)))</f>
        <v/>
      </c>
    </row>
    <row r="2843">
      <c r="A2843" s="30" t="n"/>
      <c r="E2843" s="31" t="n"/>
      <c r="J2843" s="32" t="n"/>
      <c r="K2843" s="32" t="n"/>
      <c r="L2843" s="32" t="n"/>
      <c r="M2843" s="32" t="n"/>
      <c r="N2843" s="32" t="n"/>
      <c r="O2843" s="32" t="n"/>
      <c r="P2843" s="32" t="n"/>
      <c r="Q2843" s="32" t="n"/>
      <c r="U2843" s="31">
        <f>IF($A2843="","",SUM(X2843:AE2843))</f>
        <v/>
      </c>
      <c r="V2843" s="31">
        <f>IF($A2843="","",IF($H2843&lt;&gt;"Ausgabe",0,-$E2843-$U2843))</f>
        <v/>
      </c>
      <c r="W2843" s="33">
        <f>IF($A2843="","",DATE(YEAR($A2843),MONTH($A2843),1))</f>
        <v/>
      </c>
      <c r="X2843" s="34">
        <f>IF(OR($A2843="",$H2843&lt;&gt;"Ausgabe",J2843=""),0,IF(J2843="x",-$E2843/(COUNTIF($J2843:$Q2843,"x")+1),-$E2843*N(J2843)))</f>
        <v/>
      </c>
      <c r="Y2843" s="34">
        <f>IF(OR($A2843="",$H2843&lt;&gt;"Ausgabe",K2843=""),0,IF(K2843="x",-$E2843/(COUNTIF($J2843:$Q2843,"x")+1),-$E2843*N(K2843)))</f>
        <v/>
      </c>
      <c r="Z2843" s="34">
        <f>IF(OR($A2843="",$H2843&lt;&gt;"Ausgabe",L2843=""),0,IF(L2843="x",-$E2843/(COUNTIF($J2843:$Q2843,"x")+1),-$E2843*N(L2843)))</f>
        <v/>
      </c>
      <c r="AA2843" s="34">
        <f>IF(OR($A2843="",$H2843&lt;&gt;"Ausgabe",M2843=""),0,IF(M2843="x",-$E2843/(COUNTIF($J2843:$Q2843,"x")+1),-$E2843*N(M2843)))</f>
        <v/>
      </c>
      <c r="AB2843" s="34">
        <f>IF(OR($A2843="",$H2843&lt;&gt;"Ausgabe",N2843=""),0,IF(N2843="x",-$E2843/(COUNTIF($J2843:$Q2843,"x")+1),-$E2843*N(N2843)))</f>
        <v/>
      </c>
      <c r="AC2843" s="34">
        <f>IF(OR($A2843="",$H2843&lt;&gt;"Ausgabe",O2843=""),0,IF(O2843="x",-$E2843/(COUNTIF($J2843:$Q2843,"x")+1),-$E2843*N(O2843)))</f>
        <v/>
      </c>
      <c r="AD2843" s="34">
        <f>IF(OR($A2843="",$H2843&lt;&gt;"Ausgabe",P2843=""),0,IF(P2843="x",-$E2843/(COUNTIF($J2843:$Q2843,"x")+1),-$E2843*N(P2843)))</f>
        <v/>
      </c>
      <c r="AE2843" s="34">
        <f>IF(OR($A2843="",$H2843&lt;&gt;"Ausgabe",Q2843=""),0,IF(Q2843="x",-$E2843/(COUNTIF($J2843:$Q2843,"x")+1),-$E2843*N(Q2843)))</f>
        <v/>
      </c>
    </row>
    <row r="2844">
      <c r="A2844" s="30" t="n"/>
      <c r="E2844" s="31" t="n"/>
      <c r="J2844" s="32" t="n"/>
      <c r="K2844" s="32" t="n"/>
      <c r="L2844" s="32" t="n"/>
      <c r="M2844" s="32" t="n"/>
      <c r="N2844" s="32" t="n"/>
      <c r="O2844" s="32" t="n"/>
      <c r="P2844" s="32" t="n"/>
      <c r="Q2844" s="32" t="n"/>
      <c r="U2844" s="31">
        <f>IF($A2844="","",SUM(X2844:AE2844))</f>
        <v/>
      </c>
      <c r="V2844" s="31">
        <f>IF($A2844="","",IF($H2844&lt;&gt;"Ausgabe",0,-$E2844-$U2844))</f>
        <v/>
      </c>
      <c r="W2844" s="33">
        <f>IF($A2844="","",DATE(YEAR($A2844),MONTH($A2844),1))</f>
        <v/>
      </c>
      <c r="X2844" s="34">
        <f>IF(OR($A2844="",$H2844&lt;&gt;"Ausgabe",J2844=""),0,IF(J2844="x",-$E2844/(COUNTIF($J2844:$Q2844,"x")+1),-$E2844*N(J2844)))</f>
        <v/>
      </c>
      <c r="Y2844" s="34">
        <f>IF(OR($A2844="",$H2844&lt;&gt;"Ausgabe",K2844=""),0,IF(K2844="x",-$E2844/(COUNTIF($J2844:$Q2844,"x")+1),-$E2844*N(K2844)))</f>
        <v/>
      </c>
      <c r="Z2844" s="34">
        <f>IF(OR($A2844="",$H2844&lt;&gt;"Ausgabe",L2844=""),0,IF(L2844="x",-$E2844/(COUNTIF($J2844:$Q2844,"x")+1),-$E2844*N(L2844)))</f>
        <v/>
      </c>
      <c r="AA2844" s="34">
        <f>IF(OR($A2844="",$H2844&lt;&gt;"Ausgabe",M2844=""),0,IF(M2844="x",-$E2844/(COUNTIF($J2844:$Q2844,"x")+1),-$E2844*N(M2844)))</f>
        <v/>
      </c>
      <c r="AB2844" s="34">
        <f>IF(OR($A2844="",$H2844&lt;&gt;"Ausgabe",N2844=""),0,IF(N2844="x",-$E2844/(COUNTIF($J2844:$Q2844,"x")+1),-$E2844*N(N2844)))</f>
        <v/>
      </c>
      <c r="AC2844" s="34">
        <f>IF(OR($A2844="",$H2844&lt;&gt;"Ausgabe",O2844=""),0,IF(O2844="x",-$E2844/(COUNTIF($J2844:$Q2844,"x")+1),-$E2844*N(O2844)))</f>
        <v/>
      </c>
      <c r="AD2844" s="34">
        <f>IF(OR($A2844="",$H2844&lt;&gt;"Ausgabe",P2844=""),0,IF(P2844="x",-$E2844/(COUNTIF($J2844:$Q2844,"x")+1),-$E2844*N(P2844)))</f>
        <v/>
      </c>
      <c r="AE2844" s="34">
        <f>IF(OR($A2844="",$H2844&lt;&gt;"Ausgabe",Q2844=""),0,IF(Q2844="x",-$E2844/(COUNTIF($J2844:$Q2844,"x")+1),-$E2844*N(Q2844)))</f>
        <v/>
      </c>
    </row>
    <row r="2845">
      <c r="A2845" s="30" t="n"/>
      <c r="E2845" s="31" t="n"/>
      <c r="J2845" s="32" t="n"/>
      <c r="K2845" s="32" t="n"/>
      <c r="L2845" s="32" t="n"/>
      <c r="M2845" s="32" t="n"/>
      <c r="N2845" s="32" t="n"/>
      <c r="O2845" s="32" t="n"/>
      <c r="P2845" s="32" t="n"/>
      <c r="Q2845" s="32" t="n"/>
      <c r="U2845" s="31">
        <f>IF($A2845="","",SUM(X2845:AE2845))</f>
        <v/>
      </c>
      <c r="V2845" s="31">
        <f>IF($A2845="","",IF($H2845&lt;&gt;"Ausgabe",0,-$E2845-$U2845))</f>
        <v/>
      </c>
      <c r="W2845" s="33">
        <f>IF($A2845="","",DATE(YEAR($A2845),MONTH($A2845),1))</f>
        <v/>
      </c>
      <c r="X2845" s="34">
        <f>IF(OR($A2845="",$H2845&lt;&gt;"Ausgabe",J2845=""),0,IF(J2845="x",-$E2845/(COUNTIF($J2845:$Q2845,"x")+1),-$E2845*N(J2845)))</f>
        <v/>
      </c>
      <c r="Y2845" s="34">
        <f>IF(OR($A2845="",$H2845&lt;&gt;"Ausgabe",K2845=""),0,IF(K2845="x",-$E2845/(COUNTIF($J2845:$Q2845,"x")+1),-$E2845*N(K2845)))</f>
        <v/>
      </c>
      <c r="Z2845" s="34">
        <f>IF(OR($A2845="",$H2845&lt;&gt;"Ausgabe",L2845=""),0,IF(L2845="x",-$E2845/(COUNTIF($J2845:$Q2845,"x")+1),-$E2845*N(L2845)))</f>
        <v/>
      </c>
      <c r="AA2845" s="34">
        <f>IF(OR($A2845="",$H2845&lt;&gt;"Ausgabe",M2845=""),0,IF(M2845="x",-$E2845/(COUNTIF($J2845:$Q2845,"x")+1),-$E2845*N(M2845)))</f>
        <v/>
      </c>
      <c r="AB2845" s="34">
        <f>IF(OR($A2845="",$H2845&lt;&gt;"Ausgabe",N2845=""),0,IF(N2845="x",-$E2845/(COUNTIF($J2845:$Q2845,"x")+1),-$E2845*N(N2845)))</f>
        <v/>
      </c>
      <c r="AC2845" s="34">
        <f>IF(OR($A2845="",$H2845&lt;&gt;"Ausgabe",O2845=""),0,IF(O2845="x",-$E2845/(COUNTIF($J2845:$Q2845,"x")+1),-$E2845*N(O2845)))</f>
        <v/>
      </c>
      <c r="AD2845" s="34">
        <f>IF(OR($A2845="",$H2845&lt;&gt;"Ausgabe",P2845=""),0,IF(P2845="x",-$E2845/(COUNTIF($J2845:$Q2845,"x")+1),-$E2845*N(P2845)))</f>
        <v/>
      </c>
      <c r="AE2845" s="34">
        <f>IF(OR($A2845="",$H2845&lt;&gt;"Ausgabe",Q2845=""),0,IF(Q2845="x",-$E2845/(COUNTIF($J2845:$Q2845,"x")+1),-$E2845*N(Q2845)))</f>
        <v/>
      </c>
    </row>
    <row r="2846">
      <c r="A2846" s="30" t="n"/>
      <c r="E2846" s="31" t="n"/>
      <c r="J2846" s="32" t="n"/>
      <c r="K2846" s="32" t="n"/>
      <c r="L2846" s="32" t="n"/>
      <c r="M2846" s="32" t="n"/>
      <c r="N2846" s="32" t="n"/>
      <c r="O2846" s="32" t="n"/>
      <c r="P2846" s="32" t="n"/>
      <c r="Q2846" s="32" t="n"/>
      <c r="U2846" s="31">
        <f>IF($A2846="","",SUM(X2846:AE2846))</f>
        <v/>
      </c>
      <c r="V2846" s="31">
        <f>IF($A2846="","",IF($H2846&lt;&gt;"Ausgabe",0,-$E2846-$U2846))</f>
        <v/>
      </c>
      <c r="W2846" s="33">
        <f>IF($A2846="","",DATE(YEAR($A2846),MONTH($A2846),1))</f>
        <v/>
      </c>
      <c r="X2846" s="34">
        <f>IF(OR($A2846="",$H2846&lt;&gt;"Ausgabe",J2846=""),0,IF(J2846="x",-$E2846/(COUNTIF($J2846:$Q2846,"x")+1),-$E2846*N(J2846)))</f>
        <v/>
      </c>
      <c r="Y2846" s="34">
        <f>IF(OR($A2846="",$H2846&lt;&gt;"Ausgabe",K2846=""),0,IF(K2846="x",-$E2846/(COUNTIF($J2846:$Q2846,"x")+1),-$E2846*N(K2846)))</f>
        <v/>
      </c>
      <c r="Z2846" s="34">
        <f>IF(OR($A2846="",$H2846&lt;&gt;"Ausgabe",L2846=""),0,IF(L2846="x",-$E2846/(COUNTIF($J2846:$Q2846,"x")+1),-$E2846*N(L2846)))</f>
        <v/>
      </c>
      <c r="AA2846" s="34">
        <f>IF(OR($A2846="",$H2846&lt;&gt;"Ausgabe",M2846=""),0,IF(M2846="x",-$E2846/(COUNTIF($J2846:$Q2846,"x")+1),-$E2846*N(M2846)))</f>
        <v/>
      </c>
      <c r="AB2846" s="34">
        <f>IF(OR($A2846="",$H2846&lt;&gt;"Ausgabe",N2846=""),0,IF(N2846="x",-$E2846/(COUNTIF($J2846:$Q2846,"x")+1),-$E2846*N(N2846)))</f>
        <v/>
      </c>
      <c r="AC2846" s="34">
        <f>IF(OR($A2846="",$H2846&lt;&gt;"Ausgabe",O2846=""),0,IF(O2846="x",-$E2846/(COUNTIF($J2846:$Q2846,"x")+1),-$E2846*N(O2846)))</f>
        <v/>
      </c>
      <c r="AD2846" s="34">
        <f>IF(OR($A2846="",$H2846&lt;&gt;"Ausgabe",P2846=""),0,IF(P2846="x",-$E2846/(COUNTIF($J2846:$Q2846,"x")+1),-$E2846*N(P2846)))</f>
        <v/>
      </c>
      <c r="AE2846" s="34">
        <f>IF(OR($A2846="",$H2846&lt;&gt;"Ausgabe",Q2846=""),0,IF(Q2846="x",-$E2846/(COUNTIF($J2846:$Q2846,"x")+1),-$E2846*N(Q2846)))</f>
        <v/>
      </c>
    </row>
    <row r="2847">
      <c r="A2847" s="30" t="n"/>
      <c r="E2847" s="31" t="n"/>
      <c r="J2847" s="32" t="n"/>
      <c r="K2847" s="32" t="n"/>
      <c r="L2847" s="32" t="n"/>
      <c r="M2847" s="32" t="n"/>
      <c r="N2847" s="32" t="n"/>
      <c r="O2847" s="32" t="n"/>
      <c r="P2847" s="32" t="n"/>
      <c r="Q2847" s="32" t="n"/>
      <c r="U2847" s="31">
        <f>IF($A2847="","",SUM(X2847:AE2847))</f>
        <v/>
      </c>
      <c r="V2847" s="31">
        <f>IF($A2847="","",IF($H2847&lt;&gt;"Ausgabe",0,-$E2847-$U2847))</f>
        <v/>
      </c>
      <c r="W2847" s="33">
        <f>IF($A2847="","",DATE(YEAR($A2847),MONTH($A2847),1))</f>
        <v/>
      </c>
      <c r="X2847" s="34">
        <f>IF(OR($A2847="",$H2847&lt;&gt;"Ausgabe",J2847=""),0,IF(J2847="x",-$E2847/(COUNTIF($J2847:$Q2847,"x")+1),-$E2847*N(J2847)))</f>
        <v/>
      </c>
      <c r="Y2847" s="34">
        <f>IF(OR($A2847="",$H2847&lt;&gt;"Ausgabe",K2847=""),0,IF(K2847="x",-$E2847/(COUNTIF($J2847:$Q2847,"x")+1),-$E2847*N(K2847)))</f>
        <v/>
      </c>
      <c r="Z2847" s="34">
        <f>IF(OR($A2847="",$H2847&lt;&gt;"Ausgabe",L2847=""),0,IF(L2847="x",-$E2847/(COUNTIF($J2847:$Q2847,"x")+1),-$E2847*N(L2847)))</f>
        <v/>
      </c>
      <c r="AA2847" s="34">
        <f>IF(OR($A2847="",$H2847&lt;&gt;"Ausgabe",M2847=""),0,IF(M2847="x",-$E2847/(COUNTIF($J2847:$Q2847,"x")+1),-$E2847*N(M2847)))</f>
        <v/>
      </c>
      <c r="AB2847" s="34">
        <f>IF(OR($A2847="",$H2847&lt;&gt;"Ausgabe",N2847=""),0,IF(N2847="x",-$E2847/(COUNTIF($J2847:$Q2847,"x")+1),-$E2847*N(N2847)))</f>
        <v/>
      </c>
      <c r="AC2847" s="34">
        <f>IF(OR($A2847="",$H2847&lt;&gt;"Ausgabe",O2847=""),0,IF(O2847="x",-$E2847/(COUNTIF($J2847:$Q2847,"x")+1),-$E2847*N(O2847)))</f>
        <v/>
      </c>
      <c r="AD2847" s="34">
        <f>IF(OR($A2847="",$H2847&lt;&gt;"Ausgabe",P2847=""),0,IF(P2847="x",-$E2847/(COUNTIF($J2847:$Q2847,"x")+1),-$E2847*N(P2847)))</f>
        <v/>
      </c>
      <c r="AE2847" s="34">
        <f>IF(OR($A2847="",$H2847&lt;&gt;"Ausgabe",Q2847=""),0,IF(Q2847="x",-$E2847/(COUNTIF($J2847:$Q2847,"x")+1),-$E2847*N(Q2847)))</f>
        <v/>
      </c>
    </row>
    <row r="2848">
      <c r="A2848" s="30" t="n"/>
      <c r="E2848" s="31" t="n"/>
      <c r="J2848" s="32" t="n"/>
      <c r="K2848" s="32" t="n"/>
      <c r="L2848" s="32" t="n"/>
      <c r="M2848" s="32" t="n"/>
      <c r="N2848" s="32" t="n"/>
      <c r="O2848" s="32" t="n"/>
      <c r="P2848" s="32" t="n"/>
      <c r="Q2848" s="32" t="n"/>
      <c r="U2848" s="31">
        <f>IF($A2848="","",SUM(X2848:AE2848))</f>
        <v/>
      </c>
      <c r="V2848" s="31">
        <f>IF($A2848="","",IF($H2848&lt;&gt;"Ausgabe",0,-$E2848-$U2848))</f>
        <v/>
      </c>
      <c r="W2848" s="33">
        <f>IF($A2848="","",DATE(YEAR($A2848),MONTH($A2848),1))</f>
        <v/>
      </c>
      <c r="X2848" s="34">
        <f>IF(OR($A2848="",$H2848&lt;&gt;"Ausgabe",J2848=""),0,IF(J2848="x",-$E2848/(COUNTIF($J2848:$Q2848,"x")+1),-$E2848*N(J2848)))</f>
        <v/>
      </c>
      <c r="Y2848" s="34">
        <f>IF(OR($A2848="",$H2848&lt;&gt;"Ausgabe",K2848=""),0,IF(K2848="x",-$E2848/(COUNTIF($J2848:$Q2848,"x")+1),-$E2848*N(K2848)))</f>
        <v/>
      </c>
      <c r="Z2848" s="34">
        <f>IF(OR($A2848="",$H2848&lt;&gt;"Ausgabe",L2848=""),0,IF(L2848="x",-$E2848/(COUNTIF($J2848:$Q2848,"x")+1),-$E2848*N(L2848)))</f>
        <v/>
      </c>
      <c r="AA2848" s="34">
        <f>IF(OR($A2848="",$H2848&lt;&gt;"Ausgabe",M2848=""),0,IF(M2848="x",-$E2848/(COUNTIF($J2848:$Q2848,"x")+1),-$E2848*N(M2848)))</f>
        <v/>
      </c>
      <c r="AB2848" s="34">
        <f>IF(OR($A2848="",$H2848&lt;&gt;"Ausgabe",N2848=""),0,IF(N2848="x",-$E2848/(COUNTIF($J2848:$Q2848,"x")+1),-$E2848*N(N2848)))</f>
        <v/>
      </c>
      <c r="AC2848" s="34">
        <f>IF(OR($A2848="",$H2848&lt;&gt;"Ausgabe",O2848=""),0,IF(O2848="x",-$E2848/(COUNTIF($J2848:$Q2848,"x")+1),-$E2848*N(O2848)))</f>
        <v/>
      </c>
      <c r="AD2848" s="34">
        <f>IF(OR($A2848="",$H2848&lt;&gt;"Ausgabe",P2848=""),0,IF(P2848="x",-$E2848/(COUNTIF($J2848:$Q2848,"x")+1),-$E2848*N(P2848)))</f>
        <v/>
      </c>
      <c r="AE2848" s="34">
        <f>IF(OR($A2848="",$H2848&lt;&gt;"Ausgabe",Q2848=""),0,IF(Q2848="x",-$E2848/(COUNTIF($J2848:$Q2848,"x")+1),-$E2848*N(Q2848)))</f>
        <v/>
      </c>
    </row>
    <row r="2849">
      <c r="A2849" s="30" t="n"/>
      <c r="E2849" s="31" t="n"/>
      <c r="J2849" s="32" t="n"/>
      <c r="K2849" s="32" t="n"/>
      <c r="L2849" s="32" t="n"/>
      <c r="M2849" s="32" t="n"/>
      <c r="N2849" s="32" t="n"/>
      <c r="O2849" s="32" t="n"/>
      <c r="P2849" s="32" t="n"/>
      <c r="Q2849" s="32" t="n"/>
      <c r="U2849" s="31">
        <f>IF($A2849="","",SUM(X2849:AE2849))</f>
        <v/>
      </c>
      <c r="V2849" s="31">
        <f>IF($A2849="","",IF($H2849&lt;&gt;"Ausgabe",0,-$E2849-$U2849))</f>
        <v/>
      </c>
      <c r="W2849" s="33">
        <f>IF($A2849="","",DATE(YEAR($A2849),MONTH($A2849),1))</f>
        <v/>
      </c>
      <c r="X2849" s="34">
        <f>IF(OR($A2849="",$H2849&lt;&gt;"Ausgabe",J2849=""),0,IF(J2849="x",-$E2849/(COUNTIF($J2849:$Q2849,"x")+1),-$E2849*N(J2849)))</f>
        <v/>
      </c>
      <c r="Y2849" s="34">
        <f>IF(OR($A2849="",$H2849&lt;&gt;"Ausgabe",K2849=""),0,IF(K2849="x",-$E2849/(COUNTIF($J2849:$Q2849,"x")+1),-$E2849*N(K2849)))</f>
        <v/>
      </c>
      <c r="Z2849" s="34">
        <f>IF(OR($A2849="",$H2849&lt;&gt;"Ausgabe",L2849=""),0,IF(L2849="x",-$E2849/(COUNTIF($J2849:$Q2849,"x")+1),-$E2849*N(L2849)))</f>
        <v/>
      </c>
      <c r="AA2849" s="34">
        <f>IF(OR($A2849="",$H2849&lt;&gt;"Ausgabe",M2849=""),0,IF(M2849="x",-$E2849/(COUNTIF($J2849:$Q2849,"x")+1),-$E2849*N(M2849)))</f>
        <v/>
      </c>
      <c r="AB2849" s="34">
        <f>IF(OR($A2849="",$H2849&lt;&gt;"Ausgabe",N2849=""),0,IF(N2849="x",-$E2849/(COUNTIF($J2849:$Q2849,"x")+1),-$E2849*N(N2849)))</f>
        <v/>
      </c>
      <c r="AC2849" s="34">
        <f>IF(OR($A2849="",$H2849&lt;&gt;"Ausgabe",O2849=""),0,IF(O2849="x",-$E2849/(COUNTIF($J2849:$Q2849,"x")+1),-$E2849*N(O2849)))</f>
        <v/>
      </c>
      <c r="AD2849" s="34">
        <f>IF(OR($A2849="",$H2849&lt;&gt;"Ausgabe",P2849=""),0,IF(P2849="x",-$E2849/(COUNTIF($J2849:$Q2849,"x")+1),-$E2849*N(P2849)))</f>
        <v/>
      </c>
      <c r="AE2849" s="34">
        <f>IF(OR($A2849="",$H2849&lt;&gt;"Ausgabe",Q2849=""),0,IF(Q2849="x",-$E2849/(COUNTIF($J2849:$Q2849,"x")+1),-$E2849*N(Q2849)))</f>
        <v/>
      </c>
    </row>
    <row r="2850">
      <c r="A2850" s="30" t="n"/>
      <c r="E2850" s="31" t="n"/>
      <c r="J2850" s="32" t="n"/>
      <c r="K2850" s="32" t="n"/>
      <c r="L2850" s="32" t="n"/>
      <c r="M2850" s="32" t="n"/>
      <c r="N2850" s="32" t="n"/>
      <c r="O2850" s="32" t="n"/>
      <c r="P2850" s="32" t="n"/>
      <c r="Q2850" s="32" t="n"/>
      <c r="U2850" s="31">
        <f>IF($A2850="","",SUM(X2850:AE2850))</f>
        <v/>
      </c>
      <c r="V2850" s="31">
        <f>IF($A2850="","",IF($H2850&lt;&gt;"Ausgabe",0,-$E2850-$U2850))</f>
        <v/>
      </c>
      <c r="W2850" s="33">
        <f>IF($A2850="","",DATE(YEAR($A2850),MONTH($A2850),1))</f>
        <v/>
      </c>
      <c r="X2850" s="34">
        <f>IF(OR($A2850="",$H2850&lt;&gt;"Ausgabe",J2850=""),0,IF(J2850="x",-$E2850/(COUNTIF($J2850:$Q2850,"x")+1),-$E2850*N(J2850)))</f>
        <v/>
      </c>
      <c r="Y2850" s="34">
        <f>IF(OR($A2850="",$H2850&lt;&gt;"Ausgabe",K2850=""),0,IF(K2850="x",-$E2850/(COUNTIF($J2850:$Q2850,"x")+1),-$E2850*N(K2850)))</f>
        <v/>
      </c>
      <c r="Z2850" s="34">
        <f>IF(OR($A2850="",$H2850&lt;&gt;"Ausgabe",L2850=""),0,IF(L2850="x",-$E2850/(COUNTIF($J2850:$Q2850,"x")+1),-$E2850*N(L2850)))</f>
        <v/>
      </c>
      <c r="AA2850" s="34">
        <f>IF(OR($A2850="",$H2850&lt;&gt;"Ausgabe",M2850=""),0,IF(M2850="x",-$E2850/(COUNTIF($J2850:$Q2850,"x")+1),-$E2850*N(M2850)))</f>
        <v/>
      </c>
      <c r="AB2850" s="34">
        <f>IF(OR($A2850="",$H2850&lt;&gt;"Ausgabe",N2850=""),0,IF(N2850="x",-$E2850/(COUNTIF($J2850:$Q2850,"x")+1),-$E2850*N(N2850)))</f>
        <v/>
      </c>
      <c r="AC2850" s="34">
        <f>IF(OR($A2850="",$H2850&lt;&gt;"Ausgabe",O2850=""),0,IF(O2850="x",-$E2850/(COUNTIF($J2850:$Q2850,"x")+1),-$E2850*N(O2850)))</f>
        <v/>
      </c>
      <c r="AD2850" s="34">
        <f>IF(OR($A2850="",$H2850&lt;&gt;"Ausgabe",P2850=""),0,IF(P2850="x",-$E2850/(COUNTIF($J2850:$Q2850,"x")+1),-$E2850*N(P2850)))</f>
        <v/>
      </c>
      <c r="AE2850" s="34">
        <f>IF(OR($A2850="",$H2850&lt;&gt;"Ausgabe",Q2850=""),0,IF(Q2850="x",-$E2850/(COUNTIF($J2850:$Q2850,"x")+1),-$E2850*N(Q2850)))</f>
        <v/>
      </c>
    </row>
    <row r="2851">
      <c r="A2851" s="30" t="n"/>
      <c r="E2851" s="31" t="n"/>
      <c r="J2851" s="32" t="n"/>
      <c r="K2851" s="32" t="n"/>
      <c r="L2851" s="32" t="n"/>
      <c r="M2851" s="32" t="n"/>
      <c r="N2851" s="32" t="n"/>
      <c r="O2851" s="32" t="n"/>
      <c r="P2851" s="32" t="n"/>
      <c r="Q2851" s="32" t="n"/>
      <c r="U2851" s="31">
        <f>IF($A2851="","",SUM(X2851:AE2851))</f>
        <v/>
      </c>
      <c r="V2851" s="31">
        <f>IF($A2851="","",IF($H2851&lt;&gt;"Ausgabe",0,-$E2851-$U2851))</f>
        <v/>
      </c>
      <c r="W2851" s="33">
        <f>IF($A2851="","",DATE(YEAR($A2851),MONTH($A2851),1))</f>
        <v/>
      </c>
      <c r="X2851" s="34">
        <f>IF(OR($A2851="",$H2851&lt;&gt;"Ausgabe",J2851=""),0,IF(J2851="x",-$E2851/(COUNTIF($J2851:$Q2851,"x")+1),-$E2851*N(J2851)))</f>
        <v/>
      </c>
      <c r="Y2851" s="34">
        <f>IF(OR($A2851="",$H2851&lt;&gt;"Ausgabe",K2851=""),0,IF(K2851="x",-$E2851/(COUNTIF($J2851:$Q2851,"x")+1),-$E2851*N(K2851)))</f>
        <v/>
      </c>
      <c r="Z2851" s="34">
        <f>IF(OR($A2851="",$H2851&lt;&gt;"Ausgabe",L2851=""),0,IF(L2851="x",-$E2851/(COUNTIF($J2851:$Q2851,"x")+1),-$E2851*N(L2851)))</f>
        <v/>
      </c>
      <c r="AA2851" s="34">
        <f>IF(OR($A2851="",$H2851&lt;&gt;"Ausgabe",M2851=""),0,IF(M2851="x",-$E2851/(COUNTIF($J2851:$Q2851,"x")+1),-$E2851*N(M2851)))</f>
        <v/>
      </c>
      <c r="AB2851" s="34">
        <f>IF(OR($A2851="",$H2851&lt;&gt;"Ausgabe",N2851=""),0,IF(N2851="x",-$E2851/(COUNTIF($J2851:$Q2851,"x")+1),-$E2851*N(N2851)))</f>
        <v/>
      </c>
      <c r="AC2851" s="34">
        <f>IF(OR($A2851="",$H2851&lt;&gt;"Ausgabe",O2851=""),0,IF(O2851="x",-$E2851/(COUNTIF($J2851:$Q2851,"x")+1),-$E2851*N(O2851)))</f>
        <v/>
      </c>
      <c r="AD2851" s="34">
        <f>IF(OR($A2851="",$H2851&lt;&gt;"Ausgabe",P2851=""),0,IF(P2851="x",-$E2851/(COUNTIF($J2851:$Q2851,"x")+1),-$E2851*N(P2851)))</f>
        <v/>
      </c>
      <c r="AE2851" s="34">
        <f>IF(OR($A2851="",$H2851&lt;&gt;"Ausgabe",Q2851=""),0,IF(Q2851="x",-$E2851/(COUNTIF($J2851:$Q2851,"x")+1),-$E2851*N(Q2851)))</f>
        <v/>
      </c>
    </row>
    <row r="2852">
      <c r="A2852" s="30" t="n"/>
      <c r="E2852" s="31" t="n"/>
      <c r="J2852" s="32" t="n"/>
      <c r="K2852" s="32" t="n"/>
      <c r="L2852" s="32" t="n"/>
      <c r="M2852" s="32" t="n"/>
      <c r="N2852" s="32" t="n"/>
      <c r="O2852" s="32" t="n"/>
      <c r="P2852" s="32" t="n"/>
      <c r="Q2852" s="32" t="n"/>
      <c r="U2852" s="31">
        <f>IF($A2852="","",SUM(X2852:AE2852))</f>
        <v/>
      </c>
      <c r="V2852" s="31">
        <f>IF($A2852="","",IF($H2852&lt;&gt;"Ausgabe",0,-$E2852-$U2852))</f>
        <v/>
      </c>
      <c r="W2852" s="33">
        <f>IF($A2852="","",DATE(YEAR($A2852),MONTH($A2852),1))</f>
        <v/>
      </c>
      <c r="X2852" s="34">
        <f>IF(OR($A2852="",$H2852&lt;&gt;"Ausgabe",J2852=""),0,IF(J2852="x",-$E2852/(COUNTIF($J2852:$Q2852,"x")+1),-$E2852*N(J2852)))</f>
        <v/>
      </c>
      <c r="Y2852" s="34">
        <f>IF(OR($A2852="",$H2852&lt;&gt;"Ausgabe",K2852=""),0,IF(K2852="x",-$E2852/(COUNTIF($J2852:$Q2852,"x")+1),-$E2852*N(K2852)))</f>
        <v/>
      </c>
      <c r="Z2852" s="34">
        <f>IF(OR($A2852="",$H2852&lt;&gt;"Ausgabe",L2852=""),0,IF(L2852="x",-$E2852/(COUNTIF($J2852:$Q2852,"x")+1),-$E2852*N(L2852)))</f>
        <v/>
      </c>
      <c r="AA2852" s="34">
        <f>IF(OR($A2852="",$H2852&lt;&gt;"Ausgabe",M2852=""),0,IF(M2852="x",-$E2852/(COUNTIF($J2852:$Q2852,"x")+1),-$E2852*N(M2852)))</f>
        <v/>
      </c>
      <c r="AB2852" s="34">
        <f>IF(OR($A2852="",$H2852&lt;&gt;"Ausgabe",N2852=""),0,IF(N2852="x",-$E2852/(COUNTIF($J2852:$Q2852,"x")+1),-$E2852*N(N2852)))</f>
        <v/>
      </c>
      <c r="AC2852" s="34">
        <f>IF(OR($A2852="",$H2852&lt;&gt;"Ausgabe",O2852=""),0,IF(O2852="x",-$E2852/(COUNTIF($J2852:$Q2852,"x")+1),-$E2852*N(O2852)))</f>
        <v/>
      </c>
      <c r="AD2852" s="34">
        <f>IF(OR($A2852="",$H2852&lt;&gt;"Ausgabe",P2852=""),0,IF(P2852="x",-$E2852/(COUNTIF($J2852:$Q2852,"x")+1),-$E2852*N(P2852)))</f>
        <v/>
      </c>
      <c r="AE2852" s="34">
        <f>IF(OR($A2852="",$H2852&lt;&gt;"Ausgabe",Q2852=""),0,IF(Q2852="x",-$E2852/(COUNTIF($J2852:$Q2852,"x")+1),-$E2852*N(Q2852)))</f>
        <v/>
      </c>
    </row>
    <row r="2853">
      <c r="A2853" s="30" t="n"/>
      <c r="E2853" s="31" t="n"/>
      <c r="J2853" s="32" t="n"/>
      <c r="K2853" s="32" t="n"/>
      <c r="L2853" s="32" t="n"/>
      <c r="M2853" s="32" t="n"/>
      <c r="N2853" s="32" t="n"/>
      <c r="O2853" s="32" t="n"/>
      <c r="P2853" s="32" t="n"/>
      <c r="Q2853" s="32" t="n"/>
      <c r="U2853" s="31">
        <f>IF($A2853="","",SUM(X2853:AE2853))</f>
        <v/>
      </c>
      <c r="V2853" s="31">
        <f>IF($A2853="","",IF($H2853&lt;&gt;"Ausgabe",0,-$E2853-$U2853))</f>
        <v/>
      </c>
      <c r="W2853" s="33">
        <f>IF($A2853="","",DATE(YEAR($A2853),MONTH($A2853),1))</f>
        <v/>
      </c>
      <c r="X2853" s="34">
        <f>IF(OR($A2853="",$H2853&lt;&gt;"Ausgabe",J2853=""),0,IF(J2853="x",-$E2853/(COUNTIF($J2853:$Q2853,"x")+1),-$E2853*N(J2853)))</f>
        <v/>
      </c>
      <c r="Y2853" s="34">
        <f>IF(OR($A2853="",$H2853&lt;&gt;"Ausgabe",K2853=""),0,IF(K2853="x",-$E2853/(COUNTIF($J2853:$Q2853,"x")+1),-$E2853*N(K2853)))</f>
        <v/>
      </c>
      <c r="Z2853" s="34">
        <f>IF(OR($A2853="",$H2853&lt;&gt;"Ausgabe",L2853=""),0,IF(L2853="x",-$E2853/(COUNTIF($J2853:$Q2853,"x")+1),-$E2853*N(L2853)))</f>
        <v/>
      </c>
      <c r="AA2853" s="34">
        <f>IF(OR($A2853="",$H2853&lt;&gt;"Ausgabe",M2853=""),0,IF(M2853="x",-$E2853/(COUNTIF($J2853:$Q2853,"x")+1),-$E2853*N(M2853)))</f>
        <v/>
      </c>
      <c r="AB2853" s="34">
        <f>IF(OR($A2853="",$H2853&lt;&gt;"Ausgabe",N2853=""),0,IF(N2853="x",-$E2853/(COUNTIF($J2853:$Q2853,"x")+1),-$E2853*N(N2853)))</f>
        <v/>
      </c>
      <c r="AC2853" s="34">
        <f>IF(OR($A2853="",$H2853&lt;&gt;"Ausgabe",O2853=""),0,IF(O2853="x",-$E2853/(COUNTIF($J2853:$Q2853,"x")+1),-$E2853*N(O2853)))</f>
        <v/>
      </c>
      <c r="AD2853" s="34">
        <f>IF(OR($A2853="",$H2853&lt;&gt;"Ausgabe",P2853=""),0,IF(P2853="x",-$E2853/(COUNTIF($J2853:$Q2853,"x")+1),-$E2853*N(P2853)))</f>
        <v/>
      </c>
      <c r="AE2853" s="34">
        <f>IF(OR($A2853="",$H2853&lt;&gt;"Ausgabe",Q2853=""),0,IF(Q2853="x",-$E2853/(COUNTIF($J2853:$Q2853,"x")+1),-$E2853*N(Q2853)))</f>
        <v/>
      </c>
    </row>
    <row r="2854">
      <c r="A2854" s="30" t="n"/>
      <c r="E2854" s="31" t="n"/>
      <c r="J2854" s="32" t="n"/>
      <c r="K2854" s="32" t="n"/>
      <c r="L2854" s="32" t="n"/>
      <c r="M2854" s="32" t="n"/>
      <c r="N2854" s="32" t="n"/>
      <c r="O2854" s="32" t="n"/>
      <c r="P2854" s="32" t="n"/>
      <c r="Q2854" s="32" t="n"/>
      <c r="U2854" s="31">
        <f>IF($A2854="","",SUM(X2854:AE2854))</f>
        <v/>
      </c>
      <c r="V2854" s="31">
        <f>IF($A2854="","",IF($H2854&lt;&gt;"Ausgabe",0,-$E2854-$U2854))</f>
        <v/>
      </c>
      <c r="W2854" s="33">
        <f>IF($A2854="","",DATE(YEAR($A2854),MONTH($A2854),1))</f>
        <v/>
      </c>
      <c r="X2854" s="34">
        <f>IF(OR($A2854="",$H2854&lt;&gt;"Ausgabe",J2854=""),0,IF(J2854="x",-$E2854/(COUNTIF($J2854:$Q2854,"x")+1),-$E2854*N(J2854)))</f>
        <v/>
      </c>
      <c r="Y2854" s="34">
        <f>IF(OR($A2854="",$H2854&lt;&gt;"Ausgabe",K2854=""),0,IF(K2854="x",-$E2854/(COUNTIF($J2854:$Q2854,"x")+1),-$E2854*N(K2854)))</f>
        <v/>
      </c>
      <c r="Z2854" s="34">
        <f>IF(OR($A2854="",$H2854&lt;&gt;"Ausgabe",L2854=""),0,IF(L2854="x",-$E2854/(COUNTIF($J2854:$Q2854,"x")+1),-$E2854*N(L2854)))</f>
        <v/>
      </c>
      <c r="AA2854" s="34">
        <f>IF(OR($A2854="",$H2854&lt;&gt;"Ausgabe",M2854=""),0,IF(M2854="x",-$E2854/(COUNTIF($J2854:$Q2854,"x")+1),-$E2854*N(M2854)))</f>
        <v/>
      </c>
      <c r="AB2854" s="34">
        <f>IF(OR($A2854="",$H2854&lt;&gt;"Ausgabe",N2854=""),0,IF(N2854="x",-$E2854/(COUNTIF($J2854:$Q2854,"x")+1),-$E2854*N(N2854)))</f>
        <v/>
      </c>
      <c r="AC2854" s="34">
        <f>IF(OR($A2854="",$H2854&lt;&gt;"Ausgabe",O2854=""),0,IF(O2854="x",-$E2854/(COUNTIF($J2854:$Q2854,"x")+1),-$E2854*N(O2854)))</f>
        <v/>
      </c>
      <c r="AD2854" s="34">
        <f>IF(OR($A2854="",$H2854&lt;&gt;"Ausgabe",P2854=""),0,IF(P2854="x",-$E2854/(COUNTIF($J2854:$Q2854,"x")+1),-$E2854*N(P2854)))</f>
        <v/>
      </c>
      <c r="AE2854" s="34">
        <f>IF(OR($A2854="",$H2854&lt;&gt;"Ausgabe",Q2854=""),0,IF(Q2854="x",-$E2854/(COUNTIF($J2854:$Q2854,"x")+1),-$E2854*N(Q2854)))</f>
        <v/>
      </c>
    </row>
    <row r="2855">
      <c r="A2855" s="30" t="n"/>
      <c r="E2855" s="31" t="n"/>
      <c r="J2855" s="32" t="n"/>
      <c r="K2855" s="32" t="n"/>
      <c r="L2855" s="32" t="n"/>
      <c r="M2855" s="32" t="n"/>
      <c r="N2855" s="32" t="n"/>
      <c r="O2855" s="32" t="n"/>
      <c r="P2855" s="32" t="n"/>
      <c r="Q2855" s="32" t="n"/>
      <c r="U2855" s="31">
        <f>IF($A2855="","",SUM(X2855:AE2855))</f>
        <v/>
      </c>
      <c r="V2855" s="31">
        <f>IF($A2855="","",IF($H2855&lt;&gt;"Ausgabe",0,-$E2855-$U2855))</f>
        <v/>
      </c>
      <c r="W2855" s="33">
        <f>IF($A2855="","",DATE(YEAR($A2855),MONTH($A2855),1))</f>
        <v/>
      </c>
      <c r="X2855" s="34">
        <f>IF(OR($A2855="",$H2855&lt;&gt;"Ausgabe",J2855=""),0,IF(J2855="x",-$E2855/(COUNTIF($J2855:$Q2855,"x")+1),-$E2855*N(J2855)))</f>
        <v/>
      </c>
      <c r="Y2855" s="34">
        <f>IF(OR($A2855="",$H2855&lt;&gt;"Ausgabe",K2855=""),0,IF(K2855="x",-$E2855/(COUNTIF($J2855:$Q2855,"x")+1),-$E2855*N(K2855)))</f>
        <v/>
      </c>
      <c r="Z2855" s="34">
        <f>IF(OR($A2855="",$H2855&lt;&gt;"Ausgabe",L2855=""),0,IF(L2855="x",-$E2855/(COUNTIF($J2855:$Q2855,"x")+1),-$E2855*N(L2855)))</f>
        <v/>
      </c>
      <c r="AA2855" s="34">
        <f>IF(OR($A2855="",$H2855&lt;&gt;"Ausgabe",M2855=""),0,IF(M2855="x",-$E2855/(COUNTIF($J2855:$Q2855,"x")+1),-$E2855*N(M2855)))</f>
        <v/>
      </c>
      <c r="AB2855" s="34">
        <f>IF(OR($A2855="",$H2855&lt;&gt;"Ausgabe",N2855=""),0,IF(N2855="x",-$E2855/(COUNTIF($J2855:$Q2855,"x")+1),-$E2855*N(N2855)))</f>
        <v/>
      </c>
      <c r="AC2855" s="34">
        <f>IF(OR($A2855="",$H2855&lt;&gt;"Ausgabe",O2855=""),0,IF(O2855="x",-$E2855/(COUNTIF($J2855:$Q2855,"x")+1),-$E2855*N(O2855)))</f>
        <v/>
      </c>
      <c r="AD2855" s="34">
        <f>IF(OR($A2855="",$H2855&lt;&gt;"Ausgabe",P2855=""),0,IF(P2855="x",-$E2855/(COUNTIF($J2855:$Q2855,"x")+1),-$E2855*N(P2855)))</f>
        <v/>
      </c>
      <c r="AE2855" s="34">
        <f>IF(OR($A2855="",$H2855&lt;&gt;"Ausgabe",Q2855=""),0,IF(Q2855="x",-$E2855/(COUNTIF($J2855:$Q2855,"x")+1),-$E2855*N(Q2855)))</f>
        <v/>
      </c>
    </row>
    <row r="2856">
      <c r="A2856" s="30" t="n"/>
      <c r="E2856" s="31" t="n"/>
      <c r="J2856" s="32" t="n"/>
      <c r="K2856" s="32" t="n"/>
      <c r="L2856" s="32" t="n"/>
      <c r="M2856" s="32" t="n"/>
      <c r="N2856" s="32" t="n"/>
      <c r="O2856" s="32" t="n"/>
      <c r="P2856" s="32" t="n"/>
      <c r="Q2856" s="32" t="n"/>
      <c r="U2856" s="31">
        <f>IF($A2856="","",SUM(X2856:AE2856))</f>
        <v/>
      </c>
      <c r="V2856" s="31">
        <f>IF($A2856="","",IF($H2856&lt;&gt;"Ausgabe",0,-$E2856-$U2856))</f>
        <v/>
      </c>
      <c r="W2856" s="33">
        <f>IF($A2856="","",DATE(YEAR($A2856),MONTH($A2856),1))</f>
        <v/>
      </c>
      <c r="X2856" s="34">
        <f>IF(OR($A2856="",$H2856&lt;&gt;"Ausgabe",J2856=""),0,IF(J2856="x",-$E2856/(COUNTIF($J2856:$Q2856,"x")+1),-$E2856*N(J2856)))</f>
        <v/>
      </c>
      <c r="Y2856" s="34">
        <f>IF(OR($A2856="",$H2856&lt;&gt;"Ausgabe",K2856=""),0,IF(K2856="x",-$E2856/(COUNTIF($J2856:$Q2856,"x")+1),-$E2856*N(K2856)))</f>
        <v/>
      </c>
      <c r="Z2856" s="34">
        <f>IF(OR($A2856="",$H2856&lt;&gt;"Ausgabe",L2856=""),0,IF(L2856="x",-$E2856/(COUNTIF($J2856:$Q2856,"x")+1),-$E2856*N(L2856)))</f>
        <v/>
      </c>
      <c r="AA2856" s="34">
        <f>IF(OR($A2856="",$H2856&lt;&gt;"Ausgabe",M2856=""),0,IF(M2856="x",-$E2856/(COUNTIF($J2856:$Q2856,"x")+1),-$E2856*N(M2856)))</f>
        <v/>
      </c>
      <c r="AB2856" s="34">
        <f>IF(OR($A2856="",$H2856&lt;&gt;"Ausgabe",N2856=""),0,IF(N2856="x",-$E2856/(COUNTIF($J2856:$Q2856,"x")+1),-$E2856*N(N2856)))</f>
        <v/>
      </c>
      <c r="AC2856" s="34">
        <f>IF(OR($A2856="",$H2856&lt;&gt;"Ausgabe",O2856=""),0,IF(O2856="x",-$E2856/(COUNTIF($J2856:$Q2856,"x")+1),-$E2856*N(O2856)))</f>
        <v/>
      </c>
      <c r="AD2856" s="34">
        <f>IF(OR($A2856="",$H2856&lt;&gt;"Ausgabe",P2856=""),0,IF(P2856="x",-$E2856/(COUNTIF($J2856:$Q2856,"x")+1),-$E2856*N(P2856)))</f>
        <v/>
      </c>
      <c r="AE2856" s="34">
        <f>IF(OR($A2856="",$H2856&lt;&gt;"Ausgabe",Q2856=""),0,IF(Q2856="x",-$E2856/(COUNTIF($J2856:$Q2856,"x")+1),-$E2856*N(Q2856)))</f>
        <v/>
      </c>
    </row>
    <row r="2857">
      <c r="A2857" s="30" t="n"/>
      <c r="E2857" s="31" t="n"/>
      <c r="J2857" s="32" t="n"/>
      <c r="K2857" s="32" t="n"/>
      <c r="L2857" s="32" t="n"/>
      <c r="M2857" s="32" t="n"/>
      <c r="N2857" s="32" t="n"/>
      <c r="O2857" s="32" t="n"/>
      <c r="P2857" s="32" t="n"/>
      <c r="Q2857" s="32" t="n"/>
      <c r="U2857" s="31">
        <f>IF($A2857="","",SUM(X2857:AE2857))</f>
        <v/>
      </c>
      <c r="V2857" s="31">
        <f>IF($A2857="","",IF($H2857&lt;&gt;"Ausgabe",0,-$E2857-$U2857))</f>
        <v/>
      </c>
      <c r="W2857" s="33">
        <f>IF($A2857="","",DATE(YEAR($A2857),MONTH($A2857),1))</f>
        <v/>
      </c>
      <c r="X2857" s="34">
        <f>IF(OR($A2857="",$H2857&lt;&gt;"Ausgabe",J2857=""),0,IF(J2857="x",-$E2857/(COUNTIF($J2857:$Q2857,"x")+1),-$E2857*N(J2857)))</f>
        <v/>
      </c>
      <c r="Y2857" s="34">
        <f>IF(OR($A2857="",$H2857&lt;&gt;"Ausgabe",K2857=""),0,IF(K2857="x",-$E2857/(COUNTIF($J2857:$Q2857,"x")+1),-$E2857*N(K2857)))</f>
        <v/>
      </c>
      <c r="Z2857" s="34">
        <f>IF(OR($A2857="",$H2857&lt;&gt;"Ausgabe",L2857=""),0,IF(L2857="x",-$E2857/(COUNTIF($J2857:$Q2857,"x")+1),-$E2857*N(L2857)))</f>
        <v/>
      </c>
      <c r="AA2857" s="34">
        <f>IF(OR($A2857="",$H2857&lt;&gt;"Ausgabe",M2857=""),0,IF(M2857="x",-$E2857/(COUNTIF($J2857:$Q2857,"x")+1),-$E2857*N(M2857)))</f>
        <v/>
      </c>
      <c r="AB2857" s="34">
        <f>IF(OR($A2857="",$H2857&lt;&gt;"Ausgabe",N2857=""),0,IF(N2857="x",-$E2857/(COUNTIF($J2857:$Q2857,"x")+1),-$E2857*N(N2857)))</f>
        <v/>
      </c>
      <c r="AC2857" s="34">
        <f>IF(OR($A2857="",$H2857&lt;&gt;"Ausgabe",O2857=""),0,IF(O2857="x",-$E2857/(COUNTIF($J2857:$Q2857,"x")+1),-$E2857*N(O2857)))</f>
        <v/>
      </c>
      <c r="AD2857" s="34">
        <f>IF(OR($A2857="",$H2857&lt;&gt;"Ausgabe",P2857=""),0,IF(P2857="x",-$E2857/(COUNTIF($J2857:$Q2857,"x")+1),-$E2857*N(P2857)))</f>
        <v/>
      </c>
      <c r="AE2857" s="34">
        <f>IF(OR($A2857="",$H2857&lt;&gt;"Ausgabe",Q2857=""),0,IF(Q2857="x",-$E2857/(COUNTIF($J2857:$Q2857,"x")+1),-$E2857*N(Q2857)))</f>
        <v/>
      </c>
    </row>
    <row r="2858">
      <c r="A2858" s="30" t="n"/>
      <c r="E2858" s="31" t="n"/>
      <c r="J2858" s="32" t="n"/>
      <c r="K2858" s="32" t="n"/>
      <c r="L2858" s="32" t="n"/>
      <c r="M2858" s="32" t="n"/>
      <c r="N2858" s="32" t="n"/>
      <c r="O2858" s="32" t="n"/>
      <c r="P2858" s="32" t="n"/>
      <c r="Q2858" s="32" t="n"/>
      <c r="U2858" s="31">
        <f>IF($A2858="","",SUM(X2858:AE2858))</f>
        <v/>
      </c>
      <c r="V2858" s="31">
        <f>IF($A2858="","",IF($H2858&lt;&gt;"Ausgabe",0,-$E2858-$U2858))</f>
        <v/>
      </c>
      <c r="W2858" s="33">
        <f>IF($A2858="","",DATE(YEAR($A2858),MONTH($A2858),1))</f>
        <v/>
      </c>
      <c r="X2858" s="34">
        <f>IF(OR($A2858="",$H2858&lt;&gt;"Ausgabe",J2858=""),0,IF(J2858="x",-$E2858/(COUNTIF($J2858:$Q2858,"x")+1),-$E2858*N(J2858)))</f>
        <v/>
      </c>
      <c r="Y2858" s="34">
        <f>IF(OR($A2858="",$H2858&lt;&gt;"Ausgabe",K2858=""),0,IF(K2858="x",-$E2858/(COUNTIF($J2858:$Q2858,"x")+1),-$E2858*N(K2858)))</f>
        <v/>
      </c>
      <c r="Z2858" s="34">
        <f>IF(OR($A2858="",$H2858&lt;&gt;"Ausgabe",L2858=""),0,IF(L2858="x",-$E2858/(COUNTIF($J2858:$Q2858,"x")+1),-$E2858*N(L2858)))</f>
        <v/>
      </c>
      <c r="AA2858" s="34">
        <f>IF(OR($A2858="",$H2858&lt;&gt;"Ausgabe",M2858=""),0,IF(M2858="x",-$E2858/(COUNTIF($J2858:$Q2858,"x")+1),-$E2858*N(M2858)))</f>
        <v/>
      </c>
      <c r="AB2858" s="34">
        <f>IF(OR($A2858="",$H2858&lt;&gt;"Ausgabe",N2858=""),0,IF(N2858="x",-$E2858/(COUNTIF($J2858:$Q2858,"x")+1),-$E2858*N(N2858)))</f>
        <v/>
      </c>
      <c r="AC2858" s="34">
        <f>IF(OR($A2858="",$H2858&lt;&gt;"Ausgabe",O2858=""),0,IF(O2858="x",-$E2858/(COUNTIF($J2858:$Q2858,"x")+1),-$E2858*N(O2858)))</f>
        <v/>
      </c>
      <c r="AD2858" s="34">
        <f>IF(OR($A2858="",$H2858&lt;&gt;"Ausgabe",P2858=""),0,IF(P2858="x",-$E2858/(COUNTIF($J2858:$Q2858,"x")+1),-$E2858*N(P2858)))</f>
        <v/>
      </c>
      <c r="AE2858" s="34">
        <f>IF(OR($A2858="",$H2858&lt;&gt;"Ausgabe",Q2858=""),0,IF(Q2858="x",-$E2858/(COUNTIF($J2858:$Q2858,"x")+1),-$E2858*N(Q2858)))</f>
        <v/>
      </c>
    </row>
    <row r="2859">
      <c r="A2859" s="30" t="n"/>
      <c r="E2859" s="31" t="n"/>
      <c r="J2859" s="32" t="n"/>
      <c r="K2859" s="32" t="n"/>
      <c r="L2859" s="32" t="n"/>
      <c r="M2859" s="32" t="n"/>
      <c r="N2859" s="32" t="n"/>
      <c r="O2859" s="32" t="n"/>
      <c r="P2859" s="32" t="n"/>
      <c r="Q2859" s="32" t="n"/>
      <c r="U2859" s="31">
        <f>IF($A2859="","",SUM(X2859:AE2859))</f>
        <v/>
      </c>
      <c r="V2859" s="31">
        <f>IF($A2859="","",IF($H2859&lt;&gt;"Ausgabe",0,-$E2859-$U2859))</f>
        <v/>
      </c>
      <c r="W2859" s="33">
        <f>IF($A2859="","",DATE(YEAR($A2859),MONTH($A2859),1))</f>
        <v/>
      </c>
      <c r="X2859" s="34">
        <f>IF(OR($A2859="",$H2859&lt;&gt;"Ausgabe",J2859=""),0,IF(J2859="x",-$E2859/(COUNTIF($J2859:$Q2859,"x")+1),-$E2859*N(J2859)))</f>
        <v/>
      </c>
      <c r="Y2859" s="34">
        <f>IF(OR($A2859="",$H2859&lt;&gt;"Ausgabe",K2859=""),0,IF(K2859="x",-$E2859/(COUNTIF($J2859:$Q2859,"x")+1),-$E2859*N(K2859)))</f>
        <v/>
      </c>
      <c r="Z2859" s="34">
        <f>IF(OR($A2859="",$H2859&lt;&gt;"Ausgabe",L2859=""),0,IF(L2859="x",-$E2859/(COUNTIF($J2859:$Q2859,"x")+1),-$E2859*N(L2859)))</f>
        <v/>
      </c>
      <c r="AA2859" s="34">
        <f>IF(OR($A2859="",$H2859&lt;&gt;"Ausgabe",M2859=""),0,IF(M2859="x",-$E2859/(COUNTIF($J2859:$Q2859,"x")+1),-$E2859*N(M2859)))</f>
        <v/>
      </c>
      <c r="AB2859" s="34">
        <f>IF(OR($A2859="",$H2859&lt;&gt;"Ausgabe",N2859=""),0,IF(N2859="x",-$E2859/(COUNTIF($J2859:$Q2859,"x")+1),-$E2859*N(N2859)))</f>
        <v/>
      </c>
      <c r="AC2859" s="34">
        <f>IF(OR($A2859="",$H2859&lt;&gt;"Ausgabe",O2859=""),0,IF(O2859="x",-$E2859/(COUNTIF($J2859:$Q2859,"x")+1),-$E2859*N(O2859)))</f>
        <v/>
      </c>
      <c r="AD2859" s="34">
        <f>IF(OR($A2859="",$H2859&lt;&gt;"Ausgabe",P2859=""),0,IF(P2859="x",-$E2859/(COUNTIF($J2859:$Q2859,"x")+1),-$E2859*N(P2859)))</f>
        <v/>
      </c>
      <c r="AE2859" s="34">
        <f>IF(OR($A2859="",$H2859&lt;&gt;"Ausgabe",Q2859=""),0,IF(Q2859="x",-$E2859/(COUNTIF($J2859:$Q2859,"x")+1),-$E2859*N(Q2859)))</f>
        <v/>
      </c>
    </row>
    <row r="2860">
      <c r="A2860" s="30" t="n"/>
      <c r="E2860" s="31" t="n"/>
      <c r="J2860" s="32" t="n"/>
      <c r="K2860" s="32" t="n"/>
      <c r="L2860" s="32" t="n"/>
      <c r="M2860" s="32" t="n"/>
      <c r="N2860" s="32" t="n"/>
      <c r="O2860" s="32" t="n"/>
      <c r="P2860" s="32" t="n"/>
      <c r="Q2860" s="32" t="n"/>
      <c r="U2860" s="31">
        <f>IF($A2860="","",SUM(X2860:AE2860))</f>
        <v/>
      </c>
      <c r="V2860" s="31">
        <f>IF($A2860="","",IF($H2860&lt;&gt;"Ausgabe",0,-$E2860-$U2860))</f>
        <v/>
      </c>
      <c r="W2860" s="33">
        <f>IF($A2860="","",DATE(YEAR($A2860),MONTH($A2860),1))</f>
        <v/>
      </c>
      <c r="X2860" s="34">
        <f>IF(OR($A2860="",$H2860&lt;&gt;"Ausgabe",J2860=""),0,IF(J2860="x",-$E2860/(COUNTIF($J2860:$Q2860,"x")+1),-$E2860*N(J2860)))</f>
        <v/>
      </c>
      <c r="Y2860" s="34">
        <f>IF(OR($A2860="",$H2860&lt;&gt;"Ausgabe",K2860=""),0,IF(K2860="x",-$E2860/(COUNTIF($J2860:$Q2860,"x")+1),-$E2860*N(K2860)))</f>
        <v/>
      </c>
      <c r="Z2860" s="34">
        <f>IF(OR($A2860="",$H2860&lt;&gt;"Ausgabe",L2860=""),0,IF(L2860="x",-$E2860/(COUNTIF($J2860:$Q2860,"x")+1),-$E2860*N(L2860)))</f>
        <v/>
      </c>
      <c r="AA2860" s="34">
        <f>IF(OR($A2860="",$H2860&lt;&gt;"Ausgabe",M2860=""),0,IF(M2860="x",-$E2860/(COUNTIF($J2860:$Q2860,"x")+1),-$E2860*N(M2860)))</f>
        <v/>
      </c>
      <c r="AB2860" s="34">
        <f>IF(OR($A2860="",$H2860&lt;&gt;"Ausgabe",N2860=""),0,IF(N2860="x",-$E2860/(COUNTIF($J2860:$Q2860,"x")+1),-$E2860*N(N2860)))</f>
        <v/>
      </c>
      <c r="AC2860" s="34">
        <f>IF(OR($A2860="",$H2860&lt;&gt;"Ausgabe",O2860=""),0,IF(O2860="x",-$E2860/(COUNTIF($J2860:$Q2860,"x")+1),-$E2860*N(O2860)))</f>
        <v/>
      </c>
      <c r="AD2860" s="34">
        <f>IF(OR($A2860="",$H2860&lt;&gt;"Ausgabe",P2860=""),0,IF(P2860="x",-$E2860/(COUNTIF($J2860:$Q2860,"x")+1),-$E2860*N(P2860)))</f>
        <v/>
      </c>
      <c r="AE2860" s="34">
        <f>IF(OR($A2860="",$H2860&lt;&gt;"Ausgabe",Q2860=""),0,IF(Q2860="x",-$E2860/(COUNTIF($J2860:$Q2860,"x")+1),-$E2860*N(Q2860)))</f>
        <v/>
      </c>
    </row>
    <row r="2861">
      <c r="A2861" s="30" t="n"/>
      <c r="E2861" s="31" t="n"/>
      <c r="J2861" s="32" t="n"/>
      <c r="K2861" s="32" t="n"/>
      <c r="L2861" s="32" t="n"/>
      <c r="M2861" s="32" t="n"/>
      <c r="N2861" s="32" t="n"/>
      <c r="O2861" s="32" t="n"/>
      <c r="P2861" s="32" t="n"/>
      <c r="Q2861" s="32" t="n"/>
      <c r="U2861" s="31">
        <f>IF($A2861="","",SUM(X2861:AE2861))</f>
        <v/>
      </c>
      <c r="V2861" s="31">
        <f>IF($A2861="","",IF($H2861&lt;&gt;"Ausgabe",0,-$E2861-$U2861))</f>
        <v/>
      </c>
      <c r="W2861" s="33">
        <f>IF($A2861="","",DATE(YEAR($A2861),MONTH($A2861),1))</f>
        <v/>
      </c>
      <c r="X2861" s="34">
        <f>IF(OR($A2861="",$H2861&lt;&gt;"Ausgabe",J2861=""),0,IF(J2861="x",-$E2861/(COUNTIF($J2861:$Q2861,"x")+1),-$E2861*N(J2861)))</f>
        <v/>
      </c>
      <c r="Y2861" s="34">
        <f>IF(OR($A2861="",$H2861&lt;&gt;"Ausgabe",K2861=""),0,IF(K2861="x",-$E2861/(COUNTIF($J2861:$Q2861,"x")+1),-$E2861*N(K2861)))</f>
        <v/>
      </c>
      <c r="Z2861" s="34">
        <f>IF(OR($A2861="",$H2861&lt;&gt;"Ausgabe",L2861=""),0,IF(L2861="x",-$E2861/(COUNTIF($J2861:$Q2861,"x")+1),-$E2861*N(L2861)))</f>
        <v/>
      </c>
      <c r="AA2861" s="34">
        <f>IF(OR($A2861="",$H2861&lt;&gt;"Ausgabe",M2861=""),0,IF(M2861="x",-$E2861/(COUNTIF($J2861:$Q2861,"x")+1),-$E2861*N(M2861)))</f>
        <v/>
      </c>
      <c r="AB2861" s="34">
        <f>IF(OR($A2861="",$H2861&lt;&gt;"Ausgabe",N2861=""),0,IF(N2861="x",-$E2861/(COUNTIF($J2861:$Q2861,"x")+1),-$E2861*N(N2861)))</f>
        <v/>
      </c>
      <c r="AC2861" s="34">
        <f>IF(OR($A2861="",$H2861&lt;&gt;"Ausgabe",O2861=""),0,IF(O2861="x",-$E2861/(COUNTIF($J2861:$Q2861,"x")+1),-$E2861*N(O2861)))</f>
        <v/>
      </c>
      <c r="AD2861" s="34">
        <f>IF(OR($A2861="",$H2861&lt;&gt;"Ausgabe",P2861=""),0,IF(P2861="x",-$E2861/(COUNTIF($J2861:$Q2861,"x")+1),-$E2861*N(P2861)))</f>
        <v/>
      </c>
      <c r="AE2861" s="34">
        <f>IF(OR($A2861="",$H2861&lt;&gt;"Ausgabe",Q2861=""),0,IF(Q2861="x",-$E2861/(COUNTIF($J2861:$Q2861,"x")+1),-$E2861*N(Q2861)))</f>
        <v/>
      </c>
    </row>
    <row r="2862">
      <c r="A2862" s="30" t="n"/>
      <c r="E2862" s="31" t="n"/>
      <c r="J2862" s="32" t="n"/>
      <c r="K2862" s="32" t="n"/>
      <c r="L2862" s="32" t="n"/>
      <c r="M2862" s="32" t="n"/>
      <c r="N2862" s="32" t="n"/>
      <c r="O2862" s="32" t="n"/>
      <c r="P2862" s="32" t="n"/>
      <c r="Q2862" s="32" t="n"/>
      <c r="U2862" s="31">
        <f>IF($A2862="","",SUM(X2862:AE2862))</f>
        <v/>
      </c>
      <c r="V2862" s="31">
        <f>IF($A2862="","",IF($H2862&lt;&gt;"Ausgabe",0,-$E2862-$U2862))</f>
        <v/>
      </c>
      <c r="W2862" s="33">
        <f>IF($A2862="","",DATE(YEAR($A2862),MONTH($A2862),1))</f>
        <v/>
      </c>
      <c r="X2862" s="34">
        <f>IF(OR($A2862="",$H2862&lt;&gt;"Ausgabe",J2862=""),0,IF(J2862="x",-$E2862/(COUNTIF($J2862:$Q2862,"x")+1),-$E2862*N(J2862)))</f>
        <v/>
      </c>
      <c r="Y2862" s="34">
        <f>IF(OR($A2862="",$H2862&lt;&gt;"Ausgabe",K2862=""),0,IF(K2862="x",-$E2862/(COUNTIF($J2862:$Q2862,"x")+1),-$E2862*N(K2862)))</f>
        <v/>
      </c>
      <c r="Z2862" s="34">
        <f>IF(OR($A2862="",$H2862&lt;&gt;"Ausgabe",L2862=""),0,IF(L2862="x",-$E2862/(COUNTIF($J2862:$Q2862,"x")+1),-$E2862*N(L2862)))</f>
        <v/>
      </c>
      <c r="AA2862" s="34">
        <f>IF(OR($A2862="",$H2862&lt;&gt;"Ausgabe",M2862=""),0,IF(M2862="x",-$E2862/(COUNTIF($J2862:$Q2862,"x")+1),-$E2862*N(M2862)))</f>
        <v/>
      </c>
      <c r="AB2862" s="34">
        <f>IF(OR($A2862="",$H2862&lt;&gt;"Ausgabe",N2862=""),0,IF(N2862="x",-$E2862/(COUNTIF($J2862:$Q2862,"x")+1),-$E2862*N(N2862)))</f>
        <v/>
      </c>
      <c r="AC2862" s="34">
        <f>IF(OR($A2862="",$H2862&lt;&gt;"Ausgabe",O2862=""),0,IF(O2862="x",-$E2862/(COUNTIF($J2862:$Q2862,"x")+1),-$E2862*N(O2862)))</f>
        <v/>
      </c>
      <c r="AD2862" s="34">
        <f>IF(OR($A2862="",$H2862&lt;&gt;"Ausgabe",P2862=""),0,IF(P2862="x",-$E2862/(COUNTIF($J2862:$Q2862,"x")+1),-$E2862*N(P2862)))</f>
        <v/>
      </c>
      <c r="AE2862" s="34">
        <f>IF(OR($A2862="",$H2862&lt;&gt;"Ausgabe",Q2862=""),0,IF(Q2862="x",-$E2862/(COUNTIF($J2862:$Q2862,"x")+1),-$E2862*N(Q2862)))</f>
        <v/>
      </c>
    </row>
    <row r="2863">
      <c r="A2863" s="30" t="n"/>
      <c r="E2863" s="31" t="n"/>
      <c r="J2863" s="32" t="n"/>
      <c r="K2863" s="32" t="n"/>
      <c r="L2863" s="32" t="n"/>
      <c r="M2863" s="32" t="n"/>
      <c r="N2863" s="32" t="n"/>
      <c r="O2863" s="32" t="n"/>
      <c r="P2863" s="32" t="n"/>
      <c r="Q2863" s="32" t="n"/>
      <c r="U2863" s="31">
        <f>IF($A2863="","",SUM(X2863:AE2863))</f>
        <v/>
      </c>
      <c r="V2863" s="31">
        <f>IF($A2863="","",IF($H2863&lt;&gt;"Ausgabe",0,-$E2863-$U2863))</f>
        <v/>
      </c>
      <c r="W2863" s="33">
        <f>IF($A2863="","",DATE(YEAR($A2863),MONTH($A2863),1))</f>
        <v/>
      </c>
      <c r="X2863" s="34">
        <f>IF(OR($A2863="",$H2863&lt;&gt;"Ausgabe",J2863=""),0,IF(J2863="x",-$E2863/(COUNTIF($J2863:$Q2863,"x")+1),-$E2863*N(J2863)))</f>
        <v/>
      </c>
      <c r="Y2863" s="34">
        <f>IF(OR($A2863="",$H2863&lt;&gt;"Ausgabe",K2863=""),0,IF(K2863="x",-$E2863/(COUNTIF($J2863:$Q2863,"x")+1),-$E2863*N(K2863)))</f>
        <v/>
      </c>
      <c r="Z2863" s="34">
        <f>IF(OR($A2863="",$H2863&lt;&gt;"Ausgabe",L2863=""),0,IF(L2863="x",-$E2863/(COUNTIF($J2863:$Q2863,"x")+1),-$E2863*N(L2863)))</f>
        <v/>
      </c>
      <c r="AA2863" s="34">
        <f>IF(OR($A2863="",$H2863&lt;&gt;"Ausgabe",M2863=""),0,IF(M2863="x",-$E2863/(COUNTIF($J2863:$Q2863,"x")+1),-$E2863*N(M2863)))</f>
        <v/>
      </c>
      <c r="AB2863" s="34">
        <f>IF(OR($A2863="",$H2863&lt;&gt;"Ausgabe",N2863=""),0,IF(N2863="x",-$E2863/(COUNTIF($J2863:$Q2863,"x")+1),-$E2863*N(N2863)))</f>
        <v/>
      </c>
      <c r="AC2863" s="34">
        <f>IF(OR($A2863="",$H2863&lt;&gt;"Ausgabe",O2863=""),0,IF(O2863="x",-$E2863/(COUNTIF($J2863:$Q2863,"x")+1),-$E2863*N(O2863)))</f>
        <v/>
      </c>
      <c r="AD2863" s="34">
        <f>IF(OR($A2863="",$H2863&lt;&gt;"Ausgabe",P2863=""),0,IF(P2863="x",-$E2863/(COUNTIF($J2863:$Q2863,"x")+1),-$E2863*N(P2863)))</f>
        <v/>
      </c>
      <c r="AE2863" s="34">
        <f>IF(OR($A2863="",$H2863&lt;&gt;"Ausgabe",Q2863=""),0,IF(Q2863="x",-$E2863/(COUNTIF($J2863:$Q2863,"x")+1),-$E2863*N(Q2863)))</f>
        <v/>
      </c>
    </row>
    <row r="2864">
      <c r="A2864" s="30" t="n"/>
      <c r="E2864" s="31" t="n"/>
      <c r="J2864" s="32" t="n"/>
      <c r="K2864" s="32" t="n"/>
      <c r="L2864" s="32" t="n"/>
      <c r="M2864" s="32" t="n"/>
      <c r="N2864" s="32" t="n"/>
      <c r="O2864" s="32" t="n"/>
      <c r="P2864" s="32" t="n"/>
      <c r="Q2864" s="32" t="n"/>
      <c r="U2864" s="31">
        <f>IF($A2864="","",SUM(X2864:AE2864))</f>
        <v/>
      </c>
      <c r="V2864" s="31">
        <f>IF($A2864="","",IF($H2864&lt;&gt;"Ausgabe",0,-$E2864-$U2864))</f>
        <v/>
      </c>
      <c r="W2864" s="33">
        <f>IF($A2864="","",DATE(YEAR($A2864),MONTH($A2864),1))</f>
        <v/>
      </c>
      <c r="X2864" s="34">
        <f>IF(OR($A2864="",$H2864&lt;&gt;"Ausgabe",J2864=""),0,IF(J2864="x",-$E2864/(COUNTIF($J2864:$Q2864,"x")+1),-$E2864*N(J2864)))</f>
        <v/>
      </c>
      <c r="Y2864" s="34">
        <f>IF(OR($A2864="",$H2864&lt;&gt;"Ausgabe",K2864=""),0,IF(K2864="x",-$E2864/(COUNTIF($J2864:$Q2864,"x")+1),-$E2864*N(K2864)))</f>
        <v/>
      </c>
      <c r="Z2864" s="34">
        <f>IF(OR($A2864="",$H2864&lt;&gt;"Ausgabe",L2864=""),0,IF(L2864="x",-$E2864/(COUNTIF($J2864:$Q2864,"x")+1),-$E2864*N(L2864)))</f>
        <v/>
      </c>
      <c r="AA2864" s="34">
        <f>IF(OR($A2864="",$H2864&lt;&gt;"Ausgabe",M2864=""),0,IF(M2864="x",-$E2864/(COUNTIF($J2864:$Q2864,"x")+1),-$E2864*N(M2864)))</f>
        <v/>
      </c>
      <c r="AB2864" s="34">
        <f>IF(OR($A2864="",$H2864&lt;&gt;"Ausgabe",N2864=""),0,IF(N2864="x",-$E2864/(COUNTIF($J2864:$Q2864,"x")+1),-$E2864*N(N2864)))</f>
        <v/>
      </c>
      <c r="AC2864" s="34">
        <f>IF(OR($A2864="",$H2864&lt;&gt;"Ausgabe",O2864=""),0,IF(O2864="x",-$E2864/(COUNTIF($J2864:$Q2864,"x")+1),-$E2864*N(O2864)))</f>
        <v/>
      </c>
      <c r="AD2864" s="34">
        <f>IF(OR($A2864="",$H2864&lt;&gt;"Ausgabe",P2864=""),0,IF(P2864="x",-$E2864/(COUNTIF($J2864:$Q2864,"x")+1),-$E2864*N(P2864)))</f>
        <v/>
      </c>
      <c r="AE2864" s="34">
        <f>IF(OR($A2864="",$H2864&lt;&gt;"Ausgabe",Q2864=""),0,IF(Q2864="x",-$E2864/(COUNTIF($J2864:$Q2864,"x")+1),-$E2864*N(Q2864)))</f>
        <v/>
      </c>
    </row>
    <row r="2865">
      <c r="A2865" s="30" t="n"/>
      <c r="E2865" s="31" t="n"/>
      <c r="J2865" s="32" t="n"/>
      <c r="K2865" s="32" t="n"/>
      <c r="L2865" s="32" t="n"/>
      <c r="M2865" s="32" t="n"/>
      <c r="N2865" s="32" t="n"/>
      <c r="O2865" s="32" t="n"/>
      <c r="P2865" s="32" t="n"/>
      <c r="Q2865" s="32" t="n"/>
      <c r="U2865" s="31">
        <f>IF($A2865="","",SUM(X2865:AE2865))</f>
        <v/>
      </c>
      <c r="V2865" s="31">
        <f>IF($A2865="","",IF($H2865&lt;&gt;"Ausgabe",0,-$E2865-$U2865))</f>
        <v/>
      </c>
      <c r="W2865" s="33">
        <f>IF($A2865="","",DATE(YEAR($A2865),MONTH($A2865),1))</f>
        <v/>
      </c>
      <c r="X2865" s="34">
        <f>IF(OR($A2865="",$H2865&lt;&gt;"Ausgabe",J2865=""),0,IF(J2865="x",-$E2865/(COUNTIF($J2865:$Q2865,"x")+1),-$E2865*N(J2865)))</f>
        <v/>
      </c>
      <c r="Y2865" s="34">
        <f>IF(OR($A2865="",$H2865&lt;&gt;"Ausgabe",K2865=""),0,IF(K2865="x",-$E2865/(COUNTIF($J2865:$Q2865,"x")+1),-$E2865*N(K2865)))</f>
        <v/>
      </c>
      <c r="Z2865" s="34">
        <f>IF(OR($A2865="",$H2865&lt;&gt;"Ausgabe",L2865=""),0,IF(L2865="x",-$E2865/(COUNTIF($J2865:$Q2865,"x")+1),-$E2865*N(L2865)))</f>
        <v/>
      </c>
      <c r="AA2865" s="34">
        <f>IF(OR($A2865="",$H2865&lt;&gt;"Ausgabe",M2865=""),0,IF(M2865="x",-$E2865/(COUNTIF($J2865:$Q2865,"x")+1),-$E2865*N(M2865)))</f>
        <v/>
      </c>
      <c r="AB2865" s="34">
        <f>IF(OR($A2865="",$H2865&lt;&gt;"Ausgabe",N2865=""),0,IF(N2865="x",-$E2865/(COUNTIF($J2865:$Q2865,"x")+1),-$E2865*N(N2865)))</f>
        <v/>
      </c>
      <c r="AC2865" s="34">
        <f>IF(OR($A2865="",$H2865&lt;&gt;"Ausgabe",O2865=""),0,IF(O2865="x",-$E2865/(COUNTIF($J2865:$Q2865,"x")+1),-$E2865*N(O2865)))</f>
        <v/>
      </c>
      <c r="AD2865" s="34">
        <f>IF(OR($A2865="",$H2865&lt;&gt;"Ausgabe",P2865=""),0,IF(P2865="x",-$E2865/(COUNTIF($J2865:$Q2865,"x")+1),-$E2865*N(P2865)))</f>
        <v/>
      </c>
      <c r="AE2865" s="34">
        <f>IF(OR($A2865="",$H2865&lt;&gt;"Ausgabe",Q2865=""),0,IF(Q2865="x",-$E2865/(COUNTIF($J2865:$Q2865,"x")+1),-$E2865*N(Q2865)))</f>
        <v/>
      </c>
    </row>
    <row r="2866">
      <c r="A2866" s="30" t="n"/>
      <c r="E2866" s="31" t="n"/>
      <c r="J2866" s="32" t="n"/>
      <c r="K2866" s="32" t="n"/>
      <c r="L2866" s="32" t="n"/>
      <c r="M2866" s="32" t="n"/>
      <c r="N2866" s="32" t="n"/>
      <c r="O2866" s="32" t="n"/>
      <c r="P2866" s="32" t="n"/>
      <c r="Q2866" s="32" t="n"/>
      <c r="U2866" s="31">
        <f>IF($A2866="","",SUM(X2866:AE2866))</f>
        <v/>
      </c>
      <c r="V2866" s="31">
        <f>IF($A2866="","",IF($H2866&lt;&gt;"Ausgabe",0,-$E2866-$U2866))</f>
        <v/>
      </c>
      <c r="W2866" s="33">
        <f>IF($A2866="","",DATE(YEAR($A2866),MONTH($A2866),1))</f>
        <v/>
      </c>
      <c r="X2866" s="34">
        <f>IF(OR($A2866="",$H2866&lt;&gt;"Ausgabe",J2866=""),0,IF(J2866="x",-$E2866/(COUNTIF($J2866:$Q2866,"x")+1),-$E2866*N(J2866)))</f>
        <v/>
      </c>
      <c r="Y2866" s="34">
        <f>IF(OR($A2866="",$H2866&lt;&gt;"Ausgabe",K2866=""),0,IF(K2866="x",-$E2866/(COUNTIF($J2866:$Q2866,"x")+1),-$E2866*N(K2866)))</f>
        <v/>
      </c>
      <c r="Z2866" s="34">
        <f>IF(OR($A2866="",$H2866&lt;&gt;"Ausgabe",L2866=""),0,IF(L2866="x",-$E2866/(COUNTIF($J2866:$Q2866,"x")+1),-$E2866*N(L2866)))</f>
        <v/>
      </c>
      <c r="AA2866" s="34">
        <f>IF(OR($A2866="",$H2866&lt;&gt;"Ausgabe",M2866=""),0,IF(M2866="x",-$E2866/(COUNTIF($J2866:$Q2866,"x")+1),-$E2866*N(M2866)))</f>
        <v/>
      </c>
      <c r="AB2866" s="34">
        <f>IF(OR($A2866="",$H2866&lt;&gt;"Ausgabe",N2866=""),0,IF(N2866="x",-$E2866/(COUNTIF($J2866:$Q2866,"x")+1),-$E2866*N(N2866)))</f>
        <v/>
      </c>
      <c r="AC2866" s="34">
        <f>IF(OR($A2866="",$H2866&lt;&gt;"Ausgabe",O2866=""),0,IF(O2866="x",-$E2866/(COUNTIF($J2866:$Q2866,"x")+1),-$E2866*N(O2866)))</f>
        <v/>
      </c>
      <c r="AD2866" s="34">
        <f>IF(OR($A2866="",$H2866&lt;&gt;"Ausgabe",P2866=""),0,IF(P2866="x",-$E2866/(COUNTIF($J2866:$Q2866,"x")+1),-$E2866*N(P2866)))</f>
        <v/>
      </c>
      <c r="AE2866" s="34">
        <f>IF(OR($A2866="",$H2866&lt;&gt;"Ausgabe",Q2866=""),0,IF(Q2866="x",-$E2866/(COUNTIF($J2866:$Q2866,"x")+1),-$E2866*N(Q2866)))</f>
        <v/>
      </c>
    </row>
    <row r="2867">
      <c r="A2867" s="30" t="n"/>
      <c r="E2867" s="31" t="n"/>
      <c r="J2867" s="32" t="n"/>
      <c r="K2867" s="32" t="n"/>
      <c r="L2867" s="32" t="n"/>
      <c r="M2867" s="32" t="n"/>
      <c r="N2867" s="32" t="n"/>
      <c r="O2867" s="32" t="n"/>
      <c r="P2867" s="32" t="n"/>
      <c r="Q2867" s="32" t="n"/>
      <c r="U2867" s="31">
        <f>IF($A2867="","",SUM(X2867:AE2867))</f>
        <v/>
      </c>
      <c r="V2867" s="31">
        <f>IF($A2867="","",IF($H2867&lt;&gt;"Ausgabe",0,-$E2867-$U2867))</f>
        <v/>
      </c>
      <c r="W2867" s="33">
        <f>IF($A2867="","",DATE(YEAR($A2867),MONTH($A2867),1))</f>
        <v/>
      </c>
      <c r="X2867" s="34">
        <f>IF(OR($A2867="",$H2867&lt;&gt;"Ausgabe",J2867=""),0,IF(J2867="x",-$E2867/(COUNTIF($J2867:$Q2867,"x")+1),-$E2867*N(J2867)))</f>
        <v/>
      </c>
      <c r="Y2867" s="34">
        <f>IF(OR($A2867="",$H2867&lt;&gt;"Ausgabe",K2867=""),0,IF(K2867="x",-$E2867/(COUNTIF($J2867:$Q2867,"x")+1),-$E2867*N(K2867)))</f>
        <v/>
      </c>
      <c r="Z2867" s="34">
        <f>IF(OR($A2867="",$H2867&lt;&gt;"Ausgabe",L2867=""),0,IF(L2867="x",-$E2867/(COUNTIF($J2867:$Q2867,"x")+1),-$E2867*N(L2867)))</f>
        <v/>
      </c>
      <c r="AA2867" s="34">
        <f>IF(OR($A2867="",$H2867&lt;&gt;"Ausgabe",M2867=""),0,IF(M2867="x",-$E2867/(COUNTIF($J2867:$Q2867,"x")+1),-$E2867*N(M2867)))</f>
        <v/>
      </c>
      <c r="AB2867" s="34">
        <f>IF(OR($A2867="",$H2867&lt;&gt;"Ausgabe",N2867=""),0,IF(N2867="x",-$E2867/(COUNTIF($J2867:$Q2867,"x")+1),-$E2867*N(N2867)))</f>
        <v/>
      </c>
      <c r="AC2867" s="34">
        <f>IF(OR($A2867="",$H2867&lt;&gt;"Ausgabe",O2867=""),0,IF(O2867="x",-$E2867/(COUNTIF($J2867:$Q2867,"x")+1),-$E2867*N(O2867)))</f>
        <v/>
      </c>
      <c r="AD2867" s="34">
        <f>IF(OR($A2867="",$H2867&lt;&gt;"Ausgabe",P2867=""),0,IF(P2867="x",-$E2867/(COUNTIF($J2867:$Q2867,"x")+1),-$E2867*N(P2867)))</f>
        <v/>
      </c>
      <c r="AE2867" s="34">
        <f>IF(OR($A2867="",$H2867&lt;&gt;"Ausgabe",Q2867=""),0,IF(Q2867="x",-$E2867/(COUNTIF($J2867:$Q2867,"x")+1),-$E2867*N(Q2867)))</f>
        <v/>
      </c>
    </row>
    <row r="2868">
      <c r="A2868" s="30" t="n"/>
      <c r="E2868" s="31" t="n"/>
      <c r="J2868" s="32" t="n"/>
      <c r="K2868" s="32" t="n"/>
      <c r="L2868" s="32" t="n"/>
      <c r="M2868" s="32" t="n"/>
      <c r="N2868" s="32" t="n"/>
      <c r="O2868" s="32" t="n"/>
      <c r="P2868" s="32" t="n"/>
      <c r="Q2868" s="32" t="n"/>
      <c r="U2868" s="31">
        <f>IF($A2868="","",SUM(X2868:AE2868))</f>
        <v/>
      </c>
      <c r="V2868" s="31">
        <f>IF($A2868="","",IF($H2868&lt;&gt;"Ausgabe",0,-$E2868-$U2868))</f>
        <v/>
      </c>
      <c r="W2868" s="33">
        <f>IF($A2868="","",DATE(YEAR($A2868),MONTH($A2868),1))</f>
        <v/>
      </c>
      <c r="X2868" s="34">
        <f>IF(OR($A2868="",$H2868&lt;&gt;"Ausgabe",J2868=""),0,IF(J2868="x",-$E2868/(COUNTIF($J2868:$Q2868,"x")+1),-$E2868*N(J2868)))</f>
        <v/>
      </c>
      <c r="Y2868" s="34">
        <f>IF(OR($A2868="",$H2868&lt;&gt;"Ausgabe",K2868=""),0,IF(K2868="x",-$E2868/(COUNTIF($J2868:$Q2868,"x")+1),-$E2868*N(K2868)))</f>
        <v/>
      </c>
      <c r="Z2868" s="34">
        <f>IF(OR($A2868="",$H2868&lt;&gt;"Ausgabe",L2868=""),0,IF(L2868="x",-$E2868/(COUNTIF($J2868:$Q2868,"x")+1),-$E2868*N(L2868)))</f>
        <v/>
      </c>
      <c r="AA2868" s="34">
        <f>IF(OR($A2868="",$H2868&lt;&gt;"Ausgabe",M2868=""),0,IF(M2868="x",-$E2868/(COUNTIF($J2868:$Q2868,"x")+1),-$E2868*N(M2868)))</f>
        <v/>
      </c>
      <c r="AB2868" s="34">
        <f>IF(OR($A2868="",$H2868&lt;&gt;"Ausgabe",N2868=""),0,IF(N2868="x",-$E2868/(COUNTIF($J2868:$Q2868,"x")+1),-$E2868*N(N2868)))</f>
        <v/>
      </c>
      <c r="AC2868" s="34">
        <f>IF(OR($A2868="",$H2868&lt;&gt;"Ausgabe",O2868=""),0,IF(O2868="x",-$E2868/(COUNTIF($J2868:$Q2868,"x")+1),-$E2868*N(O2868)))</f>
        <v/>
      </c>
      <c r="AD2868" s="34">
        <f>IF(OR($A2868="",$H2868&lt;&gt;"Ausgabe",P2868=""),0,IF(P2868="x",-$E2868/(COUNTIF($J2868:$Q2868,"x")+1),-$E2868*N(P2868)))</f>
        <v/>
      </c>
      <c r="AE2868" s="34">
        <f>IF(OR($A2868="",$H2868&lt;&gt;"Ausgabe",Q2868=""),0,IF(Q2868="x",-$E2868/(COUNTIF($J2868:$Q2868,"x")+1),-$E2868*N(Q2868)))</f>
        <v/>
      </c>
    </row>
    <row r="2869">
      <c r="A2869" s="30" t="n"/>
      <c r="E2869" s="31" t="n"/>
      <c r="J2869" s="32" t="n"/>
      <c r="K2869" s="32" t="n"/>
      <c r="L2869" s="32" t="n"/>
      <c r="M2869" s="32" t="n"/>
      <c r="N2869" s="32" t="n"/>
      <c r="O2869" s="32" t="n"/>
      <c r="P2869" s="32" t="n"/>
      <c r="Q2869" s="32" t="n"/>
      <c r="U2869" s="31">
        <f>IF($A2869="","",SUM(X2869:AE2869))</f>
        <v/>
      </c>
      <c r="V2869" s="31">
        <f>IF($A2869="","",IF($H2869&lt;&gt;"Ausgabe",0,-$E2869-$U2869))</f>
        <v/>
      </c>
      <c r="W2869" s="33">
        <f>IF($A2869="","",DATE(YEAR($A2869),MONTH($A2869),1))</f>
        <v/>
      </c>
      <c r="X2869" s="34">
        <f>IF(OR($A2869="",$H2869&lt;&gt;"Ausgabe",J2869=""),0,IF(J2869="x",-$E2869/(COUNTIF($J2869:$Q2869,"x")+1),-$E2869*N(J2869)))</f>
        <v/>
      </c>
      <c r="Y2869" s="34">
        <f>IF(OR($A2869="",$H2869&lt;&gt;"Ausgabe",K2869=""),0,IF(K2869="x",-$E2869/(COUNTIF($J2869:$Q2869,"x")+1),-$E2869*N(K2869)))</f>
        <v/>
      </c>
      <c r="Z2869" s="34">
        <f>IF(OR($A2869="",$H2869&lt;&gt;"Ausgabe",L2869=""),0,IF(L2869="x",-$E2869/(COUNTIF($J2869:$Q2869,"x")+1),-$E2869*N(L2869)))</f>
        <v/>
      </c>
      <c r="AA2869" s="34">
        <f>IF(OR($A2869="",$H2869&lt;&gt;"Ausgabe",M2869=""),0,IF(M2869="x",-$E2869/(COUNTIF($J2869:$Q2869,"x")+1),-$E2869*N(M2869)))</f>
        <v/>
      </c>
      <c r="AB2869" s="34">
        <f>IF(OR($A2869="",$H2869&lt;&gt;"Ausgabe",N2869=""),0,IF(N2869="x",-$E2869/(COUNTIF($J2869:$Q2869,"x")+1),-$E2869*N(N2869)))</f>
        <v/>
      </c>
      <c r="AC2869" s="34">
        <f>IF(OR($A2869="",$H2869&lt;&gt;"Ausgabe",O2869=""),0,IF(O2869="x",-$E2869/(COUNTIF($J2869:$Q2869,"x")+1),-$E2869*N(O2869)))</f>
        <v/>
      </c>
      <c r="AD2869" s="34">
        <f>IF(OR($A2869="",$H2869&lt;&gt;"Ausgabe",P2869=""),0,IF(P2869="x",-$E2869/(COUNTIF($J2869:$Q2869,"x")+1),-$E2869*N(P2869)))</f>
        <v/>
      </c>
      <c r="AE2869" s="34">
        <f>IF(OR($A2869="",$H2869&lt;&gt;"Ausgabe",Q2869=""),0,IF(Q2869="x",-$E2869/(COUNTIF($J2869:$Q2869,"x")+1),-$E2869*N(Q2869)))</f>
        <v/>
      </c>
    </row>
    <row r="2870">
      <c r="A2870" s="30" t="n"/>
      <c r="E2870" s="31" t="n"/>
      <c r="J2870" s="32" t="n"/>
      <c r="K2870" s="32" t="n"/>
      <c r="L2870" s="32" t="n"/>
      <c r="M2870" s="32" t="n"/>
      <c r="N2870" s="32" t="n"/>
      <c r="O2870" s="32" t="n"/>
      <c r="P2870" s="32" t="n"/>
      <c r="Q2870" s="32" t="n"/>
      <c r="U2870" s="31">
        <f>IF($A2870="","",SUM(X2870:AE2870))</f>
        <v/>
      </c>
      <c r="V2870" s="31">
        <f>IF($A2870="","",IF($H2870&lt;&gt;"Ausgabe",0,-$E2870-$U2870))</f>
        <v/>
      </c>
      <c r="W2870" s="33">
        <f>IF($A2870="","",DATE(YEAR($A2870),MONTH($A2870),1))</f>
        <v/>
      </c>
      <c r="X2870" s="34">
        <f>IF(OR($A2870="",$H2870&lt;&gt;"Ausgabe",J2870=""),0,IF(J2870="x",-$E2870/(COUNTIF($J2870:$Q2870,"x")+1),-$E2870*N(J2870)))</f>
        <v/>
      </c>
      <c r="Y2870" s="34">
        <f>IF(OR($A2870="",$H2870&lt;&gt;"Ausgabe",K2870=""),0,IF(K2870="x",-$E2870/(COUNTIF($J2870:$Q2870,"x")+1),-$E2870*N(K2870)))</f>
        <v/>
      </c>
      <c r="Z2870" s="34">
        <f>IF(OR($A2870="",$H2870&lt;&gt;"Ausgabe",L2870=""),0,IF(L2870="x",-$E2870/(COUNTIF($J2870:$Q2870,"x")+1),-$E2870*N(L2870)))</f>
        <v/>
      </c>
      <c r="AA2870" s="34">
        <f>IF(OR($A2870="",$H2870&lt;&gt;"Ausgabe",M2870=""),0,IF(M2870="x",-$E2870/(COUNTIF($J2870:$Q2870,"x")+1),-$E2870*N(M2870)))</f>
        <v/>
      </c>
      <c r="AB2870" s="34">
        <f>IF(OR($A2870="",$H2870&lt;&gt;"Ausgabe",N2870=""),0,IF(N2870="x",-$E2870/(COUNTIF($J2870:$Q2870,"x")+1),-$E2870*N(N2870)))</f>
        <v/>
      </c>
      <c r="AC2870" s="34">
        <f>IF(OR($A2870="",$H2870&lt;&gt;"Ausgabe",O2870=""),0,IF(O2870="x",-$E2870/(COUNTIF($J2870:$Q2870,"x")+1),-$E2870*N(O2870)))</f>
        <v/>
      </c>
      <c r="AD2870" s="34">
        <f>IF(OR($A2870="",$H2870&lt;&gt;"Ausgabe",P2870=""),0,IF(P2870="x",-$E2870/(COUNTIF($J2870:$Q2870,"x")+1),-$E2870*N(P2870)))</f>
        <v/>
      </c>
      <c r="AE2870" s="34">
        <f>IF(OR($A2870="",$H2870&lt;&gt;"Ausgabe",Q2870=""),0,IF(Q2870="x",-$E2870/(COUNTIF($J2870:$Q2870,"x")+1),-$E2870*N(Q2870)))</f>
        <v/>
      </c>
    </row>
    <row r="2871">
      <c r="A2871" s="30" t="n"/>
      <c r="E2871" s="31" t="n"/>
      <c r="J2871" s="32" t="n"/>
      <c r="K2871" s="32" t="n"/>
      <c r="L2871" s="32" t="n"/>
      <c r="M2871" s="32" t="n"/>
      <c r="N2871" s="32" t="n"/>
      <c r="O2871" s="32" t="n"/>
      <c r="P2871" s="32" t="n"/>
      <c r="Q2871" s="32" t="n"/>
      <c r="U2871" s="31">
        <f>IF($A2871="","",SUM(X2871:AE2871))</f>
        <v/>
      </c>
      <c r="V2871" s="31">
        <f>IF($A2871="","",IF($H2871&lt;&gt;"Ausgabe",0,-$E2871-$U2871))</f>
        <v/>
      </c>
      <c r="W2871" s="33">
        <f>IF($A2871="","",DATE(YEAR($A2871),MONTH($A2871),1))</f>
        <v/>
      </c>
      <c r="X2871" s="34">
        <f>IF(OR($A2871="",$H2871&lt;&gt;"Ausgabe",J2871=""),0,IF(J2871="x",-$E2871/(COUNTIF($J2871:$Q2871,"x")+1),-$E2871*N(J2871)))</f>
        <v/>
      </c>
      <c r="Y2871" s="34">
        <f>IF(OR($A2871="",$H2871&lt;&gt;"Ausgabe",K2871=""),0,IF(K2871="x",-$E2871/(COUNTIF($J2871:$Q2871,"x")+1),-$E2871*N(K2871)))</f>
        <v/>
      </c>
      <c r="Z2871" s="34">
        <f>IF(OR($A2871="",$H2871&lt;&gt;"Ausgabe",L2871=""),0,IF(L2871="x",-$E2871/(COUNTIF($J2871:$Q2871,"x")+1),-$E2871*N(L2871)))</f>
        <v/>
      </c>
      <c r="AA2871" s="34">
        <f>IF(OR($A2871="",$H2871&lt;&gt;"Ausgabe",M2871=""),0,IF(M2871="x",-$E2871/(COUNTIF($J2871:$Q2871,"x")+1),-$E2871*N(M2871)))</f>
        <v/>
      </c>
      <c r="AB2871" s="34">
        <f>IF(OR($A2871="",$H2871&lt;&gt;"Ausgabe",N2871=""),0,IF(N2871="x",-$E2871/(COUNTIF($J2871:$Q2871,"x")+1),-$E2871*N(N2871)))</f>
        <v/>
      </c>
      <c r="AC2871" s="34">
        <f>IF(OR($A2871="",$H2871&lt;&gt;"Ausgabe",O2871=""),0,IF(O2871="x",-$E2871/(COUNTIF($J2871:$Q2871,"x")+1),-$E2871*N(O2871)))</f>
        <v/>
      </c>
      <c r="AD2871" s="34">
        <f>IF(OR($A2871="",$H2871&lt;&gt;"Ausgabe",P2871=""),0,IF(P2871="x",-$E2871/(COUNTIF($J2871:$Q2871,"x")+1),-$E2871*N(P2871)))</f>
        <v/>
      </c>
      <c r="AE2871" s="34">
        <f>IF(OR($A2871="",$H2871&lt;&gt;"Ausgabe",Q2871=""),0,IF(Q2871="x",-$E2871/(COUNTIF($J2871:$Q2871,"x")+1),-$E2871*N(Q2871)))</f>
        <v/>
      </c>
    </row>
    <row r="2872">
      <c r="A2872" s="30" t="n"/>
      <c r="E2872" s="31" t="n"/>
      <c r="J2872" s="32" t="n"/>
      <c r="K2872" s="32" t="n"/>
      <c r="L2872" s="32" t="n"/>
      <c r="M2872" s="32" t="n"/>
      <c r="N2872" s="32" t="n"/>
      <c r="O2872" s="32" t="n"/>
      <c r="P2872" s="32" t="n"/>
      <c r="Q2872" s="32" t="n"/>
      <c r="U2872" s="31">
        <f>IF($A2872="","",SUM(X2872:AE2872))</f>
        <v/>
      </c>
      <c r="V2872" s="31">
        <f>IF($A2872="","",IF($H2872&lt;&gt;"Ausgabe",0,-$E2872-$U2872))</f>
        <v/>
      </c>
      <c r="W2872" s="33">
        <f>IF($A2872="","",DATE(YEAR($A2872),MONTH($A2872),1))</f>
        <v/>
      </c>
      <c r="X2872" s="34">
        <f>IF(OR($A2872="",$H2872&lt;&gt;"Ausgabe",J2872=""),0,IF(J2872="x",-$E2872/(COUNTIF($J2872:$Q2872,"x")+1),-$E2872*N(J2872)))</f>
        <v/>
      </c>
      <c r="Y2872" s="34">
        <f>IF(OR($A2872="",$H2872&lt;&gt;"Ausgabe",K2872=""),0,IF(K2872="x",-$E2872/(COUNTIF($J2872:$Q2872,"x")+1),-$E2872*N(K2872)))</f>
        <v/>
      </c>
      <c r="Z2872" s="34">
        <f>IF(OR($A2872="",$H2872&lt;&gt;"Ausgabe",L2872=""),0,IF(L2872="x",-$E2872/(COUNTIF($J2872:$Q2872,"x")+1),-$E2872*N(L2872)))</f>
        <v/>
      </c>
      <c r="AA2872" s="34">
        <f>IF(OR($A2872="",$H2872&lt;&gt;"Ausgabe",M2872=""),0,IF(M2872="x",-$E2872/(COUNTIF($J2872:$Q2872,"x")+1),-$E2872*N(M2872)))</f>
        <v/>
      </c>
      <c r="AB2872" s="34">
        <f>IF(OR($A2872="",$H2872&lt;&gt;"Ausgabe",N2872=""),0,IF(N2872="x",-$E2872/(COUNTIF($J2872:$Q2872,"x")+1),-$E2872*N(N2872)))</f>
        <v/>
      </c>
      <c r="AC2872" s="34">
        <f>IF(OR($A2872="",$H2872&lt;&gt;"Ausgabe",O2872=""),0,IF(O2872="x",-$E2872/(COUNTIF($J2872:$Q2872,"x")+1),-$E2872*N(O2872)))</f>
        <v/>
      </c>
      <c r="AD2872" s="34">
        <f>IF(OR($A2872="",$H2872&lt;&gt;"Ausgabe",P2872=""),0,IF(P2872="x",-$E2872/(COUNTIF($J2872:$Q2872,"x")+1),-$E2872*N(P2872)))</f>
        <v/>
      </c>
      <c r="AE2872" s="34">
        <f>IF(OR($A2872="",$H2872&lt;&gt;"Ausgabe",Q2872=""),0,IF(Q2872="x",-$E2872/(COUNTIF($J2872:$Q2872,"x")+1),-$E2872*N(Q2872)))</f>
        <v/>
      </c>
    </row>
    <row r="2873">
      <c r="A2873" s="30" t="n"/>
      <c r="E2873" s="31" t="n"/>
      <c r="J2873" s="32" t="n"/>
      <c r="K2873" s="32" t="n"/>
      <c r="L2873" s="32" t="n"/>
      <c r="M2873" s="32" t="n"/>
      <c r="N2873" s="32" t="n"/>
      <c r="O2873" s="32" t="n"/>
      <c r="P2873" s="32" t="n"/>
      <c r="Q2873" s="32" t="n"/>
      <c r="U2873" s="31">
        <f>IF($A2873="","",SUM(X2873:AE2873))</f>
        <v/>
      </c>
      <c r="V2873" s="31">
        <f>IF($A2873="","",IF($H2873&lt;&gt;"Ausgabe",0,-$E2873-$U2873))</f>
        <v/>
      </c>
      <c r="W2873" s="33">
        <f>IF($A2873="","",DATE(YEAR($A2873),MONTH($A2873),1))</f>
        <v/>
      </c>
      <c r="X2873" s="34">
        <f>IF(OR($A2873="",$H2873&lt;&gt;"Ausgabe",J2873=""),0,IF(J2873="x",-$E2873/(COUNTIF($J2873:$Q2873,"x")+1),-$E2873*N(J2873)))</f>
        <v/>
      </c>
      <c r="Y2873" s="34">
        <f>IF(OR($A2873="",$H2873&lt;&gt;"Ausgabe",K2873=""),0,IF(K2873="x",-$E2873/(COUNTIF($J2873:$Q2873,"x")+1),-$E2873*N(K2873)))</f>
        <v/>
      </c>
      <c r="Z2873" s="34">
        <f>IF(OR($A2873="",$H2873&lt;&gt;"Ausgabe",L2873=""),0,IF(L2873="x",-$E2873/(COUNTIF($J2873:$Q2873,"x")+1),-$E2873*N(L2873)))</f>
        <v/>
      </c>
      <c r="AA2873" s="34">
        <f>IF(OR($A2873="",$H2873&lt;&gt;"Ausgabe",M2873=""),0,IF(M2873="x",-$E2873/(COUNTIF($J2873:$Q2873,"x")+1),-$E2873*N(M2873)))</f>
        <v/>
      </c>
      <c r="AB2873" s="34">
        <f>IF(OR($A2873="",$H2873&lt;&gt;"Ausgabe",N2873=""),0,IF(N2873="x",-$E2873/(COUNTIF($J2873:$Q2873,"x")+1),-$E2873*N(N2873)))</f>
        <v/>
      </c>
      <c r="AC2873" s="34">
        <f>IF(OR($A2873="",$H2873&lt;&gt;"Ausgabe",O2873=""),0,IF(O2873="x",-$E2873/(COUNTIF($J2873:$Q2873,"x")+1),-$E2873*N(O2873)))</f>
        <v/>
      </c>
      <c r="AD2873" s="34">
        <f>IF(OR($A2873="",$H2873&lt;&gt;"Ausgabe",P2873=""),0,IF(P2873="x",-$E2873/(COUNTIF($J2873:$Q2873,"x")+1),-$E2873*N(P2873)))</f>
        <v/>
      </c>
      <c r="AE2873" s="34">
        <f>IF(OR($A2873="",$H2873&lt;&gt;"Ausgabe",Q2873=""),0,IF(Q2873="x",-$E2873/(COUNTIF($J2873:$Q2873,"x")+1),-$E2873*N(Q2873)))</f>
        <v/>
      </c>
    </row>
    <row r="2874">
      <c r="A2874" s="30" t="n"/>
      <c r="E2874" s="31" t="n"/>
      <c r="J2874" s="32" t="n"/>
      <c r="K2874" s="32" t="n"/>
      <c r="L2874" s="32" t="n"/>
      <c r="M2874" s="32" t="n"/>
      <c r="N2874" s="32" t="n"/>
      <c r="O2874" s="32" t="n"/>
      <c r="P2874" s="32" t="n"/>
      <c r="Q2874" s="32" t="n"/>
      <c r="U2874" s="31">
        <f>IF($A2874="","",SUM(X2874:AE2874))</f>
        <v/>
      </c>
      <c r="V2874" s="31">
        <f>IF($A2874="","",IF($H2874&lt;&gt;"Ausgabe",0,-$E2874-$U2874))</f>
        <v/>
      </c>
      <c r="W2874" s="33">
        <f>IF($A2874="","",DATE(YEAR($A2874),MONTH($A2874),1))</f>
        <v/>
      </c>
      <c r="X2874" s="34">
        <f>IF(OR($A2874="",$H2874&lt;&gt;"Ausgabe",J2874=""),0,IF(J2874="x",-$E2874/(COUNTIF($J2874:$Q2874,"x")+1),-$E2874*N(J2874)))</f>
        <v/>
      </c>
      <c r="Y2874" s="34">
        <f>IF(OR($A2874="",$H2874&lt;&gt;"Ausgabe",K2874=""),0,IF(K2874="x",-$E2874/(COUNTIF($J2874:$Q2874,"x")+1),-$E2874*N(K2874)))</f>
        <v/>
      </c>
      <c r="Z2874" s="34">
        <f>IF(OR($A2874="",$H2874&lt;&gt;"Ausgabe",L2874=""),0,IF(L2874="x",-$E2874/(COUNTIF($J2874:$Q2874,"x")+1),-$E2874*N(L2874)))</f>
        <v/>
      </c>
      <c r="AA2874" s="34">
        <f>IF(OR($A2874="",$H2874&lt;&gt;"Ausgabe",M2874=""),0,IF(M2874="x",-$E2874/(COUNTIF($J2874:$Q2874,"x")+1),-$E2874*N(M2874)))</f>
        <v/>
      </c>
      <c r="AB2874" s="34">
        <f>IF(OR($A2874="",$H2874&lt;&gt;"Ausgabe",N2874=""),0,IF(N2874="x",-$E2874/(COUNTIF($J2874:$Q2874,"x")+1),-$E2874*N(N2874)))</f>
        <v/>
      </c>
      <c r="AC2874" s="34">
        <f>IF(OR($A2874="",$H2874&lt;&gt;"Ausgabe",O2874=""),0,IF(O2874="x",-$E2874/(COUNTIF($J2874:$Q2874,"x")+1),-$E2874*N(O2874)))</f>
        <v/>
      </c>
      <c r="AD2874" s="34">
        <f>IF(OR($A2874="",$H2874&lt;&gt;"Ausgabe",P2874=""),0,IF(P2874="x",-$E2874/(COUNTIF($J2874:$Q2874,"x")+1),-$E2874*N(P2874)))</f>
        <v/>
      </c>
      <c r="AE2874" s="34">
        <f>IF(OR($A2874="",$H2874&lt;&gt;"Ausgabe",Q2874=""),0,IF(Q2874="x",-$E2874/(COUNTIF($J2874:$Q2874,"x")+1),-$E2874*N(Q2874)))</f>
        <v/>
      </c>
    </row>
    <row r="2875">
      <c r="A2875" s="30" t="n"/>
      <c r="E2875" s="31" t="n"/>
      <c r="J2875" s="32" t="n"/>
      <c r="K2875" s="32" t="n"/>
      <c r="L2875" s="32" t="n"/>
      <c r="M2875" s="32" t="n"/>
      <c r="N2875" s="32" t="n"/>
      <c r="O2875" s="32" t="n"/>
      <c r="P2875" s="32" t="n"/>
      <c r="Q2875" s="32" t="n"/>
      <c r="U2875" s="31">
        <f>IF($A2875="","",SUM(X2875:AE2875))</f>
        <v/>
      </c>
      <c r="V2875" s="31">
        <f>IF($A2875="","",IF($H2875&lt;&gt;"Ausgabe",0,-$E2875-$U2875))</f>
        <v/>
      </c>
      <c r="W2875" s="33">
        <f>IF($A2875="","",DATE(YEAR($A2875),MONTH($A2875),1))</f>
        <v/>
      </c>
      <c r="X2875" s="34">
        <f>IF(OR($A2875="",$H2875&lt;&gt;"Ausgabe",J2875=""),0,IF(J2875="x",-$E2875/(COUNTIF($J2875:$Q2875,"x")+1),-$E2875*N(J2875)))</f>
        <v/>
      </c>
      <c r="Y2875" s="34">
        <f>IF(OR($A2875="",$H2875&lt;&gt;"Ausgabe",K2875=""),0,IF(K2875="x",-$E2875/(COUNTIF($J2875:$Q2875,"x")+1),-$E2875*N(K2875)))</f>
        <v/>
      </c>
      <c r="Z2875" s="34">
        <f>IF(OR($A2875="",$H2875&lt;&gt;"Ausgabe",L2875=""),0,IF(L2875="x",-$E2875/(COUNTIF($J2875:$Q2875,"x")+1),-$E2875*N(L2875)))</f>
        <v/>
      </c>
      <c r="AA2875" s="34">
        <f>IF(OR($A2875="",$H2875&lt;&gt;"Ausgabe",M2875=""),0,IF(M2875="x",-$E2875/(COUNTIF($J2875:$Q2875,"x")+1),-$E2875*N(M2875)))</f>
        <v/>
      </c>
      <c r="AB2875" s="34">
        <f>IF(OR($A2875="",$H2875&lt;&gt;"Ausgabe",N2875=""),0,IF(N2875="x",-$E2875/(COUNTIF($J2875:$Q2875,"x")+1),-$E2875*N(N2875)))</f>
        <v/>
      </c>
      <c r="AC2875" s="34">
        <f>IF(OR($A2875="",$H2875&lt;&gt;"Ausgabe",O2875=""),0,IF(O2875="x",-$E2875/(COUNTIF($J2875:$Q2875,"x")+1),-$E2875*N(O2875)))</f>
        <v/>
      </c>
      <c r="AD2875" s="34">
        <f>IF(OR($A2875="",$H2875&lt;&gt;"Ausgabe",P2875=""),0,IF(P2875="x",-$E2875/(COUNTIF($J2875:$Q2875,"x")+1),-$E2875*N(P2875)))</f>
        <v/>
      </c>
      <c r="AE2875" s="34">
        <f>IF(OR($A2875="",$H2875&lt;&gt;"Ausgabe",Q2875=""),0,IF(Q2875="x",-$E2875/(COUNTIF($J2875:$Q2875,"x")+1),-$E2875*N(Q2875)))</f>
        <v/>
      </c>
    </row>
    <row r="2876">
      <c r="A2876" s="30" t="n"/>
      <c r="E2876" s="31" t="n"/>
      <c r="J2876" s="32" t="n"/>
      <c r="K2876" s="32" t="n"/>
      <c r="L2876" s="32" t="n"/>
      <c r="M2876" s="32" t="n"/>
      <c r="N2876" s="32" t="n"/>
      <c r="O2876" s="32" t="n"/>
      <c r="P2876" s="32" t="n"/>
      <c r="Q2876" s="32" t="n"/>
      <c r="U2876" s="31">
        <f>IF($A2876="","",SUM(X2876:AE2876))</f>
        <v/>
      </c>
      <c r="V2876" s="31">
        <f>IF($A2876="","",IF($H2876&lt;&gt;"Ausgabe",0,-$E2876-$U2876))</f>
        <v/>
      </c>
      <c r="W2876" s="33">
        <f>IF($A2876="","",DATE(YEAR($A2876),MONTH($A2876),1))</f>
        <v/>
      </c>
      <c r="X2876" s="34">
        <f>IF(OR($A2876="",$H2876&lt;&gt;"Ausgabe",J2876=""),0,IF(J2876="x",-$E2876/(COUNTIF($J2876:$Q2876,"x")+1),-$E2876*N(J2876)))</f>
        <v/>
      </c>
      <c r="Y2876" s="34">
        <f>IF(OR($A2876="",$H2876&lt;&gt;"Ausgabe",K2876=""),0,IF(K2876="x",-$E2876/(COUNTIF($J2876:$Q2876,"x")+1),-$E2876*N(K2876)))</f>
        <v/>
      </c>
      <c r="Z2876" s="34">
        <f>IF(OR($A2876="",$H2876&lt;&gt;"Ausgabe",L2876=""),0,IF(L2876="x",-$E2876/(COUNTIF($J2876:$Q2876,"x")+1),-$E2876*N(L2876)))</f>
        <v/>
      </c>
      <c r="AA2876" s="34">
        <f>IF(OR($A2876="",$H2876&lt;&gt;"Ausgabe",M2876=""),0,IF(M2876="x",-$E2876/(COUNTIF($J2876:$Q2876,"x")+1),-$E2876*N(M2876)))</f>
        <v/>
      </c>
      <c r="AB2876" s="34">
        <f>IF(OR($A2876="",$H2876&lt;&gt;"Ausgabe",N2876=""),0,IF(N2876="x",-$E2876/(COUNTIF($J2876:$Q2876,"x")+1),-$E2876*N(N2876)))</f>
        <v/>
      </c>
      <c r="AC2876" s="34">
        <f>IF(OR($A2876="",$H2876&lt;&gt;"Ausgabe",O2876=""),0,IF(O2876="x",-$E2876/(COUNTIF($J2876:$Q2876,"x")+1),-$E2876*N(O2876)))</f>
        <v/>
      </c>
      <c r="AD2876" s="34">
        <f>IF(OR($A2876="",$H2876&lt;&gt;"Ausgabe",P2876=""),0,IF(P2876="x",-$E2876/(COUNTIF($J2876:$Q2876,"x")+1),-$E2876*N(P2876)))</f>
        <v/>
      </c>
      <c r="AE2876" s="34">
        <f>IF(OR($A2876="",$H2876&lt;&gt;"Ausgabe",Q2876=""),0,IF(Q2876="x",-$E2876/(COUNTIF($J2876:$Q2876,"x")+1),-$E2876*N(Q2876)))</f>
        <v/>
      </c>
    </row>
    <row r="2877">
      <c r="A2877" s="30" t="n"/>
      <c r="E2877" s="31" t="n"/>
      <c r="J2877" s="32" t="n"/>
      <c r="K2877" s="32" t="n"/>
      <c r="L2877" s="32" t="n"/>
      <c r="M2877" s="32" t="n"/>
      <c r="N2877" s="32" t="n"/>
      <c r="O2877" s="32" t="n"/>
      <c r="P2877" s="32" t="n"/>
      <c r="Q2877" s="32" t="n"/>
      <c r="U2877" s="31">
        <f>IF($A2877="","",SUM(X2877:AE2877))</f>
        <v/>
      </c>
      <c r="V2877" s="31">
        <f>IF($A2877="","",IF($H2877&lt;&gt;"Ausgabe",0,-$E2877-$U2877))</f>
        <v/>
      </c>
      <c r="W2877" s="33">
        <f>IF($A2877="","",DATE(YEAR($A2877),MONTH($A2877),1))</f>
        <v/>
      </c>
      <c r="X2877" s="34">
        <f>IF(OR($A2877="",$H2877&lt;&gt;"Ausgabe",J2877=""),0,IF(J2877="x",-$E2877/(COUNTIF($J2877:$Q2877,"x")+1),-$E2877*N(J2877)))</f>
        <v/>
      </c>
      <c r="Y2877" s="34">
        <f>IF(OR($A2877="",$H2877&lt;&gt;"Ausgabe",K2877=""),0,IF(K2877="x",-$E2877/(COUNTIF($J2877:$Q2877,"x")+1),-$E2877*N(K2877)))</f>
        <v/>
      </c>
      <c r="Z2877" s="34">
        <f>IF(OR($A2877="",$H2877&lt;&gt;"Ausgabe",L2877=""),0,IF(L2877="x",-$E2877/(COUNTIF($J2877:$Q2877,"x")+1),-$E2877*N(L2877)))</f>
        <v/>
      </c>
      <c r="AA2877" s="34">
        <f>IF(OR($A2877="",$H2877&lt;&gt;"Ausgabe",M2877=""),0,IF(M2877="x",-$E2877/(COUNTIF($J2877:$Q2877,"x")+1),-$E2877*N(M2877)))</f>
        <v/>
      </c>
      <c r="AB2877" s="34">
        <f>IF(OR($A2877="",$H2877&lt;&gt;"Ausgabe",N2877=""),0,IF(N2877="x",-$E2877/(COUNTIF($J2877:$Q2877,"x")+1),-$E2877*N(N2877)))</f>
        <v/>
      </c>
      <c r="AC2877" s="34">
        <f>IF(OR($A2877="",$H2877&lt;&gt;"Ausgabe",O2877=""),0,IF(O2877="x",-$E2877/(COUNTIF($J2877:$Q2877,"x")+1),-$E2877*N(O2877)))</f>
        <v/>
      </c>
      <c r="AD2877" s="34">
        <f>IF(OR($A2877="",$H2877&lt;&gt;"Ausgabe",P2877=""),0,IF(P2877="x",-$E2877/(COUNTIF($J2877:$Q2877,"x")+1),-$E2877*N(P2877)))</f>
        <v/>
      </c>
      <c r="AE2877" s="34">
        <f>IF(OR($A2877="",$H2877&lt;&gt;"Ausgabe",Q2877=""),0,IF(Q2877="x",-$E2877/(COUNTIF($J2877:$Q2877,"x")+1),-$E2877*N(Q2877)))</f>
        <v/>
      </c>
    </row>
    <row r="2878">
      <c r="A2878" s="30" t="n"/>
      <c r="E2878" s="31" t="n"/>
      <c r="J2878" s="32" t="n"/>
      <c r="K2878" s="32" t="n"/>
      <c r="L2878" s="32" t="n"/>
      <c r="M2878" s="32" t="n"/>
      <c r="N2878" s="32" t="n"/>
      <c r="O2878" s="32" t="n"/>
      <c r="P2878" s="32" t="n"/>
      <c r="Q2878" s="32" t="n"/>
      <c r="U2878" s="31">
        <f>IF($A2878="","",SUM(X2878:AE2878))</f>
        <v/>
      </c>
      <c r="V2878" s="31">
        <f>IF($A2878="","",IF($H2878&lt;&gt;"Ausgabe",0,-$E2878-$U2878))</f>
        <v/>
      </c>
      <c r="W2878" s="33">
        <f>IF($A2878="","",DATE(YEAR($A2878),MONTH($A2878),1))</f>
        <v/>
      </c>
      <c r="X2878" s="34">
        <f>IF(OR($A2878="",$H2878&lt;&gt;"Ausgabe",J2878=""),0,IF(J2878="x",-$E2878/(COUNTIF($J2878:$Q2878,"x")+1),-$E2878*N(J2878)))</f>
        <v/>
      </c>
      <c r="Y2878" s="34">
        <f>IF(OR($A2878="",$H2878&lt;&gt;"Ausgabe",K2878=""),0,IF(K2878="x",-$E2878/(COUNTIF($J2878:$Q2878,"x")+1),-$E2878*N(K2878)))</f>
        <v/>
      </c>
      <c r="Z2878" s="34">
        <f>IF(OR($A2878="",$H2878&lt;&gt;"Ausgabe",L2878=""),0,IF(L2878="x",-$E2878/(COUNTIF($J2878:$Q2878,"x")+1),-$E2878*N(L2878)))</f>
        <v/>
      </c>
      <c r="AA2878" s="34">
        <f>IF(OR($A2878="",$H2878&lt;&gt;"Ausgabe",M2878=""),0,IF(M2878="x",-$E2878/(COUNTIF($J2878:$Q2878,"x")+1),-$E2878*N(M2878)))</f>
        <v/>
      </c>
      <c r="AB2878" s="34">
        <f>IF(OR($A2878="",$H2878&lt;&gt;"Ausgabe",N2878=""),0,IF(N2878="x",-$E2878/(COUNTIF($J2878:$Q2878,"x")+1),-$E2878*N(N2878)))</f>
        <v/>
      </c>
      <c r="AC2878" s="34">
        <f>IF(OR($A2878="",$H2878&lt;&gt;"Ausgabe",O2878=""),0,IF(O2878="x",-$E2878/(COUNTIF($J2878:$Q2878,"x")+1),-$E2878*N(O2878)))</f>
        <v/>
      </c>
      <c r="AD2878" s="34">
        <f>IF(OR($A2878="",$H2878&lt;&gt;"Ausgabe",P2878=""),0,IF(P2878="x",-$E2878/(COUNTIF($J2878:$Q2878,"x")+1),-$E2878*N(P2878)))</f>
        <v/>
      </c>
      <c r="AE2878" s="34">
        <f>IF(OR($A2878="",$H2878&lt;&gt;"Ausgabe",Q2878=""),0,IF(Q2878="x",-$E2878/(COUNTIF($J2878:$Q2878,"x")+1),-$E2878*N(Q2878)))</f>
        <v/>
      </c>
    </row>
    <row r="2879">
      <c r="A2879" s="30" t="n"/>
      <c r="E2879" s="31" t="n"/>
      <c r="J2879" s="32" t="n"/>
      <c r="K2879" s="32" t="n"/>
      <c r="L2879" s="32" t="n"/>
      <c r="M2879" s="32" t="n"/>
      <c r="N2879" s="32" t="n"/>
      <c r="O2879" s="32" t="n"/>
      <c r="P2879" s="32" t="n"/>
      <c r="Q2879" s="32" t="n"/>
      <c r="U2879" s="31">
        <f>IF($A2879="","",SUM(X2879:AE2879))</f>
        <v/>
      </c>
      <c r="V2879" s="31">
        <f>IF($A2879="","",IF($H2879&lt;&gt;"Ausgabe",0,-$E2879-$U2879))</f>
        <v/>
      </c>
      <c r="W2879" s="33">
        <f>IF($A2879="","",DATE(YEAR($A2879),MONTH($A2879),1))</f>
        <v/>
      </c>
      <c r="X2879" s="34">
        <f>IF(OR($A2879="",$H2879&lt;&gt;"Ausgabe",J2879=""),0,IF(J2879="x",-$E2879/(COUNTIF($J2879:$Q2879,"x")+1),-$E2879*N(J2879)))</f>
        <v/>
      </c>
      <c r="Y2879" s="34">
        <f>IF(OR($A2879="",$H2879&lt;&gt;"Ausgabe",K2879=""),0,IF(K2879="x",-$E2879/(COUNTIF($J2879:$Q2879,"x")+1),-$E2879*N(K2879)))</f>
        <v/>
      </c>
      <c r="Z2879" s="34">
        <f>IF(OR($A2879="",$H2879&lt;&gt;"Ausgabe",L2879=""),0,IF(L2879="x",-$E2879/(COUNTIF($J2879:$Q2879,"x")+1),-$E2879*N(L2879)))</f>
        <v/>
      </c>
      <c r="AA2879" s="34">
        <f>IF(OR($A2879="",$H2879&lt;&gt;"Ausgabe",M2879=""),0,IF(M2879="x",-$E2879/(COUNTIF($J2879:$Q2879,"x")+1),-$E2879*N(M2879)))</f>
        <v/>
      </c>
      <c r="AB2879" s="34">
        <f>IF(OR($A2879="",$H2879&lt;&gt;"Ausgabe",N2879=""),0,IF(N2879="x",-$E2879/(COUNTIF($J2879:$Q2879,"x")+1),-$E2879*N(N2879)))</f>
        <v/>
      </c>
      <c r="AC2879" s="34">
        <f>IF(OR($A2879="",$H2879&lt;&gt;"Ausgabe",O2879=""),0,IF(O2879="x",-$E2879/(COUNTIF($J2879:$Q2879,"x")+1),-$E2879*N(O2879)))</f>
        <v/>
      </c>
      <c r="AD2879" s="34">
        <f>IF(OR($A2879="",$H2879&lt;&gt;"Ausgabe",P2879=""),0,IF(P2879="x",-$E2879/(COUNTIF($J2879:$Q2879,"x")+1),-$E2879*N(P2879)))</f>
        <v/>
      </c>
      <c r="AE2879" s="34">
        <f>IF(OR($A2879="",$H2879&lt;&gt;"Ausgabe",Q2879=""),0,IF(Q2879="x",-$E2879/(COUNTIF($J2879:$Q2879,"x")+1),-$E2879*N(Q2879)))</f>
        <v/>
      </c>
    </row>
    <row r="2880">
      <c r="A2880" s="30" t="n"/>
      <c r="E2880" s="31" t="n"/>
      <c r="J2880" s="32" t="n"/>
      <c r="K2880" s="32" t="n"/>
      <c r="L2880" s="32" t="n"/>
      <c r="M2880" s="32" t="n"/>
      <c r="N2880" s="32" t="n"/>
      <c r="O2880" s="32" t="n"/>
      <c r="P2880" s="32" t="n"/>
      <c r="Q2880" s="32" t="n"/>
      <c r="U2880" s="31">
        <f>IF($A2880="","",SUM(X2880:AE2880))</f>
        <v/>
      </c>
      <c r="V2880" s="31">
        <f>IF($A2880="","",IF($H2880&lt;&gt;"Ausgabe",0,-$E2880-$U2880))</f>
        <v/>
      </c>
      <c r="W2880" s="33">
        <f>IF($A2880="","",DATE(YEAR($A2880),MONTH($A2880),1))</f>
        <v/>
      </c>
      <c r="X2880" s="34">
        <f>IF(OR($A2880="",$H2880&lt;&gt;"Ausgabe",J2880=""),0,IF(J2880="x",-$E2880/(COUNTIF($J2880:$Q2880,"x")+1),-$E2880*N(J2880)))</f>
        <v/>
      </c>
      <c r="Y2880" s="34">
        <f>IF(OR($A2880="",$H2880&lt;&gt;"Ausgabe",K2880=""),0,IF(K2880="x",-$E2880/(COUNTIF($J2880:$Q2880,"x")+1),-$E2880*N(K2880)))</f>
        <v/>
      </c>
      <c r="Z2880" s="34">
        <f>IF(OR($A2880="",$H2880&lt;&gt;"Ausgabe",L2880=""),0,IF(L2880="x",-$E2880/(COUNTIF($J2880:$Q2880,"x")+1),-$E2880*N(L2880)))</f>
        <v/>
      </c>
      <c r="AA2880" s="34">
        <f>IF(OR($A2880="",$H2880&lt;&gt;"Ausgabe",M2880=""),0,IF(M2880="x",-$E2880/(COUNTIF($J2880:$Q2880,"x")+1),-$E2880*N(M2880)))</f>
        <v/>
      </c>
      <c r="AB2880" s="34">
        <f>IF(OR($A2880="",$H2880&lt;&gt;"Ausgabe",N2880=""),0,IF(N2880="x",-$E2880/(COUNTIF($J2880:$Q2880,"x")+1),-$E2880*N(N2880)))</f>
        <v/>
      </c>
      <c r="AC2880" s="34">
        <f>IF(OR($A2880="",$H2880&lt;&gt;"Ausgabe",O2880=""),0,IF(O2880="x",-$E2880/(COUNTIF($J2880:$Q2880,"x")+1),-$E2880*N(O2880)))</f>
        <v/>
      </c>
      <c r="AD2880" s="34">
        <f>IF(OR($A2880="",$H2880&lt;&gt;"Ausgabe",P2880=""),0,IF(P2880="x",-$E2880/(COUNTIF($J2880:$Q2880,"x")+1),-$E2880*N(P2880)))</f>
        <v/>
      </c>
      <c r="AE2880" s="34">
        <f>IF(OR($A2880="",$H2880&lt;&gt;"Ausgabe",Q2880=""),0,IF(Q2880="x",-$E2880/(COUNTIF($J2880:$Q2880,"x")+1),-$E2880*N(Q2880)))</f>
        <v/>
      </c>
    </row>
    <row r="2881">
      <c r="A2881" s="30" t="n"/>
      <c r="E2881" s="31" t="n"/>
      <c r="J2881" s="32" t="n"/>
      <c r="K2881" s="32" t="n"/>
      <c r="L2881" s="32" t="n"/>
      <c r="M2881" s="32" t="n"/>
      <c r="N2881" s="32" t="n"/>
      <c r="O2881" s="32" t="n"/>
      <c r="P2881" s="32" t="n"/>
      <c r="Q2881" s="32" t="n"/>
      <c r="U2881" s="31">
        <f>IF($A2881="","",SUM(X2881:AE2881))</f>
        <v/>
      </c>
      <c r="V2881" s="31">
        <f>IF($A2881="","",IF($H2881&lt;&gt;"Ausgabe",0,-$E2881-$U2881))</f>
        <v/>
      </c>
      <c r="W2881" s="33">
        <f>IF($A2881="","",DATE(YEAR($A2881),MONTH($A2881),1))</f>
        <v/>
      </c>
      <c r="X2881" s="34">
        <f>IF(OR($A2881="",$H2881&lt;&gt;"Ausgabe",J2881=""),0,IF(J2881="x",-$E2881/(COUNTIF($J2881:$Q2881,"x")+1),-$E2881*N(J2881)))</f>
        <v/>
      </c>
      <c r="Y2881" s="34">
        <f>IF(OR($A2881="",$H2881&lt;&gt;"Ausgabe",K2881=""),0,IF(K2881="x",-$E2881/(COUNTIF($J2881:$Q2881,"x")+1),-$E2881*N(K2881)))</f>
        <v/>
      </c>
      <c r="Z2881" s="34">
        <f>IF(OR($A2881="",$H2881&lt;&gt;"Ausgabe",L2881=""),0,IF(L2881="x",-$E2881/(COUNTIF($J2881:$Q2881,"x")+1),-$E2881*N(L2881)))</f>
        <v/>
      </c>
      <c r="AA2881" s="34">
        <f>IF(OR($A2881="",$H2881&lt;&gt;"Ausgabe",M2881=""),0,IF(M2881="x",-$E2881/(COUNTIF($J2881:$Q2881,"x")+1),-$E2881*N(M2881)))</f>
        <v/>
      </c>
      <c r="AB2881" s="34">
        <f>IF(OR($A2881="",$H2881&lt;&gt;"Ausgabe",N2881=""),0,IF(N2881="x",-$E2881/(COUNTIF($J2881:$Q2881,"x")+1),-$E2881*N(N2881)))</f>
        <v/>
      </c>
      <c r="AC2881" s="34">
        <f>IF(OR($A2881="",$H2881&lt;&gt;"Ausgabe",O2881=""),0,IF(O2881="x",-$E2881/(COUNTIF($J2881:$Q2881,"x")+1),-$E2881*N(O2881)))</f>
        <v/>
      </c>
      <c r="AD2881" s="34">
        <f>IF(OR($A2881="",$H2881&lt;&gt;"Ausgabe",P2881=""),0,IF(P2881="x",-$E2881/(COUNTIF($J2881:$Q2881,"x")+1),-$E2881*N(P2881)))</f>
        <v/>
      </c>
      <c r="AE2881" s="34">
        <f>IF(OR($A2881="",$H2881&lt;&gt;"Ausgabe",Q2881=""),0,IF(Q2881="x",-$E2881/(COUNTIF($J2881:$Q2881,"x")+1),-$E2881*N(Q2881)))</f>
        <v/>
      </c>
    </row>
    <row r="2882">
      <c r="A2882" s="30" t="n"/>
      <c r="E2882" s="31" t="n"/>
      <c r="J2882" s="32" t="n"/>
      <c r="K2882" s="32" t="n"/>
      <c r="L2882" s="32" t="n"/>
      <c r="M2882" s="32" t="n"/>
      <c r="N2882" s="32" t="n"/>
      <c r="O2882" s="32" t="n"/>
      <c r="P2882" s="32" t="n"/>
      <c r="Q2882" s="32" t="n"/>
      <c r="U2882" s="31">
        <f>IF($A2882="","",SUM(X2882:AE2882))</f>
        <v/>
      </c>
      <c r="V2882" s="31">
        <f>IF($A2882="","",IF($H2882&lt;&gt;"Ausgabe",0,-$E2882-$U2882))</f>
        <v/>
      </c>
      <c r="W2882" s="33">
        <f>IF($A2882="","",DATE(YEAR($A2882),MONTH($A2882),1))</f>
        <v/>
      </c>
      <c r="X2882" s="34">
        <f>IF(OR($A2882="",$H2882&lt;&gt;"Ausgabe",J2882=""),0,IF(J2882="x",-$E2882/(COUNTIF($J2882:$Q2882,"x")+1),-$E2882*N(J2882)))</f>
        <v/>
      </c>
      <c r="Y2882" s="34">
        <f>IF(OR($A2882="",$H2882&lt;&gt;"Ausgabe",K2882=""),0,IF(K2882="x",-$E2882/(COUNTIF($J2882:$Q2882,"x")+1),-$E2882*N(K2882)))</f>
        <v/>
      </c>
      <c r="Z2882" s="34">
        <f>IF(OR($A2882="",$H2882&lt;&gt;"Ausgabe",L2882=""),0,IF(L2882="x",-$E2882/(COUNTIF($J2882:$Q2882,"x")+1),-$E2882*N(L2882)))</f>
        <v/>
      </c>
      <c r="AA2882" s="34">
        <f>IF(OR($A2882="",$H2882&lt;&gt;"Ausgabe",M2882=""),0,IF(M2882="x",-$E2882/(COUNTIF($J2882:$Q2882,"x")+1),-$E2882*N(M2882)))</f>
        <v/>
      </c>
      <c r="AB2882" s="34">
        <f>IF(OR($A2882="",$H2882&lt;&gt;"Ausgabe",N2882=""),0,IF(N2882="x",-$E2882/(COUNTIF($J2882:$Q2882,"x")+1),-$E2882*N(N2882)))</f>
        <v/>
      </c>
      <c r="AC2882" s="34">
        <f>IF(OR($A2882="",$H2882&lt;&gt;"Ausgabe",O2882=""),0,IF(O2882="x",-$E2882/(COUNTIF($J2882:$Q2882,"x")+1),-$E2882*N(O2882)))</f>
        <v/>
      </c>
      <c r="AD2882" s="34">
        <f>IF(OR($A2882="",$H2882&lt;&gt;"Ausgabe",P2882=""),0,IF(P2882="x",-$E2882/(COUNTIF($J2882:$Q2882,"x")+1),-$E2882*N(P2882)))</f>
        <v/>
      </c>
      <c r="AE2882" s="34">
        <f>IF(OR($A2882="",$H2882&lt;&gt;"Ausgabe",Q2882=""),0,IF(Q2882="x",-$E2882/(COUNTIF($J2882:$Q2882,"x")+1),-$E2882*N(Q2882)))</f>
        <v/>
      </c>
    </row>
    <row r="2883">
      <c r="A2883" s="30" t="n"/>
      <c r="E2883" s="31" t="n"/>
      <c r="J2883" s="32" t="n"/>
      <c r="K2883" s="32" t="n"/>
      <c r="L2883" s="32" t="n"/>
      <c r="M2883" s="32" t="n"/>
      <c r="N2883" s="32" t="n"/>
      <c r="O2883" s="32" t="n"/>
      <c r="P2883" s="32" t="n"/>
      <c r="Q2883" s="32" t="n"/>
      <c r="U2883" s="31">
        <f>IF($A2883="","",SUM(X2883:AE2883))</f>
        <v/>
      </c>
      <c r="V2883" s="31">
        <f>IF($A2883="","",IF($H2883&lt;&gt;"Ausgabe",0,-$E2883-$U2883))</f>
        <v/>
      </c>
      <c r="W2883" s="33">
        <f>IF($A2883="","",DATE(YEAR($A2883),MONTH($A2883),1))</f>
        <v/>
      </c>
      <c r="X2883" s="34">
        <f>IF(OR($A2883="",$H2883&lt;&gt;"Ausgabe",J2883=""),0,IF(J2883="x",-$E2883/(COUNTIF($J2883:$Q2883,"x")+1),-$E2883*N(J2883)))</f>
        <v/>
      </c>
      <c r="Y2883" s="34">
        <f>IF(OR($A2883="",$H2883&lt;&gt;"Ausgabe",K2883=""),0,IF(K2883="x",-$E2883/(COUNTIF($J2883:$Q2883,"x")+1),-$E2883*N(K2883)))</f>
        <v/>
      </c>
      <c r="Z2883" s="34">
        <f>IF(OR($A2883="",$H2883&lt;&gt;"Ausgabe",L2883=""),0,IF(L2883="x",-$E2883/(COUNTIF($J2883:$Q2883,"x")+1),-$E2883*N(L2883)))</f>
        <v/>
      </c>
      <c r="AA2883" s="34">
        <f>IF(OR($A2883="",$H2883&lt;&gt;"Ausgabe",M2883=""),0,IF(M2883="x",-$E2883/(COUNTIF($J2883:$Q2883,"x")+1),-$E2883*N(M2883)))</f>
        <v/>
      </c>
      <c r="AB2883" s="34">
        <f>IF(OR($A2883="",$H2883&lt;&gt;"Ausgabe",N2883=""),0,IF(N2883="x",-$E2883/(COUNTIF($J2883:$Q2883,"x")+1),-$E2883*N(N2883)))</f>
        <v/>
      </c>
      <c r="AC2883" s="34">
        <f>IF(OR($A2883="",$H2883&lt;&gt;"Ausgabe",O2883=""),0,IF(O2883="x",-$E2883/(COUNTIF($J2883:$Q2883,"x")+1),-$E2883*N(O2883)))</f>
        <v/>
      </c>
      <c r="AD2883" s="34">
        <f>IF(OR($A2883="",$H2883&lt;&gt;"Ausgabe",P2883=""),0,IF(P2883="x",-$E2883/(COUNTIF($J2883:$Q2883,"x")+1),-$E2883*N(P2883)))</f>
        <v/>
      </c>
      <c r="AE2883" s="34">
        <f>IF(OR($A2883="",$H2883&lt;&gt;"Ausgabe",Q2883=""),0,IF(Q2883="x",-$E2883/(COUNTIF($J2883:$Q2883,"x")+1),-$E2883*N(Q2883)))</f>
        <v/>
      </c>
    </row>
    <row r="2884">
      <c r="A2884" s="30" t="n"/>
      <c r="E2884" s="31" t="n"/>
      <c r="J2884" s="32" t="n"/>
      <c r="K2884" s="32" t="n"/>
      <c r="L2884" s="32" t="n"/>
      <c r="M2884" s="32" t="n"/>
      <c r="N2884" s="32" t="n"/>
      <c r="O2884" s="32" t="n"/>
      <c r="P2884" s="32" t="n"/>
      <c r="Q2884" s="32" t="n"/>
      <c r="U2884" s="31">
        <f>IF($A2884="","",SUM(X2884:AE2884))</f>
        <v/>
      </c>
      <c r="V2884" s="31">
        <f>IF($A2884="","",IF($H2884&lt;&gt;"Ausgabe",0,-$E2884-$U2884))</f>
        <v/>
      </c>
      <c r="W2884" s="33">
        <f>IF($A2884="","",DATE(YEAR($A2884),MONTH($A2884),1))</f>
        <v/>
      </c>
      <c r="X2884" s="34">
        <f>IF(OR($A2884="",$H2884&lt;&gt;"Ausgabe",J2884=""),0,IF(J2884="x",-$E2884/(COUNTIF($J2884:$Q2884,"x")+1),-$E2884*N(J2884)))</f>
        <v/>
      </c>
      <c r="Y2884" s="34">
        <f>IF(OR($A2884="",$H2884&lt;&gt;"Ausgabe",K2884=""),0,IF(K2884="x",-$E2884/(COUNTIF($J2884:$Q2884,"x")+1),-$E2884*N(K2884)))</f>
        <v/>
      </c>
      <c r="Z2884" s="34">
        <f>IF(OR($A2884="",$H2884&lt;&gt;"Ausgabe",L2884=""),0,IF(L2884="x",-$E2884/(COUNTIF($J2884:$Q2884,"x")+1),-$E2884*N(L2884)))</f>
        <v/>
      </c>
      <c r="AA2884" s="34">
        <f>IF(OR($A2884="",$H2884&lt;&gt;"Ausgabe",M2884=""),0,IF(M2884="x",-$E2884/(COUNTIF($J2884:$Q2884,"x")+1),-$E2884*N(M2884)))</f>
        <v/>
      </c>
      <c r="AB2884" s="34">
        <f>IF(OR($A2884="",$H2884&lt;&gt;"Ausgabe",N2884=""),0,IF(N2884="x",-$E2884/(COUNTIF($J2884:$Q2884,"x")+1),-$E2884*N(N2884)))</f>
        <v/>
      </c>
      <c r="AC2884" s="34">
        <f>IF(OR($A2884="",$H2884&lt;&gt;"Ausgabe",O2884=""),0,IF(O2884="x",-$E2884/(COUNTIF($J2884:$Q2884,"x")+1),-$E2884*N(O2884)))</f>
        <v/>
      </c>
      <c r="AD2884" s="34">
        <f>IF(OR($A2884="",$H2884&lt;&gt;"Ausgabe",P2884=""),0,IF(P2884="x",-$E2884/(COUNTIF($J2884:$Q2884,"x")+1),-$E2884*N(P2884)))</f>
        <v/>
      </c>
      <c r="AE2884" s="34">
        <f>IF(OR($A2884="",$H2884&lt;&gt;"Ausgabe",Q2884=""),0,IF(Q2884="x",-$E2884/(COUNTIF($J2884:$Q2884,"x")+1),-$E2884*N(Q2884)))</f>
        <v/>
      </c>
    </row>
    <row r="2885">
      <c r="A2885" s="30" t="n"/>
      <c r="E2885" s="31" t="n"/>
      <c r="J2885" s="32" t="n"/>
      <c r="K2885" s="32" t="n"/>
      <c r="L2885" s="32" t="n"/>
      <c r="M2885" s="32" t="n"/>
      <c r="N2885" s="32" t="n"/>
      <c r="O2885" s="32" t="n"/>
      <c r="P2885" s="32" t="n"/>
      <c r="Q2885" s="32" t="n"/>
      <c r="U2885" s="31">
        <f>IF($A2885="","",SUM(X2885:AE2885))</f>
        <v/>
      </c>
      <c r="V2885" s="31">
        <f>IF($A2885="","",IF($H2885&lt;&gt;"Ausgabe",0,-$E2885-$U2885))</f>
        <v/>
      </c>
      <c r="W2885" s="33">
        <f>IF($A2885="","",DATE(YEAR($A2885),MONTH($A2885),1))</f>
        <v/>
      </c>
      <c r="X2885" s="34">
        <f>IF(OR($A2885="",$H2885&lt;&gt;"Ausgabe",J2885=""),0,IF(J2885="x",-$E2885/(COUNTIF($J2885:$Q2885,"x")+1),-$E2885*N(J2885)))</f>
        <v/>
      </c>
      <c r="Y2885" s="34">
        <f>IF(OR($A2885="",$H2885&lt;&gt;"Ausgabe",K2885=""),0,IF(K2885="x",-$E2885/(COUNTIF($J2885:$Q2885,"x")+1),-$E2885*N(K2885)))</f>
        <v/>
      </c>
      <c r="Z2885" s="34">
        <f>IF(OR($A2885="",$H2885&lt;&gt;"Ausgabe",L2885=""),0,IF(L2885="x",-$E2885/(COUNTIF($J2885:$Q2885,"x")+1),-$E2885*N(L2885)))</f>
        <v/>
      </c>
      <c r="AA2885" s="34">
        <f>IF(OR($A2885="",$H2885&lt;&gt;"Ausgabe",M2885=""),0,IF(M2885="x",-$E2885/(COUNTIF($J2885:$Q2885,"x")+1),-$E2885*N(M2885)))</f>
        <v/>
      </c>
      <c r="AB2885" s="34">
        <f>IF(OR($A2885="",$H2885&lt;&gt;"Ausgabe",N2885=""),0,IF(N2885="x",-$E2885/(COUNTIF($J2885:$Q2885,"x")+1),-$E2885*N(N2885)))</f>
        <v/>
      </c>
      <c r="AC2885" s="34">
        <f>IF(OR($A2885="",$H2885&lt;&gt;"Ausgabe",O2885=""),0,IF(O2885="x",-$E2885/(COUNTIF($J2885:$Q2885,"x")+1),-$E2885*N(O2885)))</f>
        <v/>
      </c>
      <c r="AD2885" s="34">
        <f>IF(OR($A2885="",$H2885&lt;&gt;"Ausgabe",P2885=""),0,IF(P2885="x",-$E2885/(COUNTIF($J2885:$Q2885,"x")+1),-$E2885*N(P2885)))</f>
        <v/>
      </c>
      <c r="AE2885" s="34">
        <f>IF(OR($A2885="",$H2885&lt;&gt;"Ausgabe",Q2885=""),0,IF(Q2885="x",-$E2885/(COUNTIF($J2885:$Q2885,"x")+1),-$E2885*N(Q2885)))</f>
        <v/>
      </c>
    </row>
    <row r="2886">
      <c r="A2886" s="30" t="n"/>
      <c r="E2886" s="31" t="n"/>
      <c r="J2886" s="32" t="n"/>
      <c r="K2886" s="32" t="n"/>
      <c r="L2886" s="32" t="n"/>
      <c r="M2886" s="32" t="n"/>
      <c r="N2886" s="32" t="n"/>
      <c r="O2886" s="32" t="n"/>
      <c r="P2886" s="32" t="n"/>
      <c r="Q2886" s="32" t="n"/>
      <c r="U2886" s="31">
        <f>IF($A2886="","",SUM(X2886:AE2886))</f>
        <v/>
      </c>
      <c r="V2886" s="31">
        <f>IF($A2886="","",IF($H2886&lt;&gt;"Ausgabe",0,-$E2886-$U2886))</f>
        <v/>
      </c>
      <c r="W2886" s="33">
        <f>IF($A2886="","",DATE(YEAR($A2886),MONTH($A2886),1))</f>
        <v/>
      </c>
      <c r="X2886" s="34">
        <f>IF(OR($A2886="",$H2886&lt;&gt;"Ausgabe",J2886=""),0,IF(J2886="x",-$E2886/(COUNTIF($J2886:$Q2886,"x")+1),-$E2886*N(J2886)))</f>
        <v/>
      </c>
      <c r="Y2886" s="34">
        <f>IF(OR($A2886="",$H2886&lt;&gt;"Ausgabe",K2886=""),0,IF(K2886="x",-$E2886/(COUNTIF($J2886:$Q2886,"x")+1),-$E2886*N(K2886)))</f>
        <v/>
      </c>
      <c r="Z2886" s="34">
        <f>IF(OR($A2886="",$H2886&lt;&gt;"Ausgabe",L2886=""),0,IF(L2886="x",-$E2886/(COUNTIF($J2886:$Q2886,"x")+1),-$E2886*N(L2886)))</f>
        <v/>
      </c>
      <c r="AA2886" s="34">
        <f>IF(OR($A2886="",$H2886&lt;&gt;"Ausgabe",M2886=""),0,IF(M2886="x",-$E2886/(COUNTIF($J2886:$Q2886,"x")+1),-$E2886*N(M2886)))</f>
        <v/>
      </c>
      <c r="AB2886" s="34">
        <f>IF(OR($A2886="",$H2886&lt;&gt;"Ausgabe",N2886=""),0,IF(N2886="x",-$E2886/(COUNTIF($J2886:$Q2886,"x")+1),-$E2886*N(N2886)))</f>
        <v/>
      </c>
      <c r="AC2886" s="34">
        <f>IF(OR($A2886="",$H2886&lt;&gt;"Ausgabe",O2886=""),0,IF(O2886="x",-$E2886/(COUNTIF($J2886:$Q2886,"x")+1),-$E2886*N(O2886)))</f>
        <v/>
      </c>
      <c r="AD2886" s="34">
        <f>IF(OR($A2886="",$H2886&lt;&gt;"Ausgabe",P2886=""),0,IF(P2886="x",-$E2886/(COUNTIF($J2886:$Q2886,"x")+1),-$E2886*N(P2886)))</f>
        <v/>
      </c>
      <c r="AE2886" s="34">
        <f>IF(OR($A2886="",$H2886&lt;&gt;"Ausgabe",Q2886=""),0,IF(Q2886="x",-$E2886/(COUNTIF($J2886:$Q2886,"x")+1),-$E2886*N(Q2886)))</f>
        <v/>
      </c>
    </row>
    <row r="2887">
      <c r="A2887" s="30" t="n"/>
      <c r="E2887" s="31" t="n"/>
      <c r="J2887" s="32" t="n"/>
      <c r="K2887" s="32" t="n"/>
      <c r="L2887" s="32" t="n"/>
      <c r="M2887" s="32" t="n"/>
      <c r="N2887" s="32" t="n"/>
      <c r="O2887" s="32" t="n"/>
      <c r="P2887" s="32" t="n"/>
      <c r="Q2887" s="32" t="n"/>
      <c r="U2887" s="31">
        <f>IF($A2887="","",SUM(X2887:AE2887))</f>
        <v/>
      </c>
      <c r="V2887" s="31">
        <f>IF($A2887="","",IF($H2887&lt;&gt;"Ausgabe",0,-$E2887-$U2887))</f>
        <v/>
      </c>
      <c r="W2887" s="33">
        <f>IF($A2887="","",DATE(YEAR($A2887),MONTH($A2887),1))</f>
        <v/>
      </c>
      <c r="X2887" s="34">
        <f>IF(OR($A2887="",$H2887&lt;&gt;"Ausgabe",J2887=""),0,IF(J2887="x",-$E2887/(COUNTIF($J2887:$Q2887,"x")+1),-$E2887*N(J2887)))</f>
        <v/>
      </c>
      <c r="Y2887" s="34">
        <f>IF(OR($A2887="",$H2887&lt;&gt;"Ausgabe",K2887=""),0,IF(K2887="x",-$E2887/(COUNTIF($J2887:$Q2887,"x")+1),-$E2887*N(K2887)))</f>
        <v/>
      </c>
      <c r="Z2887" s="34">
        <f>IF(OR($A2887="",$H2887&lt;&gt;"Ausgabe",L2887=""),0,IF(L2887="x",-$E2887/(COUNTIF($J2887:$Q2887,"x")+1),-$E2887*N(L2887)))</f>
        <v/>
      </c>
      <c r="AA2887" s="34">
        <f>IF(OR($A2887="",$H2887&lt;&gt;"Ausgabe",M2887=""),0,IF(M2887="x",-$E2887/(COUNTIF($J2887:$Q2887,"x")+1),-$E2887*N(M2887)))</f>
        <v/>
      </c>
      <c r="AB2887" s="34">
        <f>IF(OR($A2887="",$H2887&lt;&gt;"Ausgabe",N2887=""),0,IF(N2887="x",-$E2887/(COUNTIF($J2887:$Q2887,"x")+1),-$E2887*N(N2887)))</f>
        <v/>
      </c>
      <c r="AC2887" s="34">
        <f>IF(OR($A2887="",$H2887&lt;&gt;"Ausgabe",O2887=""),0,IF(O2887="x",-$E2887/(COUNTIF($J2887:$Q2887,"x")+1),-$E2887*N(O2887)))</f>
        <v/>
      </c>
      <c r="AD2887" s="34">
        <f>IF(OR($A2887="",$H2887&lt;&gt;"Ausgabe",P2887=""),0,IF(P2887="x",-$E2887/(COUNTIF($J2887:$Q2887,"x")+1),-$E2887*N(P2887)))</f>
        <v/>
      </c>
      <c r="AE2887" s="34">
        <f>IF(OR($A2887="",$H2887&lt;&gt;"Ausgabe",Q2887=""),0,IF(Q2887="x",-$E2887/(COUNTIF($J2887:$Q2887,"x")+1),-$E2887*N(Q2887)))</f>
        <v/>
      </c>
    </row>
    <row r="2888">
      <c r="A2888" s="30" t="n"/>
      <c r="E2888" s="31" t="n"/>
      <c r="J2888" s="32" t="n"/>
      <c r="K2888" s="32" t="n"/>
      <c r="L2888" s="32" t="n"/>
      <c r="M2888" s="32" t="n"/>
      <c r="N2888" s="32" t="n"/>
      <c r="O2888" s="32" t="n"/>
      <c r="P2888" s="32" t="n"/>
      <c r="Q2888" s="32" t="n"/>
      <c r="U2888" s="31">
        <f>IF($A2888="","",SUM(X2888:AE2888))</f>
        <v/>
      </c>
      <c r="V2888" s="31">
        <f>IF($A2888="","",IF($H2888&lt;&gt;"Ausgabe",0,-$E2888-$U2888))</f>
        <v/>
      </c>
      <c r="W2888" s="33">
        <f>IF($A2888="","",DATE(YEAR($A2888),MONTH($A2888),1))</f>
        <v/>
      </c>
      <c r="X2888" s="34">
        <f>IF(OR($A2888="",$H2888&lt;&gt;"Ausgabe",J2888=""),0,IF(J2888="x",-$E2888/(COUNTIF($J2888:$Q2888,"x")+1),-$E2888*N(J2888)))</f>
        <v/>
      </c>
      <c r="Y2888" s="34">
        <f>IF(OR($A2888="",$H2888&lt;&gt;"Ausgabe",K2888=""),0,IF(K2888="x",-$E2888/(COUNTIF($J2888:$Q2888,"x")+1),-$E2888*N(K2888)))</f>
        <v/>
      </c>
      <c r="Z2888" s="34">
        <f>IF(OR($A2888="",$H2888&lt;&gt;"Ausgabe",L2888=""),0,IF(L2888="x",-$E2888/(COUNTIF($J2888:$Q2888,"x")+1),-$E2888*N(L2888)))</f>
        <v/>
      </c>
      <c r="AA2888" s="34">
        <f>IF(OR($A2888="",$H2888&lt;&gt;"Ausgabe",M2888=""),0,IF(M2888="x",-$E2888/(COUNTIF($J2888:$Q2888,"x")+1),-$E2888*N(M2888)))</f>
        <v/>
      </c>
      <c r="AB2888" s="34">
        <f>IF(OR($A2888="",$H2888&lt;&gt;"Ausgabe",N2888=""),0,IF(N2888="x",-$E2888/(COUNTIF($J2888:$Q2888,"x")+1),-$E2888*N(N2888)))</f>
        <v/>
      </c>
      <c r="AC2888" s="34">
        <f>IF(OR($A2888="",$H2888&lt;&gt;"Ausgabe",O2888=""),0,IF(O2888="x",-$E2888/(COUNTIF($J2888:$Q2888,"x")+1),-$E2888*N(O2888)))</f>
        <v/>
      </c>
      <c r="AD2888" s="34">
        <f>IF(OR($A2888="",$H2888&lt;&gt;"Ausgabe",P2888=""),0,IF(P2888="x",-$E2888/(COUNTIF($J2888:$Q2888,"x")+1),-$E2888*N(P2888)))</f>
        <v/>
      </c>
      <c r="AE2888" s="34">
        <f>IF(OR($A2888="",$H2888&lt;&gt;"Ausgabe",Q2888=""),0,IF(Q2888="x",-$E2888/(COUNTIF($J2888:$Q2888,"x")+1),-$E2888*N(Q2888)))</f>
        <v/>
      </c>
    </row>
    <row r="2889">
      <c r="A2889" s="30" t="n"/>
      <c r="E2889" s="31" t="n"/>
      <c r="J2889" s="32" t="n"/>
      <c r="K2889" s="32" t="n"/>
      <c r="L2889" s="32" t="n"/>
      <c r="M2889" s="32" t="n"/>
      <c r="N2889" s="32" t="n"/>
      <c r="O2889" s="32" t="n"/>
      <c r="P2889" s="32" t="n"/>
      <c r="Q2889" s="32" t="n"/>
      <c r="U2889" s="31">
        <f>IF($A2889="","",SUM(X2889:AE2889))</f>
        <v/>
      </c>
      <c r="V2889" s="31">
        <f>IF($A2889="","",IF($H2889&lt;&gt;"Ausgabe",0,-$E2889-$U2889))</f>
        <v/>
      </c>
      <c r="W2889" s="33">
        <f>IF($A2889="","",DATE(YEAR($A2889),MONTH($A2889),1))</f>
        <v/>
      </c>
      <c r="X2889" s="34">
        <f>IF(OR($A2889="",$H2889&lt;&gt;"Ausgabe",J2889=""),0,IF(J2889="x",-$E2889/(COUNTIF($J2889:$Q2889,"x")+1),-$E2889*N(J2889)))</f>
        <v/>
      </c>
      <c r="Y2889" s="34">
        <f>IF(OR($A2889="",$H2889&lt;&gt;"Ausgabe",K2889=""),0,IF(K2889="x",-$E2889/(COUNTIF($J2889:$Q2889,"x")+1),-$E2889*N(K2889)))</f>
        <v/>
      </c>
      <c r="Z2889" s="34">
        <f>IF(OR($A2889="",$H2889&lt;&gt;"Ausgabe",L2889=""),0,IF(L2889="x",-$E2889/(COUNTIF($J2889:$Q2889,"x")+1),-$E2889*N(L2889)))</f>
        <v/>
      </c>
      <c r="AA2889" s="34">
        <f>IF(OR($A2889="",$H2889&lt;&gt;"Ausgabe",M2889=""),0,IF(M2889="x",-$E2889/(COUNTIF($J2889:$Q2889,"x")+1),-$E2889*N(M2889)))</f>
        <v/>
      </c>
      <c r="AB2889" s="34">
        <f>IF(OR($A2889="",$H2889&lt;&gt;"Ausgabe",N2889=""),0,IF(N2889="x",-$E2889/(COUNTIF($J2889:$Q2889,"x")+1),-$E2889*N(N2889)))</f>
        <v/>
      </c>
      <c r="AC2889" s="34">
        <f>IF(OR($A2889="",$H2889&lt;&gt;"Ausgabe",O2889=""),0,IF(O2889="x",-$E2889/(COUNTIF($J2889:$Q2889,"x")+1),-$E2889*N(O2889)))</f>
        <v/>
      </c>
      <c r="AD2889" s="34">
        <f>IF(OR($A2889="",$H2889&lt;&gt;"Ausgabe",P2889=""),0,IF(P2889="x",-$E2889/(COUNTIF($J2889:$Q2889,"x")+1),-$E2889*N(P2889)))</f>
        <v/>
      </c>
      <c r="AE2889" s="34">
        <f>IF(OR($A2889="",$H2889&lt;&gt;"Ausgabe",Q2889=""),0,IF(Q2889="x",-$E2889/(COUNTIF($J2889:$Q2889,"x")+1),-$E2889*N(Q2889)))</f>
        <v/>
      </c>
    </row>
    <row r="2890">
      <c r="A2890" s="30" t="n"/>
      <c r="E2890" s="31" t="n"/>
      <c r="J2890" s="32" t="n"/>
      <c r="K2890" s="32" t="n"/>
      <c r="L2890" s="32" t="n"/>
      <c r="M2890" s="32" t="n"/>
      <c r="N2890" s="32" t="n"/>
      <c r="O2890" s="32" t="n"/>
      <c r="P2890" s="32" t="n"/>
      <c r="Q2890" s="32" t="n"/>
      <c r="U2890" s="31">
        <f>IF($A2890="","",SUM(X2890:AE2890))</f>
        <v/>
      </c>
      <c r="V2890" s="31">
        <f>IF($A2890="","",IF($H2890&lt;&gt;"Ausgabe",0,-$E2890-$U2890))</f>
        <v/>
      </c>
      <c r="W2890" s="33">
        <f>IF($A2890="","",DATE(YEAR($A2890),MONTH($A2890),1))</f>
        <v/>
      </c>
      <c r="X2890" s="34">
        <f>IF(OR($A2890="",$H2890&lt;&gt;"Ausgabe",J2890=""),0,IF(J2890="x",-$E2890/(COUNTIF($J2890:$Q2890,"x")+1),-$E2890*N(J2890)))</f>
        <v/>
      </c>
      <c r="Y2890" s="34">
        <f>IF(OR($A2890="",$H2890&lt;&gt;"Ausgabe",K2890=""),0,IF(K2890="x",-$E2890/(COUNTIF($J2890:$Q2890,"x")+1),-$E2890*N(K2890)))</f>
        <v/>
      </c>
      <c r="Z2890" s="34">
        <f>IF(OR($A2890="",$H2890&lt;&gt;"Ausgabe",L2890=""),0,IF(L2890="x",-$E2890/(COUNTIF($J2890:$Q2890,"x")+1),-$E2890*N(L2890)))</f>
        <v/>
      </c>
      <c r="AA2890" s="34">
        <f>IF(OR($A2890="",$H2890&lt;&gt;"Ausgabe",M2890=""),0,IF(M2890="x",-$E2890/(COUNTIF($J2890:$Q2890,"x")+1),-$E2890*N(M2890)))</f>
        <v/>
      </c>
      <c r="AB2890" s="34">
        <f>IF(OR($A2890="",$H2890&lt;&gt;"Ausgabe",N2890=""),0,IF(N2890="x",-$E2890/(COUNTIF($J2890:$Q2890,"x")+1),-$E2890*N(N2890)))</f>
        <v/>
      </c>
      <c r="AC2890" s="34">
        <f>IF(OR($A2890="",$H2890&lt;&gt;"Ausgabe",O2890=""),0,IF(O2890="x",-$E2890/(COUNTIF($J2890:$Q2890,"x")+1),-$E2890*N(O2890)))</f>
        <v/>
      </c>
      <c r="AD2890" s="34">
        <f>IF(OR($A2890="",$H2890&lt;&gt;"Ausgabe",P2890=""),0,IF(P2890="x",-$E2890/(COUNTIF($J2890:$Q2890,"x")+1),-$E2890*N(P2890)))</f>
        <v/>
      </c>
      <c r="AE2890" s="34">
        <f>IF(OR($A2890="",$H2890&lt;&gt;"Ausgabe",Q2890=""),0,IF(Q2890="x",-$E2890/(COUNTIF($J2890:$Q2890,"x")+1),-$E2890*N(Q2890)))</f>
        <v/>
      </c>
    </row>
    <row r="2891">
      <c r="A2891" s="30" t="n"/>
      <c r="E2891" s="31" t="n"/>
      <c r="J2891" s="32" t="n"/>
      <c r="K2891" s="32" t="n"/>
      <c r="L2891" s="32" t="n"/>
      <c r="M2891" s="32" t="n"/>
      <c r="N2891" s="32" t="n"/>
      <c r="O2891" s="32" t="n"/>
      <c r="P2891" s="32" t="n"/>
      <c r="Q2891" s="32" t="n"/>
      <c r="U2891" s="31">
        <f>IF($A2891="","",SUM(X2891:AE2891))</f>
        <v/>
      </c>
      <c r="V2891" s="31">
        <f>IF($A2891="","",IF($H2891&lt;&gt;"Ausgabe",0,-$E2891-$U2891))</f>
        <v/>
      </c>
      <c r="W2891" s="33">
        <f>IF($A2891="","",DATE(YEAR($A2891),MONTH($A2891),1))</f>
        <v/>
      </c>
      <c r="X2891" s="34">
        <f>IF(OR($A2891="",$H2891&lt;&gt;"Ausgabe",J2891=""),0,IF(J2891="x",-$E2891/(COUNTIF($J2891:$Q2891,"x")+1),-$E2891*N(J2891)))</f>
        <v/>
      </c>
      <c r="Y2891" s="34">
        <f>IF(OR($A2891="",$H2891&lt;&gt;"Ausgabe",K2891=""),0,IF(K2891="x",-$E2891/(COUNTIF($J2891:$Q2891,"x")+1),-$E2891*N(K2891)))</f>
        <v/>
      </c>
      <c r="Z2891" s="34">
        <f>IF(OR($A2891="",$H2891&lt;&gt;"Ausgabe",L2891=""),0,IF(L2891="x",-$E2891/(COUNTIF($J2891:$Q2891,"x")+1),-$E2891*N(L2891)))</f>
        <v/>
      </c>
      <c r="AA2891" s="34">
        <f>IF(OR($A2891="",$H2891&lt;&gt;"Ausgabe",M2891=""),0,IF(M2891="x",-$E2891/(COUNTIF($J2891:$Q2891,"x")+1),-$E2891*N(M2891)))</f>
        <v/>
      </c>
      <c r="AB2891" s="34">
        <f>IF(OR($A2891="",$H2891&lt;&gt;"Ausgabe",N2891=""),0,IF(N2891="x",-$E2891/(COUNTIF($J2891:$Q2891,"x")+1),-$E2891*N(N2891)))</f>
        <v/>
      </c>
      <c r="AC2891" s="34">
        <f>IF(OR($A2891="",$H2891&lt;&gt;"Ausgabe",O2891=""),0,IF(O2891="x",-$E2891/(COUNTIF($J2891:$Q2891,"x")+1),-$E2891*N(O2891)))</f>
        <v/>
      </c>
      <c r="AD2891" s="34">
        <f>IF(OR($A2891="",$H2891&lt;&gt;"Ausgabe",P2891=""),0,IF(P2891="x",-$E2891/(COUNTIF($J2891:$Q2891,"x")+1),-$E2891*N(P2891)))</f>
        <v/>
      </c>
      <c r="AE2891" s="34">
        <f>IF(OR($A2891="",$H2891&lt;&gt;"Ausgabe",Q2891=""),0,IF(Q2891="x",-$E2891/(COUNTIF($J2891:$Q2891,"x")+1),-$E2891*N(Q2891)))</f>
        <v/>
      </c>
    </row>
    <row r="2892">
      <c r="A2892" s="30" t="n"/>
      <c r="E2892" s="31" t="n"/>
      <c r="J2892" s="32" t="n"/>
      <c r="K2892" s="32" t="n"/>
      <c r="L2892" s="32" t="n"/>
      <c r="M2892" s="32" t="n"/>
      <c r="N2892" s="32" t="n"/>
      <c r="O2892" s="32" t="n"/>
      <c r="P2892" s="32" t="n"/>
      <c r="Q2892" s="32" t="n"/>
      <c r="U2892" s="31">
        <f>IF($A2892="","",SUM(X2892:AE2892))</f>
        <v/>
      </c>
      <c r="V2892" s="31">
        <f>IF($A2892="","",IF($H2892&lt;&gt;"Ausgabe",0,-$E2892-$U2892))</f>
        <v/>
      </c>
      <c r="W2892" s="33">
        <f>IF($A2892="","",DATE(YEAR($A2892),MONTH($A2892),1))</f>
        <v/>
      </c>
      <c r="X2892" s="34">
        <f>IF(OR($A2892="",$H2892&lt;&gt;"Ausgabe",J2892=""),0,IF(J2892="x",-$E2892/(COUNTIF($J2892:$Q2892,"x")+1),-$E2892*N(J2892)))</f>
        <v/>
      </c>
      <c r="Y2892" s="34">
        <f>IF(OR($A2892="",$H2892&lt;&gt;"Ausgabe",K2892=""),0,IF(K2892="x",-$E2892/(COUNTIF($J2892:$Q2892,"x")+1),-$E2892*N(K2892)))</f>
        <v/>
      </c>
      <c r="Z2892" s="34">
        <f>IF(OR($A2892="",$H2892&lt;&gt;"Ausgabe",L2892=""),0,IF(L2892="x",-$E2892/(COUNTIF($J2892:$Q2892,"x")+1),-$E2892*N(L2892)))</f>
        <v/>
      </c>
      <c r="AA2892" s="34">
        <f>IF(OR($A2892="",$H2892&lt;&gt;"Ausgabe",M2892=""),0,IF(M2892="x",-$E2892/(COUNTIF($J2892:$Q2892,"x")+1),-$E2892*N(M2892)))</f>
        <v/>
      </c>
      <c r="AB2892" s="34">
        <f>IF(OR($A2892="",$H2892&lt;&gt;"Ausgabe",N2892=""),0,IF(N2892="x",-$E2892/(COUNTIF($J2892:$Q2892,"x")+1),-$E2892*N(N2892)))</f>
        <v/>
      </c>
      <c r="AC2892" s="34">
        <f>IF(OR($A2892="",$H2892&lt;&gt;"Ausgabe",O2892=""),0,IF(O2892="x",-$E2892/(COUNTIF($J2892:$Q2892,"x")+1),-$E2892*N(O2892)))</f>
        <v/>
      </c>
      <c r="AD2892" s="34">
        <f>IF(OR($A2892="",$H2892&lt;&gt;"Ausgabe",P2892=""),0,IF(P2892="x",-$E2892/(COUNTIF($J2892:$Q2892,"x")+1),-$E2892*N(P2892)))</f>
        <v/>
      </c>
      <c r="AE2892" s="34">
        <f>IF(OR($A2892="",$H2892&lt;&gt;"Ausgabe",Q2892=""),0,IF(Q2892="x",-$E2892/(COUNTIF($J2892:$Q2892,"x")+1),-$E2892*N(Q2892)))</f>
        <v/>
      </c>
    </row>
    <row r="2893">
      <c r="A2893" s="30" t="n"/>
      <c r="E2893" s="31" t="n"/>
      <c r="J2893" s="32" t="n"/>
      <c r="K2893" s="32" t="n"/>
      <c r="L2893" s="32" t="n"/>
      <c r="M2893" s="32" t="n"/>
      <c r="N2893" s="32" t="n"/>
      <c r="O2893" s="32" t="n"/>
      <c r="P2893" s="32" t="n"/>
      <c r="Q2893" s="32" t="n"/>
      <c r="U2893" s="31">
        <f>IF($A2893="","",SUM(X2893:AE2893))</f>
        <v/>
      </c>
      <c r="V2893" s="31">
        <f>IF($A2893="","",IF($H2893&lt;&gt;"Ausgabe",0,-$E2893-$U2893))</f>
        <v/>
      </c>
      <c r="W2893" s="33">
        <f>IF($A2893="","",DATE(YEAR($A2893),MONTH($A2893),1))</f>
        <v/>
      </c>
      <c r="X2893" s="34">
        <f>IF(OR($A2893="",$H2893&lt;&gt;"Ausgabe",J2893=""),0,IF(J2893="x",-$E2893/(COUNTIF($J2893:$Q2893,"x")+1),-$E2893*N(J2893)))</f>
        <v/>
      </c>
      <c r="Y2893" s="34">
        <f>IF(OR($A2893="",$H2893&lt;&gt;"Ausgabe",K2893=""),0,IF(K2893="x",-$E2893/(COUNTIF($J2893:$Q2893,"x")+1),-$E2893*N(K2893)))</f>
        <v/>
      </c>
      <c r="Z2893" s="34">
        <f>IF(OR($A2893="",$H2893&lt;&gt;"Ausgabe",L2893=""),0,IF(L2893="x",-$E2893/(COUNTIF($J2893:$Q2893,"x")+1),-$E2893*N(L2893)))</f>
        <v/>
      </c>
      <c r="AA2893" s="34">
        <f>IF(OR($A2893="",$H2893&lt;&gt;"Ausgabe",M2893=""),0,IF(M2893="x",-$E2893/(COUNTIF($J2893:$Q2893,"x")+1),-$E2893*N(M2893)))</f>
        <v/>
      </c>
      <c r="AB2893" s="34">
        <f>IF(OR($A2893="",$H2893&lt;&gt;"Ausgabe",N2893=""),0,IF(N2893="x",-$E2893/(COUNTIF($J2893:$Q2893,"x")+1),-$E2893*N(N2893)))</f>
        <v/>
      </c>
      <c r="AC2893" s="34">
        <f>IF(OR($A2893="",$H2893&lt;&gt;"Ausgabe",O2893=""),0,IF(O2893="x",-$E2893/(COUNTIF($J2893:$Q2893,"x")+1),-$E2893*N(O2893)))</f>
        <v/>
      </c>
      <c r="AD2893" s="34">
        <f>IF(OR($A2893="",$H2893&lt;&gt;"Ausgabe",P2893=""),0,IF(P2893="x",-$E2893/(COUNTIF($J2893:$Q2893,"x")+1),-$E2893*N(P2893)))</f>
        <v/>
      </c>
      <c r="AE2893" s="34">
        <f>IF(OR($A2893="",$H2893&lt;&gt;"Ausgabe",Q2893=""),0,IF(Q2893="x",-$E2893/(COUNTIF($J2893:$Q2893,"x")+1),-$E2893*N(Q2893)))</f>
        <v/>
      </c>
    </row>
    <row r="2894">
      <c r="A2894" s="30" t="n"/>
      <c r="E2894" s="31" t="n"/>
      <c r="J2894" s="32" t="n"/>
      <c r="K2894" s="32" t="n"/>
      <c r="L2894" s="32" t="n"/>
      <c r="M2894" s="32" t="n"/>
      <c r="N2894" s="32" t="n"/>
      <c r="O2894" s="32" t="n"/>
      <c r="P2894" s="32" t="n"/>
      <c r="Q2894" s="32" t="n"/>
      <c r="U2894" s="31">
        <f>IF($A2894="","",SUM(X2894:AE2894))</f>
        <v/>
      </c>
      <c r="V2894" s="31">
        <f>IF($A2894="","",IF($H2894&lt;&gt;"Ausgabe",0,-$E2894-$U2894))</f>
        <v/>
      </c>
      <c r="W2894" s="33">
        <f>IF($A2894="","",DATE(YEAR($A2894),MONTH($A2894),1))</f>
        <v/>
      </c>
      <c r="X2894" s="34">
        <f>IF(OR($A2894="",$H2894&lt;&gt;"Ausgabe",J2894=""),0,IF(J2894="x",-$E2894/(COUNTIF($J2894:$Q2894,"x")+1),-$E2894*N(J2894)))</f>
        <v/>
      </c>
      <c r="Y2894" s="34">
        <f>IF(OR($A2894="",$H2894&lt;&gt;"Ausgabe",K2894=""),0,IF(K2894="x",-$E2894/(COUNTIF($J2894:$Q2894,"x")+1),-$E2894*N(K2894)))</f>
        <v/>
      </c>
      <c r="Z2894" s="34">
        <f>IF(OR($A2894="",$H2894&lt;&gt;"Ausgabe",L2894=""),0,IF(L2894="x",-$E2894/(COUNTIF($J2894:$Q2894,"x")+1),-$E2894*N(L2894)))</f>
        <v/>
      </c>
      <c r="AA2894" s="34">
        <f>IF(OR($A2894="",$H2894&lt;&gt;"Ausgabe",M2894=""),0,IF(M2894="x",-$E2894/(COUNTIF($J2894:$Q2894,"x")+1),-$E2894*N(M2894)))</f>
        <v/>
      </c>
      <c r="AB2894" s="34">
        <f>IF(OR($A2894="",$H2894&lt;&gt;"Ausgabe",N2894=""),0,IF(N2894="x",-$E2894/(COUNTIF($J2894:$Q2894,"x")+1),-$E2894*N(N2894)))</f>
        <v/>
      </c>
      <c r="AC2894" s="34">
        <f>IF(OR($A2894="",$H2894&lt;&gt;"Ausgabe",O2894=""),0,IF(O2894="x",-$E2894/(COUNTIF($J2894:$Q2894,"x")+1),-$E2894*N(O2894)))</f>
        <v/>
      </c>
      <c r="AD2894" s="34">
        <f>IF(OR($A2894="",$H2894&lt;&gt;"Ausgabe",P2894=""),0,IF(P2894="x",-$E2894/(COUNTIF($J2894:$Q2894,"x")+1),-$E2894*N(P2894)))</f>
        <v/>
      </c>
      <c r="AE2894" s="34">
        <f>IF(OR($A2894="",$H2894&lt;&gt;"Ausgabe",Q2894=""),0,IF(Q2894="x",-$E2894/(COUNTIF($J2894:$Q2894,"x")+1),-$E2894*N(Q2894)))</f>
        <v/>
      </c>
    </row>
    <row r="2895">
      <c r="A2895" s="30" t="n"/>
      <c r="E2895" s="31" t="n"/>
      <c r="J2895" s="32" t="n"/>
      <c r="K2895" s="32" t="n"/>
      <c r="L2895" s="32" t="n"/>
      <c r="M2895" s="32" t="n"/>
      <c r="N2895" s="32" t="n"/>
      <c r="O2895" s="32" t="n"/>
      <c r="P2895" s="32" t="n"/>
      <c r="Q2895" s="32" t="n"/>
      <c r="U2895" s="31">
        <f>IF($A2895="","",SUM(X2895:AE2895))</f>
        <v/>
      </c>
      <c r="V2895" s="31">
        <f>IF($A2895="","",IF($H2895&lt;&gt;"Ausgabe",0,-$E2895-$U2895))</f>
        <v/>
      </c>
      <c r="W2895" s="33">
        <f>IF($A2895="","",DATE(YEAR($A2895),MONTH($A2895),1))</f>
        <v/>
      </c>
      <c r="X2895" s="34">
        <f>IF(OR($A2895="",$H2895&lt;&gt;"Ausgabe",J2895=""),0,IF(J2895="x",-$E2895/(COUNTIF($J2895:$Q2895,"x")+1),-$E2895*N(J2895)))</f>
        <v/>
      </c>
      <c r="Y2895" s="34">
        <f>IF(OR($A2895="",$H2895&lt;&gt;"Ausgabe",K2895=""),0,IF(K2895="x",-$E2895/(COUNTIF($J2895:$Q2895,"x")+1),-$E2895*N(K2895)))</f>
        <v/>
      </c>
      <c r="Z2895" s="34">
        <f>IF(OR($A2895="",$H2895&lt;&gt;"Ausgabe",L2895=""),0,IF(L2895="x",-$E2895/(COUNTIF($J2895:$Q2895,"x")+1),-$E2895*N(L2895)))</f>
        <v/>
      </c>
      <c r="AA2895" s="34">
        <f>IF(OR($A2895="",$H2895&lt;&gt;"Ausgabe",M2895=""),0,IF(M2895="x",-$E2895/(COUNTIF($J2895:$Q2895,"x")+1),-$E2895*N(M2895)))</f>
        <v/>
      </c>
      <c r="AB2895" s="34">
        <f>IF(OR($A2895="",$H2895&lt;&gt;"Ausgabe",N2895=""),0,IF(N2895="x",-$E2895/(COUNTIF($J2895:$Q2895,"x")+1),-$E2895*N(N2895)))</f>
        <v/>
      </c>
      <c r="AC2895" s="34">
        <f>IF(OR($A2895="",$H2895&lt;&gt;"Ausgabe",O2895=""),0,IF(O2895="x",-$E2895/(COUNTIF($J2895:$Q2895,"x")+1),-$E2895*N(O2895)))</f>
        <v/>
      </c>
      <c r="AD2895" s="34">
        <f>IF(OR($A2895="",$H2895&lt;&gt;"Ausgabe",P2895=""),0,IF(P2895="x",-$E2895/(COUNTIF($J2895:$Q2895,"x")+1),-$E2895*N(P2895)))</f>
        <v/>
      </c>
      <c r="AE2895" s="34">
        <f>IF(OR($A2895="",$H2895&lt;&gt;"Ausgabe",Q2895=""),0,IF(Q2895="x",-$E2895/(COUNTIF($J2895:$Q2895,"x")+1),-$E2895*N(Q2895)))</f>
        <v/>
      </c>
    </row>
    <row r="2896">
      <c r="A2896" s="30" t="n"/>
      <c r="E2896" s="31" t="n"/>
      <c r="J2896" s="32" t="n"/>
      <c r="K2896" s="32" t="n"/>
      <c r="L2896" s="32" t="n"/>
      <c r="M2896" s="32" t="n"/>
      <c r="N2896" s="32" t="n"/>
      <c r="O2896" s="32" t="n"/>
      <c r="P2896" s="32" t="n"/>
      <c r="Q2896" s="32" t="n"/>
      <c r="U2896" s="31">
        <f>IF($A2896="","",SUM(X2896:AE2896))</f>
        <v/>
      </c>
      <c r="V2896" s="31">
        <f>IF($A2896="","",IF($H2896&lt;&gt;"Ausgabe",0,-$E2896-$U2896))</f>
        <v/>
      </c>
      <c r="W2896" s="33">
        <f>IF($A2896="","",DATE(YEAR($A2896),MONTH($A2896),1))</f>
        <v/>
      </c>
      <c r="X2896" s="34">
        <f>IF(OR($A2896="",$H2896&lt;&gt;"Ausgabe",J2896=""),0,IF(J2896="x",-$E2896/(COUNTIF($J2896:$Q2896,"x")+1),-$E2896*N(J2896)))</f>
        <v/>
      </c>
      <c r="Y2896" s="34">
        <f>IF(OR($A2896="",$H2896&lt;&gt;"Ausgabe",K2896=""),0,IF(K2896="x",-$E2896/(COUNTIF($J2896:$Q2896,"x")+1),-$E2896*N(K2896)))</f>
        <v/>
      </c>
      <c r="Z2896" s="34">
        <f>IF(OR($A2896="",$H2896&lt;&gt;"Ausgabe",L2896=""),0,IF(L2896="x",-$E2896/(COUNTIF($J2896:$Q2896,"x")+1),-$E2896*N(L2896)))</f>
        <v/>
      </c>
      <c r="AA2896" s="34">
        <f>IF(OR($A2896="",$H2896&lt;&gt;"Ausgabe",M2896=""),0,IF(M2896="x",-$E2896/(COUNTIF($J2896:$Q2896,"x")+1),-$E2896*N(M2896)))</f>
        <v/>
      </c>
      <c r="AB2896" s="34">
        <f>IF(OR($A2896="",$H2896&lt;&gt;"Ausgabe",N2896=""),0,IF(N2896="x",-$E2896/(COUNTIF($J2896:$Q2896,"x")+1),-$E2896*N(N2896)))</f>
        <v/>
      </c>
      <c r="AC2896" s="34">
        <f>IF(OR($A2896="",$H2896&lt;&gt;"Ausgabe",O2896=""),0,IF(O2896="x",-$E2896/(COUNTIF($J2896:$Q2896,"x")+1),-$E2896*N(O2896)))</f>
        <v/>
      </c>
      <c r="AD2896" s="34">
        <f>IF(OR($A2896="",$H2896&lt;&gt;"Ausgabe",P2896=""),0,IF(P2896="x",-$E2896/(COUNTIF($J2896:$Q2896,"x")+1),-$E2896*N(P2896)))</f>
        <v/>
      </c>
      <c r="AE2896" s="34">
        <f>IF(OR($A2896="",$H2896&lt;&gt;"Ausgabe",Q2896=""),0,IF(Q2896="x",-$E2896/(COUNTIF($J2896:$Q2896,"x")+1),-$E2896*N(Q2896)))</f>
        <v/>
      </c>
    </row>
    <row r="2897">
      <c r="A2897" s="30" t="n"/>
      <c r="E2897" s="31" t="n"/>
      <c r="J2897" s="32" t="n"/>
      <c r="K2897" s="32" t="n"/>
      <c r="L2897" s="32" t="n"/>
      <c r="M2897" s="32" t="n"/>
      <c r="N2897" s="32" t="n"/>
      <c r="O2897" s="32" t="n"/>
      <c r="P2897" s="32" t="n"/>
      <c r="Q2897" s="32" t="n"/>
      <c r="U2897" s="31">
        <f>IF($A2897="","",SUM(X2897:AE2897))</f>
        <v/>
      </c>
      <c r="V2897" s="31">
        <f>IF($A2897="","",IF($H2897&lt;&gt;"Ausgabe",0,-$E2897-$U2897))</f>
        <v/>
      </c>
      <c r="W2897" s="33">
        <f>IF($A2897="","",DATE(YEAR($A2897),MONTH($A2897),1))</f>
        <v/>
      </c>
      <c r="X2897" s="34">
        <f>IF(OR($A2897="",$H2897&lt;&gt;"Ausgabe",J2897=""),0,IF(J2897="x",-$E2897/(COUNTIF($J2897:$Q2897,"x")+1),-$E2897*N(J2897)))</f>
        <v/>
      </c>
      <c r="Y2897" s="34">
        <f>IF(OR($A2897="",$H2897&lt;&gt;"Ausgabe",K2897=""),0,IF(K2897="x",-$E2897/(COUNTIF($J2897:$Q2897,"x")+1),-$E2897*N(K2897)))</f>
        <v/>
      </c>
      <c r="Z2897" s="34">
        <f>IF(OR($A2897="",$H2897&lt;&gt;"Ausgabe",L2897=""),0,IF(L2897="x",-$E2897/(COUNTIF($J2897:$Q2897,"x")+1),-$E2897*N(L2897)))</f>
        <v/>
      </c>
      <c r="AA2897" s="34">
        <f>IF(OR($A2897="",$H2897&lt;&gt;"Ausgabe",M2897=""),0,IF(M2897="x",-$E2897/(COUNTIF($J2897:$Q2897,"x")+1),-$E2897*N(M2897)))</f>
        <v/>
      </c>
      <c r="AB2897" s="34">
        <f>IF(OR($A2897="",$H2897&lt;&gt;"Ausgabe",N2897=""),0,IF(N2897="x",-$E2897/(COUNTIF($J2897:$Q2897,"x")+1),-$E2897*N(N2897)))</f>
        <v/>
      </c>
      <c r="AC2897" s="34">
        <f>IF(OR($A2897="",$H2897&lt;&gt;"Ausgabe",O2897=""),0,IF(O2897="x",-$E2897/(COUNTIF($J2897:$Q2897,"x")+1),-$E2897*N(O2897)))</f>
        <v/>
      </c>
      <c r="AD2897" s="34">
        <f>IF(OR($A2897="",$H2897&lt;&gt;"Ausgabe",P2897=""),0,IF(P2897="x",-$E2897/(COUNTIF($J2897:$Q2897,"x")+1),-$E2897*N(P2897)))</f>
        <v/>
      </c>
      <c r="AE2897" s="34">
        <f>IF(OR($A2897="",$H2897&lt;&gt;"Ausgabe",Q2897=""),0,IF(Q2897="x",-$E2897/(COUNTIF($J2897:$Q2897,"x")+1),-$E2897*N(Q2897)))</f>
        <v/>
      </c>
    </row>
    <row r="2898">
      <c r="A2898" s="30" t="n"/>
      <c r="E2898" s="31" t="n"/>
      <c r="J2898" s="32" t="n"/>
      <c r="K2898" s="32" t="n"/>
      <c r="L2898" s="32" t="n"/>
      <c r="M2898" s="32" t="n"/>
      <c r="N2898" s="32" t="n"/>
      <c r="O2898" s="32" t="n"/>
      <c r="P2898" s="32" t="n"/>
      <c r="Q2898" s="32" t="n"/>
      <c r="U2898" s="31">
        <f>IF($A2898="","",SUM(X2898:AE2898))</f>
        <v/>
      </c>
      <c r="V2898" s="31">
        <f>IF($A2898="","",IF($H2898&lt;&gt;"Ausgabe",0,-$E2898-$U2898))</f>
        <v/>
      </c>
      <c r="W2898" s="33">
        <f>IF($A2898="","",DATE(YEAR($A2898),MONTH($A2898),1))</f>
        <v/>
      </c>
      <c r="X2898" s="34">
        <f>IF(OR($A2898="",$H2898&lt;&gt;"Ausgabe",J2898=""),0,IF(J2898="x",-$E2898/(COUNTIF($J2898:$Q2898,"x")+1),-$E2898*N(J2898)))</f>
        <v/>
      </c>
      <c r="Y2898" s="34">
        <f>IF(OR($A2898="",$H2898&lt;&gt;"Ausgabe",K2898=""),0,IF(K2898="x",-$E2898/(COUNTIF($J2898:$Q2898,"x")+1),-$E2898*N(K2898)))</f>
        <v/>
      </c>
      <c r="Z2898" s="34">
        <f>IF(OR($A2898="",$H2898&lt;&gt;"Ausgabe",L2898=""),0,IF(L2898="x",-$E2898/(COUNTIF($J2898:$Q2898,"x")+1),-$E2898*N(L2898)))</f>
        <v/>
      </c>
      <c r="AA2898" s="34">
        <f>IF(OR($A2898="",$H2898&lt;&gt;"Ausgabe",M2898=""),0,IF(M2898="x",-$E2898/(COUNTIF($J2898:$Q2898,"x")+1),-$E2898*N(M2898)))</f>
        <v/>
      </c>
      <c r="AB2898" s="34">
        <f>IF(OR($A2898="",$H2898&lt;&gt;"Ausgabe",N2898=""),0,IF(N2898="x",-$E2898/(COUNTIF($J2898:$Q2898,"x")+1),-$E2898*N(N2898)))</f>
        <v/>
      </c>
      <c r="AC2898" s="34">
        <f>IF(OR($A2898="",$H2898&lt;&gt;"Ausgabe",O2898=""),0,IF(O2898="x",-$E2898/(COUNTIF($J2898:$Q2898,"x")+1),-$E2898*N(O2898)))</f>
        <v/>
      </c>
      <c r="AD2898" s="34">
        <f>IF(OR($A2898="",$H2898&lt;&gt;"Ausgabe",P2898=""),0,IF(P2898="x",-$E2898/(COUNTIF($J2898:$Q2898,"x")+1),-$E2898*N(P2898)))</f>
        <v/>
      </c>
      <c r="AE2898" s="34">
        <f>IF(OR($A2898="",$H2898&lt;&gt;"Ausgabe",Q2898=""),0,IF(Q2898="x",-$E2898/(COUNTIF($J2898:$Q2898,"x")+1),-$E2898*N(Q2898)))</f>
        <v/>
      </c>
    </row>
    <row r="2899">
      <c r="A2899" s="30" t="n"/>
      <c r="E2899" s="31" t="n"/>
      <c r="J2899" s="32" t="n"/>
      <c r="K2899" s="32" t="n"/>
      <c r="L2899" s="32" t="n"/>
      <c r="M2899" s="32" t="n"/>
      <c r="N2899" s="32" t="n"/>
      <c r="O2899" s="32" t="n"/>
      <c r="P2899" s="32" t="n"/>
      <c r="Q2899" s="32" t="n"/>
      <c r="U2899" s="31">
        <f>IF($A2899="","",SUM(X2899:AE2899))</f>
        <v/>
      </c>
      <c r="V2899" s="31">
        <f>IF($A2899="","",IF($H2899&lt;&gt;"Ausgabe",0,-$E2899-$U2899))</f>
        <v/>
      </c>
      <c r="W2899" s="33">
        <f>IF($A2899="","",DATE(YEAR($A2899),MONTH($A2899),1))</f>
        <v/>
      </c>
      <c r="X2899" s="34">
        <f>IF(OR($A2899="",$H2899&lt;&gt;"Ausgabe",J2899=""),0,IF(J2899="x",-$E2899/(COUNTIF($J2899:$Q2899,"x")+1),-$E2899*N(J2899)))</f>
        <v/>
      </c>
      <c r="Y2899" s="34">
        <f>IF(OR($A2899="",$H2899&lt;&gt;"Ausgabe",K2899=""),0,IF(K2899="x",-$E2899/(COUNTIF($J2899:$Q2899,"x")+1),-$E2899*N(K2899)))</f>
        <v/>
      </c>
      <c r="Z2899" s="34">
        <f>IF(OR($A2899="",$H2899&lt;&gt;"Ausgabe",L2899=""),0,IF(L2899="x",-$E2899/(COUNTIF($J2899:$Q2899,"x")+1),-$E2899*N(L2899)))</f>
        <v/>
      </c>
      <c r="AA2899" s="34">
        <f>IF(OR($A2899="",$H2899&lt;&gt;"Ausgabe",M2899=""),0,IF(M2899="x",-$E2899/(COUNTIF($J2899:$Q2899,"x")+1),-$E2899*N(M2899)))</f>
        <v/>
      </c>
      <c r="AB2899" s="34">
        <f>IF(OR($A2899="",$H2899&lt;&gt;"Ausgabe",N2899=""),0,IF(N2899="x",-$E2899/(COUNTIF($J2899:$Q2899,"x")+1),-$E2899*N(N2899)))</f>
        <v/>
      </c>
      <c r="AC2899" s="34">
        <f>IF(OR($A2899="",$H2899&lt;&gt;"Ausgabe",O2899=""),0,IF(O2899="x",-$E2899/(COUNTIF($J2899:$Q2899,"x")+1),-$E2899*N(O2899)))</f>
        <v/>
      </c>
      <c r="AD2899" s="34">
        <f>IF(OR($A2899="",$H2899&lt;&gt;"Ausgabe",P2899=""),0,IF(P2899="x",-$E2899/(COUNTIF($J2899:$Q2899,"x")+1),-$E2899*N(P2899)))</f>
        <v/>
      </c>
      <c r="AE2899" s="34">
        <f>IF(OR($A2899="",$H2899&lt;&gt;"Ausgabe",Q2899=""),0,IF(Q2899="x",-$E2899/(COUNTIF($J2899:$Q2899,"x")+1),-$E2899*N(Q2899)))</f>
        <v/>
      </c>
    </row>
    <row r="2900">
      <c r="A2900" s="30" t="n"/>
      <c r="E2900" s="31" t="n"/>
      <c r="J2900" s="32" t="n"/>
      <c r="K2900" s="32" t="n"/>
      <c r="L2900" s="32" t="n"/>
      <c r="M2900" s="32" t="n"/>
      <c r="N2900" s="32" t="n"/>
      <c r="O2900" s="32" t="n"/>
      <c r="P2900" s="32" t="n"/>
      <c r="Q2900" s="32" t="n"/>
      <c r="U2900" s="31">
        <f>IF($A2900="","",SUM(X2900:AE2900))</f>
        <v/>
      </c>
      <c r="V2900" s="31">
        <f>IF($A2900="","",IF($H2900&lt;&gt;"Ausgabe",0,-$E2900-$U2900))</f>
        <v/>
      </c>
      <c r="W2900" s="33">
        <f>IF($A2900="","",DATE(YEAR($A2900),MONTH($A2900),1))</f>
        <v/>
      </c>
      <c r="X2900" s="34">
        <f>IF(OR($A2900="",$H2900&lt;&gt;"Ausgabe",J2900=""),0,IF(J2900="x",-$E2900/(COUNTIF($J2900:$Q2900,"x")+1),-$E2900*N(J2900)))</f>
        <v/>
      </c>
      <c r="Y2900" s="34">
        <f>IF(OR($A2900="",$H2900&lt;&gt;"Ausgabe",K2900=""),0,IF(K2900="x",-$E2900/(COUNTIF($J2900:$Q2900,"x")+1),-$E2900*N(K2900)))</f>
        <v/>
      </c>
      <c r="Z2900" s="34">
        <f>IF(OR($A2900="",$H2900&lt;&gt;"Ausgabe",L2900=""),0,IF(L2900="x",-$E2900/(COUNTIF($J2900:$Q2900,"x")+1),-$E2900*N(L2900)))</f>
        <v/>
      </c>
      <c r="AA2900" s="34">
        <f>IF(OR($A2900="",$H2900&lt;&gt;"Ausgabe",M2900=""),0,IF(M2900="x",-$E2900/(COUNTIF($J2900:$Q2900,"x")+1),-$E2900*N(M2900)))</f>
        <v/>
      </c>
      <c r="AB2900" s="34">
        <f>IF(OR($A2900="",$H2900&lt;&gt;"Ausgabe",N2900=""),0,IF(N2900="x",-$E2900/(COUNTIF($J2900:$Q2900,"x")+1),-$E2900*N(N2900)))</f>
        <v/>
      </c>
      <c r="AC2900" s="34">
        <f>IF(OR($A2900="",$H2900&lt;&gt;"Ausgabe",O2900=""),0,IF(O2900="x",-$E2900/(COUNTIF($J2900:$Q2900,"x")+1),-$E2900*N(O2900)))</f>
        <v/>
      </c>
      <c r="AD2900" s="34">
        <f>IF(OR($A2900="",$H2900&lt;&gt;"Ausgabe",P2900=""),0,IF(P2900="x",-$E2900/(COUNTIF($J2900:$Q2900,"x")+1),-$E2900*N(P2900)))</f>
        <v/>
      </c>
      <c r="AE2900" s="34">
        <f>IF(OR($A2900="",$H2900&lt;&gt;"Ausgabe",Q2900=""),0,IF(Q2900="x",-$E2900/(COUNTIF($J2900:$Q2900,"x")+1),-$E2900*N(Q2900)))</f>
        <v/>
      </c>
    </row>
    <row r="2901">
      <c r="A2901" s="30" t="n"/>
      <c r="E2901" s="31" t="n"/>
      <c r="J2901" s="32" t="n"/>
      <c r="K2901" s="32" t="n"/>
      <c r="L2901" s="32" t="n"/>
      <c r="M2901" s="32" t="n"/>
      <c r="N2901" s="32" t="n"/>
      <c r="O2901" s="32" t="n"/>
      <c r="P2901" s="32" t="n"/>
      <c r="Q2901" s="32" t="n"/>
      <c r="U2901" s="31">
        <f>IF($A2901="","",SUM(X2901:AE2901))</f>
        <v/>
      </c>
      <c r="V2901" s="31">
        <f>IF($A2901="","",IF($H2901&lt;&gt;"Ausgabe",0,-$E2901-$U2901))</f>
        <v/>
      </c>
      <c r="W2901" s="33">
        <f>IF($A2901="","",DATE(YEAR($A2901),MONTH($A2901),1))</f>
        <v/>
      </c>
      <c r="X2901" s="34">
        <f>IF(OR($A2901="",$H2901&lt;&gt;"Ausgabe",J2901=""),0,IF(J2901="x",-$E2901/(COUNTIF($J2901:$Q2901,"x")+1),-$E2901*N(J2901)))</f>
        <v/>
      </c>
      <c r="Y2901" s="34">
        <f>IF(OR($A2901="",$H2901&lt;&gt;"Ausgabe",K2901=""),0,IF(K2901="x",-$E2901/(COUNTIF($J2901:$Q2901,"x")+1),-$E2901*N(K2901)))</f>
        <v/>
      </c>
      <c r="Z2901" s="34">
        <f>IF(OR($A2901="",$H2901&lt;&gt;"Ausgabe",L2901=""),0,IF(L2901="x",-$E2901/(COUNTIF($J2901:$Q2901,"x")+1),-$E2901*N(L2901)))</f>
        <v/>
      </c>
      <c r="AA2901" s="34">
        <f>IF(OR($A2901="",$H2901&lt;&gt;"Ausgabe",M2901=""),0,IF(M2901="x",-$E2901/(COUNTIF($J2901:$Q2901,"x")+1),-$E2901*N(M2901)))</f>
        <v/>
      </c>
      <c r="AB2901" s="34">
        <f>IF(OR($A2901="",$H2901&lt;&gt;"Ausgabe",N2901=""),0,IF(N2901="x",-$E2901/(COUNTIF($J2901:$Q2901,"x")+1),-$E2901*N(N2901)))</f>
        <v/>
      </c>
      <c r="AC2901" s="34">
        <f>IF(OR($A2901="",$H2901&lt;&gt;"Ausgabe",O2901=""),0,IF(O2901="x",-$E2901/(COUNTIF($J2901:$Q2901,"x")+1),-$E2901*N(O2901)))</f>
        <v/>
      </c>
      <c r="AD2901" s="34">
        <f>IF(OR($A2901="",$H2901&lt;&gt;"Ausgabe",P2901=""),0,IF(P2901="x",-$E2901/(COUNTIF($J2901:$Q2901,"x")+1),-$E2901*N(P2901)))</f>
        <v/>
      </c>
      <c r="AE2901" s="34">
        <f>IF(OR($A2901="",$H2901&lt;&gt;"Ausgabe",Q2901=""),0,IF(Q2901="x",-$E2901/(COUNTIF($J2901:$Q2901,"x")+1),-$E2901*N(Q2901)))</f>
        <v/>
      </c>
    </row>
    <row r="2902">
      <c r="A2902" s="30" t="n"/>
      <c r="E2902" s="31" t="n"/>
      <c r="J2902" s="32" t="n"/>
      <c r="K2902" s="32" t="n"/>
      <c r="L2902" s="32" t="n"/>
      <c r="M2902" s="32" t="n"/>
      <c r="N2902" s="32" t="n"/>
      <c r="O2902" s="32" t="n"/>
      <c r="P2902" s="32" t="n"/>
      <c r="Q2902" s="32" t="n"/>
      <c r="U2902" s="31">
        <f>IF($A2902="","",SUM(X2902:AE2902))</f>
        <v/>
      </c>
      <c r="V2902" s="31">
        <f>IF($A2902="","",IF($H2902&lt;&gt;"Ausgabe",0,-$E2902-$U2902))</f>
        <v/>
      </c>
      <c r="W2902" s="33">
        <f>IF($A2902="","",DATE(YEAR($A2902),MONTH($A2902),1))</f>
        <v/>
      </c>
      <c r="X2902" s="34">
        <f>IF(OR($A2902="",$H2902&lt;&gt;"Ausgabe",J2902=""),0,IF(J2902="x",-$E2902/(COUNTIF($J2902:$Q2902,"x")+1),-$E2902*N(J2902)))</f>
        <v/>
      </c>
      <c r="Y2902" s="34">
        <f>IF(OR($A2902="",$H2902&lt;&gt;"Ausgabe",K2902=""),0,IF(K2902="x",-$E2902/(COUNTIF($J2902:$Q2902,"x")+1),-$E2902*N(K2902)))</f>
        <v/>
      </c>
      <c r="Z2902" s="34">
        <f>IF(OR($A2902="",$H2902&lt;&gt;"Ausgabe",L2902=""),0,IF(L2902="x",-$E2902/(COUNTIF($J2902:$Q2902,"x")+1),-$E2902*N(L2902)))</f>
        <v/>
      </c>
      <c r="AA2902" s="34">
        <f>IF(OR($A2902="",$H2902&lt;&gt;"Ausgabe",M2902=""),0,IF(M2902="x",-$E2902/(COUNTIF($J2902:$Q2902,"x")+1),-$E2902*N(M2902)))</f>
        <v/>
      </c>
      <c r="AB2902" s="34">
        <f>IF(OR($A2902="",$H2902&lt;&gt;"Ausgabe",N2902=""),0,IF(N2902="x",-$E2902/(COUNTIF($J2902:$Q2902,"x")+1),-$E2902*N(N2902)))</f>
        <v/>
      </c>
      <c r="AC2902" s="34">
        <f>IF(OR($A2902="",$H2902&lt;&gt;"Ausgabe",O2902=""),0,IF(O2902="x",-$E2902/(COUNTIF($J2902:$Q2902,"x")+1),-$E2902*N(O2902)))</f>
        <v/>
      </c>
      <c r="AD2902" s="34">
        <f>IF(OR($A2902="",$H2902&lt;&gt;"Ausgabe",P2902=""),0,IF(P2902="x",-$E2902/(COUNTIF($J2902:$Q2902,"x")+1),-$E2902*N(P2902)))</f>
        <v/>
      </c>
      <c r="AE2902" s="34">
        <f>IF(OR($A2902="",$H2902&lt;&gt;"Ausgabe",Q2902=""),0,IF(Q2902="x",-$E2902/(COUNTIF($J2902:$Q2902,"x")+1),-$E2902*N(Q2902)))</f>
        <v/>
      </c>
    </row>
    <row r="2903">
      <c r="A2903" s="30" t="n"/>
      <c r="E2903" s="31" t="n"/>
      <c r="J2903" s="32" t="n"/>
      <c r="K2903" s="32" t="n"/>
      <c r="L2903" s="32" t="n"/>
      <c r="M2903" s="32" t="n"/>
      <c r="N2903" s="32" t="n"/>
      <c r="O2903" s="32" t="n"/>
      <c r="P2903" s="32" t="n"/>
      <c r="Q2903" s="32" t="n"/>
      <c r="U2903" s="31">
        <f>IF($A2903="","",SUM(X2903:AE2903))</f>
        <v/>
      </c>
      <c r="V2903" s="31">
        <f>IF($A2903="","",IF($H2903&lt;&gt;"Ausgabe",0,-$E2903-$U2903))</f>
        <v/>
      </c>
      <c r="W2903" s="33">
        <f>IF($A2903="","",DATE(YEAR($A2903),MONTH($A2903),1))</f>
        <v/>
      </c>
      <c r="X2903" s="34">
        <f>IF(OR($A2903="",$H2903&lt;&gt;"Ausgabe",J2903=""),0,IF(J2903="x",-$E2903/(COUNTIF($J2903:$Q2903,"x")+1),-$E2903*N(J2903)))</f>
        <v/>
      </c>
      <c r="Y2903" s="34">
        <f>IF(OR($A2903="",$H2903&lt;&gt;"Ausgabe",K2903=""),0,IF(K2903="x",-$E2903/(COUNTIF($J2903:$Q2903,"x")+1),-$E2903*N(K2903)))</f>
        <v/>
      </c>
      <c r="Z2903" s="34">
        <f>IF(OR($A2903="",$H2903&lt;&gt;"Ausgabe",L2903=""),0,IF(L2903="x",-$E2903/(COUNTIF($J2903:$Q2903,"x")+1),-$E2903*N(L2903)))</f>
        <v/>
      </c>
      <c r="AA2903" s="34">
        <f>IF(OR($A2903="",$H2903&lt;&gt;"Ausgabe",M2903=""),0,IF(M2903="x",-$E2903/(COUNTIF($J2903:$Q2903,"x")+1),-$E2903*N(M2903)))</f>
        <v/>
      </c>
      <c r="AB2903" s="34">
        <f>IF(OR($A2903="",$H2903&lt;&gt;"Ausgabe",N2903=""),0,IF(N2903="x",-$E2903/(COUNTIF($J2903:$Q2903,"x")+1),-$E2903*N(N2903)))</f>
        <v/>
      </c>
      <c r="AC2903" s="34">
        <f>IF(OR($A2903="",$H2903&lt;&gt;"Ausgabe",O2903=""),0,IF(O2903="x",-$E2903/(COUNTIF($J2903:$Q2903,"x")+1),-$E2903*N(O2903)))</f>
        <v/>
      </c>
      <c r="AD2903" s="34">
        <f>IF(OR($A2903="",$H2903&lt;&gt;"Ausgabe",P2903=""),0,IF(P2903="x",-$E2903/(COUNTIF($J2903:$Q2903,"x")+1),-$E2903*N(P2903)))</f>
        <v/>
      </c>
      <c r="AE2903" s="34">
        <f>IF(OR($A2903="",$H2903&lt;&gt;"Ausgabe",Q2903=""),0,IF(Q2903="x",-$E2903/(COUNTIF($J2903:$Q2903,"x")+1),-$E2903*N(Q2903)))</f>
        <v/>
      </c>
    </row>
    <row r="2904">
      <c r="A2904" s="30" t="n"/>
      <c r="E2904" s="31" t="n"/>
      <c r="J2904" s="32" t="n"/>
      <c r="K2904" s="32" t="n"/>
      <c r="L2904" s="32" t="n"/>
      <c r="M2904" s="32" t="n"/>
      <c r="N2904" s="32" t="n"/>
      <c r="O2904" s="32" t="n"/>
      <c r="P2904" s="32" t="n"/>
      <c r="Q2904" s="32" t="n"/>
      <c r="U2904" s="31">
        <f>IF($A2904="","",SUM(X2904:AE2904))</f>
        <v/>
      </c>
      <c r="V2904" s="31">
        <f>IF($A2904="","",IF($H2904&lt;&gt;"Ausgabe",0,-$E2904-$U2904))</f>
        <v/>
      </c>
      <c r="W2904" s="33">
        <f>IF($A2904="","",DATE(YEAR($A2904),MONTH($A2904),1))</f>
        <v/>
      </c>
      <c r="X2904" s="34">
        <f>IF(OR($A2904="",$H2904&lt;&gt;"Ausgabe",J2904=""),0,IF(J2904="x",-$E2904/(COUNTIF($J2904:$Q2904,"x")+1),-$E2904*N(J2904)))</f>
        <v/>
      </c>
      <c r="Y2904" s="34">
        <f>IF(OR($A2904="",$H2904&lt;&gt;"Ausgabe",K2904=""),0,IF(K2904="x",-$E2904/(COUNTIF($J2904:$Q2904,"x")+1),-$E2904*N(K2904)))</f>
        <v/>
      </c>
      <c r="Z2904" s="34">
        <f>IF(OR($A2904="",$H2904&lt;&gt;"Ausgabe",L2904=""),0,IF(L2904="x",-$E2904/(COUNTIF($J2904:$Q2904,"x")+1),-$E2904*N(L2904)))</f>
        <v/>
      </c>
      <c r="AA2904" s="34">
        <f>IF(OR($A2904="",$H2904&lt;&gt;"Ausgabe",M2904=""),0,IF(M2904="x",-$E2904/(COUNTIF($J2904:$Q2904,"x")+1),-$E2904*N(M2904)))</f>
        <v/>
      </c>
      <c r="AB2904" s="34">
        <f>IF(OR($A2904="",$H2904&lt;&gt;"Ausgabe",N2904=""),0,IF(N2904="x",-$E2904/(COUNTIF($J2904:$Q2904,"x")+1),-$E2904*N(N2904)))</f>
        <v/>
      </c>
      <c r="AC2904" s="34">
        <f>IF(OR($A2904="",$H2904&lt;&gt;"Ausgabe",O2904=""),0,IF(O2904="x",-$E2904/(COUNTIF($J2904:$Q2904,"x")+1),-$E2904*N(O2904)))</f>
        <v/>
      </c>
      <c r="AD2904" s="34">
        <f>IF(OR($A2904="",$H2904&lt;&gt;"Ausgabe",P2904=""),0,IF(P2904="x",-$E2904/(COUNTIF($J2904:$Q2904,"x")+1),-$E2904*N(P2904)))</f>
        <v/>
      </c>
      <c r="AE2904" s="34">
        <f>IF(OR($A2904="",$H2904&lt;&gt;"Ausgabe",Q2904=""),0,IF(Q2904="x",-$E2904/(COUNTIF($J2904:$Q2904,"x")+1),-$E2904*N(Q2904)))</f>
        <v/>
      </c>
    </row>
    <row r="2905">
      <c r="A2905" s="30" t="n"/>
      <c r="E2905" s="31" t="n"/>
      <c r="J2905" s="32" t="n"/>
      <c r="K2905" s="32" t="n"/>
      <c r="L2905" s="32" t="n"/>
      <c r="M2905" s="32" t="n"/>
      <c r="N2905" s="32" t="n"/>
      <c r="O2905" s="32" t="n"/>
      <c r="P2905" s="32" t="n"/>
      <c r="Q2905" s="32" t="n"/>
      <c r="U2905" s="31">
        <f>IF($A2905="","",SUM(X2905:AE2905))</f>
        <v/>
      </c>
      <c r="V2905" s="31">
        <f>IF($A2905="","",IF($H2905&lt;&gt;"Ausgabe",0,-$E2905-$U2905))</f>
        <v/>
      </c>
      <c r="W2905" s="33">
        <f>IF($A2905="","",DATE(YEAR($A2905),MONTH($A2905),1))</f>
        <v/>
      </c>
      <c r="X2905" s="34">
        <f>IF(OR($A2905="",$H2905&lt;&gt;"Ausgabe",J2905=""),0,IF(J2905="x",-$E2905/(COUNTIF($J2905:$Q2905,"x")+1),-$E2905*N(J2905)))</f>
        <v/>
      </c>
      <c r="Y2905" s="34">
        <f>IF(OR($A2905="",$H2905&lt;&gt;"Ausgabe",K2905=""),0,IF(K2905="x",-$E2905/(COUNTIF($J2905:$Q2905,"x")+1),-$E2905*N(K2905)))</f>
        <v/>
      </c>
      <c r="Z2905" s="34">
        <f>IF(OR($A2905="",$H2905&lt;&gt;"Ausgabe",L2905=""),0,IF(L2905="x",-$E2905/(COUNTIF($J2905:$Q2905,"x")+1),-$E2905*N(L2905)))</f>
        <v/>
      </c>
      <c r="AA2905" s="34">
        <f>IF(OR($A2905="",$H2905&lt;&gt;"Ausgabe",M2905=""),0,IF(M2905="x",-$E2905/(COUNTIF($J2905:$Q2905,"x")+1),-$E2905*N(M2905)))</f>
        <v/>
      </c>
      <c r="AB2905" s="34">
        <f>IF(OR($A2905="",$H2905&lt;&gt;"Ausgabe",N2905=""),0,IF(N2905="x",-$E2905/(COUNTIF($J2905:$Q2905,"x")+1),-$E2905*N(N2905)))</f>
        <v/>
      </c>
      <c r="AC2905" s="34">
        <f>IF(OR($A2905="",$H2905&lt;&gt;"Ausgabe",O2905=""),0,IF(O2905="x",-$E2905/(COUNTIF($J2905:$Q2905,"x")+1),-$E2905*N(O2905)))</f>
        <v/>
      </c>
      <c r="AD2905" s="34">
        <f>IF(OR($A2905="",$H2905&lt;&gt;"Ausgabe",P2905=""),0,IF(P2905="x",-$E2905/(COUNTIF($J2905:$Q2905,"x")+1),-$E2905*N(P2905)))</f>
        <v/>
      </c>
      <c r="AE2905" s="34">
        <f>IF(OR($A2905="",$H2905&lt;&gt;"Ausgabe",Q2905=""),0,IF(Q2905="x",-$E2905/(COUNTIF($J2905:$Q2905,"x")+1),-$E2905*N(Q2905)))</f>
        <v/>
      </c>
    </row>
    <row r="2906">
      <c r="A2906" s="30" t="n"/>
      <c r="E2906" s="31" t="n"/>
      <c r="J2906" s="32" t="n"/>
      <c r="K2906" s="32" t="n"/>
      <c r="L2906" s="32" t="n"/>
      <c r="M2906" s="32" t="n"/>
      <c r="N2906" s="32" t="n"/>
      <c r="O2906" s="32" t="n"/>
      <c r="P2906" s="32" t="n"/>
      <c r="Q2906" s="32" t="n"/>
      <c r="U2906" s="31">
        <f>IF($A2906="","",SUM(X2906:AE2906))</f>
        <v/>
      </c>
      <c r="V2906" s="31">
        <f>IF($A2906="","",IF($H2906&lt;&gt;"Ausgabe",0,-$E2906-$U2906))</f>
        <v/>
      </c>
      <c r="W2906" s="33">
        <f>IF($A2906="","",DATE(YEAR($A2906),MONTH($A2906),1))</f>
        <v/>
      </c>
      <c r="X2906" s="34">
        <f>IF(OR($A2906="",$H2906&lt;&gt;"Ausgabe",J2906=""),0,IF(J2906="x",-$E2906/(COUNTIF($J2906:$Q2906,"x")+1),-$E2906*N(J2906)))</f>
        <v/>
      </c>
      <c r="Y2906" s="34">
        <f>IF(OR($A2906="",$H2906&lt;&gt;"Ausgabe",K2906=""),0,IF(K2906="x",-$E2906/(COUNTIF($J2906:$Q2906,"x")+1),-$E2906*N(K2906)))</f>
        <v/>
      </c>
      <c r="Z2906" s="34">
        <f>IF(OR($A2906="",$H2906&lt;&gt;"Ausgabe",L2906=""),0,IF(L2906="x",-$E2906/(COUNTIF($J2906:$Q2906,"x")+1),-$E2906*N(L2906)))</f>
        <v/>
      </c>
      <c r="AA2906" s="34">
        <f>IF(OR($A2906="",$H2906&lt;&gt;"Ausgabe",M2906=""),0,IF(M2906="x",-$E2906/(COUNTIF($J2906:$Q2906,"x")+1),-$E2906*N(M2906)))</f>
        <v/>
      </c>
      <c r="AB2906" s="34">
        <f>IF(OR($A2906="",$H2906&lt;&gt;"Ausgabe",N2906=""),0,IF(N2906="x",-$E2906/(COUNTIF($J2906:$Q2906,"x")+1),-$E2906*N(N2906)))</f>
        <v/>
      </c>
      <c r="AC2906" s="34">
        <f>IF(OR($A2906="",$H2906&lt;&gt;"Ausgabe",O2906=""),0,IF(O2906="x",-$E2906/(COUNTIF($J2906:$Q2906,"x")+1),-$E2906*N(O2906)))</f>
        <v/>
      </c>
      <c r="AD2906" s="34">
        <f>IF(OR($A2906="",$H2906&lt;&gt;"Ausgabe",P2906=""),0,IF(P2906="x",-$E2906/(COUNTIF($J2906:$Q2906,"x")+1),-$E2906*N(P2906)))</f>
        <v/>
      </c>
      <c r="AE2906" s="34">
        <f>IF(OR($A2906="",$H2906&lt;&gt;"Ausgabe",Q2906=""),0,IF(Q2906="x",-$E2906/(COUNTIF($J2906:$Q2906,"x")+1),-$E2906*N(Q2906)))</f>
        <v/>
      </c>
    </row>
    <row r="2907">
      <c r="A2907" s="30" t="n"/>
      <c r="E2907" s="31" t="n"/>
      <c r="J2907" s="32" t="n"/>
      <c r="K2907" s="32" t="n"/>
      <c r="L2907" s="32" t="n"/>
      <c r="M2907" s="32" t="n"/>
      <c r="N2907" s="32" t="n"/>
      <c r="O2907" s="32" t="n"/>
      <c r="P2907" s="32" t="n"/>
      <c r="Q2907" s="32" t="n"/>
      <c r="U2907" s="31">
        <f>IF($A2907="","",SUM(X2907:AE2907))</f>
        <v/>
      </c>
      <c r="V2907" s="31">
        <f>IF($A2907="","",IF($H2907&lt;&gt;"Ausgabe",0,-$E2907-$U2907))</f>
        <v/>
      </c>
      <c r="W2907" s="33">
        <f>IF($A2907="","",DATE(YEAR($A2907),MONTH($A2907),1))</f>
        <v/>
      </c>
      <c r="X2907" s="34">
        <f>IF(OR($A2907="",$H2907&lt;&gt;"Ausgabe",J2907=""),0,IF(J2907="x",-$E2907/(COUNTIF($J2907:$Q2907,"x")+1),-$E2907*N(J2907)))</f>
        <v/>
      </c>
      <c r="Y2907" s="34">
        <f>IF(OR($A2907="",$H2907&lt;&gt;"Ausgabe",K2907=""),0,IF(K2907="x",-$E2907/(COUNTIF($J2907:$Q2907,"x")+1),-$E2907*N(K2907)))</f>
        <v/>
      </c>
      <c r="Z2907" s="34">
        <f>IF(OR($A2907="",$H2907&lt;&gt;"Ausgabe",L2907=""),0,IF(L2907="x",-$E2907/(COUNTIF($J2907:$Q2907,"x")+1),-$E2907*N(L2907)))</f>
        <v/>
      </c>
      <c r="AA2907" s="34">
        <f>IF(OR($A2907="",$H2907&lt;&gt;"Ausgabe",M2907=""),0,IF(M2907="x",-$E2907/(COUNTIF($J2907:$Q2907,"x")+1),-$E2907*N(M2907)))</f>
        <v/>
      </c>
      <c r="AB2907" s="34">
        <f>IF(OR($A2907="",$H2907&lt;&gt;"Ausgabe",N2907=""),0,IF(N2907="x",-$E2907/(COUNTIF($J2907:$Q2907,"x")+1),-$E2907*N(N2907)))</f>
        <v/>
      </c>
      <c r="AC2907" s="34">
        <f>IF(OR($A2907="",$H2907&lt;&gt;"Ausgabe",O2907=""),0,IF(O2907="x",-$E2907/(COUNTIF($J2907:$Q2907,"x")+1),-$E2907*N(O2907)))</f>
        <v/>
      </c>
      <c r="AD2907" s="34">
        <f>IF(OR($A2907="",$H2907&lt;&gt;"Ausgabe",P2907=""),0,IF(P2907="x",-$E2907/(COUNTIF($J2907:$Q2907,"x")+1),-$E2907*N(P2907)))</f>
        <v/>
      </c>
      <c r="AE2907" s="34">
        <f>IF(OR($A2907="",$H2907&lt;&gt;"Ausgabe",Q2907=""),0,IF(Q2907="x",-$E2907/(COUNTIF($J2907:$Q2907,"x")+1),-$E2907*N(Q2907)))</f>
        <v/>
      </c>
    </row>
    <row r="2908">
      <c r="A2908" s="30" t="n"/>
      <c r="E2908" s="31" t="n"/>
      <c r="J2908" s="32" t="n"/>
      <c r="K2908" s="32" t="n"/>
      <c r="L2908" s="32" t="n"/>
      <c r="M2908" s="32" t="n"/>
      <c r="N2908" s="32" t="n"/>
      <c r="O2908" s="32" t="n"/>
      <c r="P2908" s="32" t="n"/>
      <c r="Q2908" s="32" t="n"/>
      <c r="U2908" s="31">
        <f>IF($A2908="","",SUM(X2908:AE2908))</f>
        <v/>
      </c>
      <c r="V2908" s="31">
        <f>IF($A2908="","",IF($H2908&lt;&gt;"Ausgabe",0,-$E2908-$U2908))</f>
        <v/>
      </c>
      <c r="W2908" s="33">
        <f>IF($A2908="","",DATE(YEAR($A2908),MONTH($A2908),1))</f>
        <v/>
      </c>
      <c r="X2908" s="34">
        <f>IF(OR($A2908="",$H2908&lt;&gt;"Ausgabe",J2908=""),0,IF(J2908="x",-$E2908/(COUNTIF($J2908:$Q2908,"x")+1),-$E2908*N(J2908)))</f>
        <v/>
      </c>
      <c r="Y2908" s="34">
        <f>IF(OR($A2908="",$H2908&lt;&gt;"Ausgabe",K2908=""),0,IF(K2908="x",-$E2908/(COUNTIF($J2908:$Q2908,"x")+1),-$E2908*N(K2908)))</f>
        <v/>
      </c>
      <c r="Z2908" s="34">
        <f>IF(OR($A2908="",$H2908&lt;&gt;"Ausgabe",L2908=""),0,IF(L2908="x",-$E2908/(COUNTIF($J2908:$Q2908,"x")+1),-$E2908*N(L2908)))</f>
        <v/>
      </c>
      <c r="AA2908" s="34">
        <f>IF(OR($A2908="",$H2908&lt;&gt;"Ausgabe",M2908=""),0,IF(M2908="x",-$E2908/(COUNTIF($J2908:$Q2908,"x")+1),-$E2908*N(M2908)))</f>
        <v/>
      </c>
      <c r="AB2908" s="34">
        <f>IF(OR($A2908="",$H2908&lt;&gt;"Ausgabe",N2908=""),0,IF(N2908="x",-$E2908/(COUNTIF($J2908:$Q2908,"x")+1),-$E2908*N(N2908)))</f>
        <v/>
      </c>
      <c r="AC2908" s="34">
        <f>IF(OR($A2908="",$H2908&lt;&gt;"Ausgabe",O2908=""),0,IF(O2908="x",-$E2908/(COUNTIF($J2908:$Q2908,"x")+1),-$E2908*N(O2908)))</f>
        <v/>
      </c>
      <c r="AD2908" s="34">
        <f>IF(OR($A2908="",$H2908&lt;&gt;"Ausgabe",P2908=""),0,IF(P2908="x",-$E2908/(COUNTIF($J2908:$Q2908,"x")+1),-$E2908*N(P2908)))</f>
        <v/>
      </c>
      <c r="AE2908" s="34">
        <f>IF(OR($A2908="",$H2908&lt;&gt;"Ausgabe",Q2908=""),0,IF(Q2908="x",-$E2908/(COUNTIF($J2908:$Q2908,"x")+1),-$E2908*N(Q2908)))</f>
        <v/>
      </c>
    </row>
    <row r="2909">
      <c r="A2909" s="30" t="n"/>
      <c r="E2909" s="31" t="n"/>
      <c r="J2909" s="32" t="n"/>
      <c r="K2909" s="32" t="n"/>
      <c r="L2909" s="32" t="n"/>
      <c r="M2909" s="32" t="n"/>
      <c r="N2909" s="32" t="n"/>
      <c r="O2909" s="32" t="n"/>
      <c r="P2909" s="32" t="n"/>
      <c r="Q2909" s="32" t="n"/>
      <c r="U2909" s="31">
        <f>IF($A2909="","",SUM(X2909:AE2909))</f>
        <v/>
      </c>
      <c r="V2909" s="31">
        <f>IF($A2909="","",IF($H2909&lt;&gt;"Ausgabe",0,-$E2909-$U2909))</f>
        <v/>
      </c>
      <c r="W2909" s="33">
        <f>IF($A2909="","",DATE(YEAR($A2909),MONTH($A2909),1))</f>
        <v/>
      </c>
      <c r="X2909" s="34">
        <f>IF(OR($A2909="",$H2909&lt;&gt;"Ausgabe",J2909=""),0,IF(J2909="x",-$E2909/(COUNTIF($J2909:$Q2909,"x")+1),-$E2909*N(J2909)))</f>
        <v/>
      </c>
      <c r="Y2909" s="34">
        <f>IF(OR($A2909="",$H2909&lt;&gt;"Ausgabe",K2909=""),0,IF(K2909="x",-$E2909/(COUNTIF($J2909:$Q2909,"x")+1),-$E2909*N(K2909)))</f>
        <v/>
      </c>
      <c r="Z2909" s="34">
        <f>IF(OR($A2909="",$H2909&lt;&gt;"Ausgabe",L2909=""),0,IF(L2909="x",-$E2909/(COUNTIF($J2909:$Q2909,"x")+1),-$E2909*N(L2909)))</f>
        <v/>
      </c>
      <c r="AA2909" s="34">
        <f>IF(OR($A2909="",$H2909&lt;&gt;"Ausgabe",M2909=""),0,IF(M2909="x",-$E2909/(COUNTIF($J2909:$Q2909,"x")+1),-$E2909*N(M2909)))</f>
        <v/>
      </c>
      <c r="AB2909" s="34">
        <f>IF(OR($A2909="",$H2909&lt;&gt;"Ausgabe",N2909=""),0,IF(N2909="x",-$E2909/(COUNTIF($J2909:$Q2909,"x")+1),-$E2909*N(N2909)))</f>
        <v/>
      </c>
      <c r="AC2909" s="34">
        <f>IF(OR($A2909="",$H2909&lt;&gt;"Ausgabe",O2909=""),0,IF(O2909="x",-$E2909/(COUNTIF($J2909:$Q2909,"x")+1),-$E2909*N(O2909)))</f>
        <v/>
      </c>
      <c r="AD2909" s="34">
        <f>IF(OR($A2909="",$H2909&lt;&gt;"Ausgabe",P2909=""),0,IF(P2909="x",-$E2909/(COUNTIF($J2909:$Q2909,"x")+1),-$E2909*N(P2909)))</f>
        <v/>
      </c>
      <c r="AE2909" s="34">
        <f>IF(OR($A2909="",$H2909&lt;&gt;"Ausgabe",Q2909=""),0,IF(Q2909="x",-$E2909/(COUNTIF($J2909:$Q2909,"x")+1),-$E2909*N(Q2909)))</f>
        <v/>
      </c>
    </row>
    <row r="2910">
      <c r="A2910" s="30" t="n"/>
      <c r="E2910" s="31" t="n"/>
      <c r="J2910" s="32" t="n"/>
      <c r="K2910" s="32" t="n"/>
      <c r="L2910" s="32" t="n"/>
      <c r="M2910" s="32" t="n"/>
      <c r="N2910" s="32" t="n"/>
      <c r="O2910" s="32" t="n"/>
      <c r="P2910" s="32" t="n"/>
      <c r="Q2910" s="32" t="n"/>
      <c r="U2910" s="31">
        <f>IF($A2910="","",SUM(X2910:AE2910))</f>
        <v/>
      </c>
      <c r="V2910" s="31">
        <f>IF($A2910="","",IF($H2910&lt;&gt;"Ausgabe",0,-$E2910-$U2910))</f>
        <v/>
      </c>
      <c r="W2910" s="33">
        <f>IF($A2910="","",DATE(YEAR($A2910),MONTH($A2910),1))</f>
        <v/>
      </c>
      <c r="X2910" s="34">
        <f>IF(OR($A2910="",$H2910&lt;&gt;"Ausgabe",J2910=""),0,IF(J2910="x",-$E2910/(COUNTIF($J2910:$Q2910,"x")+1),-$E2910*N(J2910)))</f>
        <v/>
      </c>
      <c r="Y2910" s="34">
        <f>IF(OR($A2910="",$H2910&lt;&gt;"Ausgabe",K2910=""),0,IF(K2910="x",-$E2910/(COUNTIF($J2910:$Q2910,"x")+1),-$E2910*N(K2910)))</f>
        <v/>
      </c>
      <c r="Z2910" s="34">
        <f>IF(OR($A2910="",$H2910&lt;&gt;"Ausgabe",L2910=""),0,IF(L2910="x",-$E2910/(COUNTIF($J2910:$Q2910,"x")+1),-$E2910*N(L2910)))</f>
        <v/>
      </c>
      <c r="AA2910" s="34">
        <f>IF(OR($A2910="",$H2910&lt;&gt;"Ausgabe",M2910=""),0,IF(M2910="x",-$E2910/(COUNTIF($J2910:$Q2910,"x")+1),-$E2910*N(M2910)))</f>
        <v/>
      </c>
      <c r="AB2910" s="34">
        <f>IF(OR($A2910="",$H2910&lt;&gt;"Ausgabe",N2910=""),0,IF(N2910="x",-$E2910/(COUNTIF($J2910:$Q2910,"x")+1),-$E2910*N(N2910)))</f>
        <v/>
      </c>
      <c r="AC2910" s="34">
        <f>IF(OR($A2910="",$H2910&lt;&gt;"Ausgabe",O2910=""),0,IF(O2910="x",-$E2910/(COUNTIF($J2910:$Q2910,"x")+1),-$E2910*N(O2910)))</f>
        <v/>
      </c>
      <c r="AD2910" s="34">
        <f>IF(OR($A2910="",$H2910&lt;&gt;"Ausgabe",P2910=""),0,IF(P2910="x",-$E2910/(COUNTIF($J2910:$Q2910,"x")+1),-$E2910*N(P2910)))</f>
        <v/>
      </c>
      <c r="AE2910" s="34">
        <f>IF(OR($A2910="",$H2910&lt;&gt;"Ausgabe",Q2910=""),0,IF(Q2910="x",-$E2910/(COUNTIF($J2910:$Q2910,"x")+1),-$E2910*N(Q2910)))</f>
        <v/>
      </c>
    </row>
    <row r="2911">
      <c r="A2911" s="30" t="n"/>
      <c r="E2911" s="31" t="n"/>
      <c r="J2911" s="32" t="n"/>
      <c r="K2911" s="32" t="n"/>
      <c r="L2911" s="32" t="n"/>
      <c r="M2911" s="32" t="n"/>
      <c r="N2911" s="32" t="n"/>
      <c r="O2911" s="32" t="n"/>
      <c r="P2911" s="32" t="n"/>
      <c r="Q2911" s="32" t="n"/>
      <c r="U2911" s="31">
        <f>IF($A2911="","",SUM(X2911:AE2911))</f>
        <v/>
      </c>
      <c r="V2911" s="31">
        <f>IF($A2911="","",IF($H2911&lt;&gt;"Ausgabe",0,-$E2911-$U2911))</f>
        <v/>
      </c>
      <c r="W2911" s="33">
        <f>IF($A2911="","",DATE(YEAR($A2911),MONTH($A2911),1))</f>
        <v/>
      </c>
      <c r="X2911" s="34">
        <f>IF(OR($A2911="",$H2911&lt;&gt;"Ausgabe",J2911=""),0,IF(J2911="x",-$E2911/(COUNTIF($J2911:$Q2911,"x")+1),-$E2911*N(J2911)))</f>
        <v/>
      </c>
      <c r="Y2911" s="34">
        <f>IF(OR($A2911="",$H2911&lt;&gt;"Ausgabe",K2911=""),0,IF(K2911="x",-$E2911/(COUNTIF($J2911:$Q2911,"x")+1),-$E2911*N(K2911)))</f>
        <v/>
      </c>
      <c r="Z2911" s="34">
        <f>IF(OR($A2911="",$H2911&lt;&gt;"Ausgabe",L2911=""),0,IF(L2911="x",-$E2911/(COUNTIF($J2911:$Q2911,"x")+1),-$E2911*N(L2911)))</f>
        <v/>
      </c>
      <c r="AA2911" s="34">
        <f>IF(OR($A2911="",$H2911&lt;&gt;"Ausgabe",M2911=""),0,IF(M2911="x",-$E2911/(COUNTIF($J2911:$Q2911,"x")+1),-$E2911*N(M2911)))</f>
        <v/>
      </c>
      <c r="AB2911" s="34">
        <f>IF(OR($A2911="",$H2911&lt;&gt;"Ausgabe",N2911=""),0,IF(N2911="x",-$E2911/(COUNTIF($J2911:$Q2911,"x")+1),-$E2911*N(N2911)))</f>
        <v/>
      </c>
      <c r="AC2911" s="34">
        <f>IF(OR($A2911="",$H2911&lt;&gt;"Ausgabe",O2911=""),0,IF(O2911="x",-$E2911/(COUNTIF($J2911:$Q2911,"x")+1),-$E2911*N(O2911)))</f>
        <v/>
      </c>
      <c r="AD2911" s="34">
        <f>IF(OR($A2911="",$H2911&lt;&gt;"Ausgabe",P2911=""),0,IF(P2911="x",-$E2911/(COUNTIF($J2911:$Q2911,"x")+1),-$E2911*N(P2911)))</f>
        <v/>
      </c>
      <c r="AE2911" s="34">
        <f>IF(OR($A2911="",$H2911&lt;&gt;"Ausgabe",Q2911=""),0,IF(Q2911="x",-$E2911/(COUNTIF($J2911:$Q2911,"x")+1),-$E2911*N(Q2911)))</f>
        <v/>
      </c>
    </row>
    <row r="2912">
      <c r="A2912" s="30" t="n"/>
      <c r="E2912" s="31" t="n"/>
      <c r="J2912" s="32" t="n"/>
      <c r="K2912" s="32" t="n"/>
      <c r="L2912" s="32" t="n"/>
      <c r="M2912" s="32" t="n"/>
      <c r="N2912" s="32" t="n"/>
      <c r="O2912" s="32" t="n"/>
      <c r="P2912" s="32" t="n"/>
      <c r="Q2912" s="32" t="n"/>
      <c r="U2912" s="31">
        <f>IF($A2912="","",SUM(X2912:AE2912))</f>
        <v/>
      </c>
      <c r="V2912" s="31">
        <f>IF($A2912="","",IF($H2912&lt;&gt;"Ausgabe",0,-$E2912-$U2912))</f>
        <v/>
      </c>
      <c r="W2912" s="33">
        <f>IF($A2912="","",DATE(YEAR($A2912),MONTH($A2912),1))</f>
        <v/>
      </c>
      <c r="X2912" s="34">
        <f>IF(OR($A2912="",$H2912&lt;&gt;"Ausgabe",J2912=""),0,IF(J2912="x",-$E2912/(COUNTIF($J2912:$Q2912,"x")+1),-$E2912*N(J2912)))</f>
        <v/>
      </c>
      <c r="Y2912" s="34">
        <f>IF(OR($A2912="",$H2912&lt;&gt;"Ausgabe",K2912=""),0,IF(K2912="x",-$E2912/(COUNTIF($J2912:$Q2912,"x")+1),-$E2912*N(K2912)))</f>
        <v/>
      </c>
      <c r="Z2912" s="34">
        <f>IF(OR($A2912="",$H2912&lt;&gt;"Ausgabe",L2912=""),0,IF(L2912="x",-$E2912/(COUNTIF($J2912:$Q2912,"x")+1),-$E2912*N(L2912)))</f>
        <v/>
      </c>
      <c r="AA2912" s="34">
        <f>IF(OR($A2912="",$H2912&lt;&gt;"Ausgabe",M2912=""),0,IF(M2912="x",-$E2912/(COUNTIF($J2912:$Q2912,"x")+1),-$E2912*N(M2912)))</f>
        <v/>
      </c>
      <c r="AB2912" s="34">
        <f>IF(OR($A2912="",$H2912&lt;&gt;"Ausgabe",N2912=""),0,IF(N2912="x",-$E2912/(COUNTIF($J2912:$Q2912,"x")+1),-$E2912*N(N2912)))</f>
        <v/>
      </c>
      <c r="AC2912" s="34">
        <f>IF(OR($A2912="",$H2912&lt;&gt;"Ausgabe",O2912=""),0,IF(O2912="x",-$E2912/(COUNTIF($J2912:$Q2912,"x")+1),-$E2912*N(O2912)))</f>
        <v/>
      </c>
      <c r="AD2912" s="34">
        <f>IF(OR($A2912="",$H2912&lt;&gt;"Ausgabe",P2912=""),0,IF(P2912="x",-$E2912/(COUNTIF($J2912:$Q2912,"x")+1),-$E2912*N(P2912)))</f>
        <v/>
      </c>
      <c r="AE2912" s="34">
        <f>IF(OR($A2912="",$H2912&lt;&gt;"Ausgabe",Q2912=""),0,IF(Q2912="x",-$E2912/(COUNTIF($J2912:$Q2912,"x")+1),-$E2912*N(Q2912)))</f>
        <v/>
      </c>
    </row>
    <row r="2913">
      <c r="A2913" s="30" t="n"/>
      <c r="E2913" s="31" t="n"/>
      <c r="J2913" s="32" t="n"/>
      <c r="K2913" s="32" t="n"/>
      <c r="L2913" s="32" t="n"/>
      <c r="M2913" s="32" t="n"/>
      <c r="N2913" s="32" t="n"/>
      <c r="O2913" s="32" t="n"/>
      <c r="P2913" s="32" t="n"/>
      <c r="Q2913" s="32" t="n"/>
      <c r="U2913" s="31">
        <f>IF($A2913="","",SUM(X2913:AE2913))</f>
        <v/>
      </c>
      <c r="V2913" s="31">
        <f>IF($A2913="","",IF($H2913&lt;&gt;"Ausgabe",0,-$E2913-$U2913))</f>
        <v/>
      </c>
      <c r="W2913" s="33">
        <f>IF($A2913="","",DATE(YEAR($A2913),MONTH($A2913),1))</f>
        <v/>
      </c>
      <c r="X2913" s="34">
        <f>IF(OR($A2913="",$H2913&lt;&gt;"Ausgabe",J2913=""),0,IF(J2913="x",-$E2913/(COUNTIF($J2913:$Q2913,"x")+1),-$E2913*N(J2913)))</f>
        <v/>
      </c>
      <c r="Y2913" s="34">
        <f>IF(OR($A2913="",$H2913&lt;&gt;"Ausgabe",K2913=""),0,IF(K2913="x",-$E2913/(COUNTIF($J2913:$Q2913,"x")+1),-$E2913*N(K2913)))</f>
        <v/>
      </c>
      <c r="Z2913" s="34">
        <f>IF(OR($A2913="",$H2913&lt;&gt;"Ausgabe",L2913=""),0,IF(L2913="x",-$E2913/(COUNTIF($J2913:$Q2913,"x")+1),-$E2913*N(L2913)))</f>
        <v/>
      </c>
      <c r="AA2913" s="34">
        <f>IF(OR($A2913="",$H2913&lt;&gt;"Ausgabe",M2913=""),0,IF(M2913="x",-$E2913/(COUNTIF($J2913:$Q2913,"x")+1),-$E2913*N(M2913)))</f>
        <v/>
      </c>
      <c r="AB2913" s="34">
        <f>IF(OR($A2913="",$H2913&lt;&gt;"Ausgabe",N2913=""),0,IF(N2913="x",-$E2913/(COUNTIF($J2913:$Q2913,"x")+1),-$E2913*N(N2913)))</f>
        <v/>
      </c>
      <c r="AC2913" s="34">
        <f>IF(OR($A2913="",$H2913&lt;&gt;"Ausgabe",O2913=""),0,IF(O2913="x",-$E2913/(COUNTIF($J2913:$Q2913,"x")+1),-$E2913*N(O2913)))</f>
        <v/>
      </c>
      <c r="AD2913" s="34">
        <f>IF(OR($A2913="",$H2913&lt;&gt;"Ausgabe",P2913=""),0,IF(P2913="x",-$E2913/(COUNTIF($J2913:$Q2913,"x")+1),-$E2913*N(P2913)))</f>
        <v/>
      </c>
      <c r="AE2913" s="34">
        <f>IF(OR($A2913="",$H2913&lt;&gt;"Ausgabe",Q2913=""),0,IF(Q2913="x",-$E2913/(COUNTIF($J2913:$Q2913,"x")+1),-$E2913*N(Q2913)))</f>
        <v/>
      </c>
    </row>
    <row r="2914">
      <c r="A2914" s="30" t="n"/>
      <c r="E2914" s="31" t="n"/>
      <c r="J2914" s="32" t="n"/>
      <c r="K2914" s="32" t="n"/>
      <c r="L2914" s="32" t="n"/>
      <c r="M2914" s="32" t="n"/>
      <c r="N2914" s="32" t="n"/>
      <c r="O2914" s="32" t="n"/>
      <c r="P2914" s="32" t="n"/>
      <c r="Q2914" s="32" t="n"/>
      <c r="U2914" s="31">
        <f>IF($A2914="","",SUM(X2914:AE2914))</f>
        <v/>
      </c>
      <c r="V2914" s="31">
        <f>IF($A2914="","",IF($H2914&lt;&gt;"Ausgabe",0,-$E2914-$U2914))</f>
        <v/>
      </c>
      <c r="W2914" s="33">
        <f>IF($A2914="","",DATE(YEAR($A2914),MONTH($A2914),1))</f>
        <v/>
      </c>
      <c r="X2914" s="34">
        <f>IF(OR($A2914="",$H2914&lt;&gt;"Ausgabe",J2914=""),0,IF(J2914="x",-$E2914/(COUNTIF($J2914:$Q2914,"x")+1),-$E2914*N(J2914)))</f>
        <v/>
      </c>
      <c r="Y2914" s="34">
        <f>IF(OR($A2914="",$H2914&lt;&gt;"Ausgabe",K2914=""),0,IF(K2914="x",-$E2914/(COUNTIF($J2914:$Q2914,"x")+1),-$E2914*N(K2914)))</f>
        <v/>
      </c>
      <c r="Z2914" s="34">
        <f>IF(OR($A2914="",$H2914&lt;&gt;"Ausgabe",L2914=""),0,IF(L2914="x",-$E2914/(COUNTIF($J2914:$Q2914,"x")+1),-$E2914*N(L2914)))</f>
        <v/>
      </c>
      <c r="AA2914" s="34">
        <f>IF(OR($A2914="",$H2914&lt;&gt;"Ausgabe",M2914=""),0,IF(M2914="x",-$E2914/(COUNTIF($J2914:$Q2914,"x")+1),-$E2914*N(M2914)))</f>
        <v/>
      </c>
      <c r="AB2914" s="34">
        <f>IF(OR($A2914="",$H2914&lt;&gt;"Ausgabe",N2914=""),0,IF(N2914="x",-$E2914/(COUNTIF($J2914:$Q2914,"x")+1),-$E2914*N(N2914)))</f>
        <v/>
      </c>
      <c r="AC2914" s="34">
        <f>IF(OR($A2914="",$H2914&lt;&gt;"Ausgabe",O2914=""),0,IF(O2914="x",-$E2914/(COUNTIF($J2914:$Q2914,"x")+1),-$E2914*N(O2914)))</f>
        <v/>
      </c>
      <c r="AD2914" s="34">
        <f>IF(OR($A2914="",$H2914&lt;&gt;"Ausgabe",P2914=""),0,IF(P2914="x",-$E2914/(COUNTIF($J2914:$Q2914,"x")+1),-$E2914*N(P2914)))</f>
        <v/>
      </c>
      <c r="AE2914" s="34">
        <f>IF(OR($A2914="",$H2914&lt;&gt;"Ausgabe",Q2914=""),0,IF(Q2914="x",-$E2914/(COUNTIF($J2914:$Q2914,"x")+1),-$E2914*N(Q2914)))</f>
        <v/>
      </c>
    </row>
    <row r="2915">
      <c r="A2915" s="30" t="n"/>
      <c r="E2915" s="31" t="n"/>
      <c r="J2915" s="32" t="n"/>
      <c r="K2915" s="32" t="n"/>
      <c r="L2915" s="32" t="n"/>
      <c r="M2915" s="32" t="n"/>
      <c r="N2915" s="32" t="n"/>
      <c r="O2915" s="32" t="n"/>
      <c r="P2915" s="32" t="n"/>
      <c r="Q2915" s="32" t="n"/>
      <c r="U2915" s="31">
        <f>IF($A2915="","",SUM(X2915:AE2915))</f>
        <v/>
      </c>
      <c r="V2915" s="31">
        <f>IF($A2915="","",IF($H2915&lt;&gt;"Ausgabe",0,-$E2915-$U2915))</f>
        <v/>
      </c>
      <c r="W2915" s="33">
        <f>IF($A2915="","",DATE(YEAR($A2915),MONTH($A2915),1))</f>
        <v/>
      </c>
      <c r="X2915" s="34">
        <f>IF(OR($A2915="",$H2915&lt;&gt;"Ausgabe",J2915=""),0,IF(J2915="x",-$E2915/(COUNTIF($J2915:$Q2915,"x")+1),-$E2915*N(J2915)))</f>
        <v/>
      </c>
      <c r="Y2915" s="34">
        <f>IF(OR($A2915="",$H2915&lt;&gt;"Ausgabe",K2915=""),0,IF(K2915="x",-$E2915/(COUNTIF($J2915:$Q2915,"x")+1),-$E2915*N(K2915)))</f>
        <v/>
      </c>
      <c r="Z2915" s="34">
        <f>IF(OR($A2915="",$H2915&lt;&gt;"Ausgabe",L2915=""),0,IF(L2915="x",-$E2915/(COUNTIF($J2915:$Q2915,"x")+1),-$E2915*N(L2915)))</f>
        <v/>
      </c>
      <c r="AA2915" s="34">
        <f>IF(OR($A2915="",$H2915&lt;&gt;"Ausgabe",M2915=""),0,IF(M2915="x",-$E2915/(COUNTIF($J2915:$Q2915,"x")+1),-$E2915*N(M2915)))</f>
        <v/>
      </c>
      <c r="AB2915" s="34">
        <f>IF(OR($A2915="",$H2915&lt;&gt;"Ausgabe",N2915=""),0,IF(N2915="x",-$E2915/(COUNTIF($J2915:$Q2915,"x")+1),-$E2915*N(N2915)))</f>
        <v/>
      </c>
      <c r="AC2915" s="34">
        <f>IF(OR($A2915="",$H2915&lt;&gt;"Ausgabe",O2915=""),0,IF(O2915="x",-$E2915/(COUNTIF($J2915:$Q2915,"x")+1),-$E2915*N(O2915)))</f>
        <v/>
      </c>
      <c r="AD2915" s="34">
        <f>IF(OR($A2915="",$H2915&lt;&gt;"Ausgabe",P2915=""),0,IF(P2915="x",-$E2915/(COUNTIF($J2915:$Q2915,"x")+1),-$E2915*N(P2915)))</f>
        <v/>
      </c>
      <c r="AE2915" s="34">
        <f>IF(OR($A2915="",$H2915&lt;&gt;"Ausgabe",Q2915=""),0,IF(Q2915="x",-$E2915/(COUNTIF($J2915:$Q2915,"x")+1),-$E2915*N(Q2915)))</f>
        <v/>
      </c>
    </row>
    <row r="2916">
      <c r="A2916" s="30" t="n"/>
      <c r="E2916" s="31" t="n"/>
      <c r="J2916" s="32" t="n"/>
      <c r="K2916" s="32" t="n"/>
      <c r="L2916" s="32" t="n"/>
      <c r="M2916" s="32" t="n"/>
      <c r="N2916" s="32" t="n"/>
      <c r="O2916" s="32" t="n"/>
      <c r="P2916" s="32" t="n"/>
      <c r="Q2916" s="32" t="n"/>
      <c r="U2916" s="31">
        <f>IF($A2916="","",SUM(X2916:AE2916))</f>
        <v/>
      </c>
      <c r="V2916" s="31">
        <f>IF($A2916="","",IF($H2916&lt;&gt;"Ausgabe",0,-$E2916-$U2916))</f>
        <v/>
      </c>
      <c r="W2916" s="33">
        <f>IF($A2916="","",DATE(YEAR($A2916),MONTH($A2916),1))</f>
        <v/>
      </c>
      <c r="X2916" s="34">
        <f>IF(OR($A2916="",$H2916&lt;&gt;"Ausgabe",J2916=""),0,IF(J2916="x",-$E2916/(COUNTIF($J2916:$Q2916,"x")+1),-$E2916*N(J2916)))</f>
        <v/>
      </c>
      <c r="Y2916" s="34">
        <f>IF(OR($A2916="",$H2916&lt;&gt;"Ausgabe",K2916=""),0,IF(K2916="x",-$E2916/(COUNTIF($J2916:$Q2916,"x")+1),-$E2916*N(K2916)))</f>
        <v/>
      </c>
      <c r="Z2916" s="34">
        <f>IF(OR($A2916="",$H2916&lt;&gt;"Ausgabe",L2916=""),0,IF(L2916="x",-$E2916/(COUNTIF($J2916:$Q2916,"x")+1),-$E2916*N(L2916)))</f>
        <v/>
      </c>
      <c r="AA2916" s="34">
        <f>IF(OR($A2916="",$H2916&lt;&gt;"Ausgabe",M2916=""),0,IF(M2916="x",-$E2916/(COUNTIF($J2916:$Q2916,"x")+1),-$E2916*N(M2916)))</f>
        <v/>
      </c>
      <c r="AB2916" s="34">
        <f>IF(OR($A2916="",$H2916&lt;&gt;"Ausgabe",N2916=""),0,IF(N2916="x",-$E2916/(COUNTIF($J2916:$Q2916,"x")+1),-$E2916*N(N2916)))</f>
        <v/>
      </c>
      <c r="AC2916" s="34">
        <f>IF(OR($A2916="",$H2916&lt;&gt;"Ausgabe",O2916=""),0,IF(O2916="x",-$E2916/(COUNTIF($J2916:$Q2916,"x")+1),-$E2916*N(O2916)))</f>
        <v/>
      </c>
      <c r="AD2916" s="34">
        <f>IF(OR($A2916="",$H2916&lt;&gt;"Ausgabe",P2916=""),0,IF(P2916="x",-$E2916/(COUNTIF($J2916:$Q2916,"x")+1),-$E2916*N(P2916)))</f>
        <v/>
      </c>
      <c r="AE2916" s="34">
        <f>IF(OR($A2916="",$H2916&lt;&gt;"Ausgabe",Q2916=""),0,IF(Q2916="x",-$E2916/(COUNTIF($J2916:$Q2916,"x")+1),-$E2916*N(Q2916)))</f>
        <v/>
      </c>
    </row>
    <row r="2917">
      <c r="A2917" s="30" t="n"/>
      <c r="E2917" s="31" t="n"/>
      <c r="J2917" s="32" t="n"/>
      <c r="K2917" s="32" t="n"/>
      <c r="L2917" s="32" t="n"/>
      <c r="M2917" s="32" t="n"/>
      <c r="N2917" s="32" t="n"/>
      <c r="O2917" s="32" t="n"/>
      <c r="P2917" s="32" t="n"/>
      <c r="Q2917" s="32" t="n"/>
      <c r="U2917" s="31">
        <f>IF($A2917="","",SUM(X2917:AE2917))</f>
        <v/>
      </c>
      <c r="V2917" s="31">
        <f>IF($A2917="","",IF($H2917&lt;&gt;"Ausgabe",0,-$E2917-$U2917))</f>
        <v/>
      </c>
      <c r="W2917" s="33">
        <f>IF($A2917="","",DATE(YEAR($A2917),MONTH($A2917),1))</f>
        <v/>
      </c>
      <c r="X2917" s="34">
        <f>IF(OR($A2917="",$H2917&lt;&gt;"Ausgabe",J2917=""),0,IF(J2917="x",-$E2917/(COUNTIF($J2917:$Q2917,"x")+1),-$E2917*N(J2917)))</f>
        <v/>
      </c>
      <c r="Y2917" s="34">
        <f>IF(OR($A2917="",$H2917&lt;&gt;"Ausgabe",K2917=""),0,IF(K2917="x",-$E2917/(COUNTIF($J2917:$Q2917,"x")+1),-$E2917*N(K2917)))</f>
        <v/>
      </c>
      <c r="Z2917" s="34">
        <f>IF(OR($A2917="",$H2917&lt;&gt;"Ausgabe",L2917=""),0,IF(L2917="x",-$E2917/(COUNTIF($J2917:$Q2917,"x")+1),-$E2917*N(L2917)))</f>
        <v/>
      </c>
      <c r="AA2917" s="34">
        <f>IF(OR($A2917="",$H2917&lt;&gt;"Ausgabe",M2917=""),0,IF(M2917="x",-$E2917/(COUNTIF($J2917:$Q2917,"x")+1),-$E2917*N(M2917)))</f>
        <v/>
      </c>
      <c r="AB2917" s="34">
        <f>IF(OR($A2917="",$H2917&lt;&gt;"Ausgabe",N2917=""),0,IF(N2917="x",-$E2917/(COUNTIF($J2917:$Q2917,"x")+1),-$E2917*N(N2917)))</f>
        <v/>
      </c>
      <c r="AC2917" s="34">
        <f>IF(OR($A2917="",$H2917&lt;&gt;"Ausgabe",O2917=""),0,IF(O2917="x",-$E2917/(COUNTIF($J2917:$Q2917,"x")+1),-$E2917*N(O2917)))</f>
        <v/>
      </c>
      <c r="AD2917" s="34">
        <f>IF(OR($A2917="",$H2917&lt;&gt;"Ausgabe",P2917=""),0,IF(P2917="x",-$E2917/(COUNTIF($J2917:$Q2917,"x")+1),-$E2917*N(P2917)))</f>
        <v/>
      </c>
      <c r="AE2917" s="34">
        <f>IF(OR($A2917="",$H2917&lt;&gt;"Ausgabe",Q2917=""),0,IF(Q2917="x",-$E2917/(COUNTIF($J2917:$Q2917,"x")+1),-$E2917*N(Q2917)))</f>
        <v/>
      </c>
    </row>
    <row r="2918">
      <c r="A2918" s="30" t="n"/>
      <c r="E2918" s="31" t="n"/>
      <c r="J2918" s="32" t="n"/>
      <c r="K2918" s="32" t="n"/>
      <c r="L2918" s="32" t="n"/>
      <c r="M2918" s="32" t="n"/>
      <c r="N2918" s="32" t="n"/>
      <c r="O2918" s="32" t="n"/>
      <c r="P2918" s="32" t="n"/>
      <c r="Q2918" s="32" t="n"/>
      <c r="U2918" s="31">
        <f>IF($A2918="","",SUM(X2918:AE2918))</f>
        <v/>
      </c>
      <c r="V2918" s="31">
        <f>IF($A2918="","",IF($H2918&lt;&gt;"Ausgabe",0,-$E2918-$U2918))</f>
        <v/>
      </c>
      <c r="W2918" s="33">
        <f>IF($A2918="","",DATE(YEAR($A2918),MONTH($A2918),1))</f>
        <v/>
      </c>
      <c r="X2918" s="34">
        <f>IF(OR($A2918="",$H2918&lt;&gt;"Ausgabe",J2918=""),0,IF(J2918="x",-$E2918/(COUNTIF($J2918:$Q2918,"x")+1),-$E2918*N(J2918)))</f>
        <v/>
      </c>
      <c r="Y2918" s="34">
        <f>IF(OR($A2918="",$H2918&lt;&gt;"Ausgabe",K2918=""),0,IF(K2918="x",-$E2918/(COUNTIF($J2918:$Q2918,"x")+1),-$E2918*N(K2918)))</f>
        <v/>
      </c>
      <c r="Z2918" s="34">
        <f>IF(OR($A2918="",$H2918&lt;&gt;"Ausgabe",L2918=""),0,IF(L2918="x",-$E2918/(COUNTIF($J2918:$Q2918,"x")+1),-$E2918*N(L2918)))</f>
        <v/>
      </c>
      <c r="AA2918" s="34">
        <f>IF(OR($A2918="",$H2918&lt;&gt;"Ausgabe",M2918=""),0,IF(M2918="x",-$E2918/(COUNTIF($J2918:$Q2918,"x")+1),-$E2918*N(M2918)))</f>
        <v/>
      </c>
      <c r="AB2918" s="34">
        <f>IF(OR($A2918="",$H2918&lt;&gt;"Ausgabe",N2918=""),0,IF(N2918="x",-$E2918/(COUNTIF($J2918:$Q2918,"x")+1),-$E2918*N(N2918)))</f>
        <v/>
      </c>
      <c r="AC2918" s="34">
        <f>IF(OR($A2918="",$H2918&lt;&gt;"Ausgabe",O2918=""),0,IF(O2918="x",-$E2918/(COUNTIF($J2918:$Q2918,"x")+1),-$E2918*N(O2918)))</f>
        <v/>
      </c>
      <c r="AD2918" s="34">
        <f>IF(OR($A2918="",$H2918&lt;&gt;"Ausgabe",P2918=""),0,IF(P2918="x",-$E2918/(COUNTIF($J2918:$Q2918,"x")+1),-$E2918*N(P2918)))</f>
        <v/>
      </c>
      <c r="AE2918" s="34">
        <f>IF(OR($A2918="",$H2918&lt;&gt;"Ausgabe",Q2918=""),0,IF(Q2918="x",-$E2918/(COUNTIF($J2918:$Q2918,"x")+1),-$E2918*N(Q2918)))</f>
        <v/>
      </c>
    </row>
    <row r="2919">
      <c r="A2919" s="30" t="n"/>
      <c r="E2919" s="31" t="n"/>
      <c r="J2919" s="32" t="n"/>
      <c r="K2919" s="32" t="n"/>
      <c r="L2919" s="32" t="n"/>
      <c r="M2919" s="32" t="n"/>
      <c r="N2919" s="32" t="n"/>
      <c r="O2919" s="32" t="n"/>
      <c r="P2919" s="32" t="n"/>
      <c r="Q2919" s="32" t="n"/>
      <c r="U2919" s="31">
        <f>IF($A2919="","",SUM(X2919:AE2919))</f>
        <v/>
      </c>
      <c r="V2919" s="31">
        <f>IF($A2919="","",IF($H2919&lt;&gt;"Ausgabe",0,-$E2919-$U2919))</f>
        <v/>
      </c>
      <c r="W2919" s="33">
        <f>IF($A2919="","",DATE(YEAR($A2919),MONTH($A2919),1))</f>
        <v/>
      </c>
      <c r="X2919" s="34">
        <f>IF(OR($A2919="",$H2919&lt;&gt;"Ausgabe",J2919=""),0,IF(J2919="x",-$E2919/(COUNTIF($J2919:$Q2919,"x")+1),-$E2919*N(J2919)))</f>
        <v/>
      </c>
      <c r="Y2919" s="34">
        <f>IF(OR($A2919="",$H2919&lt;&gt;"Ausgabe",K2919=""),0,IF(K2919="x",-$E2919/(COUNTIF($J2919:$Q2919,"x")+1),-$E2919*N(K2919)))</f>
        <v/>
      </c>
      <c r="Z2919" s="34">
        <f>IF(OR($A2919="",$H2919&lt;&gt;"Ausgabe",L2919=""),0,IF(L2919="x",-$E2919/(COUNTIF($J2919:$Q2919,"x")+1),-$E2919*N(L2919)))</f>
        <v/>
      </c>
      <c r="AA2919" s="34">
        <f>IF(OR($A2919="",$H2919&lt;&gt;"Ausgabe",M2919=""),0,IF(M2919="x",-$E2919/(COUNTIF($J2919:$Q2919,"x")+1),-$E2919*N(M2919)))</f>
        <v/>
      </c>
      <c r="AB2919" s="34">
        <f>IF(OR($A2919="",$H2919&lt;&gt;"Ausgabe",N2919=""),0,IF(N2919="x",-$E2919/(COUNTIF($J2919:$Q2919,"x")+1),-$E2919*N(N2919)))</f>
        <v/>
      </c>
      <c r="AC2919" s="34">
        <f>IF(OR($A2919="",$H2919&lt;&gt;"Ausgabe",O2919=""),0,IF(O2919="x",-$E2919/(COUNTIF($J2919:$Q2919,"x")+1),-$E2919*N(O2919)))</f>
        <v/>
      </c>
      <c r="AD2919" s="34">
        <f>IF(OR($A2919="",$H2919&lt;&gt;"Ausgabe",P2919=""),0,IF(P2919="x",-$E2919/(COUNTIF($J2919:$Q2919,"x")+1),-$E2919*N(P2919)))</f>
        <v/>
      </c>
      <c r="AE2919" s="34">
        <f>IF(OR($A2919="",$H2919&lt;&gt;"Ausgabe",Q2919=""),0,IF(Q2919="x",-$E2919/(COUNTIF($J2919:$Q2919,"x")+1),-$E2919*N(Q2919)))</f>
        <v/>
      </c>
    </row>
    <row r="2920">
      <c r="A2920" s="30" t="n"/>
      <c r="E2920" s="31" t="n"/>
      <c r="J2920" s="32" t="n"/>
      <c r="K2920" s="32" t="n"/>
      <c r="L2920" s="32" t="n"/>
      <c r="M2920" s="32" t="n"/>
      <c r="N2920" s="32" t="n"/>
      <c r="O2920" s="32" t="n"/>
      <c r="P2920" s="32" t="n"/>
      <c r="Q2920" s="32" t="n"/>
      <c r="U2920" s="31">
        <f>IF($A2920="","",SUM(X2920:AE2920))</f>
        <v/>
      </c>
      <c r="V2920" s="31">
        <f>IF($A2920="","",IF($H2920&lt;&gt;"Ausgabe",0,-$E2920-$U2920))</f>
        <v/>
      </c>
      <c r="W2920" s="33">
        <f>IF($A2920="","",DATE(YEAR($A2920),MONTH($A2920),1))</f>
        <v/>
      </c>
      <c r="X2920" s="34">
        <f>IF(OR($A2920="",$H2920&lt;&gt;"Ausgabe",J2920=""),0,IF(J2920="x",-$E2920/(COUNTIF($J2920:$Q2920,"x")+1),-$E2920*N(J2920)))</f>
        <v/>
      </c>
      <c r="Y2920" s="34">
        <f>IF(OR($A2920="",$H2920&lt;&gt;"Ausgabe",K2920=""),0,IF(K2920="x",-$E2920/(COUNTIF($J2920:$Q2920,"x")+1),-$E2920*N(K2920)))</f>
        <v/>
      </c>
      <c r="Z2920" s="34">
        <f>IF(OR($A2920="",$H2920&lt;&gt;"Ausgabe",L2920=""),0,IF(L2920="x",-$E2920/(COUNTIF($J2920:$Q2920,"x")+1),-$E2920*N(L2920)))</f>
        <v/>
      </c>
      <c r="AA2920" s="34">
        <f>IF(OR($A2920="",$H2920&lt;&gt;"Ausgabe",M2920=""),0,IF(M2920="x",-$E2920/(COUNTIF($J2920:$Q2920,"x")+1),-$E2920*N(M2920)))</f>
        <v/>
      </c>
      <c r="AB2920" s="34">
        <f>IF(OR($A2920="",$H2920&lt;&gt;"Ausgabe",N2920=""),0,IF(N2920="x",-$E2920/(COUNTIF($J2920:$Q2920,"x")+1),-$E2920*N(N2920)))</f>
        <v/>
      </c>
      <c r="AC2920" s="34">
        <f>IF(OR($A2920="",$H2920&lt;&gt;"Ausgabe",O2920=""),0,IF(O2920="x",-$E2920/(COUNTIF($J2920:$Q2920,"x")+1),-$E2920*N(O2920)))</f>
        <v/>
      </c>
      <c r="AD2920" s="34">
        <f>IF(OR($A2920="",$H2920&lt;&gt;"Ausgabe",P2920=""),0,IF(P2920="x",-$E2920/(COUNTIF($J2920:$Q2920,"x")+1),-$E2920*N(P2920)))</f>
        <v/>
      </c>
      <c r="AE2920" s="34">
        <f>IF(OR($A2920="",$H2920&lt;&gt;"Ausgabe",Q2920=""),0,IF(Q2920="x",-$E2920/(COUNTIF($J2920:$Q2920,"x")+1),-$E2920*N(Q2920)))</f>
        <v/>
      </c>
    </row>
    <row r="2921">
      <c r="A2921" s="30" t="n"/>
      <c r="E2921" s="31" t="n"/>
      <c r="J2921" s="32" t="n"/>
      <c r="K2921" s="32" t="n"/>
      <c r="L2921" s="32" t="n"/>
      <c r="M2921" s="32" t="n"/>
      <c r="N2921" s="32" t="n"/>
      <c r="O2921" s="32" t="n"/>
      <c r="P2921" s="32" t="n"/>
      <c r="Q2921" s="32" t="n"/>
      <c r="U2921" s="31">
        <f>IF($A2921="","",SUM(X2921:AE2921))</f>
        <v/>
      </c>
      <c r="V2921" s="31">
        <f>IF($A2921="","",IF($H2921&lt;&gt;"Ausgabe",0,-$E2921-$U2921))</f>
        <v/>
      </c>
      <c r="W2921" s="33">
        <f>IF($A2921="","",DATE(YEAR($A2921),MONTH($A2921),1))</f>
        <v/>
      </c>
      <c r="X2921" s="34">
        <f>IF(OR($A2921="",$H2921&lt;&gt;"Ausgabe",J2921=""),0,IF(J2921="x",-$E2921/(COUNTIF($J2921:$Q2921,"x")+1),-$E2921*N(J2921)))</f>
        <v/>
      </c>
      <c r="Y2921" s="34">
        <f>IF(OR($A2921="",$H2921&lt;&gt;"Ausgabe",K2921=""),0,IF(K2921="x",-$E2921/(COUNTIF($J2921:$Q2921,"x")+1),-$E2921*N(K2921)))</f>
        <v/>
      </c>
      <c r="Z2921" s="34">
        <f>IF(OR($A2921="",$H2921&lt;&gt;"Ausgabe",L2921=""),0,IF(L2921="x",-$E2921/(COUNTIF($J2921:$Q2921,"x")+1),-$E2921*N(L2921)))</f>
        <v/>
      </c>
      <c r="AA2921" s="34">
        <f>IF(OR($A2921="",$H2921&lt;&gt;"Ausgabe",M2921=""),0,IF(M2921="x",-$E2921/(COUNTIF($J2921:$Q2921,"x")+1),-$E2921*N(M2921)))</f>
        <v/>
      </c>
      <c r="AB2921" s="34">
        <f>IF(OR($A2921="",$H2921&lt;&gt;"Ausgabe",N2921=""),0,IF(N2921="x",-$E2921/(COUNTIF($J2921:$Q2921,"x")+1),-$E2921*N(N2921)))</f>
        <v/>
      </c>
      <c r="AC2921" s="34">
        <f>IF(OR($A2921="",$H2921&lt;&gt;"Ausgabe",O2921=""),0,IF(O2921="x",-$E2921/(COUNTIF($J2921:$Q2921,"x")+1),-$E2921*N(O2921)))</f>
        <v/>
      </c>
      <c r="AD2921" s="34">
        <f>IF(OR($A2921="",$H2921&lt;&gt;"Ausgabe",P2921=""),0,IF(P2921="x",-$E2921/(COUNTIF($J2921:$Q2921,"x")+1),-$E2921*N(P2921)))</f>
        <v/>
      </c>
      <c r="AE2921" s="34">
        <f>IF(OR($A2921="",$H2921&lt;&gt;"Ausgabe",Q2921=""),0,IF(Q2921="x",-$E2921/(COUNTIF($J2921:$Q2921,"x")+1),-$E2921*N(Q2921)))</f>
        <v/>
      </c>
    </row>
    <row r="2922">
      <c r="A2922" s="30" t="n"/>
      <c r="E2922" s="31" t="n"/>
      <c r="J2922" s="32" t="n"/>
      <c r="K2922" s="32" t="n"/>
      <c r="L2922" s="32" t="n"/>
      <c r="M2922" s="32" t="n"/>
      <c r="N2922" s="32" t="n"/>
      <c r="O2922" s="32" t="n"/>
      <c r="P2922" s="32" t="n"/>
      <c r="Q2922" s="32" t="n"/>
      <c r="U2922" s="31">
        <f>IF($A2922="","",SUM(X2922:AE2922))</f>
        <v/>
      </c>
      <c r="V2922" s="31">
        <f>IF($A2922="","",IF($H2922&lt;&gt;"Ausgabe",0,-$E2922-$U2922))</f>
        <v/>
      </c>
      <c r="W2922" s="33">
        <f>IF($A2922="","",DATE(YEAR($A2922),MONTH($A2922),1))</f>
        <v/>
      </c>
      <c r="X2922" s="34">
        <f>IF(OR($A2922="",$H2922&lt;&gt;"Ausgabe",J2922=""),0,IF(J2922="x",-$E2922/(COUNTIF($J2922:$Q2922,"x")+1),-$E2922*N(J2922)))</f>
        <v/>
      </c>
      <c r="Y2922" s="34">
        <f>IF(OR($A2922="",$H2922&lt;&gt;"Ausgabe",K2922=""),0,IF(K2922="x",-$E2922/(COUNTIF($J2922:$Q2922,"x")+1),-$E2922*N(K2922)))</f>
        <v/>
      </c>
      <c r="Z2922" s="34">
        <f>IF(OR($A2922="",$H2922&lt;&gt;"Ausgabe",L2922=""),0,IF(L2922="x",-$E2922/(COUNTIF($J2922:$Q2922,"x")+1),-$E2922*N(L2922)))</f>
        <v/>
      </c>
      <c r="AA2922" s="34">
        <f>IF(OR($A2922="",$H2922&lt;&gt;"Ausgabe",M2922=""),0,IF(M2922="x",-$E2922/(COUNTIF($J2922:$Q2922,"x")+1),-$E2922*N(M2922)))</f>
        <v/>
      </c>
      <c r="AB2922" s="34">
        <f>IF(OR($A2922="",$H2922&lt;&gt;"Ausgabe",N2922=""),0,IF(N2922="x",-$E2922/(COUNTIF($J2922:$Q2922,"x")+1),-$E2922*N(N2922)))</f>
        <v/>
      </c>
      <c r="AC2922" s="34">
        <f>IF(OR($A2922="",$H2922&lt;&gt;"Ausgabe",O2922=""),0,IF(O2922="x",-$E2922/(COUNTIF($J2922:$Q2922,"x")+1),-$E2922*N(O2922)))</f>
        <v/>
      </c>
      <c r="AD2922" s="34">
        <f>IF(OR($A2922="",$H2922&lt;&gt;"Ausgabe",P2922=""),0,IF(P2922="x",-$E2922/(COUNTIF($J2922:$Q2922,"x")+1),-$E2922*N(P2922)))</f>
        <v/>
      </c>
      <c r="AE2922" s="34">
        <f>IF(OR($A2922="",$H2922&lt;&gt;"Ausgabe",Q2922=""),0,IF(Q2922="x",-$E2922/(COUNTIF($J2922:$Q2922,"x")+1),-$E2922*N(Q2922)))</f>
        <v/>
      </c>
    </row>
    <row r="2923">
      <c r="A2923" s="30" t="n"/>
      <c r="E2923" s="31" t="n"/>
      <c r="J2923" s="32" t="n"/>
      <c r="K2923" s="32" t="n"/>
      <c r="L2923" s="32" t="n"/>
      <c r="M2923" s="32" t="n"/>
      <c r="N2923" s="32" t="n"/>
      <c r="O2923" s="32" t="n"/>
      <c r="P2923" s="32" t="n"/>
      <c r="Q2923" s="32" t="n"/>
      <c r="U2923" s="31">
        <f>IF($A2923="","",SUM(X2923:AE2923))</f>
        <v/>
      </c>
      <c r="V2923" s="31">
        <f>IF($A2923="","",IF($H2923&lt;&gt;"Ausgabe",0,-$E2923-$U2923))</f>
        <v/>
      </c>
      <c r="W2923" s="33">
        <f>IF($A2923="","",DATE(YEAR($A2923),MONTH($A2923),1))</f>
        <v/>
      </c>
      <c r="X2923" s="34">
        <f>IF(OR($A2923="",$H2923&lt;&gt;"Ausgabe",J2923=""),0,IF(J2923="x",-$E2923/(COUNTIF($J2923:$Q2923,"x")+1),-$E2923*N(J2923)))</f>
        <v/>
      </c>
      <c r="Y2923" s="34">
        <f>IF(OR($A2923="",$H2923&lt;&gt;"Ausgabe",K2923=""),0,IF(K2923="x",-$E2923/(COUNTIF($J2923:$Q2923,"x")+1),-$E2923*N(K2923)))</f>
        <v/>
      </c>
      <c r="Z2923" s="34">
        <f>IF(OR($A2923="",$H2923&lt;&gt;"Ausgabe",L2923=""),0,IF(L2923="x",-$E2923/(COUNTIF($J2923:$Q2923,"x")+1),-$E2923*N(L2923)))</f>
        <v/>
      </c>
      <c r="AA2923" s="34">
        <f>IF(OR($A2923="",$H2923&lt;&gt;"Ausgabe",M2923=""),0,IF(M2923="x",-$E2923/(COUNTIF($J2923:$Q2923,"x")+1),-$E2923*N(M2923)))</f>
        <v/>
      </c>
      <c r="AB2923" s="34">
        <f>IF(OR($A2923="",$H2923&lt;&gt;"Ausgabe",N2923=""),0,IF(N2923="x",-$E2923/(COUNTIF($J2923:$Q2923,"x")+1),-$E2923*N(N2923)))</f>
        <v/>
      </c>
      <c r="AC2923" s="34">
        <f>IF(OR($A2923="",$H2923&lt;&gt;"Ausgabe",O2923=""),0,IF(O2923="x",-$E2923/(COUNTIF($J2923:$Q2923,"x")+1),-$E2923*N(O2923)))</f>
        <v/>
      </c>
      <c r="AD2923" s="34">
        <f>IF(OR($A2923="",$H2923&lt;&gt;"Ausgabe",P2923=""),0,IF(P2923="x",-$E2923/(COUNTIF($J2923:$Q2923,"x")+1),-$E2923*N(P2923)))</f>
        <v/>
      </c>
      <c r="AE2923" s="34">
        <f>IF(OR($A2923="",$H2923&lt;&gt;"Ausgabe",Q2923=""),0,IF(Q2923="x",-$E2923/(COUNTIF($J2923:$Q2923,"x")+1),-$E2923*N(Q2923)))</f>
        <v/>
      </c>
    </row>
    <row r="2924">
      <c r="A2924" s="30" t="n"/>
      <c r="E2924" s="31" t="n"/>
      <c r="J2924" s="32" t="n"/>
      <c r="K2924" s="32" t="n"/>
      <c r="L2924" s="32" t="n"/>
      <c r="M2924" s="32" t="n"/>
      <c r="N2924" s="32" t="n"/>
      <c r="O2924" s="32" t="n"/>
      <c r="P2924" s="32" t="n"/>
      <c r="Q2924" s="32" t="n"/>
      <c r="U2924" s="31">
        <f>IF($A2924="","",SUM(X2924:AE2924))</f>
        <v/>
      </c>
      <c r="V2924" s="31">
        <f>IF($A2924="","",IF($H2924&lt;&gt;"Ausgabe",0,-$E2924-$U2924))</f>
        <v/>
      </c>
      <c r="W2924" s="33">
        <f>IF($A2924="","",DATE(YEAR($A2924),MONTH($A2924),1))</f>
        <v/>
      </c>
      <c r="X2924" s="34">
        <f>IF(OR($A2924="",$H2924&lt;&gt;"Ausgabe",J2924=""),0,IF(J2924="x",-$E2924/(COUNTIF($J2924:$Q2924,"x")+1),-$E2924*N(J2924)))</f>
        <v/>
      </c>
      <c r="Y2924" s="34">
        <f>IF(OR($A2924="",$H2924&lt;&gt;"Ausgabe",K2924=""),0,IF(K2924="x",-$E2924/(COUNTIF($J2924:$Q2924,"x")+1),-$E2924*N(K2924)))</f>
        <v/>
      </c>
      <c r="Z2924" s="34">
        <f>IF(OR($A2924="",$H2924&lt;&gt;"Ausgabe",L2924=""),0,IF(L2924="x",-$E2924/(COUNTIF($J2924:$Q2924,"x")+1),-$E2924*N(L2924)))</f>
        <v/>
      </c>
      <c r="AA2924" s="34">
        <f>IF(OR($A2924="",$H2924&lt;&gt;"Ausgabe",M2924=""),0,IF(M2924="x",-$E2924/(COUNTIF($J2924:$Q2924,"x")+1),-$E2924*N(M2924)))</f>
        <v/>
      </c>
      <c r="AB2924" s="34">
        <f>IF(OR($A2924="",$H2924&lt;&gt;"Ausgabe",N2924=""),0,IF(N2924="x",-$E2924/(COUNTIF($J2924:$Q2924,"x")+1),-$E2924*N(N2924)))</f>
        <v/>
      </c>
      <c r="AC2924" s="34">
        <f>IF(OR($A2924="",$H2924&lt;&gt;"Ausgabe",O2924=""),0,IF(O2924="x",-$E2924/(COUNTIF($J2924:$Q2924,"x")+1),-$E2924*N(O2924)))</f>
        <v/>
      </c>
      <c r="AD2924" s="34">
        <f>IF(OR($A2924="",$H2924&lt;&gt;"Ausgabe",P2924=""),0,IF(P2924="x",-$E2924/(COUNTIF($J2924:$Q2924,"x")+1),-$E2924*N(P2924)))</f>
        <v/>
      </c>
      <c r="AE2924" s="34">
        <f>IF(OR($A2924="",$H2924&lt;&gt;"Ausgabe",Q2924=""),0,IF(Q2924="x",-$E2924/(COUNTIF($J2924:$Q2924,"x")+1),-$E2924*N(Q2924)))</f>
        <v/>
      </c>
    </row>
    <row r="2925">
      <c r="A2925" s="30" t="n"/>
      <c r="E2925" s="31" t="n"/>
      <c r="J2925" s="32" t="n"/>
      <c r="K2925" s="32" t="n"/>
      <c r="L2925" s="32" t="n"/>
      <c r="M2925" s="32" t="n"/>
      <c r="N2925" s="32" t="n"/>
      <c r="O2925" s="32" t="n"/>
      <c r="P2925" s="32" t="n"/>
      <c r="Q2925" s="32" t="n"/>
      <c r="U2925" s="31">
        <f>IF($A2925="","",SUM(X2925:AE2925))</f>
        <v/>
      </c>
      <c r="V2925" s="31">
        <f>IF($A2925="","",IF($H2925&lt;&gt;"Ausgabe",0,-$E2925-$U2925))</f>
        <v/>
      </c>
      <c r="W2925" s="33">
        <f>IF($A2925="","",DATE(YEAR($A2925),MONTH($A2925),1))</f>
        <v/>
      </c>
      <c r="X2925" s="34">
        <f>IF(OR($A2925="",$H2925&lt;&gt;"Ausgabe",J2925=""),0,IF(J2925="x",-$E2925/(COUNTIF($J2925:$Q2925,"x")+1),-$E2925*N(J2925)))</f>
        <v/>
      </c>
      <c r="Y2925" s="34">
        <f>IF(OR($A2925="",$H2925&lt;&gt;"Ausgabe",K2925=""),0,IF(K2925="x",-$E2925/(COUNTIF($J2925:$Q2925,"x")+1),-$E2925*N(K2925)))</f>
        <v/>
      </c>
      <c r="Z2925" s="34">
        <f>IF(OR($A2925="",$H2925&lt;&gt;"Ausgabe",L2925=""),0,IF(L2925="x",-$E2925/(COUNTIF($J2925:$Q2925,"x")+1),-$E2925*N(L2925)))</f>
        <v/>
      </c>
      <c r="AA2925" s="34">
        <f>IF(OR($A2925="",$H2925&lt;&gt;"Ausgabe",M2925=""),0,IF(M2925="x",-$E2925/(COUNTIF($J2925:$Q2925,"x")+1),-$E2925*N(M2925)))</f>
        <v/>
      </c>
      <c r="AB2925" s="34">
        <f>IF(OR($A2925="",$H2925&lt;&gt;"Ausgabe",N2925=""),0,IF(N2925="x",-$E2925/(COUNTIF($J2925:$Q2925,"x")+1),-$E2925*N(N2925)))</f>
        <v/>
      </c>
      <c r="AC2925" s="34">
        <f>IF(OR($A2925="",$H2925&lt;&gt;"Ausgabe",O2925=""),0,IF(O2925="x",-$E2925/(COUNTIF($J2925:$Q2925,"x")+1),-$E2925*N(O2925)))</f>
        <v/>
      </c>
      <c r="AD2925" s="34">
        <f>IF(OR($A2925="",$H2925&lt;&gt;"Ausgabe",P2925=""),0,IF(P2925="x",-$E2925/(COUNTIF($J2925:$Q2925,"x")+1),-$E2925*N(P2925)))</f>
        <v/>
      </c>
      <c r="AE2925" s="34">
        <f>IF(OR($A2925="",$H2925&lt;&gt;"Ausgabe",Q2925=""),0,IF(Q2925="x",-$E2925/(COUNTIF($J2925:$Q2925,"x")+1),-$E2925*N(Q2925)))</f>
        <v/>
      </c>
    </row>
    <row r="2926">
      <c r="A2926" s="30" t="n"/>
      <c r="E2926" s="31" t="n"/>
      <c r="J2926" s="32" t="n"/>
      <c r="K2926" s="32" t="n"/>
      <c r="L2926" s="32" t="n"/>
      <c r="M2926" s="32" t="n"/>
      <c r="N2926" s="32" t="n"/>
      <c r="O2926" s="32" t="n"/>
      <c r="P2926" s="32" t="n"/>
      <c r="Q2926" s="32" t="n"/>
      <c r="U2926" s="31">
        <f>IF($A2926="","",SUM(X2926:AE2926))</f>
        <v/>
      </c>
      <c r="V2926" s="31">
        <f>IF($A2926="","",IF($H2926&lt;&gt;"Ausgabe",0,-$E2926-$U2926))</f>
        <v/>
      </c>
      <c r="W2926" s="33">
        <f>IF($A2926="","",DATE(YEAR($A2926),MONTH($A2926),1))</f>
        <v/>
      </c>
      <c r="X2926" s="34">
        <f>IF(OR($A2926="",$H2926&lt;&gt;"Ausgabe",J2926=""),0,IF(J2926="x",-$E2926/(COUNTIF($J2926:$Q2926,"x")+1),-$E2926*N(J2926)))</f>
        <v/>
      </c>
      <c r="Y2926" s="34">
        <f>IF(OR($A2926="",$H2926&lt;&gt;"Ausgabe",K2926=""),0,IF(K2926="x",-$E2926/(COUNTIF($J2926:$Q2926,"x")+1),-$E2926*N(K2926)))</f>
        <v/>
      </c>
      <c r="Z2926" s="34">
        <f>IF(OR($A2926="",$H2926&lt;&gt;"Ausgabe",L2926=""),0,IF(L2926="x",-$E2926/(COUNTIF($J2926:$Q2926,"x")+1),-$E2926*N(L2926)))</f>
        <v/>
      </c>
      <c r="AA2926" s="34">
        <f>IF(OR($A2926="",$H2926&lt;&gt;"Ausgabe",M2926=""),0,IF(M2926="x",-$E2926/(COUNTIF($J2926:$Q2926,"x")+1),-$E2926*N(M2926)))</f>
        <v/>
      </c>
      <c r="AB2926" s="34">
        <f>IF(OR($A2926="",$H2926&lt;&gt;"Ausgabe",N2926=""),0,IF(N2926="x",-$E2926/(COUNTIF($J2926:$Q2926,"x")+1),-$E2926*N(N2926)))</f>
        <v/>
      </c>
      <c r="AC2926" s="34">
        <f>IF(OR($A2926="",$H2926&lt;&gt;"Ausgabe",O2926=""),0,IF(O2926="x",-$E2926/(COUNTIF($J2926:$Q2926,"x")+1),-$E2926*N(O2926)))</f>
        <v/>
      </c>
      <c r="AD2926" s="34">
        <f>IF(OR($A2926="",$H2926&lt;&gt;"Ausgabe",P2926=""),0,IF(P2926="x",-$E2926/(COUNTIF($J2926:$Q2926,"x")+1),-$E2926*N(P2926)))</f>
        <v/>
      </c>
      <c r="AE2926" s="34">
        <f>IF(OR($A2926="",$H2926&lt;&gt;"Ausgabe",Q2926=""),0,IF(Q2926="x",-$E2926/(COUNTIF($J2926:$Q2926,"x")+1),-$E2926*N(Q2926)))</f>
        <v/>
      </c>
    </row>
    <row r="2927">
      <c r="A2927" s="30" t="n"/>
      <c r="E2927" s="31" t="n"/>
      <c r="J2927" s="32" t="n"/>
      <c r="K2927" s="32" t="n"/>
      <c r="L2927" s="32" t="n"/>
      <c r="M2927" s="32" t="n"/>
      <c r="N2927" s="32" t="n"/>
      <c r="O2927" s="32" t="n"/>
      <c r="P2927" s="32" t="n"/>
      <c r="Q2927" s="32" t="n"/>
      <c r="U2927" s="31">
        <f>IF($A2927="","",SUM(X2927:AE2927))</f>
        <v/>
      </c>
      <c r="V2927" s="31">
        <f>IF($A2927="","",IF($H2927&lt;&gt;"Ausgabe",0,-$E2927-$U2927))</f>
        <v/>
      </c>
      <c r="W2927" s="33">
        <f>IF($A2927="","",DATE(YEAR($A2927),MONTH($A2927),1))</f>
        <v/>
      </c>
      <c r="X2927" s="34">
        <f>IF(OR($A2927="",$H2927&lt;&gt;"Ausgabe",J2927=""),0,IF(J2927="x",-$E2927/(COUNTIF($J2927:$Q2927,"x")+1),-$E2927*N(J2927)))</f>
        <v/>
      </c>
      <c r="Y2927" s="34">
        <f>IF(OR($A2927="",$H2927&lt;&gt;"Ausgabe",K2927=""),0,IF(K2927="x",-$E2927/(COUNTIF($J2927:$Q2927,"x")+1),-$E2927*N(K2927)))</f>
        <v/>
      </c>
      <c r="Z2927" s="34">
        <f>IF(OR($A2927="",$H2927&lt;&gt;"Ausgabe",L2927=""),0,IF(L2927="x",-$E2927/(COUNTIF($J2927:$Q2927,"x")+1),-$E2927*N(L2927)))</f>
        <v/>
      </c>
      <c r="AA2927" s="34">
        <f>IF(OR($A2927="",$H2927&lt;&gt;"Ausgabe",M2927=""),0,IF(M2927="x",-$E2927/(COUNTIF($J2927:$Q2927,"x")+1),-$E2927*N(M2927)))</f>
        <v/>
      </c>
      <c r="AB2927" s="34">
        <f>IF(OR($A2927="",$H2927&lt;&gt;"Ausgabe",N2927=""),0,IF(N2927="x",-$E2927/(COUNTIF($J2927:$Q2927,"x")+1),-$E2927*N(N2927)))</f>
        <v/>
      </c>
      <c r="AC2927" s="34">
        <f>IF(OR($A2927="",$H2927&lt;&gt;"Ausgabe",O2927=""),0,IF(O2927="x",-$E2927/(COUNTIF($J2927:$Q2927,"x")+1),-$E2927*N(O2927)))</f>
        <v/>
      </c>
      <c r="AD2927" s="34">
        <f>IF(OR($A2927="",$H2927&lt;&gt;"Ausgabe",P2927=""),0,IF(P2927="x",-$E2927/(COUNTIF($J2927:$Q2927,"x")+1),-$E2927*N(P2927)))</f>
        <v/>
      </c>
      <c r="AE2927" s="34">
        <f>IF(OR($A2927="",$H2927&lt;&gt;"Ausgabe",Q2927=""),0,IF(Q2927="x",-$E2927/(COUNTIF($J2927:$Q2927,"x")+1),-$E2927*N(Q2927)))</f>
        <v/>
      </c>
    </row>
    <row r="2928">
      <c r="A2928" s="30" t="n"/>
      <c r="E2928" s="31" t="n"/>
      <c r="J2928" s="32" t="n"/>
      <c r="K2928" s="32" t="n"/>
      <c r="L2928" s="32" t="n"/>
      <c r="M2928" s="32" t="n"/>
      <c r="N2928" s="32" t="n"/>
      <c r="O2928" s="32" t="n"/>
      <c r="P2928" s="32" t="n"/>
      <c r="Q2928" s="32" t="n"/>
      <c r="U2928" s="31">
        <f>IF($A2928="","",SUM(X2928:AE2928))</f>
        <v/>
      </c>
      <c r="V2928" s="31">
        <f>IF($A2928="","",IF($H2928&lt;&gt;"Ausgabe",0,-$E2928-$U2928))</f>
        <v/>
      </c>
      <c r="W2928" s="33">
        <f>IF($A2928="","",DATE(YEAR($A2928),MONTH($A2928),1))</f>
        <v/>
      </c>
      <c r="X2928" s="34">
        <f>IF(OR($A2928="",$H2928&lt;&gt;"Ausgabe",J2928=""),0,IF(J2928="x",-$E2928/(COUNTIF($J2928:$Q2928,"x")+1),-$E2928*N(J2928)))</f>
        <v/>
      </c>
      <c r="Y2928" s="34">
        <f>IF(OR($A2928="",$H2928&lt;&gt;"Ausgabe",K2928=""),0,IF(K2928="x",-$E2928/(COUNTIF($J2928:$Q2928,"x")+1),-$E2928*N(K2928)))</f>
        <v/>
      </c>
      <c r="Z2928" s="34">
        <f>IF(OR($A2928="",$H2928&lt;&gt;"Ausgabe",L2928=""),0,IF(L2928="x",-$E2928/(COUNTIF($J2928:$Q2928,"x")+1),-$E2928*N(L2928)))</f>
        <v/>
      </c>
      <c r="AA2928" s="34">
        <f>IF(OR($A2928="",$H2928&lt;&gt;"Ausgabe",M2928=""),0,IF(M2928="x",-$E2928/(COUNTIF($J2928:$Q2928,"x")+1),-$E2928*N(M2928)))</f>
        <v/>
      </c>
      <c r="AB2928" s="34">
        <f>IF(OR($A2928="",$H2928&lt;&gt;"Ausgabe",N2928=""),0,IF(N2928="x",-$E2928/(COUNTIF($J2928:$Q2928,"x")+1),-$E2928*N(N2928)))</f>
        <v/>
      </c>
      <c r="AC2928" s="34">
        <f>IF(OR($A2928="",$H2928&lt;&gt;"Ausgabe",O2928=""),0,IF(O2928="x",-$E2928/(COUNTIF($J2928:$Q2928,"x")+1),-$E2928*N(O2928)))</f>
        <v/>
      </c>
      <c r="AD2928" s="34">
        <f>IF(OR($A2928="",$H2928&lt;&gt;"Ausgabe",P2928=""),0,IF(P2928="x",-$E2928/(COUNTIF($J2928:$Q2928,"x")+1),-$E2928*N(P2928)))</f>
        <v/>
      </c>
      <c r="AE2928" s="34">
        <f>IF(OR($A2928="",$H2928&lt;&gt;"Ausgabe",Q2928=""),0,IF(Q2928="x",-$E2928/(COUNTIF($J2928:$Q2928,"x")+1),-$E2928*N(Q2928)))</f>
        <v/>
      </c>
    </row>
    <row r="2929">
      <c r="A2929" s="30" t="n"/>
      <c r="E2929" s="31" t="n"/>
      <c r="J2929" s="32" t="n"/>
      <c r="K2929" s="32" t="n"/>
      <c r="L2929" s="32" t="n"/>
      <c r="M2929" s="32" t="n"/>
      <c r="N2929" s="32" t="n"/>
      <c r="O2929" s="32" t="n"/>
      <c r="P2929" s="32" t="n"/>
      <c r="Q2929" s="32" t="n"/>
      <c r="U2929" s="31">
        <f>IF($A2929="","",SUM(X2929:AE2929))</f>
        <v/>
      </c>
      <c r="V2929" s="31">
        <f>IF($A2929="","",IF($H2929&lt;&gt;"Ausgabe",0,-$E2929-$U2929))</f>
        <v/>
      </c>
      <c r="W2929" s="33">
        <f>IF($A2929="","",DATE(YEAR($A2929),MONTH($A2929),1))</f>
        <v/>
      </c>
      <c r="X2929" s="34">
        <f>IF(OR($A2929="",$H2929&lt;&gt;"Ausgabe",J2929=""),0,IF(J2929="x",-$E2929/(COUNTIF($J2929:$Q2929,"x")+1),-$E2929*N(J2929)))</f>
        <v/>
      </c>
      <c r="Y2929" s="34">
        <f>IF(OR($A2929="",$H2929&lt;&gt;"Ausgabe",K2929=""),0,IF(K2929="x",-$E2929/(COUNTIF($J2929:$Q2929,"x")+1),-$E2929*N(K2929)))</f>
        <v/>
      </c>
      <c r="Z2929" s="34">
        <f>IF(OR($A2929="",$H2929&lt;&gt;"Ausgabe",L2929=""),0,IF(L2929="x",-$E2929/(COUNTIF($J2929:$Q2929,"x")+1),-$E2929*N(L2929)))</f>
        <v/>
      </c>
      <c r="AA2929" s="34">
        <f>IF(OR($A2929="",$H2929&lt;&gt;"Ausgabe",M2929=""),0,IF(M2929="x",-$E2929/(COUNTIF($J2929:$Q2929,"x")+1),-$E2929*N(M2929)))</f>
        <v/>
      </c>
      <c r="AB2929" s="34">
        <f>IF(OR($A2929="",$H2929&lt;&gt;"Ausgabe",N2929=""),0,IF(N2929="x",-$E2929/(COUNTIF($J2929:$Q2929,"x")+1),-$E2929*N(N2929)))</f>
        <v/>
      </c>
      <c r="AC2929" s="34">
        <f>IF(OR($A2929="",$H2929&lt;&gt;"Ausgabe",O2929=""),0,IF(O2929="x",-$E2929/(COUNTIF($J2929:$Q2929,"x")+1),-$E2929*N(O2929)))</f>
        <v/>
      </c>
      <c r="AD2929" s="34">
        <f>IF(OR($A2929="",$H2929&lt;&gt;"Ausgabe",P2929=""),0,IF(P2929="x",-$E2929/(COUNTIF($J2929:$Q2929,"x")+1),-$E2929*N(P2929)))</f>
        <v/>
      </c>
      <c r="AE2929" s="34">
        <f>IF(OR($A2929="",$H2929&lt;&gt;"Ausgabe",Q2929=""),0,IF(Q2929="x",-$E2929/(COUNTIF($J2929:$Q2929,"x")+1),-$E2929*N(Q2929)))</f>
        <v/>
      </c>
    </row>
    <row r="2930">
      <c r="A2930" s="30" t="n"/>
      <c r="E2930" s="31" t="n"/>
      <c r="J2930" s="32" t="n"/>
      <c r="K2930" s="32" t="n"/>
      <c r="L2930" s="32" t="n"/>
      <c r="M2930" s="32" t="n"/>
      <c r="N2930" s="32" t="n"/>
      <c r="O2930" s="32" t="n"/>
      <c r="P2930" s="32" t="n"/>
      <c r="Q2930" s="32" t="n"/>
      <c r="U2930" s="31">
        <f>IF($A2930="","",SUM(X2930:AE2930))</f>
        <v/>
      </c>
      <c r="V2930" s="31">
        <f>IF($A2930="","",IF($H2930&lt;&gt;"Ausgabe",0,-$E2930-$U2930))</f>
        <v/>
      </c>
      <c r="W2930" s="33">
        <f>IF($A2930="","",DATE(YEAR($A2930),MONTH($A2930),1))</f>
        <v/>
      </c>
      <c r="X2930" s="34">
        <f>IF(OR($A2930="",$H2930&lt;&gt;"Ausgabe",J2930=""),0,IF(J2930="x",-$E2930/(COUNTIF($J2930:$Q2930,"x")+1),-$E2930*N(J2930)))</f>
        <v/>
      </c>
      <c r="Y2930" s="34">
        <f>IF(OR($A2930="",$H2930&lt;&gt;"Ausgabe",K2930=""),0,IF(K2930="x",-$E2930/(COUNTIF($J2930:$Q2930,"x")+1),-$E2930*N(K2930)))</f>
        <v/>
      </c>
      <c r="Z2930" s="34">
        <f>IF(OR($A2930="",$H2930&lt;&gt;"Ausgabe",L2930=""),0,IF(L2930="x",-$E2930/(COUNTIF($J2930:$Q2930,"x")+1),-$E2930*N(L2930)))</f>
        <v/>
      </c>
      <c r="AA2930" s="34">
        <f>IF(OR($A2930="",$H2930&lt;&gt;"Ausgabe",M2930=""),0,IF(M2930="x",-$E2930/(COUNTIF($J2930:$Q2930,"x")+1),-$E2930*N(M2930)))</f>
        <v/>
      </c>
      <c r="AB2930" s="34">
        <f>IF(OR($A2930="",$H2930&lt;&gt;"Ausgabe",N2930=""),0,IF(N2930="x",-$E2930/(COUNTIF($J2930:$Q2930,"x")+1),-$E2930*N(N2930)))</f>
        <v/>
      </c>
      <c r="AC2930" s="34">
        <f>IF(OR($A2930="",$H2930&lt;&gt;"Ausgabe",O2930=""),0,IF(O2930="x",-$E2930/(COUNTIF($J2930:$Q2930,"x")+1),-$E2930*N(O2930)))</f>
        <v/>
      </c>
      <c r="AD2930" s="34">
        <f>IF(OR($A2930="",$H2930&lt;&gt;"Ausgabe",P2930=""),0,IF(P2930="x",-$E2930/(COUNTIF($J2930:$Q2930,"x")+1),-$E2930*N(P2930)))</f>
        <v/>
      </c>
      <c r="AE2930" s="34">
        <f>IF(OR($A2930="",$H2930&lt;&gt;"Ausgabe",Q2930=""),0,IF(Q2930="x",-$E2930/(COUNTIF($J2930:$Q2930,"x")+1),-$E2930*N(Q2930)))</f>
        <v/>
      </c>
    </row>
    <row r="2931">
      <c r="A2931" s="30" t="n"/>
      <c r="E2931" s="31" t="n"/>
      <c r="J2931" s="32" t="n"/>
      <c r="K2931" s="32" t="n"/>
      <c r="L2931" s="32" t="n"/>
      <c r="M2931" s="32" t="n"/>
      <c r="N2931" s="32" t="n"/>
      <c r="O2931" s="32" t="n"/>
      <c r="P2931" s="32" t="n"/>
      <c r="Q2931" s="32" t="n"/>
      <c r="U2931" s="31">
        <f>IF($A2931="","",SUM(X2931:AE2931))</f>
        <v/>
      </c>
      <c r="V2931" s="31">
        <f>IF($A2931="","",IF($H2931&lt;&gt;"Ausgabe",0,-$E2931-$U2931))</f>
        <v/>
      </c>
      <c r="W2931" s="33">
        <f>IF($A2931="","",DATE(YEAR($A2931),MONTH($A2931),1))</f>
        <v/>
      </c>
      <c r="X2931" s="34">
        <f>IF(OR($A2931="",$H2931&lt;&gt;"Ausgabe",J2931=""),0,IF(J2931="x",-$E2931/(COUNTIF($J2931:$Q2931,"x")+1),-$E2931*N(J2931)))</f>
        <v/>
      </c>
      <c r="Y2931" s="34">
        <f>IF(OR($A2931="",$H2931&lt;&gt;"Ausgabe",K2931=""),0,IF(K2931="x",-$E2931/(COUNTIF($J2931:$Q2931,"x")+1),-$E2931*N(K2931)))</f>
        <v/>
      </c>
      <c r="Z2931" s="34">
        <f>IF(OR($A2931="",$H2931&lt;&gt;"Ausgabe",L2931=""),0,IF(L2931="x",-$E2931/(COUNTIF($J2931:$Q2931,"x")+1),-$E2931*N(L2931)))</f>
        <v/>
      </c>
      <c r="AA2931" s="34">
        <f>IF(OR($A2931="",$H2931&lt;&gt;"Ausgabe",M2931=""),0,IF(M2931="x",-$E2931/(COUNTIF($J2931:$Q2931,"x")+1),-$E2931*N(M2931)))</f>
        <v/>
      </c>
      <c r="AB2931" s="34">
        <f>IF(OR($A2931="",$H2931&lt;&gt;"Ausgabe",N2931=""),0,IF(N2931="x",-$E2931/(COUNTIF($J2931:$Q2931,"x")+1),-$E2931*N(N2931)))</f>
        <v/>
      </c>
      <c r="AC2931" s="34">
        <f>IF(OR($A2931="",$H2931&lt;&gt;"Ausgabe",O2931=""),0,IF(O2931="x",-$E2931/(COUNTIF($J2931:$Q2931,"x")+1),-$E2931*N(O2931)))</f>
        <v/>
      </c>
      <c r="AD2931" s="34">
        <f>IF(OR($A2931="",$H2931&lt;&gt;"Ausgabe",P2931=""),0,IF(P2931="x",-$E2931/(COUNTIF($J2931:$Q2931,"x")+1),-$E2931*N(P2931)))</f>
        <v/>
      </c>
      <c r="AE2931" s="34">
        <f>IF(OR($A2931="",$H2931&lt;&gt;"Ausgabe",Q2931=""),0,IF(Q2931="x",-$E2931/(COUNTIF($J2931:$Q2931,"x")+1),-$E2931*N(Q2931)))</f>
        <v/>
      </c>
    </row>
    <row r="2932">
      <c r="A2932" s="30" t="n"/>
      <c r="E2932" s="31" t="n"/>
      <c r="J2932" s="32" t="n"/>
      <c r="K2932" s="32" t="n"/>
      <c r="L2932" s="32" t="n"/>
      <c r="M2932" s="32" t="n"/>
      <c r="N2932" s="32" t="n"/>
      <c r="O2932" s="32" t="n"/>
      <c r="P2932" s="32" t="n"/>
      <c r="Q2932" s="32" t="n"/>
      <c r="U2932" s="31">
        <f>IF($A2932="","",SUM(X2932:AE2932))</f>
        <v/>
      </c>
      <c r="V2932" s="31">
        <f>IF($A2932="","",IF($H2932&lt;&gt;"Ausgabe",0,-$E2932-$U2932))</f>
        <v/>
      </c>
      <c r="W2932" s="33">
        <f>IF($A2932="","",DATE(YEAR($A2932),MONTH($A2932),1))</f>
        <v/>
      </c>
      <c r="X2932" s="34">
        <f>IF(OR($A2932="",$H2932&lt;&gt;"Ausgabe",J2932=""),0,IF(J2932="x",-$E2932/(COUNTIF($J2932:$Q2932,"x")+1),-$E2932*N(J2932)))</f>
        <v/>
      </c>
      <c r="Y2932" s="34">
        <f>IF(OR($A2932="",$H2932&lt;&gt;"Ausgabe",K2932=""),0,IF(K2932="x",-$E2932/(COUNTIF($J2932:$Q2932,"x")+1),-$E2932*N(K2932)))</f>
        <v/>
      </c>
      <c r="Z2932" s="34">
        <f>IF(OR($A2932="",$H2932&lt;&gt;"Ausgabe",L2932=""),0,IF(L2932="x",-$E2932/(COUNTIF($J2932:$Q2932,"x")+1),-$E2932*N(L2932)))</f>
        <v/>
      </c>
      <c r="AA2932" s="34">
        <f>IF(OR($A2932="",$H2932&lt;&gt;"Ausgabe",M2932=""),0,IF(M2932="x",-$E2932/(COUNTIF($J2932:$Q2932,"x")+1),-$E2932*N(M2932)))</f>
        <v/>
      </c>
      <c r="AB2932" s="34">
        <f>IF(OR($A2932="",$H2932&lt;&gt;"Ausgabe",N2932=""),0,IF(N2932="x",-$E2932/(COUNTIF($J2932:$Q2932,"x")+1),-$E2932*N(N2932)))</f>
        <v/>
      </c>
      <c r="AC2932" s="34">
        <f>IF(OR($A2932="",$H2932&lt;&gt;"Ausgabe",O2932=""),0,IF(O2932="x",-$E2932/(COUNTIF($J2932:$Q2932,"x")+1),-$E2932*N(O2932)))</f>
        <v/>
      </c>
      <c r="AD2932" s="34">
        <f>IF(OR($A2932="",$H2932&lt;&gt;"Ausgabe",P2932=""),0,IF(P2932="x",-$E2932/(COUNTIF($J2932:$Q2932,"x")+1),-$E2932*N(P2932)))</f>
        <v/>
      </c>
      <c r="AE2932" s="34">
        <f>IF(OR($A2932="",$H2932&lt;&gt;"Ausgabe",Q2932=""),0,IF(Q2932="x",-$E2932/(COUNTIF($J2932:$Q2932,"x")+1),-$E2932*N(Q2932)))</f>
        <v/>
      </c>
    </row>
    <row r="2933">
      <c r="A2933" s="30" t="n"/>
      <c r="E2933" s="31" t="n"/>
      <c r="J2933" s="32" t="n"/>
      <c r="K2933" s="32" t="n"/>
      <c r="L2933" s="32" t="n"/>
      <c r="M2933" s="32" t="n"/>
      <c r="N2933" s="32" t="n"/>
      <c r="O2933" s="32" t="n"/>
      <c r="P2933" s="32" t="n"/>
      <c r="Q2933" s="32" t="n"/>
      <c r="U2933" s="31">
        <f>IF($A2933="","",SUM(X2933:AE2933))</f>
        <v/>
      </c>
      <c r="V2933" s="31">
        <f>IF($A2933="","",IF($H2933&lt;&gt;"Ausgabe",0,-$E2933-$U2933))</f>
        <v/>
      </c>
      <c r="W2933" s="33">
        <f>IF($A2933="","",DATE(YEAR($A2933),MONTH($A2933),1))</f>
        <v/>
      </c>
      <c r="X2933" s="34">
        <f>IF(OR($A2933="",$H2933&lt;&gt;"Ausgabe",J2933=""),0,IF(J2933="x",-$E2933/(COUNTIF($J2933:$Q2933,"x")+1),-$E2933*N(J2933)))</f>
        <v/>
      </c>
      <c r="Y2933" s="34">
        <f>IF(OR($A2933="",$H2933&lt;&gt;"Ausgabe",K2933=""),0,IF(K2933="x",-$E2933/(COUNTIF($J2933:$Q2933,"x")+1),-$E2933*N(K2933)))</f>
        <v/>
      </c>
      <c r="Z2933" s="34">
        <f>IF(OR($A2933="",$H2933&lt;&gt;"Ausgabe",L2933=""),0,IF(L2933="x",-$E2933/(COUNTIF($J2933:$Q2933,"x")+1),-$E2933*N(L2933)))</f>
        <v/>
      </c>
      <c r="AA2933" s="34">
        <f>IF(OR($A2933="",$H2933&lt;&gt;"Ausgabe",M2933=""),0,IF(M2933="x",-$E2933/(COUNTIF($J2933:$Q2933,"x")+1),-$E2933*N(M2933)))</f>
        <v/>
      </c>
      <c r="AB2933" s="34">
        <f>IF(OR($A2933="",$H2933&lt;&gt;"Ausgabe",N2933=""),0,IF(N2933="x",-$E2933/(COUNTIF($J2933:$Q2933,"x")+1),-$E2933*N(N2933)))</f>
        <v/>
      </c>
      <c r="AC2933" s="34">
        <f>IF(OR($A2933="",$H2933&lt;&gt;"Ausgabe",O2933=""),0,IF(O2933="x",-$E2933/(COUNTIF($J2933:$Q2933,"x")+1),-$E2933*N(O2933)))</f>
        <v/>
      </c>
      <c r="AD2933" s="34">
        <f>IF(OR($A2933="",$H2933&lt;&gt;"Ausgabe",P2933=""),0,IF(P2933="x",-$E2933/(COUNTIF($J2933:$Q2933,"x")+1),-$E2933*N(P2933)))</f>
        <v/>
      </c>
      <c r="AE2933" s="34">
        <f>IF(OR($A2933="",$H2933&lt;&gt;"Ausgabe",Q2933=""),0,IF(Q2933="x",-$E2933/(COUNTIF($J2933:$Q2933,"x")+1),-$E2933*N(Q2933)))</f>
        <v/>
      </c>
    </row>
    <row r="2934">
      <c r="A2934" s="30" t="n"/>
      <c r="E2934" s="31" t="n"/>
      <c r="J2934" s="32" t="n"/>
      <c r="K2934" s="32" t="n"/>
      <c r="L2934" s="32" t="n"/>
      <c r="M2934" s="32" t="n"/>
      <c r="N2934" s="32" t="n"/>
      <c r="O2934" s="32" t="n"/>
      <c r="P2934" s="32" t="n"/>
      <c r="Q2934" s="32" t="n"/>
      <c r="U2934" s="31">
        <f>IF($A2934="","",SUM(X2934:AE2934))</f>
        <v/>
      </c>
      <c r="V2934" s="31">
        <f>IF($A2934="","",IF($H2934&lt;&gt;"Ausgabe",0,-$E2934-$U2934))</f>
        <v/>
      </c>
      <c r="W2934" s="33">
        <f>IF($A2934="","",DATE(YEAR($A2934),MONTH($A2934),1))</f>
        <v/>
      </c>
      <c r="X2934" s="34">
        <f>IF(OR($A2934="",$H2934&lt;&gt;"Ausgabe",J2934=""),0,IF(J2934="x",-$E2934/(COUNTIF($J2934:$Q2934,"x")+1),-$E2934*N(J2934)))</f>
        <v/>
      </c>
      <c r="Y2934" s="34">
        <f>IF(OR($A2934="",$H2934&lt;&gt;"Ausgabe",K2934=""),0,IF(K2934="x",-$E2934/(COUNTIF($J2934:$Q2934,"x")+1),-$E2934*N(K2934)))</f>
        <v/>
      </c>
      <c r="Z2934" s="34">
        <f>IF(OR($A2934="",$H2934&lt;&gt;"Ausgabe",L2934=""),0,IF(L2934="x",-$E2934/(COUNTIF($J2934:$Q2934,"x")+1),-$E2934*N(L2934)))</f>
        <v/>
      </c>
      <c r="AA2934" s="34">
        <f>IF(OR($A2934="",$H2934&lt;&gt;"Ausgabe",M2934=""),0,IF(M2934="x",-$E2934/(COUNTIF($J2934:$Q2934,"x")+1),-$E2934*N(M2934)))</f>
        <v/>
      </c>
      <c r="AB2934" s="34">
        <f>IF(OR($A2934="",$H2934&lt;&gt;"Ausgabe",N2934=""),0,IF(N2934="x",-$E2934/(COUNTIF($J2934:$Q2934,"x")+1),-$E2934*N(N2934)))</f>
        <v/>
      </c>
      <c r="AC2934" s="34">
        <f>IF(OR($A2934="",$H2934&lt;&gt;"Ausgabe",O2934=""),0,IF(O2934="x",-$E2934/(COUNTIF($J2934:$Q2934,"x")+1),-$E2934*N(O2934)))</f>
        <v/>
      </c>
      <c r="AD2934" s="34">
        <f>IF(OR($A2934="",$H2934&lt;&gt;"Ausgabe",P2934=""),0,IF(P2934="x",-$E2934/(COUNTIF($J2934:$Q2934,"x")+1),-$E2934*N(P2934)))</f>
        <v/>
      </c>
      <c r="AE2934" s="34">
        <f>IF(OR($A2934="",$H2934&lt;&gt;"Ausgabe",Q2934=""),0,IF(Q2934="x",-$E2934/(COUNTIF($J2934:$Q2934,"x")+1),-$E2934*N(Q2934)))</f>
        <v/>
      </c>
    </row>
    <row r="2935">
      <c r="A2935" s="30" t="n"/>
      <c r="E2935" s="31" t="n"/>
      <c r="J2935" s="32" t="n"/>
      <c r="K2935" s="32" t="n"/>
      <c r="L2935" s="32" t="n"/>
      <c r="M2935" s="32" t="n"/>
      <c r="N2935" s="32" t="n"/>
      <c r="O2935" s="32" t="n"/>
      <c r="P2935" s="32" t="n"/>
      <c r="Q2935" s="32" t="n"/>
      <c r="U2935" s="31">
        <f>IF($A2935="","",SUM(X2935:AE2935))</f>
        <v/>
      </c>
      <c r="V2935" s="31">
        <f>IF($A2935="","",IF($H2935&lt;&gt;"Ausgabe",0,-$E2935-$U2935))</f>
        <v/>
      </c>
      <c r="W2935" s="33">
        <f>IF($A2935="","",DATE(YEAR($A2935),MONTH($A2935),1))</f>
        <v/>
      </c>
      <c r="X2935" s="34">
        <f>IF(OR($A2935="",$H2935&lt;&gt;"Ausgabe",J2935=""),0,IF(J2935="x",-$E2935/(COUNTIF($J2935:$Q2935,"x")+1),-$E2935*N(J2935)))</f>
        <v/>
      </c>
      <c r="Y2935" s="34">
        <f>IF(OR($A2935="",$H2935&lt;&gt;"Ausgabe",K2935=""),0,IF(K2935="x",-$E2935/(COUNTIF($J2935:$Q2935,"x")+1),-$E2935*N(K2935)))</f>
        <v/>
      </c>
      <c r="Z2935" s="34">
        <f>IF(OR($A2935="",$H2935&lt;&gt;"Ausgabe",L2935=""),0,IF(L2935="x",-$E2935/(COUNTIF($J2935:$Q2935,"x")+1),-$E2935*N(L2935)))</f>
        <v/>
      </c>
      <c r="AA2935" s="34">
        <f>IF(OR($A2935="",$H2935&lt;&gt;"Ausgabe",M2935=""),0,IF(M2935="x",-$E2935/(COUNTIF($J2935:$Q2935,"x")+1),-$E2935*N(M2935)))</f>
        <v/>
      </c>
      <c r="AB2935" s="34">
        <f>IF(OR($A2935="",$H2935&lt;&gt;"Ausgabe",N2935=""),0,IF(N2935="x",-$E2935/(COUNTIF($J2935:$Q2935,"x")+1),-$E2935*N(N2935)))</f>
        <v/>
      </c>
      <c r="AC2935" s="34">
        <f>IF(OR($A2935="",$H2935&lt;&gt;"Ausgabe",O2935=""),0,IF(O2935="x",-$E2935/(COUNTIF($J2935:$Q2935,"x")+1),-$E2935*N(O2935)))</f>
        <v/>
      </c>
      <c r="AD2935" s="34">
        <f>IF(OR($A2935="",$H2935&lt;&gt;"Ausgabe",P2935=""),0,IF(P2935="x",-$E2935/(COUNTIF($J2935:$Q2935,"x")+1),-$E2935*N(P2935)))</f>
        <v/>
      </c>
      <c r="AE2935" s="34">
        <f>IF(OR($A2935="",$H2935&lt;&gt;"Ausgabe",Q2935=""),0,IF(Q2935="x",-$E2935/(COUNTIF($J2935:$Q2935,"x")+1),-$E2935*N(Q2935)))</f>
        <v/>
      </c>
    </row>
    <row r="2936">
      <c r="A2936" s="30" t="n"/>
      <c r="E2936" s="31" t="n"/>
      <c r="J2936" s="32" t="n"/>
      <c r="K2936" s="32" t="n"/>
      <c r="L2936" s="32" t="n"/>
      <c r="M2936" s="32" t="n"/>
      <c r="N2936" s="32" t="n"/>
      <c r="O2936" s="32" t="n"/>
      <c r="P2936" s="32" t="n"/>
      <c r="Q2936" s="32" t="n"/>
      <c r="U2936" s="31">
        <f>IF($A2936="","",SUM(X2936:AE2936))</f>
        <v/>
      </c>
      <c r="V2936" s="31">
        <f>IF($A2936="","",IF($H2936&lt;&gt;"Ausgabe",0,-$E2936-$U2936))</f>
        <v/>
      </c>
      <c r="W2936" s="33">
        <f>IF($A2936="","",DATE(YEAR($A2936),MONTH($A2936),1))</f>
        <v/>
      </c>
      <c r="X2936" s="34">
        <f>IF(OR($A2936="",$H2936&lt;&gt;"Ausgabe",J2936=""),0,IF(J2936="x",-$E2936/(COUNTIF($J2936:$Q2936,"x")+1),-$E2936*N(J2936)))</f>
        <v/>
      </c>
      <c r="Y2936" s="34">
        <f>IF(OR($A2936="",$H2936&lt;&gt;"Ausgabe",K2936=""),0,IF(K2936="x",-$E2936/(COUNTIF($J2936:$Q2936,"x")+1),-$E2936*N(K2936)))</f>
        <v/>
      </c>
      <c r="Z2936" s="34">
        <f>IF(OR($A2936="",$H2936&lt;&gt;"Ausgabe",L2936=""),0,IF(L2936="x",-$E2936/(COUNTIF($J2936:$Q2936,"x")+1),-$E2936*N(L2936)))</f>
        <v/>
      </c>
      <c r="AA2936" s="34">
        <f>IF(OR($A2936="",$H2936&lt;&gt;"Ausgabe",M2936=""),0,IF(M2936="x",-$E2936/(COUNTIF($J2936:$Q2936,"x")+1),-$E2936*N(M2936)))</f>
        <v/>
      </c>
      <c r="AB2936" s="34">
        <f>IF(OR($A2936="",$H2936&lt;&gt;"Ausgabe",N2936=""),0,IF(N2936="x",-$E2936/(COUNTIF($J2936:$Q2936,"x")+1),-$E2936*N(N2936)))</f>
        <v/>
      </c>
      <c r="AC2936" s="34">
        <f>IF(OR($A2936="",$H2936&lt;&gt;"Ausgabe",O2936=""),0,IF(O2936="x",-$E2936/(COUNTIF($J2936:$Q2936,"x")+1),-$E2936*N(O2936)))</f>
        <v/>
      </c>
      <c r="AD2936" s="34">
        <f>IF(OR($A2936="",$H2936&lt;&gt;"Ausgabe",P2936=""),0,IF(P2936="x",-$E2936/(COUNTIF($J2936:$Q2936,"x")+1),-$E2936*N(P2936)))</f>
        <v/>
      </c>
      <c r="AE2936" s="34">
        <f>IF(OR($A2936="",$H2936&lt;&gt;"Ausgabe",Q2936=""),0,IF(Q2936="x",-$E2936/(COUNTIF($J2936:$Q2936,"x")+1),-$E2936*N(Q2936)))</f>
        <v/>
      </c>
    </row>
    <row r="2937">
      <c r="A2937" s="30" t="n"/>
      <c r="E2937" s="31" t="n"/>
      <c r="J2937" s="32" t="n"/>
      <c r="K2937" s="32" t="n"/>
      <c r="L2937" s="32" t="n"/>
      <c r="M2937" s="32" t="n"/>
      <c r="N2937" s="32" t="n"/>
      <c r="O2937" s="32" t="n"/>
      <c r="P2937" s="32" t="n"/>
      <c r="Q2937" s="32" t="n"/>
      <c r="U2937" s="31">
        <f>IF($A2937="","",SUM(X2937:AE2937))</f>
        <v/>
      </c>
      <c r="V2937" s="31">
        <f>IF($A2937="","",IF($H2937&lt;&gt;"Ausgabe",0,-$E2937-$U2937))</f>
        <v/>
      </c>
      <c r="W2937" s="33">
        <f>IF($A2937="","",DATE(YEAR($A2937),MONTH($A2937),1))</f>
        <v/>
      </c>
      <c r="X2937" s="34">
        <f>IF(OR($A2937="",$H2937&lt;&gt;"Ausgabe",J2937=""),0,IF(J2937="x",-$E2937/(COUNTIF($J2937:$Q2937,"x")+1),-$E2937*N(J2937)))</f>
        <v/>
      </c>
      <c r="Y2937" s="34">
        <f>IF(OR($A2937="",$H2937&lt;&gt;"Ausgabe",K2937=""),0,IF(K2937="x",-$E2937/(COUNTIF($J2937:$Q2937,"x")+1),-$E2937*N(K2937)))</f>
        <v/>
      </c>
      <c r="Z2937" s="34">
        <f>IF(OR($A2937="",$H2937&lt;&gt;"Ausgabe",L2937=""),0,IF(L2937="x",-$E2937/(COUNTIF($J2937:$Q2937,"x")+1),-$E2937*N(L2937)))</f>
        <v/>
      </c>
      <c r="AA2937" s="34">
        <f>IF(OR($A2937="",$H2937&lt;&gt;"Ausgabe",M2937=""),0,IF(M2937="x",-$E2937/(COUNTIF($J2937:$Q2937,"x")+1),-$E2937*N(M2937)))</f>
        <v/>
      </c>
      <c r="AB2937" s="34">
        <f>IF(OR($A2937="",$H2937&lt;&gt;"Ausgabe",N2937=""),0,IF(N2937="x",-$E2937/(COUNTIF($J2937:$Q2937,"x")+1),-$E2937*N(N2937)))</f>
        <v/>
      </c>
      <c r="AC2937" s="34">
        <f>IF(OR($A2937="",$H2937&lt;&gt;"Ausgabe",O2937=""),0,IF(O2937="x",-$E2937/(COUNTIF($J2937:$Q2937,"x")+1),-$E2937*N(O2937)))</f>
        <v/>
      </c>
      <c r="AD2937" s="34">
        <f>IF(OR($A2937="",$H2937&lt;&gt;"Ausgabe",P2937=""),0,IF(P2937="x",-$E2937/(COUNTIF($J2937:$Q2937,"x")+1),-$E2937*N(P2937)))</f>
        <v/>
      </c>
      <c r="AE2937" s="34">
        <f>IF(OR($A2937="",$H2937&lt;&gt;"Ausgabe",Q2937=""),0,IF(Q2937="x",-$E2937/(COUNTIF($J2937:$Q2937,"x")+1),-$E2937*N(Q2937)))</f>
        <v/>
      </c>
    </row>
    <row r="2938">
      <c r="A2938" s="30" t="n"/>
      <c r="E2938" s="31" t="n"/>
      <c r="J2938" s="32" t="n"/>
      <c r="K2938" s="32" t="n"/>
      <c r="L2938" s="32" t="n"/>
      <c r="M2938" s="32" t="n"/>
      <c r="N2938" s="32" t="n"/>
      <c r="O2938" s="32" t="n"/>
      <c r="P2938" s="32" t="n"/>
      <c r="Q2938" s="32" t="n"/>
      <c r="U2938" s="31">
        <f>IF($A2938="","",SUM(X2938:AE2938))</f>
        <v/>
      </c>
      <c r="V2938" s="31">
        <f>IF($A2938="","",IF($H2938&lt;&gt;"Ausgabe",0,-$E2938-$U2938))</f>
        <v/>
      </c>
      <c r="W2938" s="33">
        <f>IF($A2938="","",DATE(YEAR($A2938),MONTH($A2938),1))</f>
        <v/>
      </c>
      <c r="X2938" s="34">
        <f>IF(OR($A2938="",$H2938&lt;&gt;"Ausgabe",J2938=""),0,IF(J2938="x",-$E2938/(COUNTIF($J2938:$Q2938,"x")+1),-$E2938*N(J2938)))</f>
        <v/>
      </c>
      <c r="Y2938" s="34">
        <f>IF(OR($A2938="",$H2938&lt;&gt;"Ausgabe",K2938=""),0,IF(K2938="x",-$E2938/(COUNTIF($J2938:$Q2938,"x")+1),-$E2938*N(K2938)))</f>
        <v/>
      </c>
      <c r="Z2938" s="34">
        <f>IF(OR($A2938="",$H2938&lt;&gt;"Ausgabe",L2938=""),0,IF(L2938="x",-$E2938/(COUNTIF($J2938:$Q2938,"x")+1),-$E2938*N(L2938)))</f>
        <v/>
      </c>
      <c r="AA2938" s="34">
        <f>IF(OR($A2938="",$H2938&lt;&gt;"Ausgabe",M2938=""),0,IF(M2938="x",-$E2938/(COUNTIF($J2938:$Q2938,"x")+1),-$E2938*N(M2938)))</f>
        <v/>
      </c>
      <c r="AB2938" s="34">
        <f>IF(OR($A2938="",$H2938&lt;&gt;"Ausgabe",N2938=""),0,IF(N2938="x",-$E2938/(COUNTIF($J2938:$Q2938,"x")+1),-$E2938*N(N2938)))</f>
        <v/>
      </c>
      <c r="AC2938" s="34">
        <f>IF(OR($A2938="",$H2938&lt;&gt;"Ausgabe",O2938=""),0,IF(O2938="x",-$E2938/(COUNTIF($J2938:$Q2938,"x")+1),-$E2938*N(O2938)))</f>
        <v/>
      </c>
      <c r="AD2938" s="34">
        <f>IF(OR($A2938="",$H2938&lt;&gt;"Ausgabe",P2938=""),0,IF(P2938="x",-$E2938/(COUNTIF($J2938:$Q2938,"x")+1),-$E2938*N(P2938)))</f>
        <v/>
      </c>
      <c r="AE2938" s="34">
        <f>IF(OR($A2938="",$H2938&lt;&gt;"Ausgabe",Q2938=""),0,IF(Q2938="x",-$E2938/(COUNTIF($J2938:$Q2938,"x")+1),-$E2938*N(Q2938)))</f>
        <v/>
      </c>
    </row>
    <row r="2939">
      <c r="A2939" s="30" t="n"/>
      <c r="E2939" s="31" t="n"/>
      <c r="J2939" s="32" t="n"/>
      <c r="K2939" s="32" t="n"/>
      <c r="L2939" s="32" t="n"/>
      <c r="M2939" s="32" t="n"/>
      <c r="N2939" s="32" t="n"/>
      <c r="O2939" s="32" t="n"/>
      <c r="P2939" s="32" t="n"/>
      <c r="Q2939" s="32" t="n"/>
      <c r="U2939" s="31">
        <f>IF($A2939="","",SUM(X2939:AE2939))</f>
        <v/>
      </c>
      <c r="V2939" s="31">
        <f>IF($A2939="","",IF($H2939&lt;&gt;"Ausgabe",0,-$E2939-$U2939))</f>
        <v/>
      </c>
      <c r="W2939" s="33">
        <f>IF($A2939="","",DATE(YEAR($A2939),MONTH($A2939),1))</f>
        <v/>
      </c>
      <c r="X2939" s="34">
        <f>IF(OR($A2939="",$H2939&lt;&gt;"Ausgabe",J2939=""),0,IF(J2939="x",-$E2939/(COUNTIF($J2939:$Q2939,"x")+1),-$E2939*N(J2939)))</f>
        <v/>
      </c>
      <c r="Y2939" s="34">
        <f>IF(OR($A2939="",$H2939&lt;&gt;"Ausgabe",K2939=""),0,IF(K2939="x",-$E2939/(COUNTIF($J2939:$Q2939,"x")+1),-$E2939*N(K2939)))</f>
        <v/>
      </c>
      <c r="Z2939" s="34">
        <f>IF(OR($A2939="",$H2939&lt;&gt;"Ausgabe",L2939=""),0,IF(L2939="x",-$E2939/(COUNTIF($J2939:$Q2939,"x")+1),-$E2939*N(L2939)))</f>
        <v/>
      </c>
      <c r="AA2939" s="34">
        <f>IF(OR($A2939="",$H2939&lt;&gt;"Ausgabe",M2939=""),0,IF(M2939="x",-$E2939/(COUNTIF($J2939:$Q2939,"x")+1),-$E2939*N(M2939)))</f>
        <v/>
      </c>
      <c r="AB2939" s="34">
        <f>IF(OR($A2939="",$H2939&lt;&gt;"Ausgabe",N2939=""),0,IF(N2939="x",-$E2939/(COUNTIF($J2939:$Q2939,"x")+1),-$E2939*N(N2939)))</f>
        <v/>
      </c>
      <c r="AC2939" s="34">
        <f>IF(OR($A2939="",$H2939&lt;&gt;"Ausgabe",O2939=""),0,IF(O2939="x",-$E2939/(COUNTIF($J2939:$Q2939,"x")+1),-$E2939*N(O2939)))</f>
        <v/>
      </c>
      <c r="AD2939" s="34">
        <f>IF(OR($A2939="",$H2939&lt;&gt;"Ausgabe",P2939=""),0,IF(P2939="x",-$E2939/(COUNTIF($J2939:$Q2939,"x")+1),-$E2939*N(P2939)))</f>
        <v/>
      </c>
      <c r="AE2939" s="34">
        <f>IF(OR($A2939="",$H2939&lt;&gt;"Ausgabe",Q2939=""),0,IF(Q2939="x",-$E2939/(COUNTIF($J2939:$Q2939,"x")+1),-$E2939*N(Q2939)))</f>
        <v/>
      </c>
    </row>
    <row r="2940">
      <c r="A2940" s="30" t="n"/>
      <c r="E2940" s="31" t="n"/>
      <c r="J2940" s="32" t="n"/>
      <c r="K2940" s="32" t="n"/>
      <c r="L2940" s="32" t="n"/>
      <c r="M2940" s="32" t="n"/>
      <c r="N2940" s="32" t="n"/>
      <c r="O2940" s="32" t="n"/>
      <c r="P2940" s="32" t="n"/>
      <c r="Q2940" s="32" t="n"/>
      <c r="U2940" s="31">
        <f>IF($A2940="","",SUM(X2940:AE2940))</f>
        <v/>
      </c>
      <c r="V2940" s="31">
        <f>IF($A2940="","",IF($H2940&lt;&gt;"Ausgabe",0,-$E2940-$U2940))</f>
        <v/>
      </c>
      <c r="W2940" s="33">
        <f>IF($A2940="","",DATE(YEAR($A2940),MONTH($A2940),1))</f>
        <v/>
      </c>
      <c r="X2940" s="34">
        <f>IF(OR($A2940="",$H2940&lt;&gt;"Ausgabe",J2940=""),0,IF(J2940="x",-$E2940/(COUNTIF($J2940:$Q2940,"x")+1),-$E2940*N(J2940)))</f>
        <v/>
      </c>
      <c r="Y2940" s="34">
        <f>IF(OR($A2940="",$H2940&lt;&gt;"Ausgabe",K2940=""),0,IF(K2940="x",-$E2940/(COUNTIF($J2940:$Q2940,"x")+1),-$E2940*N(K2940)))</f>
        <v/>
      </c>
      <c r="Z2940" s="34">
        <f>IF(OR($A2940="",$H2940&lt;&gt;"Ausgabe",L2940=""),0,IF(L2940="x",-$E2940/(COUNTIF($J2940:$Q2940,"x")+1),-$E2940*N(L2940)))</f>
        <v/>
      </c>
      <c r="AA2940" s="34">
        <f>IF(OR($A2940="",$H2940&lt;&gt;"Ausgabe",M2940=""),0,IF(M2940="x",-$E2940/(COUNTIF($J2940:$Q2940,"x")+1),-$E2940*N(M2940)))</f>
        <v/>
      </c>
      <c r="AB2940" s="34">
        <f>IF(OR($A2940="",$H2940&lt;&gt;"Ausgabe",N2940=""),0,IF(N2940="x",-$E2940/(COUNTIF($J2940:$Q2940,"x")+1),-$E2940*N(N2940)))</f>
        <v/>
      </c>
      <c r="AC2940" s="34">
        <f>IF(OR($A2940="",$H2940&lt;&gt;"Ausgabe",O2940=""),0,IF(O2940="x",-$E2940/(COUNTIF($J2940:$Q2940,"x")+1),-$E2940*N(O2940)))</f>
        <v/>
      </c>
      <c r="AD2940" s="34">
        <f>IF(OR($A2940="",$H2940&lt;&gt;"Ausgabe",P2940=""),0,IF(P2940="x",-$E2940/(COUNTIF($J2940:$Q2940,"x")+1),-$E2940*N(P2940)))</f>
        <v/>
      </c>
      <c r="AE2940" s="34">
        <f>IF(OR($A2940="",$H2940&lt;&gt;"Ausgabe",Q2940=""),0,IF(Q2940="x",-$E2940/(COUNTIF($J2940:$Q2940,"x")+1),-$E2940*N(Q2940)))</f>
        <v/>
      </c>
    </row>
    <row r="2941">
      <c r="A2941" s="30" t="n"/>
      <c r="E2941" s="31" t="n"/>
      <c r="J2941" s="32" t="n"/>
      <c r="K2941" s="32" t="n"/>
      <c r="L2941" s="32" t="n"/>
      <c r="M2941" s="32" t="n"/>
      <c r="N2941" s="32" t="n"/>
      <c r="O2941" s="32" t="n"/>
      <c r="P2941" s="32" t="n"/>
      <c r="Q2941" s="32" t="n"/>
      <c r="U2941" s="31">
        <f>IF($A2941="","",SUM(X2941:AE2941))</f>
        <v/>
      </c>
      <c r="V2941" s="31">
        <f>IF($A2941="","",IF($H2941&lt;&gt;"Ausgabe",0,-$E2941-$U2941))</f>
        <v/>
      </c>
      <c r="W2941" s="33">
        <f>IF($A2941="","",DATE(YEAR($A2941),MONTH($A2941),1))</f>
        <v/>
      </c>
      <c r="X2941" s="34">
        <f>IF(OR($A2941="",$H2941&lt;&gt;"Ausgabe",J2941=""),0,IF(J2941="x",-$E2941/(COUNTIF($J2941:$Q2941,"x")+1),-$E2941*N(J2941)))</f>
        <v/>
      </c>
      <c r="Y2941" s="34">
        <f>IF(OR($A2941="",$H2941&lt;&gt;"Ausgabe",K2941=""),0,IF(K2941="x",-$E2941/(COUNTIF($J2941:$Q2941,"x")+1),-$E2941*N(K2941)))</f>
        <v/>
      </c>
      <c r="Z2941" s="34">
        <f>IF(OR($A2941="",$H2941&lt;&gt;"Ausgabe",L2941=""),0,IF(L2941="x",-$E2941/(COUNTIF($J2941:$Q2941,"x")+1),-$E2941*N(L2941)))</f>
        <v/>
      </c>
      <c r="AA2941" s="34">
        <f>IF(OR($A2941="",$H2941&lt;&gt;"Ausgabe",M2941=""),0,IF(M2941="x",-$E2941/(COUNTIF($J2941:$Q2941,"x")+1),-$E2941*N(M2941)))</f>
        <v/>
      </c>
      <c r="AB2941" s="34">
        <f>IF(OR($A2941="",$H2941&lt;&gt;"Ausgabe",N2941=""),0,IF(N2941="x",-$E2941/(COUNTIF($J2941:$Q2941,"x")+1),-$E2941*N(N2941)))</f>
        <v/>
      </c>
      <c r="AC2941" s="34">
        <f>IF(OR($A2941="",$H2941&lt;&gt;"Ausgabe",O2941=""),0,IF(O2941="x",-$E2941/(COUNTIF($J2941:$Q2941,"x")+1),-$E2941*N(O2941)))</f>
        <v/>
      </c>
      <c r="AD2941" s="34">
        <f>IF(OR($A2941="",$H2941&lt;&gt;"Ausgabe",P2941=""),0,IF(P2941="x",-$E2941/(COUNTIF($J2941:$Q2941,"x")+1),-$E2941*N(P2941)))</f>
        <v/>
      </c>
      <c r="AE2941" s="34">
        <f>IF(OR($A2941="",$H2941&lt;&gt;"Ausgabe",Q2941=""),0,IF(Q2941="x",-$E2941/(COUNTIF($J2941:$Q2941,"x")+1),-$E2941*N(Q2941)))</f>
        <v/>
      </c>
    </row>
    <row r="2942">
      <c r="A2942" s="30" t="n"/>
      <c r="E2942" s="31" t="n"/>
      <c r="J2942" s="32" t="n"/>
      <c r="K2942" s="32" t="n"/>
      <c r="L2942" s="32" t="n"/>
      <c r="M2942" s="32" t="n"/>
      <c r="N2942" s="32" t="n"/>
      <c r="O2942" s="32" t="n"/>
      <c r="P2942" s="32" t="n"/>
      <c r="Q2942" s="32" t="n"/>
      <c r="U2942" s="31">
        <f>IF($A2942="","",SUM(X2942:AE2942))</f>
        <v/>
      </c>
      <c r="V2942" s="31">
        <f>IF($A2942="","",IF($H2942&lt;&gt;"Ausgabe",0,-$E2942-$U2942))</f>
        <v/>
      </c>
      <c r="W2942" s="33">
        <f>IF($A2942="","",DATE(YEAR($A2942),MONTH($A2942),1))</f>
        <v/>
      </c>
      <c r="X2942" s="34">
        <f>IF(OR($A2942="",$H2942&lt;&gt;"Ausgabe",J2942=""),0,IF(J2942="x",-$E2942/(COUNTIF($J2942:$Q2942,"x")+1),-$E2942*N(J2942)))</f>
        <v/>
      </c>
      <c r="Y2942" s="34">
        <f>IF(OR($A2942="",$H2942&lt;&gt;"Ausgabe",K2942=""),0,IF(K2942="x",-$E2942/(COUNTIF($J2942:$Q2942,"x")+1),-$E2942*N(K2942)))</f>
        <v/>
      </c>
      <c r="Z2942" s="34">
        <f>IF(OR($A2942="",$H2942&lt;&gt;"Ausgabe",L2942=""),0,IF(L2942="x",-$E2942/(COUNTIF($J2942:$Q2942,"x")+1),-$E2942*N(L2942)))</f>
        <v/>
      </c>
      <c r="AA2942" s="34">
        <f>IF(OR($A2942="",$H2942&lt;&gt;"Ausgabe",M2942=""),0,IF(M2942="x",-$E2942/(COUNTIF($J2942:$Q2942,"x")+1),-$E2942*N(M2942)))</f>
        <v/>
      </c>
      <c r="AB2942" s="34">
        <f>IF(OR($A2942="",$H2942&lt;&gt;"Ausgabe",N2942=""),0,IF(N2942="x",-$E2942/(COUNTIF($J2942:$Q2942,"x")+1),-$E2942*N(N2942)))</f>
        <v/>
      </c>
      <c r="AC2942" s="34">
        <f>IF(OR($A2942="",$H2942&lt;&gt;"Ausgabe",O2942=""),0,IF(O2942="x",-$E2942/(COUNTIF($J2942:$Q2942,"x")+1),-$E2942*N(O2942)))</f>
        <v/>
      </c>
      <c r="AD2942" s="34">
        <f>IF(OR($A2942="",$H2942&lt;&gt;"Ausgabe",P2942=""),0,IF(P2942="x",-$E2942/(COUNTIF($J2942:$Q2942,"x")+1),-$E2942*N(P2942)))</f>
        <v/>
      </c>
      <c r="AE2942" s="34">
        <f>IF(OR($A2942="",$H2942&lt;&gt;"Ausgabe",Q2942=""),0,IF(Q2942="x",-$E2942/(COUNTIF($J2942:$Q2942,"x")+1),-$E2942*N(Q2942)))</f>
        <v/>
      </c>
    </row>
    <row r="2943">
      <c r="A2943" s="30" t="n"/>
      <c r="E2943" s="31" t="n"/>
      <c r="J2943" s="32" t="n"/>
      <c r="K2943" s="32" t="n"/>
      <c r="L2943" s="32" t="n"/>
      <c r="M2943" s="32" t="n"/>
      <c r="N2943" s="32" t="n"/>
      <c r="O2943" s="32" t="n"/>
      <c r="P2943" s="32" t="n"/>
      <c r="Q2943" s="32" t="n"/>
      <c r="U2943" s="31">
        <f>IF($A2943="","",SUM(X2943:AE2943))</f>
        <v/>
      </c>
      <c r="V2943" s="31">
        <f>IF($A2943="","",IF($H2943&lt;&gt;"Ausgabe",0,-$E2943-$U2943))</f>
        <v/>
      </c>
      <c r="W2943" s="33">
        <f>IF($A2943="","",DATE(YEAR($A2943),MONTH($A2943),1))</f>
        <v/>
      </c>
      <c r="X2943" s="34">
        <f>IF(OR($A2943="",$H2943&lt;&gt;"Ausgabe",J2943=""),0,IF(J2943="x",-$E2943/(COUNTIF($J2943:$Q2943,"x")+1),-$E2943*N(J2943)))</f>
        <v/>
      </c>
      <c r="Y2943" s="34">
        <f>IF(OR($A2943="",$H2943&lt;&gt;"Ausgabe",K2943=""),0,IF(K2943="x",-$E2943/(COUNTIF($J2943:$Q2943,"x")+1),-$E2943*N(K2943)))</f>
        <v/>
      </c>
      <c r="Z2943" s="34">
        <f>IF(OR($A2943="",$H2943&lt;&gt;"Ausgabe",L2943=""),0,IF(L2943="x",-$E2943/(COUNTIF($J2943:$Q2943,"x")+1),-$E2943*N(L2943)))</f>
        <v/>
      </c>
      <c r="AA2943" s="34">
        <f>IF(OR($A2943="",$H2943&lt;&gt;"Ausgabe",M2943=""),0,IF(M2943="x",-$E2943/(COUNTIF($J2943:$Q2943,"x")+1),-$E2943*N(M2943)))</f>
        <v/>
      </c>
      <c r="AB2943" s="34">
        <f>IF(OR($A2943="",$H2943&lt;&gt;"Ausgabe",N2943=""),0,IF(N2943="x",-$E2943/(COUNTIF($J2943:$Q2943,"x")+1),-$E2943*N(N2943)))</f>
        <v/>
      </c>
      <c r="AC2943" s="34">
        <f>IF(OR($A2943="",$H2943&lt;&gt;"Ausgabe",O2943=""),0,IF(O2943="x",-$E2943/(COUNTIF($J2943:$Q2943,"x")+1),-$E2943*N(O2943)))</f>
        <v/>
      </c>
      <c r="AD2943" s="34">
        <f>IF(OR($A2943="",$H2943&lt;&gt;"Ausgabe",P2943=""),0,IF(P2943="x",-$E2943/(COUNTIF($J2943:$Q2943,"x")+1),-$E2943*N(P2943)))</f>
        <v/>
      </c>
      <c r="AE2943" s="34">
        <f>IF(OR($A2943="",$H2943&lt;&gt;"Ausgabe",Q2943=""),0,IF(Q2943="x",-$E2943/(COUNTIF($J2943:$Q2943,"x")+1),-$E2943*N(Q2943)))</f>
        <v/>
      </c>
    </row>
    <row r="2944">
      <c r="A2944" s="30" t="n"/>
      <c r="E2944" s="31" t="n"/>
      <c r="J2944" s="32" t="n"/>
      <c r="K2944" s="32" t="n"/>
      <c r="L2944" s="32" t="n"/>
      <c r="M2944" s="32" t="n"/>
      <c r="N2944" s="32" t="n"/>
      <c r="O2944" s="32" t="n"/>
      <c r="P2944" s="32" t="n"/>
      <c r="Q2944" s="32" t="n"/>
      <c r="U2944" s="31">
        <f>IF($A2944="","",SUM(X2944:AE2944))</f>
        <v/>
      </c>
      <c r="V2944" s="31">
        <f>IF($A2944="","",IF($H2944&lt;&gt;"Ausgabe",0,-$E2944-$U2944))</f>
        <v/>
      </c>
      <c r="W2944" s="33">
        <f>IF($A2944="","",DATE(YEAR($A2944),MONTH($A2944),1))</f>
        <v/>
      </c>
      <c r="X2944" s="34">
        <f>IF(OR($A2944="",$H2944&lt;&gt;"Ausgabe",J2944=""),0,IF(J2944="x",-$E2944/(COUNTIF($J2944:$Q2944,"x")+1),-$E2944*N(J2944)))</f>
        <v/>
      </c>
      <c r="Y2944" s="34">
        <f>IF(OR($A2944="",$H2944&lt;&gt;"Ausgabe",K2944=""),0,IF(K2944="x",-$E2944/(COUNTIF($J2944:$Q2944,"x")+1),-$E2944*N(K2944)))</f>
        <v/>
      </c>
      <c r="Z2944" s="34">
        <f>IF(OR($A2944="",$H2944&lt;&gt;"Ausgabe",L2944=""),0,IF(L2944="x",-$E2944/(COUNTIF($J2944:$Q2944,"x")+1),-$E2944*N(L2944)))</f>
        <v/>
      </c>
      <c r="AA2944" s="34">
        <f>IF(OR($A2944="",$H2944&lt;&gt;"Ausgabe",M2944=""),0,IF(M2944="x",-$E2944/(COUNTIF($J2944:$Q2944,"x")+1),-$E2944*N(M2944)))</f>
        <v/>
      </c>
      <c r="AB2944" s="34">
        <f>IF(OR($A2944="",$H2944&lt;&gt;"Ausgabe",N2944=""),0,IF(N2944="x",-$E2944/(COUNTIF($J2944:$Q2944,"x")+1),-$E2944*N(N2944)))</f>
        <v/>
      </c>
      <c r="AC2944" s="34">
        <f>IF(OR($A2944="",$H2944&lt;&gt;"Ausgabe",O2944=""),0,IF(O2944="x",-$E2944/(COUNTIF($J2944:$Q2944,"x")+1),-$E2944*N(O2944)))</f>
        <v/>
      </c>
      <c r="AD2944" s="34">
        <f>IF(OR($A2944="",$H2944&lt;&gt;"Ausgabe",P2944=""),0,IF(P2944="x",-$E2944/(COUNTIF($J2944:$Q2944,"x")+1),-$E2944*N(P2944)))</f>
        <v/>
      </c>
      <c r="AE2944" s="34">
        <f>IF(OR($A2944="",$H2944&lt;&gt;"Ausgabe",Q2944=""),0,IF(Q2944="x",-$E2944/(COUNTIF($J2944:$Q2944,"x")+1),-$E2944*N(Q2944)))</f>
        <v/>
      </c>
    </row>
    <row r="2945">
      <c r="A2945" s="30" t="n"/>
      <c r="E2945" s="31" t="n"/>
      <c r="J2945" s="32" t="n"/>
      <c r="K2945" s="32" t="n"/>
      <c r="L2945" s="32" t="n"/>
      <c r="M2945" s="32" t="n"/>
      <c r="N2945" s="32" t="n"/>
      <c r="O2945" s="32" t="n"/>
      <c r="P2945" s="32" t="n"/>
      <c r="Q2945" s="32" t="n"/>
      <c r="U2945" s="31">
        <f>IF($A2945="","",SUM(X2945:AE2945))</f>
        <v/>
      </c>
      <c r="V2945" s="31">
        <f>IF($A2945="","",IF($H2945&lt;&gt;"Ausgabe",0,-$E2945-$U2945))</f>
        <v/>
      </c>
      <c r="W2945" s="33">
        <f>IF($A2945="","",DATE(YEAR($A2945),MONTH($A2945),1))</f>
        <v/>
      </c>
      <c r="X2945" s="34">
        <f>IF(OR($A2945="",$H2945&lt;&gt;"Ausgabe",J2945=""),0,IF(J2945="x",-$E2945/(COUNTIF($J2945:$Q2945,"x")+1),-$E2945*N(J2945)))</f>
        <v/>
      </c>
      <c r="Y2945" s="34">
        <f>IF(OR($A2945="",$H2945&lt;&gt;"Ausgabe",K2945=""),0,IF(K2945="x",-$E2945/(COUNTIF($J2945:$Q2945,"x")+1),-$E2945*N(K2945)))</f>
        <v/>
      </c>
      <c r="Z2945" s="34">
        <f>IF(OR($A2945="",$H2945&lt;&gt;"Ausgabe",L2945=""),0,IF(L2945="x",-$E2945/(COUNTIF($J2945:$Q2945,"x")+1),-$E2945*N(L2945)))</f>
        <v/>
      </c>
      <c r="AA2945" s="34">
        <f>IF(OR($A2945="",$H2945&lt;&gt;"Ausgabe",M2945=""),0,IF(M2945="x",-$E2945/(COUNTIF($J2945:$Q2945,"x")+1),-$E2945*N(M2945)))</f>
        <v/>
      </c>
      <c r="AB2945" s="34">
        <f>IF(OR($A2945="",$H2945&lt;&gt;"Ausgabe",N2945=""),0,IF(N2945="x",-$E2945/(COUNTIF($J2945:$Q2945,"x")+1),-$E2945*N(N2945)))</f>
        <v/>
      </c>
      <c r="AC2945" s="34">
        <f>IF(OR($A2945="",$H2945&lt;&gt;"Ausgabe",O2945=""),0,IF(O2945="x",-$E2945/(COUNTIF($J2945:$Q2945,"x")+1),-$E2945*N(O2945)))</f>
        <v/>
      </c>
      <c r="AD2945" s="34">
        <f>IF(OR($A2945="",$H2945&lt;&gt;"Ausgabe",P2945=""),0,IF(P2945="x",-$E2945/(COUNTIF($J2945:$Q2945,"x")+1),-$E2945*N(P2945)))</f>
        <v/>
      </c>
      <c r="AE2945" s="34">
        <f>IF(OR($A2945="",$H2945&lt;&gt;"Ausgabe",Q2945=""),0,IF(Q2945="x",-$E2945/(COUNTIF($J2945:$Q2945,"x")+1),-$E2945*N(Q2945)))</f>
        <v/>
      </c>
    </row>
    <row r="2946">
      <c r="A2946" s="30" t="n"/>
      <c r="E2946" s="31" t="n"/>
      <c r="J2946" s="32" t="n"/>
      <c r="K2946" s="32" t="n"/>
      <c r="L2946" s="32" t="n"/>
      <c r="M2946" s="32" t="n"/>
      <c r="N2946" s="32" t="n"/>
      <c r="O2946" s="32" t="n"/>
      <c r="P2946" s="32" t="n"/>
      <c r="Q2946" s="32" t="n"/>
      <c r="U2946" s="31">
        <f>IF($A2946="","",SUM(X2946:AE2946))</f>
        <v/>
      </c>
      <c r="V2946" s="31">
        <f>IF($A2946="","",IF($H2946&lt;&gt;"Ausgabe",0,-$E2946-$U2946))</f>
        <v/>
      </c>
      <c r="W2946" s="33">
        <f>IF($A2946="","",DATE(YEAR($A2946),MONTH($A2946),1))</f>
        <v/>
      </c>
      <c r="X2946" s="34">
        <f>IF(OR($A2946="",$H2946&lt;&gt;"Ausgabe",J2946=""),0,IF(J2946="x",-$E2946/(COUNTIF($J2946:$Q2946,"x")+1),-$E2946*N(J2946)))</f>
        <v/>
      </c>
      <c r="Y2946" s="34">
        <f>IF(OR($A2946="",$H2946&lt;&gt;"Ausgabe",K2946=""),0,IF(K2946="x",-$E2946/(COUNTIF($J2946:$Q2946,"x")+1),-$E2946*N(K2946)))</f>
        <v/>
      </c>
      <c r="Z2946" s="34">
        <f>IF(OR($A2946="",$H2946&lt;&gt;"Ausgabe",L2946=""),0,IF(L2946="x",-$E2946/(COUNTIF($J2946:$Q2946,"x")+1),-$E2946*N(L2946)))</f>
        <v/>
      </c>
      <c r="AA2946" s="34">
        <f>IF(OR($A2946="",$H2946&lt;&gt;"Ausgabe",M2946=""),0,IF(M2946="x",-$E2946/(COUNTIF($J2946:$Q2946,"x")+1),-$E2946*N(M2946)))</f>
        <v/>
      </c>
      <c r="AB2946" s="34">
        <f>IF(OR($A2946="",$H2946&lt;&gt;"Ausgabe",N2946=""),0,IF(N2946="x",-$E2946/(COUNTIF($J2946:$Q2946,"x")+1),-$E2946*N(N2946)))</f>
        <v/>
      </c>
      <c r="AC2946" s="34">
        <f>IF(OR($A2946="",$H2946&lt;&gt;"Ausgabe",O2946=""),0,IF(O2946="x",-$E2946/(COUNTIF($J2946:$Q2946,"x")+1),-$E2946*N(O2946)))</f>
        <v/>
      </c>
      <c r="AD2946" s="34">
        <f>IF(OR($A2946="",$H2946&lt;&gt;"Ausgabe",P2946=""),0,IF(P2946="x",-$E2946/(COUNTIF($J2946:$Q2946,"x")+1),-$E2946*N(P2946)))</f>
        <v/>
      </c>
      <c r="AE2946" s="34">
        <f>IF(OR($A2946="",$H2946&lt;&gt;"Ausgabe",Q2946=""),0,IF(Q2946="x",-$E2946/(COUNTIF($J2946:$Q2946,"x")+1),-$E2946*N(Q2946)))</f>
        <v/>
      </c>
    </row>
    <row r="2947">
      <c r="A2947" s="30" t="n"/>
      <c r="E2947" s="31" t="n"/>
      <c r="J2947" s="32" t="n"/>
      <c r="K2947" s="32" t="n"/>
      <c r="L2947" s="32" t="n"/>
      <c r="M2947" s="32" t="n"/>
      <c r="N2947" s="32" t="n"/>
      <c r="O2947" s="32" t="n"/>
      <c r="P2947" s="32" t="n"/>
      <c r="Q2947" s="32" t="n"/>
      <c r="U2947" s="31">
        <f>IF($A2947="","",SUM(X2947:AE2947))</f>
        <v/>
      </c>
      <c r="V2947" s="31">
        <f>IF($A2947="","",IF($H2947&lt;&gt;"Ausgabe",0,-$E2947-$U2947))</f>
        <v/>
      </c>
      <c r="W2947" s="33">
        <f>IF($A2947="","",DATE(YEAR($A2947),MONTH($A2947),1))</f>
        <v/>
      </c>
      <c r="X2947" s="34">
        <f>IF(OR($A2947="",$H2947&lt;&gt;"Ausgabe",J2947=""),0,IF(J2947="x",-$E2947/(COUNTIF($J2947:$Q2947,"x")+1),-$E2947*N(J2947)))</f>
        <v/>
      </c>
      <c r="Y2947" s="34">
        <f>IF(OR($A2947="",$H2947&lt;&gt;"Ausgabe",K2947=""),0,IF(K2947="x",-$E2947/(COUNTIF($J2947:$Q2947,"x")+1),-$E2947*N(K2947)))</f>
        <v/>
      </c>
      <c r="Z2947" s="34">
        <f>IF(OR($A2947="",$H2947&lt;&gt;"Ausgabe",L2947=""),0,IF(L2947="x",-$E2947/(COUNTIF($J2947:$Q2947,"x")+1),-$E2947*N(L2947)))</f>
        <v/>
      </c>
      <c r="AA2947" s="34">
        <f>IF(OR($A2947="",$H2947&lt;&gt;"Ausgabe",M2947=""),0,IF(M2947="x",-$E2947/(COUNTIF($J2947:$Q2947,"x")+1),-$E2947*N(M2947)))</f>
        <v/>
      </c>
      <c r="AB2947" s="34">
        <f>IF(OR($A2947="",$H2947&lt;&gt;"Ausgabe",N2947=""),0,IF(N2947="x",-$E2947/(COUNTIF($J2947:$Q2947,"x")+1),-$E2947*N(N2947)))</f>
        <v/>
      </c>
      <c r="AC2947" s="34">
        <f>IF(OR($A2947="",$H2947&lt;&gt;"Ausgabe",O2947=""),0,IF(O2947="x",-$E2947/(COUNTIF($J2947:$Q2947,"x")+1),-$E2947*N(O2947)))</f>
        <v/>
      </c>
      <c r="AD2947" s="34">
        <f>IF(OR($A2947="",$H2947&lt;&gt;"Ausgabe",P2947=""),0,IF(P2947="x",-$E2947/(COUNTIF($J2947:$Q2947,"x")+1),-$E2947*N(P2947)))</f>
        <v/>
      </c>
      <c r="AE2947" s="34">
        <f>IF(OR($A2947="",$H2947&lt;&gt;"Ausgabe",Q2947=""),0,IF(Q2947="x",-$E2947/(COUNTIF($J2947:$Q2947,"x")+1),-$E2947*N(Q2947)))</f>
        <v/>
      </c>
    </row>
    <row r="2948">
      <c r="A2948" s="30" t="n"/>
      <c r="E2948" s="31" t="n"/>
      <c r="J2948" s="32" t="n"/>
      <c r="K2948" s="32" t="n"/>
      <c r="L2948" s="32" t="n"/>
      <c r="M2948" s="32" t="n"/>
      <c r="N2948" s="32" t="n"/>
      <c r="O2948" s="32" t="n"/>
      <c r="P2948" s="32" t="n"/>
      <c r="Q2948" s="32" t="n"/>
      <c r="U2948" s="31">
        <f>IF($A2948="","",SUM(X2948:AE2948))</f>
        <v/>
      </c>
      <c r="V2948" s="31">
        <f>IF($A2948="","",IF($H2948&lt;&gt;"Ausgabe",0,-$E2948-$U2948))</f>
        <v/>
      </c>
      <c r="W2948" s="33">
        <f>IF($A2948="","",DATE(YEAR($A2948),MONTH($A2948),1))</f>
        <v/>
      </c>
      <c r="X2948" s="34">
        <f>IF(OR($A2948="",$H2948&lt;&gt;"Ausgabe",J2948=""),0,IF(J2948="x",-$E2948/(COUNTIF($J2948:$Q2948,"x")+1),-$E2948*N(J2948)))</f>
        <v/>
      </c>
      <c r="Y2948" s="34">
        <f>IF(OR($A2948="",$H2948&lt;&gt;"Ausgabe",K2948=""),0,IF(K2948="x",-$E2948/(COUNTIF($J2948:$Q2948,"x")+1),-$E2948*N(K2948)))</f>
        <v/>
      </c>
      <c r="Z2948" s="34">
        <f>IF(OR($A2948="",$H2948&lt;&gt;"Ausgabe",L2948=""),0,IF(L2948="x",-$E2948/(COUNTIF($J2948:$Q2948,"x")+1),-$E2948*N(L2948)))</f>
        <v/>
      </c>
      <c r="AA2948" s="34">
        <f>IF(OR($A2948="",$H2948&lt;&gt;"Ausgabe",M2948=""),0,IF(M2948="x",-$E2948/(COUNTIF($J2948:$Q2948,"x")+1),-$E2948*N(M2948)))</f>
        <v/>
      </c>
      <c r="AB2948" s="34">
        <f>IF(OR($A2948="",$H2948&lt;&gt;"Ausgabe",N2948=""),0,IF(N2948="x",-$E2948/(COUNTIF($J2948:$Q2948,"x")+1),-$E2948*N(N2948)))</f>
        <v/>
      </c>
      <c r="AC2948" s="34">
        <f>IF(OR($A2948="",$H2948&lt;&gt;"Ausgabe",O2948=""),0,IF(O2948="x",-$E2948/(COUNTIF($J2948:$Q2948,"x")+1),-$E2948*N(O2948)))</f>
        <v/>
      </c>
      <c r="AD2948" s="34">
        <f>IF(OR($A2948="",$H2948&lt;&gt;"Ausgabe",P2948=""),0,IF(P2948="x",-$E2948/(COUNTIF($J2948:$Q2948,"x")+1),-$E2948*N(P2948)))</f>
        <v/>
      </c>
      <c r="AE2948" s="34">
        <f>IF(OR($A2948="",$H2948&lt;&gt;"Ausgabe",Q2948=""),0,IF(Q2948="x",-$E2948/(COUNTIF($J2948:$Q2948,"x")+1),-$E2948*N(Q2948)))</f>
        <v/>
      </c>
    </row>
    <row r="2949">
      <c r="A2949" s="30" t="n"/>
      <c r="E2949" s="31" t="n"/>
      <c r="J2949" s="32" t="n"/>
      <c r="K2949" s="32" t="n"/>
      <c r="L2949" s="32" t="n"/>
      <c r="M2949" s="32" t="n"/>
      <c r="N2949" s="32" t="n"/>
      <c r="O2949" s="32" t="n"/>
      <c r="P2949" s="32" t="n"/>
      <c r="Q2949" s="32" t="n"/>
      <c r="U2949" s="31">
        <f>IF($A2949="","",SUM(X2949:AE2949))</f>
        <v/>
      </c>
      <c r="V2949" s="31">
        <f>IF($A2949="","",IF($H2949&lt;&gt;"Ausgabe",0,-$E2949-$U2949))</f>
        <v/>
      </c>
      <c r="W2949" s="33">
        <f>IF($A2949="","",DATE(YEAR($A2949),MONTH($A2949),1))</f>
        <v/>
      </c>
      <c r="X2949" s="34">
        <f>IF(OR($A2949="",$H2949&lt;&gt;"Ausgabe",J2949=""),0,IF(J2949="x",-$E2949/(COUNTIF($J2949:$Q2949,"x")+1),-$E2949*N(J2949)))</f>
        <v/>
      </c>
      <c r="Y2949" s="34">
        <f>IF(OR($A2949="",$H2949&lt;&gt;"Ausgabe",K2949=""),0,IF(K2949="x",-$E2949/(COUNTIF($J2949:$Q2949,"x")+1),-$E2949*N(K2949)))</f>
        <v/>
      </c>
      <c r="Z2949" s="34">
        <f>IF(OR($A2949="",$H2949&lt;&gt;"Ausgabe",L2949=""),0,IF(L2949="x",-$E2949/(COUNTIF($J2949:$Q2949,"x")+1),-$E2949*N(L2949)))</f>
        <v/>
      </c>
      <c r="AA2949" s="34">
        <f>IF(OR($A2949="",$H2949&lt;&gt;"Ausgabe",M2949=""),0,IF(M2949="x",-$E2949/(COUNTIF($J2949:$Q2949,"x")+1),-$E2949*N(M2949)))</f>
        <v/>
      </c>
      <c r="AB2949" s="34">
        <f>IF(OR($A2949="",$H2949&lt;&gt;"Ausgabe",N2949=""),0,IF(N2949="x",-$E2949/(COUNTIF($J2949:$Q2949,"x")+1),-$E2949*N(N2949)))</f>
        <v/>
      </c>
      <c r="AC2949" s="34">
        <f>IF(OR($A2949="",$H2949&lt;&gt;"Ausgabe",O2949=""),0,IF(O2949="x",-$E2949/(COUNTIF($J2949:$Q2949,"x")+1),-$E2949*N(O2949)))</f>
        <v/>
      </c>
      <c r="AD2949" s="34">
        <f>IF(OR($A2949="",$H2949&lt;&gt;"Ausgabe",P2949=""),0,IF(P2949="x",-$E2949/(COUNTIF($J2949:$Q2949,"x")+1),-$E2949*N(P2949)))</f>
        <v/>
      </c>
      <c r="AE2949" s="34">
        <f>IF(OR($A2949="",$H2949&lt;&gt;"Ausgabe",Q2949=""),0,IF(Q2949="x",-$E2949/(COUNTIF($J2949:$Q2949,"x")+1),-$E2949*N(Q2949)))</f>
        <v/>
      </c>
    </row>
    <row r="2950">
      <c r="A2950" s="30" t="n"/>
      <c r="E2950" s="31" t="n"/>
      <c r="J2950" s="32" t="n"/>
      <c r="K2950" s="32" t="n"/>
      <c r="L2950" s="32" t="n"/>
      <c r="M2950" s="32" t="n"/>
      <c r="N2950" s="32" t="n"/>
      <c r="O2950" s="32" t="n"/>
      <c r="P2950" s="32" t="n"/>
      <c r="Q2950" s="32" t="n"/>
      <c r="U2950" s="31">
        <f>IF($A2950="","",SUM(X2950:AE2950))</f>
        <v/>
      </c>
      <c r="V2950" s="31">
        <f>IF($A2950="","",IF($H2950&lt;&gt;"Ausgabe",0,-$E2950-$U2950))</f>
        <v/>
      </c>
      <c r="W2950" s="33">
        <f>IF($A2950="","",DATE(YEAR($A2950),MONTH($A2950),1))</f>
        <v/>
      </c>
      <c r="X2950" s="34">
        <f>IF(OR($A2950="",$H2950&lt;&gt;"Ausgabe",J2950=""),0,IF(J2950="x",-$E2950/(COUNTIF($J2950:$Q2950,"x")+1),-$E2950*N(J2950)))</f>
        <v/>
      </c>
      <c r="Y2950" s="34">
        <f>IF(OR($A2950="",$H2950&lt;&gt;"Ausgabe",K2950=""),0,IF(K2950="x",-$E2950/(COUNTIF($J2950:$Q2950,"x")+1),-$E2950*N(K2950)))</f>
        <v/>
      </c>
      <c r="Z2950" s="34">
        <f>IF(OR($A2950="",$H2950&lt;&gt;"Ausgabe",L2950=""),0,IF(L2950="x",-$E2950/(COUNTIF($J2950:$Q2950,"x")+1),-$E2950*N(L2950)))</f>
        <v/>
      </c>
      <c r="AA2950" s="34">
        <f>IF(OR($A2950="",$H2950&lt;&gt;"Ausgabe",M2950=""),0,IF(M2950="x",-$E2950/(COUNTIF($J2950:$Q2950,"x")+1),-$E2950*N(M2950)))</f>
        <v/>
      </c>
      <c r="AB2950" s="34">
        <f>IF(OR($A2950="",$H2950&lt;&gt;"Ausgabe",N2950=""),0,IF(N2950="x",-$E2950/(COUNTIF($J2950:$Q2950,"x")+1),-$E2950*N(N2950)))</f>
        <v/>
      </c>
      <c r="AC2950" s="34">
        <f>IF(OR($A2950="",$H2950&lt;&gt;"Ausgabe",O2950=""),0,IF(O2950="x",-$E2950/(COUNTIF($J2950:$Q2950,"x")+1),-$E2950*N(O2950)))</f>
        <v/>
      </c>
      <c r="AD2950" s="34">
        <f>IF(OR($A2950="",$H2950&lt;&gt;"Ausgabe",P2950=""),0,IF(P2950="x",-$E2950/(COUNTIF($J2950:$Q2950,"x")+1),-$E2950*N(P2950)))</f>
        <v/>
      </c>
      <c r="AE2950" s="34">
        <f>IF(OR($A2950="",$H2950&lt;&gt;"Ausgabe",Q2950=""),0,IF(Q2950="x",-$E2950/(COUNTIF($J2950:$Q2950,"x")+1),-$E2950*N(Q2950)))</f>
        <v/>
      </c>
    </row>
    <row r="2951">
      <c r="A2951" s="30" t="n"/>
      <c r="E2951" s="31" t="n"/>
      <c r="J2951" s="32" t="n"/>
      <c r="K2951" s="32" t="n"/>
      <c r="L2951" s="32" t="n"/>
      <c r="M2951" s="32" t="n"/>
      <c r="N2951" s="32" t="n"/>
      <c r="O2951" s="32" t="n"/>
      <c r="P2951" s="32" t="n"/>
      <c r="Q2951" s="32" t="n"/>
      <c r="U2951" s="31">
        <f>IF($A2951="","",SUM(X2951:AE2951))</f>
        <v/>
      </c>
      <c r="V2951" s="31">
        <f>IF($A2951="","",IF($H2951&lt;&gt;"Ausgabe",0,-$E2951-$U2951))</f>
        <v/>
      </c>
      <c r="W2951" s="33">
        <f>IF($A2951="","",DATE(YEAR($A2951),MONTH($A2951),1))</f>
        <v/>
      </c>
      <c r="X2951" s="34">
        <f>IF(OR($A2951="",$H2951&lt;&gt;"Ausgabe",J2951=""),0,IF(J2951="x",-$E2951/(COUNTIF($J2951:$Q2951,"x")+1),-$E2951*N(J2951)))</f>
        <v/>
      </c>
      <c r="Y2951" s="34">
        <f>IF(OR($A2951="",$H2951&lt;&gt;"Ausgabe",K2951=""),0,IF(K2951="x",-$E2951/(COUNTIF($J2951:$Q2951,"x")+1),-$E2951*N(K2951)))</f>
        <v/>
      </c>
      <c r="Z2951" s="34">
        <f>IF(OR($A2951="",$H2951&lt;&gt;"Ausgabe",L2951=""),0,IF(L2951="x",-$E2951/(COUNTIF($J2951:$Q2951,"x")+1),-$E2951*N(L2951)))</f>
        <v/>
      </c>
      <c r="AA2951" s="34">
        <f>IF(OR($A2951="",$H2951&lt;&gt;"Ausgabe",M2951=""),0,IF(M2951="x",-$E2951/(COUNTIF($J2951:$Q2951,"x")+1),-$E2951*N(M2951)))</f>
        <v/>
      </c>
      <c r="AB2951" s="34">
        <f>IF(OR($A2951="",$H2951&lt;&gt;"Ausgabe",N2951=""),0,IF(N2951="x",-$E2951/(COUNTIF($J2951:$Q2951,"x")+1),-$E2951*N(N2951)))</f>
        <v/>
      </c>
      <c r="AC2951" s="34">
        <f>IF(OR($A2951="",$H2951&lt;&gt;"Ausgabe",O2951=""),0,IF(O2951="x",-$E2951/(COUNTIF($J2951:$Q2951,"x")+1),-$E2951*N(O2951)))</f>
        <v/>
      </c>
      <c r="AD2951" s="34">
        <f>IF(OR($A2951="",$H2951&lt;&gt;"Ausgabe",P2951=""),0,IF(P2951="x",-$E2951/(COUNTIF($J2951:$Q2951,"x")+1),-$E2951*N(P2951)))</f>
        <v/>
      </c>
      <c r="AE2951" s="34">
        <f>IF(OR($A2951="",$H2951&lt;&gt;"Ausgabe",Q2951=""),0,IF(Q2951="x",-$E2951/(COUNTIF($J2951:$Q2951,"x")+1),-$E2951*N(Q2951)))</f>
        <v/>
      </c>
    </row>
    <row r="2952">
      <c r="A2952" s="30" t="n"/>
      <c r="E2952" s="31" t="n"/>
      <c r="J2952" s="32" t="n"/>
      <c r="K2952" s="32" t="n"/>
      <c r="L2952" s="32" t="n"/>
      <c r="M2952" s="32" t="n"/>
      <c r="N2952" s="32" t="n"/>
      <c r="O2952" s="32" t="n"/>
      <c r="P2952" s="32" t="n"/>
      <c r="Q2952" s="32" t="n"/>
      <c r="U2952" s="31">
        <f>IF($A2952="","",SUM(X2952:AE2952))</f>
        <v/>
      </c>
      <c r="V2952" s="31">
        <f>IF($A2952="","",IF($H2952&lt;&gt;"Ausgabe",0,-$E2952-$U2952))</f>
        <v/>
      </c>
      <c r="W2952" s="33">
        <f>IF($A2952="","",DATE(YEAR($A2952),MONTH($A2952),1))</f>
        <v/>
      </c>
      <c r="X2952" s="34">
        <f>IF(OR($A2952="",$H2952&lt;&gt;"Ausgabe",J2952=""),0,IF(J2952="x",-$E2952/(COUNTIF($J2952:$Q2952,"x")+1),-$E2952*N(J2952)))</f>
        <v/>
      </c>
      <c r="Y2952" s="34">
        <f>IF(OR($A2952="",$H2952&lt;&gt;"Ausgabe",K2952=""),0,IF(K2952="x",-$E2952/(COUNTIF($J2952:$Q2952,"x")+1),-$E2952*N(K2952)))</f>
        <v/>
      </c>
      <c r="Z2952" s="34">
        <f>IF(OR($A2952="",$H2952&lt;&gt;"Ausgabe",L2952=""),0,IF(L2952="x",-$E2952/(COUNTIF($J2952:$Q2952,"x")+1),-$E2952*N(L2952)))</f>
        <v/>
      </c>
      <c r="AA2952" s="34">
        <f>IF(OR($A2952="",$H2952&lt;&gt;"Ausgabe",M2952=""),0,IF(M2952="x",-$E2952/(COUNTIF($J2952:$Q2952,"x")+1),-$E2952*N(M2952)))</f>
        <v/>
      </c>
      <c r="AB2952" s="34">
        <f>IF(OR($A2952="",$H2952&lt;&gt;"Ausgabe",N2952=""),0,IF(N2952="x",-$E2952/(COUNTIF($J2952:$Q2952,"x")+1),-$E2952*N(N2952)))</f>
        <v/>
      </c>
      <c r="AC2952" s="34">
        <f>IF(OR($A2952="",$H2952&lt;&gt;"Ausgabe",O2952=""),0,IF(O2952="x",-$E2952/(COUNTIF($J2952:$Q2952,"x")+1),-$E2952*N(O2952)))</f>
        <v/>
      </c>
      <c r="AD2952" s="34">
        <f>IF(OR($A2952="",$H2952&lt;&gt;"Ausgabe",P2952=""),0,IF(P2952="x",-$E2952/(COUNTIF($J2952:$Q2952,"x")+1),-$E2952*N(P2952)))</f>
        <v/>
      </c>
      <c r="AE2952" s="34">
        <f>IF(OR($A2952="",$H2952&lt;&gt;"Ausgabe",Q2952=""),0,IF(Q2952="x",-$E2952/(COUNTIF($J2952:$Q2952,"x")+1),-$E2952*N(Q2952)))</f>
        <v/>
      </c>
    </row>
    <row r="2953">
      <c r="A2953" s="30" t="n"/>
      <c r="E2953" s="31" t="n"/>
      <c r="J2953" s="32" t="n"/>
      <c r="K2953" s="32" t="n"/>
      <c r="L2953" s="32" t="n"/>
      <c r="M2953" s="32" t="n"/>
      <c r="N2953" s="32" t="n"/>
      <c r="O2953" s="32" t="n"/>
      <c r="P2953" s="32" t="n"/>
      <c r="Q2953" s="32" t="n"/>
      <c r="U2953" s="31">
        <f>IF($A2953="","",SUM(X2953:AE2953))</f>
        <v/>
      </c>
      <c r="V2953" s="31">
        <f>IF($A2953="","",IF($H2953&lt;&gt;"Ausgabe",0,-$E2953-$U2953))</f>
        <v/>
      </c>
      <c r="W2953" s="33">
        <f>IF($A2953="","",DATE(YEAR($A2953),MONTH($A2953),1))</f>
        <v/>
      </c>
      <c r="X2953" s="34">
        <f>IF(OR($A2953="",$H2953&lt;&gt;"Ausgabe",J2953=""),0,IF(J2953="x",-$E2953/(COUNTIF($J2953:$Q2953,"x")+1),-$E2953*N(J2953)))</f>
        <v/>
      </c>
      <c r="Y2953" s="34">
        <f>IF(OR($A2953="",$H2953&lt;&gt;"Ausgabe",K2953=""),0,IF(K2953="x",-$E2953/(COUNTIF($J2953:$Q2953,"x")+1),-$E2953*N(K2953)))</f>
        <v/>
      </c>
      <c r="Z2953" s="34">
        <f>IF(OR($A2953="",$H2953&lt;&gt;"Ausgabe",L2953=""),0,IF(L2953="x",-$E2953/(COUNTIF($J2953:$Q2953,"x")+1),-$E2953*N(L2953)))</f>
        <v/>
      </c>
      <c r="AA2953" s="34">
        <f>IF(OR($A2953="",$H2953&lt;&gt;"Ausgabe",M2953=""),0,IF(M2953="x",-$E2953/(COUNTIF($J2953:$Q2953,"x")+1),-$E2953*N(M2953)))</f>
        <v/>
      </c>
      <c r="AB2953" s="34">
        <f>IF(OR($A2953="",$H2953&lt;&gt;"Ausgabe",N2953=""),0,IF(N2953="x",-$E2953/(COUNTIF($J2953:$Q2953,"x")+1),-$E2953*N(N2953)))</f>
        <v/>
      </c>
      <c r="AC2953" s="34">
        <f>IF(OR($A2953="",$H2953&lt;&gt;"Ausgabe",O2953=""),0,IF(O2953="x",-$E2953/(COUNTIF($J2953:$Q2953,"x")+1),-$E2953*N(O2953)))</f>
        <v/>
      </c>
      <c r="AD2953" s="34">
        <f>IF(OR($A2953="",$H2953&lt;&gt;"Ausgabe",P2953=""),0,IF(P2953="x",-$E2953/(COUNTIF($J2953:$Q2953,"x")+1),-$E2953*N(P2953)))</f>
        <v/>
      </c>
      <c r="AE2953" s="34">
        <f>IF(OR($A2953="",$H2953&lt;&gt;"Ausgabe",Q2953=""),0,IF(Q2953="x",-$E2953/(COUNTIF($J2953:$Q2953,"x")+1),-$E2953*N(Q2953)))</f>
        <v/>
      </c>
    </row>
    <row r="2954">
      <c r="A2954" s="30" t="n"/>
      <c r="E2954" s="31" t="n"/>
      <c r="J2954" s="32" t="n"/>
      <c r="K2954" s="32" t="n"/>
      <c r="L2954" s="32" t="n"/>
      <c r="M2954" s="32" t="n"/>
      <c r="N2954" s="32" t="n"/>
      <c r="O2954" s="32" t="n"/>
      <c r="P2954" s="32" t="n"/>
      <c r="Q2954" s="32" t="n"/>
      <c r="U2954" s="31">
        <f>IF($A2954="","",SUM(X2954:AE2954))</f>
        <v/>
      </c>
      <c r="V2954" s="31">
        <f>IF($A2954="","",IF($H2954&lt;&gt;"Ausgabe",0,-$E2954-$U2954))</f>
        <v/>
      </c>
      <c r="W2954" s="33">
        <f>IF($A2954="","",DATE(YEAR($A2954),MONTH($A2954),1))</f>
        <v/>
      </c>
      <c r="X2954" s="34">
        <f>IF(OR($A2954="",$H2954&lt;&gt;"Ausgabe",J2954=""),0,IF(J2954="x",-$E2954/(COUNTIF($J2954:$Q2954,"x")+1),-$E2954*N(J2954)))</f>
        <v/>
      </c>
      <c r="Y2954" s="34">
        <f>IF(OR($A2954="",$H2954&lt;&gt;"Ausgabe",K2954=""),0,IF(K2954="x",-$E2954/(COUNTIF($J2954:$Q2954,"x")+1),-$E2954*N(K2954)))</f>
        <v/>
      </c>
      <c r="Z2954" s="34">
        <f>IF(OR($A2954="",$H2954&lt;&gt;"Ausgabe",L2954=""),0,IF(L2954="x",-$E2954/(COUNTIF($J2954:$Q2954,"x")+1),-$E2954*N(L2954)))</f>
        <v/>
      </c>
      <c r="AA2954" s="34">
        <f>IF(OR($A2954="",$H2954&lt;&gt;"Ausgabe",M2954=""),0,IF(M2954="x",-$E2954/(COUNTIF($J2954:$Q2954,"x")+1),-$E2954*N(M2954)))</f>
        <v/>
      </c>
      <c r="AB2954" s="34">
        <f>IF(OR($A2954="",$H2954&lt;&gt;"Ausgabe",N2954=""),0,IF(N2954="x",-$E2954/(COUNTIF($J2954:$Q2954,"x")+1),-$E2954*N(N2954)))</f>
        <v/>
      </c>
      <c r="AC2954" s="34">
        <f>IF(OR($A2954="",$H2954&lt;&gt;"Ausgabe",O2954=""),0,IF(O2954="x",-$E2954/(COUNTIF($J2954:$Q2954,"x")+1),-$E2954*N(O2954)))</f>
        <v/>
      </c>
      <c r="AD2954" s="34">
        <f>IF(OR($A2954="",$H2954&lt;&gt;"Ausgabe",P2954=""),0,IF(P2954="x",-$E2954/(COUNTIF($J2954:$Q2954,"x")+1),-$E2954*N(P2954)))</f>
        <v/>
      </c>
      <c r="AE2954" s="34">
        <f>IF(OR($A2954="",$H2954&lt;&gt;"Ausgabe",Q2954=""),0,IF(Q2954="x",-$E2954/(COUNTIF($J2954:$Q2954,"x")+1),-$E2954*N(Q2954)))</f>
        <v/>
      </c>
    </row>
    <row r="2955">
      <c r="A2955" s="30" t="n"/>
      <c r="E2955" s="31" t="n"/>
      <c r="J2955" s="32" t="n"/>
      <c r="K2955" s="32" t="n"/>
      <c r="L2955" s="32" t="n"/>
      <c r="M2955" s="32" t="n"/>
      <c r="N2955" s="32" t="n"/>
      <c r="O2955" s="32" t="n"/>
      <c r="P2955" s="32" t="n"/>
      <c r="Q2955" s="32" t="n"/>
      <c r="U2955" s="31">
        <f>IF($A2955="","",SUM(X2955:AE2955))</f>
        <v/>
      </c>
      <c r="V2955" s="31">
        <f>IF($A2955="","",IF($H2955&lt;&gt;"Ausgabe",0,-$E2955-$U2955))</f>
        <v/>
      </c>
      <c r="W2955" s="33">
        <f>IF($A2955="","",DATE(YEAR($A2955),MONTH($A2955),1))</f>
        <v/>
      </c>
      <c r="X2955" s="34">
        <f>IF(OR($A2955="",$H2955&lt;&gt;"Ausgabe",J2955=""),0,IF(J2955="x",-$E2955/(COUNTIF($J2955:$Q2955,"x")+1),-$E2955*N(J2955)))</f>
        <v/>
      </c>
      <c r="Y2955" s="34">
        <f>IF(OR($A2955="",$H2955&lt;&gt;"Ausgabe",K2955=""),0,IF(K2955="x",-$E2955/(COUNTIF($J2955:$Q2955,"x")+1),-$E2955*N(K2955)))</f>
        <v/>
      </c>
      <c r="Z2955" s="34">
        <f>IF(OR($A2955="",$H2955&lt;&gt;"Ausgabe",L2955=""),0,IF(L2955="x",-$E2955/(COUNTIF($J2955:$Q2955,"x")+1),-$E2955*N(L2955)))</f>
        <v/>
      </c>
      <c r="AA2955" s="34">
        <f>IF(OR($A2955="",$H2955&lt;&gt;"Ausgabe",M2955=""),0,IF(M2955="x",-$E2955/(COUNTIF($J2955:$Q2955,"x")+1),-$E2955*N(M2955)))</f>
        <v/>
      </c>
      <c r="AB2955" s="34">
        <f>IF(OR($A2955="",$H2955&lt;&gt;"Ausgabe",N2955=""),0,IF(N2955="x",-$E2955/(COUNTIF($J2955:$Q2955,"x")+1),-$E2955*N(N2955)))</f>
        <v/>
      </c>
      <c r="AC2955" s="34">
        <f>IF(OR($A2955="",$H2955&lt;&gt;"Ausgabe",O2955=""),0,IF(O2955="x",-$E2955/(COUNTIF($J2955:$Q2955,"x")+1),-$E2955*N(O2955)))</f>
        <v/>
      </c>
      <c r="AD2955" s="34">
        <f>IF(OR($A2955="",$H2955&lt;&gt;"Ausgabe",P2955=""),0,IF(P2955="x",-$E2955/(COUNTIF($J2955:$Q2955,"x")+1),-$E2955*N(P2955)))</f>
        <v/>
      </c>
      <c r="AE2955" s="34">
        <f>IF(OR($A2955="",$H2955&lt;&gt;"Ausgabe",Q2955=""),0,IF(Q2955="x",-$E2955/(COUNTIF($J2955:$Q2955,"x")+1),-$E2955*N(Q2955)))</f>
        <v/>
      </c>
    </row>
    <row r="2956">
      <c r="A2956" s="30" t="n"/>
      <c r="E2956" s="31" t="n"/>
      <c r="J2956" s="32" t="n"/>
      <c r="K2956" s="32" t="n"/>
      <c r="L2956" s="32" t="n"/>
      <c r="M2956" s="32" t="n"/>
      <c r="N2956" s="32" t="n"/>
      <c r="O2956" s="32" t="n"/>
      <c r="P2956" s="32" t="n"/>
      <c r="Q2956" s="32" t="n"/>
      <c r="U2956" s="31">
        <f>IF($A2956="","",SUM(X2956:AE2956))</f>
        <v/>
      </c>
      <c r="V2956" s="31">
        <f>IF($A2956="","",IF($H2956&lt;&gt;"Ausgabe",0,-$E2956-$U2956))</f>
        <v/>
      </c>
      <c r="W2956" s="33">
        <f>IF($A2956="","",DATE(YEAR($A2956),MONTH($A2956),1))</f>
        <v/>
      </c>
      <c r="X2956" s="34">
        <f>IF(OR($A2956="",$H2956&lt;&gt;"Ausgabe",J2956=""),0,IF(J2956="x",-$E2956/(COUNTIF($J2956:$Q2956,"x")+1),-$E2956*N(J2956)))</f>
        <v/>
      </c>
      <c r="Y2956" s="34">
        <f>IF(OR($A2956="",$H2956&lt;&gt;"Ausgabe",K2956=""),0,IF(K2956="x",-$E2956/(COUNTIF($J2956:$Q2956,"x")+1),-$E2956*N(K2956)))</f>
        <v/>
      </c>
      <c r="Z2956" s="34">
        <f>IF(OR($A2956="",$H2956&lt;&gt;"Ausgabe",L2956=""),0,IF(L2956="x",-$E2956/(COUNTIF($J2956:$Q2956,"x")+1),-$E2956*N(L2956)))</f>
        <v/>
      </c>
      <c r="AA2956" s="34">
        <f>IF(OR($A2956="",$H2956&lt;&gt;"Ausgabe",M2956=""),0,IF(M2956="x",-$E2956/(COUNTIF($J2956:$Q2956,"x")+1),-$E2956*N(M2956)))</f>
        <v/>
      </c>
      <c r="AB2956" s="34">
        <f>IF(OR($A2956="",$H2956&lt;&gt;"Ausgabe",N2956=""),0,IF(N2956="x",-$E2956/(COUNTIF($J2956:$Q2956,"x")+1),-$E2956*N(N2956)))</f>
        <v/>
      </c>
      <c r="AC2956" s="34">
        <f>IF(OR($A2956="",$H2956&lt;&gt;"Ausgabe",O2956=""),0,IF(O2956="x",-$E2956/(COUNTIF($J2956:$Q2956,"x")+1),-$E2956*N(O2956)))</f>
        <v/>
      </c>
      <c r="AD2956" s="34">
        <f>IF(OR($A2956="",$H2956&lt;&gt;"Ausgabe",P2956=""),0,IF(P2956="x",-$E2956/(COUNTIF($J2956:$Q2956,"x")+1),-$E2956*N(P2956)))</f>
        <v/>
      </c>
      <c r="AE2956" s="34">
        <f>IF(OR($A2956="",$H2956&lt;&gt;"Ausgabe",Q2956=""),0,IF(Q2956="x",-$E2956/(COUNTIF($J2956:$Q2956,"x")+1),-$E2956*N(Q2956)))</f>
        <v/>
      </c>
    </row>
    <row r="2957">
      <c r="A2957" s="30" t="n"/>
      <c r="E2957" s="31" t="n"/>
      <c r="J2957" s="32" t="n"/>
      <c r="K2957" s="32" t="n"/>
      <c r="L2957" s="32" t="n"/>
      <c r="M2957" s="32" t="n"/>
      <c r="N2957" s="32" t="n"/>
      <c r="O2957" s="32" t="n"/>
      <c r="P2957" s="32" t="n"/>
      <c r="Q2957" s="32" t="n"/>
      <c r="U2957" s="31">
        <f>IF($A2957="","",SUM(X2957:AE2957))</f>
        <v/>
      </c>
      <c r="V2957" s="31">
        <f>IF($A2957="","",IF($H2957&lt;&gt;"Ausgabe",0,-$E2957-$U2957))</f>
        <v/>
      </c>
      <c r="W2957" s="33">
        <f>IF($A2957="","",DATE(YEAR($A2957),MONTH($A2957),1))</f>
        <v/>
      </c>
      <c r="X2957" s="34">
        <f>IF(OR($A2957="",$H2957&lt;&gt;"Ausgabe",J2957=""),0,IF(J2957="x",-$E2957/(COUNTIF($J2957:$Q2957,"x")+1),-$E2957*N(J2957)))</f>
        <v/>
      </c>
      <c r="Y2957" s="34">
        <f>IF(OR($A2957="",$H2957&lt;&gt;"Ausgabe",K2957=""),0,IF(K2957="x",-$E2957/(COUNTIF($J2957:$Q2957,"x")+1),-$E2957*N(K2957)))</f>
        <v/>
      </c>
      <c r="Z2957" s="34">
        <f>IF(OR($A2957="",$H2957&lt;&gt;"Ausgabe",L2957=""),0,IF(L2957="x",-$E2957/(COUNTIF($J2957:$Q2957,"x")+1),-$E2957*N(L2957)))</f>
        <v/>
      </c>
      <c r="AA2957" s="34">
        <f>IF(OR($A2957="",$H2957&lt;&gt;"Ausgabe",M2957=""),0,IF(M2957="x",-$E2957/(COUNTIF($J2957:$Q2957,"x")+1),-$E2957*N(M2957)))</f>
        <v/>
      </c>
      <c r="AB2957" s="34">
        <f>IF(OR($A2957="",$H2957&lt;&gt;"Ausgabe",N2957=""),0,IF(N2957="x",-$E2957/(COUNTIF($J2957:$Q2957,"x")+1),-$E2957*N(N2957)))</f>
        <v/>
      </c>
      <c r="AC2957" s="34">
        <f>IF(OR($A2957="",$H2957&lt;&gt;"Ausgabe",O2957=""),0,IF(O2957="x",-$E2957/(COUNTIF($J2957:$Q2957,"x")+1),-$E2957*N(O2957)))</f>
        <v/>
      </c>
      <c r="AD2957" s="34">
        <f>IF(OR($A2957="",$H2957&lt;&gt;"Ausgabe",P2957=""),0,IF(P2957="x",-$E2957/(COUNTIF($J2957:$Q2957,"x")+1),-$E2957*N(P2957)))</f>
        <v/>
      </c>
      <c r="AE2957" s="34">
        <f>IF(OR($A2957="",$H2957&lt;&gt;"Ausgabe",Q2957=""),0,IF(Q2957="x",-$E2957/(COUNTIF($J2957:$Q2957,"x")+1),-$E2957*N(Q2957)))</f>
        <v/>
      </c>
    </row>
    <row r="2958">
      <c r="A2958" s="30" t="n"/>
      <c r="E2958" s="31" t="n"/>
      <c r="J2958" s="32" t="n"/>
      <c r="K2958" s="32" t="n"/>
      <c r="L2958" s="32" t="n"/>
      <c r="M2958" s="32" t="n"/>
      <c r="N2958" s="32" t="n"/>
      <c r="O2958" s="32" t="n"/>
      <c r="P2958" s="32" t="n"/>
      <c r="Q2958" s="32" t="n"/>
      <c r="U2958" s="31">
        <f>IF($A2958="","",SUM(X2958:AE2958))</f>
        <v/>
      </c>
      <c r="V2958" s="31">
        <f>IF($A2958="","",IF($H2958&lt;&gt;"Ausgabe",0,-$E2958-$U2958))</f>
        <v/>
      </c>
      <c r="W2958" s="33">
        <f>IF($A2958="","",DATE(YEAR($A2958),MONTH($A2958),1))</f>
        <v/>
      </c>
      <c r="X2958" s="34">
        <f>IF(OR($A2958="",$H2958&lt;&gt;"Ausgabe",J2958=""),0,IF(J2958="x",-$E2958/(COUNTIF($J2958:$Q2958,"x")+1),-$E2958*N(J2958)))</f>
        <v/>
      </c>
      <c r="Y2958" s="34">
        <f>IF(OR($A2958="",$H2958&lt;&gt;"Ausgabe",K2958=""),0,IF(K2958="x",-$E2958/(COUNTIF($J2958:$Q2958,"x")+1),-$E2958*N(K2958)))</f>
        <v/>
      </c>
      <c r="Z2958" s="34">
        <f>IF(OR($A2958="",$H2958&lt;&gt;"Ausgabe",L2958=""),0,IF(L2958="x",-$E2958/(COUNTIF($J2958:$Q2958,"x")+1),-$E2958*N(L2958)))</f>
        <v/>
      </c>
      <c r="AA2958" s="34">
        <f>IF(OR($A2958="",$H2958&lt;&gt;"Ausgabe",M2958=""),0,IF(M2958="x",-$E2958/(COUNTIF($J2958:$Q2958,"x")+1),-$E2958*N(M2958)))</f>
        <v/>
      </c>
      <c r="AB2958" s="34">
        <f>IF(OR($A2958="",$H2958&lt;&gt;"Ausgabe",N2958=""),0,IF(N2958="x",-$E2958/(COUNTIF($J2958:$Q2958,"x")+1),-$E2958*N(N2958)))</f>
        <v/>
      </c>
      <c r="AC2958" s="34">
        <f>IF(OR($A2958="",$H2958&lt;&gt;"Ausgabe",O2958=""),0,IF(O2958="x",-$E2958/(COUNTIF($J2958:$Q2958,"x")+1),-$E2958*N(O2958)))</f>
        <v/>
      </c>
      <c r="AD2958" s="34">
        <f>IF(OR($A2958="",$H2958&lt;&gt;"Ausgabe",P2958=""),0,IF(P2958="x",-$E2958/(COUNTIF($J2958:$Q2958,"x")+1),-$E2958*N(P2958)))</f>
        <v/>
      </c>
      <c r="AE2958" s="34">
        <f>IF(OR($A2958="",$H2958&lt;&gt;"Ausgabe",Q2958=""),0,IF(Q2958="x",-$E2958/(COUNTIF($J2958:$Q2958,"x")+1),-$E2958*N(Q2958)))</f>
        <v/>
      </c>
    </row>
    <row r="2959">
      <c r="A2959" s="30" t="n"/>
      <c r="E2959" s="31" t="n"/>
      <c r="J2959" s="32" t="n"/>
      <c r="K2959" s="32" t="n"/>
      <c r="L2959" s="32" t="n"/>
      <c r="M2959" s="32" t="n"/>
      <c r="N2959" s="32" t="n"/>
      <c r="O2959" s="32" t="n"/>
      <c r="P2959" s="32" t="n"/>
      <c r="Q2959" s="32" t="n"/>
      <c r="U2959" s="31">
        <f>IF($A2959="","",SUM(X2959:AE2959))</f>
        <v/>
      </c>
      <c r="V2959" s="31">
        <f>IF($A2959="","",IF($H2959&lt;&gt;"Ausgabe",0,-$E2959-$U2959))</f>
        <v/>
      </c>
      <c r="W2959" s="33">
        <f>IF($A2959="","",DATE(YEAR($A2959),MONTH($A2959),1))</f>
        <v/>
      </c>
      <c r="X2959" s="34">
        <f>IF(OR($A2959="",$H2959&lt;&gt;"Ausgabe",J2959=""),0,IF(J2959="x",-$E2959/(COUNTIF($J2959:$Q2959,"x")+1),-$E2959*N(J2959)))</f>
        <v/>
      </c>
      <c r="Y2959" s="34">
        <f>IF(OR($A2959="",$H2959&lt;&gt;"Ausgabe",K2959=""),0,IF(K2959="x",-$E2959/(COUNTIF($J2959:$Q2959,"x")+1),-$E2959*N(K2959)))</f>
        <v/>
      </c>
      <c r="Z2959" s="34">
        <f>IF(OR($A2959="",$H2959&lt;&gt;"Ausgabe",L2959=""),0,IF(L2959="x",-$E2959/(COUNTIF($J2959:$Q2959,"x")+1),-$E2959*N(L2959)))</f>
        <v/>
      </c>
      <c r="AA2959" s="34">
        <f>IF(OR($A2959="",$H2959&lt;&gt;"Ausgabe",M2959=""),0,IF(M2959="x",-$E2959/(COUNTIF($J2959:$Q2959,"x")+1),-$E2959*N(M2959)))</f>
        <v/>
      </c>
      <c r="AB2959" s="34">
        <f>IF(OR($A2959="",$H2959&lt;&gt;"Ausgabe",N2959=""),0,IF(N2959="x",-$E2959/(COUNTIF($J2959:$Q2959,"x")+1),-$E2959*N(N2959)))</f>
        <v/>
      </c>
      <c r="AC2959" s="34">
        <f>IF(OR($A2959="",$H2959&lt;&gt;"Ausgabe",O2959=""),0,IF(O2959="x",-$E2959/(COUNTIF($J2959:$Q2959,"x")+1),-$E2959*N(O2959)))</f>
        <v/>
      </c>
      <c r="AD2959" s="34">
        <f>IF(OR($A2959="",$H2959&lt;&gt;"Ausgabe",P2959=""),0,IF(P2959="x",-$E2959/(COUNTIF($J2959:$Q2959,"x")+1),-$E2959*N(P2959)))</f>
        <v/>
      </c>
      <c r="AE2959" s="34">
        <f>IF(OR($A2959="",$H2959&lt;&gt;"Ausgabe",Q2959=""),0,IF(Q2959="x",-$E2959/(COUNTIF($J2959:$Q2959,"x")+1),-$E2959*N(Q2959)))</f>
        <v/>
      </c>
    </row>
    <row r="2960">
      <c r="A2960" s="30" t="n"/>
      <c r="E2960" s="31" t="n"/>
      <c r="J2960" s="32" t="n"/>
      <c r="K2960" s="32" t="n"/>
      <c r="L2960" s="32" t="n"/>
      <c r="M2960" s="32" t="n"/>
      <c r="N2960" s="32" t="n"/>
      <c r="O2960" s="32" t="n"/>
      <c r="P2960" s="32" t="n"/>
      <c r="Q2960" s="32" t="n"/>
      <c r="U2960" s="31">
        <f>IF($A2960="","",SUM(X2960:AE2960))</f>
        <v/>
      </c>
      <c r="V2960" s="31">
        <f>IF($A2960="","",IF($H2960&lt;&gt;"Ausgabe",0,-$E2960-$U2960))</f>
        <v/>
      </c>
      <c r="W2960" s="33">
        <f>IF($A2960="","",DATE(YEAR($A2960),MONTH($A2960),1))</f>
        <v/>
      </c>
      <c r="X2960" s="34">
        <f>IF(OR($A2960="",$H2960&lt;&gt;"Ausgabe",J2960=""),0,IF(J2960="x",-$E2960/(COUNTIF($J2960:$Q2960,"x")+1),-$E2960*N(J2960)))</f>
        <v/>
      </c>
      <c r="Y2960" s="34">
        <f>IF(OR($A2960="",$H2960&lt;&gt;"Ausgabe",K2960=""),0,IF(K2960="x",-$E2960/(COUNTIF($J2960:$Q2960,"x")+1),-$E2960*N(K2960)))</f>
        <v/>
      </c>
      <c r="Z2960" s="34">
        <f>IF(OR($A2960="",$H2960&lt;&gt;"Ausgabe",L2960=""),0,IF(L2960="x",-$E2960/(COUNTIF($J2960:$Q2960,"x")+1),-$E2960*N(L2960)))</f>
        <v/>
      </c>
      <c r="AA2960" s="34">
        <f>IF(OR($A2960="",$H2960&lt;&gt;"Ausgabe",M2960=""),0,IF(M2960="x",-$E2960/(COUNTIF($J2960:$Q2960,"x")+1),-$E2960*N(M2960)))</f>
        <v/>
      </c>
      <c r="AB2960" s="34">
        <f>IF(OR($A2960="",$H2960&lt;&gt;"Ausgabe",N2960=""),0,IF(N2960="x",-$E2960/(COUNTIF($J2960:$Q2960,"x")+1),-$E2960*N(N2960)))</f>
        <v/>
      </c>
      <c r="AC2960" s="34">
        <f>IF(OR($A2960="",$H2960&lt;&gt;"Ausgabe",O2960=""),0,IF(O2960="x",-$E2960/(COUNTIF($J2960:$Q2960,"x")+1),-$E2960*N(O2960)))</f>
        <v/>
      </c>
      <c r="AD2960" s="34">
        <f>IF(OR($A2960="",$H2960&lt;&gt;"Ausgabe",P2960=""),0,IF(P2960="x",-$E2960/(COUNTIF($J2960:$Q2960,"x")+1),-$E2960*N(P2960)))</f>
        <v/>
      </c>
      <c r="AE2960" s="34">
        <f>IF(OR($A2960="",$H2960&lt;&gt;"Ausgabe",Q2960=""),0,IF(Q2960="x",-$E2960/(COUNTIF($J2960:$Q2960,"x")+1),-$E2960*N(Q2960)))</f>
        <v/>
      </c>
    </row>
    <row r="2961">
      <c r="A2961" s="30" t="n"/>
      <c r="E2961" s="31" t="n"/>
      <c r="J2961" s="32" t="n"/>
      <c r="K2961" s="32" t="n"/>
      <c r="L2961" s="32" t="n"/>
      <c r="M2961" s="32" t="n"/>
      <c r="N2961" s="32" t="n"/>
      <c r="O2961" s="32" t="n"/>
      <c r="P2961" s="32" t="n"/>
      <c r="Q2961" s="32" t="n"/>
      <c r="U2961" s="31">
        <f>IF($A2961="","",SUM(X2961:AE2961))</f>
        <v/>
      </c>
      <c r="V2961" s="31">
        <f>IF($A2961="","",IF($H2961&lt;&gt;"Ausgabe",0,-$E2961-$U2961))</f>
        <v/>
      </c>
      <c r="W2961" s="33">
        <f>IF($A2961="","",DATE(YEAR($A2961),MONTH($A2961),1))</f>
        <v/>
      </c>
      <c r="X2961" s="34">
        <f>IF(OR($A2961="",$H2961&lt;&gt;"Ausgabe",J2961=""),0,IF(J2961="x",-$E2961/(COUNTIF($J2961:$Q2961,"x")+1),-$E2961*N(J2961)))</f>
        <v/>
      </c>
      <c r="Y2961" s="34">
        <f>IF(OR($A2961="",$H2961&lt;&gt;"Ausgabe",K2961=""),0,IF(K2961="x",-$E2961/(COUNTIF($J2961:$Q2961,"x")+1),-$E2961*N(K2961)))</f>
        <v/>
      </c>
      <c r="Z2961" s="34">
        <f>IF(OR($A2961="",$H2961&lt;&gt;"Ausgabe",L2961=""),0,IF(L2961="x",-$E2961/(COUNTIF($J2961:$Q2961,"x")+1),-$E2961*N(L2961)))</f>
        <v/>
      </c>
      <c r="AA2961" s="34">
        <f>IF(OR($A2961="",$H2961&lt;&gt;"Ausgabe",M2961=""),0,IF(M2961="x",-$E2961/(COUNTIF($J2961:$Q2961,"x")+1),-$E2961*N(M2961)))</f>
        <v/>
      </c>
      <c r="AB2961" s="34">
        <f>IF(OR($A2961="",$H2961&lt;&gt;"Ausgabe",N2961=""),0,IF(N2961="x",-$E2961/(COUNTIF($J2961:$Q2961,"x")+1),-$E2961*N(N2961)))</f>
        <v/>
      </c>
      <c r="AC2961" s="34">
        <f>IF(OR($A2961="",$H2961&lt;&gt;"Ausgabe",O2961=""),0,IF(O2961="x",-$E2961/(COUNTIF($J2961:$Q2961,"x")+1),-$E2961*N(O2961)))</f>
        <v/>
      </c>
      <c r="AD2961" s="34">
        <f>IF(OR($A2961="",$H2961&lt;&gt;"Ausgabe",P2961=""),0,IF(P2961="x",-$E2961/(COUNTIF($J2961:$Q2961,"x")+1),-$E2961*N(P2961)))</f>
        <v/>
      </c>
      <c r="AE2961" s="34">
        <f>IF(OR($A2961="",$H2961&lt;&gt;"Ausgabe",Q2961=""),0,IF(Q2961="x",-$E2961/(COUNTIF($J2961:$Q2961,"x")+1),-$E2961*N(Q2961)))</f>
        <v/>
      </c>
    </row>
    <row r="2962">
      <c r="A2962" s="30" t="n"/>
      <c r="E2962" s="31" t="n"/>
      <c r="J2962" s="32" t="n"/>
      <c r="K2962" s="32" t="n"/>
      <c r="L2962" s="32" t="n"/>
      <c r="M2962" s="32" t="n"/>
      <c r="N2962" s="32" t="n"/>
      <c r="O2962" s="32" t="n"/>
      <c r="P2962" s="32" t="n"/>
      <c r="Q2962" s="32" t="n"/>
      <c r="U2962" s="31">
        <f>IF($A2962="","",SUM(X2962:AE2962))</f>
        <v/>
      </c>
      <c r="V2962" s="31">
        <f>IF($A2962="","",IF($H2962&lt;&gt;"Ausgabe",0,-$E2962-$U2962))</f>
        <v/>
      </c>
      <c r="W2962" s="33">
        <f>IF($A2962="","",DATE(YEAR($A2962),MONTH($A2962),1))</f>
        <v/>
      </c>
      <c r="X2962" s="34">
        <f>IF(OR($A2962="",$H2962&lt;&gt;"Ausgabe",J2962=""),0,IF(J2962="x",-$E2962/(COUNTIF($J2962:$Q2962,"x")+1),-$E2962*N(J2962)))</f>
        <v/>
      </c>
      <c r="Y2962" s="34">
        <f>IF(OR($A2962="",$H2962&lt;&gt;"Ausgabe",K2962=""),0,IF(K2962="x",-$E2962/(COUNTIF($J2962:$Q2962,"x")+1),-$E2962*N(K2962)))</f>
        <v/>
      </c>
      <c r="Z2962" s="34">
        <f>IF(OR($A2962="",$H2962&lt;&gt;"Ausgabe",L2962=""),0,IF(L2962="x",-$E2962/(COUNTIF($J2962:$Q2962,"x")+1),-$E2962*N(L2962)))</f>
        <v/>
      </c>
      <c r="AA2962" s="34">
        <f>IF(OR($A2962="",$H2962&lt;&gt;"Ausgabe",M2962=""),0,IF(M2962="x",-$E2962/(COUNTIF($J2962:$Q2962,"x")+1),-$E2962*N(M2962)))</f>
        <v/>
      </c>
      <c r="AB2962" s="34">
        <f>IF(OR($A2962="",$H2962&lt;&gt;"Ausgabe",N2962=""),0,IF(N2962="x",-$E2962/(COUNTIF($J2962:$Q2962,"x")+1),-$E2962*N(N2962)))</f>
        <v/>
      </c>
      <c r="AC2962" s="34">
        <f>IF(OR($A2962="",$H2962&lt;&gt;"Ausgabe",O2962=""),0,IF(O2962="x",-$E2962/(COUNTIF($J2962:$Q2962,"x")+1),-$E2962*N(O2962)))</f>
        <v/>
      </c>
      <c r="AD2962" s="34">
        <f>IF(OR($A2962="",$H2962&lt;&gt;"Ausgabe",P2962=""),0,IF(P2962="x",-$E2962/(COUNTIF($J2962:$Q2962,"x")+1),-$E2962*N(P2962)))</f>
        <v/>
      </c>
      <c r="AE2962" s="34">
        <f>IF(OR($A2962="",$H2962&lt;&gt;"Ausgabe",Q2962=""),0,IF(Q2962="x",-$E2962/(COUNTIF($J2962:$Q2962,"x")+1),-$E2962*N(Q2962)))</f>
        <v/>
      </c>
    </row>
    <row r="2963">
      <c r="A2963" s="30" t="n"/>
      <c r="E2963" s="31" t="n"/>
      <c r="J2963" s="32" t="n"/>
      <c r="K2963" s="32" t="n"/>
      <c r="L2963" s="32" t="n"/>
      <c r="M2963" s="32" t="n"/>
      <c r="N2963" s="32" t="n"/>
      <c r="O2963" s="32" t="n"/>
      <c r="P2963" s="32" t="n"/>
      <c r="Q2963" s="32" t="n"/>
      <c r="U2963" s="31">
        <f>IF($A2963="","",SUM(X2963:AE2963))</f>
        <v/>
      </c>
      <c r="V2963" s="31">
        <f>IF($A2963="","",IF($H2963&lt;&gt;"Ausgabe",0,-$E2963-$U2963))</f>
        <v/>
      </c>
      <c r="W2963" s="33">
        <f>IF($A2963="","",DATE(YEAR($A2963),MONTH($A2963),1))</f>
        <v/>
      </c>
      <c r="X2963" s="34">
        <f>IF(OR($A2963="",$H2963&lt;&gt;"Ausgabe",J2963=""),0,IF(J2963="x",-$E2963/(COUNTIF($J2963:$Q2963,"x")+1),-$E2963*N(J2963)))</f>
        <v/>
      </c>
      <c r="Y2963" s="34">
        <f>IF(OR($A2963="",$H2963&lt;&gt;"Ausgabe",K2963=""),0,IF(K2963="x",-$E2963/(COUNTIF($J2963:$Q2963,"x")+1),-$E2963*N(K2963)))</f>
        <v/>
      </c>
      <c r="Z2963" s="34">
        <f>IF(OR($A2963="",$H2963&lt;&gt;"Ausgabe",L2963=""),0,IF(L2963="x",-$E2963/(COUNTIF($J2963:$Q2963,"x")+1),-$E2963*N(L2963)))</f>
        <v/>
      </c>
      <c r="AA2963" s="34">
        <f>IF(OR($A2963="",$H2963&lt;&gt;"Ausgabe",M2963=""),0,IF(M2963="x",-$E2963/(COUNTIF($J2963:$Q2963,"x")+1),-$E2963*N(M2963)))</f>
        <v/>
      </c>
      <c r="AB2963" s="34">
        <f>IF(OR($A2963="",$H2963&lt;&gt;"Ausgabe",N2963=""),0,IF(N2963="x",-$E2963/(COUNTIF($J2963:$Q2963,"x")+1),-$E2963*N(N2963)))</f>
        <v/>
      </c>
      <c r="AC2963" s="34">
        <f>IF(OR($A2963="",$H2963&lt;&gt;"Ausgabe",O2963=""),0,IF(O2963="x",-$E2963/(COUNTIF($J2963:$Q2963,"x")+1),-$E2963*N(O2963)))</f>
        <v/>
      </c>
      <c r="AD2963" s="34">
        <f>IF(OR($A2963="",$H2963&lt;&gt;"Ausgabe",P2963=""),0,IF(P2963="x",-$E2963/(COUNTIF($J2963:$Q2963,"x")+1),-$E2963*N(P2963)))</f>
        <v/>
      </c>
      <c r="AE2963" s="34">
        <f>IF(OR($A2963="",$H2963&lt;&gt;"Ausgabe",Q2963=""),0,IF(Q2963="x",-$E2963/(COUNTIF($J2963:$Q2963,"x")+1),-$E2963*N(Q2963)))</f>
        <v/>
      </c>
    </row>
    <row r="2964">
      <c r="A2964" s="30" t="n"/>
      <c r="E2964" s="31" t="n"/>
      <c r="J2964" s="32" t="n"/>
      <c r="K2964" s="32" t="n"/>
      <c r="L2964" s="32" t="n"/>
      <c r="M2964" s="32" t="n"/>
      <c r="N2964" s="32" t="n"/>
      <c r="O2964" s="32" t="n"/>
      <c r="P2964" s="32" t="n"/>
      <c r="Q2964" s="32" t="n"/>
      <c r="U2964" s="31">
        <f>IF($A2964="","",SUM(X2964:AE2964))</f>
        <v/>
      </c>
      <c r="V2964" s="31">
        <f>IF($A2964="","",IF($H2964&lt;&gt;"Ausgabe",0,-$E2964-$U2964))</f>
        <v/>
      </c>
      <c r="W2964" s="33">
        <f>IF($A2964="","",DATE(YEAR($A2964),MONTH($A2964),1))</f>
        <v/>
      </c>
      <c r="X2964" s="34">
        <f>IF(OR($A2964="",$H2964&lt;&gt;"Ausgabe",J2964=""),0,IF(J2964="x",-$E2964/(COUNTIF($J2964:$Q2964,"x")+1),-$E2964*N(J2964)))</f>
        <v/>
      </c>
      <c r="Y2964" s="34">
        <f>IF(OR($A2964="",$H2964&lt;&gt;"Ausgabe",K2964=""),0,IF(K2964="x",-$E2964/(COUNTIF($J2964:$Q2964,"x")+1),-$E2964*N(K2964)))</f>
        <v/>
      </c>
      <c r="Z2964" s="34">
        <f>IF(OR($A2964="",$H2964&lt;&gt;"Ausgabe",L2964=""),0,IF(L2964="x",-$E2964/(COUNTIF($J2964:$Q2964,"x")+1),-$E2964*N(L2964)))</f>
        <v/>
      </c>
      <c r="AA2964" s="34">
        <f>IF(OR($A2964="",$H2964&lt;&gt;"Ausgabe",M2964=""),0,IF(M2964="x",-$E2964/(COUNTIF($J2964:$Q2964,"x")+1),-$E2964*N(M2964)))</f>
        <v/>
      </c>
      <c r="AB2964" s="34">
        <f>IF(OR($A2964="",$H2964&lt;&gt;"Ausgabe",N2964=""),0,IF(N2964="x",-$E2964/(COUNTIF($J2964:$Q2964,"x")+1),-$E2964*N(N2964)))</f>
        <v/>
      </c>
      <c r="AC2964" s="34">
        <f>IF(OR($A2964="",$H2964&lt;&gt;"Ausgabe",O2964=""),0,IF(O2964="x",-$E2964/(COUNTIF($J2964:$Q2964,"x")+1),-$E2964*N(O2964)))</f>
        <v/>
      </c>
      <c r="AD2964" s="34">
        <f>IF(OR($A2964="",$H2964&lt;&gt;"Ausgabe",P2964=""),0,IF(P2964="x",-$E2964/(COUNTIF($J2964:$Q2964,"x")+1),-$E2964*N(P2964)))</f>
        <v/>
      </c>
      <c r="AE2964" s="34">
        <f>IF(OR($A2964="",$H2964&lt;&gt;"Ausgabe",Q2964=""),0,IF(Q2964="x",-$E2964/(COUNTIF($J2964:$Q2964,"x")+1),-$E2964*N(Q2964)))</f>
        <v/>
      </c>
    </row>
    <row r="2965">
      <c r="A2965" s="30" t="n"/>
      <c r="E2965" s="31" t="n"/>
      <c r="J2965" s="32" t="n"/>
      <c r="K2965" s="32" t="n"/>
      <c r="L2965" s="32" t="n"/>
      <c r="M2965" s="32" t="n"/>
      <c r="N2965" s="32" t="n"/>
      <c r="O2965" s="32" t="n"/>
      <c r="P2965" s="32" t="n"/>
      <c r="Q2965" s="32" t="n"/>
      <c r="U2965" s="31">
        <f>IF($A2965="","",SUM(X2965:AE2965))</f>
        <v/>
      </c>
      <c r="V2965" s="31">
        <f>IF($A2965="","",IF($H2965&lt;&gt;"Ausgabe",0,-$E2965-$U2965))</f>
        <v/>
      </c>
      <c r="W2965" s="33">
        <f>IF($A2965="","",DATE(YEAR($A2965),MONTH($A2965),1))</f>
        <v/>
      </c>
      <c r="X2965" s="34">
        <f>IF(OR($A2965="",$H2965&lt;&gt;"Ausgabe",J2965=""),0,IF(J2965="x",-$E2965/(COUNTIF($J2965:$Q2965,"x")+1),-$E2965*N(J2965)))</f>
        <v/>
      </c>
      <c r="Y2965" s="34">
        <f>IF(OR($A2965="",$H2965&lt;&gt;"Ausgabe",K2965=""),0,IF(K2965="x",-$E2965/(COUNTIF($J2965:$Q2965,"x")+1),-$E2965*N(K2965)))</f>
        <v/>
      </c>
      <c r="Z2965" s="34">
        <f>IF(OR($A2965="",$H2965&lt;&gt;"Ausgabe",L2965=""),0,IF(L2965="x",-$E2965/(COUNTIF($J2965:$Q2965,"x")+1),-$E2965*N(L2965)))</f>
        <v/>
      </c>
      <c r="AA2965" s="34">
        <f>IF(OR($A2965="",$H2965&lt;&gt;"Ausgabe",M2965=""),0,IF(M2965="x",-$E2965/(COUNTIF($J2965:$Q2965,"x")+1),-$E2965*N(M2965)))</f>
        <v/>
      </c>
      <c r="AB2965" s="34">
        <f>IF(OR($A2965="",$H2965&lt;&gt;"Ausgabe",N2965=""),0,IF(N2965="x",-$E2965/(COUNTIF($J2965:$Q2965,"x")+1),-$E2965*N(N2965)))</f>
        <v/>
      </c>
      <c r="AC2965" s="34">
        <f>IF(OR($A2965="",$H2965&lt;&gt;"Ausgabe",O2965=""),0,IF(O2965="x",-$E2965/(COUNTIF($J2965:$Q2965,"x")+1),-$E2965*N(O2965)))</f>
        <v/>
      </c>
      <c r="AD2965" s="34">
        <f>IF(OR($A2965="",$H2965&lt;&gt;"Ausgabe",P2965=""),0,IF(P2965="x",-$E2965/(COUNTIF($J2965:$Q2965,"x")+1),-$E2965*N(P2965)))</f>
        <v/>
      </c>
      <c r="AE2965" s="34">
        <f>IF(OR($A2965="",$H2965&lt;&gt;"Ausgabe",Q2965=""),0,IF(Q2965="x",-$E2965/(COUNTIF($J2965:$Q2965,"x")+1),-$E2965*N(Q2965)))</f>
        <v/>
      </c>
    </row>
    <row r="2966">
      <c r="A2966" s="30" t="n"/>
      <c r="E2966" s="31" t="n"/>
      <c r="J2966" s="32" t="n"/>
      <c r="K2966" s="32" t="n"/>
      <c r="L2966" s="32" t="n"/>
      <c r="M2966" s="32" t="n"/>
      <c r="N2966" s="32" t="n"/>
      <c r="O2966" s="32" t="n"/>
      <c r="P2966" s="32" t="n"/>
      <c r="Q2966" s="32" t="n"/>
      <c r="U2966" s="31">
        <f>IF($A2966="","",SUM(X2966:AE2966))</f>
        <v/>
      </c>
      <c r="V2966" s="31">
        <f>IF($A2966="","",IF($H2966&lt;&gt;"Ausgabe",0,-$E2966-$U2966))</f>
        <v/>
      </c>
      <c r="W2966" s="33">
        <f>IF($A2966="","",DATE(YEAR($A2966),MONTH($A2966),1))</f>
        <v/>
      </c>
      <c r="X2966" s="34">
        <f>IF(OR($A2966="",$H2966&lt;&gt;"Ausgabe",J2966=""),0,IF(J2966="x",-$E2966/(COUNTIF($J2966:$Q2966,"x")+1),-$E2966*N(J2966)))</f>
        <v/>
      </c>
      <c r="Y2966" s="34">
        <f>IF(OR($A2966="",$H2966&lt;&gt;"Ausgabe",K2966=""),0,IF(K2966="x",-$E2966/(COUNTIF($J2966:$Q2966,"x")+1),-$E2966*N(K2966)))</f>
        <v/>
      </c>
      <c r="Z2966" s="34">
        <f>IF(OR($A2966="",$H2966&lt;&gt;"Ausgabe",L2966=""),0,IF(L2966="x",-$E2966/(COUNTIF($J2966:$Q2966,"x")+1),-$E2966*N(L2966)))</f>
        <v/>
      </c>
      <c r="AA2966" s="34">
        <f>IF(OR($A2966="",$H2966&lt;&gt;"Ausgabe",M2966=""),0,IF(M2966="x",-$E2966/(COUNTIF($J2966:$Q2966,"x")+1),-$E2966*N(M2966)))</f>
        <v/>
      </c>
      <c r="AB2966" s="34">
        <f>IF(OR($A2966="",$H2966&lt;&gt;"Ausgabe",N2966=""),0,IF(N2966="x",-$E2966/(COUNTIF($J2966:$Q2966,"x")+1),-$E2966*N(N2966)))</f>
        <v/>
      </c>
      <c r="AC2966" s="34">
        <f>IF(OR($A2966="",$H2966&lt;&gt;"Ausgabe",O2966=""),0,IF(O2966="x",-$E2966/(COUNTIF($J2966:$Q2966,"x")+1),-$E2966*N(O2966)))</f>
        <v/>
      </c>
      <c r="AD2966" s="34">
        <f>IF(OR($A2966="",$H2966&lt;&gt;"Ausgabe",P2966=""),0,IF(P2966="x",-$E2966/(COUNTIF($J2966:$Q2966,"x")+1),-$E2966*N(P2966)))</f>
        <v/>
      </c>
      <c r="AE2966" s="34">
        <f>IF(OR($A2966="",$H2966&lt;&gt;"Ausgabe",Q2966=""),0,IF(Q2966="x",-$E2966/(COUNTIF($J2966:$Q2966,"x")+1),-$E2966*N(Q2966)))</f>
        <v/>
      </c>
    </row>
    <row r="2967">
      <c r="A2967" s="30" t="n"/>
      <c r="E2967" s="31" t="n"/>
      <c r="J2967" s="32" t="n"/>
      <c r="K2967" s="32" t="n"/>
      <c r="L2967" s="32" t="n"/>
      <c r="M2967" s="32" t="n"/>
      <c r="N2967" s="32" t="n"/>
      <c r="O2967" s="32" t="n"/>
      <c r="P2967" s="32" t="n"/>
      <c r="Q2967" s="32" t="n"/>
      <c r="U2967" s="31">
        <f>IF($A2967="","",SUM(X2967:AE2967))</f>
        <v/>
      </c>
      <c r="V2967" s="31">
        <f>IF($A2967="","",IF($H2967&lt;&gt;"Ausgabe",0,-$E2967-$U2967))</f>
        <v/>
      </c>
      <c r="W2967" s="33">
        <f>IF($A2967="","",DATE(YEAR($A2967),MONTH($A2967),1))</f>
        <v/>
      </c>
      <c r="X2967" s="34">
        <f>IF(OR($A2967="",$H2967&lt;&gt;"Ausgabe",J2967=""),0,IF(J2967="x",-$E2967/(COUNTIF($J2967:$Q2967,"x")+1),-$E2967*N(J2967)))</f>
        <v/>
      </c>
      <c r="Y2967" s="34">
        <f>IF(OR($A2967="",$H2967&lt;&gt;"Ausgabe",K2967=""),0,IF(K2967="x",-$E2967/(COUNTIF($J2967:$Q2967,"x")+1),-$E2967*N(K2967)))</f>
        <v/>
      </c>
      <c r="Z2967" s="34">
        <f>IF(OR($A2967="",$H2967&lt;&gt;"Ausgabe",L2967=""),0,IF(L2967="x",-$E2967/(COUNTIF($J2967:$Q2967,"x")+1),-$E2967*N(L2967)))</f>
        <v/>
      </c>
      <c r="AA2967" s="34">
        <f>IF(OR($A2967="",$H2967&lt;&gt;"Ausgabe",M2967=""),0,IF(M2967="x",-$E2967/(COUNTIF($J2967:$Q2967,"x")+1),-$E2967*N(M2967)))</f>
        <v/>
      </c>
      <c r="AB2967" s="34">
        <f>IF(OR($A2967="",$H2967&lt;&gt;"Ausgabe",N2967=""),0,IF(N2967="x",-$E2967/(COUNTIF($J2967:$Q2967,"x")+1),-$E2967*N(N2967)))</f>
        <v/>
      </c>
      <c r="AC2967" s="34">
        <f>IF(OR($A2967="",$H2967&lt;&gt;"Ausgabe",O2967=""),0,IF(O2967="x",-$E2967/(COUNTIF($J2967:$Q2967,"x")+1),-$E2967*N(O2967)))</f>
        <v/>
      </c>
      <c r="AD2967" s="34">
        <f>IF(OR($A2967="",$H2967&lt;&gt;"Ausgabe",P2967=""),0,IF(P2967="x",-$E2967/(COUNTIF($J2967:$Q2967,"x")+1),-$E2967*N(P2967)))</f>
        <v/>
      </c>
      <c r="AE2967" s="34">
        <f>IF(OR($A2967="",$H2967&lt;&gt;"Ausgabe",Q2967=""),0,IF(Q2967="x",-$E2967/(COUNTIF($J2967:$Q2967,"x")+1),-$E2967*N(Q2967)))</f>
        <v/>
      </c>
    </row>
    <row r="2968">
      <c r="A2968" s="30" t="n"/>
      <c r="E2968" s="31" t="n"/>
      <c r="J2968" s="32" t="n"/>
      <c r="K2968" s="32" t="n"/>
      <c r="L2968" s="32" t="n"/>
      <c r="M2968" s="32" t="n"/>
      <c r="N2968" s="32" t="n"/>
      <c r="O2968" s="32" t="n"/>
      <c r="P2968" s="32" t="n"/>
      <c r="Q2968" s="32" t="n"/>
      <c r="U2968" s="31">
        <f>IF($A2968="","",SUM(X2968:AE2968))</f>
        <v/>
      </c>
      <c r="V2968" s="31">
        <f>IF($A2968="","",IF($H2968&lt;&gt;"Ausgabe",0,-$E2968-$U2968))</f>
        <v/>
      </c>
      <c r="W2968" s="33">
        <f>IF($A2968="","",DATE(YEAR($A2968),MONTH($A2968),1))</f>
        <v/>
      </c>
      <c r="X2968" s="34">
        <f>IF(OR($A2968="",$H2968&lt;&gt;"Ausgabe",J2968=""),0,IF(J2968="x",-$E2968/(COUNTIF($J2968:$Q2968,"x")+1),-$E2968*N(J2968)))</f>
        <v/>
      </c>
      <c r="Y2968" s="34">
        <f>IF(OR($A2968="",$H2968&lt;&gt;"Ausgabe",K2968=""),0,IF(K2968="x",-$E2968/(COUNTIF($J2968:$Q2968,"x")+1),-$E2968*N(K2968)))</f>
        <v/>
      </c>
      <c r="Z2968" s="34">
        <f>IF(OR($A2968="",$H2968&lt;&gt;"Ausgabe",L2968=""),0,IF(L2968="x",-$E2968/(COUNTIF($J2968:$Q2968,"x")+1),-$E2968*N(L2968)))</f>
        <v/>
      </c>
      <c r="AA2968" s="34">
        <f>IF(OR($A2968="",$H2968&lt;&gt;"Ausgabe",M2968=""),0,IF(M2968="x",-$E2968/(COUNTIF($J2968:$Q2968,"x")+1),-$E2968*N(M2968)))</f>
        <v/>
      </c>
      <c r="AB2968" s="34">
        <f>IF(OR($A2968="",$H2968&lt;&gt;"Ausgabe",N2968=""),0,IF(N2968="x",-$E2968/(COUNTIF($J2968:$Q2968,"x")+1),-$E2968*N(N2968)))</f>
        <v/>
      </c>
      <c r="AC2968" s="34">
        <f>IF(OR($A2968="",$H2968&lt;&gt;"Ausgabe",O2968=""),0,IF(O2968="x",-$E2968/(COUNTIF($J2968:$Q2968,"x")+1),-$E2968*N(O2968)))</f>
        <v/>
      </c>
      <c r="AD2968" s="34">
        <f>IF(OR($A2968="",$H2968&lt;&gt;"Ausgabe",P2968=""),0,IF(P2968="x",-$E2968/(COUNTIF($J2968:$Q2968,"x")+1),-$E2968*N(P2968)))</f>
        <v/>
      </c>
      <c r="AE2968" s="34">
        <f>IF(OR($A2968="",$H2968&lt;&gt;"Ausgabe",Q2968=""),0,IF(Q2968="x",-$E2968/(COUNTIF($J2968:$Q2968,"x")+1),-$E2968*N(Q2968)))</f>
        <v/>
      </c>
    </row>
    <row r="2969">
      <c r="A2969" s="30" t="n"/>
      <c r="E2969" s="31" t="n"/>
      <c r="J2969" s="32" t="n"/>
      <c r="K2969" s="32" t="n"/>
      <c r="L2969" s="32" t="n"/>
      <c r="M2969" s="32" t="n"/>
      <c r="N2969" s="32" t="n"/>
      <c r="O2969" s="32" t="n"/>
      <c r="P2969" s="32" t="n"/>
      <c r="Q2969" s="32" t="n"/>
      <c r="U2969" s="31">
        <f>IF($A2969="","",SUM(X2969:AE2969))</f>
        <v/>
      </c>
      <c r="V2969" s="31">
        <f>IF($A2969="","",IF($H2969&lt;&gt;"Ausgabe",0,-$E2969-$U2969))</f>
        <v/>
      </c>
      <c r="W2969" s="33">
        <f>IF($A2969="","",DATE(YEAR($A2969),MONTH($A2969),1))</f>
        <v/>
      </c>
      <c r="X2969" s="34">
        <f>IF(OR($A2969="",$H2969&lt;&gt;"Ausgabe",J2969=""),0,IF(J2969="x",-$E2969/(COUNTIF($J2969:$Q2969,"x")+1),-$E2969*N(J2969)))</f>
        <v/>
      </c>
      <c r="Y2969" s="34">
        <f>IF(OR($A2969="",$H2969&lt;&gt;"Ausgabe",K2969=""),0,IF(K2969="x",-$E2969/(COUNTIF($J2969:$Q2969,"x")+1),-$E2969*N(K2969)))</f>
        <v/>
      </c>
      <c r="Z2969" s="34">
        <f>IF(OR($A2969="",$H2969&lt;&gt;"Ausgabe",L2969=""),0,IF(L2969="x",-$E2969/(COUNTIF($J2969:$Q2969,"x")+1),-$E2969*N(L2969)))</f>
        <v/>
      </c>
      <c r="AA2969" s="34">
        <f>IF(OR($A2969="",$H2969&lt;&gt;"Ausgabe",M2969=""),0,IF(M2969="x",-$E2969/(COUNTIF($J2969:$Q2969,"x")+1),-$E2969*N(M2969)))</f>
        <v/>
      </c>
      <c r="AB2969" s="34">
        <f>IF(OR($A2969="",$H2969&lt;&gt;"Ausgabe",N2969=""),0,IF(N2969="x",-$E2969/(COUNTIF($J2969:$Q2969,"x")+1),-$E2969*N(N2969)))</f>
        <v/>
      </c>
      <c r="AC2969" s="34">
        <f>IF(OR($A2969="",$H2969&lt;&gt;"Ausgabe",O2969=""),0,IF(O2969="x",-$E2969/(COUNTIF($J2969:$Q2969,"x")+1),-$E2969*N(O2969)))</f>
        <v/>
      </c>
      <c r="AD2969" s="34">
        <f>IF(OR($A2969="",$H2969&lt;&gt;"Ausgabe",P2969=""),0,IF(P2969="x",-$E2969/(COUNTIF($J2969:$Q2969,"x")+1),-$E2969*N(P2969)))</f>
        <v/>
      </c>
      <c r="AE2969" s="34">
        <f>IF(OR($A2969="",$H2969&lt;&gt;"Ausgabe",Q2969=""),0,IF(Q2969="x",-$E2969/(COUNTIF($J2969:$Q2969,"x")+1),-$E2969*N(Q2969)))</f>
        <v/>
      </c>
    </row>
    <row r="2970">
      <c r="A2970" s="30" t="n"/>
      <c r="E2970" s="31" t="n"/>
      <c r="J2970" s="32" t="n"/>
      <c r="K2970" s="32" t="n"/>
      <c r="L2970" s="32" t="n"/>
      <c r="M2970" s="32" t="n"/>
      <c r="N2970" s="32" t="n"/>
      <c r="O2970" s="32" t="n"/>
      <c r="P2970" s="32" t="n"/>
      <c r="Q2970" s="32" t="n"/>
      <c r="U2970" s="31">
        <f>IF($A2970="","",SUM(X2970:AE2970))</f>
        <v/>
      </c>
      <c r="V2970" s="31">
        <f>IF($A2970="","",IF($H2970&lt;&gt;"Ausgabe",0,-$E2970-$U2970))</f>
        <v/>
      </c>
      <c r="W2970" s="33">
        <f>IF($A2970="","",DATE(YEAR($A2970),MONTH($A2970),1))</f>
        <v/>
      </c>
      <c r="X2970" s="34">
        <f>IF(OR($A2970="",$H2970&lt;&gt;"Ausgabe",J2970=""),0,IF(J2970="x",-$E2970/(COUNTIF($J2970:$Q2970,"x")+1),-$E2970*N(J2970)))</f>
        <v/>
      </c>
      <c r="Y2970" s="34">
        <f>IF(OR($A2970="",$H2970&lt;&gt;"Ausgabe",K2970=""),0,IF(K2970="x",-$E2970/(COUNTIF($J2970:$Q2970,"x")+1),-$E2970*N(K2970)))</f>
        <v/>
      </c>
      <c r="Z2970" s="34">
        <f>IF(OR($A2970="",$H2970&lt;&gt;"Ausgabe",L2970=""),0,IF(L2970="x",-$E2970/(COUNTIF($J2970:$Q2970,"x")+1),-$E2970*N(L2970)))</f>
        <v/>
      </c>
      <c r="AA2970" s="34">
        <f>IF(OR($A2970="",$H2970&lt;&gt;"Ausgabe",M2970=""),0,IF(M2970="x",-$E2970/(COUNTIF($J2970:$Q2970,"x")+1),-$E2970*N(M2970)))</f>
        <v/>
      </c>
      <c r="AB2970" s="34">
        <f>IF(OR($A2970="",$H2970&lt;&gt;"Ausgabe",N2970=""),0,IF(N2970="x",-$E2970/(COUNTIF($J2970:$Q2970,"x")+1),-$E2970*N(N2970)))</f>
        <v/>
      </c>
      <c r="AC2970" s="34">
        <f>IF(OR($A2970="",$H2970&lt;&gt;"Ausgabe",O2970=""),0,IF(O2970="x",-$E2970/(COUNTIF($J2970:$Q2970,"x")+1),-$E2970*N(O2970)))</f>
        <v/>
      </c>
      <c r="AD2970" s="34">
        <f>IF(OR($A2970="",$H2970&lt;&gt;"Ausgabe",P2970=""),0,IF(P2970="x",-$E2970/(COUNTIF($J2970:$Q2970,"x")+1),-$E2970*N(P2970)))</f>
        <v/>
      </c>
      <c r="AE2970" s="34">
        <f>IF(OR($A2970="",$H2970&lt;&gt;"Ausgabe",Q2970=""),0,IF(Q2970="x",-$E2970/(COUNTIF($J2970:$Q2970,"x")+1),-$E2970*N(Q2970)))</f>
        <v/>
      </c>
    </row>
    <row r="2971">
      <c r="A2971" s="30" t="n"/>
      <c r="E2971" s="31" t="n"/>
      <c r="J2971" s="32" t="n"/>
      <c r="K2971" s="32" t="n"/>
      <c r="L2971" s="32" t="n"/>
      <c r="M2971" s="32" t="n"/>
      <c r="N2971" s="32" t="n"/>
      <c r="O2971" s="32" t="n"/>
      <c r="P2971" s="32" t="n"/>
      <c r="Q2971" s="32" t="n"/>
      <c r="U2971" s="31">
        <f>IF($A2971="","",SUM(X2971:AE2971))</f>
        <v/>
      </c>
      <c r="V2971" s="31">
        <f>IF($A2971="","",IF($H2971&lt;&gt;"Ausgabe",0,-$E2971-$U2971))</f>
        <v/>
      </c>
      <c r="W2971" s="33">
        <f>IF($A2971="","",DATE(YEAR($A2971),MONTH($A2971),1))</f>
        <v/>
      </c>
      <c r="X2971" s="34">
        <f>IF(OR($A2971="",$H2971&lt;&gt;"Ausgabe",J2971=""),0,IF(J2971="x",-$E2971/(COUNTIF($J2971:$Q2971,"x")+1),-$E2971*N(J2971)))</f>
        <v/>
      </c>
      <c r="Y2971" s="34">
        <f>IF(OR($A2971="",$H2971&lt;&gt;"Ausgabe",K2971=""),0,IF(K2971="x",-$E2971/(COUNTIF($J2971:$Q2971,"x")+1),-$E2971*N(K2971)))</f>
        <v/>
      </c>
      <c r="Z2971" s="34">
        <f>IF(OR($A2971="",$H2971&lt;&gt;"Ausgabe",L2971=""),0,IF(L2971="x",-$E2971/(COUNTIF($J2971:$Q2971,"x")+1),-$E2971*N(L2971)))</f>
        <v/>
      </c>
      <c r="AA2971" s="34">
        <f>IF(OR($A2971="",$H2971&lt;&gt;"Ausgabe",M2971=""),0,IF(M2971="x",-$E2971/(COUNTIF($J2971:$Q2971,"x")+1),-$E2971*N(M2971)))</f>
        <v/>
      </c>
      <c r="AB2971" s="34">
        <f>IF(OR($A2971="",$H2971&lt;&gt;"Ausgabe",N2971=""),0,IF(N2971="x",-$E2971/(COUNTIF($J2971:$Q2971,"x")+1),-$E2971*N(N2971)))</f>
        <v/>
      </c>
      <c r="AC2971" s="34">
        <f>IF(OR($A2971="",$H2971&lt;&gt;"Ausgabe",O2971=""),0,IF(O2971="x",-$E2971/(COUNTIF($J2971:$Q2971,"x")+1),-$E2971*N(O2971)))</f>
        <v/>
      </c>
      <c r="AD2971" s="34">
        <f>IF(OR($A2971="",$H2971&lt;&gt;"Ausgabe",P2971=""),0,IF(P2971="x",-$E2971/(COUNTIF($J2971:$Q2971,"x")+1),-$E2971*N(P2971)))</f>
        <v/>
      </c>
      <c r="AE2971" s="34">
        <f>IF(OR($A2971="",$H2971&lt;&gt;"Ausgabe",Q2971=""),0,IF(Q2971="x",-$E2971/(COUNTIF($J2971:$Q2971,"x")+1),-$E2971*N(Q2971)))</f>
        <v/>
      </c>
    </row>
    <row r="2972">
      <c r="A2972" s="30" t="n"/>
      <c r="E2972" s="31" t="n"/>
      <c r="J2972" s="32" t="n"/>
      <c r="K2972" s="32" t="n"/>
      <c r="L2972" s="32" t="n"/>
      <c r="M2972" s="32" t="n"/>
      <c r="N2972" s="32" t="n"/>
      <c r="O2972" s="32" t="n"/>
      <c r="P2972" s="32" t="n"/>
      <c r="Q2972" s="32" t="n"/>
      <c r="U2972" s="31">
        <f>IF($A2972="","",SUM(X2972:AE2972))</f>
        <v/>
      </c>
      <c r="V2972" s="31">
        <f>IF($A2972="","",IF($H2972&lt;&gt;"Ausgabe",0,-$E2972-$U2972))</f>
        <v/>
      </c>
      <c r="W2972" s="33">
        <f>IF($A2972="","",DATE(YEAR($A2972),MONTH($A2972),1))</f>
        <v/>
      </c>
      <c r="X2972" s="34">
        <f>IF(OR($A2972="",$H2972&lt;&gt;"Ausgabe",J2972=""),0,IF(J2972="x",-$E2972/(COUNTIF($J2972:$Q2972,"x")+1),-$E2972*N(J2972)))</f>
        <v/>
      </c>
      <c r="Y2972" s="34">
        <f>IF(OR($A2972="",$H2972&lt;&gt;"Ausgabe",K2972=""),0,IF(K2972="x",-$E2972/(COUNTIF($J2972:$Q2972,"x")+1),-$E2972*N(K2972)))</f>
        <v/>
      </c>
      <c r="Z2972" s="34">
        <f>IF(OR($A2972="",$H2972&lt;&gt;"Ausgabe",L2972=""),0,IF(L2972="x",-$E2972/(COUNTIF($J2972:$Q2972,"x")+1),-$E2972*N(L2972)))</f>
        <v/>
      </c>
      <c r="AA2972" s="34">
        <f>IF(OR($A2972="",$H2972&lt;&gt;"Ausgabe",M2972=""),0,IF(M2972="x",-$E2972/(COUNTIF($J2972:$Q2972,"x")+1),-$E2972*N(M2972)))</f>
        <v/>
      </c>
      <c r="AB2972" s="34">
        <f>IF(OR($A2972="",$H2972&lt;&gt;"Ausgabe",N2972=""),0,IF(N2972="x",-$E2972/(COUNTIF($J2972:$Q2972,"x")+1),-$E2972*N(N2972)))</f>
        <v/>
      </c>
      <c r="AC2972" s="34">
        <f>IF(OR($A2972="",$H2972&lt;&gt;"Ausgabe",O2972=""),0,IF(O2972="x",-$E2972/(COUNTIF($J2972:$Q2972,"x")+1),-$E2972*N(O2972)))</f>
        <v/>
      </c>
      <c r="AD2972" s="34">
        <f>IF(OR($A2972="",$H2972&lt;&gt;"Ausgabe",P2972=""),0,IF(P2972="x",-$E2972/(COUNTIF($J2972:$Q2972,"x")+1),-$E2972*N(P2972)))</f>
        <v/>
      </c>
      <c r="AE2972" s="34">
        <f>IF(OR($A2972="",$H2972&lt;&gt;"Ausgabe",Q2972=""),0,IF(Q2972="x",-$E2972/(COUNTIF($J2972:$Q2972,"x")+1),-$E2972*N(Q2972)))</f>
        <v/>
      </c>
    </row>
    <row r="2973">
      <c r="A2973" s="30" t="n"/>
      <c r="E2973" s="31" t="n"/>
      <c r="J2973" s="32" t="n"/>
      <c r="K2973" s="32" t="n"/>
      <c r="L2973" s="32" t="n"/>
      <c r="M2973" s="32" t="n"/>
      <c r="N2973" s="32" t="n"/>
      <c r="O2973" s="32" t="n"/>
      <c r="P2973" s="32" t="n"/>
      <c r="Q2973" s="32" t="n"/>
      <c r="U2973" s="31">
        <f>IF($A2973="","",SUM(X2973:AE2973))</f>
        <v/>
      </c>
      <c r="V2973" s="31">
        <f>IF($A2973="","",IF($H2973&lt;&gt;"Ausgabe",0,-$E2973-$U2973))</f>
        <v/>
      </c>
      <c r="W2973" s="33">
        <f>IF($A2973="","",DATE(YEAR($A2973),MONTH($A2973),1))</f>
        <v/>
      </c>
      <c r="X2973" s="34">
        <f>IF(OR($A2973="",$H2973&lt;&gt;"Ausgabe",J2973=""),0,IF(J2973="x",-$E2973/(COUNTIF($J2973:$Q2973,"x")+1),-$E2973*N(J2973)))</f>
        <v/>
      </c>
      <c r="Y2973" s="34">
        <f>IF(OR($A2973="",$H2973&lt;&gt;"Ausgabe",K2973=""),0,IF(K2973="x",-$E2973/(COUNTIF($J2973:$Q2973,"x")+1),-$E2973*N(K2973)))</f>
        <v/>
      </c>
      <c r="Z2973" s="34">
        <f>IF(OR($A2973="",$H2973&lt;&gt;"Ausgabe",L2973=""),0,IF(L2973="x",-$E2973/(COUNTIF($J2973:$Q2973,"x")+1),-$E2973*N(L2973)))</f>
        <v/>
      </c>
      <c r="AA2973" s="34">
        <f>IF(OR($A2973="",$H2973&lt;&gt;"Ausgabe",M2973=""),0,IF(M2973="x",-$E2973/(COUNTIF($J2973:$Q2973,"x")+1),-$E2973*N(M2973)))</f>
        <v/>
      </c>
      <c r="AB2973" s="34">
        <f>IF(OR($A2973="",$H2973&lt;&gt;"Ausgabe",N2973=""),0,IF(N2973="x",-$E2973/(COUNTIF($J2973:$Q2973,"x")+1),-$E2973*N(N2973)))</f>
        <v/>
      </c>
      <c r="AC2973" s="34">
        <f>IF(OR($A2973="",$H2973&lt;&gt;"Ausgabe",O2973=""),0,IF(O2973="x",-$E2973/(COUNTIF($J2973:$Q2973,"x")+1),-$E2973*N(O2973)))</f>
        <v/>
      </c>
      <c r="AD2973" s="34">
        <f>IF(OR($A2973="",$H2973&lt;&gt;"Ausgabe",P2973=""),0,IF(P2973="x",-$E2973/(COUNTIF($J2973:$Q2973,"x")+1),-$E2973*N(P2973)))</f>
        <v/>
      </c>
      <c r="AE2973" s="34">
        <f>IF(OR($A2973="",$H2973&lt;&gt;"Ausgabe",Q2973=""),0,IF(Q2973="x",-$E2973/(COUNTIF($J2973:$Q2973,"x")+1),-$E2973*N(Q2973)))</f>
        <v/>
      </c>
    </row>
    <row r="2974">
      <c r="A2974" s="30" t="n"/>
      <c r="E2974" s="31" t="n"/>
      <c r="J2974" s="32" t="n"/>
      <c r="K2974" s="32" t="n"/>
      <c r="L2974" s="32" t="n"/>
      <c r="M2974" s="32" t="n"/>
      <c r="N2974" s="32" t="n"/>
      <c r="O2974" s="32" t="n"/>
      <c r="P2974" s="32" t="n"/>
      <c r="Q2974" s="32" t="n"/>
      <c r="U2974" s="31">
        <f>IF($A2974="","",SUM(X2974:AE2974))</f>
        <v/>
      </c>
      <c r="V2974" s="31">
        <f>IF($A2974="","",IF($H2974&lt;&gt;"Ausgabe",0,-$E2974-$U2974))</f>
        <v/>
      </c>
      <c r="W2974" s="33">
        <f>IF($A2974="","",DATE(YEAR($A2974),MONTH($A2974),1))</f>
        <v/>
      </c>
      <c r="X2974" s="34">
        <f>IF(OR($A2974="",$H2974&lt;&gt;"Ausgabe",J2974=""),0,IF(J2974="x",-$E2974/(COUNTIF($J2974:$Q2974,"x")+1),-$E2974*N(J2974)))</f>
        <v/>
      </c>
      <c r="Y2974" s="34">
        <f>IF(OR($A2974="",$H2974&lt;&gt;"Ausgabe",K2974=""),0,IF(K2974="x",-$E2974/(COUNTIF($J2974:$Q2974,"x")+1),-$E2974*N(K2974)))</f>
        <v/>
      </c>
      <c r="Z2974" s="34">
        <f>IF(OR($A2974="",$H2974&lt;&gt;"Ausgabe",L2974=""),0,IF(L2974="x",-$E2974/(COUNTIF($J2974:$Q2974,"x")+1),-$E2974*N(L2974)))</f>
        <v/>
      </c>
      <c r="AA2974" s="34">
        <f>IF(OR($A2974="",$H2974&lt;&gt;"Ausgabe",M2974=""),0,IF(M2974="x",-$E2974/(COUNTIF($J2974:$Q2974,"x")+1),-$E2974*N(M2974)))</f>
        <v/>
      </c>
      <c r="AB2974" s="34">
        <f>IF(OR($A2974="",$H2974&lt;&gt;"Ausgabe",N2974=""),0,IF(N2974="x",-$E2974/(COUNTIF($J2974:$Q2974,"x")+1),-$E2974*N(N2974)))</f>
        <v/>
      </c>
      <c r="AC2974" s="34">
        <f>IF(OR($A2974="",$H2974&lt;&gt;"Ausgabe",O2974=""),0,IF(O2974="x",-$E2974/(COUNTIF($J2974:$Q2974,"x")+1),-$E2974*N(O2974)))</f>
        <v/>
      </c>
      <c r="AD2974" s="34">
        <f>IF(OR($A2974="",$H2974&lt;&gt;"Ausgabe",P2974=""),0,IF(P2974="x",-$E2974/(COUNTIF($J2974:$Q2974,"x")+1),-$E2974*N(P2974)))</f>
        <v/>
      </c>
      <c r="AE2974" s="34">
        <f>IF(OR($A2974="",$H2974&lt;&gt;"Ausgabe",Q2974=""),0,IF(Q2974="x",-$E2974/(COUNTIF($J2974:$Q2974,"x")+1),-$E2974*N(Q2974)))</f>
        <v/>
      </c>
    </row>
    <row r="2975">
      <c r="A2975" s="30" t="n"/>
      <c r="E2975" s="31" t="n"/>
      <c r="J2975" s="32" t="n"/>
      <c r="K2975" s="32" t="n"/>
      <c r="L2975" s="32" t="n"/>
      <c r="M2975" s="32" t="n"/>
      <c r="N2975" s="32" t="n"/>
      <c r="O2975" s="32" t="n"/>
      <c r="P2975" s="32" t="n"/>
      <c r="Q2975" s="32" t="n"/>
      <c r="U2975" s="31">
        <f>IF($A2975="","",SUM(X2975:AE2975))</f>
        <v/>
      </c>
      <c r="V2975" s="31">
        <f>IF($A2975="","",IF($H2975&lt;&gt;"Ausgabe",0,-$E2975-$U2975))</f>
        <v/>
      </c>
      <c r="W2975" s="33">
        <f>IF($A2975="","",DATE(YEAR($A2975),MONTH($A2975),1))</f>
        <v/>
      </c>
      <c r="X2975" s="34">
        <f>IF(OR($A2975="",$H2975&lt;&gt;"Ausgabe",J2975=""),0,IF(J2975="x",-$E2975/(COUNTIF($J2975:$Q2975,"x")+1),-$E2975*N(J2975)))</f>
        <v/>
      </c>
      <c r="Y2975" s="34">
        <f>IF(OR($A2975="",$H2975&lt;&gt;"Ausgabe",K2975=""),0,IF(K2975="x",-$E2975/(COUNTIF($J2975:$Q2975,"x")+1),-$E2975*N(K2975)))</f>
        <v/>
      </c>
      <c r="Z2975" s="34">
        <f>IF(OR($A2975="",$H2975&lt;&gt;"Ausgabe",L2975=""),0,IF(L2975="x",-$E2975/(COUNTIF($J2975:$Q2975,"x")+1),-$E2975*N(L2975)))</f>
        <v/>
      </c>
      <c r="AA2975" s="34">
        <f>IF(OR($A2975="",$H2975&lt;&gt;"Ausgabe",M2975=""),0,IF(M2975="x",-$E2975/(COUNTIF($J2975:$Q2975,"x")+1),-$E2975*N(M2975)))</f>
        <v/>
      </c>
      <c r="AB2975" s="34">
        <f>IF(OR($A2975="",$H2975&lt;&gt;"Ausgabe",N2975=""),0,IF(N2975="x",-$E2975/(COUNTIF($J2975:$Q2975,"x")+1),-$E2975*N(N2975)))</f>
        <v/>
      </c>
      <c r="AC2975" s="34">
        <f>IF(OR($A2975="",$H2975&lt;&gt;"Ausgabe",O2975=""),0,IF(O2975="x",-$E2975/(COUNTIF($J2975:$Q2975,"x")+1),-$E2975*N(O2975)))</f>
        <v/>
      </c>
      <c r="AD2975" s="34">
        <f>IF(OR($A2975="",$H2975&lt;&gt;"Ausgabe",P2975=""),0,IF(P2975="x",-$E2975/(COUNTIF($J2975:$Q2975,"x")+1),-$E2975*N(P2975)))</f>
        <v/>
      </c>
      <c r="AE2975" s="34">
        <f>IF(OR($A2975="",$H2975&lt;&gt;"Ausgabe",Q2975=""),0,IF(Q2975="x",-$E2975/(COUNTIF($J2975:$Q2975,"x")+1),-$E2975*N(Q2975)))</f>
        <v/>
      </c>
    </row>
    <row r="2976">
      <c r="A2976" s="30" t="n"/>
      <c r="E2976" s="31" t="n"/>
      <c r="J2976" s="32" t="n"/>
      <c r="K2976" s="32" t="n"/>
      <c r="L2976" s="32" t="n"/>
      <c r="M2976" s="32" t="n"/>
      <c r="N2976" s="32" t="n"/>
      <c r="O2976" s="32" t="n"/>
      <c r="P2976" s="32" t="n"/>
      <c r="Q2976" s="32" t="n"/>
      <c r="U2976" s="31">
        <f>IF($A2976="","",SUM(X2976:AE2976))</f>
        <v/>
      </c>
      <c r="V2976" s="31">
        <f>IF($A2976="","",IF($H2976&lt;&gt;"Ausgabe",0,-$E2976-$U2976))</f>
        <v/>
      </c>
      <c r="W2976" s="33">
        <f>IF($A2976="","",DATE(YEAR($A2976),MONTH($A2976),1))</f>
        <v/>
      </c>
      <c r="X2976" s="34">
        <f>IF(OR($A2976="",$H2976&lt;&gt;"Ausgabe",J2976=""),0,IF(J2976="x",-$E2976/(COUNTIF($J2976:$Q2976,"x")+1),-$E2976*N(J2976)))</f>
        <v/>
      </c>
      <c r="Y2976" s="34">
        <f>IF(OR($A2976="",$H2976&lt;&gt;"Ausgabe",K2976=""),0,IF(K2976="x",-$E2976/(COUNTIF($J2976:$Q2976,"x")+1),-$E2976*N(K2976)))</f>
        <v/>
      </c>
      <c r="Z2976" s="34">
        <f>IF(OR($A2976="",$H2976&lt;&gt;"Ausgabe",L2976=""),0,IF(L2976="x",-$E2976/(COUNTIF($J2976:$Q2976,"x")+1),-$E2976*N(L2976)))</f>
        <v/>
      </c>
      <c r="AA2976" s="34">
        <f>IF(OR($A2976="",$H2976&lt;&gt;"Ausgabe",M2976=""),0,IF(M2976="x",-$E2976/(COUNTIF($J2976:$Q2976,"x")+1),-$E2976*N(M2976)))</f>
        <v/>
      </c>
      <c r="AB2976" s="34">
        <f>IF(OR($A2976="",$H2976&lt;&gt;"Ausgabe",N2976=""),0,IF(N2976="x",-$E2976/(COUNTIF($J2976:$Q2976,"x")+1),-$E2976*N(N2976)))</f>
        <v/>
      </c>
      <c r="AC2976" s="34">
        <f>IF(OR($A2976="",$H2976&lt;&gt;"Ausgabe",O2976=""),0,IF(O2976="x",-$E2976/(COUNTIF($J2976:$Q2976,"x")+1),-$E2976*N(O2976)))</f>
        <v/>
      </c>
      <c r="AD2976" s="34">
        <f>IF(OR($A2976="",$H2976&lt;&gt;"Ausgabe",P2976=""),0,IF(P2976="x",-$E2976/(COUNTIF($J2976:$Q2976,"x")+1),-$E2976*N(P2976)))</f>
        <v/>
      </c>
      <c r="AE2976" s="34">
        <f>IF(OR($A2976="",$H2976&lt;&gt;"Ausgabe",Q2976=""),0,IF(Q2976="x",-$E2976/(COUNTIF($J2976:$Q2976,"x")+1),-$E2976*N(Q2976)))</f>
        <v/>
      </c>
    </row>
    <row r="2977">
      <c r="A2977" s="30" t="n"/>
      <c r="E2977" s="31" t="n"/>
      <c r="J2977" s="32" t="n"/>
      <c r="K2977" s="32" t="n"/>
      <c r="L2977" s="32" t="n"/>
      <c r="M2977" s="32" t="n"/>
      <c r="N2977" s="32" t="n"/>
      <c r="O2977" s="32" t="n"/>
      <c r="P2977" s="32" t="n"/>
      <c r="Q2977" s="32" t="n"/>
      <c r="U2977" s="31">
        <f>IF($A2977="","",SUM(X2977:AE2977))</f>
        <v/>
      </c>
      <c r="V2977" s="31">
        <f>IF($A2977="","",IF($H2977&lt;&gt;"Ausgabe",0,-$E2977-$U2977))</f>
        <v/>
      </c>
      <c r="W2977" s="33">
        <f>IF($A2977="","",DATE(YEAR($A2977),MONTH($A2977),1))</f>
        <v/>
      </c>
      <c r="X2977" s="34">
        <f>IF(OR($A2977="",$H2977&lt;&gt;"Ausgabe",J2977=""),0,IF(J2977="x",-$E2977/(COUNTIF($J2977:$Q2977,"x")+1),-$E2977*N(J2977)))</f>
        <v/>
      </c>
      <c r="Y2977" s="34">
        <f>IF(OR($A2977="",$H2977&lt;&gt;"Ausgabe",K2977=""),0,IF(K2977="x",-$E2977/(COUNTIF($J2977:$Q2977,"x")+1),-$E2977*N(K2977)))</f>
        <v/>
      </c>
      <c r="Z2977" s="34">
        <f>IF(OR($A2977="",$H2977&lt;&gt;"Ausgabe",L2977=""),0,IF(L2977="x",-$E2977/(COUNTIF($J2977:$Q2977,"x")+1),-$E2977*N(L2977)))</f>
        <v/>
      </c>
      <c r="AA2977" s="34">
        <f>IF(OR($A2977="",$H2977&lt;&gt;"Ausgabe",M2977=""),0,IF(M2977="x",-$E2977/(COUNTIF($J2977:$Q2977,"x")+1),-$E2977*N(M2977)))</f>
        <v/>
      </c>
      <c r="AB2977" s="34">
        <f>IF(OR($A2977="",$H2977&lt;&gt;"Ausgabe",N2977=""),0,IF(N2977="x",-$E2977/(COUNTIF($J2977:$Q2977,"x")+1),-$E2977*N(N2977)))</f>
        <v/>
      </c>
      <c r="AC2977" s="34">
        <f>IF(OR($A2977="",$H2977&lt;&gt;"Ausgabe",O2977=""),0,IF(O2977="x",-$E2977/(COUNTIF($J2977:$Q2977,"x")+1),-$E2977*N(O2977)))</f>
        <v/>
      </c>
      <c r="AD2977" s="34">
        <f>IF(OR($A2977="",$H2977&lt;&gt;"Ausgabe",P2977=""),0,IF(P2977="x",-$E2977/(COUNTIF($J2977:$Q2977,"x")+1),-$E2977*N(P2977)))</f>
        <v/>
      </c>
      <c r="AE2977" s="34">
        <f>IF(OR($A2977="",$H2977&lt;&gt;"Ausgabe",Q2977=""),0,IF(Q2977="x",-$E2977/(COUNTIF($J2977:$Q2977,"x")+1),-$E2977*N(Q2977)))</f>
        <v/>
      </c>
    </row>
    <row r="2978">
      <c r="A2978" s="30" t="n"/>
      <c r="E2978" s="31" t="n"/>
      <c r="J2978" s="32" t="n"/>
      <c r="K2978" s="32" t="n"/>
      <c r="L2978" s="32" t="n"/>
      <c r="M2978" s="32" t="n"/>
      <c r="N2978" s="32" t="n"/>
      <c r="O2978" s="32" t="n"/>
      <c r="P2978" s="32" t="n"/>
      <c r="Q2978" s="32" t="n"/>
      <c r="U2978" s="31">
        <f>IF($A2978="","",SUM(X2978:AE2978))</f>
        <v/>
      </c>
      <c r="V2978" s="31">
        <f>IF($A2978="","",IF($H2978&lt;&gt;"Ausgabe",0,-$E2978-$U2978))</f>
        <v/>
      </c>
      <c r="W2978" s="33">
        <f>IF($A2978="","",DATE(YEAR($A2978),MONTH($A2978),1))</f>
        <v/>
      </c>
      <c r="X2978" s="34">
        <f>IF(OR($A2978="",$H2978&lt;&gt;"Ausgabe",J2978=""),0,IF(J2978="x",-$E2978/(COUNTIF($J2978:$Q2978,"x")+1),-$E2978*N(J2978)))</f>
        <v/>
      </c>
      <c r="Y2978" s="34">
        <f>IF(OR($A2978="",$H2978&lt;&gt;"Ausgabe",K2978=""),0,IF(K2978="x",-$E2978/(COUNTIF($J2978:$Q2978,"x")+1),-$E2978*N(K2978)))</f>
        <v/>
      </c>
      <c r="Z2978" s="34">
        <f>IF(OR($A2978="",$H2978&lt;&gt;"Ausgabe",L2978=""),0,IF(L2978="x",-$E2978/(COUNTIF($J2978:$Q2978,"x")+1),-$E2978*N(L2978)))</f>
        <v/>
      </c>
      <c r="AA2978" s="34">
        <f>IF(OR($A2978="",$H2978&lt;&gt;"Ausgabe",M2978=""),0,IF(M2978="x",-$E2978/(COUNTIF($J2978:$Q2978,"x")+1),-$E2978*N(M2978)))</f>
        <v/>
      </c>
      <c r="AB2978" s="34">
        <f>IF(OR($A2978="",$H2978&lt;&gt;"Ausgabe",N2978=""),0,IF(N2978="x",-$E2978/(COUNTIF($J2978:$Q2978,"x")+1),-$E2978*N(N2978)))</f>
        <v/>
      </c>
      <c r="AC2978" s="34">
        <f>IF(OR($A2978="",$H2978&lt;&gt;"Ausgabe",O2978=""),0,IF(O2978="x",-$E2978/(COUNTIF($J2978:$Q2978,"x")+1),-$E2978*N(O2978)))</f>
        <v/>
      </c>
      <c r="AD2978" s="34">
        <f>IF(OR($A2978="",$H2978&lt;&gt;"Ausgabe",P2978=""),0,IF(P2978="x",-$E2978/(COUNTIF($J2978:$Q2978,"x")+1),-$E2978*N(P2978)))</f>
        <v/>
      </c>
      <c r="AE2978" s="34">
        <f>IF(OR($A2978="",$H2978&lt;&gt;"Ausgabe",Q2978=""),0,IF(Q2978="x",-$E2978/(COUNTIF($J2978:$Q2978,"x")+1),-$E2978*N(Q2978)))</f>
        <v/>
      </c>
    </row>
    <row r="2979">
      <c r="A2979" s="30" t="n"/>
      <c r="E2979" s="31" t="n"/>
      <c r="J2979" s="32" t="n"/>
      <c r="K2979" s="32" t="n"/>
      <c r="L2979" s="32" t="n"/>
      <c r="M2979" s="32" t="n"/>
      <c r="N2979" s="32" t="n"/>
      <c r="O2979" s="32" t="n"/>
      <c r="P2979" s="32" t="n"/>
      <c r="Q2979" s="32" t="n"/>
      <c r="U2979" s="31">
        <f>IF($A2979="","",SUM(X2979:AE2979))</f>
        <v/>
      </c>
      <c r="V2979" s="31">
        <f>IF($A2979="","",IF($H2979&lt;&gt;"Ausgabe",0,-$E2979-$U2979))</f>
        <v/>
      </c>
      <c r="W2979" s="33">
        <f>IF($A2979="","",DATE(YEAR($A2979),MONTH($A2979),1))</f>
        <v/>
      </c>
      <c r="X2979" s="34">
        <f>IF(OR($A2979="",$H2979&lt;&gt;"Ausgabe",J2979=""),0,IF(J2979="x",-$E2979/(COUNTIF($J2979:$Q2979,"x")+1),-$E2979*N(J2979)))</f>
        <v/>
      </c>
      <c r="Y2979" s="34">
        <f>IF(OR($A2979="",$H2979&lt;&gt;"Ausgabe",K2979=""),0,IF(K2979="x",-$E2979/(COUNTIF($J2979:$Q2979,"x")+1),-$E2979*N(K2979)))</f>
        <v/>
      </c>
      <c r="Z2979" s="34">
        <f>IF(OR($A2979="",$H2979&lt;&gt;"Ausgabe",L2979=""),0,IF(L2979="x",-$E2979/(COUNTIF($J2979:$Q2979,"x")+1),-$E2979*N(L2979)))</f>
        <v/>
      </c>
      <c r="AA2979" s="34">
        <f>IF(OR($A2979="",$H2979&lt;&gt;"Ausgabe",M2979=""),0,IF(M2979="x",-$E2979/(COUNTIF($J2979:$Q2979,"x")+1),-$E2979*N(M2979)))</f>
        <v/>
      </c>
      <c r="AB2979" s="34">
        <f>IF(OR($A2979="",$H2979&lt;&gt;"Ausgabe",N2979=""),0,IF(N2979="x",-$E2979/(COUNTIF($J2979:$Q2979,"x")+1),-$E2979*N(N2979)))</f>
        <v/>
      </c>
      <c r="AC2979" s="34">
        <f>IF(OR($A2979="",$H2979&lt;&gt;"Ausgabe",O2979=""),0,IF(O2979="x",-$E2979/(COUNTIF($J2979:$Q2979,"x")+1),-$E2979*N(O2979)))</f>
        <v/>
      </c>
      <c r="AD2979" s="34">
        <f>IF(OR($A2979="",$H2979&lt;&gt;"Ausgabe",P2979=""),0,IF(P2979="x",-$E2979/(COUNTIF($J2979:$Q2979,"x")+1),-$E2979*N(P2979)))</f>
        <v/>
      </c>
      <c r="AE2979" s="34">
        <f>IF(OR($A2979="",$H2979&lt;&gt;"Ausgabe",Q2979=""),0,IF(Q2979="x",-$E2979/(COUNTIF($J2979:$Q2979,"x")+1),-$E2979*N(Q2979)))</f>
        <v/>
      </c>
    </row>
    <row r="2980">
      <c r="A2980" s="30" t="n"/>
      <c r="E2980" s="31" t="n"/>
      <c r="J2980" s="32" t="n"/>
      <c r="K2980" s="32" t="n"/>
      <c r="L2980" s="32" t="n"/>
      <c r="M2980" s="32" t="n"/>
      <c r="N2980" s="32" t="n"/>
      <c r="O2980" s="32" t="n"/>
      <c r="P2980" s="32" t="n"/>
      <c r="Q2980" s="32" t="n"/>
      <c r="U2980" s="31">
        <f>IF($A2980="","",SUM(X2980:AE2980))</f>
        <v/>
      </c>
      <c r="V2980" s="31">
        <f>IF($A2980="","",IF($H2980&lt;&gt;"Ausgabe",0,-$E2980-$U2980))</f>
        <v/>
      </c>
      <c r="W2980" s="33">
        <f>IF($A2980="","",DATE(YEAR($A2980),MONTH($A2980),1))</f>
        <v/>
      </c>
      <c r="X2980" s="34">
        <f>IF(OR($A2980="",$H2980&lt;&gt;"Ausgabe",J2980=""),0,IF(J2980="x",-$E2980/(COUNTIF($J2980:$Q2980,"x")+1),-$E2980*N(J2980)))</f>
        <v/>
      </c>
      <c r="Y2980" s="34">
        <f>IF(OR($A2980="",$H2980&lt;&gt;"Ausgabe",K2980=""),0,IF(K2980="x",-$E2980/(COUNTIF($J2980:$Q2980,"x")+1),-$E2980*N(K2980)))</f>
        <v/>
      </c>
      <c r="Z2980" s="34">
        <f>IF(OR($A2980="",$H2980&lt;&gt;"Ausgabe",L2980=""),0,IF(L2980="x",-$E2980/(COUNTIF($J2980:$Q2980,"x")+1),-$E2980*N(L2980)))</f>
        <v/>
      </c>
      <c r="AA2980" s="34">
        <f>IF(OR($A2980="",$H2980&lt;&gt;"Ausgabe",M2980=""),0,IF(M2980="x",-$E2980/(COUNTIF($J2980:$Q2980,"x")+1),-$E2980*N(M2980)))</f>
        <v/>
      </c>
      <c r="AB2980" s="34">
        <f>IF(OR($A2980="",$H2980&lt;&gt;"Ausgabe",N2980=""),0,IF(N2980="x",-$E2980/(COUNTIF($J2980:$Q2980,"x")+1),-$E2980*N(N2980)))</f>
        <v/>
      </c>
      <c r="AC2980" s="34">
        <f>IF(OR($A2980="",$H2980&lt;&gt;"Ausgabe",O2980=""),0,IF(O2980="x",-$E2980/(COUNTIF($J2980:$Q2980,"x")+1),-$E2980*N(O2980)))</f>
        <v/>
      </c>
      <c r="AD2980" s="34">
        <f>IF(OR($A2980="",$H2980&lt;&gt;"Ausgabe",P2980=""),0,IF(P2980="x",-$E2980/(COUNTIF($J2980:$Q2980,"x")+1),-$E2980*N(P2980)))</f>
        <v/>
      </c>
      <c r="AE2980" s="34">
        <f>IF(OR($A2980="",$H2980&lt;&gt;"Ausgabe",Q2980=""),0,IF(Q2980="x",-$E2980/(COUNTIF($J2980:$Q2980,"x")+1),-$E2980*N(Q2980)))</f>
        <v/>
      </c>
    </row>
    <row r="2981">
      <c r="A2981" s="30" t="n"/>
      <c r="E2981" s="31" t="n"/>
      <c r="J2981" s="32" t="n"/>
      <c r="K2981" s="32" t="n"/>
      <c r="L2981" s="32" t="n"/>
      <c r="M2981" s="32" t="n"/>
      <c r="N2981" s="32" t="n"/>
      <c r="O2981" s="32" t="n"/>
      <c r="P2981" s="32" t="n"/>
      <c r="Q2981" s="32" t="n"/>
      <c r="U2981" s="31">
        <f>IF($A2981="","",SUM(X2981:AE2981))</f>
        <v/>
      </c>
      <c r="V2981" s="31">
        <f>IF($A2981="","",IF($H2981&lt;&gt;"Ausgabe",0,-$E2981-$U2981))</f>
        <v/>
      </c>
      <c r="W2981" s="33">
        <f>IF($A2981="","",DATE(YEAR($A2981),MONTH($A2981),1))</f>
        <v/>
      </c>
      <c r="X2981" s="34">
        <f>IF(OR($A2981="",$H2981&lt;&gt;"Ausgabe",J2981=""),0,IF(J2981="x",-$E2981/(COUNTIF($J2981:$Q2981,"x")+1),-$E2981*N(J2981)))</f>
        <v/>
      </c>
      <c r="Y2981" s="34">
        <f>IF(OR($A2981="",$H2981&lt;&gt;"Ausgabe",K2981=""),0,IF(K2981="x",-$E2981/(COUNTIF($J2981:$Q2981,"x")+1),-$E2981*N(K2981)))</f>
        <v/>
      </c>
      <c r="Z2981" s="34">
        <f>IF(OR($A2981="",$H2981&lt;&gt;"Ausgabe",L2981=""),0,IF(L2981="x",-$E2981/(COUNTIF($J2981:$Q2981,"x")+1),-$E2981*N(L2981)))</f>
        <v/>
      </c>
      <c r="AA2981" s="34">
        <f>IF(OR($A2981="",$H2981&lt;&gt;"Ausgabe",M2981=""),0,IF(M2981="x",-$E2981/(COUNTIF($J2981:$Q2981,"x")+1),-$E2981*N(M2981)))</f>
        <v/>
      </c>
      <c r="AB2981" s="34">
        <f>IF(OR($A2981="",$H2981&lt;&gt;"Ausgabe",N2981=""),0,IF(N2981="x",-$E2981/(COUNTIF($J2981:$Q2981,"x")+1),-$E2981*N(N2981)))</f>
        <v/>
      </c>
      <c r="AC2981" s="34">
        <f>IF(OR($A2981="",$H2981&lt;&gt;"Ausgabe",O2981=""),0,IF(O2981="x",-$E2981/(COUNTIF($J2981:$Q2981,"x")+1),-$E2981*N(O2981)))</f>
        <v/>
      </c>
      <c r="AD2981" s="34">
        <f>IF(OR($A2981="",$H2981&lt;&gt;"Ausgabe",P2981=""),0,IF(P2981="x",-$E2981/(COUNTIF($J2981:$Q2981,"x")+1),-$E2981*N(P2981)))</f>
        <v/>
      </c>
      <c r="AE2981" s="34">
        <f>IF(OR($A2981="",$H2981&lt;&gt;"Ausgabe",Q2981=""),0,IF(Q2981="x",-$E2981/(COUNTIF($J2981:$Q2981,"x")+1),-$E2981*N(Q2981)))</f>
        <v/>
      </c>
    </row>
    <row r="2982">
      <c r="A2982" s="30" t="n"/>
      <c r="E2982" s="31" t="n"/>
      <c r="J2982" s="32" t="n"/>
      <c r="K2982" s="32" t="n"/>
      <c r="L2982" s="32" t="n"/>
      <c r="M2982" s="32" t="n"/>
      <c r="N2982" s="32" t="n"/>
      <c r="O2982" s="32" t="n"/>
      <c r="P2982" s="32" t="n"/>
      <c r="Q2982" s="32" t="n"/>
      <c r="U2982" s="31">
        <f>IF($A2982="","",SUM(X2982:AE2982))</f>
        <v/>
      </c>
      <c r="V2982" s="31">
        <f>IF($A2982="","",IF($H2982&lt;&gt;"Ausgabe",0,-$E2982-$U2982))</f>
        <v/>
      </c>
      <c r="W2982" s="33">
        <f>IF($A2982="","",DATE(YEAR($A2982),MONTH($A2982),1))</f>
        <v/>
      </c>
      <c r="X2982" s="34">
        <f>IF(OR($A2982="",$H2982&lt;&gt;"Ausgabe",J2982=""),0,IF(J2982="x",-$E2982/(COUNTIF($J2982:$Q2982,"x")+1),-$E2982*N(J2982)))</f>
        <v/>
      </c>
      <c r="Y2982" s="34">
        <f>IF(OR($A2982="",$H2982&lt;&gt;"Ausgabe",K2982=""),0,IF(K2982="x",-$E2982/(COUNTIF($J2982:$Q2982,"x")+1),-$E2982*N(K2982)))</f>
        <v/>
      </c>
      <c r="Z2982" s="34">
        <f>IF(OR($A2982="",$H2982&lt;&gt;"Ausgabe",L2982=""),0,IF(L2982="x",-$E2982/(COUNTIF($J2982:$Q2982,"x")+1),-$E2982*N(L2982)))</f>
        <v/>
      </c>
      <c r="AA2982" s="34">
        <f>IF(OR($A2982="",$H2982&lt;&gt;"Ausgabe",M2982=""),0,IF(M2982="x",-$E2982/(COUNTIF($J2982:$Q2982,"x")+1),-$E2982*N(M2982)))</f>
        <v/>
      </c>
      <c r="AB2982" s="34">
        <f>IF(OR($A2982="",$H2982&lt;&gt;"Ausgabe",N2982=""),0,IF(N2982="x",-$E2982/(COUNTIF($J2982:$Q2982,"x")+1),-$E2982*N(N2982)))</f>
        <v/>
      </c>
      <c r="AC2982" s="34">
        <f>IF(OR($A2982="",$H2982&lt;&gt;"Ausgabe",O2982=""),0,IF(O2982="x",-$E2982/(COUNTIF($J2982:$Q2982,"x")+1),-$E2982*N(O2982)))</f>
        <v/>
      </c>
      <c r="AD2982" s="34">
        <f>IF(OR($A2982="",$H2982&lt;&gt;"Ausgabe",P2982=""),0,IF(P2982="x",-$E2982/(COUNTIF($J2982:$Q2982,"x")+1),-$E2982*N(P2982)))</f>
        <v/>
      </c>
      <c r="AE2982" s="34">
        <f>IF(OR($A2982="",$H2982&lt;&gt;"Ausgabe",Q2982=""),0,IF(Q2982="x",-$E2982/(COUNTIF($J2982:$Q2982,"x")+1),-$E2982*N(Q2982)))</f>
        <v/>
      </c>
    </row>
    <row r="2983">
      <c r="A2983" s="30" t="n"/>
      <c r="E2983" s="31" t="n"/>
      <c r="J2983" s="32" t="n"/>
      <c r="K2983" s="32" t="n"/>
      <c r="L2983" s="32" t="n"/>
      <c r="M2983" s="32" t="n"/>
      <c r="N2983" s="32" t="n"/>
      <c r="O2983" s="32" t="n"/>
      <c r="P2983" s="32" t="n"/>
      <c r="Q2983" s="32" t="n"/>
      <c r="U2983" s="31">
        <f>IF($A2983="","",SUM(X2983:AE2983))</f>
        <v/>
      </c>
      <c r="V2983" s="31">
        <f>IF($A2983="","",IF($H2983&lt;&gt;"Ausgabe",0,-$E2983-$U2983))</f>
        <v/>
      </c>
      <c r="W2983" s="33">
        <f>IF($A2983="","",DATE(YEAR($A2983),MONTH($A2983),1))</f>
        <v/>
      </c>
      <c r="X2983" s="34">
        <f>IF(OR($A2983="",$H2983&lt;&gt;"Ausgabe",J2983=""),0,IF(J2983="x",-$E2983/(COUNTIF($J2983:$Q2983,"x")+1),-$E2983*N(J2983)))</f>
        <v/>
      </c>
      <c r="Y2983" s="34">
        <f>IF(OR($A2983="",$H2983&lt;&gt;"Ausgabe",K2983=""),0,IF(K2983="x",-$E2983/(COUNTIF($J2983:$Q2983,"x")+1),-$E2983*N(K2983)))</f>
        <v/>
      </c>
      <c r="Z2983" s="34">
        <f>IF(OR($A2983="",$H2983&lt;&gt;"Ausgabe",L2983=""),0,IF(L2983="x",-$E2983/(COUNTIF($J2983:$Q2983,"x")+1),-$E2983*N(L2983)))</f>
        <v/>
      </c>
      <c r="AA2983" s="34">
        <f>IF(OR($A2983="",$H2983&lt;&gt;"Ausgabe",M2983=""),0,IF(M2983="x",-$E2983/(COUNTIF($J2983:$Q2983,"x")+1),-$E2983*N(M2983)))</f>
        <v/>
      </c>
      <c r="AB2983" s="34">
        <f>IF(OR($A2983="",$H2983&lt;&gt;"Ausgabe",N2983=""),0,IF(N2983="x",-$E2983/(COUNTIF($J2983:$Q2983,"x")+1),-$E2983*N(N2983)))</f>
        <v/>
      </c>
      <c r="AC2983" s="34">
        <f>IF(OR($A2983="",$H2983&lt;&gt;"Ausgabe",O2983=""),0,IF(O2983="x",-$E2983/(COUNTIF($J2983:$Q2983,"x")+1),-$E2983*N(O2983)))</f>
        <v/>
      </c>
      <c r="AD2983" s="34">
        <f>IF(OR($A2983="",$H2983&lt;&gt;"Ausgabe",P2983=""),0,IF(P2983="x",-$E2983/(COUNTIF($J2983:$Q2983,"x")+1),-$E2983*N(P2983)))</f>
        <v/>
      </c>
      <c r="AE2983" s="34">
        <f>IF(OR($A2983="",$H2983&lt;&gt;"Ausgabe",Q2983=""),0,IF(Q2983="x",-$E2983/(COUNTIF($J2983:$Q2983,"x")+1),-$E2983*N(Q2983)))</f>
        <v/>
      </c>
    </row>
    <row r="2984">
      <c r="A2984" s="30" t="n"/>
      <c r="E2984" s="31" t="n"/>
      <c r="J2984" s="32" t="n"/>
      <c r="K2984" s="32" t="n"/>
      <c r="L2984" s="32" t="n"/>
      <c r="M2984" s="32" t="n"/>
      <c r="N2984" s="32" t="n"/>
      <c r="O2984" s="32" t="n"/>
      <c r="P2984" s="32" t="n"/>
      <c r="Q2984" s="32" t="n"/>
      <c r="U2984" s="31">
        <f>IF($A2984="","",SUM(X2984:AE2984))</f>
        <v/>
      </c>
      <c r="V2984" s="31">
        <f>IF($A2984="","",IF($H2984&lt;&gt;"Ausgabe",0,-$E2984-$U2984))</f>
        <v/>
      </c>
      <c r="W2984" s="33">
        <f>IF($A2984="","",DATE(YEAR($A2984),MONTH($A2984),1))</f>
        <v/>
      </c>
      <c r="X2984" s="34">
        <f>IF(OR($A2984="",$H2984&lt;&gt;"Ausgabe",J2984=""),0,IF(J2984="x",-$E2984/(COUNTIF($J2984:$Q2984,"x")+1),-$E2984*N(J2984)))</f>
        <v/>
      </c>
      <c r="Y2984" s="34">
        <f>IF(OR($A2984="",$H2984&lt;&gt;"Ausgabe",K2984=""),0,IF(K2984="x",-$E2984/(COUNTIF($J2984:$Q2984,"x")+1),-$E2984*N(K2984)))</f>
        <v/>
      </c>
      <c r="Z2984" s="34">
        <f>IF(OR($A2984="",$H2984&lt;&gt;"Ausgabe",L2984=""),0,IF(L2984="x",-$E2984/(COUNTIF($J2984:$Q2984,"x")+1),-$E2984*N(L2984)))</f>
        <v/>
      </c>
      <c r="AA2984" s="34">
        <f>IF(OR($A2984="",$H2984&lt;&gt;"Ausgabe",M2984=""),0,IF(M2984="x",-$E2984/(COUNTIF($J2984:$Q2984,"x")+1),-$E2984*N(M2984)))</f>
        <v/>
      </c>
      <c r="AB2984" s="34">
        <f>IF(OR($A2984="",$H2984&lt;&gt;"Ausgabe",N2984=""),0,IF(N2984="x",-$E2984/(COUNTIF($J2984:$Q2984,"x")+1),-$E2984*N(N2984)))</f>
        <v/>
      </c>
      <c r="AC2984" s="34">
        <f>IF(OR($A2984="",$H2984&lt;&gt;"Ausgabe",O2984=""),0,IF(O2984="x",-$E2984/(COUNTIF($J2984:$Q2984,"x")+1),-$E2984*N(O2984)))</f>
        <v/>
      </c>
      <c r="AD2984" s="34">
        <f>IF(OR($A2984="",$H2984&lt;&gt;"Ausgabe",P2984=""),0,IF(P2984="x",-$E2984/(COUNTIF($J2984:$Q2984,"x")+1),-$E2984*N(P2984)))</f>
        <v/>
      </c>
      <c r="AE2984" s="34">
        <f>IF(OR($A2984="",$H2984&lt;&gt;"Ausgabe",Q2984=""),0,IF(Q2984="x",-$E2984/(COUNTIF($J2984:$Q2984,"x")+1),-$E2984*N(Q2984)))</f>
        <v/>
      </c>
    </row>
    <row r="2985">
      <c r="A2985" s="30" t="n"/>
      <c r="E2985" s="31" t="n"/>
      <c r="J2985" s="32" t="n"/>
      <c r="K2985" s="32" t="n"/>
      <c r="L2985" s="32" t="n"/>
      <c r="M2985" s="32" t="n"/>
      <c r="N2985" s="32" t="n"/>
      <c r="O2985" s="32" t="n"/>
      <c r="P2985" s="32" t="n"/>
      <c r="Q2985" s="32" t="n"/>
      <c r="U2985" s="31">
        <f>IF($A2985="","",SUM(X2985:AE2985))</f>
        <v/>
      </c>
      <c r="V2985" s="31">
        <f>IF($A2985="","",IF($H2985&lt;&gt;"Ausgabe",0,-$E2985-$U2985))</f>
        <v/>
      </c>
      <c r="W2985" s="33">
        <f>IF($A2985="","",DATE(YEAR($A2985),MONTH($A2985),1))</f>
        <v/>
      </c>
      <c r="X2985" s="34">
        <f>IF(OR($A2985="",$H2985&lt;&gt;"Ausgabe",J2985=""),0,IF(J2985="x",-$E2985/(COUNTIF($J2985:$Q2985,"x")+1),-$E2985*N(J2985)))</f>
        <v/>
      </c>
      <c r="Y2985" s="34">
        <f>IF(OR($A2985="",$H2985&lt;&gt;"Ausgabe",K2985=""),0,IF(K2985="x",-$E2985/(COUNTIF($J2985:$Q2985,"x")+1),-$E2985*N(K2985)))</f>
        <v/>
      </c>
      <c r="Z2985" s="34">
        <f>IF(OR($A2985="",$H2985&lt;&gt;"Ausgabe",L2985=""),0,IF(L2985="x",-$E2985/(COUNTIF($J2985:$Q2985,"x")+1),-$E2985*N(L2985)))</f>
        <v/>
      </c>
      <c r="AA2985" s="34">
        <f>IF(OR($A2985="",$H2985&lt;&gt;"Ausgabe",M2985=""),0,IF(M2985="x",-$E2985/(COUNTIF($J2985:$Q2985,"x")+1),-$E2985*N(M2985)))</f>
        <v/>
      </c>
      <c r="AB2985" s="34">
        <f>IF(OR($A2985="",$H2985&lt;&gt;"Ausgabe",N2985=""),0,IF(N2985="x",-$E2985/(COUNTIF($J2985:$Q2985,"x")+1),-$E2985*N(N2985)))</f>
        <v/>
      </c>
      <c r="AC2985" s="34">
        <f>IF(OR($A2985="",$H2985&lt;&gt;"Ausgabe",O2985=""),0,IF(O2985="x",-$E2985/(COUNTIF($J2985:$Q2985,"x")+1),-$E2985*N(O2985)))</f>
        <v/>
      </c>
      <c r="AD2985" s="34">
        <f>IF(OR($A2985="",$H2985&lt;&gt;"Ausgabe",P2985=""),0,IF(P2985="x",-$E2985/(COUNTIF($J2985:$Q2985,"x")+1),-$E2985*N(P2985)))</f>
        <v/>
      </c>
      <c r="AE2985" s="34">
        <f>IF(OR($A2985="",$H2985&lt;&gt;"Ausgabe",Q2985=""),0,IF(Q2985="x",-$E2985/(COUNTIF($J2985:$Q2985,"x")+1),-$E2985*N(Q2985)))</f>
        <v/>
      </c>
    </row>
    <row r="2986">
      <c r="A2986" s="30" t="n"/>
      <c r="E2986" s="31" t="n"/>
      <c r="J2986" s="32" t="n"/>
      <c r="K2986" s="32" t="n"/>
      <c r="L2986" s="32" t="n"/>
      <c r="M2986" s="32" t="n"/>
      <c r="N2986" s="32" t="n"/>
      <c r="O2986" s="32" t="n"/>
      <c r="P2986" s="32" t="n"/>
      <c r="Q2986" s="32" t="n"/>
      <c r="U2986" s="31">
        <f>IF($A2986="","",SUM(X2986:AE2986))</f>
        <v/>
      </c>
      <c r="V2986" s="31">
        <f>IF($A2986="","",IF($H2986&lt;&gt;"Ausgabe",0,-$E2986-$U2986))</f>
        <v/>
      </c>
      <c r="W2986" s="33">
        <f>IF($A2986="","",DATE(YEAR($A2986),MONTH($A2986),1))</f>
        <v/>
      </c>
      <c r="X2986" s="34">
        <f>IF(OR($A2986="",$H2986&lt;&gt;"Ausgabe",J2986=""),0,IF(J2986="x",-$E2986/(COUNTIF($J2986:$Q2986,"x")+1),-$E2986*N(J2986)))</f>
        <v/>
      </c>
      <c r="Y2986" s="34">
        <f>IF(OR($A2986="",$H2986&lt;&gt;"Ausgabe",K2986=""),0,IF(K2986="x",-$E2986/(COUNTIF($J2986:$Q2986,"x")+1),-$E2986*N(K2986)))</f>
        <v/>
      </c>
      <c r="Z2986" s="34">
        <f>IF(OR($A2986="",$H2986&lt;&gt;"Ausgabe",L2986=""),0,IF(L2986="x",-$E2986/(COUNTIF($J2986:$Q2986,"x")+1),-$E2986*N(L2986)))</f>
        <v/>
      </c>
      <c r="AA2986" s="34">
        <f>IF(OR($A2986="",$H2986&lt;&gt;"Ausgabe",M2986=""),0,IF(M2986="x",-$E2986/(COUNTIF($J2986:$Q2986,"x")+1),-$E2986*N(M2986)))</f>
        <v/>
      </c>
      <c r="AB2986" s="34">
        <f>IF(OR($A2986="",$H2986&lt;&gt;"Ausgabe",N2986=""),0,IF(N2986="x",-$E2986/(COUNTIF($J2986:$Q2986,"x")+1),-$E2986*N(N2986)))</f>
        <v/>
      </c>
      <c r="AC2986" s="34">
        <f>IF(OR($A2986="",$H2986&lt;&gt;"Ausgabe",O2986=""),0,IF(O2986="x",-$E2986/(COUNTIF($J2986:$Q2986,"x")+1),-$E2986*N(O2986)))</f>
        <v/>
      </c>
      <c r="AD2986" s="34">
        <f>IF(OR($A2986="",$H2986&lt;&gt;"Ausgabe",P2986=""),0,IF(P2986="x",-$E2986/(COUNTIF($J2986:$Q2986,"x")+1),-$E2986*N(P2986)))</f>
        <v/>
      </c>
      <c r="AE2986" s="34">
        <f>IF(OR($A2986="",$H2986&lt;&gt;"Ausgabe",Q2986=""),0,IF(Q2986="x",-$E2986/(COUNTIF($J2986:$Q2986,"x")+1),-$E2986*N(Q2986)))</f>
        <v/>
      </c>
    </row>
    <row r="2987">
      <c r="A2987" s="30" t="n"/>
      <c r="E2987" s="31" t="n"/>
      <c r="J2987" s="32" t="n"/>
      <c r="K2987" s="32" t="n"/>
      <c r="L2987" s="32" t="n"/>
      <c r="M2987" s="32" t="n"/>
      <c r="N2987" s="32" t="n"/>
      <c r="O2987" s="32" t="n"/>
      <c r="P2987" s="32" t="n"/>
      <c r="Q2987" s="32" t="n"/>
      <c r="U2987" s="31">
        <f>IF($A2987="","",SUM(X2987:AE2987))</f>
        <v/>
      </c>
      <c r="V2987" s="31">
        <f>IF($A2987="","",IF($H2987&lt;&gt;"Ausgabe",0,-$E2987-$U2987))</f>
        <v/>
      </c>
      <c r="W2987" s="33">
        <f>IF($A2987="","",DATE(YEAR($A2987),MONTH($A2987),1))</f>
        <v/>
      </c>
      <c r="X2987" s="34">
        <f>IF(OR($A2987="",$H2987&lt;&gt;"Ausgabe",J2987=""),0,IF(J2987="x",-$E2987/(COUNTIF($J2987:$Q2987,"x")+1),-$E2987*N(J2987)))</f>
        <v/>
      </c>
      <c r="Y2987" s="34">
        <f>IF(OR($A2987="",$H2987&lt;&gt;"Ausgabe",K2987=""),0,IF(K2987="x",-$E2987/(COUNTIF($J2987:$Q2987,"x")+1),-$E2987*N(K2987)))</f>
        <v/>
      </c>
      <c r="Z2987" s="34">
        <f>IF(OR($A2987="",$H2987&lt;&gt;"Ausgabe",L2987=""),0,IF(L2987="x",-$E2987/(COUNTIF($J2987:$Q2987,"x")+1),-$E2987*N(L2987)))</f>
        <v/>
      </c>
      <c r="AA2987" s="34">
        <f>IF(OR($A2987="",$H2987&lt;&gt;"Ausgabe",M2987=""),0,IF(M2987="x",-$E2987/(COUNTIF($J2987:$Q2987,"x")+1),-$E2987*N(M2987)))</f>
        <v/>
      </c>
      <c r="AB2987" s="34">
        <f>IF(OR($A2987="",$H2987&lt;&gt;"Ausgabe",N2987=""),0,IF(N2987="x",-$E2987/(COUNTIF($J2987:$Q2987,"x")+1),-$E2987*N(N2987)))</f>
        <v/>
      </c>
      <c r="AC2987" s="34">
        <f>IF(OR($A2987="",$H2987&lt;&gt;"Ausgabe",O2987=""),0,IF(O2987="x",-$E2987/(COUNTIF($J2987:$Q2987,"x")+1),-$E2987*N(O2987)))</f>
        <v/>
      </c>
      <c r="AD2987" s="34">
        <f>IF(OR($A2987="",$H2987&lt;&gt;"Ausgabe",P2987=""),0,IF(P2987="x",-$E2987/(COUNTIF($J2987:$Q2987,"x")+1),-$E2987*N(P2987)))</f>
        <v/>
      </c>
      <c r="AE2987" s="34">
        <f>IF(OR($A2987="",$H2987&lt;&gt;"Ausgabe",Q2987=""),0,IF(Q2987="x",-$E2987/(COUNTIF($J2987:$Q2987,"x")+1),-$E2987*N(Q2987)))</f>
        <v/>
      </c>
    </row>
    <row r="2988">
      <c r="A2988" s="30" t="n"/>
      <c r="E2988" s="31" t="n"/>
      <c r="J2988" s="32" t="n"/>
      <c r="K2988" s="32" t="n"/>
      <c r="L2988" s="32" t="n"/>
      <c r="M2988" s="32" t="n"/>
      <c r="N2988" s="32" t="n"/>
      <c r="O2988" s="32" t="n"/>
      <c r="P2988" s="32" t="n"/>
      <c r="Q2988" s="32" t="n"/>
      <c r="U2988" s="31">
        <f>IF($A2988="","",SUM(X2988:AE2988))</f>
        <v/>
      </c>
      <c r="V2988" s="31">
        <f>IF($A2988="","",IF($H2988&lt;&gt;"Ausgabe",0,-$E2988-$U2988))</f>
        <v/>
      </c>
      <c r="W2988" s="33">
        <f>IF($A2988="","",DATE(YEAR($A2988),MONTH($A2988),1))</f>
        <v/>
      </c>
      <c r="X2988" s="34">
        <f>IF(OR($A2988="",$H2988&lt;&gt;"Ausgabe",J2988=""),0,IF(J2988="x",-$E2988/(COUNTIF($J2988:$Q2988,"x")+1),-$E2988*N(J2988)))</f>
        <v/>
      </c>
      <c r="Y2988" s="34">
        <f>IF(OR($A2988="",$H2988&lt;&gt;"Ausgabe",K2988=""),0,IF(K2988="x",-$E2988/(COUNTIF($J2988:$Q2988,"x")+1),-$E2988*N(K2988)))</f>
        <v/>
      </c>
      <c r="Z2988" s="34">
        <f>IF(OR($A2988="",$H2988&lt;&gt;"Ausgabe",L2988=""),0,IF(L2988="x",-$E2988/(COUNTIF($J2988:$Q2988,"x")+1),-$E2988*N(L2988)))</f>
        <v/>
      </c>
      <c r="AA2988" s="34">
        <f>IF(OR($A2988="",$H2988&lt;&gt;"Ausgabe",M2988=""),0,IF(M2988="x",-$E2988/(COUNTIF($J2988:$Q2988,"x")+1),-$E2988*N(M2988)))</f>
        <v/>
      </c>
      <c r="AB2988" s="34">
        <f>IF(OR($A2988="",$H2988&lt;&gt;"Ausgabe",N2988=""),0,IF(N2988="x",-$E2988/(COUNTIF($J2988:$Q2988,"x")+1),-$E2988*N(N2988)))</f>
        <v/>
      </c>
      <c r="AC2988" s="34">
        <f>IF(OR($A2988="",$H2988&lt;&gt;"Ausgabe",O2988=""),0,IF(O2988="x",-$E2988/(COUNTIF($J2988:$Q2988,"x")+1),-$E2988*N(O2988)))</f>
        <v/>
      </c>
      <c r="AD2988" s="34">
        <f>IF(OR($A2988="",$H2988&lt;&gt;"Ausgabe",P2988=""),0,IF(P2988="x",-$E2988/(COUNTIF($J2988:$Q2988,"x")+1),-$E2988*N(P2988)))</f>
        <v/>
      </c>
      <c r="AE2988" s="34">
        <f>IF(OR($A2988="",$H2988&lt;&gt;"Ausgabe",Q2988=""),0,IF(Q2988="x",-$E2988/(COUNTIF($J2988:$Q2988,"x")+1),-$E2988*N(Q2988)))</f>
        <v/>
      </c>
    </row>
    <row r="2989">
      <c r="A2989" s="30" t="n"/>
      <c r="E2989" s="31" t="n"/>
      <c r="J2989" s="32" t="n"/>
      <c r="K2989" s="32" t="n"/>
      <c r="L2989" s="32" t="n"/>
      <c r="M2989" s="32" t="n"/>
      <c r="N2989" s="32" t="n"/>
      <c r="O2989" s="32" t="n"/>
      <c r="P2989" s="32" t="n"/>
      <c r="Q2989" s="32" t="n"/>
      <c r="U2989" s="31">
        <f>IF($A2989="","",SUM(X2989:AE2989))</f>
        <v/>
      </c>
      <c r="V2989" s="31">
        <f>IF($A2989="","",IF($H2989&lt;&gt;"Ausgabe",0,-$E2989-$U2989))</f>
        <v/>
      </c>
      <c r="W2989" s="33">
        <f>IF($A2989="","",DATE(YEAR($A2989),MONTH($A2989),1))</f>
        <v/>
      </c>
      <c r="X2989" s="34">
        <f>IF(OR($A2989="",$H2989&lt;&gt;"Ausgabe",J2989=""),0,IF(J2989="x",-$E2989/(COUNTIF($J2989:$Q2989,"x")+1),-$E2989*N(J2989)))</f>
        <v/>
      </c>
      <c r="Y2989" s="34">
        <f>IF(OR($A2989="",$H2989&lt;&gt;"Ausgabe",K2989=""),0,IF(K2989="x",-$E2989/(COUNTIF($J2989:$Q2989,"x")+1),-$E2989*N(K2989)))</f>
        <v/>
      </c>
      <c r="Z2989" s="34">
        <f>IF(OR($A2989="",$H2989&lt;&gt;"Ausgabe",L2989=""),0,IF(L2989="x",-$E2989/(COUNTIF($J2989:$Q2989,"x")+1),-$E2989*N(L2989)))</f>
        <v/>
      </c>
      <c r="AA2989" s="34">
        <f>IF(OR($A2989="",$H2989&lt;&gt;"Ausgabe",M2989=""),0,IF(M2989="x",-$E2989/(COUNTIF($J2989:$Q2989,"x")+1),-$E2989*N(M2989)))</f>
        <v/>
      </c>
      <c r="AB2989" s="34">
        <f>IF(OR($A2989="",$H2989&lt;&gt;"Ausgabe",N2989=""),0,IF(N2989="x",-$E2989/(COUNTIF($J2989:$Q2989,"x")+1),-$E2989*N(N2989)))</f>
        <v/>
      </c>
      <c r="AC2989" s="34">
        <f>IF(OR($A2989="",$H2989&lt;&gt;"Ausgabe",O2989=""),0,IF(O2989="x",-$E2989/(COUNTIF($J2989:$Q2989,"x")+1),-$E2989*N(O2989)))</f>
        <v/>
      </c>
      <c r="AD2989" s="34">
        <f>IF(OR($A2989="",$H2989&lt;&gt;"Ausgabe",P2989=""),0,IF(P2989="x",-$E2989/(COUNTIF($J2989:$Q2989,"x")+1),-$E2989*N(P2989)))</f>
        <v/>
      </c>
      <c r="AE2989" s="34">
        <f>IF(OR($A2989="",$H2989&lt;&gt;"Ausgabe",Q2989=""),0,IF(Q2989="x",-$E2989/(COUNTIF($J2989:$Q2989,"x")+1),-$E2989*N(Q2989)))</f>
        <v/>
      </c>
    </row>
    <row r="2990">
      <c r="A2990" s="30" t="n"/>
      <c r="E2990" s="31" t="n"/>
      <c r="J2990" s="32" t="n"/>
      <c r="K2990" s="32" t="n"/>
      <c r="L2990" s="32" t="n"/>
      <c r="M2990" s="32" t="n"/>
      <c r="N2990" s="32" t="n"/>
      <c r="O2990" s="32" t="n"/>
      <c r="P2990" s="32" t="n"/>
      <c r="Q2990" s="32" t="n"/>
      <c r="U2990" s="31">
        <f>IF($A2990="","",SUM(X2990:AE2990))</f>
        <v/>
      </c>
      <c r="V2990" s="31">
        <f>IF($A2990="","",IF($H2990&lt;&gt;"Ausgabe",0,-$E2990-$U2990))</f>
        <v/>
      </c>
      <c r="W2990" s="33">
        <f>IF($A2990="","",DATE(YEAR($A2990),MONTH($A2990),1))</f>
        <v/>
      </c>
      <c r="X2990" s="34">
        <f>IF(OR($A2990="",$H2990&lt;&gt;"Ausgabe",J2990=""),0,IF(J2990="x",-$E2990/(COUNTIF($J2990:$Q2990,"x")+1),-$E2990*N(J2990)))</f>
        <v/>
      </c>
      <c r="Y2990" s="34">
        <f>IF(OR($A2990="",$H2990&lt;&gt;"Ausgabe",K2990=""),0,IF(K2990="x",-$E2990/(COUNTIF($J2990:$Q2990,"x")+1),-$E2990*N(K2990)))</f>
        <v/>
      </c>
      <c r="Z2990" s="34">
        <f>IF(OR($A2990="",$H2990&lt;&gt;"Ausgabe",L2990=""),0,IF(L2990="x",-$E2990/(COUNTIF($J2990:$Q2990,"x")+1),-$E2990*N(L2990)))</f>
        <v/>
      </c>
      <c r="AA2990" s="34">
        <f>IF(OR($A2990="",$H2990&lt;&gt;"Ausgabe",M2990=""),0,IF(M2990="x",-$E2990/(COUNTIF($J2990:$Q2990,"x")+1),-$E2990*N(M2990)))</f>
        <v/>
      </c>
      <c r="AB2990" s="34">
        <f>IF(OR($A2990="",$H2990&lt;&gt;"Ausgabe",N2990=""),0,IF(N2990="x",-$E2990/(COUNTIF($J2990:$Q2990,"x")+1),-$E2990*N(N2990)))</f>
        <v/>
      </c>
      <c r="AC2990" s="34">
        <f>IF(OR($A2990="",$H2990&lt;&gt;"Ausgabe",O2990=""),0,IF(O2990="x",-$E2990/(COUNTIF($J2990:$Q2990,"x")+1),-$E2990*N(O2990)))</f>
        <v/>
      </c>
      <c r="AD2990" s="34">
        <f>IF(OR($A2990="",$H2990&lt;&gt;"Ausgabe",P2990=""),0,IF(P2990="x",-$E2990/(COUNTIF($J2990:$Q2990,"x")+1),-$E2990*N(P2990)))</f>
        <v/>
      </c>
      <c r="AE2990" s="34">
        <f>IF(OR($A2990="",$H2990&lt;&gt;"Ausgabe",Q2990=""),0,IF(Q2990="x",-$E2990/(COUNTIF($J2990:$Q2990,"x")+1),-$E2990*N(Q2990)))</f>
        <v/>
      </c>
    </row>
    <row r="2991">
      <c r="A2991" s="30" t="n"/>
      <c r="E2991" s="31" t="n"/>
      <c r="J2991" s="32" t="n"/>
      <c r="K2991" s="32" t="n"/>
      <c r="L2991" s="32" t="n"/>
      <c r="M2991" s="32" t="n"/>
      <c r="N2991" s="32" t="n"/>
      <c r="O2991" s="32" t="n"/>
      <c r="P2991" s="32" t="n"/>
      <c r="Q2991" s="32" t="n"/>
      <c r="U2991" s="31">
        <f>IF($A2991="","",SUM(X2991:AE2991))</f>
        <v/>
      </c>
      <c r="V2991" s="31">
        <f>IF($A2991="","",IF($H2991&lt;&gt;"Ausgabe",0,-$E2991-$U2991))</f>
        <v/>
      </c>
      <c r="W2991" s="33">
        <f>IF($A2991="","",DATE(YEAR($A2991),MONTH($A2991),1))</f>
        <v/>
      </c>
      <c r="X2991" s="34">
        <f>IF(OR($A2991="",$H2991&lt;&gt;"Ausgabe",J2991=""),0,IF(J2991="x",-$E2991/(COUNTIF($J2991:$Q2991,"x")+1),-$E2991*N(J2991)))</f>
        <v/>
      </c>
      <c r="Y2991" s="34">
        <f>IF(OR($A2991="",$H2991&lt;&gt;"Ausgabe",K2991=""),0,IF(K2991="x",-$E2991/(COUNTIF($J2991:$Q2991,"x")+1),-$E2991*N(K2991)))</f>
        <v/>
      </c>
      <c r="Z2991" s="34">
        <f>IF(OR($A2991="",$H2991&lt;&gt;"Ausgabe",L2991=""),0,IF(L2991="x",-$E2991/(COUNTIF($J2991:$Q2991,"x")+1),-$E2991*N(L2991)))</f>
        <v/>
      </c>
      <c r="AA2991" s="34">
        <f>IF(OR($A2991="",$H2991&lt;&gt;"Ausgabe",M2991=""),0,IF(M2991="x",-$E2991/(COUNTIF($J2991:$Q2991,"x")+1),-$E2991*N(M2991)))</f>
        <v/>
      </c>
      <c r="AB2991" s="34">
        <f>IF(OR($A2991="",$H2991&lt;&gt;"Ausgabe",N2991=""),0,IF(N2991="x",-$E2991/(COUNTIF($J2991:$Q2991,"x")+1),-$E2991*N(N2991)))</f>
        <v/>
      </c>
      <c r="AC2991" s="34">
        <f>IF(OR($A2991="",$H2991&lt;&gt;"Ausgabe",O2991=""),0,IF(O2991="x",-$E2991/(COUNTIF($J2991:$Q2991,"x")+1),-$E2991*N(O2991)))</f>
        <v/>
      </c>
      <c r="AD2991" s="34">
        <f>IF(OR($A2991="",$H2991&lt;&gt;"Ausgabe",P2991=""),0,IF(P2991="x",-$E2991/(COUNTIF($J2991:$Q2991,"x")+1),-$E2991*N(P2991)))</f>
        <v/>
      </c>
      <c r="AE2991" s="34">
        <f>IF(OR($A2991="",$H2991&lt;&gt;"Ausgabe",Q2991=""),0,IF(Q2991="x",-$E2991/(COUNTIF($J2991:$Q2991,"x")+1),-$E2991*N(Q2991)))</f>
        <v/>
      </c>
    </row>
    <row r="2992">
      <c r="A2992" s="30" t="n"/>
      <c r="E2992" s="31" t="n"/>
      <c r="J2992" s="32" t="n"/>
      <c r="K2992" s="32" t="n"/>
      <c r="L2992" s="32" t="n"/>
      <c r="M2992" s="32" t="n"/>
      <c r="N2992" s="32" t="n"/>
      <c r="O2992" s="32" t="n"/>
      <c r="P2992" s="32" t="n"/>
      <c r="Q2992" s="32" t="n"/>
      <c r="U2992" s="31">
        <f>IF($A2992="","",SUM(X2992:AE2992))</f>
        <v/>
      </c>
      <c r="V2992" s="31">
        <f>IF($A2992="","",IF($H2992&lt;&gt;"Ausgabe",0,-$E2992-$U2992))</f>
        <v/>
      </c>
      <c r="W2992" s="33">
        <f>IF($A2992="","",DATE(YEAR($A2992),MONTH($A2992),1))</f>
        <v/>
      </c>
      <c r="X2992" s="34">
        <f>IF(OR($A2992="",$H2992&lt;&gt;"Ausgabe",J2992=""),0,IF(J2992="x",-$E2992/(COUNTIF($J2992:$Q2992,"x")+1),-$E2992*N(J2992)))</f>
        <v/>
      </c>
      <c r="Y2992" s="34">
        <f>IF(OR($A2992="",$H2992&lt;&gt;"Ausgabe",K2992=""),0,IF(K2992="x",-$E2992/(COUNTIF($J2992:$Q2992,"x")+1),-$E2992*N(K2992)))</f>
        <v/>
      </c>
      <c r="Z2992" s="34">
        <f>IF(OR($A2992="",$H2992&lt;&gt;"Ausgabe",L2992=""),0,IF(L2992="x",-$E2992/(COUNTIF($J2992:$Q2992,"x")+1),-$E2992*N(L2992)))</f>
        <v/>
      </c>
      <c r="AA2992" s="34">
        <f>IF(OR($A2992="",$H2992&lt;&gt;"Ausgabe",M2992=""),0,IF(M2992="x",-$E2992/(COUNTIF($J2992:$Q2992,"x")+1),-$E2992*N(M2992)))</f>
        <v/>
      </c>
      <c r="AB2992" s="34">
        <f>IF(OR($A2992="",$H2992&lt;&gt;"Ausgabe",N2992=""),0,IF(N2992="x",-$E2992/(COUNTIF($J2992:$Q2992,"x")+1),-$E2992*N(N2992)))</f>
        <v/>
      </c>
      <c r="AC2992" s="34">
        <f>IF(OR($A2992="",$H2992&lt;&gt;"Ausgabe",O2992=""),0,IF(O2992="x",-$E2992/(COUNTIF($J2992:$Q2992,"x")+1),-$E2992*N(O2992)))</f>
        <v/>
      </c>
      <c r="AD2992" s="34">
        <f>IF(OR($A2992="",$H2992&lt;&gt;"Ausgabe",P2992=""),0,IF(P2992="x",-$E2992/(COUNTIF($J2992:$Q2992,"x")+1),-$E2992*N(P2992)))</f>
        <v/>
      </c>
      <c r="AE2992" s="34">
        <f>IF(OR($A2992="",$H2992&lt;&gt;"Ausgabe",Q2992=""),0,IF(Q2992="x",-$E2992/(COUNTIF($J2992:$Q2992,"x")+1),-$E2992*N(Q2992)))</f>
        <v/>
      </c>
    </row>
    <row r="2993">
      <c r="A2993" s="30" t="n"/>
      <c r="E2993" s="31" t="n"/>
      <c r="J2993" s="32" t="n"/>
      <c r="K2993" s="32" t="n"/>
      <c r="L2993" s="32" t="n"/>
      <c r="M2993" s="32" t="n"/>
      <c r="N2993" s="32" t="n"/>
      <c r="O2993" s="32" t="n"/>
      <c r="P2993" s="32" t="n"/>
      <c r="Q2993" s="32" t="n"/>
      <c r="U2993" s="31">
        <f>IF($A2993="","",SUM(X2993:AE2993))</f>
        <v/>
      </c>
      <c r="V2993" s="31">
        <f>IF($A2993="","",IF($H2993&lt;&gt;"Ausgabe",0,-$E2993-$U2993))</f>
        <v/>
      </c>
      <c r="W2993" s="33">
        <f>IF($A2993="","",DATE(YEAR($A2993),MONTH($A2993),1))</f>
        <v/>
      </c>
      <c r="X2993" s="34">
        <f>IF(OR($A2993="",$H2993&lt;&gt;"Ausgabe",J2993=""),0,IF(J2993="x",-$E2993/(COUNTIF($J2993:$Q2993,"x")+1),-$E2993*N(J2993)))</f>
        <v/>
      </c>
      <c r="Y2993" s="34">
        <f>IF(OR($A2993="",$H2993&lt;&gt;"Ausgabe",K2993=""),0,IF(K2993="x",-$E2993/(COUNTIF($J2993:$Q2993,"x")+1),-$E2993*N(K2993)))</f>
        <v/>
      </c>
      <c r="Z2993" s="34">
        <f>IF(OR($A2993="",$H2993&lt;&gt;"Ausgabe",L2993=""),0,IF(L2993="x",-$E2993/(COUNTIF($J2993:$Q2993,"x")+1),-$E2993*N(L2993)))</f>
        <v/>
      </c>
      <c r="AA2993" s="34">
        <f>IF(OR($A2993="",$H2993&lt;&gt;"Ausgabe",M2993=""),0,IF(M2993="x",-$E2993/(COUNTIF($J2993:$Q2993,"x")+1),-$E2993*N(M2993)))</f>
        <v/>
      </c>
      <c r="AB2993" s="34">
        <f>IF(OR($A2993="",$H2993&lt;&gt;"Ausgabe",N2993=""),0,IF(N2993="x",-$E2993/(COUNTIF($J2993:$Q2993,"x")+1),-$E2993*N(N2993)))</f>
        <v/>
      </c>
      <c r="AC2993" s="34">
        <f>IF(OR($A2993="",$H2993&lt;&gt;"Ausgabe",O2993=""),0,IF(O2993="x",-$E2993/(COUNTIF($J2993:$Q2993,"x")+1),-$E2993*N(O2993)))</f>
        <v/>
      </c>
      <c r="AD2993" s="34">
        <f>IF(OR($A2993="",$H2993&lt;&gt;"Ausgabe",P2993=""),0,IF(P2993="x",-$E2993/(COUNTIF($J2993:$Q2993,"x")+1),-$E2993*N(P2993)))</f>
        <v/>
      </c>
      <c r="AE2993" s="34">
        <f>IF(OR($A2993="",$H2993&lt;&gt;"Ausgabe",Q2993=""),0,IF(Q2993="x",-$E2993/(COUNTIF($J2993:$Q2993,"x")+1),-$E2993*N(Q2993)))</f>
        <v/>
      </c>
    </row>
    <row r="2994">
      <c r="A2994" s="30" t="n"/>
      <c r="E2994" s="31" t="n"/>
      <c r="J2994" s="32" t="n"/>
      <c r="K2994" s="32" t="n"/>
      <c r="L2994" s="32" t="n"/>
      <c r="M2994" s="32" t="n"/>
      <c r="N2994" s="32" t="n"/>
      <c r="O2994" s="32" t="n"/>
      <c r="P2994" s="32" t="n"/>
      <c r="Q2994" s="32" t="n"/>
      <c r="U2994" s="31">
        <f>IF($A2994="","",SUM(X2994:AE2994))</f>
        <v/>
      </c>
      <c r="V2994" s="31">
        <f>IF($A2994="","",IF($H2994&lt;&gt;"Ausgabe",0,-$E2994-$U2994))</f>
        <v/>
      </c>
      <c r="W2994" s="33">
        <f>IF($A2994="","",DATE(YEAR($A2994),MONTH($A2994),1))</f>
        <v/>
      </c>
      <c r="X2994" s="34">
        <f>IF(OR($A2994="",$H2994&lt;&gt;"Ausgabe",J2994=""),0,IF(J2994="x",-$E2994/(COUNTIF($J2994:$Q2994,"x")+1),-$E2994*N(J2994)))</f>
        <v/>
      </c>
      <c r="Y2994" s="34">
        <f>IF(OR($A2994="",$H2994&lt;&gt;"Ausgabe",K2994=""),0,IF(K2994="x",-$E2994/(COUNTIF($J2994:$Q2994,"x")+1),-$E2994*N(K2994)))</f>
        <v/>
      </c>
      <c r="Z2994" s="34">
        <f>IF(OR($A2994="",$H2994&lt;&gt;"Ausgabe",L2994=""),0,IF(L2994="x",-$E2994/(COUNTIF($J2994:$Q2994,"x")+1),-$E2994*N(L2994)))</f>
        <v/>
      </c>
      <c r="AA2994" s="34">
        <f>IF(OR($A2994="",$H2994&lt;&gt;"Ausgabe",M2994=""),0,IF(M2994="x",-$E2994/(COUNTIF($J2994:$Q2994,"x")+1),-$E2994*N(M2994)))</f>
        <v/>
      </c>
      <c r="AB2994" s="34">
        <f>IF(OR($A2994="",$H2994&lt;&gt;"Ausgabe",N2994=""),0,IF(N2994="x",-$E2994/(COUNTIF($J2994:$Q2994,"x")+1),-$E2994*N(N2994)))</f>
        <v/>
      </c>
      <c r="AC2994" s="34">
        <f>IF(OR($A2994="",$H2994&lt;&gt;"Ausgabe",O2994=""),0,IF(O2994="x",-$E2994/(COUNTIF($J2994:$Q2994,"x")+1),-$E2994*N(O2994)))</f>
        <v/>
      </c>
      <c r="AD2994" s="34">
        <f>IF(OR($A2994="",$H2994&lt;&gt;"Ausgabe",P2994=""),0,IF(P2994="x",-$E2994/(COUNTIF($J2994:$Q2994,"x")+1),-$E2994*N(P2994)))</f>
        <v/>
      </c>
      <c r="AE2994" s="34">
        <f>IF(OR($A2994="",$H2994&lt;&gt;"Ausgabe",Q2994=""),0,IF(Q2994="x",-$E2994/(COUNTIF($J2994:$Q2994,"x")+1),-$E2994*N(Q2994)))</f>
        <v/>
      </c>
    </row>
    <row r="2995">
      <c r="A2995" s="30" t="n"/>
      <c r="E2995" s="31" t="n"/>
      <c r="J2995" s="32" t="n"/>
      <c r="K2995" s="32" t="n"/>
      <c r="L2995" s="32" t="n"/>
      <c r="M2995" s="32" t="n"/>
      <c r="N2995" s="32" t="n"/>
      <c r="O2995" s="32" t="n"/>
      <c r="P2995" s="32" t="n"/>
      <c r="Q2995" s="32" t="n"/>
      <c r="U2995" s="31">
        <f>IF($A2995="","",SUM(X2995:AE2995))</f>
        <v/>
      </c>
      <c r="V2995" s="31">
        <f>IF($A2995="","",IF($H2995&lt;&gt;"Ausgabe",0,-$E2995-$U2995))</f>
        <v/>
      </c>
      <c r="W2995" s="33">
        <f>IF($A2995="","",DATE(YEAR($A2995),MONTH($A2995),1))</f>
        <v/>
      </c>
      <c r="X2995" s="34">
        <f>IF(OR($A2995="",$H2995&lt;&gt;"Ausgabe",J2995=""),0,IF(J2995="x",-$E2995/(COUNTIF($J2995:$Q2995,"x")+1),-$E2995*N(J2995)))</f>
        <v/>
      </c>
      <c r="Y2995" s="34">
        <f>IF(OR($A2995="",$H2995&lt;&gt;"Ausgabe",K2995=""),0,IF(K2995="x",-$E2995/(COUNTIF($J2995:$Q2995,"x")+1),-$E2995*N(K2995)))</f>
        <v/>
      </c>
      <c r="Z2995" s="34">
        <f>IF(OR($A2995="",$H2995&lt;&gt;"Ausgabe",L2995=""),0,IF(L2995="x",-$E2995/(COUNTIF($J2995:$Q2995,"x")+1),-$E2995*N(L2995)))</f>
        <v/>
      </c>
      <c r="AA2995" s="34">
        <f>IF(OR($A2995="",$H2995&lt;&gt;"Ausgabe",M2995=""),0,IF(M2995="x",-$E2995/(COUNTIF($J2995:$Q2995,"x")+1),-$E2995*N(M2995)))</f>
        <v/>
      </c>
      <c r="AB2995" s="34">
        <f>IF(OR($A2995="",$H2995&lt;&gt;"Ausgabe",N2995=""),0,IF(N2995="x",-$E2995/(COUNTIF($J2995:$Q2995,"x")+1),-$E2995*N(N2995)))</f>
        <v/>
      </c>
      <c r="AC2995" s="34">
        <f>IF(OR($A2995="",$H2995&lt;&gt;"Ausgabe",O2995=""),0,IF(O2995="x",-$E2995/(COUNTIF($J2995:$Q2995,"x")+1),-$E2995*N(O2995)))</f>
        <v/>
      </c>
      <c r="AD2995" s="34">
        <f>IF(OR($A2995="",$H2995&lt;&gt;"Ausgabe",P2995=""),0,IF(P2995="x",-$E2995/(COUNTIF($J2995:$Q2995,"x")+1),-$E2995*N(P2995)))</f>
        <v/>
      </c>
      <c r="AE2995" s="34">
        <f>IF(OR($A2995="",$H2995&lt;&gt;"Ausgabe",Q2995=""),0,IF(Q2995="x",-$E2995/(COUNTIF($J2995:$Q2995,"x")+1),-$E2995*N(Q2995)))</f>
        <v/>
      </c>
    </row>
    <row r="2996">
      <c r="A2996" s="30" t="n"/>
      <c r="E2996" s="31" t="n"/>
      <c r="J2996" s="32" t="n"/>
      <c r="K2996" s="32" t="n"/>
      <c r="L2996" s="32" t="n"/>
      <c r="M2996" s="32" t="n"/>
      <c r="N2996" s="32" t="n"/>
      <c r="O2996" s="32" t="n"/>
      <c r="P2996" s="32" t="n"/>
      <c r="Q2996" s="32" t="n"/>
      <c r="U2996" s="31">
        <f>IF($A2996="","",SUM(X2996:AE2996))</f>
        <v/>
      </c>
      <c r="V2996" s="31">
        <f>IF($A2996="","",IF($H2996&lt;&gt;"Ausgabe",0,-$E2996-$U2996))</f>
        <v/>
      </c>
      <c r="W2996" s="33">
        <f>IF($A2996="","",DATE(YEAR($A2996),MONTH($A2996),1))</f>
        <v/>
      </c>
      <c r="X2996" s="34">
        <f>IF(OR($A2996="",$H2996&lt;&gt;"Ausgabe",J2996=""),0,IF(J2996="x",-$E2996/(COUNTIF($J2996:$Q2996,"x")+1),-$E2996*N(J2996)))</f>
        <v/>
      </c>
      <c r="Y2996" s="34">
        <f>IF(OR($A2996="",$H2996&lt;&gt;"Ausgabe",K2996=""),0,IF(K2996="x",-$E2996/(COUNTIF($J2996:$Q2996,"x")+1),-$E2996*N(K2996)))</f>
        <v/>
      </c>
      <c r="Z2996" s="34">
        <f>IF(OR($A2996="",$H2996&lt;&gt;"Ausgabe",L2996=""),0,IF(L2996="x",-$E2996/(COUNTIF($J2996:$Q2996,"x")+1),-$E2996*N(L2996)))</f>
        <v/>
      </c>
      <c r="AA2996" s="34">
        <f>IF(OR($A2996="",$H2996&lt;&gt;"Ausgabe",M2996=""),0,IF(M2996="x",-$E2996/(COUNTIF($J2996:$Q2996,"x")+1),-$E2996*N(M2996)))</f>
        <v/>
      </c>
      <c r="AB2996" s="34">
        <f>IF(OR($A2996="",$H2996&lt;&gt;"Ausgabe",N2996=""),0,IF(N2996="x",-$E2996/(COUNTIF($J2996:$Q2996,"x")+1),-$E2996*N(N2996)))</f>
        <v/>
      </c>
      <c r="AC2996" s="34">
        <f>IF(OR($A2996="",$H2996&lt;&gt;"Ausgabe",O2996=""),0,IF(O2996="x",-$E2996/(COUNTIF($J2996:$Q2996,"x")+1),-$E2996*N(O2996)))</f>
        <v/>
      </c>
      <c r="AD2996" s="34">
        <f>IF(OR($A2996="",$H2996&lt;&gt;"Ausgabe",P2996=""),0,IF(P2996="x",-$E2996/(COUNTIF($J2996:$Q2996,"x")+1),-$E2996*N(P2996)))</f>
        <v/>
      </c>
      <c r="AE2996" s="34">
        <f>IF(OR($A2996="",$H2996&lt;&gt;"Ausgabe",Q2996=""),0,IF(Q2996="x",-$E2996/(COUNTIF($J2996:$Q2996,"x")+1),-$E2996*N(Q2996)))</f>
        <v/>
      </c>
    </row>
    <row r="2997">
      <c r="A2997" s="30" t="n"/>
      <c r="E2997" s="31" t="n"/>
      <c r="J2997" s="32" t="n"/>
      <c r="K2997" s="32" t="n"/>
      <c r="L2997" s="32" t="n"/>
      <c r="M2997" s="32" t="n"/>
      <c r="N2997" s="32" t="n"/>
      <c r="O2997" s="32" t="n"/>
      <c r="P2997" s="32" t="n"/>
      <c r="Q2997" s="32" t="n"/>
      <c r="U2997" s="31">
        <f>IF($A2997="","",SUM(X2997:AE2997))</f>
        <v/>
      </c>
      <c r="V2997" s="31">
        <f>IF($A2997="","",IF($H2997&lt;&gt;"Ausgabe",0,-$E2997-$U2997))</f>
        <v/>
      </c>
      <c r="W2997" s="33">
        <f>IF($A2997="","",DATE(YEAR($A2997),MONTH($A2997),1))</f>
        <v/>
      </c>
      <c r="X2997" s="34">
        <f>IF(OR($A2997="",$H2997&lt;&gt;"Ausgabe",J2997=""),0,IF(J2997="x",-$E2997/(COUNTIF($J2997:$Q2997,"x")+1),-$E2997*N(J2997)))</f>
        <v/>
      </c>
      <c r="Y2997" s="34">
        <f>IF(OR($A2997="",$H2997&lt;&gt;"Ausgabe",K2997=""),0,IF(K2997="x",-$E2997/(COUNTIF($J2997:$Q2997,"x")+1),-$E2997*N(K2997)))</f>
        <v/>
      </c>
      <c r="Z2997" s="34">
        <f>IF(OR($A2997="",$H2997&lt;&gt;"Ausgabe",L2997=""),0,IF(L2997="x",-$E2997/(COUNTIF($J2997:$Q2997,"x")+1),-$E2997*N(L2997)))</f>
        <v/>
      </c>
      <c r="AA2997" s="34">
        <f>IF(OR($A2997="",$H2997&lt;&gt;"Ausgabe",M2997=""),0,IF(M2997="x",-$E2997/(COUNTIF($J2997:$Q2997,"x")+1),-$E2997*N(M2997)))</f>
        <v/>
      </c>
      <c r="AB2997" s="34">
        <f>IF(OR($A2997="",$H2997&lt;&gt;"Ausgabe",N2997=""),0,IF(N2997="x",-$E2997/(COUNTIF($J2997:$Q2997,"x")+1),-$E2997*N(N2997)))</f>
        <v/>
      </c>
      <c r="AC2997" s="34">
        <f>IF(OR($A2997="",$H2997&lt;&gt;"Ausgabe",O2997=""),0,IF(O2997="x",-$E2997/(COUNTIF($J2997:$Q2997,"x")+1),-$E2997*N(O2997)))</f>
        <v/>
      </c>
      <c r="AD2997" s="34">
        <f>IF(OR($A2997="",$H2997&lt;&gt;"Ausgabe",P2997=""),0,IF(P2997="x",-$E2997/(COUNTIF($J2997:$Q2997,"x")+1),-$E2997*N(P2997)))</f>
        <v/>
      </c>
      <c r="AE2997" s="34">
        <f>IF(OR($A2997="",$H2997&lt;&gt;"Ausgabe",Q2997=""),0,IF(Q2997="x",-$E2997/(COUNTIF($J2997:$Q2997,"x")+1),-$E2997*N(Q2997)))</f>
        <v/>
      </c>
    </row>
    <row r="2998">
      <c r="A2998" s="30" t="n"/>
      <c r="E2998" s="31" t="n"/>
      <c r="J2998" s="32" t="n"/>
      <c r="K2998" s="32" t="n"/>
      <c r="L2998" s="32" t="n"/>
      <c r="M2998" s="32" t="n"/>
      <c r="N2998" s="32" t="n"/>
      <c r="O2998" s="32" t="n"/>
      <c r="P2998" s="32" t="n"/>
      <c r="Q2998" s="32" t="n"/>
      <c r="U2998" s="31">
        <f>IF($A2998="","",SUM(X2998:AE2998))</f>
        <v/>
      </c>
      <c r="V2998" s="31">
        <f>IF($A2998="","",IF($H2998&lt;&gt;"Ausgabe",0,-$E2998-$U2998))</f>
        <v/>
      </c>
      <c r="W2998" s="33">
        <f>IF($A2998="","",DATE(YEAR($A2998),MONTH($A2998),1))</f>
        <v/>
      </c>
      <c r="X2998" s="34">
        <f>IF(OR($A2998="",$H2998&lt;&gt;"Ausgabe",J2998=""),0,IF(J2998="x",-$E2998/(COUNTIF($J2998:$Q2998,"x")+1),-$E2998*N(J2998)))</f>
        <v/>
      </c>
      <c r="Y2998" s="34">
        <f>IF(OR($A2998="",$H2998&lt;&gt;"Ausgabe",K2998=""),0,IF(K2998="x",-$E2998/(COUNTIF($J2998:$Q2998,"x")+1),-$E2998*N(K2998)))</f>
        <v/>
      </c>
      <c r="Z2998" s="34">
        <f>IF(OR($A2998="",$H2998&lt;&gt;"Ausgabe",L2998=""),0,IF(L2998="x",-$E2998/(COUNTIF($J2998:$Q2998,"x")+1),-$E2998*N(L2998)))</f>
        <v/>
      </c>
      <c r="AA2998" s="34">
        <f>IF(OR($A2998="",$H2998&lt;&gt;"Ausgabe",M2998=""),0,IF(M2998="x",-$E2998/(COUNTIF($J2998:$Q2998,"x")+1),-$E2998*N(M2998)))</f>
        <v/>
      </c>
      <c r="AB2998" s="34">
        <f>IF(OR($A2998="",$H2998&lt;&gt;"Ausgabe",N2998=""),0,IF(N2998="x",-$E2998/(COUNTIF($J2998:$Q2998,"x")+1),-$E2998*N(N2998)))</f>
        <v/>
      </c>
      <c r="AC2998" s="34">
        <f>IF(OR($A2998="",$H2998&lt;&gt;"Ausgabe",O2998=""),0,IF(O2998="x",-$E2998/(COUNTIF($J2998:$Q2998,"x")+1),-$E2998*N(O2998)))</f>
        <v/>
      </c>
      <c r="AD2998" s="34">
        <f>IF(OR($A2998="",$H2998&lt;&gt;"Ausgabe",P2998=""),0,IF(P2998="x",-$E2998/(COUNTIF($J2998:$Q2998,"x")+1),-$E2998*N(P2998)))</f>
        <v/>
      </c>
      <c r="AE2998" s="34">
        <f>IF(OR($A2998="",$H2998&lt;&gt;"Ausgabe",Q2998=""),0,IF(Q2998="x",-$E2998/(COUNTIF($J2998:$Q2998,"x")+1),-$E2998*N(Q2998)))</f>
        <v/>
      </c>
    </row>
    <row r="2999">
      <c r="A2999" s="30" t="n"/>
      <c r="E2999" s="31" t="n"/>
      <c r="J2999" s="32" t="n"/>
      <c r="K2999" s="32" t="n"/>
      <c r="L2999" s="32" t="n"/>
      <c r="M2999" s="32" t="n"/>
      <c r="N2999" s="32" t="n"/>
      <c r="O2999" s="32" t="n"/>
      <c r="P2999" s="32" t="n"/>
      <c r="Q2999" s="32" t="n"/>
      <c r="U2999" s="31">
        <f>IF($A2999="","",SUM(X2999:AE2999))</f>
        <v/>
      </c>
      <c r="V2999" s="31">
        <f>IF($A2999="","",IF($H2999&lt;&gt;"Ausgabe",0,-$E2999-$U2999))</f>
        <v/>
      </c>
      <c r="W2999" s="33">
        <f>IF($A2999="","",DATE(YEAR($A2999),MONTH($A2999),1))</f>
        <v/>
      </c>
      <c r="X2999" s="34">
        <f>IF(OR($A2999="",$H2999&lt;&gt;"Ausgabe",J2999=""),0,IF(J2999="x",-$E2999/(COUNTIF($J2999:$Q2999,"x")+1),-$E2999*N(J2999)))</f>
        <v/>
      </c>
      <c r="Y2999" s="34">
        <f>IF(OR($A2999="",$H2999&lt;&gt;"Ausgabe",K2999=""),0,IF(K2999="x",-$E2999/(COUNTIF($J2999:$Q2999,"x")+1),-$E2999*N(K2999)))</f>
        <v/>
      </c>
      <c r="Z2999" s="34">
        <f>IF(OR($A2999="",$H2999&lt;&gt;"Ausgabe",L2999=""),0,IF(L2999="x",-$E2999/(COUNTIF($J2999:$Q2999,"x")+1),-$E2999*N(L2999)))</f>
        <v/>
      </c>
      <c r="AA2999" s="34">
        <f>IF(OR($A2999="",$H2999&lt;&gt;"Ausgabe",M2999=""),0,IF(M2999="x",-$E2999/(COUNTIF($J2999:$Q2999,"x")+1),-$E2999*N(M2999)))</f>
        <v/>
      </c>
      <c r="AB2999" s="34">
        <f>IF(OR($A2999="",$H2999&lt;&gt;"Ausgabe",N2999=""),0,IF(N2999="x",-$E2999/(COUNTIF($J2999:$Q2999,"x")+1),-$E2999*N(N2999)))</f>
        <v/>
      </c>
      <c r="AC2999" s="34">
        <f>IF(OR($A2999="",$H2999&lt;&gt;"Ausgabe",O2999=""),0,IF(O2999="x",-$E2999/(COUNTIF($J2999:$Q2999,"x")+1),-$E2999*N(O2999)))</f>
        <v/>
      </c>
      <c r="AD2999" s="34">
        <f>IF(OR($A2999="",$H2999&lt;&gt;"Ausgabe",P2999=""),0,IF(P2999="x",-$E2999/(COUNTIF($J2999:$Q2999,"x")+1),-$E2999*N(P2999)))</f>
        <v/>
      </c>
      <c r="AE2999" s="34">
        <f>IF(OR($A2999="",$H2999&lt;&gt;"Ausgabe",Q2999=""),0,IF(Q2999="x",-$E2999/(COUNTIF($J2999:$Q2999,"x")+1),-$E2999*N(Q2999)))</f>
        <v/>
      </c>
    </row>
    <row r="3000">
      <c r="A3000" s="30" t="n"/>
      <c r="E3000" s="31" t="n"/>
      <c r="J3000" s="32" t="n"/>
      <c r="K3000" s="32" t="n"/>
      <c r="L3000" s="32" t="n"/>
      <c r="M3000" s="32" t="n"/>
      <c r="N3000" s="32" t="n"/>
      <c r="O3000" s="32" t="n"/>
      <c r="P3000" s="32" t="n"/>
      <c r="Q3000" s="32" t="n"/>
      <c r="U3000" s="31">
        <f>IF($A3000="","",SUM(X3000:AE3000))</f>
        <v/>
      </c>
      <c r="V3000" s="31">
        <f>IF($A3000="","",IF($H3000&lt;&gt;"Ausgabe",0,-$E3000-$U3000))</f>
        <v/>
      </c>
      <c r="W3000" s="33">
        <f>IF($A3000="","",DATE(YEAR($A3000),MONTH($A3000),1))</f>
        <v/>
      </c>
      <c r="X3000" s="34">
        <f>IF(OR($A3000="",$H3000&lt;&gt;"Ausgabe",J3000=""),0,IF(J3000="x",-$E3000/(COUNTIF($J3000:$Q3000,"x")+1),-$E3000*N(J3000)))</f>
        <v/>
      </c>
      <c r="Y3000" s="34">
        <f>IF(OR($A3000="",$H3000&lt;&gt;"Ausgabe",K3000=""),0,IF(K3000="x",-$E3000/(COUNTIF($J3000:$Q3000,"x")+1),-$E3000*N(K3000)))</f>
        <v/>
      </c>
      <c r="Z3000" s="34">
        <f>IF(OR($A3000="",$H3000&lt;&gt;"Ausgabe",L3000=""),0,IF(L3000="x",-$E3000/(COUNTIF($J3000:$Q3000,"x")+1),-$E3000*N(L3000)))</f>
        <v/>
      </c>
      <c r="AA3000" s="34">
        <f>IF(OR($A3000="",$H3000&lt;&gt;"Ausgabe",M3000=""),0,IF(M3000="x",-$E3000/(COUNTIF($J3000:$Q3000,"x")+1),-$E3000*N(M3000)))</f>
        <v/>
      </c>
      <c r="AB3000" s="34">
        <f>IF(OR($A3000="",$H3000&lt;&gt;"Ausgabe",N3000=""),0,IF(N3000="x",-$E3000/(COUNTIF($J3000:$Q3000,"x")+1),-$E3000*N(N3000)))</f>
        <v/>
      </c>
      <c r="AC3000" s="34">
        <f>IF(OR($A3000="",$H3000&lt;&gt;"Ausgabe",O3000=""),0,IF(O3000="x",-$E3000/(COUNTIF($J3000:$Q3000,"x")+1),-$E3000*N(O3000)))</f>
        <v/>
      </c>
      <c r="AD3000" s="34">
        <f>IF(OR($A3000="",$H3000&lt;&gt;"Ausgabe",P3000=""),0,IF(P3000="x",-$E3000/(COUNTIF($J3000:$Q3000,"x")+1),-$E3000*N(P3000)))</f>
        <v/>
      </c>
      <c r="AE3000" s="34">
        <f>IF(OR($A3000="",$H3000&lt;&gt;"Ausgabe",Q3000=""),0,IF(Q3000="x",-$E3000/(COUNTIF($J3000:$Q3000,"x")+1),-$E3000*N(Q3000)))</f>
        <v/>
      </c>
    </row>
    <row r="3001">
      <c r="A3001" s="30" t="n"/>
      <c r="E3001" s="31" t="n"/>
      <c r="J3001" s="32" t="n"/>
      <c r="K3001" s="32" t="n"/>
      <c r="L3001" s="32" t="n"/>
      <c r="M3001" s="32" t="n"/>
      <c r="N3001" s="32" t="n"/>
      <c r="O3001" s="32" t="n"/>
      <c r="P3001" s="32" t="n"/>
      <c r="Q3001" s="32" t="n"/>
      <c r="U3001" s="31">
        <f>IF($A3001="","",SUM(X3001:AE3001))</f>
        <v/>
      </c>
      <c r="V3001" s="31">
        <f>IF($A3001="","",IF($H3001&lt;&gt;"Ausgabe",0,-$E3001-$U3001))</f>
        <v/>
      </c>
      <c r="W3001" s="33">
        <f>IF($A3001="","",DATE(YEAR($A3001),MONTH($A3001),1))</f>
        <v/>
      </c>
      <c r="X3001" s="34">
        <f>IF(OR($A3001="",$H3001&lt;&gt;"Ausgabe",J3001=""),0,IF(J3001="x",-$E3001/(COUNTIF($J3001:$Q3001,"x")+1),-$E3001*N(J3001)))</f>
        <v/>
      </c>
      <c r="Y3001" s="34">
        <f>IF(OR($A3001="",$H3001&lt;&gt;"Ausgabe",K3001=""),0,IF(K3001="x",-$E3001/(COUNTIF($J3001:$Q3001,"x")+1),-$E3001*N(K3001)))</f>
        <v/>
      </c>
      <c r="Z3001" s="34">
        <f>IF(OR($A3001="",$H3001&lt;&gt;"Ausgabe",L3001=""),0,IF(L3001="x",-$E3001/(COUNTIF($J3001:$Q3001,"x")+1),-$E3001*N(L3001)))</f>
        <v/>
      </c>
      <c r="AA3001" s="34">
        <f>IF(OR($A3001="",$H3001&lt;&gt;"Ausgabe",M3001=""),0,IF(M3001="x",-$E3001/(COUNTIF($J3001:$Q3001,"x")+1),-$E3001*N(M3001)))</f>
        <v/>
      </c>
      <c r="AB3001" s="34">
        <f>IF(OR($A3001="",$H3001&lt;&gt;"Ausgabe",N3001=""),0,IF(N3001="x",-$E3001/(COUNTIF($J3001:$Q3001,"x")+1),-$E3001*N(N3001)))</f>
        <v/>
      </c>
      <c r="AC3001" s="34">
        <f>IF(OR($A3001="",$H3001&lt;&gt;"Ausgabe",O3001=""),0,IF(O3001="x",-$E3001/(COUNTIF($J3001:$Q3001,"x")+1),-$E3001*N(O3001)))</f>
        <v/>
      </c>
      <c r="AD3001" s="34">
        <f>IF(OR($A3001="",$H3001&lt;&gt;"Ausgabe",P3001=""),0,IF(P3001="x",-$E3001/(COUNTIF($J3001:$Q3001,"x")+1),-$E3001*N(P3001)))</f>
        <v/>
      </c>
      <c r="AE3001" s="34">
        <f>IF(OR($A3001="",$H3001&lt;&gt;"Ausgabe",Q3001=""),0,IF(Q3001="x",-$E3001/(COUNTIF($J3001:$Q3001,"x")+1),-$E3001*N(Q3001)))</f>
        <v/>
      </c>
    </row>
    <row r="3002">
      <c r="A3002" s="30" t="n"/>
      <c r="E3002" s="31" t="n"/>
      <c r="J3002" s="32" t="n"/>
      <c r="K3002" s="32" t="n"/>
      <c r="L3002" s="32" t="n"/>
      <c r="M3002" s="32" t="n"/>
      <c r="N3002" s="32" t="n"/>
      <c r="O3002" s="32" t="n"/>
      <c r="P3002" s="32" t="n"/>
      <c r="Q3002" s="32" t="n"/>
      <c r="U3002" s="31">
        <f>IF($A3002="","",SUM(X3002:AE3002))</f>
        <v/>
      </c>
      <c r="V3002" s="31">
        <f>IF($A3002="","",IF($H3002&lt;&gt;"Ausgabe",0,-$E3002-$U3002))</f>
        <v/>
      </c>
      <c r="W3002" s="33">
        <f>IF($A3002="","",DATE(YEAR($A3002),MONTH($A3002),1))</f>
        <v/>
      </c>
      <c r="X3002" s="34">
        <f>IF(OR($A3002="",$H3002&lt;&gt;"Ausgabe",J3002=""),0,IF(J3002="x",-$E3002/(COUNTIF($J3002:$Q3002,"x")+1),-$E3002*N(J3002)))</f>
        <v/>
      </c>
      <c r="Y3002" s="34">
        <f>IF(OR($A3002="",$H3002&lt;&gt;"Ausgabe",K3002=""),0,IF(K3002="x",-$E3002/(COUNTIF($J3002:$Q3002,"x")+1),-$E3002*N(K3002)))</f>
        <v/>
      </c>
      <c r="Z3002" s="34">
        <f>IF(OR($A3002="",$H3002&lt;&gt;"Ausgabe",L3002=""),0,IF(L3002="x",-$E3002/(COUNTIF($J3002:$Q3002,"x")+1),-$E3002*N(L3002)))</f>
        <v/>
      </c>
      <c r="AA3002" s="34">
        <f>IF(OR($A3002="",$H3002&lt;&gt;"Ausgabe",M3002=""),0,IF(M3002="x",-$E3002/(COUNTIF($J3002:$Q3002,"x")+1),-$E3002*N(M3002)))</f>
        <v/>
      </c>
      <c r="AB3002" s="34">
        <f>IF(OR($A3002="",$H3002&lt;&gt;"Ausgabe",N3002=""),0,IF(N3002="x",-$E3002/(COUNTIF($J3002:$Q3002,"x")+1),-$E3002*N(N3002)))</f>
        <v/>
      </c>
      <c r="AC3002" s="34">
        <f>IF(OR($A3002="",$H3002&lt;&gt;"Ausgabe",O3002=""),0,IF(O3002="x",-$E3002/(COUNTIF($J3002:$Q3002,"x")+1),-$E3002*N(O3002)))</f>
        <v/>
      </c>
      <c r="AD3002" s="34">
        <f>IF(OR($A3002="",$H3002&lt;&gt;"Ausgabe",P3002=""),0,IF(P3002="x",-$E3002/(COUNTIF($J3002:$Q3002,"x")+1),-$E3002*N(P3002)))</f>
        <v/>
      </c>
      <c r="AE3002" s="34">
        <f>IF(OR($A3002="",$H3002&lt;&gt;"Ausgabe",Q3002=""),0,IF(Q3002="x",-$E3002/(COUNTIF($J3002:$Q3002,"x")+1),-$E3002*N(Q3002)))</f>
        <v/>
      </c>
    </row>
    <row r="3003">
      <c r="A3003" s="30" t="n"/>
      <c r="E3003" s="31" t="n"/>
      <c r="J3003" s="32" t="n"/>
      <c r="K3003" s="32" t="n"/>
      <c r="L3003" s="32" t="n"/>
      <c r="M3003" s="32" t="n"/>
      <c r="N3003" s="32" t="n"/>
      <c r="O3003" s="32" t="n"/>
      <c r="P3003" s="32" t="n"/>
      <c r="Q3003" s="32" t="n"/>
      <c r="U3003" s="31">
        <f>IF($A3003="","",SUM(X3003:AE3003))</f>
        <v/>
      </c>
      <c r="V3003" s="31">
        <f>IF($A3003="","",IF($H3003&lt;&gt;"Ausgabe",0,-$E3003-$U3003))</f>
        <v/>
      </c>
      <c r="W3003" s="33">
        <f>IF($A3003="","",DATE(YEAR($A3003),MONTH($A3003),1))</f>
        <v/>
      </c>
      <c r="X3003" s="34">
        <f>IF(OR($A3003="",$H3003&lt;&gt;"Ausgabe",J3003=""),0,IF(J3003="x",-$E3003/(COUNTIF($J3003:$Q3003,"x")+1),-$E3003*N(J3003)))</f>
        <v/>
      </c>
      <c r="Y3003" s="34">
        <f>IF(OR($A3003="",$H3003&lt;&gt;"Ausgabe",K3003=""),0,IF(K3003="x",-$E3003/(COUNTIF($J3003:$Q3003,"x")+1),-$E3003*N(K3003)))</f>
        <v/>
      </c>
      <c r="Z3003" s="34">
        <f>IF(OR($A3003="",$H3003&lt;&gt;"Ausgabe",L3003=""),0,IF(L3003="x",-$E3003/(COUNTIF($J3003:$Q3003,"x")+1),-$E3003*N(L3003)))</f>
        <v/>
      </c>
      <c r="AA3003" s="34">
        <f>IF(OR($A3003="",$H3003&lt;&gt;"Ausgabe",M3003=""),0,IF(M3003="x",-$E3003/(COUNTIF($J3003:$Q3003,"x")+1),-$E3003*N(M3003)))</f>
        <v/>
      </c>
      <c r="AB3003" s="34">
        <f>IF(OR($A3003="",$H3003&lt;&gt;"Ausgabe",N3003=""),0,IF(N3003="x",-$E3003/(COUNTIF($J3003:$Q3003,"x")+1),-$E3003*N(N3003)))</f>
        <v/>
      </c>
      <c r="AC3003" s="34">
        <f>IF(OR($A3003="",$H3003&lt;&gt;"Ausgabe",O3003=""),0,IF(O3003="x",-$E3003/(COUNTIF($J3003:$Q3003,"x")+1),-$E3003*N(O3003)))</f>
        <v/>
      </c>
      <c r="AD3003" s="34">
        <f>IF(OR($A3003="",$H3003&lt;&gt;"Ausgabe",P3003=""),0,IF(P3003="x",-$E3003/(COUNTIF($J3003:$Q3003,"x")+1),-$E3003*N(P3003)))</f>
        <v/>
      </c>
      <c r="AE3003" s="34">
        <f>IF(OR($A3003="",$H3003&lt;&gt;"Ausgabe",Q3003=""),0,IF(Q3003="x",-$E3003/(COUNTIF($J3003:$Q3003,"x")+1),-$E3003*N(Q3003)))</f>
        <v/>
      </c>
    </row>
    <row r="3004">
      <c r="A3004" s="30" t="n"/>
      <c r="E3004" s="31" t="n"/>
      <c r="J3004" s="32" t="n"/>
      <c r="K3004" s="32" t="n"/>
      <c r="L3004" s="32" t="n"/>
      <c r="M3004" s="32" t="n"/>
      <c r="N3004" s="32" t="n"/>
      <c r="O3004" s="32" t="n"/>
      <c r="P3004" s="32" t="n"/>
      <c r="Q3004" s="32" t="n"/>
      <c r="U3004" s="31">
        <f>IF($A3004="","",SUM(X3004:AE3004))</f>
        <v/>
      </c>
      <c r="V3004" s="31">
        <f>IF($A3004="","",IF($H3004&lt;&gt;"Ausgabe",0,-$E3004-$U3004))</f>
        <v/>
      </c>
      <c r="W3004" s="33">
        <f>IF($A3004="","",DATE(YEAR($A3004),MONTH($A3004),1))</f>
        <v/>
      </c>
      <c r="X3004" s="34">
        <f>IF(OR($A3004="",$H3004&lt;&gt;"Ausgabe",J3004=""),0,IF(J3004="x",-$E3004/(COUNTIF($J3004:$Q3004,"x")+1),-$E3004*N(J3004)))</f>
        <v/>
      </c>
      <c r="Y3004" s="34">
        <f>IF(OR($A3004="",$H3004&lt;&gt;"Ausgabe",K3004=""),0,IF(K3004="x",-$E3004/(COUNTIF($J3004:$Q3004,"x")+1),-$E3004*N(K3004)))</f>
        <v/>
      </c>
      <c r="Z3004" s="34">
        <f>IF(OR($A3004="",$H3004&lt;&gt;"Ausgabe",L3004=""),0,IF(L3004="x",-$E3004/(COUNTIF($J3004:$Q3004,"x")+1),-$E3004*N(L3004)))</f>
        <v/>
      </c>
      <c r="AA3004" s="34">
        <f>IF(OR($A3004="",$H3004&lt;&gt;"Ausgabe",M3004=""),0,IF(M3004="x",-$E3004/(COUNTIF($J3004:$Q3004,"x")+1),-$E3004*N(M3004)))</f>
        <v/>
      </c>
      <c r="AB3004" s="34">
        <f>IF(OR($A3004="",$H3004&lt;&gt;"Ausgabe",N3004=""),0,IF(N3004="x",-$E3004/(COUNTIF($J3004:$Q3004,"x")+1),-$E3004*N(N3004)))</f>
        <v/>
      </c>
      <c r="AC3004" s="34">
        <f>IF(OR($A3004="",$H3004&lt;&gt;"Ausgabe",O3004=""),0,IF(O3004="x",-$E3004/(COUNTIF($J3004:$Q3004,"x")+1),-$E3004*N(O3004)))</f>
        <v/>
      </c>
      <c r="AD3004" s="34">
        <f>IF(OR($A3004="",$H3004&lt;&gt;"Ausgabe",P3004=""),0,IF(P3004="x",-$E3004/(COUNTIF($J3004:$Q3004,"x")+1),-$E3004*N(P3004)))</f>
        <v/>
      </c>
      <c r="AE3004" s="34">
        <f>IF(OR($A3004="",$H3004&lt;&gt;"Ausgabe",Q3004=""),0,IF(Q3004="x",-$E3004/(COUNTIF($J3004:$Q3004,"x")+1),-$E3004*N(Q3004)))</f>
        <v/>
      </c>
    </row>
    <row r="3005">
      <c r="A3005" s="30" t="n"/>
      <c r="E3005" s="31" t="n"/>
      <c r="J3005" s="32" t="n"/>
      <c r="K3005" s="32" t="n"/>
      <c r="L3005" s="32" t="n"/>
      <c r="M3005" s="32" t="n"/>
      <c r="N3005" s="32" t="n"/>
      <c r="O3005" s="32" t="n"/>
      <c r="P3005" s="32" t="n"/>
      <c r="Q3005" s="32" t="n"/>
      <c r="U3005" s="31">
        <f>IF($A3005="","",SUM(X3005:AE3005))</f>
        <v/>
      </c>
      <c r="V3005" s="31">
        <f>IF($A3005="","",IF($H3005&lt;&gt;"Ausgabe",0,-$E3005-$U3005))</f>
        <v/>
      </c>
      <c r="W3005" s="33">
        <f>IF($A3005="","",DATE(YEAR($A3005),MONTH($A3005),1))</f>
        <v/>
      </c>
      <c r="X3005" s="34">
        <f>IF(OR($A3005="",$H3005&lt;&gt;"Ausgabe",J3005=""),0,IF(J3005="x",-$E3005/(COUNTIF($J3005:$Q3005,"x")+1),-$E3005*N(J3005)))</f>
        <v/>
      </c>
      <c r="Y3005" s="34">
        <f>IF(OR($A3005="",$H3005&lt;&gt;"Ausgabe",K3005=""),0,IF(K3005="x",-$E3005/(COUNTIF($J3005:$Q3005,"x")+1),-$E3005*N(K3005)))</f>
        <v/>
      </c>
      <c r="Z3005" s="34">
        <f>IF(OR($A3005="",$H3005&lt;&gt;"Ausgabe",L3005=""),0,IF(L3005="x",-$E3005/(COUNTIF($J3005:$Q3005,"x")+1),-$E3005*N(L3005)))</f>
        <v/>
      </c>
      <c r="AA3005" s="34">
        <f>IF(OR($A3005="",$H3005&lt;&gt;"Ausgabe",M3005=""),0,IF(M3005="x",-$E3005/(COUNTIF($J3005:$Q3005,"x")+1),-$E3005*N(M3005)))</f>
        <v/>
      </c>
      <c r="AB3005" s="34">
        <f>IF(OR($A3005="",$H3005&lt;&gt;"Ausgabe",N3005=""),0,IF(N3005="x",-$E3005/(COUNTIF($J3005:$Q3005,"x")+1),-$E3005*N(N3005)))</f>
        <v/>
      </c>
      <c r="AC3005" s="34">
        <f>IF(OR($A3005="",$H3005&lt;&gt;"Ausgabe",O3005=""),0,IF(O3005="x",-$E3005/(COUNTIF($J3005:$Q3005,"x")+1),-$E3005*N(O3005)))</f>
        <v/>
      </c>
      <c r="AD3005" s="34">
        <f>IF(OR($A3005="",$H3005&lt;&gt;"Ausgabe",P3005=""),0,IF(P3005="x",-$E3005/(COUNTIF($J3005:$Q3005,"x")+1),-$E3005*N(P3005)))</f>
        <v/>
      </c>
      <c r="AE3005" s="34">
        <f>IF(OR($A3005="",$H3005&lt;&gt;"Ausgabe",Q3005=""),0,IF(Q3005="x",-$E3005/(COUNTIF($J3005:$Q3005,"x")+1),-$E3005*N(Q3005)))</f>
        <v/>
      </c>
    </row>
  </sheetData>
  <autoFilter ref="A5:AE5"/>
  <mergeCells count="2">
    <mergeCell ref="D1:E1"/>
    <mergeCell ref="F1:G1"/>
  </mergeCells>
  <conditionalFormatting sqref="G6:G5005">
    <cfRule type="expression" priority="1" dxfId="3">
      <formula>AND($A6&lt;&gt;"",$H6="Ausgabe",$G6="")</formula>
    </cfRule>
  </conditionalFormatting>
  <conditionalFormatting sqref="H6:I5005">
    <cfRule type="expression" priority="2" dxfId="1">
      <formula>AND($H6="Einnahme",$I6&lt;&gt;"")</formula>
    </cfRule>
  </conditionalFormatting>
  <conditionalFormatting sqref="I6:I5005">
    <cfRule type="expression" priority="3" dxfId="3">
      <formula>AND($H6="Ausgleich",$I6="")</formula>
    </cfRule>
  </conditionalFormatting>
  <conditionalFormatting sqref="J6:Q5005">
    <cfRule type="expression" priority="4" dxfId="4">
      <formula>SUM($J6:$Q6)&gt;1</formula>
    </cfRule>
  </conditionalFormatting>
  <conditionalFormatting sqref="A6:I5005">
    <cfRule type="expression" priority="5" dxfId="5">
      <formula>OR($H6="Umbuchung",$H6="Sparkonto",$H6="Ignorieren")</formula>
    </cfRule>
  </conditionalFormatting>
  <conditionalFormatting sqref="U6:U5005">
    <cfRule type="cellIs" priority="6" operator="equal" dxfId="6">
      <formula>0</formula>
    </cfRule>
  </conditionalFormatting>
  <dataValidations count="3">
    <dataValidation sqref="G6:G5005" showDropDown="0" showInputMessage="0" showErrorMessage="0" allowBlank="1" type="list">
      <formula1>Einstellungen!$C$5:$C$34</formula1>
    </dataValidation>
    <dataValidation sqref="H6:H5005" showDropDown="0" showInputMessage="0" showErrorMessage="0" allowBlank="1" type="list">
      <formula1>Einstellungen!$I$5:$I$11</formula1>
    </dataValidation>
    <dataValidation sqref="I6:I5005" showDropDown="0" showInputMessage="0" showErrorMessage="0" allowBlank="1" type="list">
      <formula1>Einstellungen!$A$5:$A$12</formula1>
    </dataValidation>
  </dataValidations>
  <hyperlinks>
    <hyperlink xmlns:r="http://schemas.openxmlformats.org/officeDocument/2006/relationships" ref="D1" r:id="rId1"/>
    <hyperlink xmlns:r="http://schemas.openxmlformats.org/officeDocument/2006/relationships" ref="F1" r:id="rId2"/>
  </hyperlink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Monat">
    <outlinePr summaryBelow="1" summaryRight="1"/>
    <pageSetUpPr fitToPage="1"/>
  </sheetPr>
  <dimension ref="A1:N53"/>
  <sheetViews>
    <sheetView showGridLines="0" tabSelected="0" workbookViewId="0">
      <selection activeCell="A1" sqref="A1"/>
    </sheetView>
  </sheetViews>
  <sheetFormatPr baseColWidth="8" defaultRowHeight="15"/>
  <cols>
    <col width="24" customWidth="1" min="1" max="1"/>
    <col width="13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1" customWidth="1" min="10" max="10"/>
    <col width="12" customWidth="1" min="11" max="11"/>
    <col width="12" customWidth="1" min="12" max="12"/>
    <col width="12" customWidth="1" min="13" max="13"/>
    <col width="13" customWidth="1" min="14" max="14"/>
  </cols>
  <sheetData>
    <row r="1">
      <c r="A1" s="1" t="inlineStr">
        <is>
          <t>Monatsübersicht</t>
        </is>
      </c>
    </row>
    <row r="2">
      <c r="A2" s="2" t="inlineStr">
        <is>
          <t>Alles aus den importierten Buchungen. Jahr in B3 änderbar.</t>
        </is>
      </c>
    </row>
    <row r="3">
      <c r="A3" s="5" t="inlineStr">
        <is>
          <t>Jahr</t>
        </is>
      </c>
      <c r="B3" s="35">
        <f>YEAR(Übersicht!$B$7)</f>
        <v/>
      </c>
      <c r="C3" s="2" t="inlineStr">
        <is>
          <t>← Jahreszahl eintragen, um ein anderes Jahr zu sehen</t>
        </is>
      </c>
    </row>
    <row r="5" ht="30" customHeight="1">
      <c r="A5" s="14" t="inlineStr">
        <is>
          <t>Monat</t>
        </is>
      </c>
      <c r="B5" s="15" t="inlineStr">
        <is>
          <t>Einnahmen</t>
        </is>
      </c>
      <c r="C5" s="15" t="inlineStr">
        <is>
          <t>Ausgleich erhalten</t>
        </is>
      </c>
      <c r="D5" s="15" t="inlineStr">
        <is>
          <t>Fixkosten (Ist)</t>
        </is>
      </c>
      <c r="E5" s="15" t="inlineStr">
        <is>
          <t>Fixkosten (Soll Ø)</t>
        </is>
      </c>
      <c r="F5" s="15" t="inlineStr">
        <is>
          <t>Variable Ausgaben</t>
        </is>
      </c>
      <c r="G5" s="15" t="inlineStr">
        <is>
          <t>davon Anteile anderer</t>
        </is>
      </c>
      <c r="H5" s="15" t="inlineStr">
        <is>
          <t>Mein Anteil variabel</t>
        </is>
      </c>
      <c r="I5" s="15" t="inlineStr">
        <is>
          <t>Saldo</t>
        </is>
      </c>
      <c r="J5" s="15" t="inlineStr">
        <is>
          <t>Ohne Kategorie</t>
        </is>
      </c>
    </row>
    <row r="6">
      <c r="A6" s="36">
        <f>DATE($B$3,1,1)</f>
        <v/>
      </c>
      <c r="B6" s="23">
        <f>SUMIFS(Buchungen!$E:$E,Buchungen!$H:$H,"Einnahme",Buchungen!$W:$W,$A6)</f>
        <v/>
      </c>
      <c r="C6" s="23">
        <f>SUMIFS(Buchungen!$E:$E,Buchungen!$H:$H,"Ausgleich",Buchungen!$W:$W,$A6)</f>
        <v/>
      </c>
      <c r="D6" s="23">
        <f>-SUMIFS(Buchungen!$E:$E,Buchungen!$H:$H,"Fixkosten",Buchungen!$W:$W,$A6)</f>
        <v/>
      </c>
      <c r="E6" s="23">
        <f>Fixkosten!$E$53</f>
        <v/>
      </c>
      <c r="F6" s="23">
        <f>-SUMIFS(Buchungen!$E:$E,Buchungen!$H:$H,"Ausgabe",Buchungen!$W:$W,$A6)</f>
        <v/>
      </c>
      <c r="G6" s="23">
        <f>SUMIFS(Buchungen!$U:$U,Buchungen!$W:$W,$A6)</f>
        <v/>
      </c>
      <c r="H6" s="23">
        <f>SUMIFS(Buchungen!$V:$V,Buchungen!$W:$W,$A6)</f>
        <v/>
      </c>
      <c r="I6" s="19">
        <f>B6+C6-D6-F6</f>
        <v/>
      </c>
      <c r="J6" s="37">
        <f>COUNTIFS(Buchungen!$H:$H,"Ausgabe",Buchungen!$G:$G,"",Buchungen!$W:$W,$A6)</f>
        <v/>
      </c>
    </row>
    <row r="7">
      <c r="A7" s="36">
        <f>DATE($B$3,2,1)</f>
        <v/>
      </c>
      <c r="B7" s="23">
        <f>SUMIFS(Buchungen!$E:$E,Buchungen!$H:$H,"Einnahme",Buchungen!$W:$W,$A7)</f>
        <v/>
      </c>
      <c r="C7" s="23">
        <f>SUMIFS(Buchungen!$E:$E,Buchungen!$H:$H,"Ausgleich",Buchungen!$W:$W,$A7)</f>
        <v/>
      </c>
      <c r="D7" s="23">
        <f>-SUMIFS(Buchungen!$E:$E,Buchungen!$H:$H,"Fixkosten",Buchungen!$W:$W,$A7)</f>
        <v/>
      </c>
      <c r="E7" s="23">
        <f>Fixkosten!$E$53</f>
        <v/>
      </c>
      <c r="F7" s="23">
        <f>-SUMIFS(Buchungen!$E:$E,Buchungen!$H:$H,"Ausgabe",Buchungen!$W:$W,$A7)</f>
        <v/>
      </c>
      <c r="G7" s="23">
        <f>SUMIFS(Buchungen!$U:$U,Buchungen!$W:$W,$A7)</f>
        <v/>
      </c>
      <c r="H7" s="23">
        <f>SUMIFS(Buchungen!$V:$V,Buchungen!$W:$W,$A7)</f>
        <v/>
      </c>
      <c r="I7" s="19">
        <f>B7+C7-D7-F7</f>
        <v/>
      </c>
      <c r="J7" s="37">
        <f>COUNTIFS(Buchungen!$H:$H,"Ausgabe",Buchungen!$G:$G,"",Buchungen!$W:$W,$A7)</f>
        <v/>
      </c>
    </row>
    <row r="8">
      <c r="A8" s="36">
        <f>DATE($B$3,3,1)</f>
        <v/>
      </c>
      <c r="B8" s="23">
        <f>SUMIFS(Buchungen!$E:$E,Buchungen!$H:$H,"Einnahme",Buchungen!$W:$W,$A8)</f>
        <v/>
      </c>
      <c r="C8" s="23">
        <f>SUMIFS(Buchungen!$E:$E,Buchungen!$H:$H,"Ausgleich",Buchungen!$W:$W,$A8)</f>
        <v/>
      </c>
      <c r="D8" s="23">
        <f>-SUMIFS(Buchungen!$E:$E,Buchungen!$H:$H,"Fixkosten",Buchungen!$W:$W,$A8)</f>
        <v/>
      </c>
      <c r="E8" s="23">
        <f>Fixkosten!$E$53</f>
        <v/>
      </c>
      <c r="F8" s="23">
        <f>-SUMIFS(Buchungen!$E:$E,Buchungen!$H:$H,"Ausgabe",Buchungen!$W:$W,$A8)</f>
        <v/>
      </c>
      <c r="G8" s="23">
        <f>SUMIFS(Buchungen!$U:$U,Buchungen!$W:$W,$A8)</f>
        <v/>
      </c>
      <c r="H8" s="23">
        <f>SUMIFS(Buchungen!$V:$V,Buchungen!$W:$W,$A8)</f>
        <v/>
      </c>
      <c r="I8" s="19">
        <f>B8+C8-D8-F8</f>
        <v/>
      </c>
      <c r="J8" s="37">
        <f>COUNTIFS(Buchungen!$H:$H,"Ausgabe",Buchungen!$G:$G,"",Buchungen!$W:$W,$A8)</f>
        <v/>
      </c>
    </row>
    <row r="9">
      <c r="A9" s="36">
        <f>DATE($B$3,4,1)</f>
        <v/>
      </c>
      <c r="B9" s="23">
        <f>SUMIFS(Buchungen!$E:$E,Buchungen!$H:$H,"Einnahme",Buchungen!$W:$W,$A9)</f>
        <v/>
      </c>
      <c r="C9" s="23">
        <f>SUMIFS(Buchungen!$E:$E,Buchungen!$H:$H,"Ausgleich",Buchungen!$W:$W,$A9)</f>
        <v/>
      </c>
      <c r="D9" s="23">
        <f>-SUMIFS(Buchungen!$E:$E,Buchungen!$H:$H,"Fixkosten",Buchungen!$W:$W,$A9)</f>
        <v/>
      </c>
      <c r="E9" s="23">
        <f>Fixkosten!$E$53</f>
        <v/>
      </c>
      <c r="F9" s="23">
        <f>-SUMIFS(Buchungen!$E:$E,Buchungen!$H:$H,"Ausgabe",Buchungen!$W:$W,$A9)</f>
        <v/>
      </c>
      <c r="G9" s="23">
        <f>SUMIFS(Buchungen!$U:$U,Buchungen!$W:$W,$A9)</f>
        <v/>
      </c>
      <c r="H9" s="23">
        <f>SUMIFS(Buchungen!$V:$V,Buchungen!$W:$W,$A9)</f>
        <v/>
      </c>
      <c r="I9" s="19">
        <f>B9+C9-D9-F9</f>
        <v/>
      </c>
      <c r="J9" s="37">
        <f>COUNTIFS(Buchungen!$H:$H,"Ausgabe",Buchungen!$G:$G,"",Buchungen!$W:$W,$A9)</f>
        <v/>
      </c>
    </row>
    <row r="10">
      <c r="A10" s="36">
        <f>DATE($B$3,5,1)</f>
        <v/>
      </c>
      <c r="B10" s="23">
        <f>SUMIFS(Buchungen!$E:$E,Buchungen!$H:$H,"Einnahme",Buchungen!$W:$W,$A10)</f>
        <v/>
      </c>
      <c r="C10" s="23">
        <f>SUMIFS(Buchungen!$E:$E,Buchungen!$H:$H,"Ausgleich",Buchungen!$W:$W,$A10)</f>
        <v/>
      </c>
      <c r="D10" s="23">
        <f>-SUMIFS(Buchungen!$E:$E,Buchungen!$H:$H,"Fixkosten",Buchungen!$W:$W,$A10)</f>
        <v/>
      </c>
      <c r="E10" s="23">
        <f>Fixkosten!$E$53</f>
        <v/>
      </c>
      <c r="F10" s="23">
        <f>-SUMIFS(Buchungen!$E:$E,Buchungen!$H:$H,"Ausgabe",Buchungen!$W:$W,$A10)</f>
        <v/>
      </c>
      <c r="G10" s="23">
        <f>SUMIFS(Buchungen!$U:$U,Buchungen!$W:$W,$A10)</f>
        <v/>
      </c>
      <c r="H10" s="23">
        <f>SUMIFS(Buchungen!$V:$V,Buchungen!$W:$W,$A10)</f>
        <v/>
      </c>
      <c r="I10" s="19">
        <f>B10+C10-D10-F10</f>
        <v/>
      </c>
      <c r="J10" s="37">
        <f>COUNTIFS(Buchungen!$H:$H,"Ausgabe",Buchungen!$G:$G,"",Buchungen!$W:$W,$A10)</f>
        <v/>
      </c>
    </row>
    <row r="11">
      <c r="A11" s="36">
        <f>DATE($B$3,6,1)</f>
        <v/>
      </c>
      <c r="B11" s="23">
        <f>SUMIFS(Buchungen!$E:$E,Buchungen!$H:$H,"Einnahme",Buchungen!$W:$W,$A11)</f>
        <v/>
      </c>
      <c r="C11" s="23">
        <f>SUMIFS(Buchungen!$E:$E,Buchungen!$H:$H,"Ausgleich",Buchungen!$W:$W,$A11)</f>
        <v/>
      </c>
      <c r="D11" s="23">
        <f>-SUMIFS(Buchungen!$E:$E,Buchungen!$H:$H,"Fixkosten",Buchungen!$W:$W,$A11)</f>
        <v/>
      </c>
      <c r="E11" s="23">
        <f>Fixkosten!$E$53</f>
        <v/>
      </c>
      <c r="F11" s="23">
        <f>-SUMIFS(Buchungen!$E:$E,Buchungen!$H:$H,"Ausgabe",Buchungen!$W:$W,$A11)</f>
        <v/>
      </c>
      <c r="G11" s="23">
        <f>SUMIFS(Buchungen!$U:$U,Buchungen!$W:$W,$A11)</f>
        <v/>
      </c>
      <c r="H11" s="23">
        <f>SUMIFS(Buchungen!$V:$V,Buchungen!$W:$W,$A11)</f>
        <v/>
      </c>
      <c r="I11" s="19">
        <f>B11+C11-D11-F11</f>
        <v/>
      </c>
      <c r="J11" s="37">
        <f>COUNTIFS(Buchungen!$H:$H,"Ausgabe",Buchungen!$G:$G,"",Buchungen!$W:$W,$A11)</f>
        <v/>
      </c>
    </row>
    <row r="12">
      <c r="A12" s="36">
        <f>DATE($B$3,7,1)</f>
        <v/>
      </c>
      <c r="B12" s="23">
        <f>SUMIFS(Buchungen!$E:$E,Buchungen!$H:$H,"Einnahme",Buchungen!$W:$W,$A12)</f>
        <v/>
      </c>
      <c r="C12" s="23">
        <f>SUMIFS(Buchungen!$E:$E,Buchungen!$H:$H,"Ausgleich",Buchungen!$W:$W,$A12)</f>
        <v/>
      </c>
      <c r="D12" s="23">
        <f>-SUMIFS(Buchungen!$E:$E,Buchungen!$H:$H,"Fixkosten",Buchungen!$W:$W,$A12)</f>
        <v/>
      </c>
      <c r="E12" s="23">
        <f>Fixkosten!$E$53</f>
        <v/>
      </c>
      <c r="F12" s="23">
        <f>-SUMIFS(Buchungen!$E:$E,Buchungen!$H:$H,"Ausgabe",Buchungen!$W:$W,$A12)</f>
        <v/>
      </c>
      <c r="G12" s="23">
        <f>SUMIFS(Buchungen!$U:$U,Buchungen!$W:$W,$A12)</f>
        <v/>
      </c>
      <c r="H12" s="23">
        <f>SUMIFS(Buchungen!$V:$V,Buchungen!$W:$W,$A12)</f>
        <v/>
      </c>
      <c r="I12" s="19">
        <f>B12+C12-D12-F12</f>
        <v/>
      </c>
      <c r="J12" s="37">
        <f>COUNTIFS(Buchungen!$H:$H,"Ausgabe",Buchungen!$G:$G,"",Buchungen!$W:$W,$A12)</f>
        <v/>
      </c>
    </row>
    <row r="13">
      <c r="A13" s="36">
        <f>DATE($B$3,8,1)</f>
        <v/>
      </c>
      <c r="B13" s="23">
        <f>SUMIFS(Buchungen!$E:$E,Buchungen!$H:$H,"Einnahme",Buchungen!$W:$W,$A13)</f>
        <v/>
      </c>
      <c r="C13" s="23">
        <f>SUMIFS(Buchungen!$E:$E,Buchungen!$H:$H,"Ausgleich",Buchungen!$W:$W,$A13)</f>
        <v/>
      </c>
      <c r="D13" s="23">
        <f>-SUMIFS(Buchungen!$E:$E,Buchungen!$H:$H,"Fixkosten",Buchungen!$W:$W,$A13)</f>
        <v/>
      </c>
      <c r="E13" s="23">
        <f>Fixkosten!$E$53</f>
        <v/>
      </c>
      <c r="F13" s="23">
        <f>-SUMIFS(Buchungen!$E:$E,Buchungen!$H:$H,"Ausgabe",Buchungen!$W:$W,$A13)</f>
        <v/>
      </c>
      <c r="G13" s="23">
        <f>SUMIFS(Buchungen!$U:$U,Buchungen!$W:$W,$A13)</f>
        <v/>
      </c>
      <c r="H13" s="23">
        <f>SUMIFS(Buchungen!$V:$V,Buchungen!$W:$W,$A13)</f>
        <v/>
      </c>
      <c r="I13" s="19">
        <f>B13+C13-D13-F13</f>
        <v/>
      </c>
      <c r="J13" s="37">
        <f>COUNTIFS(Buchungen!$H:$H,"Ausgabe",Buchungen!$G:$G,"",Buchungen!$W:$W,$A13)</f>
        <v/>
      </c>
    </row>
    <row r="14">
      <c r="A14" s="36">
        <f>DATE($B$3,9,1)</f>
        <v/>
      </c>
      <c r="B14" s="23">
        <f>SUMIFS(Buchungen!$E:$E,Buchungen!$H:$H,"Einnahme",Buchungen!$W:$W,$A14)</f>
        <v/>
      </c>
      <c r="C14" s="23">
        <f>SUMIFS(Buchungen!$E:$E,Buchungen!$H:$H,"Ausgleich",Buchungen!$W:$W,$A14)</f>
        <v/>
      </c>
      <c r="D14" s="23">
        <f>-SUMIFS(Buchungen!$E:$E,Buchungen!$H:$H,"Fixkosten",Buchungen!$W:$W,$A14)</f>
        <v/>
      </c>
      <c r="E14" s="23">
        <f>Fixkosten!$E$53</f>
        <v/>
      </c>
      <c r="F14" s="23">
        <f>-SUMIFS(Buchungen!$E:$E,Buchungen!$H:$H,"Ausgabe",Buchungen!$W:$W,$A14)</f>
        <v/>
      </c>
      <c r="G14" s="23">
        <f>SUMIFS(Buchungen!$U:$U,Buchungen!$W:$W,$A14)</f>
        <v/>
      </c>
      <c r="H14" s="23">
        <f>SUMIFS(Buchungen!$V:$V,Buchungen!$W:$W,$A14)</f>
        <v/>
      </c>
      <c r="I14" s="19">
        <f>B14+C14-D14-F14</f>
        <v/>
      </c>
      <c r="J14" s="37">
        <f>COUNTIFS(Buchungen!$H:$H,"Ausgabe",Buchungen!$G:$G,"",Buchungen!$W:$W,$A14)</f>
        <v/>
      </c>
    </row>
    <row r="15">
      <c r="A15" s="36">
        <f>DATE($B$3,10,1)</f>
        <v/>
      </c>
      <c r="B15" s="23">
        <f>SUMIFS(Buchungen!$E:$E,Buchungen!$H:$H,"Einnahme",Buchungen!$W:$W,$A15)</f>
        <v/>
      </c>
      <c r="C15" s="23">
        <f>SUMIFS(Buchungen!$E:$E,Buchungen!$H:$H,"Ausgleich",Buchungen!$W:$W,$A15)</f>
        <v/>
      </c>
      <c r="D15" s="23">
        <f>-SUMIFS(Buchungen!$E:$E,Buchungen!$H:$H,"Fixkosten",Buchungen!$W:$W,$A15)</f>
        <v/>
      </c>
      <c r="E15" s="23">
        <f>Fixkosten!$E$53</f>
        <v/>
      </c>
      <c r="F15" s="23">
        <f>-SUMIFS(Buchungen!$E:$E,Buchungen!$H:$H,"Ausgabe",Buchungen!$W:$W,$A15)</f>
        <v/>
      </c>
      <c r="G15" s="23">
        <f>SUMIFS(Buchungen!$U:$U,Buchungen!$W:$W,$A15)</f>
        <v/>
      </c>
      <c r="H15" s="23">
        <f>SUMIFS(Buchungen!$V:$V,Buchungen!$W:$W,$A15)</f>
        <v/>
      </c>
      <c r="I15" s="19">
        <f>B15+C15-D15-F15</f>
        <v/>
      </c>
      <c r="J15" s="37">
        <f>COUNTIFS(Buchungen!$H:$H,"Ausgabe",Buchungen!$G:$G,"",Buchungen!$W:$W,$A15)</f>
        <v/>
      </c>
    </row>
    <row r="16">
      <c r="A16" s="36">
        <f>DATE($B$3,11,1)</f>
        <v/>
      </c>
      <c r="B16" s="23">
        <f>SUMIFS(Buchungen!$E:$E,Buchungen!$H:$H,"Einnahme",Buchungen!$W:$W,$A16)</f>
        <v/>
      </c>
      <c r="C16" s="23">
        <f>SUMIFS(Buchungen!$E:$E,Buchungen!$H:$H,"Ausgleich",Buchungen!$W:$W,$A16)</f>
        <v/>
      </c>
      <c r="D16" s="23">
        <f>-SUMIFS(Buchungen!$E:$E,Buchungen!$H:$H,"Fixkosten",Buchungen!$W:$W,$A16)</f>
        <v/>
      </c>
      <c r="E16" s="23">
        <f>Fixkosten!$E$53</f>
        <v/>
      </c>
      <c r="F16" s="23">
        <f>-SUMIFS(Buchungen!$E:$E,Buchungen!$H:$H,"Ausgabe",Buchungen!$W:$W,$A16)</f>
        <v/>
      </c>
      <c r="G16" s="23">
        <f>SUMIFS(Buchungen!$U:$U,Buchungen!$W:$W,$A16)</f>
        <v/>
      </c>
      <c r="H16" s="23">
        <f>SUMIFS(Buchungen!$V:$V,Buchungen!$W:$W,$A16)</f>
        <v/>
      </c>
      <c r="I16" s="19">
        <f>B16+C16-D16-F16</f>
        <v/>
      </c>
      <c r="J16" s="37">
        <f>COUNTIFS(Buchungen!$H:$H,"Ausgabe",Buchungen!$G:$G,"",Buchungen!$W:$W,$A16)</f>
        <v/>
      </c>
    </row>
    <row r="17">
      <c r="A17" s="36">
        <f>DATE($B$3,12,1)</f>
        <v/>
      </c>
      <c r="B17" s="23">
        <f>SUMIFS(Buchungen!$E:$E,Buchungen!$H:$H,"Einnahme",Buchungen!$W:$W,$A17)</f>
        <v/>
      </c>
      <c r="C17" s="23">
        <f>SUMIFS(Buchungen!$E:$E,Buchungen!$H:$H,"Ausgleich",Buchungen!$W:$W,$A17)</f>
        <v/>
      </c>
      <c r="D17" s="23">
        <f>-SUMIFS(Buchungen!$E:$E,Buchungen!$H:$H,"Fixkosten",Buchungen!$W:$W,$A17)</f>
        <v/>
      </c>
      <c r="E17" s="23">
        <f>Fixkosten!$E$53</f>
        <v/>
      </c>
      <c r="F17" s="23">
        <f>-SUMIFS(Buchungen!$E:$E,Buchungen!$H:$H,"Ausgabe",Buchungen!$W:$W,$A17)</f>
        <v/>
      </c>
      <c r="G17" s="23">
        <f>SUMIFS(Buchungen!$U:$U,Buchungen!$W:$W,$A17)</f>
        <v/>
      </c>
      <c r="H17" s="23">
        <f>SUMIFS(Buchungen!$V:$V,Buchungen!$W:$W,$A17)</f>
        <v/>
      </c>
      <c r="I17" s="19">
        <f>B17+C17-D17-F17</f>
        <v/>
      </c>
      <c r="J17" s="37">
        <f>COUNTIFS(Buchungen!$H:$H,"Ausgabe",Buchungen!$G:$G,"",Buchungen!$W:$W,$A17)</f>
        <v/>
      </c>
    </row>
    <row r="18">
      <c r="A18" s="26" t="inlineStr">
        <is>
          <t>Summe</t>
        </is>
      </c>
      <c r="B18" s="27">
        <f>SUM(B6:B17)</f>
        <v/>
      </c>
      <c r="C18" s="27">
        <f>SUM(C6:C17)</f>
        <v/>
      </c>
      <c r="D18" s="27">
        <f>SUM(D6:D17)</f>
        <v/>
      </c>
      <c r="E18" s="27">
        <f>SUM(E6:E17)</f>
        <v/>
      </c>
      <c r="F18" s="27">
        <f>SUM(F6:F17)</f>
        <v/>
      </c>
      <c r="G18" s="27">
        <f>SUM(G6:G17)</f>
        <v/>
      </c>
      <c r="H18" s="27">
        <f>SUM(H6:H17)</f>
        <v/>
      </c>
      <c r="I18" s="27">
        <f>SUM(I6:I17)</f>
        <v/>
      </c>
      <c r="J18" s="38">
        <f>SUM(J6:J17)</f>
        <v/>
      </c>
    </row>
    <row r="19">
      <c r="A19" s="2" t="inlineStr">
        <is>
          <t>Saldo = Einnahmen + Ausgleich erhalten − Fixkosten (Ist) − variable Ausgaben. Umbuchungen und Sparkonto zählen nicht.</t>
        </is>
      </c>
    </row>
    <row r="21">
      <c r="A21" s="12" t="inlineStr">
        <is>
          <t>Variable Ausgaben nach Kategorie (brutto, vor Aufteilung)</t>
        </is>
      </c>
      <c r="B21" s="13" t="n"/>
      <c r="C21" s="13" t="n"/>
      <c r="D21" s="13" t="n"/>
      <c r="E21" s="13" t="n"/>
      <c r="F21" s="13" t="n"/>
      <c r="G21" s="13" t="n"/>
      <c r="H21" s="13" t="n"/>
      <c r="I21" s="13" t="n"/>
      <c r="J21" s="13" t="n"/>
      <c r="K21" s="13" t="n"/>
      <c r="L21" s="13" t="n"/>
      <c r="M21" s="13" t="n"/>
      <c r="N21" s="13" t="n"/>
    </row>
    <row r="22">
      <c r="A22" s="14" t="inlineStr">
        <is>
          <t>Kategorie</t>
        </is>
      </c>
      <c r="B22" s="39">
        <f>DATE($B$3,1,1)</f>
        <v/>
      </c>
      <c r="C22" s="39">
        <f>DATE($B$3,2,1)</f>
        <v/>
      </c>
      <c r="D22" s="39">
        <f>DATE($B$3,3,1)</f>
        <v/>
      </c>
      <c r="E22" s="39">
        <f>DATE($B$3,4,1)</f>
        <v/>
      </c>
      <c r="F22" s="39">
        <f>DATE($B$3,5,1)</f>
        <v/>
      </c>
      <c r="G22" s="39">
        <f>DATE($B$3,6,1)</f>
        <v/>
      </c>
      <c r="H22" s="39">
        <f>DATE($B$3,7,1)</f>
        <v/>
      </c>
      <c r="I22" s="39">
        <f>DATE($B$3,8,1)</f>
        <v/>
      </c>
      <c r="J22" s="39">
        <f>DATE($B$3,9,1)</f>
        <v/>
      </c>
      <c r="K22" s="39">
        <f>DATE($B$3,10,1)</f>
        <v/>
      </c>
      <c r="L22" s="39">
        <f>DATE($B$3,11,1)</f>
        <v/>
      </c>
      <c r="M22" s="39">
        <f>DATE($B$3,12,1)</f>
        <v/>
      </c>
      <c r="N22" s="15" t="inlineStr">
        <is>
          <t>Summe</t>
        </is>
      </c>
    </row>
    <row r="23">
      <c r="A23" s="40">
        <f>IF(Einstellungen!$C$5="","",Einstellungen!$C$5)</f>
        <v/>
      </c>
      <c r="B23" s="41">
        <f>IF($A23="","",-SUMIFS(Buchungen!$E:$E,Buchungen!$G:$G,$A23,Buchungen!$H:$H,"Ausgabe",Buchungen!$W:$W,B$22))</f>
        <v/>
      </c>
      <c r="C23" s="41">
        <f>IF($A23="","",-SUMIFS(Buchungen!$E:$E,Buchungen!$G:$G,$A23,Buchungen!$H:$H,"Ausgabe",Buchungen!$W:$W,C$22))</f>
        <v/>
      </c>
      <c r="D23" s="41">
        <f>IF($A23="","",-SUMIFS(Buchungen!$E:$E,Buchungen!$G:$G,$A23,Buchungen!$H:$H,"Ausgabe",Buchungen!$W:$W,D$22))</f>
        <v/>
      </c>
      <c r="E23" s="41">
        <f>IF($A23="","",-SUMIFS(Buchungen!$E:$E,Buchungen!$G:$G,$A23,Buchungen!$H:$H,"Ausgabe",Buchungen!$W:$W,E$22))</f>
        <v/>
      </c>
      <c r="F23" s="41">
        <f>IF($A23="","",-SUMIFS(Buchungen!$E:$E,Buchungen!$G:$G,$A23,Buchungen!$H:$H,"Ausgabe",Buchungen!$W:$W,F$22))</f>
        <v/>
      </c>
      <c r="G23" s="41">
        <f>IF($A23="","",-SUMIFS(Buchungen!$E:$E,Buchungen!$G:$G,$A23,Buchungen!$H:$H,"Ausgabe",Buchungen!$W:$W,G$22))</f>
        <v/>
      </c>
      <c r="H23" s="41">
        <f>IF($A23="","",-SUMIFS(Buchungen!$E:$E,Buchungen!$G:$G,$A23,Buchungen!$H:$H,"Ausgabe",Buchungen!$W:$W,H$22))</f>
        <v/>
      </c>
      <c r="I23" s="41">
        <f>IF($A23="","",-SUMIFS(Buchungen!$E:$E,Buchungen!$G:$G,$A23,Buchungen!$H:$H,"Ausgabe",Buchungen!$W:$W,I$22))</f>
        <v/>
      </c>
      <c r="J23" s="41">
        <f>IF($A23="","",-SUMIFS(Buchungen!$E:$E,Buchungen!$G:$G,$A23,Buchungen!$H:$H,"Ausgabe",Buchungen!$W:$W,J$22))</f>
        <v/>
      </c>
      <c r="K23" s="41">
        <f>IF($A23="","",-SUMIFS(Buchungen!$E:$E,Buchungen!$G:$G,$A23,Buchungen!$H:$H,"Ausgabe",Buchungen!$W:$W,K$22))</f>
        <v/>
      </c>
      <c r="L23" s="41">
        <f>IF($A23="","",-SUMIFS(Buchungen!$E:$E,Buchungen!$G:$G,$A23,Buchungen!$H:$H,"Ausgabe",Buchungen!$W:$W,L$22))</f>
        <v/>
      </c>
      <c r="M23" s="41">
        <f>IF($A23="","",-SUMIFS(Buchungen!$E:$E,Buchungen!$G:$G,$A23,Buchungen!$H:$H,"Ausgabe",Buchungen!$W:$W,M$22))</f>
        <v/>
      </c>
      <c r="N23" s="42">
        <f>IF($A23="","",SUM(B23:M23))</f>
        <v/>
      </c>
    </row>
    <row r="24">
      <c r="A24" s="40">
        <f>IF(Einstellungen!$C$6="","",Einstellungen!$C$6)</f>
        <v/>
      </c>
      <c r="B24" s="41">
        <f>IF($A24="","",-SUMIFS(Buchungen!$E:$E,Buchungen!$G:$G,$A24,Buchungen!$H:$H,"Ausgabe",Buchungen!$W:$W,B$22))</f>
        <v/>
      </c>
      <c r="C24" s="41">
        <f>IF($A24="","",-SUMIFS(Buchungen!$E:$E,Buchungen!$G:$G,$A24,Buchungen!$H:$H,"Ausgabe",Buchungen!$W:$W,C$22))</f>
        <v/>
      </c>
      <c r="D24" s="41">
        <f>IF($A24="","",-SUMIFS(Buchungen!$E:$E,Buchungen!$G:$G,$A24,Buchungen!$H:$H,"Ausgabe",Buchungen!$W:$W,D$22))</f>
        <v/>
      </c>
      <c r="E24" s="41">
        <f>IF($A24="","",-SUMIFS(Buchungen!$E:$E,Buchungen!$G:$G,$A24,Buchungen!$H:$H,"Ausgabe",Buchungen!$W:$W,E$22))</f>
        <v/>
      </c>
      <c r="F24" s="41">
        <f>IF($A24="","",-SUMIFS(Buchungen!$E:$E,Buchungen!$G:$G,$A24,Buchungen!$H:$H,"Ausgabe",Buchungen!$W:$W,F$22))</f>
        <v/>
      </c>
      <c r="G24" s="41">
        <f>IF($A24="","",-SUMIFS(Buchungen!$E:$E,Buchungen!$G:$G,$A24,Buchungen!$H:$H,"Ausgabe",Buchungen!$W:$W,G$22))</f>
        <v/>
      </c>
      <c r="H24" s="41">
        <f>IF($A24="","",-SUMIFS(Buchungen!$E:$E,Buchungen!$G:$G,$A24,Buchungen!$H:$H,"Ausgabe",Buchungen!$W:$W,H$22))</f>
        <v/>
      </c>
      <c r="I24" s="41">
        <f>IF($A24="","",-SUMIFS(Buchungen!$E:$E,Buchungen!$G:$G,$A24,Buchungen!$H:$H,"Ausgabe",Buchungen!$W:$W,I$22))</f>
        <v/>
      </c>
      <c r="J24" s="41">
        <f>IF($A24="","",-SUMIFS(Buchungen!$E:$E,Buchungen!$G:$G,$A24,Buchungen!$H:$H,"Ausgabe",Buchungen!$W:$W,J$22))</f>
        <v/>
      </c>
      <c r="K24" s="41">
        <f>IF($A24="","",-SUMIFS(Buchungen!$E:$E,Buchungen!$G:$G,$A24,Buchungen!$H:$H,"Ausgabe",Buchungen!$W:$W,K$22))</f>
        <v/>
      </c>
      <c r="L24" s="41">
        <f>IF($A24="","",-SUMIFS(Buchungen!$E:$E,Buchungen!$G:$G,$A24,Buchungen!$H:$H,"Ausgabe",Buchungen!$W:$W,L$22))</f>
        <v/>
      </c>
      <c r="M24" s="41">
        <f>IF($A24="","",-SUMIFS(Buchungen!$E:$E,Buchungen!$G:$G,$A24,Buchungen!$H:$H,"Ausgabe",Buchungen!$W:$W,M$22))</f>
        <v/>
      </c>
      <c r="N24" s="42">
        <f>IF($A24="","",SUM(B24:M24))</f>
        <v/>
      </c>
    </row>
    <row r="25">
      <c r="A25" s="40">
        <f>IF(Einstellungen!$C$7="","",Einstellungen!$C$7)</f>
        <v/>
      </c>
      <c r="B25" s="41">
        <f>IF($A25="","",-SUMIFS(Buchungen!$E:$E,Buchungen!$G:$G,$A25,Buchungen!$H:$H,"Ausgabe",Buchungen!$W:$W,B$22))</f>
        <v/>
      </c>
      <c r="C25" s="41">
        <f>IF($A25="","",-SUMIFS(Buchungen!$E:$E,Buchungen!$G:$G,$A25,Buchungen!$H:$H,"Ausgabe",Buchungen!$W:$W,C$22))</f>
        <v/>
      </c>
      <c r="D25" s="41">
        <f>IF($A25="","",-SUMIFS(Buchungen!$E:$E,Buchungen!$G:$G,$A25,Buchungen!$H:$H,"Ausgabe",Buchungen!$W:$W,D$22))</f>
        <v/>
      </c>
      <c r="E25" s="41">
        <f>IF($A25="","",-SUMIFS(Buchungen!$E:$E,Buchungen!$G:$G,$A25,Buchungen!$H:$H,"Ausgabe",Buchungen!$W:$W,E$22))</f>
        <v/>
      </c>
      <c r="F25" s="41">
        <f>IF($A25="","",-SUMIFS(Buchungen!$E:$E,Buchungen!$G:$G,$A25,Buchungen!$H:$H,"Ausgabe",Buchungen!$W:$W,F$22))</f>
        <v/>
      </c>
      <c r="G25" s="41">
        <f>IF($A25="","",-SUMIFS(Buchungen!$E:$E,Buchungen!$G:$G,$A25,Buchungen!$H:$H,"Ausgabe",Buchungen!$W:$W,G$22))</f>
        <v/>
      </c>
      <c r="H25" s="41">
        <f>IF($A25="","",-SUMIFS(Buchungen!$E:$E,Buchungen!$G:$G,$A25,Buchungen!$H:$H,"Ausgabe",Buchungen!$W:$W,H$22))</f>
        <v/>
      </c>
      <c r="I25" s="41">
        <f>IF($A25="","",-SUMIFS(Buchungen!$E:$E,Buchungen!$G:$G,$A25,Buchungen!$H:$H,"Ausgabe",Buchungen!$W:$W,I$22))</f>
        <v/>
      </c>
      <c r="J25" s="41">
        <f>IF($A25="","",-SUMIFS(Buchungen!$E:$E,Buchungen!$G:$G,$A25,Buchungen!$H:$H,"Ausgabe",Buchungen!$W:$W,J$22))</f>
        <v/>
      </c>
      <c r="K25" s="41">
        <f>IF($A25="","",-SUMIFS(Buchungen!$E:$E,Buchungen!$G:$G,$A25,Buchungen!$H:$H,"Ausgabe",Buchungen!$W:$W,K$22))</f>
        <v/>
      </c>
      <c r="L25" s="41">
        <f>IF($A25="","",-SUMIFS(Buchungen!$E:$E,Buchungen!$G:$G,$A25,Buchungen!$H:$H,"Ausgabe",Buchungen!$W:$W,L$22))</f>
        <v/>
      </c>
      <c r="M25" s="41">
        <f>IF($A25="","",-SUMIFS(Buchungen!$E:$E,Buchungen!$G:$G,$A25,Buchungen!$H:$H,"Ausgabe",Buchungen!$W:$W,M$22))</f>
        <v/>
      </c>
      <c r="N25" s="42">
        <f>IF($A25="","",SUM(B25:M25))</f>
        <v/>
      </c>
    </row>
    <row r="26">
      <c r="A26" s="40">
        <f>IF(Einstellungen!$C$8="","",Einstellungen!$C$8)</f>
        <v/>
      </c>
      <c r="B26" s="41">
        <f>IF($A26="","",-SUMIFS(Buchungen!$E:$E,Buchungen!$G:$G,$A26,Buchungen!$H:$H,"Ausgabe",Buchungen!$W:$W,B$22))</f>
        <v/>
      </c>
      <c r="C26" s="41">
        <f>IF($A26="","",-SUMIFS(Buchungen!$E:$E,Buchungen!$G:$G,$A26,Buchungen!$H:$H,"Ausgabe",Buchungen!$W:$W,C$22))</f>
        <v/>
      </c>
      <c r="D26" s="41">
        <f>IF($A26="","",-SUMIFS(Buchungen!$E:$E,Buchungen!$G:$G,$A26,Buchungen!$H:$H,"Ausgabe",Buchungen!$W:$W,D$22))</f>
        <v/>
      </c>
      <c r="E26" s="41">
        <f>IF($A26="","",-SUMIFS(Buchungen!$E:$E,Buchungen!$G:$G,$A26,Buchungen!$H:$H,"Ausgabe",Buchungen!$W:$W,E$22))</f>
        <v/>
      </c>
      <c r="F26" s="41">
        <f>IF($A26="","",-SUMIFS(Buchungen!$E:$E,Buchungen!$G:$G,$A26,Buchungen!$H:$H,"Ausgabe",Buchungen!$W:$W,F$22))</f>
        <v/>
      </c>
      <c r="G26" s="41">
        <f>IF($A26="","",-SUMIFS(Buchungen!$E:$E,Buchungen!$G:$G,$A26,Buchungen!$H:$H,"Ausgabe",Buchungen!$W:$W,G$22))</f>
        <v/>
      </c>
      <c r="H26" s="41">
        <f>IF($A26="","",-SUMIFS(Buchungen!$E:$E,Buchungen!$G:$G,$A26,Buchungen!$H:$H,"Ausgabe",Buchungen!$W:$W,H$22))</f>
        <v/>
      </c>
      <c r="I26" s="41">
        <f>IF($A26="","",-SUMIFS(Buchungen!$E:$E,Buchungen!$G:$G,$A26,Buchungen!$H:$H,"Ausgabe",Buchungen!$W:$W,I$22))</f>
        <v/>
      </c>
      <c r="J26" s="41">
        <f>IF($A26="","",-SUMIFS(Buchungen!$E:$E,Buchungen!$G:$G,$A26,Buchungen!$H:$H,"Ausgabe",Buchungen!$W:$W,J$22))</f>
        <v/>
      </c>
      <c r="K26" s="41">
        <f>IF($A26="","",-SUMIFS(Buchungen!$E:$E,Buchungen!$G:$G,$A26,Buchungen!$H:$H,"Ausgabe",Buchungen!$W:$W,K$22))</f>
        <v/>
      </c>
      <c r="L26" s="41">
        <f>IF($A26="","",-SUMIFS(Buchungen!$E:$E,Buchungen!$G:$G,$A26,Buchungen!$H:$H,"Ausgabe",Buchungen!$W:$W,L$22))</f>
        <v/>
      </c>
      <c r="M26" s="41">
        <f>IF($A26="","",-SUMIFS(Buchungen!$E:$E,Buchungen!$G:$G,$A26,Buchungen!$H:$H,"Ausgabe",Buchungen!$W:$W,M$22))</f>
        <v/>
      </c>
      <c r="N26" s="42">
        <f>IF($A26="","",SUM(B26:M26))</f>
        <v/>
      </c>
    </row>
    <row r="27">
      <c r="A27" s="40">
        <f>IF(Einstellungen!$C$9="","",Einstellungen!$C$9)</f>
        <v/>
      </c>
      <c r="B27" s="41">
        <f>IF($A27="","",-SUMIFS(Buchungen!$E:$E,Buchungen!$G:$G,$A27,Buchungen!$H:$H,"Ausgabe",Buchungen!$W:$W,B$22))</f>
        <v/>
      </c>
      <c r="C27" s="41">
        <f>IF($A27="","",-SUMIFS(Buchungen!$E:$E,Buchungen!$G:$G,$A27,Buchungen!$H:$H,"Ausgabe",Buchungen!$W:$W,C$22))</f>
        <v/>
      </c>
      <c r="D27" s="41">
        <f>IF($A27="","",-SUMIFS(Buchungen!$E:$E,Buchungen!$G:$G,$A27,Buchungen!$H:$H,"Ausgabe",Buchungen!$W:$W,D$22))</f>
        <v/>
      </c>
      <c r="E27" s="41">
        <f>IF($A27="","",-SUMIFS(Buchungen!$E:$E,Buchungen!$G:$G,$A27,Buchungen!$H:$H,"Ausgabe",Buchungen!$W:$W,E$22))</f>
        <v/>
      </c>
      <c r="F27" s="41">
        <f>IF($A27="","",-SUMIFS(Buchungen!$E:$E,Buchungen!$G:$G,$A27,Buchungen!$H:$H,"Ausgabe",Buchungen!$W:$W,F$22))</f>
        <v/>
      </c>
      <c r="G27" s="41">
        <f>IF($A27="","",-SUMIFS(Buchungen!$E:$E,Buchungen!$G:$G,$A27,Buchungen!$H:$H,"Ausgabe",Buchungen!$W:$W,G$22))</f>
        <v/>
      </c>
      <c r="H27" s="41">
        <f>IF($A27="","",-SUMIFS(Buchungen!$E:$E,Buchungen!$G:$G,$A27,Buchungen!$H:$H,"Ausgabe",Buchungen!$W:$W,H$22))</f>
        <v/>
      </c>
      <c r="I27" s="41">
        <f>IF($A27="","",-SUMIFS(Buchungen!$E:$E,Buchungen!$G:$G,$A27,Buchungen!$H:$H,"Ausgabe",Buchungen!$W:$W,I$22))</f>
        <v/>
      </c>
      <c r="J27" s="41">
        <f>IF($A27="","",-SUMIFS(Buchungen!$E:$E,Buchungen!$G:$G,$A27,Buchungen!$H:$H,"Ausgabe",Buchungen!$W:$W,J$22))</f>
        <v/>
      </c>
      <c r="K27" s="41">
        <f>IF($A27="","",-SUMIFS(Buchungen!$E:$E,Buchungen!$G:$G,$A27,Buchungen!$H:$H,"Ausgabe",Buchungen!$W:$W,K$22))</f>
        <v/>
      </c>
      <c r="L27" s="41">
        <f>IF($A27="","",-SUMIFS(Buchungen!$E:$E,Buchungen!$G:$G,$A27,Buchungen!$H:$H,"Ausgabe",Buchungen!$W:$W,L$22))</f>
        <v/>
      </c>
      <c r="M27" s="41">
        <f>IF($A27="","",-SUMIFS(Buchungen!$E:$E,Buchungen!$G:$G,$A27,Buchungen!$H:$H,"Ausgabe",Buchungen!$W:$W,M$22))</f>
        <v/>
      </c>
      <c r="N27" s="42">
        <f>IF($A27="","",SUM(B27:M27))</f>
        <v/>
      </c>
    </row>
    <row r="28">
      <c r="A28" s="40">
        <f>IF(Einstellungen!$C$10="","",Einstellungen!$C$10)</f>
        <v/>
      </c>
      <c r="B28" s="41">
        <f>IF($A28="","",-SUMIFS(Buchungen!$E:$E,Buchungen!$G:$G,$A28,Buchungen!$H:$H,"Ausgabe",Buchungen!$W:$W,B$22))</f>
        <v/>
      </c>
      <c r="C28" s="41">
        <f>IF($A28="","",-SUMIFS(Buchungen!$E:$E,Buchungen!$G:$G,$A28,Buchungen!$H:$H,"Ausgabe",Buchungen!$W:$W,C$22))</f>
        <v/>
      </c>
      <c r="D28" s="41">
        <f>IF($A28="","",-SUMIFS(Buchungen!$E:$E,Buchungen!$G:$G,$A28,Buchungen!$H:$H,"Ausgabe",Buchungen!$W:$W,D$22))</f>
        <v/>
      </c>
      <c r="E28" s="41">
        <f>IF($A28="","",-SUMIFS(Buchungen!$E:$E,Buchungen!$G:$G,$A28,Buchungen!$H:$H,"Ausgabe",Buchungen!$W:$W,E$22))</f>
        <v/>
      </c>
      <c r="F28" s="41">
        <f>IF($A28="","",-SUMIFS(Buchungen!$E:$E,Buchungen!$G:$G,$A28,Buchungen!$H:$H,"Ausgabe",Buchungen!$W:$W,F$22))</f>
        <v/>
      </c>
      <c r="G28" s="41">
        <f>IF($A28="","",-SUMIFS(Buchungen!$E:$E,Buchungen!$G:$G,$A28,Buchungen!$H:$H,"Ausgabe",Buchungen!$W:$W,G$22))</f>
        <v/>
      </c>
      <c r="H28" s="41">
        <f>IF($A28="","",-SUMIFS(Buchungen!$E:$E,Buchungen!$G:$G,$A28,Buchungen!$H:$H,"Ausgabe",Buchungen!$W:$W,H$22))</f>
        <v/>
      </c>
      <c r="I28" s="41">
        <f>IF($A28="","",-SUMIFS(Buchungen!$E:$E,Buchungen!$G:$G,$A28,Buchungen!$H:$H,"Ausgabe",Buchungen!$W:$W,I$22))</f>
        <v/>
      </c>
      <c r="J28" s="41">
        <f>IF($A28="","",-SUMIFS(Buchungen!$E:$E,Buchungen!$G:$G,$A28,Buchungen!$H:$H,"Ausgabe",Buchungen!$W:$W,J$22))</f>
        <v/>
      </c>
      <c r="K28" s="41">
        <f>IF($A28="","",-SUMIFS(Buchungen!$E:$E,Buchungen!$G:$G,$A28,Buchungen!$H:$H,"Ausgabe",Buchungen!$W:$W,K$22))</f>
        <v/>
      </c>
      <c r="L28" s="41">
        <f>IF($A28="","",-SUMIFS(Buchungen!$E:$E,Buchungen!$G:$G,$A28,Buchungen!$H:$H,"Ausgabe",Buchungen!$W:$W,L$22))</f>
        <v/>
      </c>
      <c r="M28" s="41">
        <f>IF($A28="","",-SUMIFS(Buchungen!$E:$E,Buchungen!$G:$G,$A28,Buchungen!$H:$H,"Ausgabe",Buchungen!$W:$W,M$22))</f>
        <v/>
      </c>
      <c r="N28" s="42">
        <f>IF($A28="","",SUM(B28:M28))</f>
        <v/>
      </c>
    </row>
    <row r="29">
      <c r="A29" s="40">
        <f>IF(Einstellungen!$C$11="","",Einstellungen!$C$11)</f>
        <v/>
      </c>
      <c r="B29" s="41">
        <f>IF($A29="","",-SUMIFS(Buchungen!$E:$E,Buchungen!$G:$G,$A29,Buchungen!$H:$H,"Ausgabe",Buchungen!$W:$W,B$22))</f>
        <v/>
      </c>
      <c r="C29" s="41">
        <f>IF($A29="","",-SUMIFS(Buchungen!$E:$E,Buchungen!$G:$G,$A29,Buchungen!$H:$H,"Ausgabe",Buchungen!$W:$W,C$22))</f>
        <v/>
      </c>
      <c r="D29" s="41">
        <f>IF($A29="","",-SUMIFS(Buchungen!$E:$E,Buchungen!$G:$G,$A29,Buchungen!$H:$H,"Ausgabe",Buchungen!$W:$W,D$22))</f>
        <v/>
      </c>
      <c r="E29" s="41">
        <f>IF($A29="","",-SUMIFS(Buchungen!$E:$E,Buchungen!$G:$G,$A29,Buchungen!$H:$H,"Ausgabe",Buchungen!$W:$W,E$22))</f>
        <v/>
      </c>
      <c r="F29" s="41">
        <f>IF($A29="","",-SUMIFS(Buchungen!$E:$E,Buchungen!$G:$G,$A29,Buchungen!$H:$H,"Ausgabe",Buchungen!$W:$W,F$22))</f>
        <v/>
      </c>
      <c r="G29" s="41">
        <f>IF($A29="","",-SUMIFS(Buchungen!$E:$E,Buchungen!$G:$G,$A29,Buchungen!$H:$H,"Ausgabe",Buchungen!$W:$W,G$22))</f>
        <v/>
      </c>
      <c r="H29" s="41">
        <f>IF($A29="","",-SUMIFS(Buchungen!$E:$E,Buchungen!$G:$G,$A29,Buchungen!$H:$H,"Ausgabe",Buchungen!$W:$W,H$22))</f>
        <v/>
      </c>
      <c r="I29" s="41">
        <f>IF($A29="","",-SUMIFS(Buchungen!$E:$E,Buchungen!$G:$G,$A29,Buchungen!$H:$H,"Ausgabe",Buchungen!$W:$W,I$22))</f>
        <v/>
      </c>
      <c r="J29" s="41">
        <f>IF($A29="","",-SUMIFS(Buchungen!$E:$E,Buchungen!$G:$G,$A29,Buchungen!$H:$H,"Ausgabe",Buchungen!$W:$W,J$22))</f>
        <v/>
      </c>
      <c r="K29" s="41">
        <f>IF($A29="","",-SUMIFS(Buchungen!$E:$E,Buchungen!$G:$G,$A29,Buchungen!$H:$H,"Ausgabe",Buchungen!$W:$W,K$22))</f>
        <v/>
      </c>
      <c r="L29" s="41">
        <f>IF($A29="","",-SUMIFS(Buchungen!$E:$E,Buchungen!$G:$G,$A29,Buchungen!$H:$H,"Ausgabe",Buchungen!$W:$W,L$22))</f>
        <v/>
      </c>
      <c r="M29" s="41">
        <f>IF($A29="","",-SUMIFS(Buchungen!$E:$E,Buchungen!$G:$G,$A29,Buchungen!$H:$H,"Ausgabe",Buchungen!$W:$W,M$22))</f>
        <v/>
      </c>
      <c r="N29" s="42">
        <f>IF($A29="","",SUM(B29:M29))</f>
        <v/>
      </c>
    </row>
    <row r="30">
      <c r="A30" s="40">
        <f>IF(Einstellungen!$C$12="","",Einstellungen!$C$12)</f>
        <v/>
      </c>
      <c r="B30" s="41">
        <f>IF($A30="","",-SUMIFS(Buchungen!$E:$E,Buchungen!$G:$G,$A30,Buchungen!$H:$H,"Ausgabe",Buchungen!$W:$W,B$22))</f>
        <v/>
      </c>
      <c r="C30" s="41">
        <f>IF($A30="","",-SUMIFS(Buchungen!$E:$E,Buchungen!$G:$G,$A30,Buchungen!$H:$H,"Ausgabe",Buchungen!$W:$W,C$22))</f>
        <v/>
      </c>
      <c r="D30" s="41">
        <f>IF($A30="","",-SUMIFS(Buchungen!$E:$E,Buchungen!$G:$G,$A30,Buchungen!$H:$H,"Ausgabe",Buchungen!$W:$W,D$22))</f>
        <v/>
      </c>
      <c r="E30" s="41">
        <f>IF($A30="","",-SUMIFS(Buchungen!$E:$E,Buchungen!$G:$G,$A30,Buchungen!$H:$H,"Ausgabe",Buchungen!$W:$W,E$22))</f>
        <v/>
      </c>
      <c r="F30" s="41">
        <f>IF($A30="","",-SUMIFS(Buchungen!$E:$E,Buchungen!$G:$G,$A30,Buchungen!$H:$H,"Ausgabe",Buchungen!$W:$W,F$22))</f>
        <v/>
      </c>
      <c r="G30" s="41">
        <f>IF($A30="","",-SUMIFS(Buchungen!$E:$E,Buchungen!$G:$G,$A30,Buchungen!$H:$H,"Ausgabe",Buchungen!$W:$W,G$22))</f>
        <v/>
      </c>
      <c r="H30" s="41">
        <f>IF($A30="","",-SUMIFS(Buchungen!$E:$E,Buchungen!$G:$G,$A30,Buchungen!$H:$H,"Ausgabe",Buchungen!$W:$W,H$22))</f>
        <v/>
      </c>
      <c r="I30" s="41">
        <f>IF($A30="","",-SUMIFS(Buchungen!$E:$E,Buchungen!$G:$G,$A30,Buchungen!$H:$H,"Ausgabe",Buchungen!$W:$W,I$22))</f>
        <v/>
      </c>
      <c r="J30" s="41">
        <f>IF($A30="","",-SUMIFS(Buchungen!$E:$E,Buchungen!$G:$G,$A30,Buchungen!$H:$H,"Ausgabe",Buchungen!$W:$W,J$22))</f>
        <v/>
      </c>
      <c r="K30" s="41">
        <f>IF($A30="","",-SUMIFS(Buchungen!$E:$E,Buchungen!$G:$G,$A30,Buchungen!$H:$H,"Ausgabe",Buchungen!$W:$W,K$22))</f>
        <v/>
      </c>
      <c r="L30" s="41">
        <f>IF($A30="","",-SUMIFS(Buchungen!$E:$E,Buchungen!$G:$G,$A30,Buchungen!$H:$H,"Ausgabe",Buchungen!$W:$W,L$22))</f>
        <v/>
      </c>
      <c r="M30" s="41">
        <f>IF($A30="","",-SUMIFS(Buchungen!$E:$E,Buchungen!$G:$G,$A30,Buchungen!$H:$H,"Ausgabe",Buchungen!$W:$W,M$22))</f>
        <v/>
      </c>
      <c r="N30" s="42">
        <f>IF($A30="","",SUM(B30:M30))</f>
        <v/>
      </c>
    </row>
    <row r="31">
      <c r="A31" s="40">
        <f>IF(Einstellungen!$C$13="","",Einstellungen!$C$13)</f>
        <v/>
      </c>
      <c r="B31" s="41">
        <f>IF($A31="","",-SUMIFS(Buchungen!$E:$E,Buchungen!$G:$G,$A31,Buchungen!$H:$H,"Ausgabe",Buchungen!$W:$W,B$22))</f>
        <v/>
      </c>
      <c r="C31" s="41">
        <f>IF($A31="","",-SUMIFS(Buchungen!$E:$E,Buchungen!$G:$G,$A31,Buchungen!$H:$H,"Ausgabe",Buchungen!$W:$W,C$22))</f>
        <v/>
      </c>
      <c r="D31" s="41">
        <f>IF($A31="","",-SUMIFS(Buchungen!$E:$E,Buchungen!$G:$G,$A31,Buchungen!$H:$H,"Ausgabe",Buchungen!$W:$W,D$22))</f>
        <v/>
      </c>
      <c r="E31" s="41">
        <f>IF($A31="","",-SUMIFS(Buchungen!$E:$E,Buchungen!$G:$G,$A31,Buchungen!$H:$H,"Ausgabe",Buchungen!$W:$W,E$22))</f>
        <v/>
      </c>
      <c r="F31" s="41">
        <f>IF($A31="","",-SUMIFS(Buchungen!$E:$E,Buchungen!$G:$G,$A31,Buchungen!$H:$H,"Ausgabe",Buchungen!$W:$W,F$22))</f>
        <v/>
      </c>
      <c r="G31" s="41">
        <f>IF($A31="","",-SUMIFS(Buchungen!$E:$E,Buchungen!$G:$G,$A31,Buchungen!$H:$H,"Ausgabe",Buchungen!$W:$W,G$22))</f>
        <v/>
      </c>
      <c r="H31" s="41">
        <f>IF($A31="","",-SUMIFS(Buchungen!$E:$E,Buchungen!$G:$G,$A31,Buchungen!$H:$H,"Ausgabe",Buchungen!$W:$W,H$22))</f>
        <v/>
      </c>
      <c r="I31" s="41">
        <f>IF($A31="","",-SUMIFS(Buchungen!$E:$E,Buchungen!$G:$G,$A31,Buchungen!$H:$H,"Ausgabe",Buchungen!$W:$W,I$22))</f>
        <v/>
      </c>
      <c r="J31" s="41">
        <f>IF($A31="","",-SUMIFS(Buchungen!$E:$E,Buchungen!$G:$G,$A31,Buchungen!$H:$H,"Ausgabe",Buchungen!$W:$W,J$22))</f>
        <v/>
      </c>
      <c r="K31" s="41">
        <f>IF($A31="","",-SUMIFS(Buchungen!$E:$E,Buchungen!$G:$G,$A31,Buchungen!$H:$H,"Ausgabe",Buchungen!$W:$W,K$22))</f>
        <v/>
      </c>
      <c r="L31" s="41">
        <f>IF($A31="","",-SUMIFS(Buchungen!$E:$E,Buchungen!$G:$G,$A31,Buchungen!$H:$H,"Ausgabe",Buchungen!$W:$W,L$22))</f>
        <v/>
      </c>
      <c r="M31" s="41">
        <f>IF($A31="","",-SUMIFS(Buchungen!$E:$E,Buchungen!$G:$G,$A31,Buchungen!$H:$H,"Ausgabe",Buchungen!$W:$W,M$22))</f>
        <v/>
      </c>
      <c r="N31" s="42">
        <f>IF($A31="","",SUM(B31:M31))</f>
        <v/>
      </c>
    </row>
    <row r="32">
      <c r="A32" s="40">
        <f>IF(Einstellungen!$C$14="","",Einstellungen!$C$14)</f>
        <v/>
      </c>
      <c r="B32" s="41">
        <f>IF($A32="","",-SUMIFS(Buchungen!$E:$E,Buchungen!$G:$G,$A32,Buchungen!$H:$H,"Ausgabe",Buchungen!$W:$W,B$22))</f>
        <v/>
      </c>
      <c r="C32" s="41">
        <f>IF($A32="","",-SUMIFS(Buchungen!$E:$E,Buchungen!$G:$G,$A32,Buchungen!$H:$H,"Ausgabe",Buchungen!$W:$W,C$22))</f>
        <v/>
      </c>
      <c r="D32" s="41">
        <f>IF($A32="","",-SUMIFS(Buchungen!$E:$E,Buchungen!$G:$G,$A32,Buchungen!$H:$H,"Ausgabe",Buchungen!$W:$W,D$22))</f>
        <v/>
      </c>
      <c r="E32" s="41">
        <f>IF($A32="","",-SUMIFS(Buchungen!$E:$E,Buchungen!$G:$G,$A32,Buchungen!$H:$H,"Ausgabe",Buchungen!$W:$W,E$22))</f>
        <v/>
      </c>
      <c r="F32" s="41">
        <f>IF($A32="","",-SUMIFS(Buchungen!$E:$E,Buchungen!$G:$G,$A32,Buchungen!$H:$H,"Ausgabe",Buchungen!$W:$W,F$22))</f>
        <v/>
      </c>
      <c r="G32" s="41">
        <f>IF($A32="","",-SUMIFS(Buchungen!$E:$E,Buchungen!$G:$G,$A32,Buchungen!$H:$H,"Ausgabe",Buchungen!$W:$W,G$22))</f>
        <v/>
      </c>
      <c r="H32" s="41">
        <f>IF($A32="","",-SUMIFS(Buchungen!$E:$E,Buchungen!$G:$G,$A32,Buchungen!$H:$H,"Ausgabe",Buchungen!$W:$W,H$22))</f>
        <v/>
      </c>
      <c r="I32" s="41">
        <f>IF($A32="","",-SUMIFS(Buchungen!$E:$E,Buchungen!$G:$G,$A32,Buchungen!$H:$H,"Ausgabe",Buchungen!$W:$W,I$22))</f>
        <v/>
      </c>
      <c r="J32" s="41">
        <f>IF($A32="","",-SUMIFS(Buchungen!$E:$E,Buchungen!$G:$G,$A32,Buchungen!$H:$H,"Ausgabe",Buchungen!$W:$W,J$22))</f>
        <v/>
      </c>
      <c r="K32" s="41">
        <f>IF($A32="","",-SUMIFS(Buchungen!$E:$E,Buchungen!$G:$G,$A32,Buchungen!$H:$H,"Ausgabe",Buchungen!$W:$W,K$22))</f>
        <v/>
      </c>
      <c r="L32" s="41">
        <f>IF($A32="","",-SUMIFS(Buchungen!$E:$E,Buchungen!$G:$G,$A32,Buchungen!$H:$H,"Ausgabe",Buchungen!$W:$W,L$22))</f>
        <v/>
      </c>
      <c r="M32" s="41">
        <f>IF($A32="","",-SUMIFS(Buchungen!$E:$E,Buchungen!$G:$G,$A32,Buchungen!$H:$H,"Ausgabe",Buchungen!$W:$W,M$22))</f>
        <v/>
      </c>
      <c r="N32" s="42">
        <f>IF($A32="","",SUM(B32:M32))</f>
        <v/>
      </c>
    </row>
    <row r="33">
      <c r="A33" s="40">
        <f>IF(Einstellungen!$C$15="","",Einstellungen!$C$15)</f>
        <v/>
      </c>
      <c r="B33" s="41">
        <f>IF($A33="","",-SUMIFS(Buchungen!$E:$E,Buchungen!$G:$G,$A33,Buchungen!$H:$H,"Ausgabe",Buchungen!$W:$W,B$22))</f>
        <v/>
      </c>
      <c r="C33" s="41">
        <f>IF($A33="","",-SUMIFS(Buchungen!$E:$E,Buchungen!$G:$G,$A33,Buchungen!$H:$H,"Ausgabe",Buchungen!$W:$W,C$22))</f>
        <v/>
      </c>
      <c r="D33" s="41">
        <f>IF($A33="","",-SUMIFS(Buchungen!$E:$E,Buchungen!$G:$G,$A33,Buchungen!$H:$H,"Ausgabe",Buchungen!$W:$W,D$22))</f>
        <v/>
      </c>
      <c r="E33" s="41">
        <f>IF($A33="","",-SUMIFS(Buchungen!$E:$E,Buchungen!$G:$G,$A33,Buchungen!$H:$H,"Ausgabe",Buchungen!$W:$W,E$22))</f>
        <v/>
      </c>
      <c r="F33" s="41">
        <f>IF($A33="","",-SUMIFS(Buchungen!$E:$E,Buchungen!$G:$G,$A33,Buchungen!$H:$H,"Ausgabe",Buchungen!$W:$W,F$22))</f>
        <v/>
      </c>
      <c r="G33" s="41">
        <f>IF($A33="","",-SUMIFS(Buchungen!$E:$E,Buchungen!$G:$G,$A33,Buchungen!$H:$H,"Ausgabe",Buchungen!$W:$W,G$22))</f>
        <v/>
      </c>
      <c r="H33" s="41">
        <f>IF($A33="","",-SUMIFS(Buchungen!$E:$E,Buchungen!$G:$G,$A33,Buchungen!$H:$H,"Ausgabe",Buchungen!$W:$W,H$22))</f>
        <v/>
      </c>
      <c r="I33" s="41">
        <f>IF($A33="","",-SUMIFS(Buchungen!$E:$E,Buchungen!$G:$G,$A33,Buchungen!$H:$H,"Ausgabe",Buchungen!$W:$W,I$22))</f>
        <v/>
      </c>
      <c r="J33" s="41">
        <f>IF($A33="","",-SUMIFS(Buchungen!$E:$E,Buchungen!$G:$G,$A33,Buchungen!$H:$H,"Ausgabe",Buchungen!$W:$W,J$22))</f>
        <v/>
      </c>
      <c r="K33" s="41">
        <f>IF($A33="","",-SUMIFS(Buchungen!$E:$E,Buchungen!$G:$G,$A33,Buchungen!$H:$H,"Ausgabe",Buchungen!$W:$W,K$22))</f>
        <v/>
      </c>
      <c r="L33" s="41">
        <f>IF($A33="","",-SUMIFS(Buchungen!$E:$E,Buchungen!$G:$G,$A33,Buchungen!$H:$H,"Ausgabe",Buchungen!$W:$W,L$22))</f>
        <v/>
      </c>
      <c r="M33" s="41">
        <f>IF($A33="","",-SUMIFS(Buchungen!$E:$E,Buchungen!$G:$G,$A33,Buchungen!$H:$H,"Ausgabe",Buchungen!$W:$W,M$22))</f>
        <v/>
      </c>
      <c r="N33" s="42">
        <f>IF($A33="","",SUM(B33:M33))</f>
        <v/>
      </c>
    </row>
    <row r="34">
      <c r="A34" s="40">
        <f>IF(Einstellungen!$C$16="","",Einstellungen!$C$16)</f>
        <v/>
      </c>
      <c r="B34" s="41">
        <f>IF($A34="","",-SUMIFS(Buchungen!$E:$E,Buchungen!$G:$G,$A34,Buchungen!$H:$H,"Ausgabe",Buchungen!$W:$W,B$22))</f>
        <v/>
      </c>
      <c r="C34" s="41">
        <f>IF($A34="","",-SUMIFS(Buchungen!$E:$E,Buchungen!$G:$G,$A34,Buchungen!$H:$H,"Ausgabe",Buchungen!$W:$W,C$22))</f>
        <v/>
      </c>
      <c r="D34" s="41">
        <f>IF($A34="","",-SUMIFS(Buchungen!$E:$E,Buchungen!$G:$G,$A34,Buchungen!$H:$H,"Ausgabe",Buchungen!$W:$W,D$22))</f>
        <v/>
      </c>
      <c r="E34" s="41">
        <f>IF($A34="","",-SUMIFS(Buchungen!$E:$E,Buchungen!$G:$G,$A34,Buchungen!$H:$H,"Ausgabe",Buchungen!$W:$W,E$22))</f>
        <v/>
      </c>
      <c r="F34" s="41">
        <f>IF($A34="","",-SUMIFS(Buchungen!$E:$E,Buchungen!$G:$G,$A34,Buchungen!$H:$H,"Ausgabe",Buchungen!$W:$W,F$22))</f>
        <v/>
      </c>
      <c r="G34" s="41">
        <f>IF($A34="","",-SUMIFS(Buchungen!$E:$E,Buchungen!$G:$G,$A34,Buchungen!$H:$H,"Ausgabe",Buchungen!$W:$W,G$22))</f>
        <v/>
      </c>
      <c r="H34" s="41">
        <f>IF($A34="","",-SUMIFS(Buchungen!$E:$E,Buchungen!$G:$G,$A34,Buchungen!$H:$H,"Ausgabe",Buchungen!$W:$W,H$22))</f>
        <v/>
      </c>
      <c r="I34" s="41">
        <f>IF($A34="","",-SUMIFS(Buchungen!$E:$E,Buchungen!$G:$G,$A34,Buchungen!$H:$H,"Ausgabe",Buchungen!$W:$W,I$22))</f>
        <v/>
      </c>
      <c r="J34" s="41">
        <f>IF($A34="","",-SUMIFS(Buchungen!$E:$E,Buchungen!$G:$G,$A34,Buchungen!$H:$H,"Ausgabe",Buchungen!$W:$W,J$22))</f>
        <v/>
      </c>
      <c r="K34" s="41">
        <f>IF($A34="","",-SUMIFS(Buchungen!$E:$E,Buchungen!$G:$G,$A34,Buchungen!$H:$H,"Ausgabe",Buchungen!$W:$W,K$22))</f>
        <v/>
      </c>
      <c r="L34" s="41">
        <f>IF($A34="","",-SUMIFS(Buchungen!$E:$E,Buchungen!$G:$G,$A34,Buchungen!$H:$H,"Ausgabe",Buchungen!$W:$W,L$22))</f>
        <v/>
      </c>
      <c r="M34" s="41">
        <f>IF($A34="","",-SUMIFS(Buchungen!$E:$E,Buchungen!$G:$G,$A34,Buchungen!$H:$H,"Ausgabe",Buchungen!$W:$W,M$22))</f>
        <v/>
      </c>
      <c r="N34" s="42">
        <f>IF($A34="","",SUM(B34:M34))</f>
        <v/>
      </c>
    </row>
    <row r="35">
      <c r="A35" s="40">
        <f>IF(Einstellungen!$C$17="","",Einstellungen!$C$17)</f>
        <v/>
      </c>
      <c r="B35" s="41">
        <f>IF($A35="","",-SUMIFS(Buchungen!$E:$E,Buchungen!$G:$G,$A35,Buchungen!$H:$H,"Ausgabe",Buchungen!$W:$W,B$22))</f>
        <v/>
      </c>
      <c r="C35" s="41">
        <f>IF($A35="","",-SUMIFS(Buchungen!$E:$E,Buchungen!$G:$G,$A35,Buchungen!$H:$H,"Ausgabe",Buchungen!$W:$W,C$22))</f>
        <v/>
      </c>
      <c r="D35" s="41">
        <f>IF($A35="","",-SUMIFS(Buchungen!$E:$E,Buchungen!$G:$G,$A35,Buchungen!$H:$H,"Ausgabe",Buchungen!$W:$W,D$22))</f>
        <v/>
      </c>
      <c r="E35" s="41">
        <f>IF($A35="","",-SUMIFS(Buchungen!$E:$E,Buchungen!$G:$G,$A35,Buchungen!$H:$H,"Ausgabe",Buchungen!$W:$W,E$22))</f>
        <v/>
      </c>
      <c r="F35" s="41">
        <f>IF($A35="","",-SUMIFS(Buchungen!$E:$E,Buchungen!$G:$G,$A35,Buchungen!$H:$H,"Ausgabe",Buchungen!$W:$W,F$22))</f>
        <v/>
      </c>
      <c r="G35" s="41">
        <f>IF($A35="","",-SUMIFS(Buchungen!$E:$E,Buchungen!$G:$G,$A35,Buchungen!$H:$H,"Ausgabe",Buchungen!$W:$W,G$22))</f>
        <v/>
      </c>
      <c r="H35" s="41">
        <f>IF($A35="","",-SUMIFS(Buchungen!$E:$E,Buchungen!$G:$G,$A35,Buchungen!$H:$H,"Ausgabe",Buchungen!$W:$W,H$22))</f>
        <v/>
      </c>
      <c r="I35" s="41">
        <f>IF($A35="","",-SUMIFS(Buchungen!$E:$E,Buchungen!$G:$G,$A35,Buchungen!$H:$H,"Ausgabe",Buchungen!$W:$W,I$22))</f>
        <v/>
      </c>
      <c r="J35" s="41">
        <f>IF($A35="","",-SUMIFS(Buchungen!$E:$E,Buchungen!$G:$G,$A35,Buchungen!$H:$H,"Ausgabe",Buchungen!$W:$W,J$22))</f>
        <v/>
      </c>
      <c r="K35" s="41">
        <f>IF($A35="","",-SUMIFS(Buchungen!$E:$E,Buchungen!$G:$G,$A35,Buchungen!$H:$H,"Ausgabe",Buchungen!$W:$W,K$22))</f>
        <v/>
      </c>
      <c r="L35" s="41">
        <f>IF($A35="","",-SUMIFS(Buchungen!$E:$E,Buchungen!$G:$G,$A35,Buchungen!$H:$H,"Ausgabe",Buchungen!$W:$W,L$22))</f>
        <v/>
      </c>
      <c r="M35" s="41">
        <f>IF($A35="","",-SUMIFS(Buchungen!$E:$E,Buchungen!$G:$G,$A35,Buchungen!$H:$H,"Ausgabe",Buchungen!$W:$W,M$22))</f>
        <v/>
      </c>
      <c r="N35" s="42">
        <f>IF($A35="","",SUM(B35:M35))</f>
        <v/>
      </c>
    </row>
    <row r="36">
      <c r="A36" s="40">
        <f>IF(Einstellungen!$C$18="","",Einstellungen!$C$18)</f>
        <v/>
      </c>
      <c r="B36" s="41">
        <f>IF($A36="","",-SUMIFS(Buchungen!$E:$E,Buchungen!$G:$G,$A36,Buchungen!$H:$H,"Ausgabe",Buchungen!$W:$W,B$22))</f>
        <v/>
      </c>
      <c r="C36" s="41">
        <f>IF($A36="","",-SUMIFS(Buchungen!$E:$E,Buchungen!$G:$G,$A36,Buchungen!$H:$H,"Ausgabe",Buchungen!$W:$W,C$22))</f>
        <v/>
      </c>
      <c r="D36" s="41">
        <f>IF($A36="","",-SUMIFS(Buchungen!$E:$E,Buchungen!$G:$G,$A36,Buchungen!$H:$H,"Ausgabe",Buchungen!$W:$W,D$22))</f>
        <v/>
      </c>
      <c r="E36" s="41">
        <f>IF($A36="","",-SUMIFS(Buchungen!$E:$E,Buchungen!$G:$G,$A36,Buchungen!$H:$H,"Ausgabe",Buchungen!$W:$W,E$22))</f>
        <v/>
      </c>
      <c r="F36" s="41">
        <f>IF($A36="","",-SUMIFS(Buchungen!$E:$E,Buchungen!$G:$G,$A36,Buchungen!$H:$H,"Ausgabe",Buchungen!$W:$W,F$22))</f>
        <v/>
      </c>
      <c r="G36" s="41">
        <f>IF($A36="","",-SUMIFS(Buchungen!$E:$E,Buchungen!$G:$G,$A36,Buchungen!$H:$H,"Ausgabe",Buchungen!$W:$W,G$22))</f>
        <v/>
      </c>
      <c r="H36" s="41">
        <f>IF($A36="","",-SUMIFS(Buchungen!$E:$E,Buchungen!$G:$G,$A36,Buchungen!$H:$H,"Ausgabe",Buchungen!$W:$W,H$22))</f>
        <v/>
      </c>
      <c r="I36" s="41">
        <f>IF($A36="","",-SUMIFS(Buchungen!$E:$E,Buchungen!$G:$G,$A36,Buchungen!$H:$H,"Ausgabe",Buchungen!$W:$W,I$22))</f>
        <v/>
      </c>
      <c r="J36" s="41">
        <f>IF($A36="","",-SUMIFS(Buchungen!$E:$E,Buchungen!$G:$G,$A36,Buchungen!$H:$H,"Ausgabe",Buchungen!$W:$W,J$22))</f>
        <v/>
      </c>
      <c r="K36" s="41">
        <f>IF($A36="","",-SUMIFS(Buchungen!$E:$E,Buchungen!$G:$G,$A36,Buchungen!$H:$H,"Ausgabe",Buchungen!$W:$W,K$22))</f>
        <v/>
      </c>
      <c r="L36" s="41">
        <f>IF($A36="","",-SUMIFS(Buchungen!$E:$E,Buchungen!$G:$G,$A36,Buchungen!$H:$H,"Ausgabe",Buchungen!$W:$W,L$22))</f>
        <v/>
      </c>
      <c r="M36" s="41">
        <f>IF($A36="","",-SUMIFS(Buchungen!$E:$E,Buchungen!$G:$G,$A36,Buchungen!$H:$H,"Ausgabe",Buchungen!$W:$W,M$22))</f>
        <v/>
      </c>
      <c r="N36" s="42">
        <f>IF($A36="","",SUM(B36:M36))</f>
        <v/>
      </c>
    </row>
    <row r="37">
      <c r="A37" s="40">
        <f>IF(Einstellungen!$C$19="","",Einstellungen!$C$19)</f>
        <v/>
      </c>
      <c r="B37" s="41">
        <f>IF($A37="","",-SUMIFS(Buchungen!$E:$E,Buchungen!$G:$G,$A37,Buchungen!$H:$H,"Ausgabe",Buchungen!$W:$W,B$22))</f>
        <v/>
      </c>
      <c r="C37" s="41">
        <f>IF($A37="","",-SUMIFS(Buchungen!$E:$E,Buchungen!$G:$G,$A37,Buchungen!$H:$H,"Ausgabe",Buchungen!$W:$W,C$22))</f>
        <v/>
      </c>
      <c r="D37" s="41">
        <f>IF($A37="","",-SUMIFS(Buchungen!$E:$E,Buchungen!$G:$G,$A37,Buchungen!$H:$H,"Ausgabe",Buchungen!$W:$W,D$22))</f>
        <v/>
      </c>
      <c r="E37" s="41">
        <f>IF($A37="","",-SUMIFS(Buchungen!$E:$E,Buchungen!$G:$G,$A37,Buchungen!$H:$H,"Ausgabe",Buchungen!$W:$W,E$22))</f>
        <v/>
      </c>
      <c r="F37" s="41">
        <f>IF($A37="","",-SUMIFS(Buchungen!$E:$E,Buchungen!$G:$G,$A37,Buchungen!$H:$H,"Ausgabe",Buchungen!$W:$W,F$22))</f>
        <v/>
      </c>
      <c r="G37" s="41">
        <f>IF($A37="","",-SUMIFS(Buchungen!$E:$E,Buchungen!$G:$G,$A37,Buchungen!$H:$H,"Ausgabe",Buchungen!$W:$W,G$22))</f>
        <v/>
      </c>
      <c r="H37" s="41">
        <f>IF($A37="","",-SUMIFS(Buchungen!$E:$E,Buchungen!$G:$G,$A37,Buchungen!$H:$H,"Ausgabe",Buchungen!$W:$W,H$22))</f>
        <v/>
      </c>
      <c r="I37" s="41">
        <f>IF($A37="","",-SUMIFS(Buchungen!$E:$E,Buchungen!$G:$G,$A37,Buchungen!$H:$H,"Ausgabe",Buchungen!$W:$W,I$22))</f>
        <v/>
      </c>
      <c r="J37" s="41">
        <f>IF($A37="","",-SUMIFS(Buchungen!$E:$E,Buchungen!$G:$G,$A37,Buchungen!$H:$H,"Ausgabe",Buchungen!$W:$W,J$22))</f>
        <v/>
      </c>
      <c r="K37" s="41">
        <f>IF($A37="","",-SUMIFS(Buchungen!$E:$E,Buchungen!$G:$G,$A37,Buchungen!$H:$H,"Ausgabe",Buchungen!$W:$W,K$22))</f>
        <v/>
      </c>
      <c r="L37" s="41">
        <f>IF($A37="","",-SUMIFS(Buchungen!$E:$E,Buchungen!$G:$G,$A37,Buchungen!$H:$H,"Ausgabe",Buchungen!$W:$W,L$22))</f>
        <v/>
      </c>
      <c r="M37" s="41">
        <f>IF($A37="","",-SUMIFS(Buchungen!$E:$E,Buchungen!$G:$G,$A37,Buchungen!$H:$H,"Ausgabe",Buchungen!$W:$W,M$22))</f>
        <v/>
      </c>
      <c r="N37" s="42">
        <f>IF($A37="","",SUM(B37:M37))</f>
        <v/>
      </c>
    </row>
    <row r="38">
      <c r="A38" s="40">
        <f>IF(Einstellungen!$C$20="","",Einstellungen!$C$20)</f>
        <v/>
      </c>
      <c r="B38" s="41">
        <f>IF($A38="","",-SUMIFS(Buchungen!$E:$E,Buchungen!$G:$G,$A38,Buchungen!$H:$H,"Ausgabe",Buchungen!$W:$W,B$22))</f>
        <v/>
      </c>
      <c r="C38" s="41">
        <f>IF($A38="","",-SUMIFS(Buchungen!$E:$E,Buchungen!$G:$G,$A38,Buchungen!$H:$H,"Ausgabe",Buchungen!$W:$W,C$22))</f>
        <v/>
      </c>
      <c r="D38" s="41">
        <f>IF($A38="","",-SUMIFS(Buchungen!$E:$E,Buchungen!$G:$G,$A38,Buchungen!$H:$H,"Ausgabe",Buchungen!$W:$W,D$22))</f>
        <v/>
      </c>
      <c r="E38" s="41">
        <f>IF($A38="","",-SUMIFS(Buchungen!$E:$E,Buchungen!$G:$G,$A38,Buchungen!$H:$H,"Ausgabe",Buchungen!$W:$W,E$22))</f>
        <v/>
      </c>
      <c r="F38" s="41">
        <f>IF($A38="","",-SUMIFS(Buchungen!$E:$E,Buchungen!$G:$G,$A38,Buchungen!$H:$H,"Ausgabe",Buchungen!$W:$W,F$22))</f>
        <v/>
      </c>
      <c r="G38" s="41">
        <f>IF($A38="","",-SUMIFS(Buchungen!$E:$E,Buchungen!$G:$G,$A38,Buchungen!$H:$H,"Ausgabe",Buchungen!$W:$W,G$22))</f>
        <v/>
      </c>
      <c r="H38" s="41">
        <f>IF($A38="","",-SUMIFS(Buchungen!$E:$E,Buchungen!$G:$G,$A38,Buchungen!$H:$H,"Ausgabe",Buchungen!$W:$W,H$22))</f>
        <v/>
      </c>
      <c r="I38" s="41">
        <f>IF($A38="","",-SUMIFS(Buchungen!$E:$E,Buchungen!$G:$G,$A38,Buchungen!$H:$H,"Ausgabe",Buchungen!$W:$W,I$22))</f>
        <v/>
      </c>
      <c r="J38" s="41">
        <f>IF($A38="","",-SUMIFS(Buchungen!$E:$E,Buchungen!$G:$G,$A38,Buchungen!$H:$H,"Ausgabe",Buchungen!$W:$W,J$22))</f>
        <v/>
      </c>
      <c r="K38" s="41">
        <f>IF($A38="","",-SUMIFS(Buchungen!$E:$E,Buchungen!$G:$G,$A38,Buchungen!$H:$H,"Ausgabe",Buchungen!$W:$W,K$22))</f>
        <v/>
      </c>
      <c r="L38" s="41">
        <f>IF($A38="","",-SUMIFS(Buchungen!$E:$E,Buchungen!$G:$G,$A38,Buchungen!$H:$H,"Ausgabe",Buchungen!$W:$W,L$22))</f>
        <v/>
      </c>
      <c r="M38" s="41">
        <f>IF($A38="","",-SUMIFS(Buchungen!$E:$E,Buchungen!$G:$G,$A38,Buchungen!$H:$H,"Ausgabe",Buchungen!$W:$W,M$22))</f>
        <v/>
      </c>
      <c r="N38" s="42">
        <f>IF($A38="","",SUM(B38:M38))</f>
        <v/>
      </c>
    </row>
    <row r="39">
      <c r="A39" s="40">
        <f>IF(Einstellungen!$C$21="","",Einstellungen!$C$21)</f>
        <v/>
      </c>
      <c r="B39" s="41">
        <f>IF($A39="","",-SUMIFS(Buchungen!$E:$E,Buchungen!$G:$G,$A39,Buchungen!$H:$H,"Ausgabe",Buchungen!$W:$W,B$22))</f>
        <v/>
      </c>
      <c r="C39" s="41">
        <f>IF($A39="","",-SUMIFS(Buchungen!$E:$E,Buchungen!$G:$G,$A39,Buchungen!$H:$H,"Ausgabe",Buchungen!$W:$W,C$22))</f>
        <v/>
      </c>
      <c r="D39" s="41">
        <f>IF($A39="","",-SUMIFS(Buchungen!$E:$E,Buchungen!$G:$G,$A39,Buchungen!$H:$H,"Ausgabe",Buchungen!$W:$W,D$22))</f>
        <v/>
      </c>
      <c r="E39" s="41">
        <f>IF($A39="","",-SUMIFS(Buchungen!$E:$E,Buchungen!$G:$G,$A39,Buchungen!$H:$H,"Ausgabe",Buchungen!$W:$W,E$22))</f>
        <v/>
      </c>
      <c r="F39" s="41">
        <f>IF($A39="","",-SUMIFS(Buchungen!$E:$E,Buchungen!$G:$G,$A39,Buchungen!$H:$H,"Ausgabe",Buchungen!$W:$W,F$22))</f>
        <v/>
      </c>
      <c r="G39" s="41">
        <f>IF($A39="","",-SUMIFS(Buchungen!$E:$E,Buchungen!$G:$G,$A39,Buchungen!$H:$H,"Ausgabe",Buchungen!$W:$W,G$22))</f>
        <v/>
      </c>
      <c r="H39" s="41">
        <f>IF($A39="","",-SUMIFS(Buchungen!$E:$E,Buchungen!$G:$G,$A39,Buchungen!$H:$H,"Ausgabe",Buchungen!$W:$W,H$22))</f>
        <v/>
      </c>
      <c r="I39" s="41">
        <f>IF($A39="","",-SUMIFS(Buchungen!$E:$E,Buchungen!$G:$G,$A39,Buchungen!$H:$H,"Ausgabe",Buchungen!$W:$W,I$22))</f>
        <v/>
      </c>
      <c r="J39" s="41">
        <f>IF($A39="","",-SUMIFS(Buchungen!$E:$E,Buchungen!$G:$G,$A39,Buchungen!$H:$H,"Ausgabe",Buchungen!$W:$W,J$22))</f>
        <v/>
      </c>
      <c r="K39" s="41">
        <f>IF($A39="","",-SUMIFS(Buchungen!$E:$E,Buchungen!$G:$G,$A39,Buchungen!$H:$H,"Ausgabe",Buchungen!$W:$W,K$22))</f>
        <v/>
      </c>
      <c r="L39" s="41">
        <f>IF($A39="","",-SUMIFS(Buchungen!$E:$E,Buchungen!$G:$G,$A39,Buchungen!$H:$H,"Ausgabe",Buchungen!$W:$W,L$22))</f>
        <v/>
      </c>
      <c r="M39" s="41">
        <f>IF($A39="","",-SUMIFS(Buchungen!$E:$E,Buchungen!$G:$G,$A39,Buchungen!$H:$H,"Ausgabe",Buchungen!$W:$W,M$22))</f>
        <v/>
      </c>
      <c r="N39" s="42">
        <f>IF($A39="","",SUM(B39:M39))</f>
        <v/>
      </c>
    </row>
    <row r="40">
      <c r="A40" s="40">
        <f>IF(Einstellungen!$C$22="","",Einstellungen!$C$22)</f>
        <v/>
      </c>
      <c r="B40" s="41">
        <f>IF($A40="","",-SUMIFS(Buchungen!$E:$E,Buchungen!$G:$G,$A40,Buchungen!$H:$H,"Ausgabe",Buchungen!$W:$W,B$22))</f>
        <v/>
      </c>
      <c r="C40" s="41">
        <f>IF($A40="","",-SUMIFS(Buchungen!$E:$E,Buchungen!$G:$G,$A40,Buchungen!$H:$H,"Ausgabe",Buchungen!$W:$W,C$22))</f>
        <v/>
      </c>
      <c r="D40" s="41">
        <f>IF($A40="","",-SUMIFS(Buchungen!$E:$E,Buchungen!$G:$G,$A40,Buchungen!$H:$H,"Ausgabe",Buchungen!$W:$W,D$22))</f>
        <v/>
      </c>
      <c r="E40" s="41">
        <f>IF($A40="","",-SUMIFS(Buchungen!$E:$E,Buchungen!$G:$G,$A40,Buchungen!$H:$H,"Ausgabe",Buchungen!$W:$W,E$22))</f>
        <v/>
      </c>
      <c r="F40" s="41">
        <f>IF($A40="","",-SUMIFS(Buchungen!$E:$E,Buchungen!$G:$G,$A40,Buchungen!$H:$H,"Ausgabe",Buchungen!$W:$W,F$22))</f>
        <v/>
      </c>
      <c r="G40" s="41">
        <f>IF($A40="","",-SUMIFS(Buchungen!$E:$E,Buchungen!$G:$G,$A40,Buchungen!$H:$H,"Ausgabe",Buchungen!$W:$W,G$22))</f>
        <v/>
      </c>
      <c r="H40" s="41">
        <f>IF($A40="","",-SUMIFS(Buchungen!$E:$E,Buchungen!$G:$G,$A40,Buchungen!$H:$H,"Ausgabe",Buchungen!$W:$W,H$22))</f>
        <v/>
      </c>
      <c r="I40" s="41">
        <f>IF($A40="","",-SUMIFS(Buchungen!$E:$E,Buchungen!$G:$G,$A40,Buchungen!$H:$H,"Ausgabe",Buchungen!$W:$W,I$22))</f>
        <v/>
      </c>
      <c r="J40" s="41">
        <f>IF($A40="","",-SUMIFS(Buchungen!$E:$E,Buchungen!$G:$G,$A40,Buchungen!$H:$H,"Ausgabe",Buchungen!$W:$W,J$22))</f>
        <v/>
      </c>
      <c r="K40" s="41">
        <f>IF($A40="","",-SUMIFS(Buchungen!$E:$E,Buchungen!$G:$G,$A40,Buchungen!$H:$H,"Ausgabe",Buchungen!$W:$W,K$22))</f>
        <v/>
      </c>
      <c r="L40" s="41">
        <f>IF($A40="","",-SUMIFS(Buchungen!$E:$E,Buchungen!$G:$G,$A40,Buchungen!$H:$H,"Ausgabe",Buchungen!$W:$W,L$22))</f>
        <v/>
      </c>
      <c r="M40" s="41">
        <f>IF($A40="","",-SUMIFS(Buchungen!$E:$E,Buchungen!$G:$G,$A40,Buchungen!$H:$H,"Ausgabe",Buchungen!$W:$W,M$22))</f>
        <v/>
      </c>
      <c r="N40" s="42">
        <f>IF($A40="","",SUM(B40:M40))</f>
        <v/>
      </c>
    </row>
    <row r="41">
      <c r="A41" s="40">
        <f>IF(Einstellungen!$C$23="","",Einstellungen!$C$23)</f>
        <v/>
      </c>
      <c r="B41" s="41">
        <f>IF($A41="","",-SUMIFS(Buchungen!$E:$E,Buchungen!$G:$G,$A41,Buchungen!$H:$H,"Ausgabe",Buchungen!$W:$W,B$22))</f>
        <v/>
      </c>
      <c r="C41" s="41">
        <f>IF($A41="","",-SUMIFS(Buchungen!$E:$E,Buchungen!$G:$G,$A41,Buchungen!$H:$H,"Ausgabe",Buchungen!$W:$W,C$22))</f>
        <v/>
      </c>
      <c r="D41" s="41">
        <f>IF($A41="","",-SUMIFS(Buchungen!$E:$E,Buchungen!$G:$G,$A41,Buchungen!$H:$H,"Ausgabe",Buchungen!$W:$W,D$22))</f>
        <v/>
      </c>
      <c r="E41" s="41">
        <f>IF($A41="","",-SUMIFS(Buchungen!$E:$E,Buchungen!$G:$G,$A41,Buchungen!$H:$H,"Ausgabe",Buchungen!$W:$W,E$22))</f>
        <v/>
      </c>
      <c r="F41" s="41">
        <f>IF($A41="","",-SUMIFS(Buchungen!$E:$E,Buchungen!$G:$G,$A41,Buchungen!$H:$H,"Ausgabe",Buchungen!$W:$W,F$22))</f>
        <v/>
      </c>
      <c r="G41" s="41">
        <f>IF($A41="","",-SUMIFS(Buchungen!$E:$E,Buchungen!$G:$G,$A41,Buchungen!$H:$H,"Ausgabe",Buchungen!$W:$W,G$22))</f>
        <v/>
      </c>
      <c r="H41" s="41">
        <f>IF($A41="","",-SUMIFS(Buchungen!$E:$E,Buchungen!$G:$G,$A41,Buchungen!$H:$H,"Ausgabe",Buchungen!$W:$W,H$22))</f>
        <v/>
      </c>
      <c r="I41" s="41">
        <f>IF($A41="","",-SUMIFS(Buchungen!$E:$E,Buchungen!$G:$G,$A41,Buchungen!$H:$H,"Ausgabe",Buchungen!$W:$W,I$22))</f>
        <v/>
      </c>
      <c r="J41" s="41">
        <f>IF($A41="","",-SUMIFS(Buchungen!$E:$E,Buchungen!$G:$G,$A41,Buchungen!$H:$H,"Ausgabe",Buchungen!$W:$W,J$22))</f>
        <v/>
      </c>
      <c r="K41" s="41">
        <f>IF($A41="","",-SUMIFS(Buchungen!$E:$E,Buchungen!$G:$G,$A41,Buchungen!$H:$H,"Ausgabe",Buchungen!$W:$W,K$22))</f>
        <v/>
      </c>
      <c r="L41" s="41">
        <f>IF($A41="","",-SUMIFS(Buchungen!$E:$E,Buchungen!$G:$G,$A41,Buchungen!$H:$H,"Ausgabe",Buchungen!$W:$W,L$22))</f>
        <v/>
      </c>
      <c r="M41" s="41">
        <f>IF($A41="","",-SUMIFS(Buchungen!$E:$E,Buchungen!$G:$G,$A41,Buchungen!$H:$H,"Ausgabe",Buchungen!$W:$W,M$22))</f>
        <v/>
      </c>
      <c r="N41" s="42">
        <f>IF($A41="","",SUM(B41:M41))</f>
        <v/>
      </c>
    </row>
    <row r="42">
      <c r="A42" s="40">
        <f>IF(Einstellungen!$C$24="","",Einstellungen!$C$24)</f>
        <v/>
      </c>
      <c r="B42" s="41">
        <f>IF($A42="","",-SUMIFS(Buchungen!$E:$E,Buchungen!$G:$G,$A42,Buchungen!$H:$H,"Ausgabe",Buchungen!$W:$W,B$22))</f>
        <v/>
      </c>
      <c r="C42" s="41">
        <f>IF($A42="","",-SUMIFS(Buchungen!$E:$E,Buchungen!$G:$G,$A42,Buchungen!$H:$H,"Ausgabe",Buchungen!$W:$W,C$22))</f>
        <v/>
      </c>
      <c r="D42" s="41">
        <f>IF($A42="","",-SUMIFS(Buchungen!$E:$E,Buchungen!$G:$G,$A42,Buchungen!$H:$H,"Ausgabe",Buchungen!$W:$W,D$22))</f>
        <v/>
      </c>
      <c r="E42" s="41">
        <f>IF($A42="","",-SUMIFS(Buchungen!$E:$E,Buchungen!$G:$G,$A42,Buchungen!$H:$H,"Ausgabe",Buchungen!$W:$W,E$22))</f>
        <v/>
      </c>
      <c r="F42" s="41">
        <f>IF($A42="","",-SUMIFS(Buchungen!$E:$E,Buchungen!$G:$G,$A42,Buchungen!$H:$H,"Ausgabe",Buchungen!$W:$W,F$22))</f>
        <v/>
      </c>
      <c r="G42" s="41">
        <f>IF($A42="","",-SUMIFS(Buchungen!$E:$E,Buchungen!$G:$G,$A42,Buchungen!$H:$H,"Ausgabe",Buchungen!$W:$W,G$22))</f>
        <v/>
      </c>
      <c r="H42" s="41">
        <f>IF($A42="","",-SUMIFS(Buchungen!$E:$E,Buchungen!$G:$G,$A42,Buchungen!$H:$H,"Ausgabe",Buchungen!$W:$W,H$22))</f>
        <v/>
      </c>
      <c r="I42" s="41">
        <f>IF($A42="","",-SUMIFS(Buchungen!$E:$E,Buchungen!$G:$G,$A42,Buchungen!$H:$H,"Ausgabe",Buchungen!$W:$W,I$22))</f>
        <v/>
      </c>
      <c r="J42" s="41">
        <f>IF($A42="","",-SUMIFS(Buchungen!$E:$E,Buchungen!$G:$G,$A42,Buchungen!$H:$H,"Ausgabe",Buchungen!$W:$W,J$22))</f>
        <v/>
      </c>
      <c r="K42" s="41">
        <f>IF($A42="","",-SUMIFS(Buchungen!$E:$E,Buchungen!$G:$G,$A42,Buchungen!$H:$H,"Ausgabe",Buchungen!$W:$W,K$22))</f>
        <v/>
      </c>
      <c r="L42" s="41">
        <f>IF($A42="","",-SUMIFS(Buchungen!$E:$E,Buchungen!$G:$G,$A42,Buchungen!$H:$H,"Ausgabe",Buchungen!$W:$W,L$22))</f>
        <v/>
      </c>
      <c r="M42" s="41">
        <f>IF($A42="","",-SUMIFS(Buchungen!$E:$E,Buchungen!$G:$G,$A42,Buchungen!$H:$H,"Ausgabe",Buchungen!$W:$W,M$22))</f>
        <v/>
      </c>
      <c r="N42" s="42">
        <f>IF($A42="","",SUM(B42:M42))</f>
        <v/>
      </c>
    </row>
    <row r="43">
      <c r="A43" s="40">
        <f>IF(Einstellungen!$C$25="","",Einstellungen!$C$25)</f>
        <v/>
      </c>
      <c r="B43" s="41">
        <f>IF($A43="","",-SUMIFS(Buchungen!$E:$E,Buchungen!$G:$G,$A43,Buchungen!$H:$H,"Ausgabe",Buchungen!$W:$W,B$22))</f>
        <v/>
      </c>
      <c r="C43" s="41">
        <f>IF($A43="","",-SUMIFS(Buchungen!$E:$E,Buchungen!$G:$G,$A43,Buchungen!$H:$H,"Ausgabe",Buchungen!$W:$W,C$22))</f>
        <v/>
      </c>
      <c r="D43" s="41">
        <f>IF($A43="","",-SUMIFS(Buchungen!$E:$E,Buchungen!$G:$G,$A43,Buchungen!$H:$H,"Ausgabe",Buchungen!$W:$W,D$22))</f>
        <v/>
      </c>
      <c r="E43" s="41">
        <f>IF($A43="","",-SUMIFS(Buchungen!$E:$E,Buchungen!$G:$G,$A43,Buchungen!$H:$H,"Ausgabe",Buchungen!$W:$W,E$22))</f>
        <v/>
      </c>
      <c r="F43" s="41">
        <f>IF($A43="","",-SUMIFS(Buchungen!$E:$E,Buchungen!$G:$G,$A43,Buchungen!$H:$H,"Ausgabe",Buchungen!$W:$W,F$22))</f>
        <v/>
      </c>
      <c r="G43" s="41">
        <f>IF($A43="","",-SUMIFS(Buchungen!$E:$E,Buchungen!$G:$G,$A43,Buchungen!$H:$H,"Ausgabe",Buchungen!$W:$W,G$22))</f>
        <v/>
      </c>
      <c r="H43" s="41">
        <f>IF($A43="","",-SUMIFS(Buchungen!$E:$E,Buchungen!$G:$G,$A43,Buchungen!$H:$H,"Ausgabe",Buchungen!$W:$W,H$22))</f>
        <v/>
      </c>
      <c r="I43" s="41">
        <f>IF($A43="","",-SUMIFS(Buchungen!$E:$E,Buchungen!$G:$G,$A43,Buchungen!$H:$H,"Ausgabe",Buchungen!$W:$W,I$22))</f>
        <v/>
      </c>
      <c r="J43" s="41">
        <f>IF($A43="","",-SUMIFS(Buchungen!$E:$E,Buchungen!$G:$G,$A43,Buchungen!$H:$H,"Ausgabe",Buchungen!$W:$W,J$22))</f>
        <v/>
      </c>
      <c r="K43" s="41">
        <f>IF($A43="","",-SUMIFS(Buchungen!$E:$E,Buchungen!$G:$G,$A43,Buchungen!$H:$H,"Ausgabe",Buchungen!$W:$W,K$22))</f>
        <v/>
      </c>
      <c r="L43" s="41">
        <f>IF($A43="","",-SUMIFS(Buchungen!$E:$E,Buchungen!$G:$G,$A43,Buchungen!$H:$H,"Ausgabe",Buchungen!$W:$W,L$22))</f>
        <v/>
      </c>
      <c r="M43" s="41">
        <f>IF($A43="","",-SUMIFS(Buchungen!$E:$E,Buchungen!$G:$G,$A43,Buchungen!$H:$H,"Ausgabe",Buchungen!$W:$W,M$22))</f>
        <v/>
      </c>
      <c r="N43" s="42">
        <f>IF($A43="","",SUM(B43:M43))</f>
        <v/>
      </c>
    </row>
    <row r="44">
      <c r="A44" s="40">
        <f>IF(Einstellungen!$C$26="","",Einstellungen!$C$26)</f>
        <v/>
      </c>
      <c r="B44" s="41">
        <f>IF($A44="","",-SUMIFS(Buchungen!$E:$E,Buchungen!$G:$G,$A44,Buchungen!$H:$H,"Ausgabe",Buchungen!$W:$W,B$22))</f>
        <v/>
      </c>
      <c r="C44" s="41">
        <f>IF($A44="","",-SUMIFS(Buchungen!$E:$E,Buchungen!$G:$G,$A44,Buchungen!$H:$H,"Ausgabe",Buchungen!$W:$W,C$22))</f>
        <v/>
      </c>
      <c r="D44" s="41">
        <f>IF($A44="","",-SUMIFS(Buchungen!$E:$E,Buchungen!$G:$G,$A44,Buchungen!$H:$H,"Ausgabe",Buchungen!$W:$W,D$22))</f>
        <v/>
      </c>
      <c r="E44" s="41">
        <f>IF($A44="","",-SUMIFS(Buchungen!$E:$E,Buchungen!$G:$G,$A44,Buchungen!$H:$H,"Ausgabe",Buchungen!$W:$W,E$22))</f>
        <v/>
      </c>
      <c r="F44" s="41">
        <f>IF($A44="","",-SUMIFS(Buchungen!$E:$E,Buchungen!$G:$G,$A44,Buchungen!$H:$H,"Ausgabe",Buchungen!$W:$W,F$22))</f>
        <v/>
      </c>
      <c r="G44" s="41">
        <f>IF($A44="","",-SUMIFS(Buchungen!$E:$E,Buchungen!$G:$G,$A44,Buchungen!$H:$H,"Ausgabe",Buchungen!$W:$W,G$22))</f>
        <v/>
      </c>
      <c r="H44" s="41">
        <f>IF($A44="","",-SUMIFS(Buchungen!$E:$E,Buchungen!$G:$G,$A44,Buchungen!$H:$H,"Ausgabe",Buchungen!$W:$W,H$22))</f>
        <v/>
      </c>
      <c r="I44" s="41">
        <f>IF($A44="","",-SUMIFS(Buchungen!$E:$E,Buchungen!$G:$G,$A44,Buchungen!$H:$H,"Ausgabe",Buchungen!$W:$W,I$22))</f>
        <v/>
      </c>
      <c r="J44" s="41">
        <f>IF($A44="","",-SUMIFS(Buchungen!$E:$E,Buchungen!$G:$G,$A44,Buchungen!$H:$H,"Ausgabe",Buchungen!$W:$W,J$22))</f>
        <v/>
      </c>
      <c r="K44" s="41">
        <f>IF($A44="","",-SUMIFS(Buchungen!$E:$E,Buchungen!$G:$G,$A44,Buchungen!$H:$H,"Ausgabe",Buchungen!$W:$W,K$22))</f>
        <v/>
      </c>
      <c r="L44" s="41">
        <f>IF($A44="","",-SUMIFS(Buchungen!$E:$E,Buchungen!$G:$G,$A44,Buchungen!$H:$H,"Ausgabe",Buchungen!$W:$W,L$22))</f>
        <v/>
      </c>
      <c r="M44" s="41">
        <f>IF($A44="","",-SUMIFS(Buchungen!$E:$E,Buchungen!$G:$G,$A44,Buchungen!$H:$H,"Ausgabe",Buchungen!$W:$W,M$22))</f>
        <v/>
      </c>
      <c r="N44" s="42">
        <f>IF($A44="","",SUM(B44:M44))</f>
        <v/>
      </c>
    </row>
    <row r="45">
      <c r="A45" s="40">
        <f>IF(Einstellungen!$C$27="","",Einstellungen!$C$27)</f>
        <v/>
      </c>
      <c r="B45" s="41">
        <f>IF($A45="","",-SUMIFS(Buchungen!$E:$E,Buchungen!$G:$G,$A45,Buchungen!$H:$H,"Ausgabe",Buchungen!$W:$W,B$22))</f>
        <v/>
      </c>
      <c r="C45" s="41">
        <f>IF($A45="","",-SUMIFS(Buchungen!$E:$E,Buchungen!$G:$G,$A45,Buchungen!$H:$H,"Ausgabe",Buchungen!$W:$W,C$22))</f>
        <v/>
      </c>
      <c r="D45" s="41">
        <f>IF($A45="","",-SUMIFS(Buchungen!$E:$E,Buchungen!$G:$G,$A45,Buchungen!$H:$H,"Ausgabe",Buchungen!$W:$W,D$22))</f>
        <v/>
      </c>
      <c r="E45" s="41">
        <f>IF($A45="","",-SUMIFS(Buchungen!$E:$E,Buchungen!$G:$G,$A45,Buchungen!$H:$H,"Ausgabe",Buchungen!$W:$W,E$22))</f>
        <v/>
      </c>
      <c r="F45" s="41">
        <f>IF($A45="","",-SUMIFS(Buchungen!$E:$E,Buchungen!$G:$G,$A45,Buchungen!$H:$H,"Ausgabe",Buchungen!$W:$W,F$22))</f>
        <v/>
      </c>
      <c r="G45" s="41">
        <f>IF($A45="","",-SUMIFS(Buchungen!$E:$E,Buchungen!$G:$G,$A45,Buchungen!$H:$H,"Ausgabe",Buchungen!$W:$W,G$22))</f>
        <v/>
      </c>
      <c r="H45" s="41">
        <f>IF($A45="","",-SUMIFS(Buchungen!$E:$E,Buchungen!$G:$G,$A45,Buchungen!$H:$H,"Ausgabe",Buchungen!$W:$W,H$22))</f>
        <v/>
      </c>
      <c r="I45" s="41">
        <f>IF($A45="","",-SUMIFS(Buchungen!$E:$E,Buchungen!$G:$G,$A45,Buchungen!$H:$H,"Ausgabe",Buchungen!$W:$W,I$22))</f>
        <v/>
      </c>
      <c r="J45" s="41">
        <f>IF($A45="","",-SUMIFS(Buchungen!$E:$E,Buchungen!$G:$G,$A45,Buchungen!$H:$H,"Ausgabe",Buchungen!$W:$W,J$22))</f>
        <v/>
      </c>
      <c r="K45" s="41">
        <f>IF($A45="","",-SUMIFS(Buchungen!$E:$E,Buchungen!$G:$G,$A45,Buchungen!$H:$H,"Ausgabe",Buchungen!$W:$W,K$22))</f>
        <v/>
      </c>
      <c r="L45" s="41">
        <f>IF($A45="","",-SUMIFS(Buchungen!$E:$E,Buchungen!$G:$G,$A45,Buchungen!$H:$H,"Ausgabe",Buchungen!$W:$W,L$22))</f>
        <v/>
      </c>
      <c r="M45" s="41">
        <f>IF($A45="","",-SUMIFS(Buchungen!$E:$E,Buchungen!$G:$G,$A45,Buchungen!$H:$H,"Ausgabe",Buchungen!$W:$W,M$22))</f>
        <v/>
      </c>
      <c r="N45" s="42">
        <f>IF($A45="","",SUM(B45:M45))</f>
        <v/>
      </c>
    </row>
    <row r="46">
      <c r="A46" s="40">
        <f>IF(Einstellungen!$C$28="","",Einstellungen!$C$28)</f>
        <v/>
      </c>
      <c r="B46" s="41">
        <f>IF($A46="","",-SUMIFS(Buchungen!$E:$E,Buchungen!$G:$G,$A46,Buchungen!$H:$H,"Ausgabe",Buchungen!$W:$W,B$22))</f>
        <v/>
      </c>
      <c r="C46" s="41">
        <f>IF($A46="","",-SUMIFS(Buchungen!$E:$E,Buchungen!$G:$G,$A46,Buchungen!$H:$H,"Ausgabe",Buchungen!$W:$W,C$22))</f>
        <v/>
      </c>
      <c r="D46" s="41">
        <f>IF($A46="","",-SUMIFS(Buchungen!$E:$E,Buchungen!$G:$G,$A46,Buchungen!$H:$H,"Ausgabe",Buchungen!$W:$W,D$22))</f>
        <v/>
      </c>
      <c r="E46" s="41">
        <f>IF($A46="","",-SUMIFS(Buchungen!$E:$E,Buchungen!$G:$G,$A46,Buchungen!$H:$H,"Ausgabe",Buchungen!$W:$W,E$22))</f>
        <v/>
      </c>
      <c r="F46" s="41">
        <f>IF($A46="","",-SUMIFS(Buchungen!$E:$E,Buchungen!$G:$G,$A46,Buchungen!$H:$H,"Ausgabe",Buchungen!$W:$W,F$22))</f>
        <v/>
      </c>
      <c r="G46" s="41">
        <f>IF($A46="","",-SUMIFS(Buchungen!$E:$E,Buchungen!$G:$G,$A46,Buchungen!$H:$H,"Ausgabe",Buchungen!$W:$W,G$22))</f>
        <v/>
      </c>
      <c r="H46" s="41">
        <f>IF($A46="","",-SUMIFS(Buchungen!$E:$E,Buchungen!$G:$G,$A46,Buchungen!$H:$H,"Ausgabe",Buchungen!$W:$W,H$22))</f>
        <v/>
      </c>
      <c r="I46" s="41">
        <f>IF($A46="","",-SUMIFS(Buchungen!$E:$E,Buchungen!$G:$G,$A46,Buchungen!$H:$H,"Ausgabe",Buchungen!$W:$W,I$22))</f>
        <v/>
      </c>
      <c r="J46" s="41">
        <f>IF($A46="","",-SUMIFS(Buchungen!$E:$E,Buchungen!$G:$G,$A46,Buchungen!$H:$H,"Ausgabe",Buchungen!$W:$W,J$22))</f>
        <v/>
      </c>
      <c r="K46" s="41">
        <f>IF($A46="","",-SUMIFS(Buchungen!$E:$E,Buchungen!$G:$G,$A46,Buchungen!$H:$H,"Ausgabe",Buchungen!$W:$W,K$22))</f>
        <v/>
      </c>
      <c r="L46" s="41">
        <f>IF($A46="","",-SUMIFS(Buchungen!$E:$E,Buchungen!$G:$G,$A46,Buchungen!$H:$H,"Ausgabe",Buchungen!$W:$W,L$22))</f>
        <v/>
      </c>
      <c r="M46" s="41">
        <f>IF($A46="","",-SUMIFS(Buchungen!$E:$E,Buchungen!$G:$G,$A46,Buchungen!$H:$H,"Ausgabe",Buchungen!$W:$W,M$22))</f>
        <v/>
      </c>
      <c r="N46" s="42">
        <f>IF($A46="","",SUM(B46:M46))</f>
        <v/>
      </c>
    </row>
    <row r="47">
      <c r="A47" s="40">
        <f>IF(Einstellungen!$C$29="","",Einstellungen!$C$29)</f>
        <v/>
      </c>
      <c r="B47" s="41">
        <f>IF($A47="","",-SUMIFS(Buchungen!$E:$E,Buchungen!$G:$G,$A47,Buchungen!$H:$H,"Ausgabe",Buchungen!$W:$W,B$22))</f>
        <v/>
      </c>
      <c r="C47" s="41">
        <f>IF($A47="","",-SUMIFS(Buchungen!$E:$E,Buchungen!$G:$G,$A47,Buchungen!$H:$H,"Ausgabe",Buchungen!$W:$W,C$22))</f>
        <v/>
      </c>
      <c r="D47" s="41">
        <f>IF($A47="","",-SUMIFS(Buchungen!$E:$E,Buchungen!$G:$G,$A47,Buchungen!$H:$H,"Ausgabe",Buchungen!$W:$W,D$22))</f>
        <v/>
      </c>
      <c r="E47" s="41">
        <f>IF($A47="","",-SUMIFS(Buchungen!$E:$E,Buchungen!$G:$G,$A47,Buchungen!$H:$H,"Ausgabe",Buchungen!$W:$W,E$22))</f>
        <v/>
      </c>
      <c r="F47" s="41">
        <f>IF($A47="","",-SUMIFS(Buchungen!$E:$E,Buchungen!$G:$G,$A47,Buchungen!$H:$H,"Ausgabe",Buchungen!$W:$W,F$22))</f>
        <v/>
      </c>
      <c r="G47" s="41">
        <f>IF($A47="","",-SUMIFS(Buchungen!$E:$E,Buchungen!$G:$G,$A47,Buchungen!$H:$H,"Ausgabe",Buchungen!$W:$W,G$22))</f>
        <v/>
      </c>
      <c r="H47" s="41">
        <f>IF($A47="","",-SUMIFS(Buchungen!$E:$E,Buchungen!$G:$G,$A47,Buchungen!$H:$H,"Ausgabe",Buchungen!$W:$W,H$22))</f>
        <v/>
      </c>
      <c r="I47" s="41">
        <f>IF($A47="","",-SUMIFS(Buchungen!$E:$E,Buchungen!$G:$G,$A47,Buchungen!$H:$H,"Ausgabe",Buchungen!$W:$W,I$22))</f>
        <v/>
      </c>
      <c r="J47" s="41">
        <f>IF($A47="","",-SUMIFS(Buchungen!$E:$E,Buchungen!$G:$G,$A47,Buchungen!$H:$H,"Ausgabe",Buchungen!$W:$W,J$22))</f>
        <v/>
      </c>
      <c r="K47" s="41">
        <f>IF($A47="","",-SUMIFS(Buchungen!$E:$E,Buchungen!$G:$G,$A47,Buchungen!$H:$H,"Ausgabe",Buchungen!$W:$W,K$22))</f>
        <v/>
      </c>
      <c r="L47" s="41">
        <f>IF($A47="","",-SUMIFS(Buchungen!$E:$E,Buchungen!$G:$G,$A47,Buchungen!$H:$H,"Ausgabe",Buchungen!$W:$W,L$22))</f>
        <v/>
      </c>
      <c r="M47" s="41">
        <f>IF($A47="","",-SUMIFS(Buchungen!$E:$E,Buchungen!$G:$G,$A47,Buchungen!$H:$H,"Ausgabe",Buchungen!$W:$W,M$22))</f>
        <v/>
      </c>
      <c r="N47" s="42">
        <f>IF($A47="","",SUM(B47:M47))</f>
        <v/>
      </c>
    </row>
    <row r="48">
      <c r="A48" s="40">
        <f>IF(Einstellungen!$C$30="","",Einstellungen!$C$30)</f>
        <v/>
      </c>
      <c r="B48" s="41">
        <f>IF($A48="","",-SUMIFS(Buchungen!$E:$E,Buchungen!$G:$G,$A48,Buchungen!$H:$H,"Ausgabe",Buchungen!$W:$W,B$22))</f>
        <v/>
      </c>
      <c r="C48" s="41">
        <f>IF($A48="","",-SUMIFS(Buchungen!$E:$E,Buchungen!$G:$G,$A48,Buchungen!$H:$H,"Ausgabe",Buchungen!$W:$W,C$22))</f>
        <v/>
      </c>
      <c r="D48" s="41">
        <f>IF($A48="","",-SUMIFS(Buchungen!$E:$E,Buchungen!$G:$G,$A48,Buchungen!$H:$H,"Ausgabe",Buchungen!$W:$W,D$22))</f>
        <v/>
      </c>
      <c r="E48" s="41">
        <f>IF($A48="","",-SUMIFS(Buchungen!$E:$E,Buchungen!$G:$G,$A48,Buchungen!$H:$H,"Ausgabe",Buchungen!$W:$W,E$22))</f>
        <v/>
      </c>
      <c r="F48" s="41">
        <f>IF($A48="","",-SUMIFS(Buchungen!$E:$E,Buchungen!$G:$G,$A48,Buchungen!$H:$H,"Ausgabe",Buchungen!$W:$W,F$22))</f>
        <v/>
      </c>
      <c r="G48" s="41">
        <f>IF($A48="","",-SUMIFS(Buchungen!$E:$E,Buchungen!$G:$G,$A48,Buchungen!$H:$H,"Ausgabe",Buchungen!$W:$W,G$22))</f>
        <v/>
      </c>
      <c r="H48" s="41">
        <f>IF($A48="","",-SUMIFS(Buchungen!$E:$E,Buchungen!$G:$G,$A48,Buchungen!$H:$H,"Ausgabe",Buchungen!$W:$W,H$22))</f>
        <v/>
      </c>
      <c r="I48" s="41">
        <f>IF($A48="","",-SUMIFS(Buchungen!$E:$E,Buchungen!$G:$G,$A48,Buchungen!$H:$H,"Ausgabe",Buchungen!$W:$W,I$22))</f>
        <v/>
      </c>
      <c r="J48" s="41">
        <f>IF($A48="","",-SUMIFS(Buchungen!$E:$E,Buchungen!$G:$G,$A48,Buchungen!$H:$H,"Ausgabe",Buchungen!$W:$W,J$22))</f>
        <v/>
      </c>
      <c r="K48" s="41">
        <f>IF($A48="","",-SUMIFS(Buchungen!$E:$E,Buchungen!$G:$G,$A48,Buchungen!$H:$H,"Ausgabe",Buchungen!$W:$W,K$22))</f>
        <v/>
      </c>
      <c r="L48" s="41">
        <f>IF($A48="","",-SUMIFS(Buchungen!$E:$E,Buchungen!$G:$G,$A48,Buchungen!$H:$H,"Ausgabe",Buchungen!$W:$W,L$22))</f>
        <v/>
      </c>
      <c r="M48" s="41">
        <f>IF($A48="","",-SUMIFS(Buchungen!$E:$E,Buchungen!$G:$G,$A48,Buchungen!$H:$H,"Ausgabe",Buchungen!$W:$W,M$22))</f>
        <v/>
      </c>
      <c r="N48" s="42">
        <f>IF($A48="","",SUM(B48:M48))</f>
        <v/>
      </c>
    </row>
    <row r="49">
      <c r="A49" s="40">
        <f>IF(Einstellungen!$C$31="","",Einstellungen!$C$31)</f>
        <v/>
      </c>
      <c r="B49" s="41">
        <f>IF($A49="","",-SUMIFS(Buchungen!$E:$E,Buchungen!$G:$G,$A49,Buchungen!$H:$H,"Ausgabe",Buchungen!$W:$W,B$22))</f>
        <v/>
      </c>
      <c r="C49" s="41">
        <f>IF($A49="","",-SUMIFS(Buchungen!$E:$E,Buchungen!$G:$G,$A49,Buchungen!$H:$H,"Ausgabe",Buchungen!$W:$W,C$22))</f>
        <v/>
      </c>
      <c r="D49" s="41">
        <f>IF($A49="","",-SUMIFS(Buchungen!$E:$E,Buchungen!$G:$G,$A49,Buchungen!$H:$H,"Ausgabe",Buchungen!$W:$W,D$22))</f>
        <v/>
      </c>
      <c r="E49" s="41">
        <f>IF($A49="","",-SUMIFS(Buchungen!$E:$E,Buchungen!$G:$G,$A49,Buchungen!$H:$H,"Ausgabe",Buchungen!$W:$W,E$22))</f>
        <v/>
      </c>
      <c r="F49" s="41">
        <f>IF($A49="","",-SUMIFS(Buchungen!$E:$E,Buchungen!$G:$G,$A49,Buchungen!$H:$H,"Ausgabe",Buchungen!$W:$W,F$22))</f>
        <v/>
      </c>
      <c r="G49" s="41">
        <f>IF($A49="","",-SUMIFS(Buchungen!$E:$E,Buchungen!$G:$G,$A49,Buchungen!$H:$H,"Ausgabe",Buchungen!$W:$W,G$22))</f>
        <v/>
      </c>
      <c r="H49" s="41">
        <f>IF($A49="","",-SUMIFS(Buchungen!$E:$E,Buchungen!$G:$G,$A49,Buchungen!$H:$H,"Ausgabe",Buchungen!$W:$W,H$22))</f>
        <v/>
      </c>
      <c r="I49" s="41">
        <f>IF($A49="","",-SUMIFS(Buchungen!$E:$E,Buchungen!$G:$G,$A49,Buchungen!$H:$H,"Ausgabe",Buchungen!$W:$W,I$22))</f>
        <v/>
      </c>
      <c r="J49" s="41">
        <f>IF($A49="","",-SUMIFS(Buchungen!$E:$E,Buchungen!$G:$G,$A49,Buchungen!$H:$H,"Ausgabe",Buchungen!$W:$W,J$22))</f>
        <v/>
      </c>
      <c r="K49" s="41">
        <f>IF($A49="","",-SUMIFS(Buchungen!$E:$E,Buchungen!$G:$G,$A49,Buchungen!$H:$H,"Ausgabe",Buchungen!$W:$W,K$22))</f>
        <v/>
      </c>
      <c r="L49" s="41">
        <f>IF($A49="","",-SUMIFS(Buchungen!$E:$E,Buchungen!$G:$G,$A49,Buchungen!$H:$H,"Ausgabe",Buchungen!$W:$W,L$22))</f>
        <v/>
      </c>
      <c r="M49" s="41">
        <f>IF($A49="","",-SUMIFS(Buchungen!$E:$E,Buchungen!$G:$G,$A49,Buchungen!$H:$H,"Ausgabe",Buchungen!$W:$W,M$22))</f>
        <v/>
      </c>
      <c r="N49" s="42">
        <f>IF($A49="","",SUM(B49:M49))</f>
        <v/>
      </c>
    </row>
    <row r="50">
      <c r="A50" s="40">
        <f>IF(Einstellungen!$C$32="","",Einstellungen!$C$32)</f>
        <v/>
      </c>
      <c r="B50" s="41">
        <f>IF($A50="","",-SUMIFS(Buchungen!$E:$E,Buchungen!$G:$G,$A50,Buchungen!$H:$H,"Ausgabe",Buchungen!$W:$W,B$22))</f>
        <v/>
      </c>
      <c r="C50" s="41">
        <f>IF($A50="","",-SUMIFS(Buchungen!$E:$E,Buchungen!$G:$G,$A50,Buchungen!$H:$H,"Ausgabe",Buchungen!$W:$W,C$22))</f>
        <v/>
      </c>
      <c r="D50" s="41">
        <f>IF($A50="","",-SUMIFS(Buchungen!$E:$E,Buchungen!$G:$G,$A50,Buchungen!$H:$H,"Ausgabe",Buchungen!$W:$W,D$22))</f>
        <v/>
      </c>
      <c r="E50" s="41">
        <f>IF($A50="","",-SUMIFS(Buchungen!$E:$E,Buchungen!$G:$G,$A50,Buchungen!$H:$H,"Ausgabe",Buchungen!$W:$W,E$22))</f>
        <v/>
      </c>
      <c r="F50" s="41">
        <f>IF($A50="","",-SUMIFS(Buchungen!$E:$E,Buchungen!$G:$G,$A50,Buchungen!$H:$H,"Ausgabe",Buchungen!$W:$W,F$22))</f>
        <v/>
      </c>
      <c r="G50" s="41">
        <f>IF($A50="","",-SUMIFS(Buchungen!$E:$E,Buchungen!$G:$G,$A50,Buchungen!$H:$H,"Ausgabe",Buchungen!$W:$W,G$22))</f>
        <v/>
      </c>
      <c r="H50" s="41">
        <f>IF($A50="","",-SUMIFS(Buchungen!$E:$E,Buchungen!$G:$G,$A50,Buchungen!$H:$H,"Ausgabe",Buchungen!$W:$W,H$22))</f>
        <v/>
      </c>
      <c r="I50" s="41">
        <f>IF($A50="","",-SUMIFS(Buchungen!$E:$E,Buchungen!$G:$G,$A50,Buchungen!$H:$H,"Ausgabe",Buchungen!$W:$W,I$22))</f>
        <v/>
      </c>
      <c r="J50" s="41">
        <f>IF($A50="","",-SUMIFS(Buchungen!$E:$E,Buchungen!$G:$G,$A50,Buchungen!$H:$H,"Ausgabe",Buchungen!$W:$W,J$22))</f>
        <v/>
      </c>
      <c r="K50" s="41">
        <f>IF($A50="","",-SUMIFS(Buchungen!$E:$E,Buchungen!$G:$G,$A50,Buchungen!$H:$H,"Ausgabe",Buchungen!$W:$W,K$22))</f>
        <v/>
      </c>
      <c r="L50" s="41">
        <f>IF($A50="","",-SUMIFS(Buchungen!$E:$E,Buchungen!$G:$G,$A50,Buchungen!$H:$H,"Ausgabe",Buchungen!$W:$W,L$22))</f>
        <v/>
      </c>
      <c r="M50" s="41">
        <f>IF($A50="","",-SUMIFS(Buchungen!$E:$E,Buchungen!$G:$G,$A50,Buchungen!$H:$H,"Ausgabe",Buchungen!$W:$W,M$22))</f>
        <v/>
      </c>
      <c r="N50" s="42">
        <f>IF($A50="","",SUM(B50:M50))</f>
        <v/>
      </c>
    </row>
    <row r="51">
      <c r="A51" s="40">
        <f>IF(Einstellungen!$C$33="","",Einstellungen!$C$33)</f>
        <v/>
      </c>
      <c r="B51" s="41">
        <f>IF($A51="","",-SUMIFS(Buchungen!$E:$E,Buchungen!$G:$G,$A51,Buchungen!$H:$H,"Ausgabe",Buchungen!$W:$W,B$22))</f>
        <v/>
      </c>
      <c r="C51" s="41">
        <f>IF($A51="","",-SUMIFS(Buchungen!$E:$E,Buchungen!$G:$G,$A51,Buchungen!$H:$H,"Ausgabe",Buchungen!$W:$W,C$22))</f>
        <v/>
      </c>
      <c r="D51" s="41">
        <f>IF($A51="","",-SUMIFS(Buchungen!$E:$E,Buchungen!$G:$G,$A51,Buchungen!$H:$H,"Ausgabe",Buchungen!$W:$W,D$22))</f>
        <v/>
      </c>
      <c r="E51" s="41">
        <f>IF($A51="","",-SUMIFS(Buchungen!$E:$E,Buchungen!$G:$G,$A51,Buchungen!$H:$H,"Ausgabe",Buchungen!$W:$W,E$22))</f>
        <v/>
      </c>
      <c r="F51" s="41">
        <f>IF($A51="","",-SUMIFS(Buchungen!$E:$E,Buchungen!$G:$G,$A51,Buchungen!$H:$H,"Ausgabe",Buchungen!$W:$W,F$22))</f>
        <v/>
      </c>
      <c r="G51" s="41">
        <f>IF($A51="","",-SUMIFS(Buchungen!$E:$E,Buchungen!$G:$G,$A51,Buchungen!$H:$H,"Ausgabe",Buchungen!$W:$W,G$22))</f>
        <v/>
      </c>
      <c r="H51" s="41">
        <f>IF($A51="","",-SUMIFS(Buchungen!$E:$E,Buchungen!$G:$G,$A51,Buchungen!$H:$H,"Ausgabe",Buchungen!$W:$W,H$22))</f>
        <v/>
      </c>
      <c r="I51" s="41">
        <f>IF($A51="","",-SUMIFS(Buchungen!$E:$E,Buchungen!$G:$G,$A51,Buchungen!$H:$H,"Ausgabe",Buchungen!$W:$W,I$22))</f>
        <v/>
      </c>
      <c r="J51" s="41">
        <f>IF($A51="","",-SUMIFS(Buchungen!$E:$E,Buchungen!$G:$G,$A51,Buchungen!$H:$H,"Ausgabe",Buchungen!$W:$W,J$22))</f>
        <v/>
      </c>
      <c r="K51" s="41">
        <f>IF($A51="","",-SUMIFS(Buchungen!$E:$E,Buchungen!$G:$G,$A51,Buchungen!$H:$H,"Ausgabe",Buchungen!$W:$W,K$22))</f>
        <v/>
      </c>
      <c r="L51" s="41">
        <f>IF($A51="","",-SUMIFS(Buchungen!$E:$E,Buchungen!$G:$G,$A51,Buchungen!$H:$H,"Ausgabe",Buchungen!$W:$W,L$22))</f>
        <v/>
      </c>
      <c r="M51" s="41">
        <f>IF($A51="","",-SUMIFS(Buchungen!$E:$E,Buchungen!$G:$G,$A51,Buchungen!$H:$H,"Ausgabe",Buchungen!$W:$W,M$22))</f>
        <v/>
      </c>
      <c r="N51" s="42">
        <f>IF($A51="","",SUM(B51:M51))</f>
        <v/>
      </c>
    </row>
    <row r="52">
      <c r="A52" s="40">
        <f>IF(Einstellungen!$C$34="","",Einstellungen!$C$34)</f>
        <v/>
      </c>
      <c r="B52" s="41">
        <f>IF($A52="","",-SUMIFS(Buchungen!$E:$E,Buchungen!$G:$G,$A52,Buchungen!$H:$H,"Ausgabe",Buchungen!$W:$W,B$22))</f>
        <v/>
      </c>
      <c r="C52" s="41">
        <f>IF($A52="","",-SUMIFS(Buchungen!$E:$E,Buchungen!$G:$G,$A52,Buchungen!$H:$H,"Ausgabe",Buchungen!$W:$W,C$22))</f>
        <v/>
      </c>
      <c r="D52" s="41">
        <f>IF($A52="","",-SUMIFS(Buchungen!$E:$E,Buchungen!$G:$G,$A52,Buchungen!$H:$H,"Ausgabe",Buchungen!$W:$W,D$22))</f>
        <v/>
      </c>
      <c r="E52" s="41">
        <f>IF($A52="","",-SUMIFS(Buchungen!$E:$E,Buchungen!$G:$G,$A52,Buchungen!$H:$H,"Ausgabe",Buchungen!$W:$W,E$22))</f>
        <v/>
      </c>
      <c r="F52" s="41">
        <f>IF($A52="","",-SUMIFS(Buchungen!$E:$E,Buchungen!$G:$G,$A52,Buchungen!$H:$H,"Ausgabe",Buchungen!$W:$W,F$22))</f>
        <v/>
      </c>
      <c r="G52" s="41">
        <f>IF($A52="","",-SUMIFS(Buchungen!$E:$E,Buchungen!$G:$G,$A52,Buchungen!$H:$H,"Ausgabe",Buchungen!$W:$W,G$22))</f>
        <v/>
      </c>
      <c r="H52" s="41">
        <f>IF($A52="","",-SUMIFS(Buchungen!$E:$E,Buchungen!$G:$G,$A52,Buchungen!$H:$H,"Ausgabe",Buchungen!$W:$W,H$22))</f>
        <v/>
      </c>
      <c r="I52" s="41">
        <f>IF($A52="","",-SUMIFS(Buchungen!$E:$E,Buchungen!$G:$G,$A52,Buchungen!$H:$H,"Ausgabe",Buchungen!$W:$W,I$22))</f>
        <v/>
      </c>
      <c r="J52" s="41">
        <f>IF($A52="","",-SUMIFS(Buchungen!$E:$E,Buchungen!$G:$G,$A52,Buchungen!$H:$H,"Ausgabe",Buchungen!$W:$W,J$22))</f>
        <v/>
      </c>
      <c r="K52" s="41">
        <f>IF($A52="","",-SUMIFS(Buchungen!$E:$E,Buchungen!$G:$G,$A52,Buchungen!$H:$H,"Ausgabe",Buchungen!$W:$W,K$22))</f>
        <v/>
      </c>
      <c r="L52" s="41">
        <f>IF($A52="","",-SUMIFS(Buchungen!$E:$E,Buchungen!$G:$G,$A52,Buchungen!$H:$H,"Ausgabe",Buchungen!$W:$W,L$22))</f>
        <v/>
      </c>
      <c r="M52" s="41">
        <f>IF($A52="","",-SUMIFS(Buchungen!$E:$E,Buchungen!$G:$G,$A52,Buchungen!$H:$H,"Ausgabe",Buchungen!$W:$W,M$22))</f>
        <v/>
      </c>
      <c r="N52" s="42">
        <f>IF($A52="","",SUM(B52:M52))</f>
        <v/>
      </c>
    </row>
    <row r="53">
      <c r="A53" s="40" t="inlineStr">
        <is>
          <t>(ohne Kategorie)</t>
        </is>
      </c>
      <c r="B53" s="41">
        <f>-SUMIFS(Buchungen!$E:$E,Buchungen!$G:$G,"",Buchungen!$H:$H,"Ausgabe",Buchungen!$W:$W,B$22)</f>
        <v/>
      </c>
      <c r="C53" s="41">
        <f>-SUMIFS(Buchungen!$E:$E,Buchungen!$G:$G,"",Buchungen!$H:$H,"Ausgabe",Buchungen!$W:$W,C$22)</f>
        <v/>
      </c>
      <c r="D53" s="41">
        <f>-SUMIFS(Buchungen!$E:$E,Buchungen!$G:$G,"",Buchungen!$H:$H,"Ausgabe",Buchungen!$W:$W,D$22)</f>
        <v/>
      </c>
      <c r="E53" s="41">
        <f>-SUMIFS(Buchungen!$E:$E,Buchungen!$G:$G,"",Buchungen!$H:$H,"Ausgabe",Buchungen!$W:$W,E$22)</f>
        <v/>
      </c>
      <c r="F53" s="41">
        <f>-SUMIFS(Buchungen!$E:$E,Buchungen!$G:$G,"",Buchungen!$H:$H,"Ausgabe",Buchungen!$W:$W,F$22)</f>
        <v/>
      </c>
      <c r="G53" s="41">
        <f>-SUMIFS(Buchungen!$E:$E,Buchungen!$G:$G,"",Buchungen!$H:$H,"Ausgabe",Buchungen!$W:$W,G$22)</f>
        <v/>
      </c>
      <c r="H53" s="41">
        <f>-SUMIFS(Buchungen!$E:$E,Buchungen!$G:$G,"",Buchungen!$H:$H,"Ausgabe",Buchungen!$W:$W,H$22)</f>
        <v/>
      </c>
      <c r="I53" s="41">
        <f>-SUMIFS(Buchungen!$E:$E,Buchungen!$G:$G,"",Buchungen!$H:$H,"Ausgabe",Buchungen!$W:$W,I$22)</f>
        <v/>
      </c>
      <c r="J53" s="41">
        <f>-SUMIFS(Buchungen!$E:$E,Buchungen!$G:$G,"",Buchungen!$H:$H,"Ausgabe",Buchungen!$W:$W,J$22)</f>
        <v/>
      </c>
      <c r="K53" s="41">
        <f>-SUMIFS(Buchungen!$E:$E,Buchungen!$G:$G,"",Buchungen!$H:$H,"Ausgabe",Buchungen!$W:$W,K$22)</f>
        <v/>
      </c>
      <c r="L53" s="41">
        <f>-SUMIFS(Buchungen!$E:$E,Buchungen!$G:$G,"",Buchungen!$H:$H,"Ausgabe",Buchungen!$W:$W,L$22)</f>
        <v/>
      </c>
      <c r="M53" s="41">
        <f>-SUMIFS(Buchungen!$E:$E,Buchungen!$G:$G,"",Buchungen!$H:$H,"Ausgabe",Buchungen!$W:$W,M$22)</f>
        <v/>
      </c>
      <c r="N53" s="42">
        <f>IF($A53="","",SUM(B53:M53))</f>
        <v/>
      </c>
    </row>
  </sheetData>
  <conditionalFormatting sqref="I6:I17">
    <cfRule type="cellIs" priority="1" operator="lessThan" dxfId="7">
      <formula>0</formula>
    </cfRule>
    <cfRule type="cellIs" priority="2" operator="greaterThan" dxfId="8">
      <formula>0</formula>
    </cfRule>
  </conditionalFormatting>
  <conditionalFormatting sqref="B23:M53">
    <cfRule type="cellIs" priority="3" operator="equal" dxfId="9">
      <formula>0</formula>
    </cfRule>
  </conditionalFormatting>
  <conditionalFormatting sqref="B23:M52">
    <cfRule type="dataBar" priority="4">
      <dataBar>
        <cfvo type="num" val="0"/>
        <cfvo type="max"/>
        <color rgb="FF9DC3E6"/>
      </dataBar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Fixkosten">
    <outlinePr summaryBelow="1" summaryRight="1"/>
    <pageSetUpPr fitToPage="1"/>
  </sheetPr>
  <dimension ref="A1:AD59"/>
  <sheetViews>
    <sheetView showGridLines="0" tabSelected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2" customWidth="1" min="3" max="3"/>
    <col width="10" customWidth="1" min="4" max="4"/>
    <col width="12" customWidth="1" min="5" max="5"/>
    <col width="16" customWidth="1" min="6" max="6"/>
    <col width="22" customWidth="1" min="7" max="7"/>
    <col width="8" customWidth="1" min="8" max="8"/>
    <col width="8" customWidth="1" min="9" max="9"/>
    <col width="8" customWidth="1" min="10" max="10"/>
    <col width="8" customWidth="1" min="11" max="11"/>
    <col width="8" customWidth="1" min="12" max="12"/>
    <col width="8" customWidth="1" min="13" max="13"/>
    <col width="8" customWidth="1" min="14" max="14"/>
    <col width="8" customWidth="1" min="15" max="15"/>
    <col width="10" customWidth="1" min="16" max="16"/>
    <col width="9" customWidth="1" min="17" max="17"/>
    <col width="12" customWidth="1" min="18" max="18"/>
    <col width="12" customWidth="1" min="19" max="19"/>
    <col width="13" customWidth="1" min="20" max="20"/>
    <col width="12" customWidth="1" min="21" max="21"/>
    <col width="50" customWidth="1" min="22" max="22"/>
    <col hidden="1" outlineLevel="1" width="9" customWidth="1" min="23" max="23"/>
    <col hidden="1" outlineLevel="1" width="9" customWidth="1" min="24" max="24"/>
    <col hidden="1" outlineLevel="1" width="9" customWidth="1" min="25" max="25"/>
    <col hidden="1" outlineLevel="1" width="9" customWidth="1" min="26" max="26"/>
    <col hidden="1" outlineLevel="1" width="9" customWidth="1" min="27" max="27"/>
    <col hidden="1" outlineLevel="1" width="9" customWidth="1" min="28" max="28"/>
    <col hidden="1" outlineLevel="1" width="9" customWidth="1" min="29" max="29"/>
    <col hidden="1" outlineLevel="1" width="9" customWidth="1" min="30" max="30"/>
  </cols>
  <sheetData>
    <row r="1">
      <c r="A1" s="1" t="inlineStr">
        <is>
          <t>Fixkosten &amp; Einnahmen (monatliche Basis)</t>
        </is>
      </c>
    </row>
    <row r="2">
      <c r="A2" s="2" t="inlineStr">
        <is>
          <t>Blau = Eingabe. „Suchbegriff“ = Text, an dem der Import die Abbuchung erkennt (mehrere mit ; trennen). Ist/Zuletzt kommen aus den importierten Buchungen.</t>
        </is>
      </c>
    </row>
    <row r="4">
      <c r="A4" s="12" t="inlineStr">
        <is>
          <t>Einnahmen (monatlich, Soll)</t>
        </is>
      </c>
      <c r="B4" s="13" t="n"/>
      <c r="C4" s="13" t="n"/>
    </row>
    <row r="5">
      <c r="A5" s="14" t="inlineStr">
        <is>
          <t>Bezeichnung</t>
        </is>
      </c>
      <c r="B5" s="15" t="inlineStr">
        <is>
          <t>Betrag</t>
        </is>
      </c>
      <c r="C5" s="15" t="inlineStr">
        <is>
          <t>Suchbegriff</t>
        </is>
      </c>
    </row>
    <row r="6">
      <c r="A6" s="43" t="inlineStr">
        <is>
          <t>Lohn</t>
        </is>
      </c>
      <c r="B6" s="44" t="n">
        <v>1749.37</v>
      </c>
      <c r="C6" s="43" t="n"/>
      <c r="D6" s="2" t="inlineStr">
        <is>
          <t>Einnahmen werden beim Import automatisch als Art „Einnahme“ gebucht; die Soll-Werte hier dienen nur dem Vergleich.</t>
        </is>
      </c>
    </row>
    <row r="7">
      <c r="A7" s="43" t="n"/>
      <c r="B7" s="44" t="n"/>
      <c r="C7" s="43" t="n"/>
    </row>
    <row r="8">
      <c r="A8" s="43" t="n"/>
      <c r="B8" s="44" t="n"/>
      <c r="C8" s="43" t="n"/>
    </row>
    <row r="9">
      <c r="A9" s="45" t="inlineStr">
        <is>
          <t>Summe Einnahmen</t>
        </is>
      </c>
      <c r="B9" s="46">
        <f>SUM(B6:B8)</f>
        <v/>
      </c>
    </row>
    <row r="11">
      <c r="A11" s="12" t="inlineStr">
        <is>
          <t>Fixkosten</t>
        </is>
      </c>
      <c r="B11" s="13" t="n"/>
      <c r="C11" s="13" t="n"/>
      <c r="D11" s="13" t="n"/>
      <c r="E11" s="13" t="n"/>
      <c r="F11" s="13" t="n"/>
      <c r="G11" s="13" t="n"/>
      <c r="H11" s="47" t="inlineStr">
        <is>
          <t>Geteilt mit:  x = gleich aufteilen (inkl. mir)  ·  oder fester Anteil in %</t>
        </is>
      </c>
      <c r="P11" s="13" t="n"/>
      <c r="Q11" s="13" t="n"/>
      <c r="R11" s="13" t="n"/>
      <c r="S11" s="13" t="n"/>
      <c r="T11" s="13" t="n"/>
      <c r="U11" s="13" t="n"/>
      <c r="V11" s="13" t="n"/>
    </row>
    <row r="12" ht="40" customHeight="1">
      <c r="A12" s="14" t="inlineStr">
        <is>
          <t>Bezeichnung</t>
        </is>
      </c>
      <c r="B12" s="15" t="inlineStr">
        <is>
          <t>Kategorie</t>
        </is>
      </c>
      <c r="C12" s="15" t="inlineStr">
        <is>
          <t>Betrag je Zahlung</t>
        </is>
      </c>
      <c r="D12" s="15" t="inlineStr">
        <is>
          <t>Zahlungen pro Jahr</t>
        </is>
      </c>
      <c r="E12" s="15" t="inlineStr">
        <is>
          <t>Ø pro Monat</t>
        </is>
      </c>
      <c r="F12" s="15" t="inlineStr">
        <is>
          <t>Fälligkeit</t>
        </is>
      </c>
      <c r="G12" s="15" t="inlineStr">
        <is>
          <t>Suchbegriff (Import)</t>
        </is>
      </c>
      <c r="H12" s="28">
        <f>IF(Einstellungen!$A$5="","P1",Einstellungen!$A$5)</f>
        <v/>
      </c>
      <c r="I12" s="28">
        <f>IF(Einstellungen!$A$6="","P2",Einstellungen!$A$6)</f>
        <v/>
      </c>
      <c r="J12" s="28">
        <f>IF(Einstellungen!$A$7="","P3",Einstellungen!$A$7)</f>
        <v/>
      </c>
      <c r="K12" s="28">
        <f>IF(Einstellungen!$A$8="","P4",Einstellungen!$A$8)</f>
        <v/>
      </c>
      <c r="L12" s="28">
        <f>IF(Einstellungen!$A$9="","P5",Einstellungen!$A$9)</f>
        <v/>
      </c>
      <c r="M12" s="28">
        <f>IF(Einstellungen!$A$10="","P6",Einstellungen!$A$10)</f>
        <v/>
      </c>
      <c r="N12" s="28">
        <f>IF(Einstellungen!$A$11="","P7",Einstellungen!$A$11)</f>
        <v/>
      </c>
      <c r="O12" s="28">
        <f>IF(Einstellungen!$A$12="","P8",Einstellungen!$A$12)</f>
        <v/>
      </c>
      <c r="P12" s="15" t="inlineStr">
        <is>
          <t>Personen (inkl. mir)</t>
        </is>
      </c>
      <c r="Q12" s="15" t="inlineStr">
        <is>
          <t>Mein Anteil</t>
        </is>
      </c>
      <c r="R12" s="15" t="inlineStr">
        <is>
          <t>Mitzahler €/Monat</t>
        </is>
      </c>
      <c r="S12" s="15" t="inlineStr">
        <is>
          <t>Mein Anteil €/Monat</t>
        </is>
      </c>
      <c r="T12" s="15" t="inlineStr">
        <is>
          <t>Ist im Auswertungsmonat</t>
        </is>
      </c>
      <c r="U12" s="15" t="inlineStr">
        <is>
          <t>Zuletzt gebucht</t>
        </is>
      </c>
      <c r="V12" s="15" t="inlineStr">
        <is>
          <t>Hinweis</t>
        </is>
      </c>
      <c r="W12" s="29">
        <f>IF(Einstellungen!$A$5="","P1",Einstellungen!$A$5)&amp;" €"</f>
        <v/>
      </c>
      <c r="X12" s="29">
        <f>IF(Einstellungen!$A$6="","P2",Einstellungen!$A$6)&amp;" €"</f>
        <v/>
      </c>
      <c r="Y12" s="29">
        <f>IF(Einstellungen!$A$7="","P3",Einstellungen!$A$7)&amp;" €"</f>
        <v/>
      </c>
      <c r="Z12" s="29">
        <f>IF(Einstellungen!$A$8="","P4",Einstellungen!$A$8)&amp;" €"</f>
        <v/>
      </c>
      <c r="AA12" s="29">
        <f>IF(Einstellungen!$A$9="","P5",Einstellungen!$A$9)&amp;" €"</f>
        <v/>
      </c>
      <c r="AB12" s="29">
        <f>IF(Einstellungen!$A$10="","P6",Einstellungen!$A$10)&amp;" €"</f>
        <v/>
      </c>
      <c r="AC12" s="29">
        <f>IF(Einstellungen!$A$11="","P7",Einstellungen!$A$11)&amp;" €"</f>
        <v/>
      </c>
      <c r="AD12" s="29">
        <f>IF(Einstellungen!$A$12="","P8",Einstellungen!$A$12)&amp;" €"</f>
        <v/>
      </c>
    </row>
    <row r="13">
      <c r="A13" s="16" t="inlineStr">
        <is>
          <t>Mercedes Benz &amp; T3</t>
        </is>
      </c>
      <c r="B13" s="16" t="inlineStr">
        <is>
          <t>Versicherung</t>
        </is>
      </c>
      <c r="C13" s="24" t="n">
        <v>77.92</v>
      </c>
      <c r="D13" s="16" t="n">
        <v>12</v>
      </c>
      <c r="E13" s="23">
        <f>IF(AND(ISNUMBER(C13),ISNUMBER(D13)),C13*D13/12,0)</f>
        <v/>
      </c>
      <c r="F13" s="16" t="inlineStr">
        <is>
          <t>2. des Monats</t>
        </is>
      </c>
      <c r="G13" s="16" t="inlineStr">
        <is>
          <t>ooe versicherung;oberösterreichische</t>
        </is>
      </c>
      <c r="H13" s="48" t="inlineStr">
        <is>
          <t>x</t>
        </is>
      </c>
      <c r="I13" s="48" t="n"/>
      <c r="J13" s="48" t="n"/>
      <c r="K13" s="48" t="n"/>
      <c r="L13" s="48" t="n"/>
      <c r="M13" s="48" t="n"/>
      <c r="N13" s="48" t="n"/>
      <c r="O13" s="48" t="n"/>
      <c r="P13" s="37">
        <f>IF($A13="","",1+COUNTIF($H13:$O13,"x")+COUNTIF($H13:$O13,"&gt;0"))</f>
        <v/>
      </c>
      <c r="Q13" s="20">
        <f>IF($A13="","",1-(SUM($H13:$O13)+COUNTIF($H13:$O13,"x")*(1-SUM($H13:$O13))/(COUNTIF($H13:$O13,"x")+1)))</f>
        <v/>
      </c>
      <c r="R13" s="23">
        <f>SUM(W13:AD13)</f>
        <v/>
      </c>
      <c r="S13" s="23">
        <f>E13-R13</f>
        <v/>
      </c>
      <c r="T13" s="23">
        <f>IF($A13="","",-SUMIFS(Buchungen!$E:$E,Buchungen!$H:$H,"Fixkosten",Buchungen!$F:$F,$A13,Buchungen!$W:$W,Übersicht!$B$7))</f>
        <v/>
      </c>
      <c r="U13" s="22">
        <f>IF($A13="","",IFERROR(1/(1/_xlfn.MAXIFS(Buchungen!$A:$A,Buchungen!$F:$F,$A13,Buchungen!$H:$H,"Fixkosten")),"–"))</f>
        <v/>
      </c>
      <c r="V13" s="49" t="n"/>
      <c r="W13" s="34">
        <f>IF(H13="x",$E13*(1-SUM($H13:$O13))/(COUNTIF($H13:$O13,"x")+1),$E13*N(H13))</f>
        <v/>
      </c>
      <c r="X13" s="34">
        <f>IF(I13="x",$E13*(1-SUM($H13:$O13))/(COUNTIF($H13:$O13,"x")+1),$E13*N(I13))</f>
        <v/>
      </c>
      <c r="Y13" s="34">
        <f>IF(J13="x",$E13*(1-SUM($H13:$O13))/(COUNTIF($H13:$O13,"x")+1),$E13*N(J13))</f>
        <v/>
      </c>
      <c r="Z13" s="34">
        <f>IF(K13="x",$E13*(1-SUM($H13:$O13))/(COUNTIF($H13:$O13,"x")+1),$E13*N(K13))</f>
        <v/>
      </c>
      <c r="AA13" s="34">
        <f>IF(L13="x",$E13*(1-SUM($H13:$O13))/(COUNTIF($H13:$O13,"x")+1),$E13*N(L13))</f>
        <v/>
      </c>
      <c r="AB13" s="34">
        <f>IF(M13="x",$E13*(1-SUM($H13:$O13))/(COUNTIF($H13:$O13,"x")+1),$E13*N(M13))</f>
        <v/>
      </c>
      <c r="AC13" s="34">
        <f>IF(N13="x",$E13*(1-SUM($H13:$O13))/(COUNTIF($H13:$O13,"x")+1),$E13*N(N13))</f>
        <v/>
      </c>
      <c r="AD13" s="34">
        <f>IF(O13="x",$E13*(1-SUM($H13:$O13))/(COUNTIF($H13:$O13,"x")+1),$E13*N(O13))</f>
        <v/>
      </c>
    </row>
    <row r="14">
      <c r="A14" s="16" t="inlineStr">
        <is>
          <t>Uniqa Krankenversicherung</t>
        </is>
      </c>
      <c r="B14" s="16" t="inlineStr">
        <is>
          <t>Versicherung</t>
        </is>
      </c>
      <c r="C14" s="24" t="n">
        <v>15.95</v>
      </c>
      <c r="D14" s="16" t="n">
        <v>12</v>
      </c>
      <c r="E14" s="23">
        <f>IF(AND(ISNUMBER(C14),ISNUMBER(D14)),C14*D14/12,0)</f>
        <v/>
      </c>
      <c r="F14" s="16" t="inlineStr">
        <is>
          <t>1. des Monats</t>
        </is>
      </c>
      <c r="G14" s="16" t="inlineStr">
        <is>
          <t>uniqa</t>
        </is>
      </c>
      <c r="H14" s="48" t="n"/>
      <c r="I14" s="48" t="n"/>
      <c r="J14" s="48" t="n"/>
      <c r="K14" s="48" t="n"/>
      <c r="L14" s="48" t="n"/>
      <c r="M14" s="48" t="n"/>
      <c r="N14" s="48" t="n"/>
      <c r="O14" s="48" t="n"/>
      <c r="P14" s="37">
        <f>IF($A14="","",1+COUNTIF($H14:$O14,"x")+COUNTIF($H14:$O14,"&gt;0"))</f>
        <v/>
      </c>
      <c r="Q14" s="20">
        <f>IF($A14="","",1-(SUM($H14:$O14)+COUNTIF($H14:$O14,"x")*(1-SUM($H14:$O14))/(COUNTIF($H14:$O14,"x")+1)))</f>
        <v/>
      </c>
      <c r="R14" s="23">
        <f>SUM(W14:AD14)</f>
        <v/>
      </c>
      <c r="S14" s="23">
        <f>E14-R14</f>
        <v/>
      </c>
      <c r="T14" s="23">
        <f>IF($A14="","",-SUMIFS(Buchungen!$E:$E,Buchungen!$H:$H,"Fixkosten",Buchungen!$F:$F,$A14,Buchungen!$W:$W,Übersicht!$B$7))</f>
        <v/>
      </c>
      <c r="U14" s="22">
        <f>IF($A14="","",IFERROR(1/(1/_xlfn.MAXIFS(Buchungen!$A:$A,Buchungen!$F:$F,$A14,Buchungen!$H:$H,"Fixkosten")),"–"))</f>
        <v/>
      </c>
      <c r="V14" s="49" t="n"/>
      <c r="W14" s="34">
        <f>IF(H14="x",$E14*(1-SUM($H14:$O14))/(COUNTIF($H14:$O14,"x")+1),$E14*N(H14))</f>
        <v/>
      </c>
      <c r="X14" s="34">
        <f>IF(I14="x",$E14*(1-SUM($H14:$O14))/(COUNTIF($H14:$O14,"x")+1),$E14*N(I14))</f>
        <v/>
      </c>
      <c r="Y14" s="34">
        <f>IF(J14="x",$E14*(1-SUM($H14:$O14))/(COUNTIF($H14:$O14,"x")+1),$E14*N(J14))</f>
        <v/>
      </c>
      <c r="Z14" s="34">
        <f>IF(K14="x",$E14*(1-SUM($H14:$O14))/(COUNTIF($H14:$O14,"x")+1),$E14*N(K14))</f>
        <v/>
      </c>
      <c r="AA14" s="34">
        <f>IF(L14="x",$E14*(1-SUM($H14:$O14))/(COUNTIF($H14:$O14,"x")+1),$E14*N(L14))</f>
        <v/>
      </c>
      <c r="AB14" s="34">
        <f>IF(M14="x",$E14*(1-SUM($H14:$O14))/(COUNTIF($H14:$O14,"x")+1),$E14*N(M14))</f>
        <v/>
      </c>
      <c r="AC14" s="34">
        <f>IF(N14="x",$E14*(1-SUM($H14:$O14))/(COUNTIF($H14:$O14,"x")+1),$E14*N(N14))</f>
        <v/>
      </c>
      <c r="AD14" s="34">
        <f>IF(O14="x",$E14*(1-SUM($H14:$O14))/(COUNTIF($H14:$O14,"x")+1),$E14*N(O14))</f>
        <v/>
      </c>
    </row>
    <row r="15">
      <c r="A15" s="16" t="inlineStr">
        <is>
          <t>Bereitstellung Kreditkarte</t>
        </is>
      </c>
      <c r="B15" s="16" t="inlineStr">
        <is>
          <t>Spesen</t>
        </is>
      </c>
      <c r="C15" s="24" t="n">
        <v>24.75</v>
      </c>
      <c r="D15" s="16" t="n">
        <v>4</v>
      </c>
      <c r="E15" s="23">
        <f>IF(AND(ISNUMBER(C15),ISNUMBER(D15)),C15*D15/12,0)</f>
        <v/>
      </c>
      <c r="F15" s="16" t="inlineStr">
        <is>
          <t>letzten des Monats</t>
        </is>
      </c>
      <c r="G15" s="16" t="inlineStr">
        <is>
          <t>bereitstell</t>
        </is>
      </c>
      <c r="H15" s="48" t="n"/>
      <c r="I15" s="48" t="n"/>
      <c r="J15" s="48" t="n"/>
      <c r="K15" s="48" t="n"/>
      <c r="L15" s="48" t="n"/>
      <c r="M15" s="48" t="n"/>
      <c r="N15" s="48" t="n"/>
      <c r="O15" s="48" t="n"/>
      <c r="P15" s="37">
        <f>IF($A15="","",1+COUNTIF($H15:$O15,"x")+COUNTIF($H15:$O15,"&gt;0"))</f>
        <v/>
      </c>
      <c r="Q15" s="20">
        <f>IF($A15="","",1-(SUM($H15:$O15)+COUNTIF($H15:$O15,"x")*(1-SUM($H15:$O15))/(COUNTIF($H15:$O15,"x")+1)))</f>
        <v/>
      </c>
      <c r="R15" s="23">
        <f>SUM(W15:AD15)</f>
        <v/>
      </c>
      <c r="S15" s="23">
        <f>E15-R15</f>
        <v/>
      </c>
      <c r="T15" s="23">
        <f>IF($A15="","",-SUMIFS(Buchungen!$E:$E,Buchungen!$H:$H,"Fixkosten",Buchungen!$F:$F,$A15,Buchungen!$W:$W,Übersicht!$B$7))</f>
        <v/>
      </c>
      <c r="U15" s="22">
        <f>IF($A15="","",IFERROR(1/(1/_xlfn.MAXIFS(Buchungen!$A:$A,Buchungen!$F:$F,$A15,Buchungen!$H:$H,"Fixkosten")),"–"))</f>
        <v/>
      </c>
      <c r="V15" s="49" t="inlineStr">
        <is>
          <t>4 x jährlich; Betrag je Zahlung angenommen (4 × 24,75 = 99 €/Jahr) – bitte prüfen</t>
        </is>
      </c>
      <c r="W15" s="34">
        <f>IF(H15="x",$E15*(1-SUM($H15:$O15))/(COUNTIF($H15:$O15,"x")+1),$E15*N(H15))</f>
        <v/>
      </c>
      <c r="X15" s="34">
        <f>IF(I15="x",$E15*(1-SUM($H15:$O15))/(COUNTIF($H15:$O15,"x")+1),$E15*N(I15))</f>
        <v/>
      </c>
      <c r="Y15" s="34">
        <f>IF(J15="x",$E15*(1-SUM($H15:$O15))/(COUNTIF($H15:$O15,"x")+1),$E15*N(J15))</f>
        <v/>
      </c>
      <c r="Z15" s="34">
        <f>IF(K15="x",$E15*(1-SUM($H15:$O15))/(COUNTIF($H15:$O15,"x")+1),$E15*N(K15))</f>
        <v/>
      </c>
      <c r="AA15" s="34">
        <f>IF(L15="x",$E15*(1-SUM($H15:$O15))/(COUNTIF($H15:$O15,"x")+1),$E15*N(L15))</f>
        <v/>
      </c>
      <c r="AB15" s="34">
        <f>IF(M15="x",$E15*(1-SUM($H15:$O15))/(COUNTIF($H15:$O15,"x")+1),$E15*N(M15))</f>
        <v/>
      </c>
      <c r="AC15" s="34">
        <f>IF(N15="x",$E15*(1-SUM($H15:$O15))/(COUNTIF($H15:$O15,"x")+1),$E15*N(N15))</f>
        <v/>
      </c>
      <c r="AD15" s="34">
        <f>IF(O15="x",$E15*(1-SUM($H15:$O15))/(COUNTIF($H15:$O15,"x")+1),$E15*N(O15))</f>
        <v/>
      </c>
    </row>
    <row r="16">
      <c r="A16" s="16" t="inlineStr">
        <is>
          <t>Kostenbeitrag f. Kontoführung</t>
        </is>
      </c>
      <c r="B16" s="16" t="inlineStr">
        <is>
          <t>Spesen</t>
        </is>
      </c>
      <c r="C16" s="24" t="n">
        <v>29.86</v>
      </c>
      <c r="D16" s="16" t="n">
        <v>4</v>
      </c>
      <c r="E16" s="23">
        <f>IF(AND(ISNUMBER(C16),ISNUMBER(D16)),C16*D16/12,0)</f>
        <v/>
      </c>
      <c r="F16" s="16" t="inlineStr">
        <is>
          <t>letzten des Monats</t>
        </is>
      </c>
      <c r="G16" s="16" t="inlineStr">
        <is>
          <t>kontoführung</t>
        </is>
      </c>
      <c r="H16" s="48" t="n"/>
      <c r="I16" s="48" t="n"/>
      <c r="J16" s="48" t="n"/>
      <c r="K16" s="48" t="n"/>
      <c r="L16" s="48" t="n"/>
      <c r="M16" s="48" t="n"/>
      <c r="N16" s="48" t="n"/>
      <c r="O16" s="48" t="n"/>
      <c r="P16" s="37">
        <f>IF($A16="","",1+COUNTIF($H16:$O16,"x")+COUNTIF($H16:$O16,"&gt;0"))</f>
        <v/>
      </c>
      <c r="Q16" s="20">
        <f>IF($A16="","",1-(SUM($H16:$O16)+COUNTIF($H16:$O16,"x")*(1-SUM($H16:$O16))/(COUNTIF($H16:$O16,"x")+1)))</f>
        <v/>
      </c>
      <c r="R16" s="23">
        <f>SUM(W16:AD16)</f>
        <v/>
      </c>
      <c r="S16" s="23">
        <f>E16-R16</f>
        <v/>
      </c>
      <c r="T16" s="23">
        <f>IF($A16="","",-SUMIFS(Buchungen!$E:$E,Buchungen!$H:$H,"Fixkosten",Buchungen!$F:$F,$A16,Buchungen!$W:$W,Übersicht!$B$7))</f>
        <v/>
      </c>
      <c r="U16" s="22">
        <f>IF($A16="","",IFERROR(1/(1/_xlfn.MAXIFS(Buchungen!$A:$A,Buchungen!$F:$F,$A16,Buchungen!$H:$H,"Fixkosten")),"–"))</f>
        <v/>
      </c>
      <c r="V16" s="49" t="inlineStr">
        <is>
          <t>4 x jährlich; Betrag je Zahlung angenommen – bitte prüfen</t>
        </is>
      </c>
      <c r="W16" s="34">
        <f>IF(H16="x",$E16*(1-SUM($H16:$O16))/(COUNTIF($H16:$O16,"x")+1),$E16*N(H16))</f>
        <v/>
      </c>
      <c r="X16" s="34">
        <f>IF(I16="x",$E16*(1-SUM($H16:$O16))/(COUNTIF($H16:$O16,"x")+1),$E16*N(I16))</f>
        <v/>
      </c>
      <c r="Y16" s="34">
        <f>IF(J16="x",$E16*(1-SUM($H16:$O16))/(COUNTIF($H16:$O16,"x")+1),$E16*N(J16))</f>
        <v/>
      </c>
      <c r="Z16" s="34">
        <f>IF(K16="x",$E16*(1-SUM($H16:$O16))/(COUNTIF($H16:$O16,"x")+1),$E16*N(K16))</f>
        <v/>
      </c>
      <c r="AA16" s="34">
        <f>IF(L16="x",$E16*(1-SUM($H16:$O16))/(COUNTIF($H16:$O16,"x")+1),$E16*N(L16))</f>
        <v/>
      </c>
      <c r="AB16" s="34">
        <f>IF(M16="x",$E16*(1-SUM($H16:$O16))/(COUNTIF($H16:$O16,"x")+1),$E16*N(M16))</f>
        <v/>
      </c>
      <c r="AC16" s="34">
        <f>IF(N16="x",$E16*(1-SUM($H16:$O16))/(COUNTIF($H16:$O16,"x")+1),$E16*N(N16))</f>
        <v/>
      </c>
      <c r="AD16" s="34">
        <f>IF(O16="x",$E16*(1-SUM($H16:$O16))/(COUNTIF($H16:$O16,"x")+1),$E16*N(O16))</f>
        <v/>
      </c>
    </row>
    <row r="17">
      <c r="A17" s="16" t="inlineStr">
        <is>
          <t>Bergfex Wetter</t>
        </is>
      </c>
      <c r="B17" s="16" t="inlineStr">
        <is>
          <t>Abo</t>
        </is>
      </c>
      <c r="C17" s="24" t="n">
        <v>6.99</v>
      </c>
      <c r="D17" s="16" t="n">
        <v>1</v>
      </c>
      <c r="E17" s="23">
        <f>IF(AND(ISNUMBER(C17),ISNUMBER(D17)),C17*D17/12,0)</f>
        <v/>
      </c>
      <c r="F17" s="16" t="inlineStr">
        <is>
          <t>27.</t>
        </is>
      </c>
      <c r="G17" s="16" t="inlineStr">
        <is>
          <t>bergfex;apple.com</t>
        </is>
      </c>
      <c r="H17" s="48" t="n"/>
      <c r="I17" s="48" t="n"/>
      <c r="J17" s="48" t="n"/>
      <c r="K17" s="48" t="n"/>
      <c r="L17" s="48" t="n"/>
      <c r="M17" s="48" t="n"/>
      <c r="N17" s="48" t="n"/>
      <c r="O17" s="48" t="n"/>
      <c r="P17" s="37">
        <f>IF($A17="","",1+COUNTIF($H17:$O17,"x")+COUNTIF($H17:$O17,"&gt;0"))</f>
        <v/>
      </c>
      <c r="Q17" s="20">
        <f>IF($A17="","",1-(SUM($H17:$O17)+COUNTIF($H17:$O17,"x")*(1-SUM($H17:$O17))/(COUNTIF($H17:$O17,"x")+1)))</f>
        <v/>
      </c>
      <c r="R17" s="23">
        <f>SUM(W17:AD17)</f>
        <v/>
      </c>
      <c r="S17" s="23">
        <f>E17-R17</f>
        <v/>
      </c>
      <c r="T17" s="23">
        <f>IF($A17="","",-SUMIFS(Buchungen!$E:$E,Buchungen!$H:$H,"Fixkosten",Buchungen!$F:$F,$A17,Buchungen!$W:$W,Übersicht!$B$7))</f>
        <v/>
      </c>
      <c r="U17" s="22">
        <f>IF($A17="","",IFERROR(1/(1/_xlfn.MAXIFS(Buchungen!$A:$A,Buchungen!$F:$F,$A17,Buchungen!$H:$H,"Fixkosten")),"–"))</f>
        <v/>
      </c>
      <c r="V17" s="49" t="inlineStr">
        <is>
          <t>jährlich zu 6,99 €</t>
        </is>
      </c>
      <c r="W17" s="34">
        <f>IF(H17="x",$E17*(1-SUM($H17:$O17))/(COUNTIF($H17:$O17,"x")+1),$E17*N(H17))</f>
        <v/>
      </c>
      <c r="X17" s="34">
        <f>IF(I17="x",$E17*(1-SUM($H17:$O17))/(COUNTIF($H17:$O17,"x")+1),$E17*N(I17))</f>
        <v/>
      </c>
      <c r="Y17" s="34">
        <f>IF(J17="x",$E17*(1-SUM($H17:$O17))/(COUNTIF($H17:$O17,"x")+1),$E17*N(J17))</f>
        <v/>
      </c>
      <c r="Z17" s="34">
        <f>IF(K17="x",$E17*(1-SUM($H17:$O17))/(COUNTIF($H17:$O17,"x")+1),$E17*N(K17))</f>
        <v/>
      </c>
      <c r="AA17" s="34">
        <f>IF(L17="x",$E17*(1-SUM($H17:$O17))/(COUNTIF($H17:$O17,"x")+1),$E17*N(L17))</f>
        <v/>
      </c>
      <c r="AB17" s="34">
        <f>IF(M17="x",$E17*(1-SUM($H17:$O17))/(COUNTIF($H17:$O17,"x")+1),$E17*N(M17))</f>
        <v/>
      </c>
      <c r="AC17" s="34">
        <f>IF(N17="x",$E17*(1-SUM($H17:$O17))/(COUNTIF($H17:$O17,"x")+1),$E17*N(N17))</f>
        <v/>
      </c>
      <c r="AD17" s="34">
        <f>IF(O17="x",$E17*(1-SUM($H17:$O17))/(COUNTIF($H17:$O17,"x")+1),$E17*N(O17))</f>
        <v/>
      </c>
    </row>
    <row r="18">
      <c r="A18" s="16" t="inlineStr">
        <is>
          <t>ORF Beitrag</t>
        </is>
      </c>
      <c r="B18" s="16" t="inlineStr">
        <is>
          <t>Abo</t>
        </is>
      </c>
      <c r="C18" s="24" t="n">
        <v>40</v>
      </c>
      <c r="D18" s="16" t="n">
        <v>6</v>
      </c>
      <c r="E18" s="23">
        <f>IF(AND(ISNUMBER(C18),ISNUMBER(D18)),C18*D18/12,0)</f>
        <v/>
      </c>
      <c r="F18" s="16" t="inlineStr">
        <is>
          <t>16.</t>
        </is>
      </c>
      <c r="G18" s="16" t="inlineStr">
        <is>
          <t>orf;gis</t>
        </is>
      </c>
      <c r="H18" s="48" t="n"/>
      <c r="I18" s="48" t="n"/>
      <c r="J18" s="48" t="n"/>
      <c r="K18" s="48" t="n"/>
      <c r="L18" s="48" t="n"/>
      <c r="M18" s="48" t="n"/>
      <c r="N18" s="48" t="n"/>
      <c r="O18" s="48" t="n"/>
      <c r="P18" s="37">
        <f>IF($A18="","",1+COUNTIF($H18:$O18,"x")+COUNTIF($H18:$O18,"&gt;0"))</f>
        <v/>
      </c>
      <c r="Q18" s="20">
        <f>IF($A18="","",1-(SUM($H18:$O18)+COUNTIF($H18:$O18,"x")*(1-SUM($H18:$O18))/(COUNTIF($H18:$O18,"x")+1)))</f>
        <v/>
      </c>
      <c r="R18" s="23">
        <f>SUM(W18:AD18)</f>
        <v/>
      </c>
      <c r="S18" s="23">
        <f>E18-R18</f>
        <v/>
      </c>
      <c r="T18" s="23">
        <f>IF($A18="","",-SUMIFS(Buchungen!$E:$E,Buchungen!$H:$H,"Fixkosten",Buchungen!$F:$F,$A18,Buchungen!$W:$W,Übersicht!$B$7))</f>
        <v/>
      </c>
      <c r="U18" s="22">
        <f>IF($A18="","",IFERROR(1/(1/_xlfn.MAXIFS(Buchungen!$A:$A,Buchungen!$F:$F,$A18,Buchungen!$H:$H,"Fixkosten")),"–"))</f>
        <v/>
      </c>
      <c r="V18" s="49" t="inlineStr">
        <is>
          <t>alle 2 Monate zu 40 €; nicht teilbar (siehe Notiz)</t>
        </is>
      </c>
      <c r="W18" s="34">
        <f>IF(H18="x",$E18*(1-SUM($H18:$O18))/(COUNTIF($H18:$O18,"x")+1),$E18*N(H18))</f>
        <v/>
      </c>
      <c r="X18" s="34">
        <f>IF(I18="x",$E18*(1-SUM($H18:$O18))/(COUNTIF($H18:$O18,"x")+1),$E18*N(I18))</f>
        <v/>
      </c>
      <c r="Y18" s="34">
        <f>IF(J18="x",$E18*(1-SUM($H18:$O18))/(COUNTIF($H18:$O18,"x")+1),$E18*N(J18))</f>
        <v/>
      </c>
      <c r="Z18" s="34">
        <f>IF(K18="x",$E18*(1-SUM($H18:$O18))/(COUNTIF($H18:$O18,"x")+1),$E18*N(K18))</f>
        <v/>
      </c>
      <c r="AA18" s="34">
        <f>IF(L18="x",$E18*(1-SUM($H18:$O18))/(COUNTIF($H18:$O18,"x")+1),$E18*N(L18))</f>
        <v/>
      </c>
      <c r="AB18" s="34">
        <f>IF(M18="x",$E18*(1-SUM($H18:$O18))/(COUNTIF($H18:$O18,"x")+1),$E18*N(M18))</f>
        <v/>
      </c>
      <c r="AC18" s="34">
        <f>IF(N18="x",$E18*(1-SUM($H18:$O18))/(COUNTIF($H18:$O18,"x")+1),$E18*N(N18))</f>
        <v/>
      </c>
      <c r="AD18" s="34">
        <f>IF(O18="x",$E18*(1-SUM($H18:$O18))/(COUNTIF($H18:$O18,"x")+1),$E18*N(O18))</f>
        <v/>
      </c>
    </row>
    <row r="19">
      <c r="A19" s="16" t="inlineStr">
        <is>
          <t>T-Mobile</t>
        </is>
      </c>
      <c r="B19" s="16" t="inlineStr">
        <is>
          <t>Handyrechnung</t>
        </is>
      </c>
      <c r="C19" s="24" t="n">
        <v>27.32</v>
      </c>
      <c r="D19" s="16" t="n">
        <v>12</v>
      </c>
      <c r="E19" s="23">
        <f>IF(AND(ISNUMBER(C19),ISNUMBER(D19)),C19*D19/12,0)</f>
        <v/>
      </c>
      <c r="F19" s="16" t="inlineStr">
        <is>
          <t>14.</t>
        </is>
      </c>
      <c r="G19" s="16" t="inlineStr">
        <is>
          <t>t-mobile;magenta</t>
        </is>
      </c>
      <c r="H19" s="48" t="n"/>
      <c r="I19" s="48" t="n"/>
      <c r="J19" s="48" t="n"/>
      <c r="K19" s="48" t="n"/>
      <c r="L19" s="48" t="n"/>
      <c r="M19" s="48" t="n"/>
      <c r="N19" s="48" t="n"/>
      <c r="O19" s="48" t="n"/>
      <c r="P19" s="37">
        <f>IF($A19="","",1+COUNTIF($H19:$O19,"x")+COUNTIF($H19:$O19,"&gt;0"))</f>
        <v/>
      </c>
      <c r="Q19" s="20">
        <f>IF($A19="","",1-(SUM($H19:$O19)+COUNTIF($H19:$O19,"x")*(1-SUM($H19:$O19))/(COUNTIF($H19:$O19,"x")+1)))</f>
        <v/>
      </c>
      <c r="R19" s="23">
        <f>SUM(W19:AD19)</f>
        <v/>
      </c>
      <c r="S19" s="23">
        <f>E19-R19</f>
        <v/>
      </c>
      <c r="T19" s="23">
        <f>IF($A19="","",-SUMIFS(Buchungen!$E:$E,Buchungen!$H:$H,"Fixkosten",Buchungen!$F:$F,$A19,Buchungen!$W:$W,Übersicht!$B$7))</f>
        <v/>
      </c>
      <c r="U19" s="22">
        <f>IF($A19="","",IFERROR(1/(1/_xlfn.MAXIFS(Buchungen!$A:$A,Buchungen!$F:$F,$A19,Buchungen!$H:$H,"Fixkosten")),"–"))</f>
        <v/>
      </c>
      <c r="V19" s="49" t="n"/>
      <c r="W19" s="34">
        <f>IF(H19="x",$E19*(1-SUM($H19:$O19))/(COUNTIF($H19:$O19,"x")+1),$E19*N(H19))</f>
        <v/>
      </c>
      <c r="X19" s="34">
        <f>IF(I19="x",$E19*(1-SUM($H19:$O19))/(COUNTIF($H19:$O19,"x")+1),$E19*N(I19))</f>
        <v/>
      </c>
      <c r="Y19" s="34">
        <f>IF(J19="x",$E19*(1-SUM($H19:$O19))/(COUNTIF($H19:$O19,"x")+1),$E19*N(J19))</f>
        <v/>
      </c>
      <c r="Z19" s="34">
        <f>IF(K19="x",$E19*(1-SUM($H19:$O19))/(COUNTIF($H19:$O19,"x")+1),$E19*N(K19))</f>
        <v/>
      </c>
      <c r="AA19" s="34">
        <f>IF(L19="x",$E19*(1-SUM($H19:$O19))/(COUNTIF($H19:$O19,"x")+1),$E19*N(L19))</f>
        <v/>
      </c>
      <c r="AB19" s="34">
        <f>IF(M19="x",$E19*(1-SUM($H19:$O19))/(COUNTIF($H19:$O19,"x")+1),$E19*N(M19))</f>
        <v/>
      </c>
      <c r="AC19" s="34">
        <f>IF(N19="x",$E19*(1-SUM($H19:$O19))/(COUNTIF($H19:$O19,"x")+1),$E19*N(N19))</f>
        <v/>
      </c>
      <c r="AD19" s="34">
        <f>IF(O19="x",$E19*(1-SUM($H19:$O19))/(COUNTIF($H19:$O19,"x")+1),$E19*N(O19))</f>
        <v/>
      </c>
    </row>
    <row r="20">
      <c r="A20" s="16" t="inlineStr">
        <is>
          <t>Apple</t>
        </is>
      </c>
      <c r="B20" s="16" t="inlineStr">
        <is>
          <t>Abo</t>
        </is>
      </c>
      <c r="C20" s="24" t="n">
        <v>9.19</v>
      </c>
      <c r="D20" s="16" t="n">
        <v>12</v>
      </c>
      <c r="E20" s="23">
        <f>IF(AND(ISNUMBER(C20),ISNUMBER(D20)),C20*D20/12,0)</f>
        <v/>
      </c>
      <c r="F20" s="16" t="inlineStr">
        <is>
          <t>10.</t>
        </is>
      </c>
      <c r="G20" s="16" t="inlineStr">
        <is>
          <t>apple.com;apple</t>
        </is>
      </c>
      <c r="H20" s="48" t="n"/>
      <c r="I20" s="48" t="n"/>
      <c r="J20" s="48" t="n"/>
      <c r="K20" s="48" t="n"/>
      <c r="L20" s="48" t="n"/>
      <c r="M20" s="48" t="n"/>
      <c r="N20" s="48" t="n"/>
      <c r="O20" s="48" t="n"/>
      <c r="P20" s="37">
        <f>IF($A20="","",1+COUNTIF($H20:$O20,"x")+COUNTIF($H20:$O20,"&gt;0"))</f>
        <v/>
      </c>
      <c r="Q20" s="20">
        <f>IF($A20="","",1-(SUM($H20:$O20)+COUNTIF($H20:$O20,"x")*(1-SUM($H20:$O20))/(COUNTIF($H20:$O20,"x")+1)))</f>
        <v/>
      </c>
      <c r="R20" s="23">
        <f>SUM(W20:AD20)</f>
        <v/>
      </c>
      <c r="S20" s="23">
        <f>E20-R20</f>
        <v/>
      </c>
      <c r="T20" s="23">
        <f>IF($A20="","",-SUMIFS(Buchungen!$E:$E,Buchungen!$H:$H,"Fixkosten",Buchungen!$F:$F,$A20,Buchungen!$W:$W,Übersicht!$B$7))</f>
        <v/>
      </c>
      <c r="U20" s="22">
        <f>IF($A20="","",IFERROR(1/(1/_xlfn.MAXIFS(Buchungen!$A:$A,Buchungen!$F:$F,$A20,Buchungen!$H:$H,"Fixkosten")),"–"))</f>
        <v/>
      </c>
      <c r="V20" s="49" t="inlineStr">
        <is>
          <t>Intervall in deiner Liste leer → monatlich angenommen</t>
        </is>
      </c>
      <c r="W20" s="34">
        <f>IF(H20="x",$E20*(1-SUM($H20:$O20))/(COUNTIF($H20:$O20,"x")+1),$E20*N(H20))</f>
        <v/>
      </c>
      <c r="X20" s="34">
        <f>IF(I20="x",$E20*(1-SUM($H20:$O20))/(COUNTIF($H20:$O20,"x")+1),$E20*N(I20))</f>
        <v/>
      </c>
      <c r="Y20" s="34">
        <f>IF(J20="x",$E20*(1-SUM($H20:$O20))/(COUNTIF($H20:$O20,"x")+1),$E20*N(J20))</f>
        <v/>
      </c>
      <c r="Z20" s="34">
        <f>IF(K20="x",$E20*(1-SUM($H20:$O20))/(COUNTIF($H20:$O20,"x")+1),$E20*N(K20))</f>
        <v/>
      </c>
      <c r="AA20" s="34">
        <f>IF(L20="x",$E20*(1-SUM($H20:$O20))/(COUNTIF($H20:$O20,"x")+1),$E20*N(L20))</f>
        <v/>
      </c>
      <c r="AB20" s="34">
        <f>IF(M20="x",$E20*(1-SUM($H20:$O20))/(COUNTIF($H20:$O20,"x")+1),$E20*N(M20))</f>
        <v/>
      </c>
      <c r="AC20" s="34">
        <f>IF(N20="x",$E20*(1-SUM($H20:$O20))/(COUNTIF($H20:$O20,"x")+1),$E20*N(N20))</f>
        <v/>
      </c>
      <c r="AD20" s="34">
        <f>IF(O20="x",$E20*(1-SUM($H20:$O20))/(COUNTIF($H20:$O20,"x")+1),$E20*N(O20))</f>
        <v/>
      </c>
    </row>
    <row r="21">
      <c r="A21" s="16" t="inlineStr">
        <is>
          <t>Bausparer</t>
        </is>
      </c>
      <c r="B21" s="16" t="inlineStr">
        <is>
          <t>Sparen</t>
        </is>
      </c>
      <c r="C21" s="24" t="n">
        <v>100</v>
      </c>
      <c r="D21" s="16" t="n">
        <v>12</v>
      </c>
      <c r="E21" s="23">
        <f>IF(AND(ISNUMBER(C21),ISNUMBER(D21)),C21*D21/12,0)</f>
        <v/>
      </c>
      <c r="F21" s="16" t="inlineStr">
        <is>
          <t>5.</t>
        </is>
      </c>
      <c r="G21" s="16" t="inlineStr">
        <is>
          <t>bauspar</t>
        </is>
      </c>
      <c r="H21" s="48" t="n"/>
      <c r="I21" s="48" t="n"/>
      <c r="J21" s="48" t="n"/>
      <c r="K21" s="48" t="n"/>
      <c r="L21" s="48" t="n"/>
      <c r="M21" s="48" t="n"/>
      <c r="N21" s="48" t="n"/>
      <c r="O21" s="48" t="n"/>
      <c r="P21" s="37">
        <f>IF($A21="","",1+COUNTIF($H21:$O21,"x")+COUNTIF($H21:$O21,"&gt;0"))</f>
        <v/>
      </c>
      <c r="Q21" s="20">
        <f>IF($A21="","",1-(SUM($H21:$O21)+COUNTIF($H21:$O21,"x")*(1-SUM($H21:$O21))/(COUNTIF($H21:$O21,"x")+1)))</f>
        <v/>
      </c>
      <c r="R21" s="23">
        <f>SUM(W21:AD21)</f>
        <v/>
      </c>
      <c r="S21" s="23">
        <f>E21-R21</f>
        <v/>
      </c>
      <c r="T21" s="23">
        <f>IF($A21="","",-SUMIFS(Buchungen!$E:$E,Buchungen!$H:$H,"Fixkosten",Buchungen!$F:$F,$A21,Buchungen!$W:$W,Übersicht!$B$7))</f>
        <v/>
      </c>
      <c r="U21" s="22">
        <f>IF($A21="","",IFERROR(1/(1/_xlfn.MAXIFS(Buchungen!$A:$A,Buchungen!$F:$F,$A21,Buchungen!$H:$H,"Fixkosten")),"–"))</f>
        <v/>
      </c>
      <c r="V21" s="49" t="inlineStr">
        <is>
          <t>wird separat als Sparen ausgewiesen</t>
        </is>
      </c>
      <c r="W21" s="34">
        <f>IF(H21="x",$E21*(1-SUM($H21:$O21))/(COUNTIF($H21:$O21,"x")+1),$E21*N(H21))</f>
        <v/>
      </c>
      <c r="X21" s="34">
        <f>IF(I21="x",$E21*(1-SUM($H21:$O21))/(COUNTIF($H21:$O21,"x")+1),$E21*N(I21))</f>
        <v/>
      </c>
      <c r="Y21" s="34">
        <f>IF(J21="x",$E21*(1-SUM($H21:$O21))/(COUNTIF($H21:$O21,"x")+1),$E21*N(J21))</f>
        <v/>
      </c>
      <c r="Z21" s="34">
        <f>IF(K21="x",$E21*(1-SUM($H21:$O21))/(COUNTIF($H21:$O21,"x")+1),$E21*N(K21))</f>
        <v/>
      </c>
      <c r="AA21" s="34">
        <f>IF(L21="x",$E21*(1-SUM($H21:$O21))/(COUNTIF($H21:$O21,"x")+1),$E21*N(L21))</f>
        <v/>
      </c>
      <c r="AB21" s="34">
        <f>IF(M21="x",$E21*(1-SUM($H21:$O21))/(COUNTIF($H21:$O21,"x")+1),$E21*N(M21))</f>
        <v/>
      </c>
      <c r="AC21" s="34">
        <f>IF(N21="x",$E21*(1-SUM($H21:$O21))/(COUNTIF($H21:$O21,"x")+1),$E21*N(N21))</f>
        <v/>
      </c>
      <c r="AD21" s="34">
        <f>IF(O21="x",$E21*(1-SUM($H21:$O21))/(COUNTIF($H21:$O21,"x")+1),$E21*N(O21))</f>
        <v/>
      </c>
    </row>
    <row r="22">
      <c r="A22" s="16" t="inlineStr">
        <is>
          <t>BK Wohnung</t>
        </is>
      </c>
      <c r="B22" s="16" t="inlineStr">
        <is>
          <t>Wohnen</t>
        </is>
      </c>
      <c r="C22" s="24" t="n">
        <v>307.75</v>
      </c>
      <c r="D22" s="16" t="n">
        <v>12</v>
      </c>
      <c r="E22" s="23">
        <f>IF(AND(ISNUMBER(C22),ISNUMBER(D22)),C22*D22/12,0)</f>
        <v/>
      </c>
      <c r="F22" s="16" t="inlineStr">
        <is>
          <t>noch kein Dauerauftrag</t>
        </is>
      </c>
      <c r="G22" s="16" t="n"/>
      <c r="H22" s="48" t="inlineStr">
        <is>
          <t>x</t>
        </is>
      </c>
      <c r="I22" s="48" t="n"/>
      <c r="J22" s="48" t="n"/>
      <c r="K22" s="48" t="n"/>
      <c r="L22" s="48" t="n"/>
      <c r="M22" s="48" t="n"/>
      <c r="N22" s="48" t="n"/>
      <c r="O22" s="48" t="n"/>
      <c r="P22" s="37">
        <f>IF($A22="","",1+COUNTIF($H22:$O22,"x")+COUNTIF($H22:$O22,"&gt;0"))</f>
        <v/>
      </c>
      <c r="Q22" s="20">
        <f>IF($A22="","",1-(SUM($H22:$O22)+COUNTIF($H22:$O22,"x")*(1-SUM($H22:$O22))/(COUNTIF($H22:$O22,"x")+1)))</f>
        <v/>
      </c>
      <c r="R22" s="23">
        <f>SUM(W22:AD22)</f>
        <v/>
      </c>
      <c r="S22" s="23">
        <f>E22-R22</f>
        <v/>
      </c>
      <c r="T22" s="23">
        <f>IF($A22="","",-SUMIFS(Buchungen!$E:$E,Buchungen!$H:$H,"Fixkosten",Buchungen!$F:$F,$A22,Buchungen!$W:$W,Übersicht!$B$7))</f>
        <v/>
      </c>
      <c r="U22" s="22">
        <f>IF($A22="","",IFERROR(1/(1/_xlfn.MAXIFS(Buchungen!$A:$A,Buchungen!$F:$F,$A22,Buchungen!$H:$H,"Fixkosten")),"–"))</f>
        <v/>
      </c>
      <c r="V22" s="49" t="n"/>
      <c r="W22" s="34">
        <f>IF(H22="x",$E22*(1-SUM($H22:$O22))/(COUNTIF($H22:$O22,"x")+1),$E22*N(H22))</f>
        <v/>
      </c>
      <c r="X22" s="34">
        <f>IF(I22="x",$E22*(1-SUM($H22:$O22))/(COUNTIF($H22:$O22,"x")+1),$E22*N(I22))</f>
        <v/>
      </c>
      <c r="Y22" s="34">
        <f>IF(J22="x",$E22*(1-SUM($H22:$O22))/(COUNTIF($H22:$O22,"x")+1),$E22*N(J22))</f>
        <v/>
      </c>
      <c r="Z22" s="34">
        <f>IF(K22="x",$E22*(1-SUM($H22:$O22))/(COUNTIF($H22:$O22,"x")+1),$E22*N(K22))</f>
        <v/>
      </c>
      <c r="AA22" s="34">
        <f>IF(L22="x",$E22*(1-SUM($H22:$O22))/(COUNTIF($H22:$O22,"x")+1),$E22*N(L22))</f>
        <v/>
      </c>
      <c r="AB22" s="34">
        <f>IF(M22="x",$E22*(1-SUM($H22:$O22))/(COUNTIF($H22:$O22,"x")+1),$E22*N(M22))</f>
        <v/>
      </c>
      <c r="AC22" s="34">
        <f>IF(N22="x",$E22*(1-SUM($H22:$O22))/(COUNTIF($H22:$O22,"x")+1),$E22*N(N22))</f>
        <v/>
      </c>
      <c r="AD22" s="34">
        <f>IF(O22="x",$E22*(1-SUM($H22:$O22))/(COUNTIF($H22:$O22,"x")+1),$E22*N(O22))</f>
        <v/>
      </c>
    </row>
    <row r="23">
      <c r="A23" s="16" t="inlineStr">
        <is>
          <t>Audible</t>
        </is>
      </c>
      <c r="B23" s="16" t="inlineStr">
        <is>
          <t>Abo</t>
        </is>
      </c>
      <c r="C23" s="24" t="n">
        <v>10.99</v>
      </c>
      <c r="D23" s="16" t="n">
        <v>12</v>
      </c>
      <c r="E23" s="23">
        <f>IF(AND(ISNUMBER(C23),ISNUMBER(D23)),C23*D23/12,0)</f>
        <v/>
      </c>
      <c r="F23" s="16" t="inlineStr">
        <is>
          <t>3.</t>
        </is>
      </c>
      <c r="G23" s="16" t="inlineStr">
        <is>
          <t>audible;apple.com</t>
        </is>
      </c>
      <c r="H23" s="48" t="n"/>
      <c r="I23" s="48" t="n"/>
      <c r="J23" s="48" t="n"/>
      <c r="K23" s="48" t="n"/>
      <c r="L23" s="48" t="n"/>
      <c r="M23" s="48" t="n"/>
      <c r="N23" s="48" t="n"/>
      <c r="O23" s="48" t="n"/>
      <c r="P23" s="37">
        <f>IF($A23="","",1+COUNTIF($H23:$O23,"x")+COUNTIF($H23:$O23,"&gt;0"))</f>
        <v/>
      </c>
      <c r="Q23" s="20">
        <f>IF($A23="","",1-(SUM($H23:$O23)+COUNTIF($H23:$O23,"x")*(1-SUM($H23:$O23))/(COUNTIF($H23:$O23,"x")+1)))</f>
        <v/>
      </c>
      <c r="R23" s="23">
        <f>SUM(W23:AD23)</f>
        <v/>
      </c>
      <c r="S23" s="23">
        <f>E23-R23</f>
        <v/>
      </c>
      <c r="T23" s="23">
        <f>IF($A23="","",-SUMIFS(Buchungen!$E:$E,Buchungen!$H:$H,"Fixkosten",Buchungen!$F:$F,$A23,Buchungen!$W:$W,Übersicht!$B$7))</f>
        <v/>
      </c>
      <c r="U23" s="22">
        <f>IF($A23="","",IFERROR(1/(1/_xlfn.MAXIFS(Buchungen!$A:$A,Buchungen!$F:$F,$A23,Buchungen!$H:$H,"Fixkosten")),"–"))</f>
        <v/>
      </c>
      <c r="V23" s="49" t="n"/>
      <c r="W23" s="34">
        <f>IF(H23="x",$E23*(1-SUM($H23:$O23))/(COUNTIF($H23:$O23,"x")+1),$E23*N(H23))</f>
        <v/>
      </c>
      <c r="X23" s="34">
        <f>IF(I23="x",$E23*(1-SUM($H23:$O23))/(COUNTIF($H23:$O23,"x")+1),$E23*N(I23))</f>
        <v/>
      </c>
      <c r="Y23" s="34">
        <f>IF(J23="x",$E23*(1-SUM($H23:$O23))/(COUNTIF($H23:$O23,"x")+1),$E23*N(J23))</f>
        <v/>
      </c>
      <c r="Z23" s="34">
        <f>IF(K23="x",$E23*(1-SUM($H23:$O23))/(COUNTIF($H23:$O23,"x")+1),$E23*N(K23))</f>
        <v/>
      </c>
      <c r="AA23" s="34">
        <f>IF(L23="x",$E23*(1-SUM($H23:$O23))/(COUNTIF($H23:$O23,"x")+1),$E23*N(L23))</f>
        <v/>
      </c>
      <c r="AB23" s="34">
        <f>IF(M23="x",$E23*(1-SUM($H23:$O23))/(COUNTIF($H23:$O23,"x")+1),$E23*N(M23))</f>
        <v/>
      </c>
      <c r="AC23" s="34">
        <f>IF(N23="x",$E23*(1-SUM($H23:$O23))/(COUNTIF($H23:$O23,"x")+1),$E23*N(N23))</f>
        <v/>
      </c>
      <c r="AD23" s="34">
        <f>IF(O23="x",$E23*(1-SUM($H23:$O23))/(COUNTIF($H23:$O23,"x")+1),$E23*N(O23))</f>
        <v/>
      </c>
    </row>
    <row r="24">
      <c r="A24" s="16" t="inlineStr">
        <is>
          <t>Zürich Rechtschutzversicherung</t>
        </is>
      </c>
      <c r="B24" s="16" t="inlineStr">
        <is>
          <t>Versicherung</t>
        </is>
      </c>
      <c r="C24" s="24" t="n">
        <v>17.53</v>
      </c>
      <c r="D24" s="16" t="n">
        <v>12</v>
      </c>
      <c r="E24" s="23">
        <f>IF(AND(ISNUMBER(C24),ISNUMBER(D24)),C24*D24/12,0)</f>
        <v/>
      </c>
      <c r="F24" s="16" t="inlineStr">
        <is>
          <t>3.</t>
        </is>
      </c>
      <c r="G24" s="16" t="inlineStr">
        <is>
          <t>zurich;zürich</t>
        </is>
      </c>
      <c r="H24" s="48" t="n"/>
      <c r="I24" s="48" t="n"/>
      <c r="J24" s="48" t="n"/>
      <c r="K24" s="48" t="n"/>
      <c r="L24" s="48" t="n"/>
      <c r="M24" s="48" t="n"/>
      <c r="N24" s="48" t="n"/>
      <c r="O24" s="48" t="n"/>
      <c r="P24" s="37">
        <f>IF($A24="","",1+COUNTIF($H24:$O24,"x")+COUNTIF($H24:$O24,"&gt;0"))</f>
        <v/>
      </c>
      <c r="Q24" s="20">
        <f>IF($A24="","",1-(SUM($H24:$O24)+COUNTIF($H24:$O24,"x")*(1-SUM($H24:$O24))/(COUNTIF($H24:$O24,"x")+1)))</f>
        <v/>
      </c>
      <c r="R24" s="23">
        <f>SUM(W24:AD24)</f>
        <v/>
      </c>
      <c r="S24" s="23">
        <f>E24-R24</f>
        <v/>
      </c>
      <c r="T24" s="23">
        <f>IF($A24="","",-SUMIFS(Buchungen!$E:$E,Buchungen!$H:$H,"Fixkosten",Buchungen!$F:$F,$A24,Buchungen!$W:$W,Übersicht!$B$7))</f>
        <v/>
      </c>
      <c r="U24" s="22">
        <f>IF($A24="","",IFERROR(1/(1/_xlfn.MAXIFS(Buchungen!$A:$A,Buchungen!$F:$F,$A24,Buchungen!$H:$H,"Fixkosten")),"–"))</f>
        <v/>
      </c>
      <c r="V24" s="49" t="n"/>
      <c r="W24" s="34">
        <f>IF(H24="x",$E24*(1-SUM($H24:$O24))/(COUNTIF($H24:$O24,"x")+1),$E24*N(H24))</f>
        <v/>
      </c>
      <c r="X24" s="34">
        <f>IF(I24="x",$E24*(1-SUM($H24:$O24))/(COUNTIF($H24:$O24,"x")+1),$E24*N(I24))</f>
        <v/>
      </c>
      <c r="Y24" s="34">
        <f>IF(J24="x",$E24*(1-SUM($H24:$O24))/(COUNTIF($H24:$O24,"x")+1),$E24*N(J24))</f>
        <v/>
      </c>
      <c r="Z24" s="34">
        <f>IF(K24="x",$E24*(1-SUM($H24:$O24))/(COUNTIF($H24:$O24,"x")+1),$E24*N(K24))</f>
        <v/>
      </c>
      <c r="AA24" s="34">
        <f>IF(L24="x",$E24*(1-SUM($H24:$O24))/(COUNTIF($H24:$O24,"x")+1),$E24*N(L24))</f>
        <v/>
      </c>
      <c r="AB24" s="34">
        <f>IF(M24="x",$E24*(1-SUM($H24:$O24))/(COUNTIF($H24:$O24,"x")+1),$E24*N(M24))</f>
        <v/>
      </c>
      <c r="AC24" s="34">
        <f>IF(N24="x",$E24*(1-SUM($H24:$O24))/(COUNTIF($H24:$O24,"x")+1),$E24*N(N24))</f>
        <v/>
      </c>
      <c r="AD24" s="34">
        <f>IF(O24="x",$E24*(1-SUM($H24:$O24))/(COUNTIF($H24:$O24,"x")+1),$E24*N(O24))</f>
        <v/>
      </c>
    </row>
    <row r="25">
      <c r="A25" s="16" t="inlineStr">
        <is>
          <t>Amazon Prime</t>
        </is>
      </c>
      <c r="B25" s="16" t="inlineStr">
        <is>
          <t>Abo</t>
        </is>
      </c>
      <c r="C25" s="24" t="n">
        <v>89.90000000000001</v>
      </c>
      <c r="D25" s="16" t="n">
        <v>1</v>
      </c>
      <c r="E25" s="23">
        <f>IF(AND(ISNUMBER(C25),ISNUMBER(D25)),C25*D25/12,0)</f>
        <v/>
      </c>
      <c r="F25" s="16" t="n"/>
      <c r="G25" s="16" t="inlineStr">
        <is>
          <t>amazon prime;prime</t>
        </is>
      </c>
      <c r="H25" s="48" t="inlineStr">
        <is>
          <t>x</t>
        </is>
      </c>
      <c r="I25" s="48" t="n"/>
      <c r="J25" s="48" t="n"/>
      <c r="K25" s="48" t="n"/>
      <c r="L25" s="48" t="n"/>
      <c r="M25" s="48" t="n"/>
      <c r="N25" s="48" t="n"/>
      <c r="O25" s="48" t="n"/>
      <c r="P25" s="37">
        <f>IF($A25="","",1+COUNTIF($H25:$O25,"x")+COUNTIF($H25:$O25,"&gt;0"))</f>
        <v/>
      </c>
      <c r="Q25" s="20">
        <f>IF($A25="","",1-(SUM($H25:$O25)+COUNTIF($H25:$O25,"x")*(1-SUM($H25:$O25))/(COUNTIF($H25:$O25,"x")+1)))</f>
        <v/>
      </c>
      <c r="R25" s="23">
        <f>SUM(W25:AD25)</f>
        <v/>
      </c>
      <c r="S25" s="23">
        <f>E25-R25</f>
        <v/>
      </c>
      <c r="T25" s="23">
        <f>IF($A25="","",-SUMIFS(Buchungen!$E:$E,Buchungen!$H:$H,"Fixkosten",Buchungen!$F:$F,$A25,Buchungen!$W:$W,Übersicht!$B$7))</f>
        <v/>
      </c>
      <c r="U25" s="22">
        <f>IF($A25="","",IFERROR(1/(1/_xlfn.MAXIFS(Buchungen!$A:$A,Buchungen!$F:$F,$A25,Buchungen!$H:$H,"Fixkosten")),"–"))</f>
        <v/>
      </c>
      <c r="V25" s="49" t="inlineStr">
        <is>
          <t>jährlich zu 89,90 €; Kategorie von Versicherung auf Abo geändert</t>
        </is>
      </c>
      <c r="W25" s="34">
        <f>IF(H25="x",$E25*(1-SUM($H25:$O25))/(COUNTIF($H25:$O25,"x")+1),$E25*N(H25))</f>
        <v/>
      </c>
      <c r="X25" s="34">
        <f>IF(I25="x",$E25*(1-SUM($H25:$O25))/(COUNTIF($H25:$O25,"x")+1),$E25*N(I25))</f>
        <v/>
      </c>
      <c r="Y25" s="34">
        <f>IF(J25="x",$E25*(1-SUM($H25:$O25))/(COUNTIF($H25:$O25,"x")+1),$E25*N(J25))</f>
        <v/>
      </c>
      <c r="Z25" s="34">
        <f>IF(K25="x",$E25*(1-SUM($H25:$O25))/(COUNTIF($H25:$O25,"x")+1),$E25*N(K25))</f>
        <v/>
      </c>
      <c r="AA25" s="34">
        <f>IF(L25="x",$E25*(1-SUM($H25:$O25))/(COUNTIF($H25:$O25,"x")+1),$E25*N(L25))</f>
        <v/>
      </c>
      <c r="AB25" s="34">
        <f>IF(M25="x",$E25*(1-SUM($H25:$O25))/(COUNTIF($H25:$O25,"x")+1),$E25*N(M25))</f>
        <v/>
      </c>
      <c r="AC25" s="34">
        <f>IF(N25="x",$E25*(1-SUM($H25:$O25))/(COUNTIF($H25:$O25,"x")+1),$E25*N(N25))</f>
        <v/>
      </c>
      <c r="AD25" s="34">
        <f>IF(O25="x",$E25*(1-SUM($H25:$O25))/(COUNTIF($H25:$O25,"x")+1),$E25*N(O25))</f>
        <v/>
      </c>
    </row>
    <row r="26">
      <c r="A26" s="16" t="inlineStr">
        <is>
          <t>Joyn</t>
        </is>
      </c>
      <c r="B26" s="16" t="inlineStr">
        <is>
          <t>Abo</t>
        </is>
      </c>
      <c r="C26" s="24" t="n">
        <v>6.99</v>
      </c>
      <c r="D26" s="16" t="n">
        <v>12</v>
      </c>
      <c r="E26" s="23">
        <f>IF(AND(ISNUMBER(C26),ISNUMBER(D26)),C26*D26/12,0)</f>
        <v/>
      </c>
      <c r="F26" s="16" t="inlineStr">
        <is>
          <t>2.</t>
        </is>
      </c>
      <c r="G26" s="16" t="inlineStr">
        <is>
          <t>joyn</t>
        </is>
      </c>
      <c r="H26" s="48" t="inlineStr">
        <is>
          <t>x</t>
        </is>
      </c>
      <c r="I26" s="48" t="n"/>
      <c r="J26" s="48" t="n"/>
      <c r="K26" s="48" t="n"/>
      <c r="L26" s="48" t="n"/>
      <c r="M26" s="48" t="n"/>
      <c r="N26" s="48" t="n"/>
      <c r="O26" s="48" t="n"/>
      <c r="P26" s="37">
        <f>IF($A26="","",1+COUNTIF($H26:$O26,"x")+COUNTIF($H26:$O26,"&gt;0"))</f>
        <v/>
      </c>
      <c r="Q26" s="20">
        <f>IF($A26="","",1-(SUM($H26:$O26)+COUNTIF($H26:$O26,"x")*(1-SUM($H26:$O26))/(COUNTIF($H26:$O26,"x")+1)))</f>
        <v/>
      </c>
      <c r="R26" s="23">
        <f>SUM(W26:AD26)</f>
        <v/>
      </c>
      <c r="S26" s="23">
        <f>E26-R26</f>
        <v/>
      </c>
      <c r="T26" s="23">
        <f>IF($A26="","",-SUMIFS(Buchungen!$E:$E,Buchungen!$H:$H,"Fixkosten",Buchungen!$F:$F,$A26,Buchungen!$W:$W,Übersicht!$B$7))</f>
        <v/>
      </c>
      <c r="U26" s="22">
        <f>IF($A26="","",IFERROR(1/(1/_xlfn.MAXIFS(Buchungen!$A:$A,Buchungen!$F:$F,$A26,Buchungen!$H:$H,"Fixkosten")),"–"))</f>
        <v/>
      </c>
      <c r="V26" s="49" t="n"/>
      <c r="W26" s="34">
        <f>IF(H26="x",$E26*(1-SUM($H26:$O26))/(COUNTIF($H26:$O26,"x")+1),$E26*N(H26))</f>
        <v/>
      </c>
      <c r="X26" s="34">
        <f>IF(I26="x",$E26*(1-SUM($H26:$O26))/(COUNTIF($H26:$O26,"x")+1),$E26*N(I26))</f>
        <v/>
      </c>
      <c r="Y26" s="34">
        <f>IF(J26="x",$E26*(1-SUM($H26:$O26))/(COUNTIF($H26:$O26,"x")+1),$E26*N(J26))</f>
        <v/>
      </c>
      <c r="Z26" s="34">
        <f>IF(K26="x",$E26*(1-SUM($H26:$O26))/(COUNTIF($H26:$O26,"x")+1),$E26*N(K26))</f>
        <v/>
      </c>
      <c r="AA26" s="34">
        <f>IF(L26="x",$E26*(1-SUM($H26:$O26))/(COUNTIF($H26:$O26,"x")+1),$E26*N(L26))</f>
        <v/>
      </c>
      <c r="AB26" s="34">
        <f>IF(M26="x",$E26*(1-SUM($H26:$O26))/(COUNTIF($H26:$O26,"x")+1),$E26*N(M26))</f>
        <v/>
      </c>
      <c r="AC26" s="34">
        <f>IF(N26="x",$E26*(1-SUM($H26:$O26))/(COUNTIF($H26:$O26,"x")+1),$E26*N(N26))</f>
        <v/>
      </c>
      <c r="AD26" s="34">
        <f>IF(O26="x",$E26*(1-SUM($H26:$O26))/(COUNTIF($H26:$O26,"x")+1),$E26*N(O26))</f>
        <v/>
      </c>
    </row>
    <row r="27">
      <c r="A27" s="16" t="inlineStr">
        <is>
          <t>Spotify (5 Personen)</t>
        </is>
      </c>
      <c r="B27" s="16" t="inlineStr">
        <is>
          <t>Abo</t>
        </is>
      </c>
      <c r="C27" s="24" t="n">
        <v>20.99</v>
      </c>
      <c r="D27" s="16" t="n">
        <v>12</v>
      </c>
      <c r="E27" s="23">
        <f>IF(AND(ISNUMBER(C27),ISNUMBER(D27)),C27*D27/12,0)</f>
        <v/>
      </c>
      <c r="F27" s="16" t="inlineStr">
        <is>
          <t>28.</t>
        </is>
      </c>
      <c r="G27" s="16" t="inlineStr">
        <is>
          <t>spotify</t>
        </is>
      </c>
      <c r="H27" s="48" t="inlineStr">
        <is>
          <t>x</t>
        </is>
      </c>
      <c r="I27" s="48" t="inlineStr">
        <is>
          <t>x</t>
        </is>
      </c>
      <c r="J27" s="48" t="inlineStr">
        <is>
          <t>x</t>
        </is>
      </c>
      <c r="K27" s="48" t="inlineStr">
        <is>
          <t>x</t>
        </is>
      </c>
      <c r="L27" s="48" t="n"/>
      <c r="M27" s="48" t="n"/>
      <c r="N27" s="48" t="n"/>
      <c r="O27" s="48" t="n"/>
      <c r="P27" s="37">
        <f>IF($A27="","",1+COUNTIF($H27:$O27,"x")+COUNTIF($H27:$O27,"&gt;0"))</f>
        <v/>
      </c>
      <c r="Q27" s="20">
        <f>IF($A27="","",1-(SUM($H27:$O27)+COUNTIF($H27:$O27,"x")*(1-SUM($H27:$O27))/(COUNTIF($H27:$O27,"x")+1)))</f>
        <v/>
      </c>
      <c r="R27" s="23">
        <f>SUM(W27:AD27)</f>
        <v/>
      </c>
      <c r="S27" s="23">
        <f>E27-R27</f>
        <v/>
      </c>
      <c r="T27" s="23">
        <f>IF($A27="","",-SUMIFS(Buchungen!$E:$E,Buchungen!$H:$H,"Fixkosten",Buchungen!$F:$F,$A27,Buchungen!$W:$W,Übersicht!$B$7))</f>
        <v/>
      </c>
      <c r="U27" s="22">
        <f>IF($A27="","",IFERROR(1/(1/_xlfn.MAXIFS(Buchungen!$A:$A,Buchungen!$F:$F,$A27,Buchungen!$H:$H,"Fixkosten")),"–"))</f>
        <v/>
      </c>
      <c r="V27" s="49" t="inlineStr">
        <is>
          <t>ich + 4 Mitzahler = 5 × 20 %</t>
        </is>
      </c>
      <c r="W27" s="34">
        <f>IF(H27="x",$E27*(1-SUM($H27:$O27))/(COUNTIF($H27:$O27,"x")+1),$E27*N(H27))</f>
        <v/>
      </c>
      <c r="X27" s="34">
        <f>IF(I27="x",$E27*(1-SUM($H27:$O27))/(COUNTIF($H27:$O27,"x")+1),$E27*N(I27))</f>
        <v/>
      </c>
      <c r="Y27" s="34">
        <f>IF(J27="x",$E27*(1-SUM($H27:$O27))/(COUNTIF($H27:$O27,"x")+1),$E27*N(J27))</f>
        <v/>
      </c>
      <c r="Z27" s="34">
        <f>IF(K27="x",$E27*(1-SUM($H27:$O27))/(COUNTIF($H27:$O27,"x")+1),$E27*N(K27))</f>
        <v/>
      </c>
      <c r="AA27" s="34">
        <f>IF(L27="x",$E27*(1-SUM($H27:$O27))/(COUNTIF($H27:$O27,"x")+1),$E27*N(L27))</f>
        <v/>
      </c>
      <c r="AB27" s="34">
        <f>IF(M27="x",$E27*(1-SUM($H27:$O27))/(COUNTIF($H27:$O27,"x")+1),$E27*N(M27))</f>
        <v/>
      </c>
      <c r="AC27" s="34">
        <f>IF(N27="x",$E27*(1-SUM($H27:$O27))/(COUNTIF($H27:$O27,"x")+1),$E27*N(N27))</f>
        <v/>
      </c>
      <c r="AD27" s="34">
        <f>IF(O27="x",$E27*(1-SUM($H27:$O27))/(COUNTIF($H27:$O27,"x")+1),$E27*N(O27))</f>
        <v/>
      </c>
    </row>
    <row r="28">
      <c r="A28" s="16" t="inlineStr">
        <is>
          <t>Netflix</t>
        </is>
      </c>
      <c r="B28" s="16" t="inlineStr">
        <is>
          <t>Abo</t>
        </is>
      </c>
      <c r="C28" s="24" t="n">
        <v>8.99</v>
      </c>
      <c r="D28" s="16" t="n">
        <v>12</v>
      </c>
      <c r="E28" s="23">
        <f>IF(AND(ISNUMBER(C28),ISNUMBER(D28)),C28*D28/12,0)</f>
        <v/>
      </c>
      <c r="F28" s="16" t="inlineStr">
        <is>
          <t>28.</t>
        </is>
      </c>
      <c r="G28" s="16" t="inlineStr">
        <is>
          <t>netflix</t>
        </is>
      </c>
      <c r="H28" s="48" t="inlineStr">
        <is>
          <t>x</t>
        </is>
      </c>
      <c r="I28" s="48" t="n"/>
      <c r="J28" s="48" t="n"/>
      <c r="K28" s="48" t="n"/>
      <c r="L28" s="48" t="n"/>
      <c r="M28" s="48" t="n"/>
      <c r="N28" s="48" t="n"/>
      <c r="O28" s="48" t="n"/>
      <c r="P28" s="37">
        <f>IF($A28="","",1+COUNTIF($H28:$O28,"x")+COUNTIF($H28:$O28,"&gt;0"))</f>
        <v/>
      </c>
      <c r="Q28" s="20">
        <f>IF($A28="","",1-(SUM($H28:$O28)+COUNTIF($H28:$O28,"x")*(1-SUM($H28:$O28))/(COUNTIF($H28:$O28,"x")+1)))</f>
        <v/>
      </c>
      <c r="R28" s="23">
        <f>SUM(W28:AD28)</f>
        <v/>
      </c>
      <c r="S28" s="23">
        <f>E28-R28</f>
        <v/>
      </c>
      <c r="T28" s="23">
        <f>IF($A28="","",-SUMIFS(Buchungen!$E:$E,Buchungen!$H:$H,"Fixkosten",Buchungen!$F:$F,$A28,Buchungen!$W:$W,Übersicht!$B$7))</f>
        <v/>
      </c>
      <c r="U28" s="22">
        <f>IF($A28="","",IFERROR(1/(1/_xlfn.MAXIFS(Buchungen!$A:$A,Buchungen!$F:$F,$A28,Buchungen!$H:$H,"Fixkosten")),"–"))</f>
        <v/>
      </c>
      <c r="V28" s="49" t="n"/>
      <c r="W28" s="34">
        <f>IF(H28="x",$E28*(1-SUM($H28:$O28))/(COUNTIF($H28:$O28,"x")+1),$E28*N(H28))</f>
        <v/>
      </c>
      <c r="X28" s="34">
        <f>IF(I28="x",$E28*(1-SUM($H28:$O28))/(COUNTIF($H28:$O28,"x")+1),$E28*N(I28))</f>
        <v/>
      </c>
      <c r="Y28" s="34">
        <f>IF(J28="x",$E28*(1-SUM($H28:$O28))/(COUNTIF($H28:$O28,"x")+1),$E28*N(J28))</f>
        <v/>
      </c>
      <c r="Z28" s="34">
        <f>IF(K28="x",$E28*(1-SUM($H28:$O28))/(COUNTIF($H28:$O28,"x")+1),$E28*N(K28))</f>
        <v/>
      </c>
      <c r="AA28" s="34">
        <f>IF(L28="x",$E28*(1-SUM($H28:$O28))/(COUNTIF($H28:$O28,"x")+1),$E28*N(L28))</f>
        <v/>
      </c>
      <c r="AB28" s="34">
        <f>IF(M28="x",$E28*(1-SUM($H28:$O28))/(COUNTIF($H28:$O28,"x")+1),$E28*N(M28))</f>
        <v/>
      </c>
      <c r="AC28" s="34">
        <f>IF(N28="x",$E28*(1-SUM($H28:$O28))/(COUNTIF($H28:$O28,"x")+1),$E28*N(N28))</f>
        <v/>
      </c>
      <c r="AD28" s="34">
        <f>IF(O28="x",$E28*(1-SUM($H28:$O28))/(COUNTIF($H28:$O28,"x")+1),$E28*N(O28))</f>
        <v/>
      </c>
    </row>
    <row r="29">
      <c r="A29" s="16" t="inlineStr">
        <is>
          <t>Bergfex Wandern</t>
        </is>
      </c>
      <c r="B29" s="16" t="inlineStr">
        <is>
          <t>Abo</t>
        </is>
      </c>
      <c r="C29" s="24" t="n">
        <v>35.99</v>
      </c>
      <c r="D29" s="16" t="n">
        <v>1</v>
      </c>
      <c r="E29" s="23">
        <f>IF(AND(ISNUMBER(C29),ISNUMBER(D29)),C29*D29/12,0)</f>
        <v/>
      </c>
      <c r="F29" s="16" t="inlineStr">
        <is>
          <t>23.</t>
        </is>
      </c>
      <c r="G29" s="16" t="inlineStr">
        <is>
          <t>bergfex;apple.com</t>
        </is>
      </c>
      <c r="H29" s="48" t="n"/>
      <c r="I29" s="48" t="n"/>
      <c r="J29" s="48" t="n"/>
      <c r="K29" s="48" t="n"/>
      <c r="L29" s="48" t="n"/>
      <c r="M29" s="48" t="n"/>
      <c r="N29" s="48" t="n"/>
      <c r="O29" s="48" t="n"/>
      <c r="P29" s="37">
        <f>IF($A29="","",1+COUNTIF($H29:$O29,"x")+COUNTIF($H29:$O29,"&gt;0"))</f>
        <v/>
      </c>
      <c r="Q29" s="20">
        <f>IF($A29="","",1-(SUM($H29:$O29)+COUNTIF($H29:$O29,"x")*(1-SUM($H29:$O29))/(COUNTIF($H29:$O29,"x")+1)))</f>
        <v/>
      </c>
      <c r="R29" s="23">
        <f>SUM(W29:AD29)</f>
        <v/>
      </c>
      <c r="S29" s="23">
        <f>E29-R29</f>
        <v/>
      </c>
      <c r="T29" s="23">
        <f>IF($A29="","",-SUMIFS(Buchungen!$E:$E,Buchungen!$H:$H,"Fixkosten",Buchungen!$F:$F,$A29,Buchungen!$W:$W,Übersicht!$B$7))</f>
        <v/>
      </c>
      <c r="U29" s="22">
        <f>IF($A29="","",IFERROR(1/(1/_xlfn.MAXIFS(Buchungen!$A:$A,Buchungen!$F:$F,$A29,Buchungen!$H:$H,"Fixkosten")),"–"))</f>
        <v/>
      </c>
      <c r="V29" s="49" t="inlineStr">
        <is>
          <t>jährlich zu 35,99 €</t>
        </is>
      </c>
      <c r="W29" s="34">
        <f>IF(H29="x",$E29*(1-SUM($H29:$O29))/(COUNTIF($H29:$O29,"x")+1),$E29*N(H29))</f>
        <v/>
      </c>
      <c r="X29" s="34">
        <f>IF(I29="x",$E29*(1-SUM($H29:$O29))/(COUNTIF($H29:$O29,"x")+1),$E29*N(I29))</f>
        <v/>
      </c>
      <c r="Y29" s="34">
        <f>IF(J29="x",$E29*(1-SUM($H29:$O29))/(COUNTIF($H29:$O29,"x")+1),$E29*N(J29))</f>
        <v/>
      </c>
      <c r="Z29" s="34">
        <f>IF(K29="x",$E29*(1-SUM($H29:$O29))/(COUNTIF($H29:$O29,"x")+1),$E29*N(K29))</f>
        <v/>
      </c>
      <c r="AA29" s="34">
        <f>IF(L29="x",$E29*(1-SUM($H29:$O29))/(COUNTIF($H29:$O29,"x")+1),$E29*N(L29))</f>
        <v/>
      </c>
      <c r="AB29" s="34">
        <f>IF(M29="x",$E29*(1-SUM($H29:$O29))/(COUNTIF($H29:$O29,"x")+1),$E29*N(M29))</f>
        <v/>
      </c>
      <c r="AC29" s="34">
        <f>IF(N29="x",$E29*(1-SUM($H29:$O29))/(COUNTIF($H29:$O29,"x")+1),$E29*N(N29))</f>
        <v/>
      </c>
      <c r="AD29" s="34">
        <f>IF(O29="x",$E29*(1-SUM($H29:$O29))/(COUNTIF($H29:$O29,"x")+1),$E29*N(O29))</f>
        <v/>
      </c>
    </row>
    <row r="30">
      <c r="A30" s="16" t="inlineStr">
        <is>
          <t>DropBox</t>
        </is>
      </c>
      <c r="B30" s="16" t="inlineStr">
        <is>
          <t>Abo</t>
        </is>
      </c>
      <c r="C30" s="24" t="n">
        <v>11.99</v>
      </c>
      <c r="D30" s="16" t="n">
        <v>12</v>
      </c>
      <c r="E30" s="23">
        <f>IF(AND(ISNUMBER(C30),ISNUMBER(D30)),C30*D30/12,0)</f>
        <v/>
      </c>
      <c r="F30" s="16" t="inlineStr">
        <is>
          <t>18.</t>
        </is>
      </c>
      <c r="G30" s="16" t="inlineStr">
        <is>
          <t>dropbox</t>
        </is>
      </c>
      <c r="H30" s="48" t="n"/>
      <c r="I30" s="48" t="n"/>
      <c r="J30" s="48" t="n"/>
      <c r="K30" s="48" t="n"/>
      <c r="L30" s="48" t="n"/>
      <c r="M30" s="48" t="n"/>
      <c r="N30" s="48" t="n"/>
      <c r="O30" s="48" t="n"/>
      <c r="P30" s="37">
        <f>IF($A30="","",1+COUNTIF($H30:$O30,"x")+COUNTIF($H30:$O30,"&gt;0"))</f>
        <v/>
      </c>
      <c r="Q30" s="20">
        <f>IF($A30="","",1-(SUM($H30:$O30)+COUNTIF($H30:$O30,"x")*(1-SUM($H30:$O30))/(COUNTIF($H30:$O30,"x")+1)))</f>
        <v/>
      </c>
      <c r="R30" s="23">
        <f>SUM(W30:AD30)</f>
        <v/>
      </c>
      <c r="S30" s="23">
        <f>E30-R30</f>
        <v/>
      </c>
      <c r="T30" s="23">
        <f>IF($A30="","",-SUMIFS(Buchungen!$E:$E,Buchungen!$H:$H,"Fixkosten",Buchungen!$F:$F,$A30,Buchungen!$W:$W,Übersicht!$B$7))</f>
        <v/>
      </c>
      <c r="U30" s="22">
        <f>IF($A30="","",IFERROR(1/(1/_xlfn.MAXIFS(Buchungen!$A:$A,Buchungen!$F:$F,$A30,Buchungen!$H:$H,"Fixkosten")),"–"))</f>
        <v/>
      </c>
      <c r="V30" s="49" t="n"/>
      <c r="W30" s="34">
        <f>IF(H30="x",$E30*(1-SUM($H30:$O30))/(COUNTIF($H30:$O30,"x")+1),$E30*N(H30))</f>
        <v/>
      </c>
      <c r="X30" s="34">
        <f>IF(I30="x",$E30*(1-SUM($H30:$O30))/(COUNTIF($H30:$O30,"x")+1),$E30*N(I30))</f>
        <v/>
      </c>
      <c r="Y30" s="34">
        <f>IF(J30="x",$E30*(1-SUM($H30:$O30))/(COUNTIF($H30:$O30,"x")+1),$E30*N(J30))</f>
        <v/>
      </c>
      <c r="Z30" s="34">
        <f>IF(K30="x",$E30*(1-SUM($H30:$O30))/(COUNTIF($H30:$O30,"x")+1),$E30*N(K30))</f>
        <v/>
      </c>
      <c r="AA30" s="34">
        <f>IF(L30="x",$E30*(1-SUM($H30:$O30))/(COUNTIF($H30:$O30,"x")+1),$E30*N(L30))</f>
        <v/>
      </c>
      <c r="AB30" s="34">
        <f>IF(M30="x",$E30*(1-SUM($H30:$O30))/(COUNTIF($H30:$O30,"x")+1),$E30*N(M30))</f>
        <v/>
      </c>
      <c r="AC30" s="34">
        <f>IF(N30="x",$E30*(1-SUM($H30:$O30))/(COUNTIF($H30:$O30,"x")+1),$E30*N(N30))</f>
        <v/>
      </c>
      <c r="AD30" s="34">
        <f>IF(O30="x",$E30*(1-SUM($H30:$O30))/(COUNTIF($H30:$O30,"x")+1),$E30*N(O30))</f>
        <v/>
      </c>
    </row>
    <row r="31">
      <c r="A31" s="16" t="inlineStr">
        <is>
          <t>Flo Periode</t>
        </is>
      </c>
      <c r="B31" s="16" t="inlineStr">
        <is>
          <t>Abo</t>
        </is>
      </c>
      <c r="C31" s="24" t="n">
        <v>9.99</v>
      </c>
      <c r="D31" s="16" t="n">
        <v>2</v>
      </c>
      <c r="E31" s="23">
        <f>IF(AND(ISNUMBER(C31),ISNUMBER(D31)),C31*D31/12,0)</f>
        <v/>
      </c>
      <c r="F31" s="16" t="inlineStr">
        <is>
          <t>18.</t>
        </is>
      </c>
      <c r="G31" s="16" t="inlineStr">
        <is>
          <t>flo</t>
        </is>
      </c>
      <c r="H31" s="48" t="n"/>
      <c r="I31" s="48" t="n"/>
      <c r="J31" s="48" t="n"/>
      <c r="K31" s="48" t="n"/>
      <c r="L31" s="48" t="n"/>
      <c r="M31" s="48" t="n"/>
      <c r="N31" s="48" t="n"/>
      <c r="O31" s="48" t="n"/>
      <c r="P31" s="37">
        <f>IF($A31="","",1+COUNTIF($H31:$O31,"x")+COUNTIF($H31:$O31,"&gt;0"))</f>
        <v/>
      </c>
      <c r="Q31" s="20">
        <f>IF($A31="","",1-(SUM($H31:$O31)+COUNTIF($H31:$O31,"x")*(1-SUM($H31:$O31))/(COUNTIF($H31:$O31,"x")+1)))</f>
        <v/>
      </c>
      <c r="R31" s="23">
        <f>SUM(W31:AD31)</f>
        <v/>
      </c>
      <c r="S31" s="23">
        <f>E31-R31</f>
        <v/>
      </c>
      <c r="T31" s="23">
        <f>IF($A31="","",-SUMIFS(Buchungen!$E:$E,Buchungen!$H:$H,"Fixkosten",Buchungen!$F:$F,$A31,Buchungen!$W:$W,Übersicht!$B$7))</f>
        <v/>
      </c>
      <c r="U31" s="22">
        <f>IF($A31="","",IFERROR(1/(1/_xlfn.MAXIFS(Buchungen!$A:$A,Buchungen!$F:$F,$A31,Buchungen!$H:$H,"Fixkosten")),"–"))</f>
        <v/>
      </c>
      <c r="V31" s="49" t="inlineStr">
        <is>
          <t>2 x jährlich, zusammen 19,98 €/Jahr (so wie in deiner Liste gerechnet) – bitte prüfen</t>
        </is>
      </c>
      <c r="W31" s="34">
        <f>IF(H31="x",$E31*(1-SUM($H31:$O31))/(COUNTIF($H31:$O31,"x")+1),$E31*N(H31))</f>
        <v/>
      </c>
      <c r="X31" s="34">
        <f>IF(I31="x",$E31*(1-SUM($H31:$O31))/(COUNTIF($H31:$O31,"x")+1),$E31*N(I31))</f>
        <v/>
      </c>
      <c r="Y31" s="34">
        <f>IF(J31="x",$E31*(1-SUM($H31:$O31))/(COUNTIF($H31:$O31,"x")+1),$E31*N(J31))</f>
        <v/>
      </c>
      <c r="Z31" s="34">
        <f>IF(K31="x",$E31*(1-SUM($H31:$O31))/(COUNTIF($H31:$O31,"x")+1),$E31*N(K31))</f>
        <v/>
      </c>
      <c r="AA31" s="34">
        <f>IF(L31="x",$E31*(1-SUM($H31:$O31))/(COUNTIF($H31:$O31,"x")+1),$E31*N(L31))</f>
        <v/>
      </c>
      <c r="AB31" s="34">
        <f>IF(M31="x",$E31*(1-SUM($H31:$O31))/(COUNTIF($H31:$O31,"x")+1),$E31*N(M31))</f>
        <v/>
      </c>
      <c r="AC31" s="34">
        <f>IF(N31="x",$E31*(1-SUM($H31:$O31))/(COUNTIF($H31:$O31,"x")+1),$E31*N(N31))</f>
        <v/>
      </c>
      <c r="AD31" s="34">
        <f>IF(O31="x",$E31*(1-SUM($H31:$O31))/(COUNTIF($H31:$O31,"x")+1),$E31*N(O31))</f>
        <v/>
      </c>
    </row>
    <row r="32">
      <c r="A32" s="16" t="n"/>
      <c r="B32" s="16" t="n"/>
      <c r="C32" s="24" t="n"/>
      <c r="D32" s="16" t="n"/>
      <c r="E32" s="23">
        <f>IF(AND(ISNUMBER(C32),ISNUMBER(D32)),C32*D32/12,0)</f>
        <v/>
      </c>
      <c r="F32" s="16" t="n"/>
      <c r="G32" s="16" t="n"/>
      <c r="H32" s="48" t="n"/>
      <c r="I32" s="48" t="n"/>
      <c r="J32" s="48" t="n"/>
      <c r="K32" s="48" t="n"/>
      <c r="L32" s="48" t="n"/>
      <c r="M32" s="48" t="n"/>
      <c r="N32" s="48" t="n"/>
      <c r="O32" s="48" t="n"/>
      <c r="P32" s="37">
        <f>IF($A32="","",1+COUNTIF($H32:$O32,"x")+COUNTIF($H32:$O32,"&gt;0"))</f>
        <v/>
      </c>
      <c r="Q32" s="20">
        <f>IF($A32="","",1-(SUM($H32:$O32)+COUNTIF($H32:$O32,"x")*(1-SUM($H32:$O32))/(COUNTIF($H32:$O32,"x")+1)))</f>
        <v/>
      </c>
      <c r="R32" s="23">
        <f>SUM(W32:AD32)</f>
        <v/>
      </c>
      <c r="S32" s="23">
        <f>E32-R32</f>
        <v/>
      </c>
      <c r="T32" s="23">
        <f>IF($A32="","",-SUMIFS(Buchungen!$E:$E,Buchungen!$H:$H,"Fixkosten",Buchungen!$F:$F,$A32,Buchungen!$W:$W,Übersicht!$B$7))</f>
        <v/>
      </c>
      <c r="U32" s="22">
        <f>IF($A32="","",IFERROR(1/(1/_xlfn.MAXIFS(Buchungen!$A:$A,Buchungen!$F:$F,$A32,Buchungen!$H:$H,"Fixkosten")),"–"))</f>
        <v/>
      </c>
      <c r="V32" s="49" t="n"/>
      <c r="W32" s="34">
        <f>IF(H32="x",$E32*(1-SUM($H32:$O32))/(COUNTIF($H32:$O32,"x")+1),$E32*N(H32))</f>
        <v/>
      </c>
      <c r="X32" s="34">
        <f>IF(I32="x",$E32*(1-SUM($H32:$O32))/(COUNTIF($H32:$O32,"x")+1),$E32*N(I32))</f>
        <v/>
      </c>
      <c r="Y32" s="34">
        <f>IF(J32="x",$E32*(1-SUM($H32:$O32))/(COUNTIF($H32:$O32,"x")+1),$E32*N(J32))</f>
        <v/>
      </c>
      <c r="Z32" s="34">
        <f>IF(K32="x",$E32*(1-SUM($H32:$O32))/(COUNTIF($H32:$O32,"x")+1),$E32*N(K32))</f>
        <v/>
      </c>
      <c r="AA32" s="34">
        <f>IF(L32="x",$E32*(1-SUM($H32:$O32))/(COUNTIF($H32:$O32,"x")+1),$E32*N(L32))</f>
        <v/>
      </c>
      <c r="AB32" s="34">
        <f>IF(M32="x",$E32*(1-SUM($H32:$O32))/(COUNTIF($H32:$O32,"x")+1),$E32*N(M32))</f>
        <v/>
      </c>
      <c r="AC32" s="34">
        <f>IF(N32="x",$E32*(1-SUM($H32:$O32))/(COUNTIF($H32:$O32,"x")+1),$E32*N(N32))</f>
        <v/>
      </c>
      <c r="AD32" s="34">
        <f>IF(O32="x",$E32*(1-SUM($H32:$O32))/(COUNTIF($H32:$O32,"x")+1),$E32*N(O32))</f>
        <v/>
      </c>
    </row>
    <row r="33">
      <c r="A33" s="16" t="n"/>
      <c r="B33" s="16" t="n"/>
      <c r="C33" s="24" t="n"/>
      <c r="D33" s="16" t="n"/>
      <c r="E33" s="23">
        <f>IF(AND(ISNUMBER(C33),ISNUMBER(D33)),C33*D33/12,0)</f>
        <v/>
      </c>
      <c r="F33" s="16" t="n"/>
      <c r="G33" s="16" t="n"/>
      <c r="H33" s="48" t="n"/>
      <c r="I33" s="48" t="n"/>
      <c r="J33" s="48" t="n"/>
      <c r="K33" s="48" t="n"/>
      <c r="L33" s="48" t="n"/>
      <c r="M33" s="48" t="n"/>
      <c r="N33" s="48" t="n"/>
      <c r="O33" s="48" t="n"/>
      <c r="P33" s="37">
        <f>IF($A33="","",1+COUNTIF($H33:$O33,"x")+COUNTIF($H33:$O33,"&gt;0"))</f>
        <v/>
      </c>
      <c r="Q33" s="20">
        <f>IF($A33="","",1-(SUM($H33:$O33)+COUNTIF($H33:$O33,"x")*(1-SUM($H33:$O33))/(COUNTIF($H33:$O33,"x")+1)))</f>
        <v/>
      </c>
      <c r="R33" s="23">
        <f>SUM(W33:AD33)</f>
        <v/>
      </c>
      <c r="S33" s="23">
        <f>E33-R33</f>
        <v/>
      </c>
      <c r="T33" s="23">
        <f>IF($A33="","",-SUMIFS(Buchungen!$E:$E,Buchungen!$H:$H,"Fixkosten",Buchungen!$F:$F,$A33,Buchungen!$W:$W,Übersicht!$B$7))</f>
        <v/>
      </c>
      <c r="U33" s="22">
        <f>IF($A33="","",IFERROR(1/(1/_xlfn.MAXIFS(Buchungen!$A:$A,Buchungen!$F:$F,$A33,Buchungen!$H:$H,"Fixkosten")),"–"))</f>
        <v/>
      </c>
      <c r="V33" s="49" t="n"/>
      <c r="W33" s="34">
        <f>IF(H33="x",$E33*(1-SUM($H33:$O33))/(COUNTIF($H33:$O33,"x")+1),$E33*N(H33))</f>
        <v/>
      </c>
      <c r="X33" s="34">
        <f>IF(I33="x",$E33*(1-SUM($H33:$O33))/(COUNTIF($H33:$O33,"x")+1),$E33*N(I33))</f>
        <v/>
      </c>
      <c r="Y33" s="34">
        <f>IF(J33="x",$E33*(1-SUM($H33:$O33))/(COUNTIF($H33:$O33,"x")+1),$E33*N(J33))</f>
        <v/>
      </c>
      <c r="Z33" s="34">
        <f>IF(K33="x",$E33*(1-SUM($H33:$O33))/(COUNTIF($H33:$O33,"x")+1),$E33*N(K33))</f>
        <v/>
      </c>
      <c r="AA33" s="34">
        <f>IF(L33="x",$E33*(1-SUM($H33:$O33))/(COUNTIF($H33:$O33,"x")+1),$E33*N(L33))</f>
        <v/>
      </c>
      <c r="AB33" s="34">
        <f>IF(M33="x",$E33*(1-SUM($H33:$O33))/(COUNTIF($H33:$O33,"x")+1),$E33*N(M33))</f>
        <v/>
      </c>
      <c r="AC33" s="34">
        <f>IF(N33="x",$E33*(1-SUM($H33:$O33))/(COUNTIF($H33:$O33,"x")+1),$E33*N(N33))</f>
        <v/>
      </c>
      <c r="AD33" s="34">
        <f>IF(O33="x",$E33*(1-SUM($H33:$O33))/(COUNTIF($H33:$O33,"x")+1),$E33*N(O33))</f>
        <v/>
      </c>
    </row>
    <row r="34">
      <c r="A34" s="16" t="n"/>
      <c r="B34" s="16" t="n"/>
      <c r="C34" s="24" t="n"/>
      <c r="D34" s="16" t="n"/>
      <c r="E34" s="23">
        <f>IF(AND(ISNUMBER(C34),ISNUMBER(D34)),C34*D34/12,0)</f>
        <v/>
      </c>
      <c r="F34" s="16" t="n"/>
      <c r="G34" s="16" t="n"/>
      <c r="H34" s="48" t="n"/>
      <c r="I34" s="48" t="n"/>
      <c r="J34" s="48" t="n"/>
      <c r="K34" s="48" t="n"/>
      <c r="L34" s="48" t="n"/>
      <c r="M34" s="48" t="n"/>
      <c r="N34" s="48" t="n"/>
      <c r="O34" s="48" t="n"/>
      <c r="P34" s="37">
        <f>IF($A34="","",1+COUNTIF($H34:$O34,"x")+COUNTIF($H34:$O34,"&gt;0"))</f>
        <v/>
      </c>
      <c r="Q34" s="20">
        <f>IF($A34="","",1-(SUM($H34:$O34)+COUNTIF($H34:$O34,"x")*(1-SUM($H34:$O34))/(COUNTIF($H34:$O34,"x")+1)))</f>
        <v/>
      </c>
      <c r="R34" s="23">
        <f>SUM(W34:AD34)</f>
        <v/>
      </c>
      <c r="S34" s="23">
        <f>E34-R34</f>
        <v/>
      </c>
      <c r="T34" s="23">
        <f>IF($A34="","",-SUMIFS(Buchungen!$E:$E,Buchungen!$H:$H,"Fixkosten",Buchungen!$F:$F,$A34,Buchungen!$W:$W,Übersicht!$B$7))</f>
        <v/>
      </c>
      <c r="U34" s="22">
        <f>IF($A34="","",IFERROR(1/(1/_xlfn.MAXIFS(Buchungen!$A:$A,Buchungen!$F:$F,$A34,Buchungen!$H:$H,"Fixkosten")),"–"))</f>
        <v/>
      </c>
      <c r="V34" s="49" t="n"/>
      <c r="W34" s="34">
        <f>IF(H34="x",$E34*(1-SUM($H34:$O34))/(COUNTIF($H34:$O34,"x")+1),$E34*N(H34))</f>
        <v/>
      </c>
      <c r="X34" s="34">
        <f>IF(I34="x",$E34*(1-SUM($H34:$O34))/(COUNTIF($H34:$O34,"x")+1),$E34*N(I34))</f>
        <v/>
      </c>
      <c r="Y34" s="34">
        <f>IF(J34="x",$E34*(1-SUM($H34:$O34))/(COUNTIF($H34:$O34,"x")+1),$E34*N(J34))</f>
        <v/>
      </c>
      <c r="Z34" s="34">
        <f>IF(K34="x",$E34*(1-SUM($H34:$O34))/(COUNTIF($H34:$O34,"x")+1),$E34*N(K34))</f>
        <v/>
      </c>
      <c r="AA34" s="34">
        <f>IF(L34="x",$E34*(1-SUM($H34:$O34))/(COUNTIF($H34:$O34,"x")+1),$E34*N(L34))</f>
        <v/>
      </c>
      <c r="AB34" s="34">
        <f>IF(M34="x",$E34*(1-SUM($H34:$O34))/(COUNTIF($H34:$O34,"x")+1),$E34*N(M34))</f>
        <v/>
      </c>
      <c r="AC34" s="34">
        <f>IF(N34="x",$E34*(1-SUM($H34:$O34))/(COUNTIF($H34:$O34,"x")+1),$E34*N(N34))</f>
        <v/>
      </c>
      <c r="AD34" s="34">
        <f>IF(O34="x",$E34*(1-SUM($H34:$O34))/(COUNTIF($H34:$O34,"x")+1),$E34*N(O34))</f>
        <v/>
      </c>
    </row>
    <row r="35">
      <c r="A35" s="16" t="n"/>
      <c r="B35" s="16" t="n"/>
      <c r="C35" s="24" t="n"/>
      <c r="D35" s="16" t="n"/>
      <c r="E35" s="23">
        <f>IF(AND(ISNUMBER(C35),ISNUMBER(D35)),C35*D35/12,0)</f>
        <v/>
      </c>
      <c r="F35" s="16" t="n"/>
      <c r="G35" s="16" t="n"/>
      <c r="H35" s="48" t="n"/>
      <c r="I35" s="48" t="n"/>
      <c r="J35" s="48" t="n"/>
      <c r="K35" s="48" t="n"/>
      <c r="L35" s="48" t="n"/>
      <c r="M35" s="48" t="n"/>
      <c r="N35" s="48" t="n"/>
      <c r="O35" s="48" t="n"/>
      <c r="P35" s="37">
        <f>IF($A35="","",1+COUNTIF($H35:$O35,"x")+COUNTIF($H35:$O35,"&gt;0"))</f>
        <v/>
      </c>
      <c r="Q35" s="20">
        <f>IF($A35="","",1-(SUM($H35:$O35)+COUNTIF($H35:$O35,"x")*(1-SUM($H35:$O35))/(COUNTIF($H35:$O35,"x")+1)))</f>
        <v/>
      </c>
      <c r="R35" s="23">
        <f>SUM(W35:AD35)</f>
        <v/>
      </c>
      <c r="S35" s="23">
        <f>E35-R35</f>
        <v/>
      </c>
      <c r="T35" s="23">
        <f>IF($A35="","",-SUMIFS(Buchungen!$E:$E,Buchungen!$H:$H,"Fixkosten",Buchungen!$F:$F,$A35,Buchungen!$W:$W,Übersicht!$B$7))</f>
        <v/>
      </c>
      <c r="U35" s="22">
        <f>IF($A35="","",IFERROR(1/(1/_xlfn.MAXIFS(Buchungen!$A:$A,Buchungen!$F:$F,$A35,Buchungen!$H:$H,"Fixkosten")),"–"))</f>
        <v/>
      </c>
      <c r="V35" s="49" t="n"/>
      <c r="W35" s="34">
        <f>IF(H35="x",$E35*(1-SUM($H35:$O35))/(COUNTIF($H35:$O35,"x")+1),$E35*N(H35))</f>
        <v/>
      </c>
      <c r="X35" s="34">
        <f>IF(I35="x",$E35*(1-SUM($H35:$O35))/(COUNTIF($H35:$O35,"x")+1),$E35*N(I35))</f>
        <v/>
      </c>
      <c r="Y35" s="34">
        <f>IF(J35="x",$E35*(1-SUM($H35:$O35))/(COUNTIF($H35:$O35,"x")+1),$E35*N(J35))</f>
        <v/>
      </c>
      <c r="Z35" s="34">
        <f>IF(K35="x",$E35*(1-SUM($H35:$O35))/(COUNTIF($H35:$O35,"x")+1),$E35*N(K35))</f>
        <v/>
      </c>
      <c r="AA35" s="34">
        <f>IF(L35="x",$E35*(1-SUM($H35:$O35))/(COUNTIF($H35:$O35,"x")+1),$E35*N(L35))</f>
        <v/>
      </c>
      <c r="AB35" s="34">
        <f>IF(M35="x",$E35*(1-SUM($H35:$O35))/(COUNTIF($H35:$O35,"x")+1),$E35*N(M35))</f>
        <v/>
      </c>
      <c r="AC35" s="34">
        <f>IF(N35="x",$E35*(1-SUM($H35:$O35))/(COUNTIF($H35:$O35,"x")+1),$E35*N(N35))</f>
        <v/>
      </c>
      <c r="AD35" s="34">
        <f>IF(O35="x",$E35*(1-SUM($H35:$O35))/(COUNTIF($H35:$O35,"x")+1),$E35*N(O35))</f>
        <v/>
      </c>
    </row>
    <row r="36">
      <c r="A36" s="16" t="n"/>
      <c r="B36" s="16" t="n"/>
      <c r="C36" s="24" t="n"/>
      <c r="D36" s="16" t="n"/>
      <c r="E36" s="23">
        <f>IF(AND(ISNUMBER(C36),ISNUMBER(D36)),C36*D36/12,0)</f>
        <v/>
      </c>
      <c r="F36" s="16" t="n"/>
      <c r="G36" s="16" t="n"/>
      <c r="H36" s="48" t="n"/>
      <c r="I36" s="48" t="n"/>
      <c r="J36" s="48" t="n"/>
      <c r="K36" s="48" t="n"/>
      <c r="L36" s="48" t="n"/>
      <c r="M36" s="48" t="n"/>
      <c r="N36" s="48" t="n"/>
      <c r="O36" s="48" t="n"/>
      <c r="P36" s="37">
        <f>IF($A36="","",1+COUNTIF($H36:$O36,"x")+COUNTIF($H36:$O36,"&gt;0"))</f>
        <v/>
      </c>
      <c r="Q36" s="20">
        <f>IF($A36="","",1-(SUM($H36:$O36)+COUNTIF($H36:$O36,"x")*(1-SUM($H36:$O36))/(COUNTIF($H36:$O36,"x")+1)))</f>
        <v/>
      </c>
      <c r="R36" s="23">
        <f>SUM(W36:AD36)</f>
        <v/>
      </c>
      <c r="S36" s="23">
        <f>E36-R36</f>
        <v/>
      </c>
      <c r="T36" s="23">
        <f>IF($A36="","",-SUMIFS(Buchungen!$E:$E,Buchungen!$H:$H,"Fixkosten",Buchungen!$F:$F,$A36,Buchungen!$W:$W,Übersicht!$B$7))</f>
        <v/>
      </c>
      <c r="U36" s="22">
        <f>IF($A36="","",IFERROR(1/(1/_xlfn.MAXIFS(Buchungen!$A:$A,Buchungen!$F:$F,$A36,Buchungen!$H:$H,"Fixkosten")),"–"))</f>
        <v/>
      </c>
      <c r="V36" s="49" t="n"/>
      <c r="W36" s="34">
        <f>IF(H36="x",$E36*(1-SUM($H36:$O36))/(COUNTIF($H36:$O36,"x")+1),$E36*N(H36))</f>
        <v/>
      </c>
      <c r="X36" s="34">
        <f>IF(I36="x",$E36*(1-SUM($H36:$O36))/(COUNTIF($H36:$O36,"x")+1),$E36*N(I36))</f>
        <v/>
      </c>
      <c r="Y36" s="34">
        <f>IF(J36="x",$E36*(1-SUM($H36:$O36))/(COUNTIF($H36:$O36,"x")+1),$E36*N(J36))</f>
        <v/>
      </c>
      <c r="Z36" s="34">
        <f>IF(K36="x",$E36*(1-SUM($H36:$O36))/(COUNTIF($H36:$O36,"x")+1),$E36*N(K36))</f>
        <v/>
      </c>
      <c r="AA36" s="34">
        <f>IF(L36="x",$E36*(1-SUM($H36:$O36))/(COUNTIF($H36:$O36,"x")+1),$E36*N(L36))</f>
        <v/>
      </c>
      <c r="AB36" s="34">
        <f>IF(M36="x",$E36*(1-SUM($H36:$O36))/(COUNTIF($H36:$O36,"x")+1),$E36*N(M36))</f>
        <v/>
      </c>
      <c r="AC36" s="34">
        <f>IF(N36="x",$E36*(1-SUM($H36:$O36))/(COUNTIF($H36:$O36,"x")+1),$E36*N(N36))</f>
        <v/>
      </c>
      <c r="AD36" s="34">
        <f>IF(O36="x",$E36*(1-SUM($H36:$O36))/(COUNTIF($H36:$O36,"x")+1),$E36*N(O36))</f>
        <v/>
      </c>
    </row>
    <row r="37">
      <c r="A37" s="16" t="n"/>
      <c r="B37" s="16" t="n"/>
      <c r="C37" s="24" t="n"/>
      <c r="D37" s="16" t="n"/>
      <c r="E37" s="23">
        <f>IF(AND(ISNUMBER(C37),ISNUMBER(D37)),C37*D37/12,0)</f>
        <v/>
      </c>
      <c r="F37" s="16" t="n"/>
      <c r="G37" s="16" t="n"/>
      <c r="H37" s="48" t="n"/>
      <c r="I37" s="48" t="n"/>
      <c r="J37" s="48" t="n"/>
      <c r="K37" s="48" t="n"/>
      <c r="L37" s="48" t="n"/>
      <c r="M37" s="48" t="n"/>
      <c r="N37" s="48" t="n"/>
      <c r="O37" s="48" t="n"/>
      <c r="P37" s="37">
        <f>IF($A37="","",1+COUNTIF($H37:$O37,"x")+COUNTIF($H37:$O37,"&gt;0"))</f>
        <v/>
      </c>
      <c r="Q37" s="20">
        <f>IF($A37="","",1-(SUM($H37:$O37)+COUNTIF($H37:$O37,"x")*(1-SUM($H37:$O37))/(COUNTIF($H37:$O37,"x")+1)))</f>
        <v/>
      </c>
      <c r="R37" s="23">
        <f>SUM(W37:AD37)</f>
        <v/>
      </c>
      <c r="S37" s="23">
        <f>E37-R37</f>
        <v/>
      </c>
      <c r="T37" s="23">
        <f>IF($A37="","",-SUMIFS(Buchungen!$E:$E,Buchungen!$H:$H,"Fixkosten",Buchungen!$F:$F,$A37,Buchungen!$W:$W,Übersicht!$B$7))</f>
        <v/>
      </c>
      <c r="U37" s="22">
        <f>IF($A37="","",IFERROR(1/(1/_xlfn.MAXIFS(Buchungen!$A:$A,Buchungen!$F:$F,$A37,Buchungen!$H:$H,"Fixkosten")),"–"))</f>
        <v/>
      </c>
      <c r="V37" s="49" t="n"/>
      <c r="W37" s="34">
        <f>IF(H37="x",$E37*(1-SUM($H37:$O37))/(COUNTIF($H37:$O37,"x")+1),$E37*N(H37))</f>
        <v/>
      </c>
      <c r="X37" s="34">
        <f>IF(I37="x",$E37*(1-SUM($H37:$O37))/(COUNTIF($H37:$O37,"x")+1),$E37*N(I37))</f>
        <v/>
      </c>
      <c r="Y37" s="34">
        <f>IF(J37="x",$E37*(1-SUM($H37:$O37))/(COUNTIF($H37:$O37,"x")+1),$E37*N(J37))</f>
        <v/>
      </c>
      <c r="Z37" s="34">
        <f>IF(K37="x",$E37*(1-SUM($H37:$O37))/(COUNTIF($H37:$O37,"x")+1),$E37*N(K37))</f>
        <v/>
      </c>
      <c r="AA37" s="34">
        <f>IF(L37="x",$E37*(1-SUM($H37:$O37))/(COUNTIF($H37:$O37,"x")+1),$E37*N(L37))</f>
        <v/>
      </c>
      <c r="AB37" s="34">
        <f>IF(M37="x",$E37*(1-SUM($H37:$O37))/(COUNTIF($H37:$O37,"x")+1),$E37*N(M37))</f>
        <v/>
      </c>
      <c r="AC37" s="34">
        <f>IF(N37="x",$E37*(1-SUM($H37:$O37))/(COUNTIF($H37:$O37,"x")+1),$E37*N(N37))</f>
        <v/>
      </c>
      <c r="AD37" s="34">
        <f>IF(O37="x",$E37*(1-SUM($H37:$O37))/(COUNTIF($H37:$O37,"x")+1),$E37*N(O37))</f>
        <v/>
      </c>
    </row>
    <row r="38">
      <c r="A38" s="16" t="n"/>
      <c r="B38" s="16" t="n"/>
      <c r="C38" s="24" t="n"/>
      <c r="D38" s="16" t="n"/>
      <c r="E38" s="23">
        <f>IF(AND(ISNUMBER(C38),ISNUMBER(D38)),C38*D38/12,0)</f>
        <v/>
      </c>
      <c r="F38" s="16" t="n"/>
      <c r="G38" s="16" t="n"/>
      <c r="H38" s="48" t="n"/>
      <c r="I38" s="48" t="n"/>
      <c r="J38" s="48" t="n"/>
      <c r="K38" s="48" t="n"/>
      <c r="L38" s="48" t="n"/>
      <c r="M38" s="48" t="n"/>
      <c r="N38" s="48" t="n"/>
      <c r="O38" s="48" t="n"/>
      <c r="P38" s="37">
        <f>IF($A38="","",1+COUNTIF($H38:$O38,"x")+COUNTIF($H38:$O38,"&gt;0"))</f>
        <v/>
      </c>
      <c r="Q38" s="20">
        <f>IF($A38="","",1-(SUM($H38:$O38)+COUNTIF($H38:$O38,"x")*(1-SUM($H38:$O38))/(COUNTIF($H38:$O38,"x")+1)))</f>
        <v/>
      </c>
      <c r="R38" s="23">
        <f>SUM(W38:AD38)</f>
        <v/>
      </c>
      <c r="S38" s="23">
        <f>E38-R38</f>
        <v/>
      </c>
      <c r="T38" s="23">
        <f>IF($A38="","",-SUMIFS(Buchungen!$E:$E,Buchungen!$H:$H,"Fixkosten",Buchungen!$F:$F,$A38,Buchungen!$W:$W,Übersicht!$B$7))</f>
        <v/>
      </c>
      <c r="U38" s="22">
        <f>IF($A38="","",IFERROR(1/(1/_xlfn.MAXIFS(Buchungen!$A:$A,Buchungen!$F:$F,$A38,Buchungen!$H:$H,"Fixkosten")),"–"))</f>
        <v/>
      </c>
      <c r="V38" s="49" t="n"/>
      <c r="W38" s="34">
        <f>IF(H38="x",$E38*(1-SUM($H38:$O38))/(COUNTIF($H38:$O38,"x")+1),$E38*N(H38))</f>
        <v/>
      </c>
      <c r="X38" s="34">
        <f>IF(I38="x",$E38*(1-SUM($H38:$O38))/(COUNTIF($H38:$O38,"x")+1),$E38*N(I38))</f>
        <v/>
      </c>
      <c r="Y38" s="34">
        <f>IF(J38="x",$E38*(1-SUM($H38:$O38))/(COUNTIF($H38:$O38,"x")+1),$E38*N(J38))</f>
        <v/>
      </c>
      <c r="Z38" s="34">
        <f>IF(K38="x",$E38*(1-SUM($H38:$O38))/(COUNTIF($H38:$O38,"x")+1),$E38*N(K38))</f>
        <v/>
      </c>
      <c r="AA38" s="34">
        <f>IF(L38="x",$E38*(1-SUM($H38:$O38))/(COUNTIF($H38:$O38,"x")+1),$E38*N(L38))</f>
        <v/>
      </c>
      <c r="AB38" s="34">
        <f>IF(M38="x",$E38*(1-SUM($H38:$O38))/(COUNTIF($H38:$O38,"x")+1),$E38*N(M38))</f>
        <v/>
      </c>
      <c r="AC38" s="34">
        <f>IF(N38="x",$E38*(1-SUM($H38:$O38))/(COUNTIF($H38:$O38,"x")+1),$E38*N(N38))</f>
        <v/>
      </c>
      <c r="AD38" s="34">
        <f>IF(O38="x",$E38*(1-SUM($H38:$O38))/(COUNTIF($H38:$O38,"x")+1),$E38*N(O38))</f>
        <v/>
      </c>
    </row>
    <row r="39">
      <c r="A39" s="16" t="n"/>
      <c r="B39" s="16" t="n"/>
      <c r="C39" s="24" t="n"/>
      <c r="D39" s="16" t="n"/>
      <c r="E39" s="23">
        <f>IF(AND(ISNUMBER(C39),ISNUMBER(D39)),C39*D39/12,0)</f>
        <v/>
      </c>
      <c r="F39" s="16" t="n"/>
      <c r="G39" s="16" t="n"/>
      <c r="H39" s="48" t="n"/>
      <c r="I39" s="48" t="n"/>
      <c r="J39" s="48" t="n"/>
      <c r="K39" s="48" t="n"/>
      <c r="L39" s="48" t="n"/>
      <c r="M39" s="48" t="n"/>
      <c r="N39" s="48" t="n"/>
      <c r="O39" s="48" t="n"/>
      <c r="P39" s="37">
        <f>IF($A39="","",1+COUNTIF($H39:$O39,"x")+COUNTIF($H39:$O39,"&gt;0"))</f>
        <v/>
      </c>
      <c r="Q39" s="20">
        <f>IF($A39="","",1-(SUM($H39:$O39)+COUNTIF($H39:$O39,"x")*(1-SUM($H39:$O39))/(COUNTIF($H39:$O39,"x")+1)))</f>
        <v/>
      </c>
      <c r="R39" s="23">
        <f>SUM(W39:AD39)</f>
        <v/>
      </c>
      <c r="S39" s="23">
        <f>E39-R39</f>
        <v/>
      </c>
      <c r="T39" s="23">
        <f>IF($A39="","",-SUMIFS(Buchungen!$E:$E,Buchungen!$H:$H,"Fixkosten",Buchungen!$F:$F,$A39,Buchungen!$W:$W,Übersicht!$B$7))</f>
        <v/>
      </c>
      <c r="U39" s="22">
        <f>IF($A39="","",IFERROR(1/(1/_xlfn.MAXIFS(Buchungen!$A:$A,Buchungen!$F:$F,$A39,Buchungen!$H:$H,"Fixkosten")),"–"))</f>
        <v/>
      </c>
      <c r="V39" s="49" t="n"/>
      <c r="W39" s="34">
        <f>IF(H39="x",$E39*(1-SUM($H39:$O39))/(COUNTIF($H39:$O39,"x")+1),$E39*N(H39))</f>
        <v/>
      </c>
      <c r="X39" s="34">
        <f>IF(I39="x",$E39*(1-SUM($H39:$O39))/(COUNTIF($H39:$O39,"x")+1),$E39*N(I39))</f>
        <v/>
      </c>
      <c r="Y39" s="34">
        <f>IF(J39="x",$E39*(1-SUM($H39:$O39))/(COUNTIF($H39:$O39,"x")+1),$E39*N(J39))</f>
        <v/>
      </c>
      <c r="Z39" s="34">
        <f>IF(K39="x",$E39*(1-SUM($H39:$O39))/(COUNTIF($H39:$O39,"x")+1),$E39*N(K39))</f>
        <v/>
      </c>
      <c r="AA39" s="34">
        <f>IF(L39="x",$E39*(1-SUM($H39:$O39))/(COUNTIF($H39:$O39,"x")+1),$E39*N(L39))</f>
        <v/>
      </c>
      <c r="AB39" s="34">
        <f>IF(M39="x",$E39*(1-SUM($H39:$O39))/(COUNTIF($H39:$O39,"x")+1),$E39*N(M39))</f>
        <v/>
      </c>
      <c r="AC39" s="34">
        <f>IF(N39="x",$E39*(1-SUM($H39:$O39))/(COUNTIF($H39:$O39,"x")+1),$E39*N(N39))</f>
        <v/>
      </c>
      <c r="AD39" s="34">
        <f>IF(O39="x",$E39*(1-SUM($H39:$O39))/(COUNTIF($H39:$O39,"x")+1),$E39*N(O39))</f>
        <v/>
      </c>
    </row>
    <row r="40">
      <c r="A40" s="16" t="n"/>
      <c r="B40" s="16" t="n"/>
      <c r="C40" s="24" t="n"/>
      <c r="D40" s="16" t="n"/>
      <c r="E40" s="23">
        <f>IF(AND(ISNUMBER(C40),ISNUMBER(D40)),C40*D40/12,0)</f>
        <v/>
      </c>
      <c r="F40" s="16" t="n"/>
      <c r="G40" s="16" t="n"/>
      <c r="H40" s="48" t="n"/>
      <c r="I40" s="48" t="n"/>
      <c r="J40" s="48" t="n"/>
      <c r="K40" s="48" t="n"/>
      <c r="L40" s="48" t="n"/>
      <c r="M40" s="48" t="n"/>
      <c r="N40" s="48" t="n"/>
      <c r="O40" s="48" t="n"/>
      <c r="P40" s="37">
        <f>IF($A40="","",1+COUNTIF($H40:$O40,"x")+COUNTIF($H40:$O40,"&gt;0"))</f>
        <v/>
      </c>
      <c r="Q40" s="20">
        <f>IF($A40="","",1-(SUM($H40:$O40)+COUNTIF($H40:$O40,"x")*(1-SUM($H40:$O40))/(COUNTIF($H40:$O40,"x")+1)))</f>
        <v/>
      </c>
      <c r="R40" s="23">
        <f>SUM(W40:AD40)</f>
        <v/>
      </c>
      <c r="S40" s="23">
        <f>E40-R40</f>
        <v/>
      </c>
      <c r="T40" s="23">
        <f>IF($A40="","",-SUMIFS(Buchungen!$E:$E,Buchungen!$H:$H,"Fixkosten",Buchungen!$F:$F,$A40,Buchungen!$W:$W,Übersicht!$B$7))</f>
        <v/>
      </c>
      <c r="U40" s="22">
        <f>IF($A40="","",IFERROR(1/(1/_xlfn.MAXIFS(Buchungen!$A:$A,Buchungen!$F:$F,$A40,Buchungen!$H:$H,"Fixkosten")),"–"))</f>
        <v/>
      </c>
      <c r="V40" s="49" t="n"/>
      <c r="W40" s="34">
        <f>IF(H40="x",$E40*(1-SUM($H40:$O40))/(COUNTIF($H40:$O40,"x")+1),$E40*N(H40))</f>
        <v/>
      </c>
      <c r="X40" s="34">
        <f>IF(I40="x",$E40*(1-SUM($H40:$O40))/(COUNTIF($H40:$O40,"x")+1),$E40*N(I40))</f>
        <v/>
      </c>
      <c r="Y40" s="34">
        <f>IF(J40="x",$E40*(1-SUM($H40:$O40))/(COUNTIF($H40:$O40,"x")+1),$E40*N(J40))</f>
        <v/>
      </c>
      <c r="Z40" s="34">
        <f>IF(K40="x",$E40*(1-SUM($H40:$O40))/(COUNTIF($H40:$O40,"x")+1),$E40*N(K40))</f>
        <v/>
      </c>
      <c r="AA40" s="34">
        <f>IF(L40="x",$E40*(1-SUM($H40:$O40))/(COUNTIF($H40:$O40,"x")+1),$E40*N(L40))</f>
        <v/>
      </c>
      <c r="AB40" s="34">
        <f>IF(M40="x",$E40*(1-SUM($H40:$O40))/(COUNTIF($H40:$O40,"x")+1),$E40*N(M40))</f>
        <v/>
      </c>
      <c r="AC40" s="34">
        <f>IF(N40="x",$E40*(1-SUM($H40:$O40))/(COUNTIF($H40:$O40,"x")+1),$E40*N(N40))</f>
        <v/>
      </c>
      <c r="AD40" s="34">
        <f>IF(O40="x",$E40*(1-SUM($H40:$O40))/(COUNTIF($H40:$O40,"x")+1),$E40*N(O40))</f>
        <v/>
      </c>
    </row>
    <row r="41">
      <c r="A41" s="16" t="n"/>
      <c r="B41" s="16" t="n"/>
      <c r="C41" s="24" t="n"/>
      <c r="D41" s="16" t="n"/>
      <c r="E41" s="23">
        <f>IF(AND(ISNUMBER(C41),ISNUMBER(D41)),C41*D41/12,0)</f>
        <v/>
      </c>
      <c r="F41" s="16" t="n"/>
      <c r="G41" s="16" t="n"/>
      <c r="H41" s="48" t="n"/>
      <c r="I41" s="48" t="n"/>
      <c r="J41" s="48" t="n"/>
      <c r="K41" s="48" t="n"/>
      <c r="L41" s="48" t="n"/>
      <c r="M41" s="48" t="n"/>
      <c r="N41" s="48" t="n"/>
      <c r="O41" s="48" t="n"/>
      <c r="P41" s="37">
        <f>IF($A41="","",1+COUNTIF($H41:$O41,"x")+COUNTIF($H41:$O41,"&gt;0"))</f>
        <v/>
      </c>
      <c r="Q41" s="20">
        <f>IF($A41="","",1-(SUM($H41:$O41)+COUNTIF($H41:$O41,"x")*(1-SUM($H41:$O41))/(COUNTIF($H41:$O41,"x")+1)))</f>
        <v/>
      </c>
      <c r="R41" s="23">
        <f>SUM(W41:AD41)</f>
        <v/>
      </c>
      <c r="S41" s="23">
        <f>E41-R41</f>
        <v/>
      </c>
      <c r="T41" s="23">
        <f>IF($A41="","",-SUMIFS(Buchungen!$E:$E,Buchungen!$H:$H,"Fixkosten",Buchungen!$F:$F,$A41,Buchungen!$W:$W,Übersicht!$B$7))</f>
        <v/>
      </c>
      <c r="U41" s="22">
        <f>IF($A41="","",IFERROR(1/(1/_xlfn.MAXIFS(Buchungen!$A:$A,Buchungen!$F:$F,$A41,Buchungen!$H:$H,"Fixkosten")),"–"))</f>
        <v/>
      </c>
      <c r="V41" s="49" t="n"/>
      <c r="W41" s="34">
        <f>IF(H41="x",$E41*(1-SUM($H41:$O41))/(COUNTIF($H41:$O41,"x")+1),$E41*N(H41))</f>
        <v/>
      </c>
      <c r="X41" s="34">
        <f>IF(I41="x",$E41*(1-SUM($H41:$O41))/(COUNTIF($H41:$O41,"x")+1),$E41*N(I41))</f>
        <v/>
      </c>
      <c r="Y41" s="34">
        <f>IF(J41="x",$E41*(1-SUM($H41:$O41))/(COUNTIF($H41:$O41,"x")+1),$E41*N(J41))</f>
        <v/>
      </c>
      <c r="Z41" s="34">
        <f>IF(K41="x",$E41*(1-SUM($H41:$O41))/(COUNTIF($H41:$O41,"x")+1),$E41*N(K41))</f>
        <v/>
      </c>
      <c r="AA41" s="34">
        <f>IF(L41="x",$E41*(1-SUM($H41:$O41))/(COUNTIF($H41:$O41,"x")+1),$E41*N(L41))</f>
        <v/>
      </c>
      <c r="AB41" s="34">
        <f>IF(M41="x",$E41*(1-SUM($H41:$O41))/(COUNTIF($H41:$O41,"x")+1),$E41*N(M41))</f>
        <v/>
      </c>
      <c r="AC41" s="34">
        <f>IF(N41="x",$E41*(1-SUM($H41:$O41))/(COUNTIF($H41:$O41,"x")+1),$E41*N(N41))</f>
        <v/>
      </c>
      <c r="AD41" s="34">
        <f>IF(O41="x",$E41*(1-SUM($H41:$O41))/(COUNTIF($H41:$O41,"x")+1),$E41*N(O41))</f>
        <v/>
      </c>
    </row>
    <row r="42">
      <c r="A42" s="16" t="n"/>
      <c r="B42" s="16" t="n"/>
      <c r="C42" s="24" t="n"/>
      <c r="D42" s="16" t="n"/>
      <c r="E42" s="23">
        <f>IF(AND(ISNUMBER(C42),ISNUMBER(D42)),C42*D42/12,0)</f>
        <v/>
      </c>
      <c r="F42" s="16" t="n"/>
      <c r="G42" s="16" t="n"/>
      <c r="H42" s="48" t="n"/>
      <c r="I42" s="48" t="n"/>
      <c r="J42" s="48" t="n"/>
      <c r="K42" s="48" t="n"/>
      <c r="L42" s="48" t="n"/>
      <c r="M42" s="48" t="n"/>
      <c r="N42" s="48" t="n"/>
      <c r="O42" s="48" t="n"/>
      <c r="P42" s="37">
        <f>IF($A42="","",1+COUNTIF($H42:$O42,"x")+COUNTIF($H42:$O42,"&gt;0"))</f>
        <v/>
      </c>
      <c r="Q42" s="20">
        <f>IF($A42="","",1-(SUM($H42:$O42)+COUNTIF($H42:$O42,"x")*(1-SUM($H42:$O42))/(COUNTIF($H42:$O42,"x")+1)))</f>
        <v/>
      </c>
      <c r="R42" s="23">
        <f>SUM(W42:AD42)</f>
        <v/>
      </c>
      <c r="S42" s="23">
        <f>E42-R42</f>
        <v/>
      </c>
      <c r="T42" s="23">
        <f>IF($A42="","",-SUMIFS(Buchungen!$E:$E,Buchungen!$H:$H,"Fixkosten",Buchungen!$F:$F,$A42,Buchungen!$W:$W,Übersicht!$B$7))</f>
        <v/>
      </c>
      <c r="U42" s="22">
        <f>IF($A42="","",IFERROR(1/(1/_xlfn.MAXIFS(Buchungen!$A:$A,Buchungen!$F:$F,$A42,Buchungen!$H:$H,"Fixkosten")),"–"))</f>
        <v/>
      </c>
      <c r="V42" s="49" t="n"/>
      <c r="W42" s="34">
        <f>IF(H42="x",$E42*(1-SUM($H42:$O42))/(COUNTIF($H42:$O42,"x")+1),$E42*N(H42))</f>
        <v/>
      </c>
      <c r="X42" s="34">
        <f>IF(I42="x",$E42*(1-SUM($H42:$O42))/(COUNTIF($H42:$O42,"x")+1),$E42*N(I42))</f>
        <v/>
      </c>
      <c r="Y42" s="34">
        <f>IF(J42="x",$E42*(1-SUM($H42:$O42))/(COUNTIF($H42:$O42,"x")+1),$E42*N(J42))</f>
        <v/>
      </c>
      <c r="Z42" s="34">
        <f>IF(K42="x",$E42*(1-SUM($H42:$O42))/(COUNTIF($H42:$O42,"x")+1),$E42*N(K42))</f>
        <v/>
      </c>
      <c r="AA42" s="34">
        <f>IF(L42="x",$E42*(1-SUM($H42:$O42))/(COUNTIF($H42:$O42,"x")+1),$E42*N(L42))</f>
        <v/>
      </c>
      <c r="AB42" s="34">
        <f>IF(M42="x",$E42*(1-SUM($H42:$O42))/(COUNTIF($H42:$O42,"x")+1),$E42*N(M42))</f>
        <v/>
      </c>
      <c r="AC42" s="34">
        <f>IF(N42="x",$E42*(1-SUM($H42:$O42))/(COUNTIF($H42:$O42,"x")+1),$E42*N(N42))</f>
        <v/>
      </c>
      <c r="AD42" s="34">
        <f>IF(O42="x",$E42*(1-SUM($H42:$O42))/(COUNTIF($H42:$O42,"x")+1),$E42*N(O42))</f>
        <v/>
      </c>
    </row>
    <row r="43">
      <c r="A43" s="16" t="n"/>
      <c r="B43" s="16" t="n"/>
      <c r="C43" s="24" t="n"/>
      <c r="D43" s="16" t="n"/>
      <c r="E43" s="23">
        <f>IF(AND(ISNUMBER(C43),ISNUMBER(D43)),C43*D43/12,0)</f>
        <v/>
      </c>
      <c r="F43" s="16" t="n"/>
      <c r="G43" s="16" t="n"/>
      <c r="H43" s="48" t="n"/>
      <c r="I43" s="48" t="n"/>
      <c r="J43" s="48" t="n"/>
      <c r="K43" s="48" t="n"/>
      <c r="L43" s="48" t="n"/>
      <c r="M43" s="48" t="n"/>
      <c r="N43" s="48" t="n"/>
      <c r="O43" s="48" t="n"/>
      <c r="P43" s="37">
        <f>IF($A43="","",1+COUNTIF($H43:$O43,"x")+COUNTIF($H43:$O43,"&gt;0"))</f>
        <v/>
      </c>
      <c r="Q43" s="20">
        <f>IF($A43="","",1-(SUM($H43:$O43)+COUNTIF($H43:$O43,"x")*(1-SUM($H43:$O43))/(COUNTIF($H43:$O43,"x")+1)))</f>
        <v/>
      </c>
      <c r="R43" s="23">
        <f>SUM(W43:AD43)</f>
        <v/>
      </c>
      <c r="S43" s="23">
        <f>E43-R43</f>
        <v/>
      </c>
      <c r="T43" s="23">
        <f>IF($A43="","",-SUMIFS(Buchungen!$E:$E,Buchungen!$H:$H,"Fixkosten",Buchungen!$F:$F,$A43,Buchungen!$W:$W,Übersicht!$B$7))</f>
        <v/>
      </c>
      <c r="U43" s="22">
        <f>IF($A43="","",IFERROR(1/(1/_xlfn.MAXIFS(Buchungen!$A:$A,Buchungen!$F:$F,$A43,Buchungen!$H:$H,"Fixkosten")),"–"))</f>
        <v/>
      </c>
      <c r="V43" s="49" t="n"/>
      <c r="W43" s="34">
        <f>IF(H43="x",$E43*(1-SUM($H43:$O43))/(COUNTIF($H43:$O43,"x")+1),$E43*N(H43))</f>
        <v/>
      </c>
      <c r="X43" s="34">
        <f>IF(I43="x",$E43*(1-SUM($H43:$O43))/(COUNTIF($H43:$O43,"x")+1),$E43*N(I43))</f>
        <v/>
      </c>
      <c r="Y43" s="34">
        <f>IF(J43="x",$E43*(1-SUM($H43:$O43))/(COUNTIF($H43:$O43,"x")+1),$E43*N(J43))</f>
        <v/>
      </c>
      <c r="Z43" s="34">
        <f>IF(K43="x",$E43*(1-SUM($H43:$O43))/(COUNTIF($H43:$O43,"x")+1),$E43*N(K43))</f>
        <v/>
      </c>
      <c r="AA43" s="34">
        <f>IF(L43="x",$E43*(1-SUM($H43:$O43))/(COUNTIF($H43:$O43,"x")+1),$E43*N(L43))</f>
        <v/>
      </c>
      <c r="AB43" s="34">
        <f>IF(M43="x",$E43*(1-SUM($H43:$O43))/(COUNTIF($H43:$O43,"x")+1),$E43*N(M43))</f>
        <v/>
      </c>
      <c r="AC43" s="34">
        <f>IF(N43="x",$E43*(1-SUM($H43:$O43))/(COUNTIF($H43:$O43,"x")+1),$E43*N(N43))</f>
        <v/>
      </c>
      <c r="AD43" s="34">
        <f>IF(O43="x",$E43*(1-SUM($H43:$O43))/(COUNTIF($H43:$O43,"x")+1),$E43*N(O43))</f>
        <v/>
      </c>
    </row>
    <row r="44">
      <c r="A44" s="16" t="n"/>
      <c r="B44" s="16" t="n"/>
      <c r="C44" s="24" t="n"/>
      <c r="D44" s="16" t="n"/>
      <c r="E44" s="23">
        <f>IF(AND(ISNUMBER(C44),ISNUMBER(D44)),C44*D44/12,0)</f>
        <v/>
      </c>
      <c r="F44" s="16" t="n"/>
      <c r="G44" s="16" t="n"/>
      <c r="H44" s="48" t="n"/>
      <c r="I44" s="48" t="n"/>
      <c r="J44" s="48" t="n"/>
      <c r="K44" s="48" t="n"/>
      <c r="L44" s="48" t="n"/>
      <c r="M44" s="48" t="n"/>
      <c r="N44" s="48" t="n"/>
      <c r="O44" s="48" t="n"/>
      <c r="P44" s="37">
        <f>IF($A44="","",1+COUNTIF($H44:$O44,"x")+COUNTIF($H44:$O44,"&gt;0"))</f>
        <v/>
      </c>
      <c r="Q44" s="20">
        <f>IF($A44="","",1-(SUM($H44:$O44)+COUNTIF($H44:$O44,"x")*(1-SUM($H44:$O44))/(COUNTIF($H44:$O44,"x")+1)))</f>
        <v/>
      </c>
      <c r="R44" s="23">
        <f>SUM(W44:AD44)</f>
        <v/>
      </c>
      <c r="S44" s="23">
        <f>E44-R44</f>
        <v/>
      </c>
      <c r="T44" s="23">
        <f>IF($A44="","",-SUMIFS(Buchungen!$E:$E,Buchungen!$H:$H,"Fixkosten",Buchungen!$F:$F,$A44,Buchungen!$W:$W,Übersicht!$B$7))</f>
        <v/>
      </c>
      <c r="U44" s="22">
        <f>IF($A44="","",IFERROR(1/(1/_xlfn.MAXIFS(Buchungen!$A:$A,Buchungen!$F:$F,$A44,Buchungen!$H:$H,"Fixkosten")),"–"))</f>
        <v/>
      </c>
      <c r="V44" s="49" t="n"/>
      <c r="W44" s="34">
        <f>IF(H44="x",$E44*(1-SUM($H44:$O44))/(COUNTIF($H44:$O44,"x")+1),$E44*N(H44))</f>
        <v/>
      </c>
      <c r="X44" s="34">
        <f>IF(I44="x",$E44*(1-SUM($H44:$O44))/(COUNTIF($H44:$O44,"x")+1),$E44*N(I44))</f>
        <v/>
      </c>
      <c r="Y44" s="34">
        <f>IF(J44="x",$E44*(1-SUM($H44:$O44))/(COUNTIF($H44:$O44,"x")+1),$E44*N(J44))</f>
        <v/>
      </c>
      <c r="Z44" s="34">
        <f>IF(K44="x",$E44*(1-SUM($H44:$O44))/(COUNTIF($H44:$O44,"x")+1),$E44*N(K44))</f>
        <v/>
      </c>
      <c r="AA44" s="34">
        <f>IF(L44="x",$E44*(1-SUM($H44:$O44))/(COUNTIF($H44:$O44,"x")+1),$E44*N(L44))</f>
        <v/>
      </c>
      <c r="AB44" s="34">
        <f>IF(M44="x",$E44*(1-SUM($H44:$O44))/(COUNTIF($H44:$O44,"x")+1),$E44*N(M44))</f>
        <v/>
      </c>
      <c r="AC44" s="34">
        <f>IF(N44="x",$E44*(1-SUM($H44:$O44))/(COUNTIF($H44:$O44,"x")+1),$E44*N(N44))</f>
        <v/>
      </c>
      <c r="AD44" s="34">
        <f>IF(O44="x",$E44*(1-SUM($H44:$O44))/(COUNTIF($H44:$O44,"x")+1),$E44*N(O44))</f>
        <v/>
      </c>
    </row>
    <row r="45">
      <c r="A45" s="16" t="n"/>
      <c r="B45" s="16" t="n"/>
      <c r="C45" s="24" t="n"/>
      <c r="D45" s="16" t="n"/>
      <c r="E45" s="23">
        <f>IF(AND(ISNUMBER(C45),ISNUMBER(D45)),C45*D45/12,0)</f>
        <v/>
      </c>
      <c r="F45" s="16" t="n"/>
      <c r="G45" s="16" t="n"/>
      <c r="H45" s="48" t="n"/>
      <c r="I45" s="48" t="n"/>
      <c r="J45" s="48" t="n"/>
      <c r="K45" s="48" t="n"/>
      <c r="L45" s="48" t="n"/>
      <c r="M45" s="48" t="n"/>
      <c r="N45" s="48" t="n"/>
      <c r="O45" s="48" t="n"/>
      <c r="P45" s="37">
        <f>IF($A45="","",1+COUNTIF($H45:$O45,"x")+COUNTIF($H45:$O45,"&gt;0"))</f>
        <v/>
      </c>
      <c r="Q45" s="20">
        <f>IF($A45="","",1-(SUM($H45:$O45)+COUNTIF($H45:$O45,"x")*(1-SUM($H45:$O45))/(COUNTIF($H45:$O45,"x")+1)))</f>
        <v/>
      </c>
      <c r="R45" s="23">
        <f>SUM(W45:AD45)</f>
        <v/>
      </c>
      <c r="S45" s="23">
        <f>E45-R45</f>
        <v/>
      </c>
      <c r="T45" s="23">
        <f>IF($A45="","",-SUMIFS(Buchungen!$E:$E,Buchungen!$H:$H,"Fixkosten",Buchungen!$F:$F,$A45,Buchungen!$W:$W,Übersicht!$B$7))</f>
        <v/>
      </c>
      <c r="U45" s="22">
        <f>IF($A45="","",IFERROR(1/(1/_xlfn.MAXIFS(Buchungen!$A:$A,Buchungen!$F:$F,$A45,Buchungen!$H:$H,"Fixkosten")),"–"))</f>
        <v/>
      </c>
      <c r="V45" s="49" t="n"/>
      <c r="W45" s="34">
        <f>IF(H45="x",$E45*(1-SUM($H45:$O45))/(COUNTIF($H45:$O45,"x")+1),$E45*N(H45))</f>
        <v/>
      </c>
      <c r="X45" s="34">
        <f>IF(I45="x",$E45*(1-SUM($H45:$O45))/(COUNTIF($H45:$O45,"x")+1),$E45*N(I45))</f>
        <v/>
      </c>
      <c r="Y45" s="34">
        <f>IF(J45="x",$E45*(1-SUM($H45:$O45))/(COUNTIF($H45:$O45,"x")+1),$E45*N(J45))</f>
        <v/>
      </c>
      <c r="Z45" s="34">
        <f>IF(K45="x",$E45*(1-SUM($H45:$O45))/(COUNTIF($H45:$O45,"x")+1),$E45*N(K45))</f>
        <v/>
      </c>
      <c r="AA45" s="34">
        <f>IF(L45="x",$E45*(1-SUM($H45:$O45))/(COUNTIF($H45:$O45,"x")+1),$E45*N(L45))</f>
        <v/>
      </c>
      <c r="AB45" s="34">
        <f>IF(M45="x",$E45*(1-SUM($H45:$O45))/(COUNTIF($H45:$O45,"x")+1),$E45*N(M45))</f>
        <v/>
      </c>
      <c r="AC45" s="34">
        <f>IF(N45="x",$E45*(1-SUM($H45:$O45))/(COUNTIF($H45:$O45,"x")+1),$E45*N(N45))</f>
        <v/>
      </c>
      <c r="AD45" s="34">
        <f>IF(O45="x",$E45*(1-SUM($H45:$O45))/(COUNTIF($H45:$O45,"x")+1),$E45*N(O45))</f>
        <v/>
      </c>
    </row>
    <row r="46">
      <c r="A46" s="16" t="n"/>
      <c r="B46" s="16" t="n"/>
      <c r="C46" s="24" t="n"/>
      <c r="D46" s="16" t="n"/>
      <c r="E46" s="23">
        <f>IF(AND(ISNUMBER(C46),ISNUMBER(D46)),C46*D46/12,0)</f>
        <v/>
      </c>
      <c r="F46" s="16" t="n"/>
      <c r="G46" s="16" t="n"/>
      <c r="H46" s="48" t="n"/>
      <c r="I46" s="48" t="n"/>
      <c r="J46" s="48" t="n"/>
      <c r="K46" s="48" t="n"/>
      <c r="L46" s="48" t="n"/>
      <c r="M46" s="48" t="n"/>
      <c r="N46" s="48" t="n"/>
      <c r="O46" s="48" t="n"/>
      <c r="P46" s="37">
        <f>IF($A46="","",1+COUNTIF($H46:$O46,"x")+COUNTIF($H46:$O46,"&gt;0"))</f>
        <v/>
      </c>
      <c r="Q46" s="20">
        <f>IF($A46="","",1-(SUM($H46:$O46)+COUNTIF($H46:$O46,"x")*(1-SUM($H46:$O46))/(COUNTIF($H46:$O46,"x")+1)))</f>
        <v/>
      </c>
      <c r="R46" s="23">
        <f>SUM(W46:AD46)</f>
        <v/>
      </c>
      <c r="S46" s="23">
        <f>E46-R46</f>
        <v/>
      </c>
      <c r="T46" s="23">
        <f>IF($A46="","",-SUMIFS(Buchungen!$E:$E,Buchungen!$H:$H,"Fixkosten",Buchungen!$F:$F,$A46,Buchungen!$W:$W,Übersicht!$B$7))</f>
        <v/>
      </c>
      <c r="U46" s="22">
        <f>IF($A46="","",IFERROR(1/(1/_xlfn.MAXIFS(Buchungen!$A:$A,Buchungen!$F:$F,$A46,Buchungen!$H:$H,"Fixkosten")),"–"))</f>
        <v/>
      </c>
      <c r="V46" s="49" t="n"/>
      <c r="W46" s="34">
        <f>IF(H46="x",$E46*(1-SUM($H46:$O46))/(COUNTIF($H46:$O46,"x")+1),$E46*N(H46))</f>
        <v/>
      </c>
      <c r="X46" s="34">
        <f>IF(I46="x",$E46*(1-SUM($H46:$O46))/(COUNTIF($H46:$O46,"x")+1),$E46*N(I46))</f>
        <v/>
      </c>
      <c r="Y46" s="34">
        <f>IF(J46="x",$E46*(1-SUM($H46:$O46))/(COUNTIF($H46:$O46,"x")+1),$E46*N(J46))</f>
        <v/>
      </c>
      <c r="Z46" s="34">
        <f>IF(K46="x",$E46*(1-SUM($H46:$O46))/(COUNTIF($H46:$O46,"x")+1),$E46*N(K46))</f>
        <v/>
      </c>
      <c r="AA46" s="34">
        <f>IF(L46="x",$E46*(1-SUM($H46:$O46))/(COUNTIF($H46:$O46,"x")+1),$E46*N(L46))</f>
        <v/>
      </c>
      <c r="AB46" s="34">
        <f>IF(M46="x",$E46*(1-SUM($H46:$O46))/(COUNTIF($H46:$O46,"x")+1),$E46*N(M46))</f>
        <v/>
      </c>
      <c r="AC46" s="34">
        <f>IF(N46="x",$E46*(1-SUM($H46:$O46))/(COUNTIF($H46:$O46,"x")+1),$E46*N(N46))</f>
        <v/>
      </c>
      <c r="AD46" s="34">
        <f>IF(O46="x",$E46*(1-SUM($H46:$O46))/(COUNTIF($H46:$O46,"x")+1),$E46*N(O46))</f>
        <v/>
      </c>
    </row>
    <row r="47">
      <c r="A47" s="16" t="n"/>
      <c r="B47" s="16" t="n"/>
      <c r="C47" s="24" t="n"/>
      <c r="D47" s="16" t="n"/>
      <c r="E47" s="23">
        <f>IF(AND(ISNUMBER(C47),ISNUMBER(D47)),C47*D47/12,0)</f>
        <v/>
      </c>
      <c r="F47" s="16" t="n"/>
      <c r="G47" s="16" t="n"/>
      <c r="H47" s="48" t="n"/>
      <c r="I47" s="48" t="n"/>
      <c r="J47" s="48" t="n"/>
      <c r="K47" s="48" t="n"/>
      <c r="L47" s="48" t="n"/>
      <c r="M47" s="48" t="n"/>
      <c r="N47" s="48" t="n"/>
      <c r="O47" s="48" t="n"/>
      <c r="P47" s="37">
        <f>IF($A47="","",1+COUNTIF($H47:$O47,"x")+COUNTIF($H47:$O47,"&gt;0"))</f>
        <v/>
      </c>
      <c r="Q47" s="20">
        <f>IF($A47="","",1-(SUM($H47:$O47)+COUNTIF($H47:$O47,"x")*(1-SUM($H47:$O47))/(COUNTIF($H47:$O47,"x")+1)))</f>
        <v/>
      </c>
      <c r="R47" s="23">
        <f>SUM(W47:AD47)</f>
        <v/>
      </c>
      <c r="S47" s="23">
        <f>E47-R47</f>
        <v/>
      </c>
      <c r="T47" s="23">
        <f>IF($A47="","",-SUMIFS(Buchungen!$E:$E,Buchungen!$H:$H,"Fixkosten",Buchungen!$F:$F,$A47,Buchungen!$W:$W,Übersicht!$B$7))</f>
        <v/>
      </c>
      <c r="U47" s="22">
        <f>IF($A47="","",IFERROR(1/(1/_xlfn.MAXIFS(Buchungen!$A:$A,Buchungen!$F:$F,$A47,Buchungen!$H:$H,"Fixkosten")),"–"))</f>
        <v/>
      </c>
      <c r="V47" s="49" t="n"/>
      <c r="W47" s="34">
        <f>IF(H47="x",$E47*(1-SUM($H47:$O47))/(COUNTIF($H47:$O47,"x")+1),$E47*N(H47))</f>
        <v/>
      </c>
      <c r="X47" s="34">
        <f>IF(I47="x",$E47*(1-SUM($H47:$O47))/(COUNTIF($H47:$O47,"x")+1),$E47*N(I47))</f>
        <v/>
      </c>
      <c r="Y47" s="34">
        <f>IF(J47="x",$E47*(1-SUM($H47:$O47))/(COUNTIF($H47:$O47,"x")+1),$E47*N(J47))</f>
        <v/>
      </c>
      <c r="Z47" s="34">
        <f>IF(K47="x",$E47*(1-SUM($H47:$O47))/(COUNTIF($H47:$O47,"x")+1),$E47*N(K47))</f>
        <v/>
      </c>
      <c r="AA47" s="34">
        <f>IF(L47="x",$E47*(1-SUM($H47:$O47))/(COUNTIF($H47:$O47,"x")+1),$E47*N(L47))</f>
        <v/>
      </c>
      <c r="AB47" s="34">
        <f>IF(M47="x",$E47*(1-SUM($H47:$O47))/(COUNTIF($H47:$O47,"x")+1),$E47*N(M47))</f>
        <v/>
      </c>
      <c r="AC47" s="34">
        <f>IF(N47="x",$E47*(1-SUM($H47:$O47))/(COUNTIF($H47:$O47,"x")+1),$E47*N(N47))</f>
        <v/>
      </c>
      <c r="AD47" s="34">
        <f>IF(O47="x",$E47*(1-SUM($H47:$O47))/(COUNTIF($H47:$O47,"x")+1),$E47*N(O47))</f>
        <v/>
      </c>
    </row>
    <row r="48">
      <c r="A48" s="16" t="n"/>
      <c r="B48" s="16" t="n"/>
      <c r="C48" s="24" t="n"/>
      <c r="D48" s="16" t="n"/>
      <c r="E48" s="23">
        <f>IF(AND(ISNUMBER(C48),ISNUMBER(D48)),C48*D48/12,0)</f>
        <v/>
      </c>
      <c r="F48" s="16" t="n"/>
      <c r="G48" s="16" t="n"/>
      <c r="H48" s="48" t="n"/>
      <c r="I48" s="48" t="n"/>
      <c r="J48" s="48" t="n"/>
      <c r="K48" s="48" t="n"/>
      <c r="L48" s="48" t="n"/>
      <c r="M48" s="48" t="n"/>
      <c r="N48" s="48" t="n"/>
      <c r="O48" s="48" t="n"/>
      <c r="P48" s="37">
        <f>IF($A48="","",1+COUNTIF($H48:$O48,"x")+COUNTIF($H48:$O48,"&gt;0"))</f>
        <v/>
      </c>
      <c r="Q48" s="20">
        <f>IF($A48="","",1-(SUM($H48:$O48)+COUNTIF($H48:$O48,"x")*(1-SUM($H48:$O48))/(COUNTIF($H48:$O48,"x")+1)))</f>
        <v/>
      </c>
      <c r="R48" s="23">
        <f>SUM(W48:AD48)</f>
        <v/>
      </c>
      <c r="S48" s="23">
        <f>E48-R48</f>
        <v/>
      </c>
      <c r="T48" s="23">
        <f>IF($A48="","",-SUMIFS(Buchungen!$E:$E,Buchungen!$H:$H,"Fixkosten",Buchungen!$F:$F,$A48,Buchungen!$W:$W,Übersicht!$B$7))</f>
        <v/>
      </c>
      <c r="U48" s="22">
        <f>IF($A48="","",IFERROR(1/(1/_xlfn.MAXIFS(Buchungen!$A:$A,Buchungen!$F:$F,$A48,Buchungen!$H:$H,"Fixkosten")),"–"))</f>
        <v/>
      </c>
      <c r="V48" s="49" t="n"/>
      <c r="W48" s="34">
        <f>IF(H48="x",$E48*(1-SUM($H48:$O48))/(COUNTIF($H48:$O48,"x")+1),$E48*N(H48))</f>
        <v/>
      </c>
      <c r="X48" s="34">
        <f>IF(I48="x",$E48*(1-SUM($H48:$O48))/(COUNTIF($H48:$O48,"x")+1),$E48*N(I48))</f>
        <v/>
      </c>
      <c r="Y48" s="34">
        <f>IF(J48="x",$E48*(1-SUM($H48:$O48))/(COUNTIF($H48:$O48,"x")+1),$E48*N(J48))</f>
        <v/>
      </c>
      <c r="Z48" s="34">
        <f>IF(K48="x",$E48*(1-SUM($H48:$O48))/(COUNTIF($H48:$O48,"x")+1),$E48*N(K48))</f>
        <v/>
      </c>
      <c r="AA48" s="34">
        <f>IF(L48="x",$E48*(1-SUM($H48:$O48))/(COUNTIF($H48:$O48,"x")+1),$E48*N(L48))</f>
        <v/>
      </c>
      <c r="AB48" s="34">
        <f>IF(M48="x",$E48*(1-SUM($H48:$O48))/(COUNTIF($H48:$O48,"x")+1),$E48*N(M48))</f>
        <v/>
      </c>
      <c r="AC48" s="34">
        <f>IF(N48="x",$E48*(1-SUM($H48:$O48))/(COUNTIF($H48:$O48,"x")+1),$E48*N(N48))</f>
        <v/>
      </c>
      <c r="AD48" s="34">
        <f>IF(O48="x",$E48*(1-SUM($H48:$O48))/(COUNTIF($H48:$O48,"x")+1),$E48*N(O48))</f>
        <v/>
      </c>
    </row>
    <row r="49">
      <c r="A49" s="16" t="n"/>
      <c r="B49" s="16" t="n"/>
      <c r="C49" s="24" t="n"/>
      <c r="D49" s="16" t="n"/>
      <c r="E49" s="23">
        <f>IF(AND(ISNUMBER(C49),ISNUMBER(D49)),C49*D49/12,0)</f>
        <v/>
      </c>
      <c r="F49" s="16" t="n"/>
      <c r="G49" s="16" t="n"/>
      <c r="H49" s="48" t="n"/>
      <c r="I49" s="48" t="n"/>
      <c r="J49" s="48" t="n"/>
      <c r="K49" s="48" t="n"/>
      <c r="L49" s="48" t="n"/>
      <c r="M49" s="48" t="n"/>
      <c r="N49" s="48" t="n"/>
      <c r="O49" s="48" t="n"/>
      <c r="P49" s="37">
        <f>IF($A49="","",1+COUNTIF($H49:$O49,"x")+COUNTIF($H49:$O49,"&gt;0"))</f>
        <v/>
      </c>
      <c r="Q49" s="20">
        <f>IF($A49="","",1-(SUM($H49:$O49)+COUNTIF($H49:$O49,"x")*(1-SUM($H49:$O49))/(COUNTIF($H49:$O49,"x")+1)))</f>
        <v/>
      </c>
      <c r="R49" s="23">
        <f>SUM(W49:AD49)</f>
        <v/>
      </c>
      <c r="S49" s="23">
        <f>E49-R49</f>
        <v/>
      </c>
      <c r="T49" s="23">
        <f>IF($A49="","",-SUMIFS(Buchungen!$E:$E,Buchungen!$H:$H,"Fixkosten",Buchungen!$F:$F,$A49,Buchungen!$W:$W,Übersicht!$B$7))</f>
        <v/>
      </c>
      <c r="U49" s="22">
        <f>IF($A49="","",IFERROR(1/(1/_xlfn.MAXIFS(Buchungen!$A:$A,Buchungen!$F:$F,$A49,Buchungen!$H:$H,"Fixkosten")),"–"))</f>
        <v/>
      </c>
      <c r="V49" s="49" t="n"/>
      <c r="W49" s="34">
        <f>IF(H49="x",$E49*(1-SUM($H49:$O49))/(COUNTIF($H49:$O49,"x")+1),$E49*N(H49))</f>
        <v/>
      </c>
      <c r="X49" s="34">
        <f>IF(I49="x",$E49*(1-SUM($H49:$O49))/(COUNTIF($H49:$O49,"x")+1),$E49*N(I49))</f>
        <v/>
      </c>
      <c r="Y49" s="34">
        <f>IF(J49="x",$E49*(1-SUM($H49:$O49))/(COUNTIF($H49:$O49,"x")+1),$E49*N(J49))</f>
        <v/>
      </c>
      <c r="Z49" s="34">
        <f>IF(K49="x",$E49*(1-SUM($H49:$O49))/(COUNTIF($H49:$O49,"x")+1),$E49*N(K49))</f>
        <v/>
      </c>
      <c r="AA49" s="34">
        <f>IF(L49="x",$E49*(1-SUM($H49:$O49))/(COUNTIF($H49:$O49,"x")+1),$E49*N(L49))</f>
        <v/>
      </c>
      <c r="AB49" s="34">
        <f>IF(M49="x",$E49*(1-SUM($H49:$O49))/(COUNTIF($H49:$O49,"x")+1),$E49*N(M49))</f>
        <v/>
      </c>
      <c r="AC49" s="34">
        <f>IF(N49="x",$E49*(1-SUM($H49:$O49))/(COUNTIF($H49:$O49,"x")+1),$E49*N(N49))</f>
        <v/>
      </c>
      <c r="AD49" s="34">
        <f>IF(O49="x",$E49*(1-SUM($H49:$O49))/(COUNTIF($H49:$O49,"x")+1),$E49*N(O49))</f>
        <v/>
      </c>
    </row>
    <row r="50">
      <c r="A50" s="16" t="n"/>
      <c r="B50" s="16" t="n"/>
      <c r="C50" s="24" t="n"/>
      <c r="D50" s="16" t="n"/>
      <c r="E50" s="23">
        <f>IF(AND(ISNUMBER(C50),ISNUMBER(D50)),C50*D50/12,0)</f>
        <v/>
      </c>
      <c r="F50" s="16" t="n"/>
      <c r="G50" s="16" t="n"/>
      <c r="H50" s="48" t="n"/>
      <c r="I50" s="48" t="n"/>
      <c r="J50" s="48" t="n"/>
      <c r="K50" s="48" t="n"/>
      <c r="L50" s="48" t="n"/>
      <c r="M50" s="48" t="n"/>
      <c r="N50" s="48" t="n"/>
      <c r="O50" s="48" t="n"/>
      <c r="P50" s="37">
        <f>IF($A50="","",1+COUNTIF($H50:$O50,"x")+COUNTIF($H50:$O50,"&gt;0"))</f>
        <v/>
      </c>
      <c r="Q50" s="20">
        <f>IF($A50="","",1-(SUM($H50:$O50)+COUNTIF($H50:$O50,"x")*(1-SUM($H50:$O50))/(COUNTIF($H50:$O50,"x")+1)))</f>
        <v/>
      </c>
      <c r="R50" s="23">
        <f>SUM(W50:AD50)</f>
        <v/>
      </c>
      <c r="S50" s="23">
        <f>E50-R50</f>
        <v/>
      </c>
      <c r="T50" s="23">
        <f>IF($A50="","",-SUMIFS(Buchungen!$E:$E,Buchungen!$H:$H,"Fixkosten",Buchungen!$F:$F,$A50,Buchungen!$W:$W,Übersicht!$B$7))</f>
        <v/>
      </c>
      <c r="U50" s="22">
        <f>IF($A50="","",IFERROR(1/(1/_xlfn.MAXIFS(Buchungen!$A:$A,Buchungen!$F:$F,$A50,Buchungen!$H:$H,"Fixkosten")),"–"))</f>
        <v/>
      </c>
      <c r="V50" s="49" t="n"/>
      <c r="W50" s="34">
        <f>IF(H50="x",$E50*(1-SUM($H50:$O50))/(COUNTIF($H50:$O50,"x")+1),$E50*N(H50))</f>
        <v/>
      </c>
      <c r="X50" s="34">
        <f>IF(I50="x",$E50*(1-SUM($H50:$O50))/(COUNTIF($H50:$O50,"x")+1),$E50*N(I50))</f>
        <v/>
      </c>
      <c r="Y50" s="34">
        <f>IF(J50="x",$E50*(1-SUM($H50:$O50))/(COUNTIF($H50:$O50,"x")+1),$E50*N(J50))</f>
        <v/>
      </c>
      <c r="Z50" s="34">
        <f>IF(K50="x",$E50*(1-SUM($H50:$O50))/(COUNTIF($H50:$O50,"x")+1),$E50*N(K50))</f>
        <v/>
      </c>
      <c r="AA50" s="34">
        <f>IF(L50="x",$E50*(1-SUM($H50:$O50))/(COUNTIF($H50:$O50,"x")+1),$E50*N(L50))</f>
        <v/>
      </c>
      <c r="AB50" s="34">
        <f>IF(M50="x",$E50*(1-SUM($H50:$O50))/(COUNTIF($H50:$O50,"x")+1),$E50*N(M50))</f>
        <v/>
      </c>
      <c r="AC50" s="34">
        <f>IF(N50="x",$E50*(1-SUM($H50:$O50))/(COUNTIF($H50:$O50,"x")+1),$E50*N(N50))</f>
        <v/>
      </c>
      <c r="AD50" s="34">
        <f>IF(O50="x",$E50*(1-SUM($H50:$O50))/(COUNTIF($H50:$O50,"x")+1),$E50*N(O50))</f>
        <v/>
      </c>
    </row>
    <row r="51">
      <c r="A51" s="16" t="n"/>
      <c r="B51" s="16" t="n"/>
      <c r="C51" s="24" t="n"/>
      <c r="D51" s="16" t="n"/>
      <c r="E51" s="23">
        <f>IF(AND(ISNUMBER(C51),ISNUMBER(D51)),C51*D51/12,0)</f>
        <v/>
      </c>
      <c r="F51" s="16" t="n"/>
      <c r="G51" s="16" t="n"/>
      <c r="H51" s="48" t="n"/>
      <c r="I51" s="48" t="n"/>
      <c r="J51" s="48" t="n"/>
      <c r="K51" s="48" t="n"/>
      <c r="L51" s="48" t="n"/>
      <c r="M51" s="48" t="n"/>
      <c r="N51" s="48" t="n"/>
      <c r="O51" s="48" t="n"/>
      <c r="P51" s="37">
        <f>IF($A51="","",1+COUNTIF($H51:$O51,"x")+COUNTIF($H51:$O51,"&gt;0"))</f>
        <v/>
      </c>
      <c r="Q51" s="20">
        <f>IF($A51="","",1-(SUM($H51:$O51)+COUNTIF($H51:$O51,"x")*(1-SUM($H51:$O51))/(COUNTIF($H51:$O51,"x")+1)))</f>
        <v/>
      </c>
      <c r="R51" s="23">
        <f>SUM(W51:AD51)</f>
        <v/>
      </c>
      <c r="S51" s="23">
        <f>E51-R51</f>
        <v/>
      </c>
      <c r="T51" s="23">
        <f>IF($A51="","",-SUMIFS(Buchungen!$E:$E,Buchungen!$H:$H,"Fixkosten",Buchungen!$F:$F,$A51,Buchungen!$W:$W,Übersicht!$B$7))</f>
        <v/>
      </c>
      <c r="U51" s="22">
        <f>IF($A51="","",IFERROR(1/(1/_xlfn.MAXIFS(Buchungen!$A:$A,Buchungen!$F:$F,$A51,Buchungen!$H:$H,"Fixkosten")),"–"))</f>
        <v/>
      </c>
      <c r="V51" s="49" t="n"/>
      <c r="W51" s="34">
        <f>IF(H51="x",$E51*(1-SUM($H51:$O51))/(COUNTIF($H51:$O51,"x")+1),$E51*N(H51))</f>
        <v/>
      </c>
      <c r="X51" s="34">
        <f>IF(I51="x",$E51*(1-SUM($H51:$O51))/(COUNTIF($H51:$O51,"x")+1),$E51*N(I51))</f>
        <v/>
      </c>
      <c r="Y51" s="34">
        <f>IF(J51="x",$E51*(1-SUM($H51:$O51))/(COUNTIF($H51:$O51,"x")+1),$E51*N(J51))</f>
        <v/>
      </c>
      <c r="Z51" s="34">
        <f>IF(K51="x",$E51*(1-SUM($H51:$O51))/(COUNTIF($H51:$O51,"x")+1),$E51*N(K51))</f>
        <v/>
      </c>
      <c r="AA51" s="34">
        <f>IF(L51="x",$E51*(1-SUM($H51:$O51))/(COUNTIF($H51:$O51,"x")+1),$E51*N(L51))</f>
        <v/>
      </c>
      <c r="AB51" s="34">
        <f>IF(M51="x",$E51*(1-SUM($H51:$O51))/(COUNTIF($H51:$O51,"x")+1),$E51*N(M51))</f>
        <v/>
      </c>
      <c r="AC51" s="34">
        <f>IF(N51="x",$E51*(1-SUM($H51:$O51))/(COUNTIF($H51:$O51,"x")+1),$E51*N(N51))</f>
        <v/>
      </c>
      <c r="AD51" s="34">
        <f>IF(O51="x",$E51*(1-SUM($H51:$O51))/(COUNTIF($H51:$O51,"x")+1),$E51*N(O51))</f>
        <v/>
      </c>
    </row>
    <row r="52">
      <c r="A52" s="16" t="n"/>
      <c r="B52" s="16" t="n"/>
      <c r="C52" s="24" t="n"/>
      <c r="D52" s="16" t="n"/>
      <c r="E52" s="23">
        <f>IF(AND(ISNUMBER(C52),ISNUMBER(D52)),C52*D52/12,0)</f>
        <v/>
      </c>
      <c r="F52" s="16" t="n"/>
      <c r="G52" s="16" t="n"/>
      <c r="H52" s="48" t="n"/>
      <c r="I52" s="48" t="n"/>
      <c r="J52" s="48" t="n"/>
      <c r="K52" s="48" t="n"/>
      <c r="L52" s="48" t="n"/>
      <c r="M52" s="48" t="n"/>
      <c r="N52" s="48" t="n"/>
      <c r="O52" s="48" t="n"/>
      <c r="P52" s="37">
        <f>IF($A52="","",1+COUNTIF($H52:$O52,"x")+COUNTIF($H52:$O52,"&gt;0"))</f>
        <v/>
      </c>
      <c r="Q52" s="20">
        <f>IF($A52="","",1-(SUM($H52:$O52)+COUNTIF($H52:$O52,"x")*(1-SUM($H52:$O52))/(COUNTIF($H52:$O52,"x")+1)))</f>
        <v/>
      </c>
      <c r="R52" s="23">
        <f>SUM(W52:AD52)</f>
        <v/>
      </c>
      <c r="S52" s="23">
        <f>E52-R52</f>
        <v/>
      </c>
      <c r="T52" s="23">
        <f>IF($A52="","",-SUMIFS(Buchungen!$E:$E,Buchungen!$H:$H,"Fixkosten",Buchungen!$F:$F,$A52,Buchungen!$W:$W,Übersicht!$B$7))</f>
        <v/>
      </c>
      <c r="U52" s="22">
        <f>IF($A52="","",IFERROR(1/(1/_xlfn.MAXIFS(Buchungen!$A:$A,Buchungen!$F:$F,$A52,Buchungen!$H:$H,"Fixkosten")),"–"))</f>
        <v/>
      </c>
      <c r="V52" s="49" t="n"/>
      <c r="W52" s="34">
        <f>IF(H52="x",$E52*(1-SUM($H52:$O52))/(COUNTIF($H52:$O52,"x")+1),$E52*N(H52))</f>
        <v/>
      </c>
      <c r="X52" s="34">
        <f>IF(I52="x",$E52*(1-SUM($H52:$O52))/(COUNTIF($H52:$O52,"x")+1),$E52*N(I52))</f>
        <v/>
      </c>
      <c r="Y52" s="34">
        <f>IF(J52="x",$E52*(1-SUM($H52:$O52))/(COUNTIF($H52:$O52,"x")+1),$E52*N(J52))</f>
        <v/>
      </c>
      <c r="Z52" s="34">
        <f>IF(K52="x",$E52*(1-SUM($H52:$O52))/(COUNTIF($H52:$O52,"x")+1),$E52*N(K52))</f>
        <v/>
      </c>
      <c r="AA52" s="34">
        <f>IF(L52="x",$E52*(1-SUM($H52:$O52))/(COUNTIF($H52:$O52,"x")+1),$E52*N(L52))</f>
        <v/>
      </c>
      <c r="AB52" s="34">
        <f>IF(M52="x",$E52*(1-SUM($H52:$O52))/(COUNTIF($H52:$O52,"x")+1),$E52*N(M52))</f>
        <v/>
      </c>
      <c r="AC52" s="34">
        <f>IF(N52="x",$E52*(1-SUM($H52:$O52))/(COUNTIF($H52:$O52,"x")+1),$E52*N(N52))</f>
        <v/>
      </c>
      <c r="AD52" s="34">
        <f>IF(O52="x",$E52*(1-SUM($H52:$O52))/(COUNTIF($H52:$O52,"x")+1),$E52*N(O52))</f>
        <v/>
      </c>
    </row>
    <row r="53">
      <c r="A53" s="45" t="inlineStr">
        <is>
          <t>Summe pro Monat (Ø)</t>
        </is>
      </c>
      <c r="B53" s="45" t="n"/>
      <c r="C53" s="46" t="n"/>
      <c r="D53" s="46" t="n"/>
      <c r="E53" s="46">
        <f>SUM(E13:E52)</f>
        <v/>
      </c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5" t="n"/>
      <c r="Q53" s="45" t="n"/>
      <c r="R53" s="46">
        <f>SUM(R13:R52)</f>
        <v/>
      </c>
      <c r="S53" s="46">
        <f>SUM(S13:S52)</f>
        <v/>
      </c>
      <c r="T53" s="46">
        <f>SUM(T13:T52)</f>
        <v/>
      </c>
      <c r="U53" s="46" t="n"/>
      <c r="V53" s="45" t="n"/>
    </row>
    <row r="54">
      <c r="A54" s="45" t="inlineStr">
        <is>
          <t>Anteil der Mitzahler in € pro Monat</t>
        </is>
      </c>
      <c r="B54" s="45" t="n"/>
      <c r="C54" s="46" t="n"/>
      <c r="D54" s="46" t="n"/>
      <c r="E54" s="46" t="n"/>
      <c r="F54" s="46" t="n"/>
      <c r="G54" s="46" t="n"/>
      <c r="H54" s="46">
        <f>SUM(W13:W52)</f>
        <v/>
      </c>
      <c r="I54" s="46">
        <f>SUM(X13:X52)</f>
        <v/>
      </c>
      <c r="J54" s="46">
        <f>SUM(Y13:Y52)</f>
        <v/>
      </c>
      <c r="K54" s="46">
        <f>SUM(Z13:Z52)</f>
        <v/>
      </c>
      <c r="L54" s="46">
        <f>SUM(AA13:AA52)</f>
        <v/>
      </c>
      <c r="M54" s="46">
        <f>SUM(AB13:AB52)</f>
        <v/>
      </c>
      <c r="N54" s="46">
        <f>SUM(AC13:AC52)</f>
        <v/>
      </c>
      <c r="O54" s="46">
        <f>SUM(AD13:AD52)</f>
        <v/>
      </c>
      <c r="P54" s="45" t="n"/>
      <c r="Q54" s="45" t="n"/>
      <c r="R54" s="46" t="n"/>
      <c r="S54" s="46" t="n"/>
      <c r="T54" s="46" t="n"/>
      <c r="U54" s="46" t="n"/>
      <c r="V54" s="45" t="n"/>
    </row>
    <row r="55">
      <c r="A55" s="45" t="inlineStr">
        <is>
          <t>davon Sparen</t>
        </is>
      </c>
      <c r="B55" s="45" t="n"/>
      <c r="C55" s="46" t="n"/>
      <c r="D55" s="46" t="n"/>
      <c r="E55" s="46">
        <f>SUMIFS(E13:E52,B13:B52,"Sparen")</f>
        <v/>
      </c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5" t="n"/>
      <c r="Q55" s="45" t="n"/>
      <c r="R55" s="46" t="n"/>
      <c r="S55" s="46" t="n"/>
      <c r="T55" s="46" t="n"/>
      <c r="U55" s="46" t="n"/>
      <c r="V55" s="45" t="n"/>
    </row>
    <row r="56">
      <c r="A56" s="45" t="inlineStr">
        <is>
          <t>Fixkosten ohne Sparen</t>
        </is>
      </c>
      <c r="B56" s="45" t="n"/>
      <c r="C56" s="46" t="n"/>
      <c r="D56" s="46" t="n"/>
      <c r="E56" s="46">
        <f>E53-E55</f>
        <v/>
      </c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5" t="n"/>
      <c r="Q56" s="45" t="n"/>
      <c r="R56" s="46" t="n"/>
      <c r="S56" s="46" t="n"/>
      <c r="T56" s="46" t="n"/>
      <c r="U56" s="46" t="n"/>
      <c r="V56" s="45" t="n"/>
    </row>
    <row r="58">
      <c r="A58" s="2" t="inlineStr">
        <is>
          <t>Aufteilen: bei allen Mitzahlern ein „x“ → Betrag wird gleich auf sie und dich aufgeteilt (z. B. x bei 4 Personen = je 1/5). Fester Anteil: Prozent eintragen (z. B. 30 %); „x“-Personen teilen sich dann den Rest mit dir.</t>
        </is>
      </c>
    </row>
    <row r="59">
      <c r="A59" s="2" t="inlineStr">
        <is>
          <t>Ist: Summe der importierten Buchungen mit Art „Fixkosten“ und genau dieser Bezeichnung im Auswertungsmonat (Übersicht). Orange = monatlicher Posten, der im Auswertungsmonat noch nicht abgebucht wurde.</t>
        </is>
      </c>
    </row>
  </sheetData>
  <mergeCells count="1">
    <mergeCell ref="H11:O11"/>
  </mergeCells>
  <conditionalFormatting sqref="H13:O52">
    <cfRule type="expression" priority="1" dxfId="4">
      <formula>SUM($H13:$O13)&gt;1</formula>
    </cfRule>
    <cfRule type="expression" priority="2" dxfId="10">
      <formula>OR(H13="x",N(H13)&gt;0)</formula>
    </cfRule>
  </conditionalFormatting>
  <conditionalFormatting sqref="T13:T52">
    <cfRule type="expression" priority="3" dxfId="1">
      <formula>AND($A13&lt;&gt;"",$D13=12,N($T13)=0)</formula>
    </cfRule>
  </conditionalFormatting>
  <dataValidations count="2">
    <dataValidation sqref="B13:B52" showDropDown="0" showInputMessage="0" showErrorMessage="0" allowBlank="1" type="list">
      <formula1>Einstellungen!$E$5:$E$20</formula1>
    </dataValidation>
    <dataValidation sqref="H13:O52" showDropDown="0" showInputMessage="1" showErrorMessage="1" allowBlank="1" errorTitle="Aufteilung" error="Bitte „x“ (gleich aufteilen) oder einen Prozentsatz zwischen 0 % und 100 % eintragen." promptTitle="Aufteilung" prompt="x = gleich aufteilen (inkl. dir) · oder fester Anteil in %" type="custom">
      <formula1>OR(H13="x",H13="X",AND(ISNUMBER(H13),H13&gt;=0,H13&lt;=1))</formula1>
    </dataValidation>
  </dataValidations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Ausgleich">
    <outlinePr summaryBelow="1" summaryRight="1"/>
    <pageSetUpPr fitToPage="1"/>
  </sheetPr>
  <dimension ref="A1:J19"/>
  <sheetViews>
    <sheetView showGridLines="0" tabSelected="0" workbookViewId="0">
      <selection activeCell="A1" sqref="A1"/>
    </sheetView>
  </sheetViews>
  <sheetFormatPr baseColWidth="8" defaultRowHeight="15"/>
  <cols>
    <col width="18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4" customWidth="1" min="8" max="8"/>
    <col width="14" customWidth="1" min="9" max="9"/>
    <col width="15" customWidth="1" min="10" max="10"/>
  </cols>
  <sheetData>
    <row r="1">
      <c r="A1" s="1" t="inlineStr">
        <is>
          <t>Ausgleich mit Mitzahlern</t>
        </is>
      </c>
    </row>
    <row r="2">
      <c r="A2" s="2" t="inlineStr">
        <is>
          <t>Wer schuldet dir wie viel? Fixkosten-Anteile (Blatt Fixkosten) + Anteile aus Buchungen − erhaltene Zahlungen (Art „Ausgleich“).</t>
        </is>
      </c>
    </row>
    <row r="3">
      <c r="A3" s="5" t="inlineStr">
        <is>
          <t>Auswertungsmonat</t>
        </is>
      </c>
      <c r="B3" s="50">
        <f>Übersicht!$B$7</f>
        <v/>
      </c>
    </row>
    <row r="4">
      <c r="A4" s="5" t="inlineStr">
        <is>
          <t>Ausgleich ab</t>
        </is>
      </c>
      <c r="B4" s="50">
        <f>Einstellungen!$L$6</f>
        <v/>
      </c>
      <c r="C4" s="51">
        <f>IF(B3&lt;B4,0,(YEAR(B3)-YEAR(B4))*12+MONTH(B3)-MONTH(B4)+1)</f>
        <v/>
      </c>
      <c r="D4" s="2" t="inlineStr">
        <is>
          <t>Monate (änderbar in Einstellungen)</t>
        </is>
      </c>
    </row>
    <row r="6">
      <c r="A6" s="13" t="n"/>
      <c r="B6" s="47" t="inlineStr">
        <is>
          <t>Im Auswertungsmonat</t>
        </is>
      </c>
      <c r="C6" s="13" t="n"/>
      <c r="D6" s="13" t="n"/>
      <c r="E6" s="13" t="n"/>
      <c r="F6" s="13" t="n"/>
      <c r="G6" s="47" t="inlineStr">
        <is>
          <t>Seit „Ausgleich ab“ bis Auswertungsmonat</t>
        </is>
      </c>
      <c r="H6" s="13" t="n"/>
      <c r="I6" s="13" t="n"/>
      <c r="J6" s="13" t="n"/>
    </row>
    <row r="7" ht="30" customHeight="1">
      <c r="A7" s="14" t="inlineStr">
        <is>
          <t>Person</t>
        </is>
      </c>
      <c r="B7" s="15" t="inlineStr">
        <is>
          <t>Fixkosten-Anteil</t>
        </is>
      </c>
      <c r="C7" s="15" t="inlineStr">
        <is>
          <t>Anteil Buchungen</t>
        </is>
      </c>
      <c r="D7" s="15" t="inlineStr">
        <is>
          <t>Soll</t>
        </is>
      </c>
      <c r="E7" s="15" t="inlineStr">
        <is>
          <t>Erhalten</t>
        </is>
      </c>
      <c r="F7" s="15" t="inlineStr">
        <is>
          <t>Differenz</t>
        </is>
      </c>
      <c r="G7" s="15" t="inlineStr">
        <is>
          <t>Fixkosten</t>
        </is>
      </c>
      <c r="H7" s="15" t="inlineStr">
        <is>
          <t>Buchungen</t>
        </is>
      </c>
      <c r="I7" s="15" t="inlineStr">
        <is>
          <t>Erhalten</t>
        </is>
      </c>
      <c r="J7" s="15" t="inlineStr">
        <is>
          <t>Offen gesamt</t>
        </is>
      </c>
    </row>
    <row r="8">
      <c r="A8" s="52">
        <f>IF(Einstellungen!$A$5="","",Einstellungen!$A$5)</f>
        <v/>
      </c>
      <c r="B8" s="23">
        <f>IF($A8="","",INDEX(Fixkosten!$H$54:$O$54,1))</f>
        <v/>
      </c>
      <c r="C8" s="23">
        <f>IF($A8="","",SUMIFS(Buchungen!$X:$X,Buchungen!$W:$W,$B$3))</f>
        <v/>
      </c>
      <c r="D8" s="23">
        <f>IF($A8="","",B8+C8)</f>
        <v/>
      </c>
      <c r="E8" s="23">
        <f>IF($A8="","",SUMIFS(Buchungen!$E:$E,Buchungen!$H:$H,"Ausgleich",Buchungen!$I:$I,$A8,Buchungen!$W:$W,$B$3))</f>
        <v/>
      </c>
      <c r="F8" s="19">
        <f>IF($A8="","",D8-E8)</f>
        <v/>
      </c>
      <c r="G8" s="23">
        <f>IF($A8="","",B8*$C$4)</f>
        <v/>
      </c>
      <c r="H8" s="23">
        <f>IF($A8="","",SUMIFS(Buchungen!$X:$X,Buchungen!$W:$W,"&gt;="&amp;$B$4,Buchungen!$W:$W,"&lt;="&amp;$B$3))</f>
        <v/>
      </c>
      <c r="I8" s="23">
        <f>IF($A8="","",SUMIFS(Buchungen!$E:$E,Buchungen!$H:$H,"Ausgleich",Buchungen!$I:$I,$A8,Buchungen!$W:$W,"&gt;="&amp;$B$4,Buchungen!$W:$W,"&lt;="&amp;$B$3))</f>
        <v/>
      </c>
      <c r="J8" s="19">
        <f>IF($A8="","",G8+H8-I8)</f>
        <v/>
      </c>
    </row>
    <row r="9">
      <c r="A9" s="52">
        <f>IF(Einstellungen!$A$6="","",Einstellungen!$A$6)</f>
        <v/>
      </c>
      <c r="B9" s="23">
        <f>IF($A9="","",INDEX(Fixkosten!$H$54:$O$54,2))</f>
        <v/>
      </c>
      <c r="C9" s="23">
        <f>IF($A9="","",SUMIFS(Buchungen!$Y:$Y,Buchungen!$W:$W,$B$3))</f>
        <v/>
      </c>
      <c r="D9" s="23">
        <f>IF($A9="","",B9+C9)</f>
        <v/>
      </c>
      <c r="E9" s="23">
        <f>IF($A9="","",SUMIFS(Buchungen!$E:$E,Buchungen!$H:$H,"Ausgleich",Buchungen!$I:$I,$A9,Buchungen!$W:$W,$B$3))</f>
        <v/>
      </c>
      <c r="F9" s="19">
        <f>IF($A9="","",D9-E9)</f>
        <v/>
      </c>
      <c r="G9" s="23">
        <f>IF($A9="","",B9*$C$4)</f>
        <v/>
      </c>
      <c r="H9" s="23">
        <f>IF($A9="","",SUMIFS(Buchungen!$Y:$Y,Buchungen!$W:$W,"&gt;="&amp;$B$4,Buchungen!$W:$W,"&lt;="&amp;$B$3))</f>
        <v/>
      </c>
      <c r="I9" s="23">
        <f>IF($A9="","",SUMIFS(Buchungen!$E:$E,Buchungen!$H:$H,"Ausgleich",Buchungen!$I:$I,$A9,Buchungen!$W:$W,"&gt;="&amp;$B$4,Buchungen!$W:$W,"&lt;="&amp;$B$3))</f>
        <v/>
      </c>
      <c r="J9" s="19">
        <f>IF($A9="","",G9+H9-I9)</f>
        <v/>
      </c>
    </row>
    <row r="10">
      <c r="A10" s="52">
        <f>IF(Einstellungen!$A$7="","",Einstellungen!$A$7)</f>
        <v/>
      </c>
      <c r="B10" s="23">
        <f>IF($A10="","",INDEX(Fixkosten!$H$54:$O$54,3))</f>
        <v/>
      </c>
      <c r="C10" s="23">
        <f>IF($A10="","",SUMIFS(Buchungen!$Z:$Z,Buchungen!$W:$W,$B$3))</f>
        <v/>
      </c>
      <c r="D10" s="23">
        <f>IF($A10="","",B10+C10)</f>
        <v/>
      </c>
      <c r="E10" s="23">
        <f>IF($A10="","",SUMIFS(Buchungen!$E:$E,Buchungen!$H:$H,"Ausgleich",Buchungen!$I:$I,$A10,Buchungen!$W:$W,$B$3))</f>
        <v/>
      </c>
      <c r="F10" s="19">
        <f>IF($A10="","",D10-E10)</f>
        <v/>
      </c>
      <c r="G10" s="23">
        <f>IF($A10="","",B10*$C$4)</f>
        <v/>
      </c>
      <c r="H10" s="23">
        <f>IF($A10="","",SUMIFS(Buchungen!$Z:$Z,Buchungen!$W:$W,"&gt;="&amp;$B$4,Buchungen!$W:$W,"&lt;="&amp;$B$3))</f>
        <v/>
      </c>
      <c r="I10" s="23">
        <f>IF($A10="","",SUMIFS(Buchungen!$E:$E,Buchungen!$H:$H,"Ausgleich",Buchungen!$I:$I,$A10,Buchungen!$W:$W,"&gt;="&amp;$B$4,Buchungen!$W:$W,"&lt;="&amp;$B$3))</f>
        <v/>
      </c>
      <c r="J10" s="19">
        <f>IF($A10="","",G10+H10-I10)</f>
        <v/>
      </c>
    </row>
    <row r="11">
      <c r="A11" s="52">
        <f>IF(Einstellungen!$A$8="","",Einstellungen!$A$8)</f>
        <v/>
      </c>
      <c r="B11" s="23">
        <f>IF($A11="","",INDEX(Fixkosten!$H$54:$O$54,4))</f>
        <v/>
      </c>
      <c r="C11" s="23">
        <f>IF($A11="","",SUMIFS(Buchungen!$AA:$AA,Buchungen!$W:$W,$B$3))</f>
        <v/>
      </c>
      <c r="D11" s="23">
        <f>IF($A11="","",B11+C11)</f>
        <v/>
      </c>
      <c r="E11" s="23">
        <f>IF($A11="","",SUMIFS(Buchungen!$E:$E,Buchungen!$H:$H,"Ausgleich",Buchungen!$I:$I,$A11,Buchungen!$W:$W,$B$3))</f>
        <v/>
      </c>
      <c r="F11" s="19">
        <f>IF($A11="","",D11-E11)</f>
        <v/>
      </c>
      <c r="G11" s="23">
        <f>IF($A11="","",B11*$C$4)</f>
        <v/>
      </c>
      <c r="H11" s="23">
        <f>IF($A11="","",SUMIFS(Buchungen!$AA:$AA,Buchungen!$W:$W,"&gt;="&amp;$B$4,Buchungen!$W:$W,"&lt;="&amp;$B$3))</f>
        <v/>
      </c>
      <c r="I11" s="23">
        <f>IF($A11="","",SUMIFS(Buchungen!$E:$E,Buchungen!$H:$H,"Ausgleich",Buchungen!$I:$I,$A11,Buchungen!$W:$W,"&gt;="&amp;$B$4,Buchungen!$W:$W,"&lt;="&amp;$B$3))</f>
        <v/>
      </c>
      <c r="J11" s="19">
        <f>IF($A11="","",G11+H11-I11)</f>
        <v/>
      </c>
    </row>
    <row r="12">
      <c r="A12" s="52">
        <f>IF(Einstellungen!$A$9="","",Einstellungen!$A$9)</f>
        <v/>
      </c>
      <c r="B12" s="23">
        <f>IF($A12="","",INDEX(Fixkosten!$H$54:$O$54,5))</f>
        <v/>
      </c>
      <c r="C12" s="23">
        <f>IF($A12="","",SUMIFS(Buchungen!$AB:$AB,Buchungen!$W:$W,$B$3))</f>
        <v/>
      </c>
      <c r="D12" s="23">
        <f>IF($A12="","",B12+C12)</f>
        <v/>
      </c>
      <c r="E12" s="23">
        <f>IF($A12="","",SUMIFS(Buchungen!$E:$E,Buchungen!$H:$H,"Ausgleich",Buchungen!$I:$I,$A12,Buchungen!$W:$W,$B$3))</f>
        <v/>
      </c>
      <c r="F12" s="19">
        <f>IF($A12="","",D12-E12)</f>
        <v/>
      </c>
      <c r="G12" s="23">
        <f>IF($A12="","",B12*$C$4)</f>
        <v/>
      </c>
      <c r="H12" s="23">
        <f>IF($A12="","",SUMIFS(Buchungen!$AB:$AB,Buchungen!$W:$W,"&gt;="&amp;$B$4,Buchungen!$W:$W,"&lt;="&amp;$B$3))</f>
        <v/>
      </c>
      <c r="I12" s="23">
        <f>IF($A12="","",SUMIFS(Buchungen!$E:$E,Buchungen!$H:$H,"Ausgleich",Buchungen!$I:$I,$A12,Buchungen!$W:$W,"&gt;="&amp;$B$4,Buchungen!$W:$W,"&lt;="&amp;$B$3))</f>
        <v/>
      </c>
      <c r="J12" s="19">
        <f>IF($A12="","",G12+H12-I12)</f>
        <v/>
      </c>
    </row>
    <row r="13">
      <c r="A13" s="52">
        <f>IF(Einstellungen!$A$10="","",Einstellungen!$A$10)</f>
        <v/>
      </c>
      <c r="B13" s="23">
        <f>IF($A13="","",INDEX(Fixkosten!$H$54:$O$54,6))</f>
        <v/>
      </c>
      <c r="C13" s="23">
        <f>IF($A13="","",SUMIFS(Buchungen!$AC:$AC,Buchungen!$W:$W,$B$3))</f>
        <v/>
      </c>
      <c r="D13" s="23">
        <f>IF($A13="","",B13+C13)</f>
        <v/>
      </c>
      <c r="E13" s="23">
        <f>IF($A13="","",SUMIFS(Buchungen!$E:$E,Buchungen!$H:$H,"Ausgleich",Buchungen!$I:$I,$A13,Buchungen!$W:$W,$B$3))</f>
        <v/>
      </c>
      <c r="F13" s="19">
        <f>IF($A13="","",D13-E13)</f>
        <v/>
      </c>
      <c r="G13" s="23">
        <f>IF($A13="","",B13*$C$4)</f>
        <v/>
      </c>
      <c r="H13" s="23">
        <f>IF($A13="","",SUMIFS(Buchungen!$AC:$AC,Buchungen!$W:$W,"&gt;="&amp;$B$4,Buchungen!$W:$W,"&lt;="&amp;$B$3))</f>
        <v/>
      </c>
      <c r="I13" s="23">
        <f>IF($A13="","",SUMIFS(Buchungen!$E:$E,Buchungen!$H:$H,"Ausgleich",Buchungen!$I:$I,$A13,Buchungen!$W:$W,"&gt;="&amp;$B$4,Buchungen!$W:$W,"&lt;="&amp;$B$3))</f>
        <v/>
      </c>
      <c r="J13" s="19">
        <f>IF($A13="","",G13+H13-I13)</f>
        <v/>
      </c>
    </row>
    <row r="14">
      <c r="A14" s="52">
        <f>IF(Einstellungen!$A$11="","",Einstellungen!$A$11)</f>
        <v/>
      </c>
      <c r="B14" s="23">
        <f>IF($A14="","",INDEX(Fixkosten!$H$54:$O$54,7))</f>
        <v/>
      </c>
      <c r="C14" s="23">
        <f>IF($A14="","",SUMIFS(Buchungen!$AD:$AD,Buchungen!$W:$W,$B$3))</f>
        <v/>
      </c>
      <c r="D14" s="23">
        <f>IF($A14="","",B14+C14)</f>
        <v/>
      </c>
      <c r="E14" s="23">
        <f>IF($A14="","",SUMIFS(Buchungen!$E:$E,Buchungen!$H:$H,"Ausgleich",Buchungen!$I:$I,$A14,Buchungen!$W:$W,$B$3))</f>
        <v/>
      </c>
      <c r="F14" s="19">
        <f>IF($A14="","",D14-E14)</f>
        <v/>
      </c>
      <c r="G14" s="23">
        <f>IF($A14="","",B14*$C$4)</f>
        <v/>
      </c>
      <c r="H14" s="23">
        <f>IF($A14="","",SUMIFS(Buchungen!$AD:$AD,Buchungen!$W:$W,"&gt;="&amp;$B$4,Buchungen!$W:$W,"&lt;="&amp;$B$3))</f>
        <v/>
      </c>
      <c r="I14" s="23">
        <f>IF($A14="","",SUMIFS(Buchungen!$E:$E,Buchungen!$H:$H,"Ausgleich",Buchungen!$I:$I,$A14,Buchungen!$W:$W,"&gt;="&amp;$B$4,Buchungen!$W:$W,"&lt;="&amp;$B$3))</f>
        <v/>
      </c>
      <c r="J14" s="19">
        <f>IF($A14="","",G14+H14-I14)</f>
        <v/>
      </c>
    </row>
    <row r="15">
      <c r="A15" s="52">
        <f>IF(Einstellungen!$A$12="","",Einstellungen!$A$12)</f>
        <v/>
      </c>
      <c r="B15" s="23">
        <f>IF($A15="","",INDEX(Fixkosten!$H$54:$O$54,8))</f>
        <v/>
      </c>
      <c r="C15" s="23">
        <f>IF($A15="","",SUMIFS(Buchungen!$AE:$AE,Buchungen!$W:$W,$B$3))</f>
        <v/>
      </c>
      <c r="D15" s="23">
        <f>IF($A15="","",B15+C15)</f>
        <v/>
      </c>
      <c r="E15" s="23">
        <f>IF($A15="","",SUMIFS(Buchungen!$E:$E,Buchungen!$H:$H,"Ausgleich",Buchungen!$I:$I,$A15,Buchungen!$W:$W,$B$3))</f>
        <v/>
      </c>
      <c r="F15" s="19">
        <f>IF($A15="","",D15-E15)</f>
        <v/>
      </c>
      <c r="G15" s="23">
        <f>IF($A15="","",B15*$C$4)</f>
        <v/>
      </c>
      <c r="H15" s="23">
        <f>IF($A15="","",SUMIFS(Buchungen!$AE:$AE,Buchungen!$W:$W,"&gt;="&amp;$B$4,Buchungen!$W:$W,"&lt;="&amp;$B$3))</f>
        <v/>
      </c>
      <c r="I15" s="23">
        <f>IF($A15="","",SUMIFS(Buchungen!$E:$E,Buchungen!$H:$H,"Ausgleich",Buchungen!$I:$I,$A15,Buchungen!$W:$W,"&gt;="&amp;$B$4,Buchungen!$W:$W,"&lt;="&amp;$B$3))</f>
        <v/>
      </c>
      <c r="J15" s="19">
        <f>IF($A15="","",G15+H15-I15)</f>
        <v/>
      </c>
    </row>
    <row r="16">
      <c r="A16" s="26" t="inlineStr">
        <is>
          <t>Summe</t>
        </is>
      </c>
      <c r="B16" s="27">
        <f>SUM(B8:B15)</f>
        <v/>
      </c>
      <c r="C16" s="27">
        <f>SUM(C8:C15)</f>
        <v/>
      </c>
      <c r="D16" s="27">
        <f>SUM(D8:D15)</f>
        <v/>
      </c>
      <c r="E16" s="27">
        <f>SUM(E8:E15)</f>
        <v/>
      </c>
      <c r="F16" s="27">
        <f>SUM(F8:F15)</f>
        <v/>
      </c>
      <c r="G16" s="27">
        <f>SUM(G8:G15)</f>
        <v/>
      </c>
      <c r="H16" s="27">
        <f>SUM(H8:H15)</f>
        <v/>
      </c>
      <c r="I16" s="27">
        <f>SUM(I8:I15)</f>
        <v/>
      </c>
      <c r="J16" s="27">
        <f>SUM(J8:J15)</f>
        <v/>
      </c>
    </row>
    <row r="18">
      <c r="A18" s="2" t="inlineStr">
        <is>
          <t>Zahlungen von Mitzahlern erkennt der Import am Auftraggeber (Einstellungen → „Name(n) in George“). Bei einer unbekannten Privatperson fragt er nach und merkt sich die Antwort. Nachträglich: in Buchungen Art „Ausgleich“ + Person wählen.</t>
        </is>
      </c>
    </row>
    <row r="19">
      <c r="A19" s="2" t="inlineStr">
        <is>
          <t>Positiv = die Person schuldet dir noch etwas · negativ = sie hat mehr bezahlt.</t>
        </is>
      </c>
    </row>
  </sheetData>
  <mergeCells count="2">
    <mergeCell ref="G6:J6"/>
    <mergeCell ref="B6:F6"/>
  </mergeCells>
  <conditionalFormatting sqref="J8:J15">
    <cfRule type="cellIs" priority="1" operator="greaterThan" dxfId="7">
      <formula>0.005</formula>
    </cfRule>
  </conditionalFormatting>
  <conditionalFormatting sqref="F8:F15">
    <cfRule type="cellIs" priority="2" operator="greaterThan" dxfId="7">
      <formula>0.005</formula>
    </cfRule>
  </conditionalFormatting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Regeln">
    <outlinePr summaryBelow="1" summaryRight="1"/>
    <pageSetUpPr fitToPage="1"/>
  </sheetPr>
  <dimension ref="A1:N206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min="1" max="1"/>
    <col width="22" customWidth="1" min="2" max="2"/>
    <col width="16" customWidth="1" min="3" max="3"/>
    <col width="12" customWidth="1" min="4" max="4"/>
    <col width="14" customWidth="1" min="5" max="5"/>
    <col width="8" customWidth="1" min="6" max="6"/>
    <col width="8" customWidth="1" min="7" max="7"/>
    <col width="8" customWidth="1" min="8" max="8"/>
    <col width="8" customWidth="1" min="9" max="9"/>
    <col width="8" customWidth="1" min="10" max="10"/>
    <col width="8" customWidth="1" min="11" max="11"/>
    <col width="8" customWidth="1" min="12" max="12"/>
    <col width="8" customWidth="1" min="13" max="13"/>
    <col width="36" customWidth="1" min="14" max="14"/>
  </cols>
  <sheetData>
    <row r="1">
      <c r="A1" s="1" t="inlineStr">
        <is>
          <t>Importregeln</t>
        </is>
      </c>
    </row>
    <row r="2">
      <c r="A2" s="2" t="inlineStr">
        <is>
          <t>Erste passende Zeile gewinnt (Spezifisches nach oben). Suchbegriff wird in Empfänger + Verwendungszweck gesucht; mehrere Wörter müssen alle vorkommen, Alternativen mit ; trennen. Leere Felder = automatisch.</t>
        </is>
      </c>
    </row>
    <row r="4" ht="30" customHeight="1">
      <c r="A4" s="14" t="inlineStr">
        <is>
          <t>Suchbegriff</t>
        </is>
      </c>
      <c r="B4" s="15" t="inlineStr">
        <is>
          <t>Bezeichnung</t>
        </is>
      </c>
      <c r="C4" s="15" t="inlineStr">
        <is>
          <t>Kategorie</t>
        </is>
      </c>
      <c r="D4" s="15" t="inlineStr">
        <is>
          <t>Art</t>
        </is>
      </c>
      <c r="E4" s="15" t="inlineStr">
        <is>
          <t>Person (Ausgleich)</t>
        </is>
      </c>
      <c r="F4" s="28">
        <f>IF(Einstellungen!$A$5="","P1",Einstellungen!$A$5)</f>
        <v/>
      </c>
      <c r="G4" s="28">
        <f>IF(Einstellungen!$A$6="","P2",Einstellungen!$A$6)</f>
        <v/>
      </c>
      <c r="H4" s="28">
        <f>IF(Einstellungen!$A$7="","P3",Einstellungen!$A$7)</f>
        <v/>
      </c>
      <c r="I4" s="28">
        <f>IF(Einstellungen!$A$8="","P4",Einstellungen!$A$8)</f>
        <v/>
      </c>
      <c r="J4" s="28">
        <f>IF(Einstellungen!$A$9="","P5",Einstellungen!$A$9)</f>
        <v/>
      </c>
      <c r="K4" s="28">
        <f>IF(Einstellungen!$A$10="","P6",Einstellungen!$A$10)</f>
        <v/>
      </c>
      <c r="L4" s="28">
        <f>IF(Einstellungen!$A$11="","P7",Einstellungen!$A$11)</f>
        <v/>
      </c>
      <c r="M4" s="28">
        <f>IF(Einstellungen!$A$12="","P8",Einstellungen!$A$12)</f>
        <v/>
      </c>
      <c r="N4" s="15" t="inlineStr">
        <is>
          <t>Notiz</t>
        </is>
      </c>
    </row>
    <row r="5">
      <c r="A5" s="43" t="inlineStr">
        <is>
          <t>Strange Horticulture</t>
        </is>
      </c>
      <c r="B5" s="43" t="inlineStr">
        <is>
          <t>Strange Horticulture</t>
        </is>
      </c>
      <c r="C5" s="43" t="inlineStr">
        <is>
          <t>Videospiel</t>
        </is>
      </c>
      <c r="D5" s="43" t="inlineStr">
        <is>
          <t>Ausgabe</t>
        </is>
      </c>
      <c r="E5" s="43" t="n"/>
      <c r="F5" s="53" t="n"/>
      <c r="G5" s="53" t="n"/>
      <c r="H5" s="53" t="n"/>
      <c r="I5" s="53" t="n"/>
      <c r="J5" s="53" t="n"/>
      <c r="K5" s="53" t="n"/>
      <c r="L5" s="53" t="n"/>
      <c r="M5" s="53" t="n"/>
      <c r="N5" s="2" t="inlineStr">
        <is>
          <t>aus bisherigen Buchungen</t>
        </is>
      </c>
    </row>
    <row r="6">
      <c r="A6" s="43" t="inlineStr">
        <is>
          <t>Trafik Schönherr</t>
        </is>
      </c>
      <c r="B6" s="43" t="inlineStr">
        <is>
          <t>Trafik Schönherr</t>
        </is>
      </c>
      <c r="C6" s="43" t="inlineStr">
        <is>
          <t>Tabak</t>
        </is>
      </c>
      <c r="D6" s="43" t="inlineStr">
        <is>
          <t>Ausgabe</t>
        </is>
      </c>
      <c r="E6" s="43" t="n"/>
      <c r="F6" s="53" t="n"/>
      <c r="G6" s="53" t="n"/>
      <c r="H6" s="53" t="n"/>
      <c r="I6" s="53" t="n"/>
      <c r="J6" s="53" t="n"/>
      <c r="K6" s="53" t="n"/>
      <c r="L6" s="53" t="n"/>
      <c r="M6" s="53" t="n"/>
      <c r="N6" s="2" t="inlineStr">
        <is>
          <t>aus bisherigen Buchungen</t>
        </is>
      </c>
    </row>
    <row r="7">
      <c r="A7" s="43" t="inlineStr">
        <is>
          <t>Jet Tankstelle</t>
        </is>
      </c>
      <c r="B7" s="43" t="inlineStr">
        <is>
          <t>Jet Tankstelle</t>
        </is>
      </c>
      <c r="C7" s="43" t="inlineStr">
        <is>
          <t>Trafik</t>
        </is>
      </c>
      <c r="D7" s="43" t="inlineStr">
        <is>
          <t>Ausgabe</t>
        </is>
      </c>
      <c r="E7" s="43" t="n"/>
      <c r="F7" s="53" t="n"/>
      <c r="G7" s="53" t="n"/>
      <c r="H7" s="53" t="n"/>
      <c r="I7" s="53" t="n"/>
      <c r="J7" s="53" t="n"/>
      <c r="K7" s="53" t="n"/>
      <c r="L7" s="53" t="n"/>
      <c r="M7" s="53" t="n"/>
      <c r="N7" s="2" t="inlineStr">
        <is>
          <t>aus bisherigen Buchungen</t>
        </is>
      </c>
    </row>
    <row r="8">
      <c r="A8" s="43" t="inlineStr">
        <is>
          <t>Blumen Kubat</t>
        </is>
      </c>
      <c r="B8" s="43" t="inlineStr">
        <is>
          <t>Blumen Kubat</t>
        </is>
      </c>
      <c r="C8" s="43" t="inlineStr">
        <is>
          <t>Grab</t>
        </is>
      </c>
      <c r="D8" s="43" t="inlineStr">
        <is>
          <t>Ausgabe</t>
        </is>
      </c>
      <c r="E8" s="43" t="n"/>
      <c r="F8" s="53" t="n"/>
      <c r="G8" s="53" t="n"/>
      <c r="H8" s="53" t="n"/>
      <c r="I8" s="53" t="n"/>
      <c r="J8" s="53" t="n"/>
      <c r="K8" s="53" t="n"/>
      <c r="L8" s="53" t="n"/>
      <c r="M8" s="53" t="n"/>
      <c r="N8" s="2" t="inlineStr">
        <is>
          <t>aus bisherigen Buchungen</t>
        </is>
      </c>
    </row>
    <row r="9">
      <c r="A9" s="43" t="inlineStr">
        <is>
          <t>Mer Austria</t>
        </is>
      </c>
      <c r="B9" s="43" t="inlineStr">
        <is>
          <t>Mer Austria</t>
        </is>
      </c>
      <c r="C9" s="43" t="inlineStr">
        <is>
          <t>Tanken</t>
        </is>
      </c>
      <c r="D9" s="43" t="inlineStr">
        <is>
          <t>Ausgabe</t>
        </is>
      </c>
      <c r="E9" s="43" t="n"/>
      <c r="F9" s="53" t="n"/>
      <c r="G9" s="53" t="n"/>
      <c r="H9" s="53" t="n"/>
      <c r="I9" s="53" t="n"/>
      <c r="J9" s="53" t="n"/>
      <c r="K9" s="53" t="n"/>
      <c r="L9" s="53" t="n"/>
      <c r="M9" s="53" t="n"/>
      <c r="N9" s="2" t="inlineStr">
        <is>
          <t>aus bisherigen Buchungen</t>
        </is>
      </c>
    </row>
    <row r="10">
      <c r="A10" s="43" t="inlineStr">
        <is>
          <t>ADEG Anger</t>
        </is>
      </c>
      <c r="B10" s="43" t="inlineStr">
        <is>
          <t>ADEG Anger</t>
        </is>
      </c>
      <c r="C10" s="43" t="inlineStr">
        <is>
          <t>Lebensmittel</t>
        </is>
      </c>
      <c r="D10" s="43" t="inlineStr">
        <is>
          <t>Ausgabe</t>
        </is>
      </c>
      <c r="E10" s="43" t="n"/>
      <c r="F10" s="53" t="n"/>
      <c r="G10" s="53" t="n"/>
      <c r="H10" s="53" t="n"/>
      <c r="I10" s="53" t="n"/>
      <c r="J10" s="53" t="n"/>
      <c r="K10" s="53" t="n"/>
      <c r="L10" s="53" t="n"/>
      <c r="M10" s="53" t="n"/>
      <c r="N10" s="2" t="inlineStr">
        <is>
          <t>aus bisherigen Buchungen</t>
        </is>
      </c>
    </row>
    <row r="11">
      <c r="A11" s="43" t="inlineStr">
        <is>
          <t>Kraus GmbH</t>
        </is>
      </c>
      <c r="B11" s="43" t="inlineStr">
        <is>
          <t>Kraus GmbH</t>
        </is>
      </c>
      <c r="C11" s="43" t="inlineStr">
        <is>
          <t>KFZ</t>
        </is>
      </c>
      <c r="D11" s="43" t="inlineStr">
        <is>
          <t>Ausgabe</t>
        </is>
      </c>
      <c r="E11" s="43" t="n"/>
      <c r="F11" s="53" t="n"/>
      <c r="G11" s="53" t="n"/>
      <c r="H11" s="53" t="n"/>
      <c r="I11" s="53" t="n"/>
      <c r="J11" s="53" t="n"/>
      <c r="K11" s="53" t="n"/>
      <c r="L11" s="53" t="n"/>
      <c r="M11" s="53" t="n"/>
      <c r="N11" s="2" t="inlineStr">
        <is>
          <t>aus bisherigen Buchungen</t>
        </is>
      </c>
    </row>
    <row r="12">
      <c r="A12" s="43" t="inlineStr">
        <is>
          <t>Spar Anger</t>
        </is>
      </c>
      <c r="B12" s="43" t="inlineStr">
        <is>
          <t>Spar Anger</t>
        </is>
      </c>
      <c r="C12" s="43" t="inlineStr">
        <is>
          <t>Lebensmittel</t>
        </is>
      </c>
      <c r="D12" s="43" t="inlineStr">
        <is>
          <t>Ausgabe</t>
        </is>
      </c>
      <c r="E12" s="43" t="n"/>
      <c r="F12" s="53" t="n"/>
      <c r="G12" s="53" t="n"/>
      <c r="H12" s="53" t="n"/>
      <c r="I12" s="53" t="n"/>
      <c r="J12" s="53" t="n"/>
      <c r="K12" s="53" t="n"/>
      <c r="L12" s="53" t="n"/>
      <c r="M12" s="53" t="n"/>
      <c r="N12" s="2" t="inlineStr">
        <is>
          <t>aus bisherigen Buchungen</t>
        </is>
      </c>
    </row>
    <row r="13">
      <c r="A13" s="43" t="inlineStr">
        <is>
          <t>Amzon HBO</t>
        </is>
      </c>
      <c r="B13" s="43" t="inlineStr">
        <is>
          <t>Amzon HBO</t>
        </is>
      </c>
      <c r="C13" s="43" t="inlineStr">
        <is>
          <t>Abo gekündigt!</t>
        </is>
      </c>
      <c r="D13" s="43" t="inlineStr">
        <is>
          <t>Ausgabe</t>
        </is>
      </c>
      <c r="E13" s="43" t="n"/>
      <c r="F13" s="53" t="n"/>
      <c r="G13" s="53" t="n"/>
      <c r="H13" s="53" t="n"/>
      <c r="I13" s="53" t="n"/>
      <c r="J13" s="53" t="n"/>
      <c r="K13" s="53" t="n"/>
      <c r="L13" s="53" t="n"/>
      <c r="M13" s="53" t="n"/>
      <c r="N13" s="2" t="inlineStr">
        <is>
          <t>aus bisherigen Buchungen</t>
        </is>
      </c>
    </row>
    <row r="14">
      <c r="A14" s="43" t="inlineStr">
        <is>
          <t>H&amp;M</t>
        </is>
      </c>
      <c r="B14" s="43" t="inlineStr">
        <is>
          <t>H&amp;M</t>
        </is>
      </c>
      <c r="C14" s="43" t="inlineStr">
        <is>
          <t>Kleidung</t>
        </is>
      </c>
      <c r="D14" s="43" t="inlineStr">
        <is>
          <t>Ausgabe</t>
        </is>
      </c>
      <c r="E14" s="43" t="n"/>
      <c r="F14" s="53" t="n"/>
      <c r="G14" s="53" t="n"/>
      <c r="H14" s="53" t="n"/>
      <c r="I14" s="53" t="n"/>
      <c r="J14" s="53" t="n"/>
      <c r="K14" s="53" t="n"/>
      <c r="L14" s="53" t="n"/>
      <c r="M14" s="53" t="n"/>
      <c r="N14" s="2" t="inlineStr">
        <is>
          <t>aus bisherigen Buchungen</t>
        </is>
      </c>
    </row>
    <row r="15">
      <c r="A15" s="43" t="inlineStr">
        <is>
          <t>Paramount+</t>
        </is>
      </c>
      <c r="B15" s="43" t="inlineStr">
        <is>
          <t>Paramount+</t>
        </is>
      </c>
      <c r="C15" s="43" t="inlineStr">
        <is>
          <t>Abo gekündigt!</t>
        </is>
      </c>
      <c r="D15" s="43" t="inlineStr">
        <is>
          <t>Ausgabe</t>
        </is>
      </c>
      <c r="E15" s="43" t="n"/>
      <c r="F15" s="53" t="n"/>
      <c r="G15" s="53" t="n"/>
      <c r="H15" s="53" t="n"/>
      <c r="I15" s="53" t="n"/>
      <c r="J15" s="53" t="n"/>
      <c r="K15" s="53" t="n"/>
      <c r="L15" s="53" t="n"/>
      <c r="M15" s="53" t="n"/>
      <c r="N15" s="2" t="inlineStr">
        <is>
          <t>aus bisherigen Buchungen</t>
        </is>
      </c>
    </row>
    <row r="16">
      <c r="A16" s="43" t="inlineStr">
        <is>
          <t>McDonalds</t>
        </is>
      </c>
      <c r="B16" s="43" t="inlineStr">
        <is>
          <t>McDonalds</t>
        </is>
      </c>
      <c r="C16" s="43" t="inlineStr">
        <is>
          <t>Restaurant</t>
        </is>
      </c>
      <c r="D16" s="43" t="inlineStr">
        <is>
          <t>Ausgabe</t>
        </is>
      </c>
      <c r="E16" s="43" t="n"/>
      <c r="F16" s="53" t="n"/>
      <c r="G16" s="53" t="n"/>
      <c r="H16" s="53" t="n"/>
      <c r="I16" s="53" t="n"/>
      <c r="J16" s="53" t="n"/>
      <c r="K16" s="53" t="n"/>
      <c r="L16" s="53" t="n"/>
      <c r="M16" s="53" t="n"/>
      <c r="N16" s="2" t="inlineStr">
        <is>
          <t>aus bisherigen Buchungen</t>
        </is>
      </c>
    </row>
    <row r="17">
      <c r="A17" s="43" t="inlineStr">
        <is>
          <t>Pechmann</t>
        </is>
      </c>
      <c r="B17" s="43" t="inlineStr">
        <is>
          <t>Pechmann</t>
        </is>
      </c>
      <c r="C17" s="43" t="inlineStr">
        <is>
          <t>Restaurant</t>
        </is>
      </c>
      <c r="D17" s="43" t="inlineStr">
        <is>
          <t>Ausgabe</t>
        </is>
      </c>
      <c r="E17" s="43" t="n"/>
      <c r="F17" s="53" t="n"/>
      <c r="G17" s="53" t="n"/>
      <c r="H17" s="53" t="n"/>
      <c r="I17" s="53" t="n"/>
      <c r="J17" s="53" t="n"/>
      <c r="K17" s="53" t="n"/>
      <c r="L17" s="53" t="n"/>
      <c r="M17" s="53" t="n"/>
      <c r="N17" s="2" t="inlineStr">
        <is>
          <t>aus bisherigen Buchungen</t>
        </is>
      </c>
    </row>
    <row r="18">
      <c r="A18" s="43" t="inlineStr">
        <is>
          <t>Smatrics</t>
        </is>
      </c>
      <c r="B18" s="43" t="inlineStr">
        <is>
          <t>Smatrics</t>
        </is>
      </c>
      <c r="C18" s="43" t="inlineStr">
        <is>
          <t>Tanken</t>
        </is>
      </c>
      <c r="D18" s="43" t="inlineStr">
        <is>
          <t>Ausgabe</t>
        </is>
      </c>
      <c r="E18" s="43" t="n"/>
      <c r="F18" s="53" t="n"/>
      <c r="G18" s="53" t="n"/>
      <c r="H18" s="53" t="n"/>
      <c r="I18" s="53" t="n"/>
      <c r="J18" s="53" t="n"/>
      <c r="K18" s="53" t="n"/>
      <c r="L18" s="53" t="n"/>
      <c r="M18" s="53" t="n"/>
      <c r="N18" s="2" t="inlineStr">
        <is>
          <t>aus bisherigen Buchungen</t>
        </is>
      </c>
    </row>
    <row r="19">
      <c r="A19" s="43" t="inlineStr">
        <is>
          <t>Thaller</t>
        </is>
      </c>
      <c r="B19" s="43" t="inlineStr">
        <is>
          <t>Thaller</t>
        </is>
      </c>
      <c r="C19" s="43" t="inlineStr">
        <is>
          <t>Restaurant</t>
        </is>
      </c>
      <c r="D19" s="43" t="inlineStr">
        <is>
          <t>Ausgabe</t>
        </is>
      </c>
      <c r="E19" s="43" t="n"/>
      <c r="F19" s="53" t="n"/>
      <c r="G19" s="53" t="n"/>
      <c r="H19" s="53" t="n"/>
      <c r="I19" s="53" t="n"/>
      <c r="J19" s="53" t="n"/>
      <c r="K19" s="53" t="n"/>
      <c r="L19" s="53" t="n"/>
      <c r="M19" s="53" t="n"/>
      <c r="N19" s="2" t="inlineStr">
        <is>
          <t>aus bisherigen Buchungen</t>
        </is>
      </c>
    </row>
    <row r="20">
      <c r="A20" s="43" t="inlineStr">
        <is>
          <t>Win2Day</t>
        </is>
      </c>
      <c r="B20" s="43" t="inlineStr">
        <is>
          <t>Win2Day</t>
        </is>
      </c>
      <c r="C20" s="43" t="inlineStr">
        <is>
          <t>Glücksspiel</t>
        </is>
      </c>
      <c r="D20" s="43" t="inlineStr">
        <is>
          <t>Ausgabe</t>
        </is>
      </c>
      <c r="E20" s="43" t="n"/>
      <c r="F20" s="53" t="n"/>
      <c r="G20" s="53" t="n"/>
      <c r="H20" s="53" t="n"/>
      <c r="I20" s="53" t="n"/>
      <c r="J20" s="53" t="n"/>
      <c r="K20" s="53" t="n"/>
      <c r="L20" s="53" t="n"/>
      <c r="M20" s="53" t="n"/>
      <c r="N20" s="2" t="inlineStr">
        <is>
          <t>aus bisherigen Buchungen</t>
        </is>
      </c>
    </row>
    <row r="21">
      <c r="A21" s="43" t="inlineStr">
        <is>
          <t>Zalando</t>
        </is>
      </c>
      <c r="B21" s="43" t="inlineStr">
        <is>
          <t>Zalando</t>
        </is>
      </c>
      <c r="C21" s="43" t="inlineStr">
        <is>
          <t>Kleidung</t>
        </is>
      </c>
      <c r="D21" s="43" t="inlineStr">
        <is>
          <t>Ausgabe</t>
        </is>
      </c>
      <c r="E21" s="43" t="n"/>
      <c r="F21" s="53" t="n"/>
      <c r="G21" s="53" t="n"/>
      <c r="H21" s="53" t="n"/>
      <c r="I21" s="53" t="n"/>
      <c r="J21" s="53" t="n"/>
      <c r="K21" s="53" t="n"/>
      <c r="L21" s="53" t="n"/>
      <c r="M21" s="53" t="n"/>
      <c r="N21" s="2" t="inlineStr">
        <is>
          <t>aus bisherigen Buchungen</t>
        </is>
      </c>
    </row>
    <row r="22">
      <c r="A22" s="43" t="inlineStr">
        <is>
          <t>Zooplus</t>
        </is>
      </c>
      <c r="B22" s="43" t="inlineStr">
        <is>
          <t>Zooplus</t>
        </is>
      </c>
      <c r="C22" s="43" t="inlineStr">
        <is>
          <t>Tiere</t>
        </is>
      </c>
      <c r="D22" s="43" t="inlineStr">
        <is>
          <t>Ausgabe</t>
        </is>
      </c>
      <c r="E22" s="43" t="n"/>
      <c r="F22" s="53" t="n"/>
      <c r="G22" s="53" t="n"/>
      <c r="H22" s="53" t="n"/>
      <c r="I22" s="53" t="n"/>
      <c r="J22" s="53" t="n">
        <v>1</v>
      </c>
      <c r="K22" s="53" t="n"/>
      <c r="L22" s="53" t="n"/>
      <c r="M22" s="53" t="n"/>
      <c r="N22" s="2" t="inlineStr">
        <is>
          <t>aus bisherigen Buchungen</t>
        </is>
      </c>
    </row>
    <row r="23">
      <c r="A23" s="43" t="inlineStr">
        <is>
          <t>Notino</t>
        </is>
      </c>
      <c r="B23" s="43" t="inlineStr">
        <is>
          <t>Notino</t>
        </is>
      </c>
      <c r="C23" s="43" t="inlineStr">
        <is>
          <t>Haare</t>
        </is>
      </c>
      <c r="D23" s="43" t="inlineStr">
        <is>
          <t>Ausgabe</t>
        </is>
      </c>
      <c r="E23" s="43" t="n"/>
      <c r="F23" s="53" t="n"/>
      <c r="G23" s="53" t="n"/>
      <c r="H23" s="53" t="n"/>
      <c r="I23" s="53" t="n"/>
      <c r="J23" s="53" t="n"/>
      <c r="K23" s="53" t="n"/>
      <c r="L23" s="53" t="n"/>
      <c r="M23" s="53" t="n"/>
      <c r="N23" s="2" t="inlineStr">
        <is>
          <t>aus bisherigen Buchungen</t>
        </is>
      </c>
    </row>
    <row r="24">
      <c r="A24" s="43" t="inlineStr">
        <is>
          <t>Socar</t>
        </is>
      </c>
      <c r="B24" s="43" t="inlineStr">
        <is>
          <t>Socar</t>
        </is>
      </c>
      <c r="C24" s="43" t="inlineStr">
        <is>
          <t>Tanken</t>
        </is>
      </c>
      <c r="D24" s="43" t="inlineStr">
        <is>
          <t>Ausgabe</t>
        </is>
      </c>
      <c r="E24" s="43" t="n"/>
      <c r="F24" s="53" t="n"/>
      <c r="G24" s="53" t="n"/>
      <c r="H24" s="53" t="n"/>
      <c r="I24" s="53" t="n"/>
      <c r="J24" s="53" t="n"/>
      <c r="K24" s="53" t="n"/>
      <c r="L24" s="53" t="n"/>
      <c r="M24" s="53" t="n"/>
      <c r="N24" s="2" t="inlineStr">
        <is>
          <t>aus bisherigen Buchungen</t>
        </is>
      </c>
    </row>
    <row r="25">
      <c r="A25" s="43" t="inlineStr">
        <is>
          <t>ADEG</t>
        </is>
      </c>
      <c r="B25" s="43" t="inlineStr">
        <is>
          <t>ADEG</t>
        </is>
      </c>
      <c r="C25" s="43" t="inlineStr">
        <is>
          <t>Lebensmittel</t>
        </is>
      </c>
      <c r="D25" s="43" t="inlineStr">
        <is>
          <t>Ausgabe</t>
        </is>
      </c>
      <c r="E25" s="43" t="n"/>
      <c r="F25" s="53" t="n"/>
      <c r="G25" s="53" t="n"/>
      <c r="H25" s="53" t="n"/>
      <c r="I25" s="53" t="n"/>
      <c r="J25" s="53" t="n"/>
      <c r="K25" s="53" t="n"/>
      <c r="L25" s="53" t="n"/>
      <c r="M25" s="53" t="n"/>
      <c r="N25" s="2" t="inlineStr">
        <is>
          <t>aus bisherigen Buchungen</t>
        </is>
      </c>
    </row>
    <row r="26">
      <c r="A26" s="43" t="inlineStr">
        <is>
          <t>DM</t>
        </is>
      </c>
      <c r="B26" s="43" t="inlineStr">
        <is>
          <t>DM</t>
        </is>
      </c>
      <c r="C26" s="43" t="inlineStr">
        <is>
          <t>Drogerie</t>
        </is>
      </c>
      <c r="D26" s="43" t="inlineStr">
        <is>
          <t>Ausgabe</t>
        </is>
      </c>
      <c r="E26" s="43" t="n"/>
      <c r="F26" s="53" t="n"/>
      <c r="G26" s="53" t="n"/>
      <c r="H26" s="53" t="n"/>
      <c r="I26" s="53" t="n"/>
      <c r="J26" s="53" t="n"/>
      <c r="K26" s="53" t="n"/>
      <c r="L26" s="53" t="n"/>
      <c r="M26" s="53" t="n"/>
      <c r="N26" s="2" t="inlineStr">
        <is>
          <t>aus bisherigen Buchungen</t>
        </is>
      </c>
    </row>
    <row r="27">
      <c r="A27" s="43" t="n"/>
      <c r="B27" s="43" t="n"/>
      <c r="C27" s="43" t="n"/>
      <c r="D27" s="43" t="n"/>
      <c r="E27" s="43" t="n"/>
      <c r="F27" s="53" t="n"/>
      <c r="G27" s="53" t="n"/>
      <c r="H27" s="53" t="n"/>
      <c r="I27" s="53" t="n"/>
      <c r="J27" s="53" t="n"/>
      <c r="K27" s="53" t="n"/>
      <c r="L27" s="53" t="n"/>
      <c r="M27" s="53" t="n"/>
      <c r="N27" s="2" t="n"/>
    </row>
    <row r="28">
      <c r="A28" s="43" t="n"/>
      <c r="B28" s="43" t="n"/>
      <c r="C28" s="43" t="n"/>
      <c r="D28" s="43" t="n"/>
      <c r="E28" s="43" t="n"/>
      <c r="F28" s="53" t="n"/>
      <c r="G28" s="53" t="n"/>
      <c r="H28" s="53" t="n"/>
      <c r="I28" s="53" t="n"/>
      <c r="J28" s="53" t="n"/>
      <c r="K28" s="53" t="n"/>
      <c r="L28" s="53" t="n"/>
      <c r="M28" s="53" t="n"/>
      <c r="N28" s="2" t="n"/>
    </row>
    <row r="29">
      <c r="A29" s="43" t="n"/>
      <c r="B29" s="43" t="n"/>
      <c r="C29" s="43" t="n"/>
      <c r="D29" s="43" t="n"/>
      <c r="E29" s="43" t="n"/>
      <c r="F29" s="53" t="n"/>
      <c r="G29" s="53" t="n"/>
      <c r="H29" s="53" t="n"/>
      <c r="I29" s="53" t="n"/>
      <c r="J29" s="53" t="n"/>
      <c r="K29" s="53" t="n"/>
      <c r="L29" s="53" t="n"/>
      <c r="M29" s="53" t="n"/>
      <c r="N29" s="2" t="n"/>
    </row>
    <row r="30">
      <c r="A30" s="43" t="n"/>
      <c r="B30" s="43" t="n"/>
      <c r="C30" s="43" t="n"/>
      <c r="D30" s="43" t="n"/>
      <c r="E30" s="43" t="n"/>
      <c r="F30" s="53" t="n"/>
      <c r="G30" s="53" t="n"/>
      <c r="H30" s="53" t="n"/>
      <c r="I30" s="53" t="n"/>
      <c r="J30" s="53" t="n"/>
      <c r="K30" s="53" t="n"/>
      <c r="L30" s="53" t="n"/>
      <c r="M30" s="53" t="n"/>
      <c r="N30" s="2" t="n"/>
    </row>
    <row r="31">
      <c r="A31" s="43" t="n"/>
      <c r="B31" s="43" t="n"/>
      <c r="C31" s="43" t="n"/>
      <c r="D31" s="43" t="n"/>
      <c r="E31" s="43" t="n"/>
      <c r="F31" s="53" t="n"/>
      <c r="G31" s="53" t="n"/>
      <c r="H31" s="53" t="n"/>
      <c r="I31" s="53" t="n"/>
      <c r="J31" s="53" t="n"/>
      <c r="K31" s="53" t="n"/>
      <c r="L31" s="53" t="n"/>
      <c r="M31" s="53" t="n"/>
      <c r="N31" s="2" t="n"/>
    </row>
    <row r="32">
      <c r="A32" s="43" t="n"/>
      <c r="B32" s="43" t="n"/>
      <c r="C32" s="43" t="n"/>
      <c r="D32" s="43" t="n"/>
      <c r="E32" s="43" t="n"/>
      <c r="F32" s="53" t="n"/>
      <c r="G32" s="53" t="n"/>
      <c r="H32" s="53" t="n"/>
      <c r="I32" s="53" t="n"/>
      <c r="J32" s="53" t="n"/>
      <c r="K32" s="53" t="n"/>
      <c r="L32" s="53" t="n"/>
      <c r="M32" s="53" t="n"/>
      <c r="N32" s="2" t="n"/>
    </row>
    <row r="33">
      <c r="A33" s="43" t="n"/>
      <c r="B33" s="43" t="n"/>
      <c r="C33" s="43" t="n"/>
      <c r="D33" s="43" t="n"/>
      <c r="E33" s="43" t="n"/>
      <c r="F33" s="53" t="n"/>
      <c r="G33" s="53" t="n"/>
      <c r="H33" s="53" t="n"/>
      <c r="I33" s="53" t="n"/>
      <c r="J33" s="53" t="n"/>
      <c r="K33" s="53" t="n"/>
      <c r="L33" s="53" t="n"/>
      <c r="M33" s="53" t="n"/>
      <c r="N33" s="2" t="n"/>
    </row>
    <row r="34">
      <c r="A34" s="43" t="n"/>
      <c r="B34" s="43" t="n"/>
      <c r="C34" s="43" t="n"/>
      <c r="D34" s="43" t="n"/>
      <c r="E34" s="43" t="n"/>
      <c r="F34" s="53" t="n"/>
      <c r="G34" s="53" t="n"/>
      <c r="H34" s="53" t="n"/>
      <c r="I34" s="53" t="n"/>
      <c r="J34" s="53" t="n"/>
      <c r="K34" s="53" t="n"/>
      <c r="L34" s="53" t="n"/>
      <c r="M34" s="53" t="n"/>
      <c r="N34" s="2" t="n"/>
    </row>
    <row r="35">
      <c r="A35" s="43" t="n"/>
      <c r="B35" s="43" t="n"/>
      <c r="C35" s="43" t="n"/>
      <c r="D35" s="43" t="n"/>
      <c r="E35" s="43" t="n"/>
      <c r="F35" s="53" t="n"/>
      <c r="G35" s="53" t="n"/>
      <c r="H35" s="53" t="n"/>
      <c r="I35" s="53" t="n"/>
      <c r="J35" s="53" t="n"/>
      <c r="K35" s="53" t="n"/>
      <c r="L35" s="53" t="n"/>
      <c r="M35" s="53" t="n"/>
      <c r="N35" s="2" t="n"/>
    </row>
    <row r="36">
      <c r="A36" s="43" t="n"/>
      <c r="B36" s="43" t="n"/>
      <c r="C36" s="43" t="n"/>
      <c r="D36" s="43" t="n"/>
      <c r="E36" s="43" t="n"/>
      <c r="F36" s="53" t="n"/>
      <c r="G36" s="53" t="n"/>
      <c r="H36" s="53" t="n"/>
      <c r="I36" s="53" t="n"/>
      <c r="J36" s="53" t="n"/>
      <c r="K36" s="53" t="n"/>
      <c r="L36" s="53" t="n"/>
      <c r="M36" s="53" t="n"/>
      <c r="N36" s="2" t="n"/>
    </row>
    <row r="37">
      <c r="A37" s="43" t="n"/>
      <c r="B37" s="43" t="n"/>
      <c r="C37" s="43" t="n"/>
      <c r="D37" s="43" t="n"/>
      <c r="E37" s="4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2" t="n"/>
    </row>
    <row r="38">
      <c r="A38" s="43" t="n"/>
      <c r="B38" s="43" t="n"/>
      <c r="C38" s="43" t="n"/>
      <c r="D38" s="43" t="n"/>
      <c r="E38" s="4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2" t="n"/>
    </row>
    <row r="39">
      <c r="A39" s="43" t="n"/>
      <c r="B39" s="43" t="n"/>
      <c r="C39" s="43" t="n"/>
      <c r="D39" s="43" t="n"/>
      <c r="E39" s="4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2" t="n"/>
    </row>
    <row r="40">
      <c r="A40" s="43" t="n"/>
      <c r="B40" s="43" t="n"/>
      <c r="C40" s="43" t="n"/>
      <c r="D40" s="43" t="n"/>
      <c r="E40" s="43" t="n"/>
      <c r="F40" s="53" t="n"/>
      <c r="G40" s="53" t="n"/>
      <c r="H40" s="53" t="n"/>
      <c r="I40" s="53" t="n"/>
      <c r="J40" s="53" t="n"/>
      <c r="K40" s="53" t="n"/>
      <c r="L40" s="53" t="n"/>
      <c r="M40" s="53" t="n"/>
      <c r="N40" s="2" t="n"/>
    </row>
    <row r="41">
      <c r="A41" s="43" t="n"/>
      <c r="B41" s="43" t="n"/>
      <c r="C41" s="43" t="n"/>
      <c r="D41" s="43" t="n"/>
      <c r="E41" s="4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2" t="n"/>
    </row>
    <row r="42">
      <c r="A42" s="43" t="n"/>
      <c r="B42" s="43" t="n"/>
      <c r="C42" s="43" t="n"/>
      <c r="D42" s="43" t="n"/>
      <c r="E42" s="43" t="n"/>
      <c r="F42" s="53" t="n"/>
      <c r="G42" s="53" t="n"/>
      <c r="H42" s="53" t="n"/>
      <c r="I42" s="53" t="n"/>
      <c r="J42" s="53" t="n"/>
      <c r="K42" s="53" t="n"/>
      <c r="L42" s="53" t="n"/>
      <c r="M42" s="53" t="n"/>
      <c r="N42" s="2" t="n"/>
    </row>
    <row r="43">
      <c r="A43" s="43" t="n"/>
      <c r="B43" s="43" t="n"/>
      <c r="C43" s="43" t="n"/>
      <c r="D43" s="43" t="n"/>
      <c r="E43" s="43" t="n"/>
      <c r="F43" s="53" t="n"/>
      <c r="G43" s="53" t="n"/>
      <c r="H43" s="53" t="n"/>
      <c r="I43" s="53" t="n"/>
      <c r="J43" s="53" t="n"/>
      <c r="K43" s="53" t="n"/>
      <c r="L43" s="53" t="n"/>
      <c r="M43" s="53" t="n"/>
      <c r="N43" s="2" t="n"/>
    </row>
    <row r="44">
      <c r="A44" s="43" t="n"/>
      <c r="B44" s="43" t="n"/>
      <c r="C44" s="43" t="n"/>
      <c r="D44" s="43" t="n"/>
      <c r="E44" s="43" t="n"/>
      <c r="F44" s="53" t="n"/>
      <c r="G44" s="53" t="n"/>
      <c r="H44" s="53" t="n"/>
      <c r="I44" s="53" t="n"/>
      <c r="J44" s="53" t="n"/>
      <c r="K44" s="53" t="n"/>
      <c r="L44" s="53" t="n"/>
      <c r="M44" s="53" t="n"/>
      <c r="N44" s="2" t="n"/>
    </row>
    <row r="45">
      <c r="A45" s="43" t="n"/>
      <c r="B45" s="43" t="n"/>
      <c r="C45" s="43" t="n"/>
      <c r="D45" s="43" t="n"/>
      <c r="E45" s="43" t="n"/>
      <c r="F45" s="53" t="n"/>
      <c r="G45" s="53" t="n"/>
      <c r="H45" s="53" t="n"/>
      <c r="I45" s="53" t="n"/>
      <c r="J45" s="53" t="n"/>
      <c r="K45" s="53" t="n"/>
      <c r="L45" s="53" t="n"/>
      <c r="M45" s="53" t="n"/>
      <c r="N45" s="2" t="n"/>
    </row>
    <row r="46">
      <c r="A46" s="43" t="n"/>
      <c r="B46" s="43" t="n"/>
      <c r="C46" s="43" t="n"/>
      <c r="D46" s="43" t="n"/>
      <c r="E46" s="43" t="n"/>
      <c r="F46" s="53" t="n"/>
      <c r="G46" s="53" t="n"/>
      <c r="H46" s="53" t="n"/>
      <c r="I46" s="53" t="n"/>
      <c r="J46" s="53" t="n"/>
      <c r="K46" s="53" t="n"/>
      <c r="L46" s="53" t="n"/>
      <c r="M46" s="53" t="n"/>
      <c r="N46" s="2" t="n"/>
    </row>
    <row r="47">
      <c r="A47" s="43" t="n"/>
      <c r="B47" s="43" t="n"/>
      <c r="C47" s="43" t="n"/>
      <c r="D47" s="43" t="n"/>
      <c r="E47" s="43" t="n"/>
      <c r="F47" s="53" t="n"/>
      <c r="G47" s="53" t="n"/>
      <c r="H47" s="53" t="n"/>
      <c r="I47" s="53" t="n"/>
      <c r="J47" s="53" t="n"/>
      <c r="K47" s="53" t="n"/>
      <c r="L47" s="53" t="n"/>
      <c r="M47" s="53" t="n"/>
      <c r="N47" s="2" t="n"/>
    </row>
    <row r="48">
      <c r="A48" s="43" t="n"/>
      <c r="B48" s="43" t="n"/>
      <c r="C48" s="43" t="n"/>
      <c r="D48" s="43" t="n"/>
      <c r="E48" s="43" t="n"/>
      <c r="F48" s="53" t="n"/>
      <c r="G48" s="53" t="n"/>
      <c r="H48" s="53" t="n"/>
      <c r="I48" s="53" t="n"/>
      <c r="J48" s="53" t="n"/>
      <c r="K48" s="53" t="n"/>
      <c r="L48" s="53" t="n"/>
      <c r="M48" s="53" t="n"/>
      <c r="N48" s="2" t="n"/>
    </row>
    <row r="49">
      <c r="A49" s="43" t="n"/>
      <c r="B49" s="43" t="n"/>
      <c r="C49" s="43" t="n"/>
      <c r="D49" s="43" t="n"/>
      <c r="E49" s="43" t="n"/>
      <c r="F49" s="53" t="n"/>
      <c r="G49" s="53" t="n"/>
      <c r="H49" s="53" t="n"/>
      <c r="I49" s="53" t="n"/>
      <c r="J49" s="53" t="n"/>
      <c r="K49" s="53" t="n"/>
      <c r="L49" s="53" t="n"/>
      <c r="M49" s="53" t="n"/>
      <c r="N49" s="2" t="n"/>
    </row>
    <row r="50">
      <c r="A50" s="43" t="n"/>
      <c r="B50" s="43" t="n"/>
      <c r="C50" s="43" t="n"/>
      <c r="D50" s="43" t="n"/>
      <c r="E50" s="4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2" t="n"/>
    </row>
    <row r="51">
      <c r="A51" s="43" t="n"/>
      <c r="B51" s="43" t="n"/>
      <c r="C51" s="43" t="n"/>
      <c r="D51" s="43" t="n"/>
      <c r="E51" s="4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2" t="n"/>
    </row>
    <row r="52">
      <c r="A52" s="43" t="n"/>
      <c r="B52" s="43" t="n"/>
      <c r="C52" s="43" t="n"/>
      <c r="D52" s="43" t="n"/>
      <c r="E52" s="4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2" t="n"/>
    </row>
    <row r="53">
      <c r="A53" s="43" t="n"/>
      <c r="B53" s="43" t="n"/>
      <c r="C53" s="43" t="n"/>
      <c r="D53" s="43" t="n"/>
      <c r="E53" s="4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2" t="n"/>
    </row>
    <row r="54">
      <c r="A54" s="43" t="n"/>
      <c r="B54" s="43" t="n"/>
      <c r="C54" s="43" t="n"/>
      <c r="D54" s="43" t="n"/>
      <c r="E54" s="4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2" t="n"/>
    </row>
    <row r="55">
      <c r="A55" s="43" t="n"/>
      <c r="B55" s="43" t="n"/>
      <c r="C55" s="43" t="n"/>
      <c r="D55" s="43" t="n"/>
      <c r="E55" s="4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2" t="n"/>
    </row>
    <row r="56">
      <c r="A56" s="43" t="n"/>
      <c r="B56" s="43" t="n"/>
      <c r="C56" s="43" t="n"/>
      <c r="D56" s="43" t="n"/>
      <c r="E56" s="4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2" t="n"/>
    </row>
    <row r="57">
      <c r="A57" s="43" t="n"/>
      <c r="B57" s="43" t="n"/>
      <c r="C57" s="43" t="n"/>
      <c r="D57" s="43" t="n"/>
      <c r="E57" s="4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2" t="n"/>
    </row>
    <row r="58">
      <c r="A58" s="43" t="n"/>
      <c r="B58" s="43" t="n"/>
      <c r="C58" s="43" t="n"/>
      <c r="D58" s="43" t="n"/>
      <c r="E58" s="4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2" t="n"/>
    </row>
    <row r="59">
      <c r="A59" s="43" t="n"/>
      <c r="B59" s="43" t="n"/>
      <c r="C59" s="43" t="n"/>
      <c r="D59" s="43" t="n"/>
      <c r="E59" s="4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2" t="n"/>
    </row>
    <row r="60">
      <c r="A60" s="43" t="n"/>
      <c r="B60" s="43" t="n"/>
      <c r="C60" s="43" t="n"/>
      <c r="D60" s="43" t="n"/>
      <c r="E60" s="4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2" t="n"/>
    </row>
    <row r="61">
      <c r="A61" s="43" t="n"/>
      <c r="B61" s="43" t="n"/>
      <c r="C61" s="43" t="n"/>
      <c r="D61" s="43" t="n"/>
      <c r="E61" s="4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2" t="n"/>
    </row>
    <row r="62">
      <c r="A62" s="43" t="n"/>
      <c r="B62" s="43" t="n"/>
      <c r="C62" s="43" t="n"/>
      <c r="D62" s="43" t="n"/>
      <c r="E62" s="4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2" t="n"/>
    </row>
    <row r="63">
      <c r="A63" s="43" t="n"/>
      <c r="B63" s="43" t="n"/>
      <c r="C63" s="43" t="n"/>
      <c r="D63" s="43" t="n"/>
      <c r="E63" s="4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2" t="n"/>
    </row>
    <row r="64">
      <c r="A64" s="43" t="n"/>
      <c r="B64" s="43" t="n"/>
      <c r="C64" s="43" t="n"/>
      <c r="D64" s="43" t="n"/>
      <c r="E64" s="43" t="n"/>
      <c r="F64" s="53" t="n"/>
      <c r="G64" s="53" t="n"/>
      <c r="H64" s="53" t="n"/>
      <c r="I64" s="53" t="n"/>
      <c r="J64" s="53" t="n"/>
      <c r="K64" s="53" t="n"/>
      <c r="L64" s="53" t="n"/>
      <c r="M64" s="53" t="n"/>
      <c r="N64" s="2" t="n"/>
    </row>
    <row r="65">
      <c r="A65" s="43" t="n"/>
      <c r="B65" s="43" t="n"/>
      <c r="C65" s="43" t="n"/>
      <c r="D65" s="43" t="n"/>
      <c r="E65" s="43" t="n"/>
      <c r="F65" s="53" t="n"/>
      <c r="G65" s="53" t="n"/>
      <c r="H65" s="53" t="n"/>
      <c r="I65" s="53" t="n"/>
      <c r="J65" s="53" t="n"/>
      <c r="K65" s="53" t="n"/>
      <c r="L65" s="53" t="n"/>
      <c r="M65" s="53" t="n"/>
      <c r="N65" s="2" t="n"/>
    </row>
    <row r="66">
      <c r="A66" s="43" t="n"/>
      <c r="B66" s="43" t="n"/>
      <c r="C66" s="43" t="n"/>
      <c r="D66" s="43" t="n"/>
      <c r="E66" s="43" t="n"/>
      <c r="F66" s="53" t="n"/>
      <c r="G66" s="53" t="n"/>
      <c r="H66" s="53" t="n"/>
      <c r="I66" s="53" t="n"/>
      <c r="J66" s="53" t="n"/>
      <c r="K66" s="53" t="n"/>
      <c r="L66" s="53" t="n"/>
      <c r="M66" s="53" t="n"/>
      <c r="N66" s="2" t="n"/>
    </row>
    <row r="67">
      <c r="A67" s="43" t="n"/>
      <c r="B67" s="43" t="n"/>
      <c r="C67" s="43" t="n"/>
      <c r="D67" s="43" t="n"/>
      <c r="E67" s="43" t="n"/>
      <c r="F67" s="53" t="n"/>
      <c r="G67" s="53" t="n"/>
      <c r="H67" s="53" t="n"/>
      <c r="I67" s="53" t="n"/>
      <c r="J67" s="53" t="n"/>
      <c r="K67" s="53" t="n"/>
      <c r="L67" s="53" t="n"/>
      <c r="M67" s="53" t="n"/>
      <c r="N67" s="2" t="n"/>
    </row>
    <row r="68">
      <c r="A68" s="43" t="n"/>
      <c r="B68" s="43" t="n"/>
      <c r="C68" s="43" t="n"/>
      <c r="D68" s="43" t="n"/>
      <c r="E68" s="43" t="n"/>
      <c r="F68" s="53" t="n"/>
      <c r="G68" s="53" t="n"/>
      <c r="H68" s="53" t="n"/>
      <c r="I68" s="53" t="n"/>
      <c r="J68" s="53" t="n"/>
      <c r="K68" s="53" t="n"/>
      <c r="L68" s="53" t="n"/>
      <c r="M68" s="53" t="n"/>
      <c r="N68" s="2" t="n"/>
    </row>
    <row r="69">
      <c r="A69" s="43" t="n"/>
      <c r="B69" s="43" t="n"/>
      <c r="C69" s="43" t="n"/>
      <c r="D69" s="43" t="n"/>
      <c r="E69" s="43" t="n"/>
      <c r="F69" s="53" t="n"/>
      <c r="G69" s="53" t="n"/>
      <c r="H69" s="53" t="n"/>
      <c r="I69" s="53" t="n"/>
      <c r="J69" s="53" t="n"/>
      <c r="K69" s="53" t="n"/>
      <c r="L69" s="53" t="n"/>
      <c r="M69" s="53" t="n"/>
      <c r="N69" s="2" t="n"/>
    </row>
    <row r="70">
      <c r="A70" s="43" t="n"/>
      <c r="B70" s="43" t="n"/>
      <c r="C70" s="43" t="n"/>
      <c r="D70" s="43" t="n"/>
      <c r="E70" s="43" t="n"/>
      <c r="F70" s="53" t="n"/>
      <c r="G70" s="53" t="n"/>
      <c r="H70" s="53" t="n"/>
      <c r="I70" s="53" t="n"/>
      <c r="J70" s="53" t="n"/>
      <c r="K70" s="53" t="n"/>
      <c r="L70" s="53" t="n"/>
      <c r="M70" s="53" t="n"/>
      <c r="N70" s="2" t="n"/>
    </row>
    <row r="71">
      <c r="A71" s="43" t="n"/>
      <c r="B71" s="43" t="n"/>
      <c r="C71" s="43" t="n"/>
      <c r="D71" s="43" t="n"/>
      <c r="E71" s="43" t="n"/>
      <c r="F71" s="53" t="n"/>
      <c r="G71" s="53" t="n"/>
      <c r="H71" s="53" t="n"/>
      <c r="I71" s="53" t="n"/>
      <c r="J71" s="53" t="n"/>
      <c r="K71" s="53" t="n"/>
      <c r="L71" s="53" t="n"/>
      <c r="M71" s="53" t="n"/>
      <c r="N71" s="2" t="n"/>
    </row>
    <row r="72">
      <c r="A72" s="43" t="n"/>
      <c r="B72" s="43" t="n"/>
      <c r="C72" s="43" t="n"/>
      <c r="D72" s="43" t="n"/>
      <c r="E72" s="43" t="n"/>
      <c r="F72" s="53" t="n"/>
      <c r="G72" s="53" t="n"/>
      <c r="H72" s="53" t="n"/>
      <c r="I72" s="53" t="n"/>
      <c r="J72" s="53" t="n"/>
      <c r="K72" s="53" t="n"/>
      <c r="L72" s="53" t="n"/>
      <c r="M72" s="53" t="n"/>
      <c r="N72" s="2" t="n"/>
    </row>
    <row r="73">
      <c r="A73" s="43" t="n"/>
      <c r="B73" s="43" t="n"/>
      <c r="C73" s="43" t="n"/>
      <c r="D73" s="43" t="n"/>
      <c r="E73" s="43" t="n"/>
      <c r="F73" s="53" t="n"/>
      <c r="G73" s="53" t="n"/>
      <c r="H73" s="53" t="n"/>
      <c r="I73" s="53" t="n"/>
      <c r="J73" s="53" t="n"/>
      <c r="K73" s="53" t="n"/>
      <c r="L73" s="53" t="n"/>
      <c r="M73" s="53" t="n"/>
      <c r="N73" s="2" t="n"/>
    </row>
    <row r="74">
      <c r="A74" s="43" t="n"/>
      <c r="B74" s="43" t="n"/>
      <c r="C74" s="43" t="n"/>
      <c r="D74" s="43" t="n"/>
      <c r="E74" s="43" t="n"/>
      <c r="F74" s="53" t="n"/>
      <c r="G74" s="53" t="n"/>
      <c r="H74" s="53" t="n"/>
      <c r="I74" s="53" t="n"/>
      <c r="J74" s="53" t="n"/>
      <c r="K74" s="53" t="n"/>
      <c r="L74" s="53" t="n"/>
      <c r="M74" s="53" t="n"/>
      <c r="N74" s="2" t="n"/>
    </row>
    <row r="75">
      <c r="A75" s="43" t="n"/>
      <c r="B75" s="43" t="n"/>
      <c r="C75" s="43" t="n"/>
      <c r="D75" s="43" t="n"/>
      <c r="E75" s="43" t="n"/>
      <c r="F75" s="53" t="n"/>
      <c r="G75" s="53" t="n"/>
      <c r="H75" s="53" t="n"/>
      <c r="I75" s="53" t="n"/>
      <c r="J75" s="53" t="n"/>
      <c r="K75" s="53" t="n"/>
      <c r="L75" s="53" t="n"/>
      <c r="M75" s="53" t="n"/>
      <c r="N75" s="2" t="n"/>
    </row>
    <row r="76">
      <c r="A76" s="43" t="n"/>
      <c r="B76" s="43" t="n"/>
      <c r="C76" s="43" t="n"/>
      <c r="D76" s="43" t="n"/>
      <c r="E76" s="43" t="n"/>
      <c r="F76" s="53" t="n"/>
      <c r="G76" s="53" t="n"/>
      <c r="H76" s="53" t="n"/>
      <c r="I76" s="53" t="n"/>
      <c r="J76" s="53" t="n"/>
      <c r="K76" s="53" t="n"/>
      <c r="L76" s="53" t="n"/>
      <c r="M76" s="53" t="n"/>
      <c r="N76" s="2" t="n"/>
    </row>
    <row r="77">
      <c r="A77" s="43" t="n"/>
      <c r="B77" s="43" t="n"/>
      <c r="C77" s="43" t="n"/>
      <c r="D77" s="43" t="n"/>
      <c r="E77" s="43" t="n"/>
      <c r="F77" s="53" t="n"/>
      <c r="G77" s="53" t="n"/>
      <c r="H77" s="53" t="n"/>
      <c r="I77" s="53" t="n"/>
      <c r="J77" s="53" t="n"/>
      <c r="K77" s="53" t="n"/>
      <c r="L77" s="53" t="n"/>
      <c r="M77" s="53" t="n"/>
      <c r="N77" s="2" t="n"/>
    </row>
    <row r="78">
      <c r="A78" s="43" t="n"/>
      <c r="B78" s="43" t="n"/>
      <c r="C78" s="43" t="n"/>
      <c r="D78" s="43" t="n"/>
      <c r="E78" s="43" t="n"/>
      <c r="F78" s="53" t="n"/>
      <c r="G78" s="53" t="n"/>
      <c r="H78" s="53" t="n"/>
      <c r="I78" s="53" t="n"/>
      <c r="J78" s="53" t="n"/>
      <c r="K78" s="53" t="n"/>
      <c r="L78" s="53" t="n"/>
      <c r="M78" s="53" t="n"/>
      <c r="N78" s="2" t="n"/>
    </row>
    <row r="79">
      <c r="A79" s="43" t="n"/>
      <c r="B79" s="43" t="n"/>
      <c r="C79" s="43" t="n"/>
      <c r="D79" s="43" t="n"/>
      <c r="E79" s="43" t="n"/>
      <c r="F79" s="53" t="n"/>
      <c r="G79" s="53" t="n"/>
      <c r="H79" s="53" t="n"/>
      <c r="I79" s="53" t="n"/>
      <c r="J79" s="53" t="n"/>
      <c r="K79" s="53" t="n"/>
      <c r="L79" s="53" t="n"/>
      <c r="M79" s="53" t="n"/>
      <c r="N79" s="2" t="n"/>
    </row>
    <row r="80">
      <c r="A80" s="43" t="n"/>
      <c r="B80" s="43" t="n"/>
      <c r="C80" s="43" t="n"/>
      <c r="D80" s="43" t="n"/>
      <c r="E80" s="43" t="n"/>
      <c r="F80" s="53" t="n"/>
      <c r="G80" s="53" t="n"/>
      <c r="H80" s="53" t="n"/>
      <c r="I80" s="53" t="n"/>
      <c r="J80" s="53" t="n"/>
      <c r="K80" s="53" t="n"/>
      <c r="L80" s="53" t="n"/>
      <c r="M80" s="53" t="n"/>
      <c r="N80" s="2" t="n"/>
    </row>
    <row r="81">
      <c r="A81" s="43" t="n"/>
      <c r="B81" s="43" t="n"/>
      <c r="C81" s="43" t="n"/>
      <c r="D81" s="43" t="n"/>
      <c r="E81" s="43" t="n"/>
      <c r="F81" s="53" t="n"/>
      <c r="G81" s="53" t="n"/>
      <c r="H81" s="53" t="n"/>
      <c r="I81" s="53" t="n"/>
      <c r="J81" s="53" t="n"/>
      <c r="K81" s="53" t="n"/>
      <c r="L81" s="53" t="n"/>
      <c r="M81" s="53" t="n"/>
      <c r="N81" s="2" t="n"/>
    </row>
    <row r="82">
      <c r="A82" s="43" t="n"/>
      <c r="B82" s="43" t="n"/>
      <c r="C82" s="43" t="n"/>
      <c r="D82" s="43" t="n"/>
      <c r="E82" s="43" t="n"/>
      <c r="F82" s="53" t="n"/>
      <c r="G82" s="53" t="n"/>
      <c r="H82" s="53" t="n"/>
      <c r="I82" s="53" t="n"/>
      <c r="J82" s="53" t="n"/>
      <c r="K82" s="53" t="n"/>
      <c r="L82" s="53" t="n"/>
      <c r="M82" s="53" t="n"/>
      <c r="N82" s="2" t="n"/>
    </row>
    <row r="83">
      <c r="A83" s="43" t="n"/>
      <c r="B83" s="43" t="n"/>
      <c r="C83" s="43" t="n"/>
      <c r="D83" s="43" t="n"/>
      <c r="E83" s="43" t="n"/>
      <c r="F83" s="53" t="n"/>
      <c r="G83" s="53" t="n"/>
      <c r="H83" s="53" t="n"/>
      <c r="I83" s="53" t="n"/>
      <c r="J83" s="53" t="n"/>
      <c r="K83" s="53" t="n"/>
      <c r="L83" s="53" t="n"/>
      <c r="M83" s="53" t="n"/>
      <c r="N83" s="2" t="n"/>
    </row>
    <row r="84">
      <c r="A84" s="43" t="n"/>
      <c r="B84" s="43" t="n"/>
      <c r="C84" s="43" t="n"/>
      <c r="D84" s="43" t="n"/>
      <c r="E84" s="43" t="n"/>
      <c r="F84" s="53" t="n"/>
      <c r="G84" s="53" t="n"/>
      <c r="H84" s="53" t="n"/>
      <c r="I84" s="53" t="n"/>
      <c r="J84" s="53" t="n"/>
      <c r="K84" s="53" t="n"/>
      <c r="L84" s="53" t="n"/>
      <c r="M84" s="53" t="n"/>
      <c r="N84" s="2" t="n"/>
    </row>
    <row r="85">
      <c r="A85" s="43" t="n"/>
      <c r="B85" s="43" t="n"/>
      <c r="C85" s="43" t="n"/>
      <c r="D85" s="43" t="n"/>
      <c r="E85" s="43" t="n"/>
      <c r="F85" s="53" t="n"/>
      <c r="G85" s="53" t="n"/>
      <c r="H85" s="53" t="n"/>
      <c r="I85" s="53" t="n"/>
      <c r="J85" s="53" t="n"/>
      <c r="K85" s="53" t="n"/>
      <c r="L85" s="53" t="n"/>
      <c r="M85" s="53" t="n"/>
      <c r="N85" s="2" t="n"/>
    </row>
    <row r="86">
      <c r="A86" s="43" t="n"/>
      <c r="B86" s="43" t="n"/>
      <c r="C86" s="43" t="n"/>
      <c r="D86" s="43" t="n"/>
      <c r="E86" s="43" t="n"/>
      <c r="F86" s="53" t="n"/>
      <c r="G86" s="53" t="n"/>
      <c r="H86" s="53" t="n"/>
      <c r="I86" s="53" t="n"/>
      <c r="J86" s="53" t="n"/>
      <c r="K86" s="53" t="n"/>
      <c r="L86" s="53" t="n"/>
      <c r="M86" s="53" t="n"/>
      <c r="N86" s="2" t="n"/>
    </row>
    <row r="87">
      <c r="A87" s="43" t="n"/>
      <c r="B87" s="43" t="n"/>
      <c r="C87" s="43" t="n"/>
      <c r="D87" s="43" t="n"/>
      <c r="E87" s="43" t="n"/>
      <c r="F87" s="53" t="n"/>
      <c r="G87" s="53" t="n"/>
      <c r="H87" s="53" t="n"/>
      <c r="I87" s="53" t="n"/>
      <c r="J87" s="53" t="n"/>
      <c r="K87" s="53" t="n"/>
      <c r="L87" s="53" t="n"/>
      <c r="M87" s="53" t="n"/>
      <c r="N87" s="2" t="n"/>
    </row>
    <row r="88">
      <c r="A88" s="43" t="n"/>
      <c r="B88" s="43" t="n"/>
      <c r="C88" s="43" t="n"/>
      <c r="D88" s="43" t="n"/>
      <c r="E88" s="43" t="n"/>
      <c r="F88" s="53" t="n"/>
      <c r="G88" s="53" t="n"/>
      <c r="H88" s="53" t="n"/>
      <c r="I88" s="53" t="n"/>
      <c r="J88" s="53" t="n"/>
      <c r="K88" s="53" t="n"/>
      <c r="L88" s="53" t="n"/>
      <c r="M88" s="53" t="n"/>
      <c r="N88" s="2" t="n"/>
    </row>
    <row r="89">
      <c r="A89" s="43" t="n"/>
      <c r="B89" s="43" t="n"/>
      <c r="C89" s="43" t="n"/>
      <c r="D89" s="43" t="n"/>
      <c r="E89" s="43" t="n"/>
      <c r="F89" s="53" t="n"/>
      <c r="G89" s="53" t="n"/>
      <c r="H89" s="53" t="n"/>
      <c r="I89" s="53" t="n"/>
      <c r="J89" s="53" t="n"/>
      <c r="K89" s="53" t="n"/>
      <c r="L89" s="53" t="n"/>
      <c r="M89" s="53" t="n"/>
      <c r="N89" s="2" t="n"/>
    </row>
    <row r="90">
      <c r="A90" s="43" t="n"/>
      <c r="B90" s="43" t="n"/>
      <c r="C90" s="43" t="n"/>
      <c r="D90" s="43" t="n"/>
      <c r="E90" s="43" t="n"/>
      <c r="F90" s="53" t="n"/>
      <c r="G90" s="53" t="n"/>
      <c r="H90" s="53" t="n"/>
      <c r="I90" s="53" t="n"/>
      <c r="J90" s="53" t="n"/>
      <c r="K90" s="53" t="n"/>
      <c r="L90" s="53" t="n"/>
      <c r="M90" s="53" t="n"/>
      <c r="N90" s="2" t="n"/>
    </row>
    <row r="91">
      <c r="A91" s="43" t="n"/>
      <c r="B91" s="43" t="n"/>
      <c r="C91" s="43" t="n"/>
      <c r="D91" s="43" t="n"/>
      <c r="E91" s="43" t="n"/>
      <c r="F91" s="53" t="n"/>
      <c r="G91" s="53" t="n"/>
      <c r="H91" s="53" t="n"/>
      <c r="I91" s="53" t="n"/>
      <c r="J91" s="53" t="n"/>
      <c r="K91" s="53" t="n"/>
      <c r="L91" s="53" t="n"/>
      <c r="M91" s="53" t="n"/>
      <c r="N91" s="2" t="n"/>
    </row>
    <row r="92">
      <c r="A92" s="43" t="n"/>
      <c r="B92" s="43" t="n"/>
      <c r="C92" s="43" t="n"/>
      <c r="D92" s="43" t="n"/>
      <c r="E92" s="43" t="n"/>
      <c r="F92" s="53" t="n"/>
      <c r="G92" s="53" t="n"/>
      <c r="H92" s="53" t="n"/>
      <c r="I92" s="53" t="n"/>
      <c r="J92" s="53" t="n"/>
      <c r="K92" s="53" t="n"/>
      <c r="L92" s="53" t="n"/>
      <c r="M92" s="53" t="n"/>
      <c r="N92" s="2" t="n"/>
    </row>
    <row r="93">
      <c r="A93" s="43" t="n"/>
      <c r="B93" s="43" t="n"/>
      <c r="C93" s="43" t="n"/>
      <c r="D93" s="43" t="n"/>
      <c r="E93" s="43" t="n"/>
      <c r="F93" s="53" t="n"/>
      <c r="G93" s="53" t="n"/>
      <c r="H93" s="53" t="n"/>
      <c r="I93" s="53" t="n"/>
      <c r="J93" s="53" t="n"/>
      <c r="K93" s="53" t="n"/>
      <c r="L93" s="53" t="n"/>
      <c r="M93" s="53" t="n"/>
      <c r="N93" s="2" t="n"/>
    </row>
    <row r="94">
      <c r="A94" s="43" t="n"/>
      <c r="B94" s="43" t="n"/>
      <c r="C94" s="43" t="n"/>
      <c r="D94" s="43" t="n"/>
      <c r="E94" s="43" t="n"/>
      <c r="F94" s="53" t="n"/>
      <c r="G94" s="53" t="n"/>
      <c r="H94" s="53" t="n"/>
      <c r="I94" s="53" t="n"/>
      <c r="J94" s="53" t="n"/>
      <c r="K94" s="53" t="n"/>
      <c r="L94" s="53" t="n"/>
      <c r="M94" s="53" t="n"/>
      <c r="N94" s="2" t="n"/>
    </row>
    <row r="95">
      <c r="A95" s="43" t="n"/>
      <c r="B95" s="43" t="n"/>
      <c r="C95" s="43" t="n"/>
      <c r="D95" s="43" t="n"/>
      <c r="E95" s="43" t="n"/>
      <c r="F95" s="53" t="n"/>
      <c r="G95" s="53" t="n"/>
      <c r="H95" s="53" t="n"/>
      <c r="I95" s="53" t="n"/>
      <c r="J95" s="53" t="n"/>
      <c r="K95" s="53" t="n"/>
      <c r="L95" s="53" t="n"/>
      <c r="M95" s="53" t="n"/>
      <c r="N95" s="2" t="n"/>
    </row>
    <row r="96">
      <c r="A96" s="43" t="n"/>
      <c r="B96" s="43" t="n"/>
      <c r="C96" s="43" t="n"/>
      <c r="D96" s="43" t="n"/>
      <c r="E96" s="43" t="n"/>
      <c r="F96" s="53" t="n"/>
      <c r="G96" s="53" t="n"/>
      <c r="H96" s="53" t="n"/>
      <c r="I96" s="53" t="n"/>
      <c r="J96" s="53" t="n"/>
      <c r="K96" s="53" t="n"/>
      <c r="L96" s="53" t="n"/>
      <c r="M96" s="53" t="n"/>
      <c r="N96" s="2" t="n"/>
    </row>
    <row r="97">
      <c r="A97" s="43" t="n"/>
      <c r="B97" s="43" t="n"/>
      <c r="C97" s="43" t="n"/>
      <c r="D97" s="43" t="n"/>
      <c r="E97" s="43" t="n"/>
      <c r="F97" s="53" t="n"/>
      <c r="G97" s="53" t="n"/>
      <c r="H97" s="53" t="n"/>
      <c r="I97" s="53" t="n"/>
      <c r="J97" s="53" t="n"/>
      <c r="K97" s="53" t="n"/>
      <c r="L97" s="53" t="n"/>
      <c r="M97" s="53" t="n"/>
      <c r="N97" s="2" t="n"/>
    </row>
    <row r="98">
      <c r="A98" s="43" t="n"/>
      <c r="B98" s="43" t="n"/>
      <c r="C98" s="43" t="n"/>
      <c r="D98" s="43" t="n"/>
      <c r="E98" s="43" t="n"/>
      <c r="F98" s="53" t="n"/>
      <c r="G98" s="53" t="n"/>
      <c r="H98" s="53" t="n"/>
      <c r="I98" s="53" t="n"/>
      <c r="J98" s="53" t="n"/>
      <c r="K98" s="53" t="n"/>
      <c r="L98" s="53" t="n"/>
      <c r="M98" s="53" t="n"/>
      <c r="N98" s="2" t="n"/>
    </row>
    <row r="99">
      <c r="A99" s="43" t="n"/>
      <c r="B99" s="43" t="n"/>
      <c r="C99" s="43" t="n"/>
      <c r="D99" s="43" t="n"/>
      <c r="E99" s="43" t="n"/>
      <c r="F99" s="53" t="n"/>
      <c r="G99" s="53" t="n"/>
      <c r="H99" s="53" t="n"/>
      <c r="I99" s="53" t="n"/>
      <c r="J99" s="53" t="n"/>
      <c r="K99" s="53" t="n"/>
      <c r="L99" s="53" t="n"/>
      <c r="M99" s="53" t="n"/>
      <c r="N99" s="2" t="n"/>
    </row>
    <row r="100">
      <c r="A100" s="43" t="n"/>
      <c r="B100" s="43" t="n"/>
      <c r="C100" s="43" t="n"/>
      <c r="D100" s="43" t="n"/>
      <c r="E100" s="43" t="n"/>
      <c r="F100" s="53" t="n"/>
      <c r="G100" s="53" t="n"/>
      <c r="H100" s="53" t="n"/>
      <c r="I100" s="53" t="n"/>
      <c r="J100" s="53" t="n"/>
      <c r="K100" s="53" t="n"/>
      <c r="L100" s="53" t="n"/>
      <c r="M100" s="53" t="n"/>
      <c r="N100" s="2" t="n"/>
    </row>
    <row r="101">
      <c r="A101" s="43" t="n"/>
      <c r="B101" s="43" t="n"/>
      <c r="C101" s="43" t="n"/>
      <c r="D101" s="43" t="n"/>
      <c r="E101" s="43" t="n"/>
      <c r="F101" s="53" t="n"/>
      <c r="G101" s="53" t="n"/>
      <c r="H101" s="53" t="n"/>
      <c r="I101" s="53" t="n"/>
      <c r="J101" s="53" t="n"/>
      <c r="K101" s="53" t="n"/>
      <c r="L101" s="53" t="n"/>
      <c r="M101" s="53" t="n"/>
      <c r="N101" s="2" t="n"/>
    </row>
    <row r="102">
      <c r="A102" s="43" t="n"/>
      <c r="B102" s="43" t="n"/>
      <c r="C102" s="43" t="n"/>
      <c r="D102" s="43" t="n"/>
      <c r="E102" s="43" t="n"/>
      <c r="F102" s="53" t="n"/>
      <c r="G102" s="53" t="n"/>
      <c r="H102" s="53" t="n"/>
      <c r="I102" s="53" t="n"/>
      <c r="J102" s="53" t="n"/>
      <c r="K102" s="53" t="n"/>
      <c r="L102" s="53" t="n"/>
      <c r="M102" s="53" t="n"/>
      <c r="N102" s="2" t="n"/>
    </row>
    <row r="103">
      <c r="A103" s="43" t="n"/>
      <c r="B103" s="43" t="n"/>
      <c r="C103" s="43" t="n"/>
      <c r="D103" s="43" t="n"/>
      <c r="E103" s="43" t="n"/>
      <c r="F103" s="53" t="n"/>
      <c r="G103" s="53" t="n"/>
      <c r="H103" s="53" t="n"/>
      <c r="I103" s="53" t="n"/>
      <c r="J103" s="53" t="n"/>
      <c r="K103" s="53" t="n"/>
      <c r="L103" s="53" t="n"/>
      <c r="M103" s="53" t="n"/>
      <c r="N103" s="2" t="n"/>
    </row>
    <row r="104">
      <c r="A104" s="43" t="n"/>
      <c r="B104" s="43" t="n"/>
      <c r="C104" s="43" t="n"/>
      <c r="D104" s="43" t="n"/>
      <c r="E104" s="43" t="n"/>
      <c r="F104" s="53" t="n"/>
      <c r="G104" s="53" t="n"/>
      <c r="H104" s="53" t="n"/>
      <c r="I104" s="53" t="n"/>
      <c r="J104" s="53" t="n"/>
      <c r="K104" s="53" t="n"/>
      <c r="L104" s="53" t="n"/>
      <c r="M104" s="53" t="n"/>
      <c r="N104" s="2" t="n"/>
    </row>
    <row r="105">
      <c r="A105" s="43" t="n"/>
      <c r="B105" s="43" t="n"/>
      <c r="C105" s="43" t="n"/>
      <c r="D105" s="43" t="n"/>
      <c r="E105" s="43" t="n"/>
      <c r="F105" s="53" t="n"/>
      <c r="G105" s="53" t="n"/>
      <c r="H105" s="53" t="n"/>
      <c r="I105" s="53" t="n"/>
      <c r="J105" s="53" t="n"/>
      <c r="K105" s="53" t="n"/>
      <c r="L105" s="53" t="n"/>
      <c r="M105" s="53" t="n"/>
      <c r="N105" s="2" t="n"/>
    </row>
    <row r="106">
      <c r="A106" s="43" t="n"/>
      <c r="B106" s="43" t="n"/>
      <c r="C106" s="43" t="n"/>
      <c r="D106" s="43" t="n"/>
      <c r="E106" s="43" t="n"/>
      <c r="F106" s="53" t="n"/>
      <c r="G106" s="53" t="n"/>
      <c r="H106" s="53" t="n"/>
      <c r="I106" s="53" t="n"/>
      <c r="J106" s="53" t="n"/>
      <c r="K106" s="53" t="n"/>
      <c r="L106" s="53" t="n"/>
      <c r="M106" s="53" t="n"/>
      <c r="N106" s="2" t="n"/>
    </row>
    <row r="107">
      <c r="A107" s="43" t="n"/>
      <c r="B107" s="43" t="n"/>
      <c r="C107" s="43" t="n"/>
      <c r="D107" s="43" t="n"/>
      <c r="E107" s="43" t="n"/>
      <c r="F107" s="53" t="n"/>
      <c r="G107" s="53" t="n"/>
      <c r="H107" s="53" t="n"/>
      <c r="I107" s="53" t="n"/>
      <c r="J107" s="53" t="n"/>
      <c r="K107" s="53" t="n"/>
      <c r="L107" s="53" t="n"/>
      <c r="M107" s="53" t="n"/>
      <c r="N107" s="2" t="n"/>
    </row>
    <row r="108">
      <c r="A108" s="43" t="n"/>
      <c r="B108" s="43" t="n"/>
      <c r="C108" s="43" t="n"/>
      <c r="D108" s="43" t="n"/>
      <c r="E108" s="43" t="n"/>
      <c r="F108" s="53" t="n"/>
      <c r="G108" s="53" t="n"/>
      <c r="H108" s="53" t="n"/>
      <c r="I108" s="53" t="n"/>
      <c r="J108" s="53" t="n"/>
      <c r="K108" s="53" t="n"/>
      <c r="L108" s="53" t="n"/>
      <c r="M108" s="53" t="n"/>
      <c r="N108" s="2" t="n"/>
    </row>
    <row r="109">
      <c r="A109" s="43" t="n"/>
      <c r="B109" s="43" t="n"/>
      <c r="C109" s="43" t="n"/>
      <c r="D109" s="43" t="n"/>
      <c r="E109" s="43" t="n"/>
      <c r="F109" s="53" t="n"/>
      <c r="G109" s="53" t="n"/>
      <c r="H109" s="53" t="n"/>
      <c r="I109" s="53" t="n"/>
      <c r="J109" s="53" t="n"/>
      <c r="K109" s="53" t="n"/>
      <c r="L109" s="53" t="n"/>
      <c r="M109" s="53" t="n"/>
      <c r="N109" s="2" t="n"/>
    </row>
    <row r="110">
      <c r="A110" s="43" t="n"/>
      <c r="B110" s="43" t="n"/>
      <c r="C110" s="43" t="n"/>
      <c r="D110" s="43" t="n"/>
      <c r="E110" s="43" t="n"/>
      <c r="F110" s="53" t="n"/>
      <c r="G110" s="53" t="n"/>
      <c r="H110" s="53" t="n"/>
      <c r="I110" s="53" t="n"/>
      <c r="J110" s="53" t="n"/>
      <c r="K110" s="53" t="n"/>
      <c r="L110" s="53" t="n"/>
      <c r="M110" s="53" t="n"/>
      <c r="N110" s="2" t="n"/>
    </row>
    <row r="111">
      <c r="A111" s="43" t="n"/>
      <c r="B111" s="43" t="n"/>
      <c r="C111" s="43" t="n"/>
      <c r="D111" s="43" t="n"/>
      <c r="E111" s="43" t="n"/>
      <c r="F111" s="53" t="n"/>
      <c r="G111" s="53" t="n"/>
      <c r="H111" s="53" t="n"/>
      <c r="I111" s="53" t="n"/>
      <c r="J111" s="53" t="n"/>
      <c r="K111" s="53" t="n"/>
      <c r="L111" s="53" t="n"/>
      <c r="M111" s="53" t="n"/>
      <c r="N111" s="2" t="n"/>
    </row>
    <row r="112">
      <c r="A112" s="43" t="n"/>
      <c r="B112" s="43" t="n"/>
      <c r="C112" s="43" t="n"/>
      <c r="D112" s="43" t="n"/>
      <c r="E112" s="43" t="n"/>
      <c r="F112" s="53" t="n"/>
      <c r="G112" s="53" t="n"/>
      <c r="H112" s="53" t="n"/>
      <c r="I112" s="53" t="n"/>
      <c r="J112" s="53" t="n"/>
      <c r="K112" s="53" t="n"/>
      <c r="L112" s="53" t="n"/>
      <c r="M112" s="53" t="n"/>
      <c r="N112" s="2" t="n"/>
    </row>
    <row r="113">
      <c r="A113" s="43" t="n"/>
      <c r="B113" s="43" t="n"/>
      <c r="C113" s="43" t="n"/>
      <c r="D113" s="43" t="n"/>
      <c r="E113" s="43" t="n"/>
      <c r="F113" s="53" t="n"/>
      <c r="G113" s="53" t="n"/>
      <c r="H113" s="53" t="n"/>
      <c r="I113" s="53" t="n"/>
      <c r="J113" s="53" t="n"/>
      <c r="K113" s="53" t="n"/>
      <c r="L113" s="53" t="n"/>
      <c r="M113" s="53" t="n"/>
      <c r="N113" s="2" t="n"/>
    </row>
    <row r="114">
      <c r="A114" s="43" t="n"/>
      <c r="B114" s="43" t="n"/>
      <c r="C114" s="43" t="n"/>
      <c r="D114" s="43" t="n"/>
      <c r="E114" s="43" t="n"/>
      <c r="F114" s="53" t="n"/>
      <c r="G114" s="53" t="n"/>
      <c r="H114" s="53" t="n"/>
      <c r="I114" s="53" t="n"/>
      <c r="J114" s="53" t="n"/>
      <c r="K114" s="53" t="n"/>
      <c r="L114" s="53" t="n"/>
      <c r="M114" s="53" t="n"/>
      <c r="N114" s="2" t="n"/>
    </row>
    <row r="115">
      <c r="A115" s="43" t="n"/>
      <c r="B115" s="43" t="n"/>
      <c r="C115" s="43" t="n"/>
      <c r="D115" s="43" t="n"/>
      <c r="E115" s="43" t="n"/>
      <c r="F115" s="53" t="n"/>
      <c r="G115" s="53" t="n"/>
      <c r="H115" s="53" t="n"/>
      <c r="I115" s="53" t="n"/>
      <c r="J115" s="53" t="n"/>
      <c r="K115" s="53" t="n"/>
      <c r="L115" s="53" t="n"/>
      <c r="M115" s="53" t="n"/>
      <c r="N115" s="2" t="n"/>
    </row>
    <row r="116">
      <c r="A116" s="43" t="n"/>
      <c r="B116" s="43" t="n"/>
      <c r="C116" s="43" t="n"/>
      <c r="D116" s="43" t="n"/>
      <c r="E116" s="43" t="n"/>
      <c r="F116" s="53" t="n"/>
      <c r="G116" s="53" t="n"/>
      <c r="H116" s="53" t="n"/>
      <c r="I116" s="53" t="n"/>
      <c r="J116" s="53" t="n"/>
      <c r="K116" s="53" t="n"/>
      <c r="L116" s="53" t="n"/>
      <c r="M116" s="53" t="n"/>
      <c r="N116" s="2" t="n"/>
    </row>
    <row r="117">
      <c r="A117" s="43" t="n"/>
      <c r="B117" s="43" t="n"/>
      <c r="C117" s="43" t="n"/>
      <c r="D117" s="43" t="n"/>
      <c r="E117" s="43" t="n"/>
      <c r="F117" s="53" t="n"/>
      <c r="G117" s="53" t="n"/>
      <c r="H117" s="53" t="n"/>
      <c r="I117" s="53" t="n"/>
      <c r="J117" s="53" t="n"/>
      <c r="K117" s="53" t="n"/>
      <c r="L117" s="53" t="n"/>
      <c r="M117" s="53" t="n"/>
      <c r="N117" s="2" t="n"/>
    </row>
    <row r="118">
      <c r="A118" s="43" t="n"/>
      <c r="B118" s="43" t="n"/>
      <c r="C118" s="43" t="n"/>
      <c r="D118" s="43" t="n"/>
      <c r="E118" s="43" t="n"/>
      <c r="F118" s="53" t="n"/>
      <c r="G118" s="53" t="n"/>
      <c r="H118" s="53" t="n"/>
      <c r="I118" s="53" t="n"/>
      <c r="J118" s="53" t="n"/>
      <c r="K118" s="53" t="n"/>
      <c r="L118" s="53" t="n"/>
      <c r="M118" s="53" t="n"/>
      <c r="N118" s="2" t="n"/>
    </row>
    <row r="119">
      <c r="A119" s="43" t="n"/>
      <c r="B119" s="43" t="n"/>
      <c r="C119" s="43" t="n"/>
      <c r="D119" s="43" t="n"/>
      <c r="E119" s="43" t="n"/>
      <c r="F119" s="53" t="n"/>
      <c r="G119" s="53" t="n"/>
      <c r="H119" s="53" t="n"/>
      <c r="I119" s="53" t="n"/>
      <c r="J119" s="53" t="n"/>
      <c r="K119" s="53" t="n"/>
      <c r="L119" s="53" t="n"/>
      <c r="M119" s="53" t="n"/>
      <c r="N119" s="2" t="n"/>
    </row>
    <row r="120">
      <c r="A120" s="43" t="n"/>
      <c r="B120" s="43" t="n"/>
      <c r="C120" s="43" t="n"/>
      <c r="D120" s="43" t="n"/>
      <c r="E120" s="43" t="n"/>
      <c r="F120" s="53" t="n"/>
      <c r="G120" s="53" t="n"/>
      <c r="H120" s="53" t="n"/>
      <c r="I120" s="53" t="n"/>
      <c r="J120" s="53" t="n"/>
      <c r="K120" s="53" t="n"/>
      <c r="L120" s="53" t="n"/>
      <c r="M120" s="53" t="n"/>
      <c r="N120" s="2" t="n"/>
    </row>
    <row r="121">
      <c r="A121" s="43" t="n"/>
      <c r="B121" s="43" t="n"/>
      <c r="C121" s="43" t="n"/>
      <c r="D121" s="43" t="n"/>
      <c r="E121" s="43" t="n"/>
      <c r="F121" s="53" t="n"/>
      <c r="G121" s="53" t="n"/>
      <c r="H121" s="53" t="n"/>
      <c r="I121" s="53" t="n"/>
      <c r="J121" s="53" t="n"/>
      <c r="K121" s="53" t="n"/>
      <c r="L121" s="53" t="n"/>
      <c r="M121" s="53" t="n"/>
      <c r="N121" s="2" t="n"/>
    </row>
    <row r="122">
      <c r="A122" s="43" t="n"/>
      <c r="B122" s="43" t="n"/>
      <c r="C122" s="43" t="n"/>
      <c r="D122" s="43" t="n"/>
      <c r="E122" s="43" t="n"/>
      <c r="F122" s="53" t="n"/>
      <c r="G122" s="53" t="n"/>
      <c r="H122" s="53" t="n"/>
      <c r="I122" s="53" t="n"/>
      <c r="J122" s="53" t="n"/>
      <c r="K122" s="53" t="n"/>
      <c r="L122" s="53" t="n"/>
      <c r="M122" s="53" t="n"/>
      <c r="N122" s="2" t="n"/>
    </row>
    <row r="123">
      <c r="A123" s="43" t="n"/>
      <c r="B123" s="43" t="n"/>
      <c r="C123" s="43" t="n"/>
      <c r="D123" s="43" t="n"/>
      <c r="E123" s="43" t="n"/>
      <c r="F123" s="53" t="n"/>
      <c r="G123" s="53" t="n"/>
      <c r="H123" s="53" t="n"/>
      <c r="I123" s="53" t="n"/>
      <c r="J123" s="53" t="n"/>
      <c r="K123" s="53" t="n"/>
      <c r="L123" s="53" t="n"/>
      <c r="M123" s="53" t="n"/>
      <c r="N123" s="2" t="n"/>
    </row>
    <row r="124">
      <c r="A124" s="43" t="n"/>
      <c r="B124" s="43" t="n"/>
      <c r="C124" s="43" t="n"/>
      <c r="D124" s="43" t="n"/>
      <c r="E124" s="43" t="n"/>
      <c r="F124" s="53" t="n"/>
      <c r="G124" s="53" t="n"/>
      <c r="H124" s="53" t="n"/>
      <c r="I124" s="53" t="n"/>
      <c r="J124" s="53" t="n"/>
      <c r="K124" s="53" t="n"/>
      <c r="L124" s="53" t="n"/>
      <c r="M124" s="53" t="n"/>
      <c r="N124" s="2" t="n"/>
    </row>
    <row r="125">
      <c r="A125" s="43" t="n"/>
      <c r="B125" s="43" t="n"/>
      <c r="C125" s="43" t="n"/>
      <c r="D125" s="43" t="n"/>
      <c r="E125" s="43" t="n"/>
      <c r="F125" s="53" t="n"/>
      <c r="G125" s="53" t="n"/>
      <c r="H125" s="53" t="n"/>
      <c r="I125" s="53" t="n"/>
      <c r="J125" s="53" t="n"/>
      <c r="K125" s="53" t="n"/>
      <c r="L125" s="53" t="n"/>
      <c r="M125" s="53" t="n"/>
      <c r="N125" s="2" t="n"/>
    </row>
    <row r="126">
      <c r="A126" s="43" t="n"/>
      <c r="B126" s="43" t="n"/>
      <c r="C126" s="43" t="n"/>
      <c r="D126" s="43" t="n"/>
      <c r="E126" s="43" t="n"/>
      <c r="F126" s="53" t="n"/>
      <c r="G126" s="53" t="n"/>
      <c r="H126" s="53" t="n"/>
      <c r="I126" s="53" t="n"/>
      <c r="J126" s="53" t="n"/>
      <c r="K126" s="53" t="n"/>
      <c r="L126" s="53" t="n"/>
      <c r="M126" s="53" t="n"/>
      <c r="N126" s="2" t="n"/>
    </row>
    <row r="127">
      <c r="A127" s="43" t="n"/>
      <c r="B127" s="43" t="n"/>
      <c r="C127" s="43" t="n"/>
      <c r="D127" s="43" t="n"/>
      <c r="E127" s="43" t="n"/>
      <c r="F127" s="53" t="n"/>
      <c r="G127" s="53" t="n"/>
      <c r="H127" s="53" t="n"/>
      <c r="I127" s="53" t="n"/>
      <c r="J127" s="53" t="n"/>
      <c r="K127" s="53" t="n"/>
      <c r="L127" s="53" t="n"/>
      <c r="M127" s="53" t="n"/>
      <c r="N127" s="2" t="n"/>
    </row>
    <row r="128">
      <c r="A128" s="43" t="n"/>
      <c r="B128" s="43" t="n"/>
      <c r="C128" s="43" t="n"/>
      <c r="D128" s="43" t="n"/>
      <c r="E128" s="43" t="n"/>
      <c r="F128" s="53" t="n"/>
      <c r="G128" s="53" t="n"/>
      <c r="H128" s="53" t="n"/>
      <c r="I128" s="53" t="n"/>
      <c r="J128" s="53" t="n"/>
      <c r="K128" s="53" t="n"/>
      <c r="L128" s="53" t="n"/>
      <c r="M128" s="53" t="n"/>
      <c r="N128" s="2" t="n"/>
    </row>
    <row r="129">
      <c r="A129" s="43" t="n"/>
      <c r="B129" s="43" t="n"/>
      <c r="C129" s="43" t="n"/>
      <c r="D129" s="43" t="n"/>
      <c r="E129" s="43" t="n"/>
      <c r="F129" s="53" t="n"/>
      <c r="G129" s="53" t="n"/>
      <c r="H129" s="53" t="n"/>
      <c r="I129" s="53" t="n"/>
      <c r="J129" s="53" t="n"/>
      <c r="K129" s="53" t="n"/>
      <c r="L129" s="53" t="n"/>
      <c r="M129" s="53" t="n"/>
      <c r="N129" s="2" t="n"/>
    </row>
    <row r="130">
      <c r="A130" s="43" t="n"/>
      <c r="B130" s="43" t="n"/>
      <c r="C130" s="43" t="n"/>
      <c r="D130" s="43" t="n"/>
      <c r="E130" s="43" t="n"/>
      <c r="F130" s="53" t="n"/>
      <c r="G130" s="53" t="n"/>
      <c r="H130" s="53" t="n"/>
      <c r="I130" s="53" t="n"/>
      <c r="J130" s="53" t="n"/>
      <c r="K130" s="53" t="n"/>
      <c r="L130" s="53" t="n"/>
      <c r="M130" s="53" t="n"/>
      <c r="N130" s="2" t="n"/>
    </row>
    <row r="131">
      <c r="A131" s="43" t="n"/>
      <c r="B131" s="43" t="n"/>
      <c r="C131" s="43" t="n"/>
      <c r="D131" s="43" t="n"/>
      <c r="E131" s="43" t="n"/>
      <c r="F131" s="53" t="n"/>
      <c r="G131" s="53" t="n"/>
      <c r="H131" s="53" t="n"/>
      <c r="I131" s="53" t="n"/>
      <c r="J131" s="53" t="n"/>
      <c r="K131" s="53" t="n"/>
      <c r="L131" s="53" t="n"/>
      <c r="M131" s="53" t="n"/>
      <c r="N131" s="2" t="n"/>
    </row>
    <row r="132">
      <c r="A132" s="43" t="n"/>
      <c r="B132" s="43" t="n"/>
      <c r="C132" s="43" t="n"/>
      <c r="D132" s="43" t="n"/>
      <c r="E132" s="43" t="n"/>
      <c r="F132" s="53" t="n"/>
      <c r="G132" s="53" t="n"/>
      <c r="H132" s="53" t="n"/>
      <c r="I132" s="53" t="n"/>
      <c r="J132" s="53" t="n"/>
      <c r="K132" s="53" t="n"/>
      <c r="L132" s="53" t="n"/>
      <c r="M132" s="53" t="n"/>
      <c r="N132" s="2" t="n"/>
    </row>
    <row r="133">
      <c r="A133" s="43" t="n"/>
      <c r="B133" s="43" t="n"/>
      <c r="C133" s="43" t="n"/>
      <c r="D133" s="43" t="n"/>
      <c r="E133" s="43" t="n"/>
      <c r="F133" s="53" t="n"/>
      <c r="G133" s="53" t="n"/>
      <c r="H133" s="53" t="n"/>
      <c r="I133" s="53" t="n"/>
      <c r="J133" s="53" t="n"/>
      <c r="K133" s="53" t="n"/>
      <c r="L133" s="53" t="n"/>
      <c r="M133" s="53" t="n"/>
      <c r="N133" s="2" t="n"/>
    </row>
    <row r="134">
      <c r="A134" s="43" t="n"/>
      <c r="B134" s="43" t="n"/>
      <c r="C134" s="43" t="n"/>
      <c r="D134" s="43" t="n"/>
      <c r="E134" s="43" t="n"/>
      <c r="F134" s="53" t="n"/>
      <c r="G134" s="53" t="n"/>
      <c r="H134" s="53" t="n"/>
      <c r="I134" s="53" t="n"/>
      <c r="J134" s="53" t="n"/>
      <c r="K134" s="53" t="n"/>
      <c r="L134" s="53" t="n"/>
      <c r="M134" s="53" t="n"/>
      <c r="N134" s="2" t="n"/>
    </row>
    <row r="135">
      <c r="A135" s="43" t="n"/>
      <c r="B135" s="43" t="n"/>
      <c r="C135" s="43" t="n"/>
      <c r="D135" s="43" t="n"/>
      <c r="E135" s="43" t="n"/>
      <c r="F135" s="53" t="n"/>
      <c r="G135" s="53" t="n"/>
      <c r="H135" s="53" t="n"/>
      <c r="I135" s="53" t="n"/>
      <c r="J135" s="53" t="n"/>
      <c r="K135" s="53" t="n"/>
      <c r="L135" s="53" t="n"/>
      <c r="M135" s="53" t="n"/>
      <c r="N135" s="2" t="n"/>
    </row>
    <row r="136">
      <c r="A136" s="43" t="n"/>
      <c r="B136" s="43" t="n"/>
      <c r="C136" s="43" t="n"/>
      <c r="D136" s="43" t="n"/>
      <c r="E136" s="43" t="n"/>
      <c r="F136" s="53" t="n"/>
      <c r="G136" s="53" t="n"/>
      <c r="H136" s="53" t="n"/>
      <c r="I136" s="53" t="n"/>
      <c r="J136" s="53" t="n"/>
      <c r="K136" s="53" t="n"/>
      <c r="L136" s="53" t="n"/>
      <c r="M136" s="53" t="n"/>
      <c r="N136" s="2" t="n"/>
    </row>
    <row r="137">
      <c r="A137" s="43" t="n"/>
      <c r="B137" s="43" t="n"/>
      <c r="C137" s="43" t="n"/>
      <c r="D137" s="43" t="n"/>
      <c r="E137" s="43" t="n"/>
      <c r="F137" s="53" t="n"/>
      <c r="G137" s="53" t="n"/>
      <c r="H137" s="53" t="n"/>
      <c r="I137" s="53" t="n"/>
      <c r="J137" s="53" t="n"/>
      <c r="K137" s="53" t="n"/>
      <c r="L137" s="53" t="n"/>
      <c r="M137" s="53" t="n"/>
      <c r="N137" s="2" t="n"/>
    </row>
    <row r="138">
      <c r="A138" s="43" t="n"/>
      <c r="B138" s="43" t="n"/>
      <c r="C138" s="43" t="n"/>
      <c r="D138" s="43" t="n"/>
      <c r="E138" s="43" t="n"/>
      <c r="F138" s="53" t="n"/>
      <c r="G138" s="53" t="n"/>
      <c r="H138" s="53" t="n"/>
      <c r="I138" s="53" t="n"/>
      <c r="J138" s="53" t="n"/>
      <c r="K138" s="53" t="n"/>
      <c r="L138" s="53" t="n"/>
      <c r="M138" s="53" t="n"/>
      <c r="N138" s="2" t="n"/>
    </row>
    <row r="139">
      <c r="A139" s="43" t="n"/>
      <c r="B139" s="43" t="n"/>
      <c r="C139" s="43" t="n"/>
      <c r="D139" s="43" t="n"/>
      <c r="E139" s="43" t="n"/>
      <c r="F139" s="53" t="n"/>
      <c r="G139" s="53" t="n"/>
      <c r="H139" s="53" t="n"/>
      <c r="I139" s="53" t="n"/>
      <c r="J139" s="53" t="n"/>
      <c r="K139" s="53" t="n"/>
      <c r="L139" s="53" t="n"/>
      <c r="M139" s="53" t="n"/>
      <c r="N139" s="2" t="n"/>
    </row>
    <row r="140">
      <c r="A140" s="43" t="n"/>
      <c r="B140" s="43" t="n"/>
      <c r="C140" s="43" t="n"/>
      <c r="D140" s="43" t="n"/>
      <c r="E140" s="43" t="n"/>
      <c r="F140" s="53" t="n"/>
      <c r="G140" s="53" t="n"/>
      <c r="H140" s="53" t="n"/>
      <c r="I140" s="53" t="n"/>
      <c r="J140" s="53" t="n"/>
      <c r="K140" s="53" t="n"/>
      <c r="L140" s="53" t="n"/>
      <c r="M140" s="53" t="n"/>
      <c r="N140" s="2" t="n"/>
    </row>
    <row r="141">
      <c r="A141" s="43" t="n"/>
      <c r="B141" s="43" t="n"/>
      <c r="C141" s="43" t="n"/>
      <c r="D141" s="43" t="n"/>
      <c r="E141" s="43" t="n"/>
      <c r="F141" s="53" t="n"/>
      <c r="G141" s="53" t="n"/>
      <c r="H141" s="53" t="n"/>
      <c r="I141" s="53" t="n"/>
      <c r="J141" s="53" t="n"/>
      <c r="K141" s="53" t="n"/>
      <c r="L141" s="53" t="n"/>
      <c r="M141" s="53" t="n"/>
      <c r="N141" s="2" t="n"/>
    </row>
    <row r="142">
      <c r="A142" s="43" t="n"/>
      <c r="B142" s="43" t="n"/>
      <c r="C142" s="43" t="n"/>
      <c r="D142" s="43" t="n"/>
      <c r="E142" s="43" t="n"/>
      <c r="F142" s="53" t="n"/>
      <c r="G142" s="53" t="n"/>
      <c r="H142" s="53" t="n"/>
      <c r="I142" s="53" t="n"/>
      <c r="J142" s="53" t="n"/>
      <c r="K142" s="53" t="n"/>
      <c r="L142" s="53" t="n"/>
      <c r="M142" s="53" t="n"/>
      <c r="N142" s="2" t="n"/>
    </row>
    <row r="143">
      <c r="A143" s="43" t="n"/>
      <c r="B143" s="43" t="n"/>
      <c r="C143" s="43" t="n"/>
      <c r="D143" s="43" t="n"/>
      <c r="E143" s="43" t="n"/>
      <c r="F143" s="53" t="n"/>
      <c r="G143" s="53" t="n"/>
      <c r="H143" s="53" t="n"/>
      <c r="I143" s="53" t="n"/>
      <c r="J143" s="53" t="n"/>
      <c r="K143" s="53" t="n"/>
      <c r="L143" s="53" t="n"/>
      <c r="M143" s="53" t="n"/>
      <c r="N143" s="2" t="n"/>
    </row>
    <row r="144">
      <c r="A144" s="43" t="n"/>
      <c r="B144" s="43" t="n"/>
      <c r="C144" s="43" t="n"/>
      <c r="D144" s="43" t="n"/>
      <c r="E144" s="43" t="n"/>
      <c r="F144" s="53" t="n"/>
      <c r="G144" s="53" t="n"/>
      <c r="H144" s="53" t="n"/>
      <c r="I144" s="53" t="n"/>
      <c r="J144" s="53" t="n"/>
      <c r="K144" s="53" t="n"/>
      <c r="L144" s="53" t="n"/>
      <c r="M144" s="53" t="n"/>
      <c r="N144" s="2" t="n"/>
    </row>
    <row r="145">
      <c r="A145" s="43" t="n"/>
      <c r="B145" s="43" t="n"/>
      <c r="C145" s="43" t="n"/>
      <c r="D145" s="43" t="n"/>
      <c r="E145" s="43" t="n"/>
      <c r="F145" s="53" t="n"/>
      <c r="G145" s="53" t="n"/>
      <c r="H145" s="53" t="n"/>
      <c r="I145" s="53" t="n"/>
      <c r="J145" s="53" t="n"/>
      <c r="K145" s="53" t="n"/>
      <c r="L145" s="53" t="n"/>
      <c r="M145" s="53" t="n"/>
      <c r="N145" s="2" t="n"/>
    </row>
    <row r="146">
      <c r="A146" s="43" t="n"/>
      <c r="B146" s="43" t="n"/>
      <c r="C146" s="43" t="n"/>
      <c r="D146" s="43" t="n"/>
      <c r="E146" s="43" t="n"/>
      <c r="F146" s="53" t="n"/>
      <c r="G146" s="53" t="n"/>
      <c r="H146" s="53" t="n"/>
      <c r="I146" s="53" t="n"/>
      <c r="J146" s="53" t="n"/>
      <c r="K146" s="53" t="n"/>
      <c r="L146" s="53" t="n"/>
      <c r="M146" s="53" t="n"/>
      <c r="N146" s="2" t="n"/>
    </row>
    <row r="147">
      <c r="A147" s="43" t="n"/>
      <c r="B147" s="43" t="n"/>
      <c r="C147" s="43" t="n"/>
      <c r="D147" s="43" t="n"/>
      <c r="E147" s="43" t="n"/>
      <c r="F147" s="53" t="n"/>
      <c r="G147" s="53" t="n"/>
      <c r="H147" s="53" t="n"/>
      <c r="I147" s="53" t="n"/>
      <c r="J147" s="53" t="n"/>
      <c r="K147" s="53" t="n"/>
      <c r="L147" s="53" t="n"/>
      <c r="M147" s="53" t="n"/>
      <c r="N147" s="2" t="n"/>
    </row>
    <row r="148">
      <c r="A148" s="43" t="n"/>
      <c r="B148" s="43" t="n"/>
      <c r="C148" s="43" t="n"/>
      <c r="D148" s="43" t="n"/>
      <c r="E148" s="43" t="n"/>
      <c r="F148" s="53" t="n"/>
      <c r="G148" s="53" t="n"/>
      <c r="H148" s="53" t="n"/>
      <c r="I148" s="53" t="n"/>
      <c r="J148" s="53" t="n"/>
      <c r="K148" s="53" t="n"/>
      <c r="L148" s="53" t="n"/>
      <c r="M148" s="53" t="n"/>
      <c r="N148" s="2" t="n"/>
    </row>
    <row r="149">
      <c r="A149" s="43" t="n"/>
      <c r="B149" s="43" t="n"/>
      <c r="C149" s="43" t="n"/>
      <c r="D149" s="43" t="n"/>
      <c r="E149" s="43" t="n"/>
      <c r="F149" s="53" t="n"/>
      <c r="G149" s="53" t="n"/>
      <c r="H149" s="53" t="n"/>
      <c r="I149" s="53" t="n"/>
      <c r="J149" s="53" t="n"/>
      <c r="K149" s="53" t="n"/>
      <c r="L149" s="53" t="n"/>
      <c r="M149" s="53" t="n"/>
      <c r="N149" s="2" t="n"/>
    </row>
    <row r="150">
      <c r="A150" s="43" t="n"/>
      <c r="B150" s="43" t="n"/>
      <c r="C150" s="43" t="n"/>
      <c r="D150" s="43" t="n"/>
      <c r="E150" s="43" t="n"/>
      <c r="F150" s="53" t="n"/>
      <c r="G150" s="53" t="n"/>
      <c r="H150" s="53" t="n"/>
      <c r="I150" s="53" t="n"/>
      <c r="J150" s="53" t="n"/>
      <c r="K150" s="53" t="n"/>
      <c r="L150" s="53" t="n"/>
      <c r="M150" s="53" t="n"/>
      <c r="N150" s="2" t="n"/>
    </row>
    <row r="151">
      <c r="A151" s="43" t="n"/>
      <c r="B151" s="43" t="n"/>
      <c r="C151" s="43" t="n"/>
      <c r="D151" s="43" t="n"/>
      <c r="E151" s="43" t="n"/>
      <c r="F151" s="53" t="n"/>
      <c r="G151" s="53" t="n"/>
      <c r="H151" s="53" t="n"/>
      <c r="I151" s="53" t="n"/>
      <c r="J151" s="53" t="n"/>
      <c r="K151" s="53" t="n"/>
      <c r="L151" s="53" t="n"/>
      <c r="M151" s="53" t="n"/>
      <c r="N151" s="2" t="n"/>
    </row>
    <row r="152">
      <c r="A152" s="43" t="n"/>
      <c r="B152" s="43" t="n"/>
      <c r="C152" s="43" t="n"/>
      <c r="D152" s="43" t="n"/>
      <c r="E152" s="43" t="n"/>
      <c r="F152" s="53" t="n"/>
      <c r="G152" s="53" t="n"/>
      <c r="H152" s="53" t="n"/>
      <c r="I152" s="53" t="n"/>
      <c r="J152" s="53" t="n"/>
      <c r="K152" s="53" t="n"/>
      <c r="L152" s="53" t="n"/>
      <c r="M152" s="53" t="n"/>
      <c r="N152" s="2" t="n"/>
    </row>
    <row r="153">
      <c r="A153" s="43" t="n"/>
      <c r="B153" s="43" t="n"/>
      <c r="C153" s="43" t="n"/>
      <c r="D153" s="43" t="n"/>
      <c r="E153" s="43" t="n"/>
      <c r="F153" s="53" t="n"/>
      <c r="G153" s="53" t="n"/>
      <c r="H153" s="53" t="n"/>
      <c r="I153" s="53" t="n"/>
      <c r="J153" s="53" t="n"/>
      <c r="K153" s="53" t="n"/>
      <c r="L153" s="53" t="n"/>
      <c r="M153" s="53" t="n"/>
      <c r="N153" s="2" t="n"/>
    </row>
    <row r="154">
      <c r="A154" s="43" t="n"/>
      <c r="B154" s="43" t="n"/>
      <c r="C154" s="43" t="n"/>
      <c r="D154" s="43" t="n"/>
      <c r="E154" s="43" t="n"/>
      <c r="F154" s="53" t="n"/>
      <c r="G154" s="53" t="n"/>
      <c r="H154" s="53" t="n"/>
      <c r="I154" s="53" t="n"/>
      <c r="J154" s="53" t="n"/>
      <c r="K154" s="53" t="n"/>
      <c r="L154" s="53" t="n"/>
      <c r="M154" s="53" t="n"/>
      <c r="N154" s="2" t="n"/>
    </row>
    <row r="155">
      <c r="A155" s="43" t="n"/>
      <c r="B155" s="43" t="n"/>
      <c r="C155" s="43" t="n"/>
      <c r="D155" s="43" t="n"/>
      <c r="E155" s="43" t="n"/>
      <c r="F155" s="53" t="n"/>
      <c r="G155" s="53" t="n"/>
      <c r="H155" s="53" t="n"/>
      <c r="I155" s="53" t="n"/>
      <c r="J155" s="53" t="n"/>
      <c r="K155" s="53" t="n"/>
      <c r="L155" s="53" t="n"/>
      <c r="M155" s="53" t="n"/>
      <c r="N155" s="2" t="n"/>
    </row>
    <row r="156">
      <c r="A156" s="43" t="n"/>
      <c r="B156" s="43" t="n"/>
      <c r="C156" s="43" t="n"/>
      <c r="D156" s="43" t="n"/>
      <c r="E156" s="43" t="n"/>
      <c r="F156" s="53" t="n"/>
      <c r="G156" s="53" t="n"/>
      <c r="H156" s="53" t="n"/>
      <c r="I156" s="53" t="n"/>
      <c r="J156" s="53" t="n"/>
      <c r="K156" s="53" t="n"/>
      <c r="L156" s="53" t="n"/>
      <c r="M156" s="53" t="n"/>
      <c r="N156" s="2" t="n"/>
    </row>
    <row r="157">
      <c r="A157" s="43" t="n"/>
      <c r="B157" s="43" t="n"/>
      <c r="C157" s="43" t="n"/>
      <c r="D157" s="43" t="n"/>
      <c r="E157" s="43" t="n"/>
      <c r="F157" s="53" t="n"/>
      <c r="G157" s="53" t="n"/>
      <c r="H157" s="53" t="n"/>
      <c r="I157" s="53" t="n"/>
      <c r="J157" s="53" t="n"/>
      <c r="K157" s="53" t="n"/>
      <c r="L157" s="53" t="n"/>
      <c r="M157" s="53" t="n"/>
      <c r="N157" s="2" t="n"/>
    </row>
    <row r="158">
      <c r="A158" s="43" t="n"/>
      <c r="B158" s="43" t="n"/>
      <c r="C158" s="43" t="n"/>
      <c r="D158" s="43" t="n"/>
      <c r="E158" s="43" t="n"/>
      <c r="F158" s="53" t="n"/>
      <c r="G158" s="53" t="n"/>
      <c r="H158" s="53" t="n"/>
      <c r="I158" s="53" t="n"/>
      <c r="J158" s="53" t="n"/>
      <c r="K158" s="53" t="n"/>
      <c r="L158" s="53" t="n"/>
      <c r="M158" s="53" t="n"/>
      <c r="N158" s="2" t="n"/>
    </row>
    <row r="159">
      <c r="A159" s="43" t="n"/>
      <c r="B159" s="43" t="n"/>
      <c r="C159" s="43" t="n"/>
      <c r="D159" s="43" t="n"/>
      <c r="E159" s="43" t="n"/>
      <c r="F159" s="53" t="n"/>
      <c r="G159" s="53" t="n"/>
      <c r="H159" s="53" t="n"/>
      <c r="I159" s="53" t="n"/>
      <c r="J159" s="53" t="n"/>
      <c r="K159" s="53" t="n"/>
      <c r="L159" s="53" t="n"/>
      <c r="M159" s="53" t="n"/>
      <c r="N159" s="2" t="n"/>
    </row>
    <row r="160">
      <c r="A160" s="43" t="n"/>
      <c r="B160" s="43" t="n"/>
      <c r="C160" s="43" t="n"/>
      <c r="D160" s="43" t="n"/>
      <c r="E160" s="43" t="n"/>
      <c r="F160" s="53" t="n"/>
      <c r="G160" s="53" t="n"/>
      <c r="H160" s="53" t="n"/>
      <c r="I160" s="53" t="n"/>
      <c r="J160" s="53" t="n"/>
      <c r="K160" s="53" t="n"/>
      <c r="L160" s="53" t="n"/>
      <c r="M160" s="53" t="n"/>
      <c r="N160" s="2" t="n"/>
    </row>
    <row r="161">
      <c r="A161" s="43" t="n"/>
      <c r="B161" s="43" t="n"/>
      <c r="C161" s="43" t="n"/>
      <c r="D161" s="43" t="n"/>
      <c r="E161" s="43" t="n"/>
      <c r="F161" s="53" t="n"/>
      <c r="G161" s="53" t="n"/>
      <c r="H161" s="53" t="n"/>
      <c r="I161" s="53" t="n"/>
      <c r="J161" s="53" t="n"/>
      <c r="K161" s="53" t="n"/>
      <c r="L161" s="53" t="n"/>
      <c r="M161" s="53" t="n"/>
      <c r="N161" s="2" t="n"/>
    </row>
    <row r="162">
      <c r="A162" s="43" t="n"/>
      <c r="B162" s="43" t="n"/>
      <c r="C162" s="43" t="n"/>
      <c r="D162" s="43" t="n"/>
      <c r="E162" s="43" t="n"/>
      <c r="F162" s="53" t="n"/>
      <c r="G162" s="53" t="n"/>
      <c r="H162" s="53" t="n"/>
      <c r="I162" s="53" t="n"/>
      <c r="J162" s="53" t="n"/>
      <c r="K162" s="53" t="n"/>
      <c r="L162" s="53" t="n"/>
      <c r="M162" s="53" t="n"/>
      <c r="N162" s="2" t="n"/>
    </row>
    <row r="163">
      <c r="A163" s="43" t="n"/>
      <c r="B163" s="43" t="n"/>
      <c r="C163" s="43" t="n"/>
      <c r="D163" s="43" t="n"/>
      <c r="E163" s="43" t="n"/>
      <c r="F163" s="53" t="n"/>
      <c r="G163" s="53" t="n"/>
      <c r="H163" s="53" t="n"/>
      <c r="I163" s="53" t="n"/>
      <c r="J163" s="53" t="n"/>
      <c r="K163" s="53" t="n"/>
      <c r="L163" s="53" t="n"/>
      <c r="M163" s="53" t="n"/>
      <c r="N163" s="2" t="n"/>
    </row>
    <row r="164">
      <c r="A164" s="43" t="n"/>
      <c r="B164" s="43" t="n"/>
      <c r="C164" s="43" t="n"/>
      <c r="D164" s="43" t="n"/>
      <c r="E164" s="43" t="n"/>
      <c r="F164" s="53" t="n"/>
      <c r="G164" s="53" t="n"/>
      <c r="H164" s="53" t="n"/>
      <c r="I164" s="53" t="n"/>
      <c r="J164" s="53" t="n"/>
      <c r="K164" s="53" t="n"/>
      <c r="L164" s="53" t="n"/>
      <c r="M164" s="53" t="n"/>
      <c r="N164" s="2" t="n"/>
    </row>
    <row r="165">
      <c r="A165" s="43" t="n"/>
      <c r="B165" s="43" t="n"/>
      <c r="C165" s="43" t="n"/>
      <c r="D165" s="43" t="n"/>
      <c r="E165" s="43" t="n"/>
      <c r="F165" s="53" t="n"/>
      <c r="G165" s="53" t="n"/>
      <c r="H165" s="53" t="n"/>
      <c r="I165" s="53" t="n"/>
      <c r="J165" s="53" t="n"/>
      <c r="K165" s="53" t="n"/>
      <c r="L165" s="53" t="n"/>
      <c r="M165" s="53" t="n"/>
      <c r="N165" s="2" t="n"/>
    </row>
    <row r="166">
      <c r="A166" s="43" t="n"/>
      <c r="B166" s="43" t="n"/>
      <c r="C166" s="43" t="n"/>
      <c r="D166" s="43" t="n"/>
      <c r="E166" s="43" t="n"/>
      <c r="F166" s="53" t="n"/>
      <c r="G166" s="53" t="n"/>
      <c r="H166" s="53" t="n"/>
      <c r="I166" s="53" t="n"/>
      <c r="J166" s="53" t="n"/>
      <c r="K166" s="53" t="n"/>
      <c r="L166" s="53" t="n"/>
      <c r="M166" s="53" t="n"/>
      <c r="N166" s="2" t="n"/>
    </row>
    <row r="167">
      <c r="A167" s="43" t="n"/>
      <c r="B167" s="43" t="n"/>
      <c r="C167" s="43" t="n"/>
      <c r="D167" s="43" t="n"/>
      <c r="E167" s="43" t="n"/>
      <c r="F167" s="53" t="n"/>
      <c r="G167" s="53" t="n"/>
      <c r="H167" s="53" t="n"/>
      <c r="I167" s="53" t="n"/>
      <c r="J167" s="53" t="n"/>
      <c r="K167" s="53" t="n"/>
      <c r="L167" s="53" t="n"/>
      <c r="M167" s="53" t="n"/>
      <c r="N167" s="2" t="n"/>
    </row>
    <row r="168">
      <c r="A168" s="43" t="n"/>
      <c r="B168" s="43" t="n"/>
      <c r="C168" s="43" t="n"/>
      <c r="D168" s="43" t="n"/>
      <c r="E168" s="43" t="n"/>
      <c r="F168" s="53" t="n"/>
      <c r="G168" s="53" t="n"/>
      <c r="H168" s="53" t="n"/>
      <c r="I168" s="53" t="n"/>
      <c r="J168" s="53" t="n"/>
      <c r="K168" s="53" t="n"/>
      <c r="L168" s="53" t="n"/>
      <c r="M168" s="53" t="n"/>
      <c r="N168" s="2" t="n"/>
    </row>
    <row r="169">
      <c r="A169" s="43" t="n"/>
      <c r="B169" s="43" t="n"/>
      <c r="C169" s="43" t="n"/>
      <c r="D169" s="43" t="n"/>
      <c r="E169" s="43" t="n"/>
      <c r="F169" s="53" t="n"/>
      <c r="G169" s="53" t="n"/>
      <c r="H169" s="53" t="n"/>
      <c r="I169" s="53" t="n"/>
      <c r="J169" s="53" t="n"/>
      <c r="K169" s="53" t="n"/>
      <c r="L169" s="53" t="n"/>
      <c r="M169" s="53" t="n"/>
      <c r="N169" s="2" t="n"/>
    </row>
    <row r="170">
      <c r="A170" s="43" t="n"/>
      <c r="B170" s="43" t="n"/>
      <c r="C170" s="43" t="n"/>
      <c r="D170" s="43" t="n"/>
      <c r="E170" s="43" t="n"/>
      <c r="F170" s="53" t="n"/>
      <c r="G170" s="53" t="n"/>
      <c r="H170" s="53" t="n"/>
      <c r="I170" s="53" t="n"/>
      <c r="J170" s="53" t="n"/>
      <c r="K170" s="53" t="n"/>
      <c r="L170" s="53" t="n"/>
      <c r="M170" s="53" t="n"/>
      <c r="N170" s="2" t="n"/>
    </row>
    <row r="171">
      <c r="A171" s="43" t="n"/>
      <c r="B171" s="43" t="n"/>
      <c r="C171" s="43" t="n"/>
      <c r="D171" s="43" t="n"/>
      <c r="E171" s="43" t="n"/>
      <c r="F171" s="53" t="n"/>
      <c r="G171" s="53" t="n"/>
      <c r="H171" s="53" t="n"/>
      <c r="I171" s="53" t="n"/>
      <c r="J171" s="53" t="n"/>
      <c r="K171" s="53" t="n"/>
      <c r="L171" s="53" t="n"/>
      <c r="M171" s="53" t="n"/>
      <c r="N171" s="2" t="n"/>
    </row>
    <row r="172">
      <c r="A172" s="43" t="n"/>
      <c r="B172" s="43" t="n"/>
      <c r="C172" s="43" t="n"/>
      <c r="D172" s="43" t="n"/>
      <c r="E172" s="43" t="n"/>
      <c r="F172" s="53" t="n"/>
      <c r="G172" s="53" t="n"/>
      <c r="H172" s="53" t="n"/>
      <c r="I172" s="53" t="n"/>
      <c r="J172" s="53" t="n"/>
      <c r="K172" s="53" t="n"/>
      <c r="L172" s="53" t="n"/>
      <c r="M172" s="53" t="n"/>
      <c r="N172" s="2" t="n"/>
    </row>
    <row r="173">
      <c r="A173" s="43" t="n"/>
      <c r="B173" s="43" t="n"/>
      <c r="C173" s="43" t="n"/>
      <c r="D173" s="43" t="n"/>
      <c r="E173" s="43" t="n"/>
      <c r="F173" s="53" t="n"/>
      <c r="G173" s="53" t="n"/>
      <c r="H173" s="53" t="n"/>
      <c r="I173" s="53" t="n"/>
      <c r="J173" s="53" t="n"/>
      <c r="K173" s="53" t="n"/>
      <c r="L173" s="53" t="n"/>
      <c r="M173" s="53" t="n"/>
      <c r="N173" s="2" t="n"/>
    </row>
    <row r="174">
      <c r="A174" s="43" t="n"/>
      <c r="B174" s="43" t="n"/>
      <c r="C174" s="43" t="n"/>
      <c r="D174" s="43" t="n"/>
      <c r="E174" s="43" t="n"/>
      <c r="F174" s="53" t="n"/>
      <c r="G174" s="53" t="n"/>
      <c r="H174" s="53" t="n"/>
      <c r="I174" s="53" t="n"/>
      <c r="J174" s="53" t="n"/>
      <c r="K174" s="53" t="n"/>
      <c r="L174" s="53" t="n"/>
      <c r="M174" s="53" t="n"/>
      <c r="N174" s="2" t="n"/>
    </row>
    <row r="175">
      <c r="A175" s="43" t="n"/>
      <c r="B175" s="43" t="n"/>
      <c r="C175" s="43" t="n"/>
      <c r="D175" s="43" t="n"/>
      <c r="E175" s="43" t="n"/>
      <c r="F175" s="53" t="n"/>
      <c r="G175" s="53" t="n"/>
      <c r="H175" s="53" t="n"/>
      <c r="I175" s="53" t="n"/>
      <c r="J175" s="53" t="n"/>
      <c r="K175" s="53" t="n"/>
      <c r="L175" s="53" t="n"/>
      <c r="M175" s="53" t="n"/>
      <c r="N175" s="2" t="n"/>
    </row>
    <row r="176">
      <c r="A176" s="43" t="n"/>
      <c r="B176" s="43" t="n"/>
      <c r="C176" s="43" t="n"/>
      <c r="D176" s="43" t="n"/>
      <c r="E176" s="43" t="n"/>
      <c r="F176" s="53" t="n"/>
      <c r="G176" s="53" t="n"/>
      <c r="H176" s="53" t="n"/>
      <c r="I176" s="53" t="n"/>
      <c r="J176" s="53" t="n"/>
      <c r="K176" s="53" t="n"/>
      <c r="L176" s="53" t="n"/>
      <c r="M176" s="53" t="n"/>
      <c r="N176" s="2" t="n"/>
    </row>
    <row r="177">
      <c r="A177" s="43" t="n"/>
      <c r="B177" s="43" t="n"/>
      <c r="C177" s="43" t="n"/>
      <c r="D177" s="43" t="n"/>
      <c r="E177" s="43" t="n"/>
      <c r="F177" s="53" t="n"/>
      <c r="G177" s="53" t="n"/>
      <c r="H177" s="53" t="n"/>
      <c r="I177" s="53" t="n"/>
      <c r="J177" s="53" t="n"/>
      <c r="K177" s="53" t="n"/>
      <c r="L177" s="53" t="n"/>
      <c r="M177" s="53" t="n"/>
      <c r="N177" s="2" t="n"/>
    </row>
    <row r="178">
      <c r="A178" s="43" t="n"/>
      <c r="B178" s="43" t="n"/>
      <c r="C178" s="43" t="n"/>
      <c r="D178" s="43" t="n"/>
      <c r="E178" s="43" t="n"/>
      <c r="F178" s="53" t="n"/>
      <c r="G178" s="53" t="n"/>
      <c r="H178" s="53" t="n"/>
      <c r="I178" s="53" t="n"/>
      <c r="J178" s="53" t="n"/>
      <c r="K178" s="53" t="n"/>
      <c r="L178" s="53" t="n"/>
      <c r="M178" s="53" t="n"/>
      <c r="N178" s="2" t="n"/>
    </row>
    <row r="179">
      <c r="A179" s="43" t="n"/>
      <c r="B179" s="43" t="n"/>
      <c r="C179" s="43" t="n"/>
      <c r="D179" s="43" t="n"/>
      <c r="E179" s="43" t="n"/>
      <c r="F179" s="53" t="n"/>
      <c r="G179" s="53" t="n"/>
      <c r="H179" s="53" t="n"/>
      <c r="I179" s="53" t="n"/>
      <c r="J179" s="53" t="n"/>
      <c r="K179" s="53" t="n"/>
      <c r="L179" s="53" t="n"/>
      <c r="M179" s="53" t="n"/>
      <c r="N179" s="2" t="n"/>
    </row>
    <row r="180">
      <c r="A180" s="43" t="n"/>
      <c r="B180" s="43" t="n"/>
      <c r="C180" s="43" t="n"/>
      <c r="D180" s="43" t="n"/>
      <c r="E180" s="43" t="n"/>
      <c r="F180" s="53" t="n"/>
      <c r="G180" s="53" t="n"/>
      <c r="H180" s="53" t="n"/>
      <c r="I180" s="53" t="n"/>
      <c r="J180" s="53" t="n"/>
      <c r="K180" s="53" t="n"/>
      <c r="L180" s="53" t="n"/>
      <c r="M180" s="53" t="n"/>
      <c r="N180" s="2" t="n"/>
    </row>
    <row r="181">
      <c r="A181" s="43" t="n"/>
      <c r="B181" s="43" t="n"/>
      <c r="C181" s="43" t="n"/>
      <c r="D181" s="43" t="n"/>
      <c r="E181" s="43" t="n"/>
      <c r="F181" s="53" t="n"/>
      <c r="G181" s="53" t="n"/>
      <c r="H181" s="53" t="n"/>
      <c r="I181" s="53" t="n"/>
      <c r="J181" s="53" t="n"/>
      <c r="K181" s="53" t="n"/>
      <c r="L181" s="53" t="n"/>
      <c r="M181" s="53" t="n"/>
      <c r="N181" s="2" t="n"/>
    </row>
    <row r="182">
      <c r="A182" s="43" t="n"/>
      <c r="B182" s="43" t="n"/>
      <c r="C182" s="43" t="n"/>
      <c r="D182" s="43" t="n"/>
      <c r="E182" s="43" t="n"/>
      <c r="F182" s="53" t="n"/>
      <c r="G182" s="53" t="n"/>
      <c r="H182" s="53" t="n"/>
      <c r="I182" s="53" t="n"/>
      <c r="J182" s="53" t="n"/>
      <c r="K182" s="53" t="n"/>
      <c r="L182" s="53" t="n"/>
      <c r="M182" s="53" t="n"/>
      <c r="N182" s="2" t="n"/>
    </row>
    <row r="183">
      <c r="A183" s="43" t="n"/>
      <c r="B183" s="43" t="n"/>
      <c r="C183" s="43" t="n"/>
      <c r="D183" s="43" t="n"/>
      <c r="E183" s="43" t="n"/>
      <c r="F183" s="53" t="n"/>
      <c r="G183" s="53" t="n"/>
      <c r="H183" s="53" t="n"/>
      <c r="I183" s="53" t="n"/>
      <c r="J183" s="53" t="n"/>
      <c r="K183" s="53" t="n"/>
      <c r="L183" s="53" t="n"/>
      <c r="M183" s="53" t="n"/>
      <c r="N183" s="2" t="n"/>
    </row>
    <row r="184">
      <c r="A184" s="43" t="n"/>
      <c r="B184" s="43" t="n"/>
      <c r="C184" s="43" t="n"/>
      <c r="D184" s="43" t="n"/>
      <c r="E184" s="43" t="n"/>
      <c r="F184" s="53" t="n"/>
      <c r="G184" s="53" t="n"/>
      <c r="H184" s="53" t="n"/>
      <c r="I184" s="53" t="n"/>
      <c r="J184" s="53" t="n"/>
      <c r="K184" s="53" t="n"/>
      <c r="L184" s="53" t="n"/>
      <c r="M184" s="53" t="n"/>
      <c r="N184" s="2" t="n"/>
    </row>
    <row r="185">
      <c r="A185" s="43" t="n"/>
      <c r="B185" s="43" t="n"/>
      <c r="C185" s="43" t="n"/>
      <c r="D185" s="43" t="n"/>
      <c r="E185" s="43" t="n"/>
      <c r="F185" s="53" t="n"/>
      <c r="G185" s="53" t="n"/>
      <c r="H185" s="53" t="n"/>
      <c r="I185" s="53" t="n"/>
      <c r="J185" s="53" t="n"/>
      <c r="K185" s="53" t="n"/>
      <c r="L185" s="53" t="n"/>
      <c r="M185" s="53" t="n"/>
      <c r="N185" s="2" t="n"/>
    </row>
    <row r="186">
      <c r="A186" s="43" t="n"/>
      <c r="B186" s="43" t="n"/>
      <c r="C186" s="43" t="n"/>
      <c r="D186" s="43" t="n"/>
      <c r="E186" s="43" t="n"/>
      <c r="F186" s="53" t="n"/>
      <c r="G186" s="53" t="n"/>
      <c r="H186" s="53" t="n"/>
      <c r="I186" s="53" t="n"/>
      <c r="J186" s="53" t="n"/>
      <c r="K186" s="53" t="n"/>
      <c r="L186" s="53" t="n"/>
      <c r="M186" s="53" t="n"/>
      <c r="N186" s="2" t="n"/>
    </row>
    <row r="187">
      <c r="A187" s="43" t="n"/>
      <c r="B187" s="43" t="n"/>
      <c r="C187" s="43" t="n"/>
      <c r="D187" s="43" t="n"/>
      <c r="E187" s="43" t="n"/>
      <c r="F187" s="53" t="n"/>
      <c r="G187" s="53" t="n"/>
      <c r="H187" s="53" t="n"/>
      <c r="I187" s="53" t="n"/>
      <c r="J187" s="53" t="n"/>
      <c r="K187" s="53" t="n"/>
      <c r="L187" s="53" t="n"/>
      <c r="M187" s="53" t="n"/>
      <c r="N187" s="2" t="n"/>
    </row>
    <row r="188">
      <c r="A188" s="43" t="n"/>
      <c r="B188" s="43" t="n"/>
      <c r="C188" s="43" t="n"/>
      <c r="D188" s="43" t="n"/>
      <c r="E188" s="43" t="n"/>
      <c r="F188" s="53" t="n"/>
      <c r="G188" s="53" t="n"/>
      <c r="H188" s="53" t="n"/>
      <c r="I188" s="53" t="n"/>
      <c r="J188" s="53" t="n"/>
      <c r="K188" s="53" t="n"/>
      <c r="L188" s="53" t="n"/>
      <c r="M188" s="53" t="n"/>
      <c r="N188" s="2" t="n"/>
    </row>
    <row r="189">
      <c r="A189" s="43" t="n"/>
      <c r="B189" s="43" t="n"/>
      <c r="C189" s="43" t="n"/>
      <c r="D189" s="43" t="n"/>
      <c r="E189" s="43" t="n"/>
      <c r="F189" s="53" t="n"/>
      <c r="G189" s="53" t="n"/>
      <c r="H189" s="53" t="n"/>
      <c r="I189" s="53" t="n"/>
      <c r="J189" s="53" t="n"/>
      <c r="K189" s="53" t="n"/>
      <c r="L189" s="53" t="n"/>
      <c r="M189" s="53" t="n"/>
      <c r="N189" s="2" t="n"/>
    </row>
    <row r="190">
      <c r="A190" s="43" t="n"/>
      <c r="B190" s="43" t="n"/>
      <c r="C190" s="43" t="n"/>
      <c r="D190" s="43" t="n"/>
      <c r="E190" s="43" t="n"/>
      <c r="F190" s="53" t="n"/>
      <c r="G190" s="53" t="n"/>
      <c r="H190" s="53" t="n"/>
      <c r="I190" s="53" t="n"/>
      <c r="J190" s="53" t="n"/>
      <c r="K190" s="53" t="n"/>
      <c r="L190" s="53" t="n"/>
      <c r="M190" s="53" t="n"/>
      <c r="N190" s="2" t="n"/>
    </row>
    <row r="191">
      <c r="A191" s="43" t="n"/>
      <c r="B191" s="43" t="n"/>
      <c r="C191" s="43" t="n"/>
      <c r="D191" s="43" t="n"/>
      <c r="E191" s="43" t="n"/>
      <c r="F191" s="53" t="n"/>
      <c r="G191" s="53" t="n"/>
      <c r="H191" s="53" t="n"/>
      <c r="I191" s="53" t="n"/>
      <c r="J191" s="53" t="n"/>
      <c r="K191" s="53" t="n"/>
      <c r="L191" s="53" t="n"/>
      <c r="M191" s="53" t="n"/>
      <c r="N191" s="2" t="n"/>
    </row>
    <row r="192">
      <c r="A192" s="43" t="n"/>
      <c r="B192" s="43" t="n"/>
      <c r="C192" s="43" t="n"/>
      <c r="D192" s="43" t="n"/>
      <c r="E192" s="43" t="n"/>
      <c r="F192" s="53" t="n"/>
      <c r="G192" s="53" t="n"/>
      <c r="H192" s="53" t="n"/>
      <c r="I192" s="53" t="n"/>
      <c r="J192" s="53" t="n"/>
      <c r="K192" s="53" t="n"/>
      <c r="L192" s="53" t="n"/>
      <c r="M192" s="53" t="n"/>
      <c r="N192" s="2" t="n"/>
    </row>
    <row r="193">
      <c r="A193" s="43" t="n"/>
      <c r="B193" s="43" t="n"/>
      <c r="C193" s="43" t="n"/>
      <c r="D193" s="43" t="n"/>
      <c r="E193" s="43" t="n"/>
      <c r="F193" s="53" t="n"/>
      <c r="G193" s="53" t="n"/>
      <c r="H193" s="53" t="n"/>
      <c r="I193" s="53" t="n"/>
      <c r="J193" s="53" t="n"/>
      <c r="K193" s="53" t="n"/>
      <c r="L193" s="53" t="n"/>
      <c r="M193" s="53" t="n"/>
      <c r="N193" s="2" t="n"/>
    </row>
    <row r="194">
      <c r="A194" s="43" t="n"/>
      <c r="B194" s="43" t="n"/>
      <c r="C194" s="43" t="n"/>
      <c r="D194" s="43" t="n"/>
      <c r="E194" s="43" t="n"/>
      <c r="F194" s="53" t="n"/>
      <c r="G194" s="53" t="n"/>
      <c r="H194" s="53" t="n"/>
      <c r="I194" s="53" t="n"/>
      <c r="J194" s="53" t="n"/>
      <c r="K194" s="53" t="n"/>
      <c r="L194" s="53" t="n"/>
      <c r="M194" s="53" t="n"/>
      <c r="N194" s="2" t="n"/>
    </row>
    <row r="195">
      <c r="A195" s="43" t="n"/>
      <c r="B195" s="43" t="n"/>
      <c r="C195" s="43" t="n"/>
      <c r="D195" s="43" t="n"/>
      <c r="E195" s="43" t="n"/>
      <c r="F195" s="53" t="n"/>
      <c r="G195" s="53" t="n"/>
      <c r="H195" s="53" t="n"/>
      <c r="I195" s="53" t="n"/>
      <c r="J195" s="53" t="n"/>
      <c r="K195" s="53" t="n"/>
      <c r="L195" s="53" t="n"/>
      <c r="M195" s="53" t="n"/>
      <c r="N195" s="2" t="n"/>
    </row>
    <row r="196">
      <c r="A196" s="43" t="n"/>
      <c r="B196" s="43" t="n"/>
      <c r="C196" s="43" t="n"/>
      <c r="D196" s="43" t="n"/>
      <c r="E196" s="43" t="n"/>
      <c r="F196" s="53" t="n"/>
      <c r="G196" s="53" t="n"/>
      <c r="H196" s="53" t="n"/>
      <c r="I196" s="53" t="n"/>
      <c r="J196" s="53" t="n"/>
      <c r="K196" s="53" t="n"/>
      <c r="L196" s="53" t="n"/>
      <c r="M196" s="53" t="n"/>
      <c r="N196" s="2" t="n"/>
    </row>
    <row r="197">
      <c r="A197" s="43" t="n"/>
      <c r="B197" s="43" t="n"/>
      <c r="C197" s="43" t="n"/>
      <c r="D197" s="43" t="n"/>
      <c r="E197" s="43" t="n"/>
      <c r="F197" s="53" t="n"/>
      <c r="G197" s="53" t="n"/>
      <c r="H197" s="53" t="n"/>
      <c r="I197" s="53" t="n"/>
      <c r="J197" s="53" t="n"/>
      <c r="K197" s="53" t="n"/>
      <c r="L197" s="53" t="n"/>
      <c r="M197" s="53" t="n"/>
      <c r="N197" s="2" t="n"/>
    </row>
    <row r="198">
      <c r="A198" s="43" t="n"/>
      <c r="B198" s="43" t="n"/>
      <c r="C198" s="43" t="n"/>
      <c r="D198" s="43" t="n"/>
      <c r="E198" s="43" t="n"/>
      <c r="F198" s="53" t="n"/>
      <c r="G198" s="53" t="n"/>
      <c r="H198" s="53" t="n"/>
      <c r="I198" s="53" t="n"/>
      <c r="J198" s="53" t="n"/>
      <c r="K198" s="53" t="n"/>
      <c r="L198" s="53" t="n"/>
      <c r="M198" s="53" t="n"/>
      <c r="N198" s="2" t="n"/>
    </row>
    <row r="199">
      <c r="A199" s="43" t="n"/>
      <c r="B199" s="43" t="n"/>
      <c r="C199" s="43" t="n"/>
      <c r="D199" s="43" t="n"/>
      <c r="E199" s="43" t="n"/>
      <c r="F199" s="53" t="n"/>
      <c r="G199" s="53" t="n"/>
      <c r="H199" s="53" t="n"/>
      <c r="I199" s="53" t="n"/>
      <c r="J199" s="53" t="n"/>
      <c r="K199" s="53" t="n"/>
      <c r="L199" s="53" t="n"/>
      <c r="M199" s="53" t="n"/>
      <c r="N199" s="2" t="n"/>
    </row>
    <row r="200">
      <c r="A200" s="43" t="n"/>
      <c r="B200" s="43" t="n"/>
      <c r="C200" s="43" t="n"/>
      <c r="D200" s="43" t="n"/>
      <c r="E200" s="43" t="n"/>
      <c r="F200" s="53" t="n"/>
      <c r="G200" s="53" t="n"/>
      <c r="H200" s="53" t="n"/>
      <c r="I200" s="53" t="n"/>
      <c r="J200" s="53" t="n"/>
      <c r="K200" s="53" t="n"/>
      <c r="L200" s="53" t="n"/>
      <c r="M200" s="53" t="n"/>
      <c r="N200" s="2" t="n"/>
    </row>
    <row r="201">
      <c r="A201" s="43" t="n"/>
      <c r="B201" s="43" t="n"/>
      <c r="C201" s="43" t="n"/>
      <c r="D201" s="43" t="n"/>
      <c r="E201" s="43" t="n"/>
      <c r="F201" s="53" t="n"/>
      <c r="G201" s="53" t="n"/>
      <c r="H201" s="53" t="n"/>
      <c r="I201" s="53" t="n"/>
      <c r="J201" s="53" t="n"/>
      <c r="K201" s="53" t="n"/>
      <c r="L201" s="53" t="n"/>
      <c r="M201" s="53" t="n"/>
      <c r="N201" s="2" t="n"/>
    </row>
    <row r="202">
      <c r="A202" s="43" t="n"/>
      <c r="B202" s="43" t="n"/>
      <c r="C202" s="43" t="n"/>
      <c r="D202" s="43" t="n"/>
      <c r="E202" s="43" t="n"/>
      <c r="F202" s="53" t="n"/>
      <c r="G202" s="53" t="n"/>
      <c r="H202" s="53" t="n"/>
      <c r="I202" s="53" t="n"/>
      <c r="J202" s="53" t="n"/>
      <c r="K202" s="53" t="n"/>
      <c r="L202" s="53" t="n"/>
      <c r="M202" s="53" t="n"/>
      <c r="N202" s="2" t="n"/>
    </row>
    <row r="203">
      <c r="A203" s="43" t="n"/>
      <c r="B203" s="43" t="n"/>
      <c r="C203" s="43" t="n"/>
      <c r="D203" s="43" t="n"/>
      <c r="E203" s="43" t="n"/>
      <c r="F203" s="53" t="n"/>
      <c r="G203" s="53" t="n"/>
      <c r="H203" s="53" t="n"/>
      <c r="I203" s="53" t="n"/>
      <c r="J203" s="53" t="n"/>
      <c r="K203" s="53" t="n"/>
      <c r="L203" s="53" t="n"/>
      <c r="M203" s="53" t="n"/>
      <c r="N203" s="2" t="n"/>
    </row>
    <row r="204">
      <c r="A204" s="43" t="n"/>
      <c r="B204" s="43" t="n"/>
      <c r="C204" s="43" t="n"/>
      <c r="D204" s="43" t="n"/>
      <c r="E204" s="43" t="n"/>
      <c r="F204" s="53" t="n"/>
      <c r="G204" s="53" t="n"/>
      <c r="H204" s="53" t="n"/>
      <c r="I204" s="53" t="n"/>
      <c r="J204" s="53" t="n"/>
      <c r="K204" s="53" t="n"/>
      <c r="L204" s="53" t="n"/>
      <c r="M204" s="53" t="n"/>
      <c r="N204" s="2" t="n"/>
    </row>
    <row r="206">
      <c r="A206" s="2" t="inlineStr">
        <is>
          <t>Mitzahler werden über Einstellungen → „Name(n) in George“ erkannt. Antwortest du beim Import „keine Person“, legt der Import hier eine Regel mit Art „Einnahme“ an, damit nicht erneut gefragt wird.</t>
        </is>
      </c>
    </row>
  </sheetData>
  <conditionalFormatting sqref="E5:E204">
    <cfRule type="expression" priority="1" dxfId="3">
      <formula>AND($D5="Ausgleich",$E5="")</formula>
    </cfRule>
  </conditionalFormatting>
  <dataValidations count="3">
    <dataValidation sqref="C5:C204" showDropDown="0" showInputMessage="0" showErrorMessage="0" allowBlank="1" type="list">
      <formula1>Einstellungen!$C$5:$C$34</formula1>
    </dataValidation>
    <dataValidation sqref="D5:D204" showDropDown="0" showInputMessage="0" showErrorMessage="0" allowBlank="1" type="list">
      <formula1>Einstellungen!$I$5:$I$11</formula1>
    </dataValidation>
    <dataValidation sqref="E5:E204" showDropDown="0" showInputMessage="0" showErrorMessage="0" allowBlank="1" type="list">
      <formula1>Einstellungen!$A$5:$A$12</formula1>
    </dataValidation>
  </dataValidations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inst">
    <outlinePr summaryBelow="1" summaryRight="1"/>
    <pageSetUpPr fitToPage="1"/>
  </sheetPr>
  <dimension ref="A1:M34"/>
  <sheetViews>
    <sheetView showGridLines="0" tabSelected="0" workbookViewId="0">
      <selection activeCell="A1" sqref="A1"/>
    </sheetView>
  </sheetViews>
  <sheetFormatPr baseColWidth="8" defaultRowHeight="15"/>
  <cols>
    <col width="18" customWidth="1" min="1" max="1"/>
    <col width="24" customWidth="1" min="2" max="2"/>
    <col width="20" customWidth="1" min="3" max="3"/>
    <col width="3" customWidth="1" min="4" max="4"/>
    <col width="20" customWidth="1" min="5" max="5"/>
    <col width="3" customWidth="1" min="6" max="6"/>
    <col width="16" customWidth="1" min="7" max="7"/>
    <col width="3" customWidth="1" min="8" max="8"/>
    <col width="16" customWidth="1" min="9" max="9"/>
    <col width="3" customWidth="1" min="10" max="10"/>
    <col width="30" customWidth="1" min="11" max="11"/>
    <col width="34" customWidth="1" min="12" max="12"/>
    <col width="16" customWidth="1" min="13" max="13"/>
  </cols>
  <sheetData>
    <row r="1">
      <c r="A1" s="1" t="inlineStr">
        <is>
          <t>Einstellungen</t>
        </is>
      </c>
    </row>
    <row r="2">
      <c r="A2" s="2" t="inlineStr">
        <is>
          <t>Blau = änderbar. Personen, Kategorien und Kontotypen erscheinen als Auswahllisten in der ganzen Mappe.</t>
        </is>
      </c>
    </row>
    <row r="4">
      <c r="A4" s="14" t="inlineStr">
        <is>
          <t>Personen / Mitzahler</t>
        </is>
      </c>
      <c r="B4" s="15" t="inlineStr">
        <is>
          <t>Rolle / Notiz</t>
        </is>
      </c>
      <c r="C4" s="15" t="inlineStr">
        <is>
          <t>Kategorien Buchungen</t>
        </is>
      </c>
      <c r="E4" s="15" t="inlineStr">
        <is>
          <t>Kategorien Fixkosten</t>
        </is>
      </c>
      <c r="G4" s="15" t="inlineStr">
        <is>
          <t>Kontotypen</t>
        </is>
      </c>
      <c r="I4" s="15" t="inlineStr">
        <is>
          <t>Arten (fix)</t>
        </is>
      </c>
      <c r="K4" s="15" t="inlineStr">
        <is>
          <t>Parameter</t>
        </is>
      </c>
      <c r="L4" s="15" t="inlineStr">
        <is>
          <t>Wert</t>
        </is>
      </c>
    </row>
    <row r="5">
      <c r="A5" s="43" t="inlineStr">
        <is>
          <t>Jombi</t>
        </is>
      </c>
      <c r="B5" s="2" t="inlineStr">
        <is>
          <t>Partner</t>
        </is>
      </c>
      <c r="C5" s="43" t="inlineStr">
        <is>
          <t>Kleidung</t>
        </is>
      </c>
      <c r="E5" s="43" t="inlineStr">
        <is>
          <t>Versicherung</t>
        </is>
      </c>
      <c r="G5" s="43" t="inlineStr">
        <is>
          <t>Girokonto</t>
        </is>
      </c>
      <c r="I5" s="54" t="inlineStr">
        <is>
          <t>Ausgabe</t>
        </is>
      </c>
      <c r="K5" s="55" t="inlineStr">
        <is>
          <t>Import-Ordner (leer = Ordner „Import“ neben der Mappe, auch in OneDrive)</t>
        </is>
      </c>
      <c r="L5" s="56" t="n"/>
    </row>
    <row r="6">
      <c r="A6" s="43" t="inlineStr">
        <is>
          <t>Steffi</t>
        </is>
      </c>
      <c r="B6" s="2" t="inlineStr">
        <is>
          <t>Spotify-Abo</t>
        </is>
      </c>
      <c r="C6" s="43" t="inlineStr">
        <is>
          <t>KFZ</t>
        </is>
      </c>
      <c r="E6" s="43" t="inlineStr">
        <is>
          <t>Spesen</t>
        </is>
      </c>
      <c r="G6" s="43" t="inlineStr">
        <is>
          <t>Sparkonto</t>
        </is>
      </c>
      <c r="I6" s="54" t="inlineStr">
        <is>
          <t>Fixkosten</t>
        </is>
      </c>
      <c r="K6" s="55" t="inlineStr">
        <is>
          <t>Ausgleich mit Mitzahlern ab Monat</t>
        </is>
      </c>
      <c r="L6" s="57" t="n">
        <v>46266</v>
      </c>
    </row>
    <row r="7">
      <c r="A7" s="43" t="inlineStr">
        <is>
          <t>Lu</t>
        </is>
      </c>
      <c r="B7" s="2" t="inlineStr">
        <is>
          <t>Spotify-Abo</t>
        </is>
      </c>
      <c r="C7" s="43" t="inlineStr">
        <is>
          <t>Haare</t>
        </is>
      </c>
      <c r="E7" s="43" t="inlineStr">
        <is>
          <t>Abo</t>
        </is>
      </c>
      <c r="G7" s="43" t="inlineStr">
        <is>
          <t>Bausparkonto</t>
        </is>
      </c>
      <c r="I7" s="54" t="inlineStr">
        <is>
          <t>Einnahme</t>
        </is>
      </c>
      <c r="K7" s="55" t="inlineStr">
        <is>
          <t>Warnung, wenn verfügbar unter</t>
        </is>
      </c>
      <c r="L7" s="58" t="n">
        <v>100</v>
      </c>
    </row>
    <row r="8">
      <c r="A8" s="43" t="inlineStr">
        <is>
          <t>Person 4</t>
        </is>
      </c>
      <c r="B8" s="2" t="inlineStr">
        <is>
          <t>Spotify-Abo (bitte umbenennen)</t>
        </is>
      </c>
      <c r="C8" s="43" t="inlineStr">
        <is>
          <t>Lebensmittel</t>
        </is>
      </c>
      <c r="E8" s="43" t="inlineStr">
        <is>
          <t>Handyrechnung</t>
        </is>
      </c>
      <c r="G8" s="43" t="inlineStr">
        <is>
          <t>Kreditkarte</t>
        </is>
      </c>
      <c r="I8" s="54" t="inlineStr">
        <is>
          <t>Ausgleich</t>
        </is>
      </c>
      <c r="K8" s="55" t="inlineStr">
        <is>
          <t>Toleranz Fixkosten-Betrag (±)</t>
        </is>
      </c>
      <c r="L8" s="59" t="n">
        <v>0.25</v>
      </c>
    </row>
    <row r="9" ht="54" customHeight="1">
      <c r="A9" s="43" t="inlineStr">
        <is>
          <t>Papa</t>
        </is>
      </c>
      <c r="B9" s="2" t="inlineStr">
        <is>
          <t>Buchungen</t>
        </is>
      </c>
      <c r="C9" s="43" t="inlineStr">
        <is>
          <t>Restaurant</t>
        </is>
      </c>
      <c r="E9" s="43" t="inlineStr">
        <is>
          <t>Sparen</t>
        </is>
      </c>
      <c r="G9" s="43" t="inlineStr">
        <is>
          <t>Sonstiges</t>
        </is>
      </c>
      <c r="I9" s="54" t="inlineStr">
        <is>
          <t>Umbuchung</t>
        </is>
      </c>
      <c r="K9" s="60" t="inlineStr">
        <is>
          <t>Ausgleich-Stichwörter (Verwendungszweck/Zahlungsreferenz; * = jede Überweisung)</t>
        </is>
      </c>
      <c r="L9" s="61" t="inlineStr">
        <is>
          <t>ausgleich;anteil;fixkosten;rückzahlung;zurück;schulden;spotify;netflix;joyn;amazon;abo;handy;miete;bk;betriebskosten;strom;einkauf;essen;tanken;hälfte</t>
        </is>
      </c>
    </row>
    <row r="10">
      <c r="A10" s="43" t="inlineStr">
        <is>
          <t>Thomas</t>
        </is>
      </c>
      <c r="B10" s="2" t="inlineStr">
        <is>
          <t>Buchungen</t>
        </is>
      </c>
      <c r="C10" s="43" t="inlineStr">
        <is>
          <t>Tiere</t>
        </is>
      </c>
      <c r="E10" s="43" t="inlineStr">
        <is>
          <t>Wohnen</t>
        </is>
      </c>
      <c r="I10" s="54" t="inlineStr">
        <is>
          <t>Sparkonto</t>
        </is>
      </c>
      <c r="K10" s="62" t="inlineStr">
        <is>
          <t>Toleranz: Ein Fixkosten-Suchbegriff gilt nur, wenn der Betrag höchstens so weit vom „Betrag je Zahlung“ abweicht – sonst wird die Buchung als normale Ausgabe importiert.</t>
        </is>
      </c>
    </row>
    <row r="11">
      <c r="A11" s="43" t="inlineStr">
        <is>
          <t>Vici</t>
        </is>
      </c>
      <c r="B11" s="2" t="inlineStr">
        <is>
          <t>Buchungen</t>
        </is>
      </c>
      <c r="C11" s="43" t="inlineStr">
        <is>
          <t>Drogerie</t>
        </is>
      </c>
      <c r="E11" s="43" t="n"/>
      <c r="I11" s="54" t="inlineStr">
        <is>
          <t>Ignorieren</t>
        </is>
      </c>
    </row>
    <row r="12">
      <c r="A12" s="43" t="n"/>
      <c r="B12" s="2" t="n"/>
      <c r="C12" s="43" t="inlineStr">
        <is>
          <t>Tanken</t>
        </is>
      </c>
      <c r="E12" s="43" t="n"/>
    </row>
    <row r="13">
      <c r="C13" s="43" t="inlineStr">
        <is>
          <t>Geschenk</t>
        </is>
      </c>
      <c r="E13" s="43" t="n"/>
    </row>
    <row r="14">
      <c r="A14" s="2" t="inlineStr">
        <is>
          <t>Reihenfolge = Spalten P1–P8 in Buchungen, Fixkosten und Importregeln.</t>
        </is>
      </c>
      <c r="C14" s="43" t="inlineStr">
        <is>
          <t>Glücksspiel</t>
        </is>
      </c>
      <c r="E14" s="43" t="n"/>
    </row>
    <row r="15">
      <c r="C15" s="43" t="inlineStr">
        <is>
          <t>Tabak</t>
        </is>
      </c>
      <c r="E15" s="43" t="n"/>
      <c r="K15" s="12" t="inlineStr">
        <is>
          <t>Personen in George</t>
        </is>
      </c>
      <c r="L15" s="13" t="n"/>
      <c r="M15" s="13" t="n"/>
    </row>
    <row r="16" ht="30" customHeight="1">
      <c r="C16" s="43" t="inlineStr">
        <is>
          <t>Grab</t>
        </is>
      </c>
      <c r="E16" s="43" t="n"/>
      <c r="K16" s="15" t="inlineStr">
        <is>
          <t>Person</t>
        </is>
      </c>
      <c r="L16" s="15" t="inlineStr">
        <is>
          <t>Name(n) in George (mit ; trennen)</t>
        </is>
      </c>
      <c r="M16" s="15" t="inlineStr">
        <is>
          <t>Jede Überweisung = Ausgleich?</t>
        </is>
      </c>
    </row>
    <row r="17">
      <c r="C17" s="43" t="inlineStr">
        <is>
          <t>Abo gekündigt!</t>
        </is>
      </c>
      <c r="E17" s="43" t="n"/>
      <c r="K17" s="63">
        <f>IF(A5="","",A5)</f>
        <v/>
      </c>
      <c r="L17" s="16" t="inlineStr">
        <is>
          <t>Jonathan Dulsky</t>
        </is>
      </c>
      <c r="M17" s="21" t="inlineStr">
        <is>
          <t>ja</t>
        </is>
      </c>
    </row>
    <row r="18">
      <c r="C18" s="43" t="inlineStr">
        <is>
          <t>Videospiel</t>
        </is>
      </c>
      <c r="E18" s="43" t="n"/>
      <c r="K18" s="63">
        <f>IF(A6="","",A6)</f>
        <v/>
      </c>
      <c r="L18" s="16" t="inlineStr">
        <is>
          <t>Stefanie Holzbauer</t>
        </is>
      </c>
      <c r="M18" s="21" t="inlineStr">
        <is>
          <t>nein</t>
        </is>
      </c>
    </row>
    <row r="19">
      <c r="C19" s="43" t="inlineStr">
        <is>
          <t>Trafik</t>
        </is>
      </c>
      <c r="E19" s="43" t="n"/>
      <c r="K19" s="63">
        <f>IF(A7="","",A7)</f>
        <v/>
      </c>
      <c r="L19" s="16" t="inlineStr">
        <is>
          <t>Holzerbauer Lukas</t>
        </is>
      </c>
      <c r="M19" s="21" t="inlineStr">
        <is>
          <t>nein</t>
        </is>
      </c>
    </row>
    <row r="20">
      <c r="C20" s="43" t="n"/>
      <c r="E20" s="43" t="n"/>
      <c r="K20" s="63">
        <f>IF(A8="","",A8)</f>
        <v/>
      </c>
      <c r="L20" s="16" t="n"/>
      <c r="M20" s="21" t="inlineStr">
        <is>
          <t>nein</t>
        </is>
      </c>
    </row>
    <row r="21">
      <c r="C21" s="43" t="n"/>
      <c r="K21" s="63">
        <f>IF(A9="","",A9)</f>
        <v/>
      </c>
      <c r="L21" s="16" t="n"/>
      <c r="M21" s="21" t="inlineStr">
        <is>
          <t>nein</t>
        </is>
      </c>
    </row>
    <row r="22">
      <c r="C22" s="43" t="n"/>
      <c r="K22" s="63">
        <f>IF(A10="","",A10)</f>
        <v/>
      </c>
      <c r="L22" s="16" t="n"/>
      <c r="M22" s="21" t="inlineStr">
        <is>
          <t>nein</t>
        </is>
      </c>
    </row>
    <row r="23">
      <c r="C23" s="43" t="n"/>
      <c r="K23" s="63">
        <f>IF(A11="","",A11)</f>
        <v/>
      </c>
      <c r="L23" s="16" t="inlineStr">
        <is>
          <t>Victoria Weber</t>
        </is>
      </c>
      <c r="M23" s="21" t="inlineStr">
        <is>
          <t>nein</t>
        </is>
      </c>
    </row>
    <row r="24">
      <c r="C24" s="43" t="n"/>
      <c r="K24" s="63">
        <f>IF(A12="","",A12)</f>
        <v/>
      </c>
      <c r="L24" s="16" t="n"/>
      <c r="M24" s="21" t="n"/>
    </row>
    <row r="25">
      <c r="C25" s="43" t="n"/>
      <c r="K25" s="62" t="inlineStr">
        <is>
          <t>Der Import erkennt Überweisungen an diesem Namen (Auftraggeber in George) und ergänzt ihn selbst, wenn du beim Import eine Überweisung einer Person zuordnest. „ja“ = jede Überweisung dieser Person zählt als Ausgleich (z. B. Partner); „nein“ = nur mit Ausgleich-Stichwort (L9), sonst Einnahme zum Prüfen.</t>
        </is>
      </c>
    </row>
    <row r="26">
      <c r="C26" s="43" t="n"/>
    </row>
    <row r="27">
      <c r="C27" s="43" t="n"/>
    </row>
    <row r="28">
      <c r="C28" s="43" t="n"/>
    </row>
    <row r="29">
      <c r="C29" s="43" t="n"/>
    </row>
    <row r="30">
      <c r="C30" s="43" t="n"/>
    </row>
    <row r="31">
      <c r="C31" s="43" t="n"/>
    </row>
    <row r="32">
      <c r="C32" s="43" t="n"/>
    </row>
    <row r="33">
      <c r="C33" s="43" t="n"/>
    </row>
    <row r="34">
      <c r="C34" s="43" t="n"/>
    </row>
  </sheetData>
  <mergeCells count="2">
    <mergeCell ref="K25:M29"/>
    <mergeCell ref="K10:L13"/>
  </mergeCells>
  <dataValidations count="1">
    <dataValidation sqref="M17:M24" showDropDown="0" showInputMessage="0" showErrorMessage="0" allowBlank="1" type="list">
      <formula1>"ja,nein"</formula1>
    </dataValidation>
  </dataValidation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Hinweise">
    <outlinePr summaryBelow="1" summaryRight="1"/>
    <pageSetUpPr fitToPage="1"/>
  </sheetPr>
  <dimension ref="A1:B25"/>
  <sheetViews>
    <sheetView showGridLines="0" tabSelected="0" workbookViewId="0">
      <selection activeCell="A1" sqref="A1"/>
    </sheetView>
  </sheetViews>
  <sheetFormatPr baseColWidth="8" defaultRowHeight="15"/>
  <cols>
    <col width="4" customWidth="1" min="1" max="1"/>
    <col width="125" customWidth="1" min="2" max="2"/>
  </cols>
  <sheetData>
    <row r="1">
      <c r="A1" s="1" t="inlineStr">
        <is>
          <t>Hinweise</t>
        </is>
      </c>
    </row>
    <row r="2">
      <c r="A2" s="2" t="inlineStr"/>
    </row>
    <row r="3">
      <c r="A3" s="12" t="inlineStr">
        <is>
          <t>Import</t>
        </is>
      </c>
      <c r="B3" s="13" t="n"/>
    </row>
    <row r="4">
      <c r="A4" s="5" t="inlineStr">
        <is>
          <t>1</t>
        </is>
      </c>
      <c r="B4" s="60" t="inlineStr">
        <is>
          <t>George: je Konto (Giro, Sparkonto, Kreditkarte) den Umsatz-Export als JSON herunterladen.</t>
        </is>
      </c>
    </row>
    <row r="5">
      <c r="A5" s="5" t="inlineStr">
        <is>
          <t>2</t>
        </is>
      </c>
      <c r="B5" s="60" t="inlineStr">
        <is>
          <t>„Dateien importieren …“ (Übersicht, Buchungen oder Menüband „Finanzen“) → alle JSON-Dateien markieren → Öffnen.</t>
        </is>
      </c>
    </row>
    <row r="6">
      <c r="A6" s="5" t="inlineStr">
        <is>
          <t>3</t>
        </is>
      </c>
      <c r="B6" s="60" t="inlineStr">
        <is>
          <t>Oder: Dateien in den Ordner „Import“ neben dieser Mappe ziehen und „Import-Ordner einlesen“ klicken. Eingelesene Dateien werden nach „Import\erledigt“ verschoben. Liegen beim Öffnen der Mappe Dateien im Ordner, fragt die Mappe nach.</t>
        </is>
      </c>
    </row>
    <row r="7">
      <c r="A7" s="5" t="inlineStr">
        <is>
          <t>4</t>
        </is>
      </c>
      <c r="B7" s="60" t="inlineStr">
        <is>
          <t>Bereits importierte Buchungen werden erkannt (Spalte „Schlüssel“) – dieselbe Datei mehrfach einlesen ist unschädlich.</t>
        </is>
      </c>
    </row>
    <row r="8">
      <c r="A8" s="5" t="inlineStr">
        <is>
          <t>5</t>
        </is>
      </c>
      <c r="B8" s="60" t="inlineStr">
        <is>
          <t>Konten werden über IBAN/Kartennummer (Übersicht, Spalte „IBAN / Karte“) bzw. die Kontobezeichnung aus George erkannt; neue Nummern trägt der Import selbst ein.</t>
        </is>
      </c>
    </row>
    <row r="9">
      <c r="A9" s="12" t="inlineStr">
        <is>
          <t>Wie der Import einordnet</t>
        </is>
      </c>
      <c r="B9" s="13" t="n"/>
    </row>
    <row r="10">
      <c r="A10" s="5" t="inlineStr">
        <is>
          <t>•</t>
        </is>
      </c>
      <c r="B10" s="60" t="inlineStr">
        <is>
          <t>Spar-/Bausparkonto → Art „Sparkonto“ (zählt nicht als Ausgabe).</t>
        </is>
      </c>
    </row>
    <row r="11">
      <c r="A11" s="5" t="inlineStr">
        <is>
          <t>•</t>
        </is>
      </c>
      <c r="B11" s="60" t="inlineStr">
        <is>
          <t>Importregeln (erste passende Zeile) → Bezeichnung, Kategorie, Art, Person und Aufteilung aus der Regel.</t>
        </is>
      </c>
    </row>
    <row r="12">
      <c r="A12" s="5" t="inlineStr">
        <is>
          <t>•</t>
        </is>
      </c>
      <c r="B12" s="60" t="inlineStr">
        <is>
          <t>Umbuchung zwischen eigenen Konten, Kreditkartenabrechnung am Girokonto, Ausgleich auf die Kreditkarte → „Umbuchung“.</t>
        </is>
      </c>
    </row>
    <row r="13">
      <c r="A13" s="5" t="inlineStr">
        <is>
          <t>•</t>
        </is>
      </c>
      <c r="B13" s="60" t="inlineStr">
        <is>
          <t>Suchbegriff aus dem Blatt Fixkosten (Betrag innerhalb der Toleranz) → „Fixkosten“ mit dem Namen des Postens.</t>
        </is>
      </c>
    </row>
    <row r="14">
      <c r="A14" s="5" t="inlineStr">
        <is>
          <t>•</t>
        </is>
      </c>
      <c r="B14" s="60" t="inlineStr">
        <is>
          <t>Eingänge: Suchbegriff bei den Einnahmen (Blatt Fixkosten) → „Einnahme“; Auftraggeber = bekannte Person (Einstellungen → „Name(n) in George“) → „Ausgleich“. Unbekannte Privatperson → der Import fragt: Person wählen, neue Person anlegen oder „keine Person“ – die Antwort wird gespeichert.</t>
        </is>
      </c>
    </row>
    <row r="15">
      <c r="A15" s="5" t="inlineStr">
        <is>
          <t>•</t>
        </is>
      </c>
      <c r="B15" s="60" t="inlineStr">
        <is>
          <t>Bekannter Händler aus früheren Buchungen → dessen Bezeichnung/Kategorie. Sonst „Ausgabe“ ohne Kategorie (gelb).</t>
        </is>
      </c>
    </row>
    <row r="16">
      <c r="A16" s="12" t="inlineStr">
        <is>
          <t>Aufteilen</t>
        </is>
      </c>
      <c r="B16" s="13" t="n"/>
    </row>
    <row r="17">
      <c r="A17" s="5" t="inlineStr">
        <is>
          <t>•</t>
        </is>
      </c>
      <c r="B17" s="60" t="inlineStr">
        <is>
          <t>Spalten P1–P8 im Blatt Buchungen: Prozent je Person (z. B. 50 %) – der Rest ist dein Anteil. „x“ = gleich aufteilen inklusive dir (x bei zwei Personen = je ⅓). Mehrere Personen pro Buchung sind möglich.</t>
        </is>
      </c>
    </row>
    <row r="18">
      <c r="A18" s="5" t="inlineStr">
        <is>
          <t>•</t>
        </is>
      </c>
      <c r="B18" s="60" t="inlineStr">
        <is>
          <t>Fixkosten/Abos (Blatt Fixkosten): bei allen, die mitzahlen, ein „x“ → gleich aufgeteilt inkl. dir (x bei 4 Personen = je 1/5). Große Fixkosten mit dem Partner: nur beim Partner ein „x“ = 50/50. Spalten „Personen“ und „Mein Anteil“ zeigen das Ergebnis. Rot = Anteile über 100 %.</t>
        </is>
      </c>
    </row>
    <row r="19">
      <c r="A19" s="5" t="inlineStr">
        <is>
          <t>•</t>
        </is>
      </c>
      <c r="B19" s="60" t="inlineStr">
        <is>
          <t>Partner: Einstellungen → „Jede Überweisung = Ausgleich?“ = ja → jede Überweisung zählt als Ausgleich. Andere Personen nur mit Ausgleich-Stichwort (Einstellungen L9), sonst Einnahme (orange, zum Prüfen).</t>
        </is>
      </c>
    </row>
    <row r="20">
      <c r="A20" s="12" t="inlineStr">
        <is>
          <t>Technik</t>
        </is>
      </c>
      <c r="B20" s="13" t="n"/>
    </row>
    <row r="21">
      <c r="A21" s="5" t="inlineStr">
        <is>
          <t>•</t>
        </is>
      </c>
      <c r="B21" s="60" t="inlineStr">
        <is>
          <t>Die Mappe enthält Makros (.xlsm). Beim ersten Öffnen ggf. „Inhalt aktivieren“ bzw. in den Dateieigenschaften „Zulassen“ anhaken, falls Windows die heruntergeladene Datei blockiert.</t>
        </is>
      </c>
    </row>
    <row r="22">
      <c r="A22" s="5" t="inlineStr">
        <is>
          <t>•</t>
        </is>
      </c>
      <c r="B22" s="60" t="inlineStr">
        <is>
          <t>Für Excel unter Windows gebaut (Excel 2019 / Microsoft 365). Auf dem Mac funktioniert der Dateidialog eingeschränkt.</t>
        </is>
      </c>
    </row>
    <row r="23">
      <c r="A23" s="5" t="inlineStr">
        <is>
          <t>•</t>
        </is>
      </c>
      <c r="B23" s="60" t="inlineStr">
        <is>
          <t>Kontostände sind nicht im George-Export enthalten – bitte in der Übersicht selbst eintragen.</t>
        </is>
      </c>
    </row>
    <row r="24">
      <c r="A24" s="12" t="inlineStr">
        <is>
          <t>Übernommen aus Finanzen_Privat_2026.xlsx</t>
        </is>
      </c>
      <c r="B24" s="13" t="n"/>
    </row>
    <row r="25">
      <c r="A25" s="5" t="inlineStr">
        <is>
          <t>•</t>
        </is>
      </c>
      <c r="B25" s="60" t="inlineStr">
        <is>
          <t>Fixkosten (inkl. Aufteilung), Einnahmen, Personen (ohne V+V), Kategorien und Importregeln. Die Suchbegriffe bei den Fixkosten sind Vorschläge – bitte nach dem ersten Import prüfen; BK Wohnung und Mercedes Benz &amp; T3 brauchen noch den Empfängernamen aus George.</t>
        </is>
      </c>
    </row>
  </sheetData>
  <pageMargins left="0.75" right="0.75" top="1" bottom="1" header="0.5" footer="0.5"/>
  <pageSetup orientation="landscape" fitToHeight="0" fitToWidth="1"/>
</worksheet>
</file>

<file path=customUI/customUI14.xml><?xml version="1.0" encoding="utf-8"?>
<customUI xmlns="http://schemas.microsoft.com/office/2009/07/customui">
  <ribbon>
    <tabs>
      <tab id="tabFinanzen" label="Finanzen">
        <group id="grpImport" label="George-Import">
          <button id="btnImport" label="Dateien importieren" size="large" imageMso="FileOpen" onAction="Ribbon_Import" screentip="George-Export(e) auswählen" supertip="JSON-Exporte aus George auswählen (mehrere Dateien möglich: Giro, Sparkonto, Kreditkarte)."/>
          <button id="btnOrdner" label="Import-Ordner einlesen" size="large" imageMso="RefreshAll" onAction="Ribbon_Ordner" screentip="Alle Dateien im Import-Ordner einlesen" supertip="Liest alle *.json im Ordner „Import“ neben der Mappe und verschiebt sie danach nach „Import\erledigt“."/>
          <button id="btnOeffnen" label="Import-Ordner öffnen" size="normal" imageMso="FileOpen" onAction="Ribbon_OrdnerOeffnen" screentip="Ordner im Explorer öffnen – Dateien hineinziehen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2026-10-12T19:58:31Z</dcterms:created>
  <dcterms:modified xmlns:dcterms="http://purl.org/dc/terms/" xmlns:xsi="http://www.w3.org/2001/XMLSchema-instance" xsi:type="dcterms:W3CDTF">2026-10-12T19:58:33Z</dcterms:modified>
</cp:coreProperties>
</file>