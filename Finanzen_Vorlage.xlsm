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microsoft.com/office/2007/relationships/ui/extensibility" Target="customUI/customUI14.xml" Id="rIdUI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Übersicht" sheetId="1" state="visible" r:id="rId1"/>
    <sheet xmlns:r="http://schemas.openxmlformats.org/officeDocument/2006/relationships" name="Buchungen" sheetId="2" state="visible" r:id="rId2"/>
    <sheet xmlns:r="http://schemas.openxmlformats.org/officeDocument/2006/relationships" name="Abos" sheetId="3" state="visible" r:id="rId3"/>
    <sheet xmlns:r="http://schemas.openxmlformats.org/officeDocument/2006/relationships" name="Monatsübersicht" sheetId="4" state="visible" r:id="rId4"/>
    <sheet xmlns:r="http://schemas.openxmlformats.org/officeDocument/2006/relationships" name="Einstellungen" sheetId="5" state="visible" r:id="rId5"/>
    <sheet xmlns:r="http://schemas.openxmlformats.org/officeDocument/2006/relationships" name="Hinweise" sheetId="6" state="visible" r:id="rId6"/>
  </sheets>
  <definedNames>
    <definedName name="_xlnm._FilterDatabase" localSheetId="1" hidden="1">'Buchungen'!$A$5:$N$5005</definedName>
    <definedName name="_xlnm.Print_Titles" localSheetId="1">'Buchungen'!$5:$5</definedName>
    <definedName name="_xlnm._FilterDatabase" localSheetId="2" hidden="1">'Abos'!$A$5:$T$205</definedName>
    <definedName name="_xlnm.Print_Titles" localSheetId="2">'Abos'!$5:$5</definedName>
  </definedNames>
  <calcPr calcId="124519" fullCalcOnLoad="1"/>
</workbook>
</file>

<file path=xl/styles.xml><?xml version="1.0" encoding="utf-8"?>
<styleSheet xmlns="http://schemas.openxmlformats.org/spreadsheetml/2006/main">
  <numFmts count="4">
    <numFmt numFmtId="164" formatCode="DD.MM.YYYY"/>
    <numFmt numFmtId="165" formatCode="MMM YYYY"/>
    <numFmt numFmtId="166" formatCode="#,##0.00&quot; €&quot;;[Red]\-#,##0.00&quot; €&quot;;\–"/>
    <numFmt numFmtId="167" formatCode="#,##0.00&quot; €&quot;"/>
  </numFmts>
  <fonts count="11">
    <font>
      <name val="Calibri"/>
      <family val="2"/>
      <color theme="1"/>
      <sz val="11"/>
      <scheme val="minor"/>
    </font>
    <font>
      <name val="Calibri"/>
      <b val="1"/>
      <color rgb="001F3864"/>
      <sz val="16"/>
    </font>
    <font>
      <name val="Calibri"/>
      <color rgb="00595959"/>
      <sz val="9"/>
    </font>
    <font>
      <name val="Calibri"/>
      <b val="1"/>
      <color rgb="00FFFFFF"/>
      <sz val="10"/>
    </font>
    <font>
      <name val="Calibri"/>
      <b val="1"/>
      <sz val="10"/>
    </font>
    <font>
      <name val="Calibri"/>
      <b val="1"/>
      <color rgb="000000FF"/>
      <sz val="10"/>
    </font>
    <font>
      <name val="Calibri"/>
      <b val="1"/>
      <color rgb="00595959"/>
      <sz val="9"/>
    </font>
    <font>
      <name val="Calibri"/>
      <color rgb="00595959"/>
      <sz val="8"/>
    </font>
    <font>
      <name val="Calibri"/>
      <color rgb="000000FF"/>
      <sz val="10"/>
    </font>
    <font>
      <name val="Calibri"/>
      <sz val="10"/>
    </font>
    <font>
      <name val="Calibri"/>
      <color rgb="008C8C8C"/>
      <sz val="9"/>
    </font>
  </fonts>
  <fills count="7">
    <fill>
      <patternFill/>
    </fill>
    <fill>
      <patternFill patternType="gray125"/>
    </fill>
    <fill>
      <patternFill patternType="solid">
        <fgColor rgb="002E75B6"/>
      </patternFill>
    </fill>
    <fill>
      <patternFill patternType="solid">
        <fgColor rgb="00FFFF99"/>
      </patternFill>
    </fill>
    <fill>
      <patternFill patternType="solid">
        <fgColor rgb="00EEF2F8"/>
      </patternFill>
    </fill>
    <fill>
      <patternFill patternType="solid">
        <fgColor rgb="00D9E1F2"/>
      </patternFill>
    </fill>
    <fill>
      <patternFill patternType="solid">
        <fgColor rgb="001F38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4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2" borderId="0" applyAlignment="1" pivotButton="0" quotePrefix="0" xfId="0">
      <alignment horizontal="center" vertical="center"/>
    </xf>
    <xf numFmtId="164" fontId="2" fillId="0" borderId="0" pivotButton="0" quotePrefix="0" xfId="0"/>
    <xf numFmtId="0" fontId="4" fillId="0" borderId="0" pivotButton="0" quotePrefix="0" xfId="0"/>
    <xf numFmtId="165" fontId="5" fillId="3" borderId="0" pivotButton="0" quotePrefix="0" xfId="0"/>
    <xf numFmtId="0" fontId="6" fillId="4" borderId="0" pivotButton="0" quotePrefix="0" xfId="0"/>
    <xf numFmtId="0" fontId="0" fillId="4" borderId="0" pivotButton="0" quotePrefix="0" xfId="0"/>
    <xf numFmtId="1" fontId="1" fillId="4" borderId="0" pivotButton="0" quotePrefix="0" xfId="0"/>
    <xf numFmtId="166" fontId="1" fillId="4" borderId="0" pivotButton="0" quotePrefix="0" xfId="0"/>
    <xf numFmtId="0" fontId="7" fillId="4" borderId="0" pivotButton="0" quotePrefix="0" xfId="0"/>
    <xf numFmtId="0" fontId="4" fillId="5" borderId="0" pivotButton="0" quotePrefix="0" xfId="0"/>
    <xf numFmtId="0" fontId="3" fillId="6" borderId="0" applyAlignment="1" pivotButton="0" quotePrefix="0" xfId="0">
      <alignment vertical="center" wrapText="1"/>
    </xf>
    <xf numFmtId="0" fontId="8" fillId="0" borderId="0" pivotButton="0" quotePrefix="0" xfId="0"/>
    <xf numFmtId="1" fontId="9" fillId="0" borderId="0" pivotButton="0" quotePrefix="0" xfId="0"/>
    <xf numFmtId="164" fontId="9" fillId="0" borderId="0" pivotButton="0" quotePrefix="0" xfId="0"/>
    <xf numFmtId="166" fontId="9" fillId="0" borderId="0" pivotButton="0" quotePrefix="0" xfId="0"/>
    <xf numFmtId="0" fontId="9" fillId="0" borderId="0" pivotButton="0" quotePrefix="0" xfId="0"/>
    <xf numFmtId="164" fontId="0" fillId="0" borderId="0" pivotButton="0" quotePrefix="0" xfId="0"/>
    <xf numFmtId="166" fontId="0" fillId="0" borderId="0" pivotButton="0" quotePrefix="0" xfId="0"/>
    <xf numFmtId="165" fontId="10" fillId="0" borderId="0" pivotButton="0" quotePrefix="0" xfId="0"/>
    <xf numFmtId="0" fontId="10" fillId="0" borderId="0" pivotButton="0" quotePrefix="0" xfId="0"/>
    <xf numFmtId="167" fontId="9" fillId="0" borderId="0" pivotButton="0" quotePrefix="0" xfId="0"/>
    <xf numFmtId="0" fontId="8" fillId="0" borderId="0" applyAlignment="1" pivotButton="0" quotePrefix="0" xfId="0">
      <alignment horizontal="center"/>
    </xf>
    <xf numFmtId="165" fontId="4" fillId="0" borderId="0" pivotButton="0" quotePrefix="0" xfId="0"/>
    <xf numFmtId="166" fontId="4" fillId="0" borderId="0" pivotButton="0" quotePrefix="0" xfId="0"/>
    <xf numFmtId="0" fontId="8" fillId="3" borderId="0" applyAlignment="1" pivotButton="0" quotePrefix="0" xfId="0">
      <alignment vertical="top" wrapText="1"/>
    </xf>
    <xf numFmtId="0" fontId="2" fillId="0" borderId="0" applyAlignment="1" pivotButton="0" quotePrefix="0" xfId="0">
      <alignment vertical="top" wrapText="1"/>
    </xf>
    <xf numFmtId="9" fontId="8" fillId="3" borderId="0" applyAlignment="1" pivotButton="0" quotePrefix="0" xfId="0">
      <alignment vertical="top" wrapText="1"/>
    </xf>
    <xf numFmtId="166" fontId="8" fillId="3" borderId="0" applyAlignment="1" pivotButton="0" quotePrefix="0" xfId="0">
      <alignment vertical="top" wrapText="1"/>
    </xf>
    <xf numFmtId="0" fontId="0" fillId="5" borderId="0" pivotButton="0" quotePrefix="0" xfId="0"/>
    <xf numFmtId="0" fontId="4" fillId="0" borderId="0" applyAlignment="1" pivotButton="0" quotePrefix="0" xfId="0">
      <alignment vertical="top"/>
    </xf>
    <xf numFmtId="0" fontId="9" fillId="0" borderId="0" applyAlignment="1" pivotButton="0" quotePrefix="0" xfId="0">
      <alignment vertical="top" wrapText="1"/>
    </xf>
  </cellXfs>
  <cellStyles count="1">
    <cellStyle name="Normal" xfId="0" builtinId="0" hidden="0"/>
  </cellStyles>
  <dxfs count="9">
    <dxf>
      <font>
        <b val="1"/>
        <color rgb="00C00000"/>
        <sz val="16"/>
      </font>
    </dxf>
    <dxf>
      <fill>
        <patternFill patternType="solid">
          <fgColor rgb="00E2EFDA"/>
        </patternFill>
      </fill>
    </dxf>
    <dxf>
      <font>
        <color rgb="008C8C8C"/>
      </font>
    </dxf>
    <dxf>
      <font>
        <color rgb="00008000"/>
      </font>
    </dxf>
    <dxf>
      <font>
        <strike val="1"/>
        <color rgb="00BFBFBF"/>
      </font>
    </dxf>
    <dxf>
      <fill>
        <patternFill patternType="solid">
          <fgColor rgb="00FCE4D6"/>
        </patternFill>
      </fill>
    </dxf>
    <dxf>
      <fill>
        <patternFill patternType="solid">
          <fgColor rgb="00DDEBF7"/>
        </patternFill>
      </fill>
    </dxf>
    <dxf>
      <fill>
        <patternFill patternType="solid">
          <fgColor rgb="00FFF2CC"/>
        </patternFill>
      </fill>
    </dxf>
    <dxf>
      <font>
        <b val="1"/>
        <color rgb="00C0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styles" Target="styles.xml" Id="rId7"/><Relationship Type="http://schemas.openxmlformats.org/officeDocument/2006/relationships/theme" Target="theme/theme1.xml" Id="rId8"/><Relationship Type="http://schemas.microsoft.com/office/2006/relationships/vbaProject" Target="vbaProject.bin" Id="rIdVBA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Ausgaben je Monat</a:t>
            </a:r>
          </a:p>
        </rich>
      </tx>
    </title>
    <plotArea>
      <barChart>
        <barDir val="col"/>
        <grouping val="stacked"/>
        <ser>
          <idx val="0"/>
          <order val="0"/>
          <tx>
            <strRef>
              <f>'Monatsübersicht'!C5</f>
            </strRef>
          </tx>
          <spPr>
            <a:ln xmlns:a="http://schemas.openxmlformats.org/drawingml/2006/main">
              <a:prstDash val="solid"/>
            </a:ln>
          </spPr>
          <cat>
            <numRef>
              <f>'Monatsübersicht'!$A$6:$A$41</f>
            </numRef>
          </cat>
          <val>
            <numRef>
              <f>'Monatsübersicht'!$C$6:$C$41</f>
            </numRef>
          </val>
        </ser>
        <ser>
          <idx val="1"/>
          <order val="1"/>
          <tx>
            <strRef>
              <f>'Monatsübersicht'!D5</f>
            </strRef>
          </tx>
          <spPr>
            <a:ln xmlns:a="http://schemas.openxmlformats.org/drawingml/2006/main">
              <a:prstDash val="solid"/>
            </a:ln>
          </spPr>
          <cat>
            <numRef>
              <f>'Monatsübersicht'!$A$6:$A$41</f>
            </numRef>
          </cat>
          <val>
            <numRef>
              <f>'Monatsübersicht'!$D$6:$D$41</f>
            </numRef>
          </val>
        </ser>
        <ser>
          <idx val="2"/>
          <order val="2"/>
          <tx>
            <strRef>
              <f>'Monatsübersicht'!E5</f>
            </strRef>
          </tx>
          <spPr>
            <a:ln xmlns:a="http://schemas.openxmlformats.org/drawingml/2006/main">
              <a:prstDash val="solid"/>
            </a:ln>
          </spPr>
          <cat>
            <numRef>
              <f>'Monatsübersicht'!$A$6:$A$41</f>
            </numRef>
          </cat>
          <val>
            <numRef>
              <f>'Monatsübersicht'!$E$6:$E$41</f>
            </numRef>
          </val>
        </ser>
        <ser>
          <idx val="3"/>
          <order val="3"/>
          <tx>
            <strRef>
              <f>'Monatsübersicht'!F5</f>
            </strRef>
          </tx>
          <spPr>
            <a:ln xmlns:a="http://schemas.openxmlformats.org/drawingml/2006/main">
              <a:prstDash val="solid"/>
            </a:ln>
          </spPr>
          <cat>
            <numRef>
              <f>'Monatsübersicht'!$A$6:$A$41</f>
            </numRef>
          </cat>
          <val>
            <numRef>
              <f>'Monatsübersicht'!$F$6:$F$41</f>
            </numRef>
          </val>
        </ser>
        <gapWidth val="150"/>
        <overlap val="10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€</a:t>
                </a:r>
              </a:p>
            </rich>
          </tx>
        </title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oneCellAnchor>
    <from>
      <col>9</col>
      <colOff>0</colOff>
      <row>4</row>
      <rowOff>0</rowOff>
    </from>
    <ext cx="9360000" cy="324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#'&#220;bersicht'!A4" TargetMode="External" Id="rId1"/><Relationship Type="http://schemas.openxmlformats.org/officeDocument/2006/relationships/hyperlink" Target="#'&#220;bersicht'!D4" TargetMode="External" Id="rId2"/><Relationship Type="http://schemas.openxmlformats.org/officeDocument/2006/relationships/hyperlink" Target="#'&#220;bersicht'!G4" TargetMode="External" Id="rId3"/><Relationship Type="http://schemas.openxmlformats.org/officeDocument/2006/relationships/hyperlink" Target="#'&#220;bersicht'!J4" TargetMode="External" Id="rId4"/></Relationships>
</file>

<file path=xl/worksheets/_rels/sheet2.xml.rels><Relationships xmlns="http://schemas.openxmlformats.org/package/2006/relationships"><Relationship Type="http://schemas.openxmlformats.org/officeDocument/2006/relationships/hyperlink" Target="#'Buchungen'!D1" TargetMode="External" Id="rId1"/><Relationship Type="http://schemas.openxmlformats.org/officeDocument/2006/relationships/hyperlink" Target="#'Buchungen'!F1" TargetMode="External" Id="rId2"/><Relationship Type="http://schemas.openxmlformats.org/officeDocument/2006/relationships/hyperlink" Target="#'Buchungen'!H1" TargetMode="External" Id="rId3"/></Relationships>
</file>

<file path=xl/worksheets/_rels/sheet3.xml.rels><Relationships xmlns="http://schemas.openxmlformats.org/package/2006/relationships"><Relationship Type="http://schemas.openxmlformats.org/officeDocument/2006/relationships/hyperlink" Target="#'Abos'!H1" TargetMode="External" Id="rId1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 codeName="shUebersicht">
    <tabColor rgb="001F3864"/>
    <outlinePr summaryBelow="1" summaryRight="1"/>
    <pageSetUpPr/>
  </sheetPr>
  <dimension ref="A1:L34"/>
  <sheetViews>
    <sheetView showGridLines="0" zoomScale="100" workbookViewId="0">
      <selection activeCell="A1" sqref="A1"/>
    </sheetView>
  </sheetViews>
  <sheetFormatPr baseColWidth="8" defaultRowHeight="15"/>
  <cols>
    <col width="26" customWidth="1" min="1" max="1"/>
    <col width="15" customWidth="1" min="2" max="2"/>
    <col width="22" customWidth="1" min="3" max="3"/>
    <col width="16" customWidth="1" min="4" max="4"/>
    <col width="14" customWidth="1" min="5" max="5"/>
    <col width="14" customWidth="1" min="6" max="6"/>
    <col width="14" customWidth="1" min="7" max="7"/>
    <col width="16" customWidth="1" min="8" max="8"/>
    <col width="16" customWidth="1" min="9" max="9"/>
    <col width="14" customWidth="1" min="10" max="10"/>
    <col width="16" customWidth="1" min="11" max="11"/>
    <col width="14" customWidth="1" min="12" max="12"/>
  </cols>
  <sheetData>
    <row r="1">
      <c r="A1" s="1" t="inlineStr">
        <is>
          <t>Finanzen – Übersicht</t>
        </is>
      </c>
    </row>
    <row r="2">
      <c r="A2" s="2" t="inlineStr">
        <is>
          <t>Alles kommt aus dem George-Export (JSON): Konten, Buchungen, Abos. Blau = Eingabe · Schwarz = Formel. Import über die Schaltflächen oder das Menüband „Finanzen“.</t>
        </is>
      </c>
    </row>
    <row r="4" ht="22" customHeight="1">
      <c r="A4" s="3" t="inlineStr">
        <is>
          <t>▶  Dateien importieren …</t>
        </is>
      </c>
      <c r="D4" s="3" t="inlineStr">
        <is>
          <t>▶  Import-Ordner einlesen</t>
        </is>
      </c>
      <c r="G4" s="3" t="inlineStr">
        <is>
          <t>Import-Ordner öffnen</t>
        </is>
      </c>
      <c r="J4" s="3" t="inlineStr">
        <is>
          <t>⟳  Abos neu erkennen</t>
        </is>
      </c>
    </row>
    <row r="5">
      <c r="A5" s="2" t="inlineStr">
        <is>
          <t>Letzter Import:</t>
        </is>
      </c>
      <c r="B5" s="2" t="n"/>
      <c r="G5" s="2" t="inlineStr">
        <is>
          <t>Datenstand (jüngste Buchung):</t>
        </is>
      </c>
      <c r="I5" s="4">
        <f>IF(COUNT(Buchungen!$A$6:$A$20000)=0,"–",MAX(Buchungen!$A$6:$A$20000))</f>
        <v/>
      </c>
    </row>
    <row r="7">
      <c r="A7" s="5" t="inlineStr">
        <is>
          <t>Auswertungsmonat</t>
        </is>
      </c>
      <c r="B7" s="6">
        <f>DATE(YEAR(TODAY()),MONTH(TODAY()),1)</f>
        <v/>
      </c>
      <c r="C7" s="2" t="inlineStr">
        <is>
          <t>← Datum eintragen (z. B. 1.9.2026), um einen anderen Monat auszuwerten</t>
        </is>
      </c>
    </row>
    <row r="9">
      <c r="A9" s="7" t="inlineStr">
        <is>
          <t>Aktive Abos</t>
        </is>
      </c>
      <c r="B9" s="8" t="n"/>
      <c r="C9" s="7" t="inlineStr">
        <is>
          <t>Abo-Kosten / Monat</t>
        </is>
      </c>
      <c r="D9" s="8" t="n"/>
      <c r="E9" s="7" t="inlineStr">
        <is>
          <t>Teilzahlungen laufend</t>
        </is>
      </c>
      <c r="F9" s="8" t="n"/>
      <c r="G9" s="7" t="inlineStr">
        <is>
          <t>Teilzahlungen / Monat</t>
        </is>
      </c>
      <c r="H9" s="8" t="n"/>
      <c r="I9" s="7" t="inlineStr">
        <is>
          <t>Daueraufträge / Monat</t>
        </is>
      </c>
      <c r="J9" s="8" t="n"/>
      <c r="K9" s="7" t="inlineStr">
        <is>
          <t>Fixe Belastung / Monat</t>
        </is>
      </c>
      <c r="L9" s="8" t="n"/>
    </row>
    <row r="10" ht="24" customHeight="1">
      <c r="A10" s="9">
        <f>COUNTIFS(Abos!$B$6:$B$205,"Abo*",Abos!$C$6:$C$205,"&lt;&gt;beendet",Abos!$C$6:$C$205,"&lt;&gt;abgeschlossen",Abos!$C$6:$C$205,"&lt;&gt;",Abos!$S$6:$S$205,"")</f>
        <v/>
      </c>
      <c r="B10" s="8" t="n"/>
      <c r="C10" s="10">
        <f>SUMIFS(Abos!$G$6:$G$205,Abos!$B$6:$B$205,"Abo*",Abos!$C$6:$C$205,"&lt;&gt;beendet",Abos!$C$6:$C$205,"&lt;&gt;abgeschlossen",Abos!$C$6:$C$205,"&lt;&gt;",Abos!$S$6:$S$205,"")</f>
        <v/>
      </c>
      <c r="D10" s="8" t="n"/>
      <c r="E10" s="9">
        <f>COUNTIFS(Abos!$B$6:$B$205,"Teilzahlung",Abos!$C$6:$C$205,"&lt;&gt;beendet",Abos!$C$6:$C$205,"&lt;&gt;abgeschlossen",Abos!$C$6:$C$205,"&lt;&gt;",Abos!$S$6:$S$205,"")</f>
        <v/>
      </c>
      <c r="F10" s="8" t="n"/>
      <c r="G10" s="10">
        <f>SUMIFS(Abos!$G$6:$G$205,Abos!$B$6:$B$205,"Teilzahlung",Abos!$C$6:$C$205,"&lt;&gt;beendet",Abos!$C$6:$C$205,"&lt;&gt;abgeschlossen",Abos!$C$6:$C$205,"&lt;&gt;",Abos!$S$6:$S$205,"")</f>
        <v/>
      </c>
      <c r="H10" s="8" t="n"/>
      <c r="I10" s="10">
        <f>SUMIFS(Abos!$G$6:$G$205,Abos!$B$6:$B$205,"Dauerauftrag",Abos!$C$6:$C$205,"&lt;&gt;beendet",Abos!$C$6:$C$205,"&lt;&gt;abgeschlossen",Abos!$C$6:$C$205,"&lt;&gt;",Abos!$S$6:$S$205,"")</f>
        <v/>
      </c>
      <c r="J10" s="8" t="n"/>
      <c r="K10" s="10">
        <f>C10+G10+I10</f>
        <v/>
      </c>
      <c r="L10" s="8" t="n"/>
    </row>
    <row r="11">
      <c r="A11" s="11" t="inlineStr">
        <is>
          <t>Blatt Abos, Art „Abo“</t>
        </is>
      </c>
      <c r="B11" s="8" t="n"/>
      <c r="C11" s="11" t="inlineStr">
        <is>
          <t>auf den Monat umgerechnet</t>
        </is>
      </c>
      <c r="D11" s="8" t="n"/>
      <c r="E11" s="11" t="inlineStr">
        <is>
          <t>Raten, Finanzierungen</t>
        </is>
      </c>
      <c r="F11" s="8" t="n"/>
      <c r="G11" s="11" t="inlineStr">
        <is>
          <t>Summe der laufenden Raten</t>
        </is>
      </c>
      <c r="H11" s="8" t="n"/>
      <c r="I11" s="11" t="inlineStr">
        <is>
          <t>Miete u. ä.</t>
        </is>
      </c>
      <c r="J11" s="8" t="n"/>
      <c r="K11" s="11" t="inlineStr">
        <is>
          <t>Abos + Teilzahlungen + Daueraufträge</t>
        </is>
      </c>
      <c r="L11" s="8" t="n"/>
    </row>
    <row r="13">
      <c r="A13" s="7" t="inlineStr">
        <is>
          <t>Fixe Belastung / Jahr</t>
        </is>
      </c>
      <c r="B13" s="8" t="n"/>
      <c r="C13" s="7" t="inlineStr">
        <is>
          <t>Einnahmen im Monat</t>
        </is>
      </c>
      <c r="D13" s="8" t="n"/>
      <c r="E13" s="7" t="inlineStr">
        <is>
          <t>Ausgaben im Monat</t>
        </is>
      </c>
      <c r="F13" s="8" t="n"/>
      <c r="G13" s="7" t="inlineStr">
        <is>
          <t>davon regelmäßig</t>
        </is>
      </c>
      <c r="H13" s="8" t="n"/>
      <c r="I13" s="7" t="inlineStr">
        <is>
          <t>Saldo im Monat</t>
        </is>
      </c>
      <c r="J13" s="8" t="n"/>
      <c r="K13" s="7" t="inlineStr">
        <is>
          <t>Buchungen gesamt</t>
        </is>
      </c>
      <c r="L13" s="8" t="n"/>
    </row>
    <row r="14" ht="24" customHeight="1">
      <c r="A14" s="10">
        <f>K10*12</f>
        <v/>
      </c>
      <c r="B14" s="8" t="n"/>
      <c r="C14" s="10">
        <f>SUMIFS(Buchungen!$E$6:$E$20000,Buchungen!$H$6:$H$20000,"Einnahme",Buchungen!$J$6:$J$20000,$B$7)</f>
        <v/>
      </c>
      <c r="D14" s="8" t="n"/>
      <c r="E14" s="10">
        <f>-SUMIFS(Buchungen!$E$6:$E$20000,Buchungen!$H$6:$H$20000,"Ausgabe",Buchungen!$J$6:$J$20000,$B$7)+G14</f>
        <v/>
      </c>
      <c r="F14" s="8" t="n"/>
      <c r="G14" s="10">
        <f>-SUMIFS(Buchungen!$E$6:$E$20000,Buchungen!$H$6:$H$20000,"Abo*",Buchungen!$J$6:$J$20000,$B$7)-SUMIFS(Buchungen!$E$6:$E$20000,Buchungen!$H$6:$H$20000,"Teilzahlung",Buchungen!$J$6:$J$20000,$B$7)-SUMIFS(Buchungen!$E$6:$E$20000,Buchungen!$H$6:$H$20000,"Dauerauftrag",Buchungen!$J$6:$J$20000,$B$7)</f>
        <v/>
      </c>
      <c r="H14" s="8" t="n"/>
      <c r="I14" s="10">
        <f>C14-E14</f>
        <v/>
      </c>
      <c r="J14" s="8" t="n"/>
      <c r="K14" s="9">
        <f>COUNT(Buchungen!$A$6:$A$20000)</f>
        <v/>
      </c>
      <c r="L14" s="8" t="n"/>
    </row>
    <row r="15">
      <c r="A15" s="11" t="inlineStr">
        <is>
          <t>hochgerechnet</t>
        </is>
      </c>
      <c r="B15" s="8" t="n"/>
      <c r="C15" s="11" t="inlineStr">
        <is>
          <t>Art „Einnahme“</t>
        </is>
      </c>
      <c r="D15" s="8" t="n"/>
      <c r="E15" s="11" t="inlineStr">
        <is>
          <t>alle Ausgaben inkl. regelmäßige</t>
        </is>
      </c>
      <c r="F15" s="8" t="n"/>
      <c r="G15" s="11" t="inlineStr">
        <is>
          <t>Abos, Teilzahlungen, Daueraufträge</t>
        </is>
      </c>
      <c r="H15" s="8" t="n"/>
      <c r="I15" s="11" t="inlineStr">
        <is>
          <t>Einnahmen − Ausgaben</t>
        </is>
      </c>
      <c r="J15" s="8" t="n"/>
      <c r="K15" s="11" t="inlineStr">
        <is>
          <t>alle Konten</t>
        </is>
      </c>
      <c r="L15" s="8" t="n"/>
    </row>
    <row r="16">
      <c r="A16" s="12" t="inlineStr">
        <is>
          <t>Konten – werden beim Import aus dem George-Export übernommen (Kontobezeichnung, IBAN/Karte); Typ ggf. anpassen</t>
        </is>
      </c>
    </row>
    <row r="17" ht="28" customHeight="1">
      <c r="A17" s="13" t="inlineStr">
        <is>
          <t>Konto</t>
        </is>
      </c>
      <c r="B17" s="13" t="inlineStr">
        <is>
          <t>Typ</t>
        </is>
      </c>
      <c r="C17" s="13" t="inlineStr">
        <is>
          <t>IBAN / Karte</t>
        </is>
      </c>
      <c r="D17" s="13" t="inlineStr">
        <is>
          <t>Buchungen</t>
        </is>
      </c>
      <c r="E17" s="13" t="inlineStr">
        <is>
          <t>Erste Buchung</t>
        </is>
      </c>
      <c r="F17" s="13" t="inlineStr">
        <is>
          <t>Letzte Buchung</t>
        </is>
      </c>
      <c r="G17" s="13" t="inlineStr">
        <is>
          <t>Abos laufend</t>
        </is>
      </c>
      <c r="H17" s="13" t="inlineStr">
        <is>
          <t>Fixe Belastung / Monat</t>
        </is>
      </c>
      <c r="I17" s="13" t="inlineStr">
        <is>
          <t>Saldo im Auswertungsmonat</t>
        </is>
      </c>
    </row>
    <row r="18">
      <c r="A18" s="14" t="n"/>
      <c r="B18" s="14" t="n"/>
      <c r="C18" s="14" t="n"/>
      <c r="D18" s="15">
        <f>IF($A18="","",COUNTIF(Buchungen!$B$6:$B$20000,$A18))</f>
        <v/>
      </c>
      <c r="E18" s="16">
        <f>IF($A18="","",IFERROR(1/(1/_xlfn.MINIFS(Buchungen!$A$6:$A$20000,Buchungen!$B$6:$B$20000,$A18)),"–"))</f>
        <v/>
      </c>
      <c r="F18" s="16">
        <f>IF($A18="","",IFERROR(1/(1/_xlfn.MAXIFS(Buchungen!$A$6:$A$20000,Buchungen!$B$6:$B$20000,$A18)),"–"))</f>
        <v/>
      </c>
      <c r="G18" s="15">
        <f>IF($A18="","",COUNTIFS(Abos!$M$6:$M$205,$A18,Abos!$C$6:$C$205,"&lt;&gt;beendet",Abos!$C$6:$C$205,"&lt;&gt;abgeschlossen",Abos!$C$6:$C$205,"&lt;&gt;",Abos!$S$6:$S$205,""))</f>
        <v/>
      </c>
      <c r="H18" s="17">
        <f>IF($A18="","",SUMIFS(Abos!$G$6:$G$205,Abos!$M$6:$M$205,$A18,Abos!$C$6:$C$205,"&lt;&gt;beendet",Abos!$C$6:$C$205,"&lt;&gt;abgeschlossen",Abos!$C$6:$C$205,"&lt;&gt;",Abos!$S$6:$S$205,""))</f>
        <v/>
      </c>
      <c r="I18" s="17">
        <f>IF($A18="","",SUMIFS(Buchungen!$E$6:$E$20000,Buchungen!$B$6:$B$20000,$A18,Buchungen!$J$6:$J$20000,$B$7))</f>
        <v/>
      </c>
    </row>
    <row r="19">
      <c r="A19" s="14" t="n"/>
      <c r="B19" s="14" t="n"/>
      <c r="C19" s="14" t="n"/>
      <c r="D19" s="15">
        <f>IF($A19="","",COUNTIF(Buchungen!$B$6:$B$20000,$A19))</f>
        <v/>
      </c>
      <c r="E19" s="16">
        <f>IF($A19="","",IFERROR(1/(1/_xlfn.MINIFS(Buchungen!$A$6:$A$20000,Buchungen!$B$6:$B$20000,$A19)),"–"))</f>
        <v/>
      </c>
      <c r="F19" s="16">
        <f>IF($A19="","",IFERROR(1/(1/_xlfn.MAXIFS(Buchungen!$A$6:$A$20000,Buchungen!$B$6:$B$20000,$A19)),"–"))</f>
        <v/>
      </c>
      <c r="G19" s="15">
        <f>IF($A19="","",COUNTIFS(Abos!$M$6:$M$205,$A19,Abos!$C$6:$C$205,"&lt;&gt;beendet",Abos!$C$6:$C$205,"&lt;&gt;abgeschlossen",Abos!$C$6:$C$205,"&lt;&gt;",Abos!$S$6:$S$205,""))</f>
        <v/>
      </c>
      <c r="H19" s="17">
        <f>IF($A19="","",SUMIFS(Abos!$G$6:$G$205,Abos!$M$6:$M$205,$A19,Abos!$C$6:$C$205,"&lt;&gt;beendet",Abos!$C$6:$C$205,"&lt;&gt;abgeschlossen",Abos!$C$6:$C$205,"&lt;&gt;",Abos!$S$6:$S$205,""))</f>
        <v/>
      </c>
      <c r="I19" s="17">
        <f>IF($A19="","",SUMIFS(Buchungen!$E$6:$E$20000,Buchungen!$B$6:$B$20000,$A19,Buchungen!$J$6:$J$20000,$B$7))</f>
        <v/>
      </c>
    </row>
    <row r="20">
      <c r="A20" s="14" t="n"/>
      <c r="B20" s="14" t="n"/>
      <c r="C20" s="14" t="n"/>
      <c r="D20" s="15">
        <f>IF($A20="","",COUNTIF(Buchungen!$B$6:$B$20000,$A20))</f>
        <v/>
      </c>
      <c r="E20" s="16">
        <f>IF($A20="","",IFERROR(1/(1/_xlfn.MINIFS(Buchungen!$A$6:$A$20000,Buchungen!$B$6:$B$20000,$A20)),"–"))</f>
        <v/>
      </c>
      <c r="F20" s="16">
        <f>IF($A20="","",IFERROR(1/(1/_xlfn.MAXIFS(Buchungen!$A$6:$A$20000,Buchungen!$B$6:$B$20000,$A20)),"–"))</f>
        <v/>
      </c>
      <c r="G20" s="15">
        <f>IF($A20="","",COUNTIFS(Abos!$M$6:$M$205,$A20,Abos!$C$6:$C$205,"&lt;&gt;beendet",Abos!$C$6:$C$205,"&lt;&gt;abgeschlossen",Abos!$C$6:$C$205,"&lt;&gt;",Abos!$S$6:$S$205,""))</f>
        <v/>
      </c>
      <c r="H20" s="17">
        <f>IF($A20="","",SUMIFS(Abos!$G$6:$G$205,Abos!$M$6:$M$205,$A20,Abos!$C$6:$C$205,"&lt;&gt;beendet",Abos!$C$6:$C$205,"&lt;&gt;abgeschlossen",Abos!$C$6:$C$205,"&lt;&gt;",Abos!$S$6:$S$205,""))</f>
        <v/>
      </c>
      <c r="I20" s="17">
        <f>IF($A20="","",SUMIFS(Buchungen!$E$6:$E$20000,Buchungen!$B$6:$B$20000,$A20,Buchungen!$J$6:$J$20000,$B$7))</f>
        <v/>
      </c>
    </row>
    <row r="21">
      <c r="A21" s="14" t="n"/>
      <c r="B21" s="14" t="n"/>
      <c r="C21" s="14" t="n"/>
      <c r="D21" s="15">
        <f>IF($A21="","",COUNTIF(Buchungen!$B$6:$B$20000,$A21))</f>
        <v/>
      </c>
      <c r="E21" s="16">
        <f>IF($A21="","",IFERROR(1/(1/_xlfn.MINIFS(Buchungen!$A$6:$A$20000,Buchungen!$B$6:$B$20000,$A21)),"–"))</f>
        <v/>
      </c>
      <c r="F21" s="16">
        <f>IF($A21="","",IFERROR(1/(1/_xlfn.MAXIFS(Buchungen!$A$6:$A$20000,Buchungen!$B$6:$B$20000,$A21)),"–"))</f>
        <v/>
      </c>
      <c r="G21" s="15">
        <f>IF($A21="","",COUNTIFS(Abos!$M$6:$M$205,$A21,Abos!$C$6:$C$205,"&lt;&gt;beendet",Abos!$C$6:$C$205,"&lt;&gt;abgeschlossen",Abos!$C$6:$C$205,"&lt;&gt;",Abos!$S$6:$S$205,""))</f>
        <v/>
      </c>
      <c r="H21" s="17">
        <f>IF($A21="","",SUMIFS(Abos!$G$6:$G$205,Abos!$M$6:$M$205,$A21,Abos!$C$6:$C$205,"&lt;&gt;beendet",Abos!$C$6:$C$205,"&lt;&gt;abgeschlossen",Abos!$C$6:$C$205,"&lt;&gt;",Abos!$S$6:$S$205,""))</f>
        <v/>
      </c>
      <c r="I21" s="17">
        <f>IF($A21="","",SUMIFS(Buchungen!$E$6:$E$20000,Buchungen!$B$6:$B$20000,$A21,Buchungen!$J$6:$J$20000,$B$7))</f>
        <v/>
      </c>
    </row>
    <row r="22">
      <c r="A22" s="14" t="n"/>
      <c r="B22" s="14" t="n"/>
      <c r="C22" s="14" t="n"/>
      <c r="D22" s="15">
        <f>IF($A22="","",COUNTIF(Buchungen!$B$6:$B$20000,$A22))</f>
        <v/>
      </c>
      <c r="E22" s="16">
        <f>IF($A22="","",IFERROR(1/(1/_xlfn.MINIFS(Buchungen!$A$6:$A$20000,Buchungen!$B$6:$B$20000,$A22)),"–"))</f>
        <v/>
      </c>
      <c r="F22" s="16">
        <f>IF($A22="","",IFERROR(1/(1/_xlfn.MAXIFS(Buchungen!$A$6:$A$20000,Buchungen!$B$6:$B$20000,$A22)),"–"))</f>
        <v/>
      </c>
      <c r="G22" s="15">
        <f>IF($A22="","",COUNTIFS(Abos!$M$6:$M$205,$A22,Abos!$C$6:$C$205,"&lt;&gt;beendet",Abos!$C$6:$C$205,"&lt;&gt;abgeschlossen",Abos!$C$6:$C$205,"&lt;&gt;",Abos!$S$6:$S$205,""))</f>
        <v/>
      </c>
      <c r="H22" s="17">
        <f>IF($A22="","",SUMIFS(Abos!$G$6:$G$205,Abos!$M$6:$M$205,$A22,Abos!$C$6:$C$205,"&lt;&gt;beendet",Abos!$C$6:$C$205,"&lt;&gt;abgeschlossen",Abos!$C$6:$C$205,"&lt;&gt;",Abos!$S$6:$S$205,""))</f>
        <v/>
      </c>
      <c r="I22" s="17">
        <f>IF($A22="","",SUMIFS(Buchungen!$E$6:$E$20000,Buchungen!$B$6:$B$20000,$A22,Buchungen!$J$6:$J$20000,$B$7))</f>
        <v/>
      </c>
    </row>
    <row r="23">
      <c r="A23" s="14" t="n"/>
      <c r="B23" s="14" t="n"/>
      <c r="C23" s="14" t="n"/>
      <c r="D23" s="15">
        <f>IF($A23="","",COUNTIF(Buchungen!$B$6:$B$20000,$A23))</f>
        <v/>
      </c>
      <c r="E23" s="16">
        <f>IF($A23="","",IFERROR(1/(1/_xlfn.MINIFS(Buchungen!$A$6:$A$20000,Buchungen!$B$6:$B$20000,$A23)),"–"))</f>
        <v/>
      </c>
      <c r="F23" s="16">
        <f>IF($A23="","",IFERROR(1/(1/_xlfn.MAXIFS(Buchungen!$A$6:$A$20000,Buchungen!$B$6:$B$20000,$A23)),"–"))</f>
        <v/>
      </c>
      <c r="G23" s="15">
        <f>IF($A23="","",COUNTIFS(Abos!$M$6:$M$205,$A23,Abos!$C$6:$C$205,"&lt;&gt;beendet",Abos!$C$6:$C$205,"&lt;&gt;abgeschlossen",Abos!$C$6:$C$205,"&lt;&gt;",Abos!$S$6:$S$205,""))</f>
        <v/>
      </c>
      <c r="H23" s="17">
        <f>IF($A23="","",SUMIFS(Abos!$G$6:$G$205,Abos!$M$6:$M$205,$A23,Abos!$C$6:$C$205,"&lt;&gt;beendet",Abos!$C$6:$C$205,"&lt;&gt;abgeschlossen",Abos!$C$6:$C$205,"&lt;&gt;",Abos!$S$6:$S$205,""))</f>
        <v/>
      </c>
      <c r="I23" s="17">
        <f>IF($A23="","",SUMIFS(Buchungen!$E$6:$E$20000,Buchungen!$B$6:$B$20000,$A23,Buchungen!$J$6:$J$20000,$B$7))</f>
        <v/>
      </c>
    </row>
    <row r="24">
      <c r="A24" s="14" t="n"/>
      <c r="B24" s="14" t="n"/>
      <c r="C24" s="14" t="n"/>
      <c r="D24" s="15">
        <f>IF($A24="","",COUNTIF(Buchungen!$B$6:$B$20000,$A24))</f>
        <v/>
      </c>
      <c r="E24" s="16">
        <f>IF($A24="","",IFERROR(1/(1/_xlfn.MINIFS(Buchungen!$A$6:$A$20000,Buchungen!$B$6:$B$20000,$A24)),"–"))</f>
        <v/>
      </c>
      <c r="F24" s="16">
        <f>IF($A24="","",IFERROR(1/(1/_xlfn.MAXIFS(Buchungen!$A$6:$A$20000,Buchungen!$B$6:$B$20000,$A24)),"–"))</f>
        <v/>
      </c>
      <c r="G24" s="15">
        <f>IF($A24="","",COUNTIFS(Abos!$M$6:$M$205,$A24,Abos!$C$6:$C$205,"&lt;&gt;beendet",Abos!$C$6:$C$205,"&lt;&gt;abgeschlossen",Abos!$C$6:$C$205,"&lt;&gt;",Abos!$S$6:$S$205,""))</f>
        <v/>
      </c>
      <c r="H24" s="17">
        <f>IF($A24="","",SUMIFS(Abos!$G$6:$G$205,Abos!$M$6:$M$205,$A24,Abos!$C$6:$C$205,"&lt;&gt;beendet",Abos!$C$6:$C$205,"&lt;&gt;abgeschlossen",Abos!$C$6:$C$205,"&lt;&gt;",Abos!$S$6:$S$205,""))</f>
        <v/>
      </c>
      <c r="I24" s="17">
        <f>IF($A24="","",SUMIFS(Buchungen!$E$6:$E$20000,Buchungen!$B$6:$B$20000,$A24,Buchungen!$J$6:$J$20000,$B$7))</f>
        <v/>
      </c>
    </row>
    <row r="25">
      <c r="A25" s="14" t="n"/>
      <c r="B25" s="14" t="n"/>
      <c r="C25" s="14" t="n"/>
      <c r="D25" s="15">
        <f>IF($A25="","",COUNTIF(Buchungen!$B$6:$B$20000,$A25))</f>
        <v/>
      </c>
      <c r="E25" s="16">
        <f>IF($A25="","",IFERROR(1/(1/_xlfn.MINIFS(Buchungen!$A$6:$A$20000,Buchungen!$B$6:$B$20000,$A25)),"–"))</f>
        <v/>
      </c>
      <c r="F25" s="16">
        <f>IF($A25="","",IFERROR(1/(1/_xlfn.MAXIFS(Buchungen!$A$6:$A$20000,Buchungen!$B$6:$B$20000,$A25)),"–"))</f>
        <v/>
      </c>
      <c r="G25" s="15">
        <f>IF($A25="","",COUNTIFS(Abos!$M$6:$M$205,$A25,Abos!$C$6:$C$205,"&lt;&gt;beendet",Abos!$C$6:$C$205,"&lt;&gt;abgeschlossen",Abos!$C$6:$C$205,"&lt;&gt;",Abos!$S$6:$S$205,""))</f>
        <v/>
      </c>
      <c r="H25" s="17">
        <f>IF($A25="","",SUMIFS(Abos!$G$6:$G$205,Abos!$M$6:$M$205,$A25,Abos!$C$6:$C$205,"&lt;&gt;beendet",Abos!$C$6:$C$205,"&lt;&gt;abgeschlossen",Abos!$C$6:$C$205,"&lt;&gt;",Abos!$S$6:$S$205,""))</f>
        <v/>
      </c>
      <c r="I25" s="17">
        <f>IF($A25="","",SUMIFS(Buchungen!$E$6:$E$20000,Buchungen!$B$6:$B$20000,$A25,Buchungen!$J$6:$J$20000,$B$7))</f>
        <v/>
      </c>
    </row>
    <row r="28">
      <c r="A28" s="12" t="inlineStr">
        <is>
          <t>Was demnächst abgebucht wird (laufende Abos, Teilzahlungen, Daueraufträge – ohne „x“ in Ignorieren)</t>
        </is>
      </c>
    </row>
    <row r="29" ht="28" customHeight="1">
      <c r="A29" s="13" t="inlineStr">
        <is>
          <t>Zeitraum</t>
        </is>
      </c>
      <c r="B29" s="13" t="inlineStr">
        <is>
          <t>Zahlungen</t>
        </is>
      </c>
      <c r="C29" s="13" t="inlineStr">
        <is>
          <t>Summe</t>
        </is>
      </c>
    </row>
    <row r="30">
      <c r="A30" s="18" t="inlineStr">
        <is>
          <t>nächste 7 Tage</t>
        </is>
      </c>
      <c r="B30" s="15">
        <f>COUNTIFS(Abos!$L$6:$L$205,"&gt;="&amp;TODAY(),Abos!$L$6:$L$205,"&lt;="&amp;TODAY()+7,Abos!$C$6:$C$205,"&lt;&gt;beendet",Abos!$C$6:$C$205,"&lt;&gt;abgeschlossen",Abos!$C$6:$C$205,"&lt;&gt;",Abos!$S$6:$S$205,"")</f>
        <v/>
      </c>
      <c r="C30" s="17">
        <f>SUMIFS(Abos!$E$6:$E$205,Abos!$L$6:$L$205,"&gt;="&amp;TODAY(),Abos!$L$6:$L$205,"&lt;="&amp;TODAY()+7,Abos!$C$6:$C$205,"&lt;&gt;beendet",Abos!$C$6:$C$205,"&lt;&gt;abgeschlossen",Abos!$C$6:$C$205,"&lt;&gt;",Abos!$S$6:$S$205,"")</f>
        <v/>
      </c>
    </row>
    <row r="31">
      <c r="A31" s="18" t="inlineStr">
        <is>
          <t>nächste 30 Tage</t>
        </is>
      </c>
      <c r="B31" s="15">
        <f>COUNTIFS(Abos!$L$6:$L$205,"&gt;="&amp;TODAY(),Abos!$L$6:$L$205,"&lt;="&amp;TODAY()+30,Abos!$C$6:$C$205,"&lt;&gt;beendet",Abos!$C$6:$C$205,"&lt;&gt;abgeschlossen",Abos!$C$6:$C$205,"&lt;&gt;",Abos!$S$6:$S$205,"")</f>
        <v/>
      </c>
      <c r="C31" s="17">
        <f>SUMIFS(Abos!$E$6:$E$205,Abos!$L$6:$L$205,"&gt;="&amp;TODAY(),Abos!$L$6:$L$205,"&lt;="&amp;TODAY()+30,Abos!$C$6:$C$205,"&lt;&gt;beendet",Abos!$C$6:$C$205,"&lt;&gt;abgeschlossen",Abos!$C$6:$C$205,"&lt;&gt;",Abos!$S$6:$S$205,"")</f>
        <v/>
      </c>
    </row>
    <row r="32">
      <c r="A32" s="18" t="inlineStr">
        <is>
          <t>überfällig (erwartet, aber noch nicht gebucht)</t>
        </is>
      </c>
      <c r="B32" s="15">
        <f>COUNTIFS(Abos!$L$6:$L$205,"&lt;"&amp;TODAY(),Abos!$L$6:$L$205,"&lt;&gt;",Abos!$C$6:$C$205,"&lt;&gt;beendet",Abos!$C$6:$C$205,"&lt;&gt;abgeschlossen",Abos!$C$6:$C$205,"&lt;&gt;",Abos!$S$6:$S$205,"")</f>
        <v/>
      </c>
      <c r="C32" s="17">
        <f>SUMIFS(Abos!$E$6:$E$205,Abos!$L$6:$L$205,"&lt;"&amp;TODAY(),Abos!$L$6:$L$205,"&lt;&gt;",Abos!$C$6:$C$205,"&lt;&gt;beendet",Abos!$C$6:$C$205,"&lt;&gt;abgeschlossen",Abos!$C$6:$C$205,"&lt;&gt;",Abos!$S$6:$S$205,"")</f>
        <v/>
      </c>
    </row>
    <row r="34">
      <c r="A34" s="2" t="inlineStr">
        <is>
          <t>Hinweis: Der Datenstand ist die jüngste Buchung je Konto. Exportiere regelmäßig alle Konten, damit Abos nicht fälschlich als „überfällig“ oder „beendet“ erscheinen.</t>
        </is>
      </c>
    </row>
  </sheetData>
  <mergeCells count="42">
    <mergeCell ref="A15:B15"/>
    <mergeCell ref="C15:D15"/>
    <mergeCell ref="I15:J15"/>
    <mergeCell ref="A11:B11"/>
    <mergeCell ref="G11:H11"/>
    <mergeCell ref="K15:L15"/>
    <mergeCell ref="I11:J11"/>
    <mergeCell ref="K9:L9"/>
    <mergeCell ref="C14:D14"/>
    <mergeCell ref="E14:F14"/>
    <mergeCell ref="K11:L11"/>
    <mergeCell ref="C10:D10"/>
    <mergeCell ref="E10:F10"/>
    <mergeCell ref="G10:H10"/>
    <mergeCell ref="K13:L13"/>
    <mergeCell ref="E13:F13"/>
    <mergeCell ref="C9:D9"/>
    <mergeCell ref="G13:H13"/>
    <mergeCell ref="E9:F9"/>
    <mergeCell ref="J4:K4"/>
    <mergeCell ref="E15:F15"/>
    <mergeCell ref="A28:I28"/>
    <mergeCell ref="C11:D11"/>
    <mergeCell ref="G15:H15"/>
    <mergeCell ref="E11:F11"/>
    <mergeCell ref="A14:B14"/>
    <mergeCell ref="D4:E4"/>
    <mergeCell ref="G14:H14"/>
    <mergeCell ref="I14:J14"/>
    <mergeCell ref="K14:L14"/>
    <mergeCell ref="A4:B4"/>
    <mergeCell ref="G4:H4"/>
    <mergeCell ref="I10:J10"/>
    <mergeCell ref="A10:B10"/>
    <mergeCell ref="K10:L10"/>
    <mergeCell ref="A13:B13"/>
    <mergeCell ref="C13:D13"/>
    <mergeCell ref="I13:J13"/>
    <mergeCell ref="A9:B9"/>
    <mergeCell ref="G9:H9"/>
    <mergeCell ref="I9:J9"/>
    <mergeCell ref="A16:I16"/>
  </mergeCells>
  <conditionalFormatting sqref="I14">
    <cfRule type="cellIs" priority="1" operator="lessThan" dxfId="0">
      <formula>0</formula>
    </cfRule>
  </conditionalFormatting>
  <dataValidations count="1">
    <dataValidation sqref="B18:B25" showDropDown="0" showInputMessage="0" showErrorMessage="0" allowBlank="1" type="list">
      <formula1>=Einstellungen!$F$5:$F$9</formula1>
    </dataValidation>
  </dataValidations>
  <hyperlinks>
    <hyperlink xmlns:r="http://schemas.openxmlformats.org/officeDocument/2006/relationships" ref="A4" r:id="rId1"/>
    <hyperlink xmlns:r="http://schemas.openxmlformats.org/officeDocument/2006/relationships" ref="D4" r:id="rId2"/>
    <hyperlink xmlns:r="http://schemas.openxmlformats.org/officeDocument/2006/relationships" ref="G4" r:id="rId3"/>
    <hyperlink xmlns:r="http://schemas.openxmlformats.org/officeDocument/2006/relationships" ref="J4" r:id="rId4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Buchungen">
    <outlinePr summaryBelow="1" summaryRight="1"/>
    <pageSetUpPr/>
  </sheetPr>
  <dimension ref="A1:N3005"/>
  <sheetViews>
    <sheetView showGridLines="0" zoomScale="10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11" customWidth="1" min="1" max="1"/>
    <col width="14" customWidth="1" min="2" max="2"/>
    <col width="28" customWidth="1" min="3" max="3"/>
    <col width="44" customWidth="1" min="4" max="4"/>
    <col width="13" customWidth="1" min="5" max="5"/>
    <col width="12" customWidth="1" min="6" max="6"/>
    <col width="24" customWidth="1" min="7" max="7"/>
    <col width="13" customWidth="1" min="8" max="8"/>
    <col width="24" customWidth="1" min="9" max="9"/>
    <col width="10" customWidth="1" min="10" max="10"/>
    <col width="24" customWidth="1" min="11" max="11"/>
    <col width="20" customWidth="1" min="12" max="12"/>
    <col width="20" customWidth="1" min="13" max="13"/>
    <col width="8" customWidth="1" min="14" max="14"/>
  </cols>
  <sheetData>
    <row r="1" ht="22" customHeight="1">
      <c r="A1" s="1" t="inlineStr">
        <is>
          <t>Buchungen (alle Konten)</t>
        </is>
      </c>
      <c r="D1" s="3" t="inlineStr">
        <is>
          <t>▶  Dateien importieren …</t>
        </is>
      </c>
      <c r="F1" s="3" t="inlineStr">
        <is>
          <t>▶  Import-Ordner einlesen</t>
        </is>
      </c>
      <c r="H1" s="3" t="inlineStr">
        <is>
          <t>⟳  Abos neu erkennen</t>
        </is>
      </c>
    </row>
    <row r="2">
      <c r="A2" s="2" t="inlineStr">
        <is>
          <t>Wird vom Import befüllt (Zahlungsart aus den Feldern des Exports: Mandat → Lastschrift, IBAN → Überweisung, Kreditkarte → Karte). Ändern darfst du nur die Notiz.</t>
        </is>
      </c>
    </row>
    <row r="3">
      <c r="A3" s="2" t="inlineStr">
        <is>
          <t>Spalten „Abo / Teilzahlung“ und „Art“ setzt die Abo-Erkennung: Abo · Abo (variabel) · Teilzahlung · Dauerauftrag · Ausgabe · Einnahme · Umbuchung (eigene Konten, Kartenabrechnung) · Ignorieren (Betrag 0).</t>
        </is>
      </c>
    </row>
    <row r="5" ht="28" customHeight="1">
      <c r="A5" s="13" t="inlineStr">
        <is>
          <t>Datum</t>
        </is>
      </c>
      <c r="B5" s="13" t="inlineStr">
        <is>
          <t>Konto</t>
        </is>
      </c>
      <c r="C5" s="13" t="inlineStr">
        <is>
          <t>Empfänger / Auftraggeber</t>
        </is>
      </c>
      <c r="D5" s="13" t="inlineStr">
        <is>
          <t>Verwendungszweck / Zahlungsreferenz</t>
        </is>
      </c>
      <c r="E5" s="13" t="inlineStr">
        <is>
          <t>Betrag</t>
        </is>
      </c>
      <c r="F5" s="13" t="inlineStr">
        <is>
          <t>Zahlungsart</t>
        </is>
      </c>
      <c r="G5" s="13" t="inlineStr">
        <is>
          <t>Abo / Teilzahlung</t>
        </is>
      </c>
      <c r="H5" s="13" t="inlineStr">
        <is>
          <t>Art</t>
        </is>
      </c>
      <c r="I5" s="13" t="inlineStr">
        <is>
          <t>Notiz</t>
        </is>
      </c>
      <c r="J5" s="13" t="inlineStr">
        <is>
          <t>Monat</t>
        </is>
      </c>
      <c r="K5" s="13" t="inlineStr">
        <is>
          <t>IBAN Partner</t>
        </is>
      </c>
      <c r="L5" s="13" t="inlineStr">
        <is>
          <t>Gläubiger-ID</t>
        </is>
      </c>
      <c r="M5" s="13" t="inlineStr">
        <is>
          <t>Mandatsreferenz</t>
        </is>
      </c>
      <c r="N5" s="13" t="inlineStr">
        <is>
          <t>Schlüssel</t>
        </is>
      </c>
    </row>
    <row r="6">
      <c r="A6" s="19" t="n"/>
      <c r="E6" s="20" t="n"/>
      <c r="I6" s="14" t="n"/>
      <c r="J6" s="21" t="n"/>
      <c r="N6" s="22" t="n"/>
    </row>
    <row r="7">
      <c r="A7" s="19" t="n"/>
      <c r="E7" s="20" t="n"/>
      <c r="I7" s="14" t="n"/>
      <c r="J7" s="21" t="n"/>
      <c r="N7" s="22" t="n"/>
    </row>
    <row r="8">
      <c r="A8" s="19" t="n"/>
      <c r="E8" s="20" t="n"/>
      <c r="I8" s="14" t="n"/>
      <c r="J8" s="21" t="n"/>
      <c r="N8" s="22" t="n"/>
    </row>
    <row r="9">
      <c r="A9" s="19" t="n"/>
      <c r="E9" s="20" t="n"/>
      <c r="I9" s="14" t="n"/>
      <c r="J9" s="21" t="n"/>
      <c r="N9" s="22" t="n"/>
    </row>
    <row r="10">
      <c r="A10" s="19" t="n"/>
      <c r="E10" s="20" t="n"/>
      <c r="I10" s="14" t="n"/>
      <c r="J10" s="21" t="n"/>
      <c r="N10" s="22" t="n"/>
    </row>
    <row r="11">
      <c r="A11" s="19" t="n"/>
      <c r="E11" s="20" t="n"/>
      <c r="I11" s="14" t="n"/>
      <c r="J11" s="21" t="n"/>
      <c r="N11" s="22" t="n"/>
    </row>
    <row r="12">
      <c r="A12" s="19" t="n"/>
      <c r="E12" s="20" t="n"/>
      <c r="I12" s="14" t="n"/>
      <c r="J12" s="21" t="n"/>
      <c r="N12" s="22" t="n"/>
    </row>
    <row r="13">
      <c r="A13" s="19" t="n"/>
      <c r="E13" s="20" t="n"/>
      <c r="I13" s="14" t="n"/>
      <c r="J13" s="21" t="n"/>
      <c r="N13" s="22" t="n"/>
    </row>
    <row r="14">
      <c r="A14" s="19" t="n"/>
      <c r="E14" s="20" t="n"/>
      <c r="I14" s="14" t="n"/>
      <c r="J14" s="21" t="n"/>
      <c r="N14" s="22" t="n"/>
    </row>
    <row r="15">
      <c r="A15" s="19" t="n"/>
      <c r="E15" s="20" t="n"/>
      <c r="I15" s="14" t="n"/>
      <c r="J15" s="21" t="n"/>
      <c r="N15" s="22" t="n"/>
    </row>
    <row r="16">
      <c r="A16" s="19" t="n"/>
      <c r="E16" s="20" t="n"/>
      <c r="I16" s="14" t="n"/>
      <c r="J16" s="21" t="n"/>
      <c r="N16" s="22" t="n"/>
    </row>
    <row r="17">
      <c r="A17" s="19" t="n"/>
      <c r="E17" s="20" t="n"/>
      <c r="I17" s="14" t="n"/>
      <c r="J17" s="21" t="n"/>
      <c r="N17" s="22" t="n"/>
    </row>
    <row r="18">
      <c r="A18" s="19" t="n"/>
      <c r="E18" s="20" t="n"/>
      <c r="I18" s="14" t="n"/>
      <c r="J18" s="21" t="n"/>
      <c r="N18" s="22" t="n"/>
    </row>
    <row r="19">
      <c r="A19" s="19" t="n"/>
      <c r="E19" s="20" t="n"/>
      <c r="I19" s="14" t="n"/>
      <c r="J19" s="21" t="n"/>
      <c r="N19" s="22" t="n"/>
    </row>
    <row r="20">
      <c r="A20" s="19" t="n"/>
      <c r="E20" s="20" t="n"/>
      <c r="I20" s="14" t="n"/>
      <c r="J20" s="21" t="n"/>
      <c r="N20" s="22" t="n"/>
    </row>
    <row r="21">
      <c r="A21" s="19" t="n"/>
      <c r="E21" s="20" t="n"/>
      <c r="I21" s="14" t="n"/>
      <c r="J21" s="21" t="n"/>
      <c r="N21" s="22" t="n"/>
    </row>
    <row r="22">
      <c r="A22" s="19" t="n"/>
      <c r="E22" s="20" t="n"/>
      <c r="I22" s="14" t="n"/>
      <c r="J22" s="21" t="n"/>
      <c r="N22" s="22" t="n"/>
    </row>
    <row r="23">
      <c r="A23" s="19" t="n"/>
      <c r="E23" s="20" t="n"/>
      <c r="I23" s="14" t="n"/>
      <c r="J23" s="21" t="n"/>
      <c r="N23" s="22" t="n"/>
    </row>
    <row r="24">
      <c r="A24" s="19" t="n"/>
      <c r="E24" s="20" t="n"/>
      <c r="I24" s="14" t="n"/>
      <c r="J24" s="21" t="n"/>
      <c r="N24" s="22" t="n"/>
    </row>
    <row r="25">
      <c r="A25" s="19" t="n"/>
      <c r="E25" s="20" t="n"/>
      <c r="I25" s="14" t="n"/>
      <c r="J25" s="21" t="n"/>
      <c r="N25" s="22" t="n"/>
    </row>
    <row r="26">
      <c r="A26" s="19" t="n"/>
      <c r="E26" s="20" t="n"/>
      <c r="I26" s="14" t="n"/>
      <c r="J26" s="21" t="n"/>
      <c r="N26" s="22" t="n"/>
    </row>
    <row r="27">
      <c r="A27" s="19" t="n"/>
      <c r="E27" s="20" t="n"/>
      <c r="I27" s="14" t="n"/>
      <c r="J27" s="21" t="n"/>
      <c r="N27" s="22" t="n"/>
    </row>
    <row r="28">
      <c r="A28" s="19" t="n"/>
      <c r="E28" s="20" t="n"/>
      <c r="I28" s="14" t="n"/>
      <c r="J28" s="21" t="n"/>
      <c r="N28" s="22" t="n"/>
    </row>
    <row r="29">
      <c r="A29" s="19" t="n"/>
      <c r="E29" s="20" t="n"/>
      <c r="I29" s="14" t="n"/>
      <c r="J29" s="21" t="n"/>
      <c r="N29" s="22" t="n"/>
    </row>
    <row r="30">
      <c r="A30" s="19" t="n"/>
      <c r="E30" s="20" t="n"/>
      <c r="I30" s="14" t="n"/>
      <c r="J30" s="21" t="n"/>
      <c r="N30" s="22" t="n"/>
    </row>
    <row r="31">
      <c r="A31" s="19" t="n"/>
      <c r="E31" s="20" t="n"/>
      <c r="I31" s="14" t="n"/>
      <c r="J31" s="21" t="n"/>
      <c r="N31" s="22" t="n"/>
    </row>
    <row r="32">
      <c r="A32" s="19" t="n"/>
      <c r="E32" s="20" t="n"/>
      <c r="I32" s="14" t="n"/>
      <c r="J32" s="21" t="n"/>
      <c r="N32" s="22" t="n"/>
    </row>
    <row r="33">
      <c r="A33" s="19" t="n"/>
      <c r="E33" s="20" t="n"/>
      <c r="I33" s="14" t="n"/>
      <c r="J33" s="21" t="n"/>
      <c r="N33" s="22" t="n"/>
    </row>
    <row r="34">
      <c r="A34" s="19" t="n"/>
      <c r="E34" s="20" t="n"/>
      <c r="I34" s="14" t="n"/>
      <c r="J34" s="21" t="n"/>
      <c r="N34" s="22" t="n"/>
    </row>
    <row r="35">
      <c r="A35" s="19" t="n"/>
      <c r="E35" s="20" t="n"/>
      <c r="I35" s="14" t="n"/>
      <c r="J35" s="21" t="n"/>
      <c r="N35" s="22" t="n"/>
    </row>
    <row r="36">
      <c r="A36" s="19" t="n"/>
      <c r="E36" s="20" t="n"/>
      <c r="I36" s="14" t="n"/>
      <c r="J36" s="21" t="n"/>
      <c r="N36" s="22" t="n"/>
    </row>
    <row r="37">
      <c r="A37" s="19" t="n"/>
      <c r="E37" s="20" t="n"/>
      <c r="I37" s="14" t="n"/>
      <c r="J37" s="21" t="n"/>
      <c r="N37" s="22" t="n"/>
    </row>
    <row r="38">
      <c r="A38" s="19" t="n"/>
      <c r="E38" s="20" t="n"/>
      <c r="I38" s="14" t="n"/>
      <c r="J38" s="21" t="n"/>
      <c r="N38" s="22" t="n"/>
    </row>
    <row r="39">
      <c r="A39" s="19" t="n"/>
      <c r="E39" s="20" t="n"/>
      <c r="I39" s="14" t="n"/>
      <c r="J39" s="21" t="n"/>
      <c r="N39" s="22" t="n"/>
    </row>
    <row r="40">
      <c r="A40" s="19" t="n"/>
      <c r="E40" s="20" t="n"/>
      <c r="I40" s="14" t="n"/>
      <c r="J40" s="21" t="n"/>
      <c r="N40" s="22" t="n"/>
    </row>
    <row r="41">
      <c r="A41" s="19" t="n"/>
      <c r="E41" s="20" t="n"/>
      <c r="I41" s="14" t="n"/>
      <c r="J41" s="21" t="n"/>
      <c r="N41" s="22" t="n"/>
    </row>
    <row r="42">
      <c r="A42" s="19" t="n"/>
      <c r="E42" s="20" t="n"/>
      <c r="I42" s="14" t="n"/>
      <c r="J42" s="21" t="n"/>
      <c r="N42" s="22" t="n"/>
    </row>
    <row r="43">
      <c r="A43" s="19" t="n"/>
      <c r="E43" s="20" t="n"/>
      <c r="I43" s="14" t="n"/>
      <c r="J43" s="21" t="n"/>
      <c r="N43" s="22" t="n"/>
    </row>
    <row r="44">
      <c r="A44" s="19" t="n"/>
      <c r="E44" s="20" t="n"/>
      <c r="I44" s="14" t="n"/>
      <c r="J44" s="21" t="n"/>
      <c r="N44" s="22" t="n"/>
    </row>
    <row r="45">
      <c r="A45" s="19" t="n"/>
      <c r="E45" s="20" t="n"/>
      <c r="I45" s="14" t="n"/>
      <c r="J45" s="21" t="n"/>
      <c r="N45" s="22" t="n"/>
    </row>
    <row r="46">
      <c r="A46" s="19" t="n"/>
      <c r="E46" s="20" t="n"/>
      <c r="I46" s="14" t="n"/>
      <c r="J46" s="21" t="n"/>
      <c r="N46" s="22" t="n"/>
    </row>
    <row r="47">
      <c r="A47" s="19" t="n"/>
      <c r="E47" s="20" t="n"/>
      <c r="I47" s="14" t="n"/>
      <c r="J47" s="21" t="n"/>
      <c r="N47" s="22" t="n"/>
    </row>
    <row r="48">
      <c r="A48" s="19" t="n"/>
      <c r="E48" s="20" t="n"/>
      <c r="I48" s="14" t="n"/>
      <c r="J48" s="21" t="n"/>
      <c r="N48" s="22" t="n"/>
    </row>
    <row r="49">
      <c r="A49" s="19" t="n"/>
      <c r="E49" s="20" t="n"/>
      <c r="I49" s="14" t="n"/>
      <c r="J49" s="21" t="n"/>
      <c r="N49" s="22" t="n"/>
    </row>
    <row r="50">
      <c r="A50" s="19" t="n"/>
      <c r="E50" s="20" t="n"/>
      <c r="I50" s="14" t="n"/>
      <c r="J50" s="21" t="n"/>
      <c r="N50" s="22" t="n"/>
    </row>
    <row r="51">
      <c r="A51" s="19" t="n"/>
      <c r="E51" s="20" t="n"/>
      <c r="I51" s="14" t="n"/>
      <c r="J51" s="21" t="n"/>
      <c r="N51" s="22" t="n"/>
    </row>
    <row r="52">
      <c r="A52" s="19" t="n"/>
      <c r="E52" s="20" t="n"/>
      <c r="I52" s="14" t="n"/>
      <c r="J52" s="21" t="n"/>
      <c r="N52" s="22" t="n"/>
    </row>
    <row r="53">
      <c r="A53" s="19" t="n"/>
      <c r="E53" s="20" t="n"/>
      <c r="I53" s="14" t="n"/>
      <c r="J53" s="21" t="n"/>
      <c r="N53" s="22" t="n"/>
    </row>
    <row r="54">
      <c r="A54" s="19" t="n"/>
      <c r="E54" s="20" t="n"/>
      <c r="I54" s="14" t="n"/>
      <c r="J54" s="21" t="n"/>
      <c r="N54" s="22" t="n"/>
    </row>
    <row r="55">
      <c r="A55" s="19" t="n"/>
      <c r="E55" s="20" t="n"/>
      <c r="I55" s="14" t="n"/>
      <c r="J55" s="21" t="n"/>
      <c r="N55" s="22" t="n"/>
    </row>
    <row r="56">
      <c r="A56" s="19" t="n"/>
      <c r="E56" s="20" t="n"/>
      <c r="I56" s="14" t="n"/>
      <c r="J56" s="21" t="n"/>
      <c r="N56" s="22" t="n"/>
    </row>
    <row r="57">
      <c r="A57" s="19" t="n"/>
      <c r="E57" s="20" t="n"/>
      <c r="I57" s="14" t="n"/>
      <c r="J57" s="21" t="n"/>
      <c r="N57" s="22" t="n"/>
    </row>
    <row r="58">
      <c r="A58" s="19" t="n"/>
      <c r="E58" s="20" t="n"/>
      <c r="I58" s="14" t="n"/>
      <c r="J58" s="21" t="n"/>
      <c r="N58" s="22" t="n"/>
    </row>
    <row r="59">
      <c r="A59" s="19" t="n"/>
      <c r="E59" s="20" t="n"/>
      <c r="I59" s="14" t="n"/>
      <c r="J59" s="21" t="n"/>
      <c r="N59" s="22" t="n"/>
    </row>
    <row r="60">
      <c r="A60" s="19" t="n"/>
      <c r="E60" s="20" t="n"/>
      <c r="I60" s="14" t="n"/>
      <c r="J60" s="21" t="n"/>
      <c r="N60" s="22" t="n"/>
    </row>
    <row r="61">
      <c r="A61" s="19" t="n"/>
      <c r="E61" s="20" t="n"/>
      <c r="I61" s="14" t="n"/>
      <c r="J61" s="21" t="n"/>
      <c r="N61" s="22" t="n"/>
    </row>
    <row r="62">
      <c r="A62" s="19" t="n"/>
      <c r="E62" s="20" t="n"/>
      <c r="I62" s="14" t="n"/>
      <c r="J62" s="21" t="n"/>
      <c r="N62" s="22" t="n"/>
    </row>
    <row r="63">
      <c r="A63" s="19" t="n"/>
      <c r="E63" s="20" t="n"/>
      <c r="I63" s="14" t="n"/>
      <c r="J63" s="21" t="n"/>
      <c r="N63" s="22" t="n"/>
    </row>
    <row r="64">
      <c r="A64" s="19" t="n"/>
      <c r="E64" s="20" t="n"/>
      <c r="I64" s="14" t="n"/>
      <c r="J64" s="21" t="n"/>
      <c r="N64" s="22" t="n"/>
    </row>
    <row r="65">
      <c r="A65" s="19" t="n"/>
      <c r="E65" s="20" t="n"/>
      <c r="I65" s="14" t="n"/>
      <c r="J65" s="21" t="n"/>
      <c r="N65" s="22" t="n"/>
    </row>
    <row r="66">
      <c r="A66" s="19" t="n"/>
      <c r="E66" s="20" t="n"/>
      <c r="I66" s="14" t="n"/>
      <c r="J66" s="21" t="n"/>
      <c r="N66" s="22" t="n"/>
    </row>
    <row r="67">
      <c r="A67" s="19" t="n"/>
      <c r="E67" s="20" t="n"/>
      <c r="I67" s="14" t="n"/>
      <c r="J67" s="21" t="n"/>
      <c r="N67" s="22" t="n"/>
    </row>
    <row r="68">
      <c r="A68" s="19" t="n"/>
      <c r="E68" s="20" t="n"/>
      <c r="I68" s="14" t="n"/>
      <c r="J68" s="21" t="n"/>
      <c r="N68" s="22" t="n"/>
    </row>
    <row r="69">
      <c r="A69" s="19" t="n"/>
      <c r="E69" s="20" t="n"/>
      <c r="I69" s="14" t="n"/>
      <c r="J69" s="21" t="n"/>
      <c r="N69" s="22" t="n"/>
    </row>
    <row r="70">
      <c r="A70" s="19" t="n"/>
      <c r="E70" s="20" t="n"/>
      <c r="I70" s="14" t="n"/>
      <c r="J70" s="21" t="n"/>
      <c r="N70" s="22" t="n"/>
    </row>
    <row r="71">
      <c r="A71" s="19" t="n"/>
      <c r="E71" s="20" t="n"/>
      <c r="I71" s="14" t="n"/>
      <c r="J71" s="21" t="n"/>
      <c r="N71" s="22" t="n"/>
    </row>
    <row r="72">
      <c r="A72" s="19" t="n"/>
      <c r="E72" s="20" t="n"/>
      <c r="I72" s="14" t="n"/>
      <c r="J72" s="21" t="n"/>
      <c r="N72" s="22" t="n"/>
    </row>
    <row r="73">
      <c r="A73" s="19" t="n"/>
      <c r="E73" s="20" t="n"/>
      <c r="I73" s="14" t="n"/>
      <c r="J73" s="21" t="n"/>
      <c r="N73" s="22" t="n"/>
    </row>
    <row r="74">
      <c r="A74" s="19" t="n"/>
      <c r="E74" s="20" t="n"/>
      <c r="I74" s="14" t="n"/>
      <c r="J74" s="21" t="n"/>
      <c r="N74" s="22" t="n"/>
    </row>
    <row r="75">
      <c r="A75" s="19" t="n"/>
      <c r="E75" s="20" t="n"/>
      <c r="I75" s="14" t="n"/>
      <c r="J75" s="21" t="n"/>
      <c r="N75" s="22" t="n"/>
    </row>
    <row r="76">
      <c r="A76" s="19" t="n"/>
      <c r="E76" s="20" t="n"/>
      <c r="I76" s="14" t="n"/>
      <c r="J76" s="21" t="n"/>
      <c r="N76" s="22" t="n"/>
    </row>
    <row r="77">
      <c r="A77" s="19" t="n"/>
      <c r="E77" s="20" t="n"/>
      <c r="I77" s="14" t="n"/>
      <c r="J77" s="21" t="n"/>
      <c r="N77" s="22" t="n"/>
    </row>
    <row r="78">
      <c r="A78" s="19" t="n"/>
      <c r="E78" s="20" t="n"/>
      <c r="I78" s="14" t="n"/>
      <c r="J78" s="21" t="n"/>
      <c r="N78" s="22" t="n"/>
    </row>
    <row r="79">
      <c r="A79" s="19" t="n"/>
      <c r="E79" s="20" t="n"/>
      <c r="I79" s="14" t="n"/>
      <c r="J79" s="21" t="n"/>
      <c r="N79" s="22" t="n"/>
    </row>
    <row r="80">
      <c r="A80" s="19" t="n"/>
      <c r="E80" s="20" t="n"/>
      <c r="I80" s="14" t="n"/>
      <c r="J80" s="21" t="n"/>
      <c r="N80" s="22" t="n"/>
    </row>
    <row r="81">
      <c r="A81" s="19" t="n"/>
      <c r="E81" s="20" t="n"/>
      <c r="I81" s="14" t="n"/>
      <c r="J81" s="21" t="n"/>
      <c r="N81" s="22" t="n"/>
    </row>
    <row r="82">
      <c r="A82" s="19" t="n"/>
      <c r="E82" s="20" t="n"/>
      <c r="I82" s="14" t="n"/>
      <c r="J82" s="21" t="n"/>
      <c r="N82" s="22" t="n"/>
    </row>
    <row r="83">
      <c r="A83" s="19" t="n"/>
      <c r="E83" s="20" t="n"/>
      <c r="I83" s="14" t="n"/>
      <c r="J83" s="21" t="n"/>
      <c r="N83" s="22" t="n"/>
    </row>
    <row r="84">
      <c r="A84" s="19" t="n"/>
      <c r="E84" s="20" t="n"/>
      <c r="I84" s="14" t="n"/>
      <c r="J84" s="21" t="n"/>
      <c r="N84" s="22" t="n"/>
    </row>
    <row r="85">
      <c r="A85" s="19" t="n"/>
      <c r="E85" s="20" t="n"/>
      <c r="I85" s="14" t="n"/>
      <c r="J85" s="21" t="n"/>
      <c r="N85" s="22" t="n"/>
    </row>
    <row r="86">
      <c r="A86" s="19" t="n"/>
      <c r="E86" s="20" t="n"/>
      <c r="I86" s="14" t="n"/>
      <c r="J86" s="21" t="n"/>
      <c r="N86" s="22" t="n"/>
    </row>
    <row r="87">
      <c r="A87" s="19" t="n"/>
      <c r="E87" s="20" t="n"/>
      <c r="I87" s="14" t="n"/>
      <c r="J87" s="21" t="n"/>
      <c r="N87" s="22" t="n"/>
    </row>
    <row r="88">
      <c r="A88" s="19" t="n"/>
      <c r="E88" s="20" t="n"/>
      <c r="I88" s="14" t="n"/>
      <c r="J88" s="21" t="n"/>
      <c r="N88" s="22" t="n"/>
    </row>
    <row r="89">
      <c r="A89" s="19" t="n"/>
      <c r="E89" s="20" t="n"/>
      <c r="I89" s="14" t="n"/>
      <c r="J89" s="21" t="n"/>
      <c r="N89" s="22" t="n"/>
    </row>
    <row r="90">
      <c r="A90" s="19" t="n"/>
      <c r="E90" s="20" t="n"/>
      <c r="I90" s="14" t="n"/>
      <c r="J90" s="21" t="n"/>
      <c r="N90" s="22" t="n"/>
    </row>
    <row r="91">
      <c r="A91" s="19" t="n"/>
      <c r="E91" s="20" t="n"/>
      <c r="I91" s="14" t="n"/>
      <c r="J91" s="21" t="n"/>
      <c r="N91" s="22" t="n"/>
    </row>
    <row r="92">
      <c r="A92" s="19" t="n"/>
      <c r="E92" s="20" t="n"/>
      <c r="I92" s="14" t="n"/>
      <c r="J92" s="21" t="n"/>
      <c r="N92" s="22" t="n"/>
    </row>
    <row r="93">
      <c r="A93" s="19" t="n"/>
      <c r="E93" s="20" t="n"/>
      <c r="I93" s="14" t="n"/>
      <c r="J93" s="21" t="n"/>
      <c r="N93" s="22" t="n"/>
    </row>
    <row r="94">
      <c r="A94" s="19" t="n"/>
      <c r="E94" s="20" t="n"/>
      <c r="I94" s="14" t="n"/>
      <c r="J94" s="21" t="n"/>
      <c r="N94" s="22" t="n"/>
    </row>
    <row r="95">
      <c r="A95" s="19" t="n"/>
      <c r="E95" s="20" t="n"/>
      <c r="I95" s="14" t="n"/>
      <c r="J95" s="21" t="n"/>
      <c r="N95" s="22" t="n"/>
    </row>
    <row r="96">
      <c r="A96" s="19" t="n"/>
      <c r="E96" s="20" t="n"/>
      <c r="I96" s="14" t="n"/>
      <c r="J96" s="21" t="n"/>
      <c r="N96" s="22" t="n"/>
    </row>
    <row r="97">
      <c r="A97" s="19" t="n"/>
      <c r="E97" s="20" t="n"/>
      <c r="I97" s="14" t="n"/>
      <c r="J97" s="21" t="n"/>
      <c r="N97" s="22" t="n"/>
    </row>
    <row r="98">
      <c r="A98" s="19" t="n"/>
      <c r="E98" s="20" t="n"/>
      <c r="I98" s="14" t="n"/>
      <c r="J98" s="21" t="n"/>
      <c r="N98" s="22" t="n"/>
    </row>
    <row r="99">
      <c r="A99" s="19" t="n"/>
      <c r="E99" s="20" t="n"/>
      <c r="I99" s="14" t="n"/>
      <c r="J99" s="21" t="n"/>
      <c r="N99" s="22" t="n"/>
    </row>
    <row r="100">
      <c r="A100" s="19" t="n"/>
      <c r="E100" s="20" t="n"/>
      <c r="I100" s="14" t="n"/>
      <c r="J100" s="21" t="n"/>
      <c r="N100" s="22" t="n"/>
    </row>
    <row r="101">
      <c r="A101" s="19" t="n"/>
      <c r="E101" s="20" t="n"/>
      <c r="I101" s="14" t="n"/>
      <c r="J101" s="21" t="n"/>
      <c r="N101" s="22" t="n"/>
    </row>
    <row r="102">
      <c r="A102" s="19" t="n"/>
      <c r="E102" s="20" t="n"/>
      <c r="I102" s="14" t="n"/>
      <c r="J102" s="21" t="n"/>
      <c r="N102" s="22" t="n"/>
    </row>
    <row r="103">
      <c r="A103" s="19" t="n"/>
      <c r="E103" s="20" t="n"/>
      <c r="I103" s="14" t="n"/>
      <c r="J103" s="21" t="n"/>
      <c r="N103" s="22" t="n"/>
    </row>
    <row r="104">
      <c r="A104" s="19" t="n"/>
      <c r="E104" s="20" t="n"/>
      <c r="I104" s="14" t="n"/>
      <c r="J104" s="21" t="n"/>
      <c r="N104" s="22" t="n"/>
    </row>
    <row r="105">
      <c r="A105" s="19" t="n"/>
      <c r="E105" s="20" t="n"/>
      <c r="I105" s="14" t="n"/>
      <c r="J105" s="21" t="n"/>
      <c r="N105" s="22" t="n"/>
    </row>
    <row r="106">
      <c r="A106" s="19" t="n"/>
      <c r="E106" s="20" t="n"/>
      <c r="I106" s="14" t="n"/>
      <c r="J106" s="21" t="n"/>
      <c r="N106" s="22" t="n"/>
    </row>
    <row r="107">
      <c r="A107" s="19" t="n"/>
      <c r="E107" s="20" t="n"/>
      <c r="I107" s="14" t="n"/>
      <c r="J107" s="21" t="n"/>
      <c r="N107" s="22" t="n"/>
    </row>
    <row r="108">
      <c r="A108" s="19" t="n"/>
      <c r="E108" s="20" t="n"/>
      <c r="I108" s="14" t="n"/>
      <c r="J108" s="21" t="n"/>
      <c r="N108" s="22" t="n"/>
    </row>
    <row r="109">
      <c r="A109" s="19" t="n"/>
      <c r="E109" s="20" t="n"/>
      <c r="I109" s="14" t="n"/>
      <c r="J109" s="21" t="n"/>
      <c r="N109" s="22" t="n"/>
    </row>
    <row r="110">
      <c r="A110" s="19" t="n"/>
      <c r="E110" s="20" t="n"/>
      <c r="I110" s="14" t="n"/>
      <c r="J110" s="21" t="n"/>
      <c r="N110" s="22" t="n"/>
    </row>
    <row r="111">
      <c r="A111" s="19" t="n"/>
      <c r="E111" s="20" t="n"/>
      <c r="I111" s="14" t="n"/>
      <c r="J111" s="21" t="n"/>
      <c r="N111" s="22" t="n"/>
    </row>
    <row r="112">
      <c r="A112" s="19" t="n"/>
      <c r="E112" s="20" t="n"/>
      <c r="I112" s="14" t="n"/>
      <c r="J112" s="21" t="n"/>
      <c r="N112" s="22" t="n"/>
    </row>
    <row r="113">
      <c r="A113" s="19" t="n"/>
      <c r="E113" s="20" t="n"/>
      <c r="I113" s="14" t="n"/>
      <c r="J113" s="21" t="n"/>
      <c r="N113" s="22" t="n"/>
    </row>
    <row r="114">
      <c r="A114" s="19" t="n"/>
      <c r="E114" s="20" t="n"/>
      <c r="I114" s="14" t="n"/>
      <c r="J114" s="21" t="n"/>
      <c r="N114" s="22" t="n"/>
    </row>
    <row r="115">
      <c r="A115" s="19" t="n"/>
      <c r="E115" s="20" t="n"/>
      <c r="I115" s="14" t="n"/>
      <c r="J115" s="21" t="n"/>
      <c r="N115" s="22" t="n"/>
    </row>
    <row r="116">
      <c r="A116" s="19" t="n"/>
      <c r="E116" s="20" t="n"/>
      <c r="I116" s="14" t="n"/>
      <c r="J116" s="21" t="n"/>
      <c r="N116" s="22" t="n"/>
    </row>
    <row r="117">
      <c r="A117" s="19" t="n"/>
      <c r="E117" s="20" t="n"/>
      <c r="I117" s="14" t="n"/>
      <c r="J117" s="21" t="n"/>
      <c r="N117" s="22" t="n"/>
    </row>
    <row r="118">
      <c r="A118" s="19" t="n"/>
      <c r="E118" s="20" t="n"/>
      <c r="I118" s="14" t="n"/>
      <c r="J118" s="21" t="n"/>
      <c r="N118" s="22" t="n"/>
    </row>
    <row r="119">
      <c r="A119" s="19" t="n"/>
      <c r="E119" s="20" t="n"/>
      <c r="I119" s="14" t="n"/>
      <c r="J119" s="21" t="n"/>
      <c r="N119" s="22" t="n"/>
    </row>
    <row r="120">
      <c r="A120" s="19" t="n"/>
      <c r="E120" s="20" t="n"/>
      <c r="I120" s="14" t="n"/>
      <c r="J120" s="21" t="n"/>
      <c r="N120" s="22" t="n"/>
    </row>
    <row r="121">
      <c r="A121" s="19" t="n"/>
      <c r="E121" s="20" t="n"/>
      <c r="I121" s="14" t="n"/>
      <c r="J121" s="21" t="n"/>
      <c r="N121" s="22" t="n"/>
    </row>
    <row r="122">
      <c r="A122" s="19" t="n"/>
      <c r="E122" s="20" t="n"/>
      <c r="I122" s="14" t="n"/>
      <c r="J122" s="21" t="n"/>
      <c r="N122" s="22" t="n"/>
    </row>
    <row r="123">
      <c r="A123" s="19" t="n"/>
      <c r="E123" s="20" t="n"/>
      <c r="I123" s="14" t="n"/>
      <c r="J123" s="21" t="n"/>
      <c r="N123" s="22" t="n"/>
    </row>
    <row r="124">
      <c r="A124" s="19" t="n"/>
      <c r="E124" s="20" t="n"/>
      <c r="I124" s="14" t="n"/>
      <c r="J124" s="21" t="n"/>
      <c r="N124" s="22" t="n"/>
    </row>
    <row r="125">
      <c r="A125" s="19" t="n"/>
      <c r="E125" s="20" t="n"/>
      <c r="I125" s="14" t="n"/>
      <c r="J125" s="21" t="n"/>
      <c r="N125" s="22" t="n"/>
    </row>
    <row r="126">
      <c r="A126" s="19" t="n"/>
      <c r="E126" s="20" t="n"/>
      <c r="I126" s="14" t="n"/>
      <c r="J126" s="21" t="n"/>
      <c r="N126" s="22" t="n"/>
    </row>
    <row r="127">
      <c r="A127" s="19" t="n"/>
      <c r="E127" s="20" t="n"/>
      <c r="I127" s="14" t="n"/>
      <c r="J127" s="21" t="n"/>
      <c r="N127" s="22" t="n"/>
    </row>
    <row r="128">
      <c r="A128" s="19" t="n"/>
      <c r="E128" s="20" t="n"/>
      <c r="I128" s="14" t="n"/>
      <c r="J128" s="21" t="n"/>
      <c r="N128" s="22" t="n"/>
    </row>
    <row r="129">
      <c r="A129" s="19" t="n"/>
      <c r="E129" s="20" t="n"/>
      <c r="I129" s="14" t="n"/>
      <c r="J129" s="21" t="n"/>
      <c r="N129" s="22" t="n"/>
    </row>
    <row r="130">
      <c r="A130" s="19" t="n"/>
      <c r="E130" s="20" t="n"/>
      <c r="I130" s="14" t="n"/>
      <c r="J130" s="21" t="n"/>
      <c r="N130" s="22" t="n"/>
    </row>
    <row r="131">
      <c r="A131" s="19" t="n"/>
      <c r="E131" s="20" t="n"/>
      <c r="I131" s="14" t="n"/>
      <c r="J131" s="21" t="n"/>
      <c r="N131" s="22" t="n"/>
    </row>
    <row r="132">
      <c r="A132" s="19" t="n"/>
      <c r="E132" s="20" t="n"/>
      <c r="I132" s="14" t="n"/>
      <c r="J132" s="21" t="n"/>
      <c r="N132" s="22" t="n"/>
    </row>
    <row r="133">
      <c r="A133" s="19" t="n"/>
      <c r="E133" s="20" t="n"/>
      <c r="I133" s="14" t="n"/>
      <c r="J133" s="21" t="n"/>
      <c r="N133" s="22" t="n"/>
    </row>
    <row r="134">
      <c r="A134" s="19" t="n"/>
      <c r="E134" s="20" t="n"/>
      <c r="I134" s="14" t="n"/>
      <c r="J134" s="21" t="n"/>
      <c r="N134" s="22" t="n"/>
    </row>
    <row r="135">
      <c r="A135" s="19" t="n"/>
      <c r="E135" s="20" t="n"/>
      <c r="I135" s="14" t="n"/>
      <c r="J135" s="21" t="n"/>
      <c r="N135" s="22" t="n"/>
    </row>
    <row r="136">
      <c r="A136" s="19" t="n"/>
      <c r="E136" s="20" t="n"/>
      <c r="I136" s="14" t="n"/>
      <c r="J136" s="21" t="n"/>
      <c r="N136" s="22" t="n"/>
    </row>
    <row r="137">
      <c r="A137" s="19" t="n"/>
      <c r="E137" s="20" t="n"/>
      <c r="I137" s="14" t="n"/>
      <c r="J137" s="21" t="n"/>
      <c r="N137" s="22" t="n"/>
    </row>
    <row r="138">
      <c r="A138" s="19" t="n"/>
      <c r="E138" s="20" t="n"/>
      <c r="I138" s="14" t="n"/>
      <c r="J138" s="21" t="n"/>
      <c r="N138" s="22" t="n"/>
    </row>
    <row r="139">
      <c r="A139" s="19" t="n"/>
      <c r="E139" s="20" t="n"/>
      <c r="I139" s="14" t="n"/>
      <c r="J139" s="21" t="n"/>
      <c r="N139" s="22" t="n"/>
    </row>
    <row r="140">
      <c r="A140" s="19" t="n"/>
      <c r="E140" s="20" t="n"/>
      <c r="I140" s="14" t="n"/>
      <c r="J140" s="21" t="n"/>
      <c r="N140" s="22" t="n"/>
    </row>
    <row r="141">
      <c r="A141" s="19" t="n"/>
      <c r="E141" s="20" t="n"/>
      <c r="I141" s="14" t="n"/>
      <c r="J141" s="21" t="n"/>
      <c r="N141" s="22" t="n"/>
    </row>
    <row r="142">
      <c r="A142" s="19" t="n"/>
      <c r="E142" s="20" t="n"/>
      <c r="I142" s="14" t="n"/>
      <c r="J142" s="21" t="n"/>
      <c r="N142" s="22" t="n"/>
    </row>
    <row r="143">
      <c r="A143" s="19" t="n"/>
      <c r="E143" s="20" t="n"/>
      <c r="I143" s="14" t="n"/>
      <c r="J143" s="21" t="n"/>
      <c r="N143" s="22" t="n"/>
    </row>
    <row r="144">
      <c r="A144" s="19" t="n"/>
      <c r="E144" s="20" t="n"/>
      <c r="I144" s="14" t="n"/>
      <c r="J144" s="21" t="n"/>
      <c r="N144" s="22" t="n"/>
    </row>
    <row r="145">
      <c r="A145" s="19" t="n"/>
      <c r="E145" s="20" t="n"/>
      <c r="I145" s="14" t="n"/>
      <c r="J145" s="21" t="n"/>
      <c r="N145" s="22" t="n"/>
    </row>
    <row r="146">
      <c r="A146" s="19" t="n"/>
      <c r="E146" s="20" t="n"/>
      <c r="I146" s="14" t="n"/>
      <c r="J146" s="21" t="n"/>
      <c r="N146" s="22" t="n"/>
    </row>
    <row r="147">
      <c r="A147" s="19" t="n"/>
      <c r="E147" s="20" t="n"/>
      <c r="I147" s="14" t="n"/>
      <c r="J147" s="21" t="n"/>
      <c r="N147" s="22" t="n"/>
    </row>
    <row r="148">
      <c r="A148" s="19" t="n"/>
      <c r="E148" s="20" t="n"/>
      <c r="I148" s="14" t="n"/>
      <c r="J148" s="21" t="n"/>
      <c r="N148" s="22" t="n"/>
    </row>
    <row r="149">
      <c r="A149" s="19" t="n"/>
      <c r="E149" s="20" t="n"/>
      <c r="I149" s="14" t="n"/>
      <c r="J149" s="21" t="n"/>
      <c r="N149" s="22" t="n"/>
    </row>
    <row r="150">
      <c r="A150" s="19" t="n"/>
      <c r="E150" s="20" t="n"/>
      <c r="I150" s="14" t="n"/>
      <c r="J150" s="21" t="n"/>
      <c r="N150" s="22" t="n"/>
    </row>
    <row r="151">
      <c r="A151" s="19" t="n"/>
      <c r="E151" s="20" t="n"/>
      <c r="I151" s="14" t="n"/>
      <c r="J151" s="21" t="n"/>
      <c r="N151" s="22" t="n"/>
    </row>
    <row r="152">
      <c r="A152" s="19" t="n"/>
      <c r="E152" s="20" t="n"/>
      <c r="I152" s="14" t="n"/>
      <c r="J152" s="21" t="n"/>
      <c r="N152" s="22" t="n"/>
    </row>
    <row r="153">
      <c r="A153" s="19" t="n"/>
      <c r="E153" s="20" t="n"/>
      <c r="I153" s="14" t="n"/>
      <c r="J153" s="21" t="n"/>
      <c r="N153" s="22" t="n"/>
    </row>
    <row r="154">
      <c r="A154" s="19" t="n"/>
      <c r="E154" s="20" t="n"/>
      <c r="I154" s="14" t="n"/>
      <c r="J154" s="21" t="n"/>
      <c r="N154" s="22" t="n"/>
    </row>
    <row r="155">
      <c r="A155" s="19" t="n"/>
      <c r="E155" s="20" t="n"/>
      <c r="I155" s="14" t="n"/>
      <c r="J155" s="21" t="n"/>
      <c r="N155" s="22" t="n"/>
    </row>
    <row r="156">
      <c r="A156" s="19" t="n"/>
      <c r="E156" s="20" t="n"/>
      <c r="I156" s="14" t="n"/>
      <c r="J156" s="21" t="n"/>
      <c r="N156" s="22" t="n"/>
    </row>
    <row r="157">
      <c r="A157" s="19" t="n"/>
      <c r="E157" s="20" t="n"/>
      <c r="I157" s="14" t="n"/>
      <c r="J157" s="21" t="n"/>
      <c r="N157" s="22" t="n"/>
    </row>
    <row r="158">
      <c r="A158" s="19" t="n"/>
      <c r="E158" s="20" t="n"/>
      <c r="I158" s="14" t="n"/>
      <c r="J158" s="21" t="n"/>
      <c r="N158" s="22" t="n"/>
    </row>
    <row r="159">
      <c r="A159" s="19" t="n"/>
      <c r="E159" s="20" t="n"/>
      <c r="I159" s="14" t="n"/>
      <c r="J159" s="21" t="n"/>
      <c r="N159" s="22" t="n"/>
    </row>
    <row r="160">
      <c r="A160" s="19" t="n"/>
      <c r="E160" s="20" t="n"/>
      <c r="I160" s="14" t="n"/>
      <c r="J160" s="21" t="n"/>
      <c r="N160" s="22" t="n"/>
    </row>
    <row r="161">
      <c r="A161" s="19" t="n"/>
      <c r="E161" s="20" t="n"/>
      <c r="I161" s="14" t="n"/>
      <c r="J161" s="21" t="n"/>
      <c r="N161" s="22" t="n"/>
    </row>
    <row r="162">
      <c r="A162" s="19" t="n"/>
      <c r="E162" s="20" t="n"/>
      <c r="I162" s="14" t="n"/>
      <c r="J162" s="21" t="n"/>
      <c r="N162" s="22" t="n"/>
    </row>
    <row r="163">
      <c r="A163" s="19" t="n"/>
      <c r="E163" s="20" t="n"/>
      <c r="I163" s="14" t="n"/>
      <c r="J163" s="21" t="n"/>
      <c r="N163" s="22" t="n"/>
    </row>
    <row r="164">
      <c r="A164" s="19" t="n"/>
      <c r="E164" s="20" t="n"/>
      <c r="I164" s="14" t="n"/>
      <c r="J164" s="21" t="n"/>
      <c r="N164" s="22" t="n"/>
    </row>
    <row r="165">
      <c r="A165" s="19" t="n"/>
      <c r="E165" s="20" t="n"/>
      <c r="I165" s="14" t="n"/>
      <c r="J165" s="21" t="n"/>
      <c r="N165" s="22" t="n"/>
    </row>
    <row r="166">
      <c r="A166" s="19" t="n"/>
      <c r="E166" s="20" t="n"/>
      <c r="I166" s="14" t="n"/>
      <c r="J166" s="21" t="n"/>
      <c r="N166" s="22" t="n"/>
    </row>
    <row r="167">
      <c r="A167" s="19" t="n"/>
      <c r="E167" s="20" t="n"/>
      <c r="I167" s="14" t="n"/>
      <c r="J167" s="21" t="n"/>
      <c r="N167" s="22" t="n"/>
    </row>
    <row r="168">
      <c r="A168" s="19" t="n"/>
      <c r="E168" s="20" t="n"/>
      <c r="I168" s="14" t="n"/>
      <c r="J168" s="21" t="n"/>
      <c r="N168" s="22" t="n"/>
    </row>
    <row r="169">
      <c r="A169" s="19" t="n"/>
      <c r="E169" s="20" t="n"/>
      <c r="I169" s="14" t="n"/>
      <c r="J169" s="21" t="n"/>
      <c r="N169" s="22" t="n"/>
    </row>
    <row r="170">
      <c r="A170" s="19" t="n"/>
      <c r="E170" s="20" t="n"/>
      <c r="I170" s="14" t="n"/>
      <c r="J170" s="21" t="n"/>
      <c r="N170" s="22" t="n"/>
    </row>
    <row r="171">
      <c r="A171" s="19" t="n"/>
      <c r="E171" s="20" t="n"/>
      <c r="I171" s="14" t="n"/>
      <c r="J171" s="21" t="n"/>
      <c r="N171" s="22" t="n"/>
    </row>
    <row r="172">
      <c r="A172" s="19" t="n"/>
      <c r="E172" s="20" t="n"/>
      <c r="I172" s="14" t="n"/>
      <c r="J172" s="21" t="n"/>
      <c r="N172" s="22" t="n"/>
    </row>
    <row r="173">
      <c r="A173" s="19" t="n"/>
      <c r="E173" s="20" t="n"/>
      <c r="I173" s="14" t="n"/>
      <c r="J173" s="21" t="n"/>
      <c r="N173" s="22" t="n"/>
    </row>
    <row r="174">
      <c r="A174" s="19" t="n"/>
      <c r="E174" s="20" t="n"/>
      <c r="I174" s="14" t="n"/>
      <c r="J174" s="21" t="n"/>
      <c r="N174" s="22" t="n"/>
    </row>
    <row r="175">
      <c r="A175" s="19" t="n"/>
      <c r="E175" s="20" t="n"/>
      <c r="I175" s="14" t="n"/>
      <c r="J175" s="21" t="n"/>
      <c r="N175" s="22" t="n"/>
    </row>
    <row r="176">
      <c r="A176" s="19" t="n"/>
      <c r="E176" s="20" t="n"/>
      <c r="I176" s="14" t="n"/>
      <c r="J176" s="21" t="n"/>
      <c r="N176" s="22" t="n"/>
    </row>
    <row r="177">
      <c r="A177" s="19" t="n"/>
      <c r="E177" s="20" t="n"/>
      <c r="I177" s="14" t="n"/>
      <c r="J177" s="21" t="n"/>
      <c r="N177" s="22" t="n"/>
    </row>
    <row r="178">
      <c r="A178" s="19" t="n"/>
      <c r="E178" s="20" t="n"/>
      <c r="I178" s="14" t="n"/>
      <c r="J178" s="21" t="n"/>
      <c r="N178" s="22" t="n"/>
    </row>
    <row r="179">
      <c r="A179" s="19" t="n"/>
      <c r="E179" s="20" t="n"/>
      <c r="I179" s="14" t="n"/>
      <c r="J179" s="21" t="n"/>
      <c r="N179" s="22" t="n"/>
    </row>
    <row r="180">
      <c r="A180" s="19" t="n"/>
      <c r="E180" s="20" t="n"/>
      <c r="I180" s="14" t="n"/>
      <c r="J180" s="21" t="n"/>
      <c r="N180" s="22" t="n"/>
    </row>
    <row r="181">
      <c r="A181" s="19" t="n"/>
      <c r="E181" s="20" t="n"/>
      <c r="I181" s="14" t="n"/>
      <c r="J181" s="21" t="n"/>
      <c r="N181" s="22" t="n"/>
    </row>
    <row r="182">
      <c r="A182" s="19" t="n"/>
      <c r="E182" s="20" t="n"/>
      <c r="I182" s="14" t="n"/>
      <c r="J182" s="21" t="n"/>
      <c r="N182" s="22" t="n"/>
    </row>
    <row r="183">
      <c r="A183" s="19" t="n"/>
      <c r="E183" s="20" t="n"/>
      <c r="I183" s="14" t="n"/>
      <c r="J183" s="21" t="n"/>
      <c r="N183" s="22" t="n"/>
    </row>
    <row r="184">
      <c r="A184" s="19" t="n"/>
      <c r="E184" s="20" t="n"/>
      <c r="I184" s="14" t="n"/>
      <c r="J184" s="21" t="n"/>
      <c r="N184" s="22" t="n"/>
    </row>
    <row r="185">
      <c r="A185" s="19" t="n"/>
      <c r="E185" s="20" t="n"/>
      <c r="I185" s="14" t="n"/>
      <c r="J185" s="21" t="n"/>
      <c r="N185" s="22" t="n"/>
    </row>
    <row r="186">
      <c r="A186" s="19" t="n"/>
      <c r="E186" s="20" t="n"/>
      <c r="I186" s="14" t="n"/>
      <c r="J186" s="21" t="n"/>
      <c r="N186" s="22" t="n"/>
    </row>
    <row r="187">
      <c r="A187" s="19" t="n"/>
      <c r="E187" s="20" t="n"/>
      <c r="I187" s="14" t="n"/>
      <c r="J187" s="21" t="n"/>
      <c r="N187" s="22" t="n"/>
    </row>
    <row r="188">
      <c r="A188" s="19" t="n"/>
      <c r="E188" s="20" t="n"/>
      <c r="I188" s="14" t="n"/>
      <c r="J188" s="21" t="n"/>
      <c r="N188" s="22" t="n"/>
    </row>
    <row r="189">
      <c r="A189" s="19" t="n"/>
      <c r="E189" s="20" t="n"/>
      <c r="I189" s="14" t="n"/>
      <c r="J189" s="21" t="n"/>
      <c r="N189" s="22" t="n"/>
    </row>
    <row r="190">
      <c r="A190" s="19" t="n"/>
      <c r="E190" s="20" t="n"/>
      <c r="I190" s="14" t="n"/>
      <c r="J190" s="21" t="n"/>
      <c r="N190" s="22" t="n"/>
    </row>
    <row r="191">
      <c r="A191" s="19" t="n"/>
      <c r="E191" s="20" t="n"/>
      <c r="I191" s="14" t="n"/>
      <c r="J191" s="21" t="n"/>
      <c r="N191" s="22" t="n"/>
    </row>
    <row r="192">
      <c r="A192" s="19" t="n"/>
      <c r="E192" s="20" t="n"/>
      <c r="I192" s="14" t="n"/>
      <c r="J192" s="21" t="n"/>
      <c r="N192" s="22" t="n"/>
    </row>
    <row r="193">
      <c r="A193" s="19" t="n"/>
      <c r="E193" s="20" t="n"/>
      <c r="I193" s="14" t="n"/>
      <c r="J193" s="21" t="n"/>
      <c r="N193" s="22" t="n"/>
    </row>
    <row r="194">
      <c r="A194" s="19" t="n"/>
      <c r="E194" s="20" t="n"/>
      <c r="I194" s="14" t="n"/>
      <c r="J194" s="21" t="n"/>
      <c r="N194" s="22" t="n"/>
    </row>
    <row r="195">
      <c r="A195" s="19" t="n"/>
      <c r="E195" s="20" t="n"/>
      <c r="I195" s="14" t="n"/>
      <c r="J195" s="21" t="n"/>
      <c r="N195" s="22" t="n"/>
    </row>
    <row r="196">
      <c r="A196" s="19" t="n"/>
      <c r="E196" s="20" t="n"/>
      <c r="I196" s="14" t="n"/>
      <c r="J196" s="21" t="n"/>
      <c r="N196" s="22" t="n"/>
    </row>
    <row r="197">
      <c r="A197" s="19" t="n"/>
      <c r="E197" s="20" t="n"/>
      <c r="I197" s="14" t="n"/>
      <c r="J197" s="21" t="n"/>
      <c r="N197" s="22" t="n"/>
    </row>
    <row r="198">
      <c r="A198" s="19" t="n"/>
      <c r="E198" s="20" t="n"/>
      <c r="I198" s="14" t="n"/>
      <c r="J198" s="21" t="n"/>
      <c r="N198" s="22" t="n"/>
    </row>
    <row r="199">
      <c r="A199" s="19" t="n"/>
      <c r="E199" s="20" t="n"/>
      <c r="I199" s="14" t="n"/>
      <c r="J199" s="21" t="n"/>
      <c r="N199" s="22" t="n"/>
    </row>
    <row r="200">
      <c r="A200" s="19" t="n"/>
      <c r="E200" s="20" t="n"/>
      <c r="I200" s="14" t="n"/>
      <c r="J200" s="21" t="n"/>
      <c r="N200" s="22" t="n"/>
    </row>
    <row r="201">
      <c r="A201" s="19" t="n"/>
      <c r="E201" s="20" t="n"/>
      <c r="I201" s="14" t="n"/>
      <c r="J201" s="21" t="n"/>
      <c r="N201" s="22" t="n"/>
    </row>
    <row r="202">
      <c r="A202" s="19" t="n"/>
      <c r="E202" s="20" t="n"/>
      <c r="I202" s="14" t="n"/>
      <c r="J202" s="21" t="n"/>
      <c r="N202" s="22" t="n"/>
    </row>
    <row r="203">
      <c r="A203" s="19" t="n"/>
      <c r="E203" s="20" t="n"/>
      <c r="I203" s="14" t="n"/>
      <c r="J203" s="21" t="n"/>
      <c r="N203" s="22" t="n"/>
    </row>
    <row r="204">
      <c r="A204" s="19" t="n"/>
      <c r="E204" s="20" t="n"/>
      <c r="I204" s="14" t="n"/>
      <c r="J204" s="21" t="n"/>
      <c r="N204" s="22" t="n"/>
    </row>
    <row r="205">
      <c r="A205" s="19" t="n"/>
      <c r="E205" s="20" t="n"/>
      <c r="I205" s="14" t="n"/>
      <c r="J205" s="21" t="n"/>
      <c r="N205" s="22" t="n"/>
    </row>
    <row r="206">
      <c r="A206" s="19" t="n"/>
      <c r="E206" s="20" t="n"/>
      <c r="I206" s="14" t="n"/>
      <c r="J206" s="21" t="n"/>
      <c r="N206" s="22" t="n"/>
    </row>
    <row r="207">
      <c r="A207" s="19" t="n"/>
      <c r="E207" s="20" t="n"/>
      <c r="I207" s="14" t="n"/>
      <c r="J207" s="21" t="n"/>
      <c r="N207" s="22" t="n"/>
    </row>
    <row r="208">
      <c r="A208" s="19" t="n"/>
      <c r="E208" s="20" t="n"/>
      <c r="I208" s="14" t="n"/>
      <c r="J208" s="21" t="n"/>
      <c r="N208" s="22" t="n"/>
    </row>
    <row r="209">
      <c r="A209" s="19" t="n"/>
      <c r="E209" s="20" t="n"/>
      <c r="I209" s="14" t="n"/>
      <c r="J209" s="21" t="n"/>
      <c r="N209" s="22" t="n"/>
    </row>
    <row r="210">
      <c r="A210" s="19" t="n"/>
      <c r="E210" s="20" t="n"/>
      <c r="I210" s="14" t="n"/>
      <c r="J210" s="21" t="n"/>
      <c r="N210" s="22" t="n"/>
    </row>
    <row r="211">
      <c r="A211" s="19" t="n"/>
      <c r="E211" s="20" t="n"/>
      <c r="I211" s="14" t="n"/>
      <c r="J211" s="21" t="n"/>
      <c r="N211" s="22" t="n"/>
    </row>
    <row r="212">
      <c r="A212" s="19" t="n"/>
      <c r="E212" s="20" t="n"/>
      <c r="I212" s="14" t="n"/>
      <c r="J212" s="21" t="n"/>
      <c r="N212" s="22" t="n"/>
    </row>
    <row r="213">
      <c r="A213" s="19" t="n"/>
      <c r="E213" s="20" t="n"/>
      <c r="I213" s="14" t="n"/>
      <c r="J213" s="21" t="n"/>
      <c r="N213" s="22" t="n"/>
    </row>
    <row r="214">
      <c r="A214" s="19" t="n"/>
      <c r="E214" s="20" t="n"/>
      <c r="I214" s="14" t="n"/>
      <c r="J214" s="21" t="n"/>
      <c r="N214" s="22" t="n"/>
    </row>
    <row r="215">
      <c r="A215" s="19" t="n"/>
      <c r="E215" s="20" t="n"/>
      <c r="I215" s="14" t="n"/>
      <c r="J215" s="21" t="n"/>
      <c r="N215" s="22" t="n"/>
    </row>
    <row r="216">
      <c r="A216" s="19" t="n"/>
      <c r="E216" s="20" t="n"/>
      <c r="I216" s="14" t="n"/>
      <c r="J216" s="21" t="n"/>
      <c r="N216" s="22" t="n"/>
    </row>
    <row r="217">
      <c r="A217" s="19" t="n"/>
      <c r="E217" s="20" t="n"/>
      <c r="I217" s="14" t="n"/>
      <c r="J217" s="21" t="n"/>
      <c r="N217" s="22" t="n"/>
    </row>
    <row r="218">
      <c r="A218" s="19" t="n"/>
      <c r="E218" s="20" t="n"/>
      <c r="I218" s="14" t="n"/>
      <c r="J218" s="21" t="n"/>
      <c r="N218" s="22" t="n"/>
    </row>
    <row r="219">
      <c r="A219" s="19" t="n"/>
      <c r="E219" s="20" t="n"/>
      <c r="I219" s="14" t="n"/>
      <c r="J219" s="21" t="n"/>
      <c r="N219" s="22" t="n"/>
    </row>
    <row r="220">
      <c r="A220" s="19" t="n"/>
      <c r="E220" s="20" t="n"/>
      <c r="I220" s="14" t="n"/>
      <c r="J220" s="21" t="n"/>
      <c r="N220" s="22" t="n"/>
    </row>
    <row r="221">
      <c r="A221" s="19" t="n"/>
      <c r="E221" s="20" t="n"/>
      <c r="I221" s="14" t="n"/>
      <c r="J221" s="21" t="n"/>
      <c r="N221" s="22" t="n"/>
    </row>
    <row r="222">
      <c r="A222" s="19" t="n"/>
      <c r="E222" s="20" t="n"/>
      <c r="I222" s="14" t="n"/>
      <c r="J222" s="21" t="n"/>
      <c r="N222" s="22" t="n"/>
    </row>
    <row r="223">
      <c r="A223" s="19" t="n"/>
      <c r="E223" s="20" t="n"/>
      <c r="I223" s="14" t="n"/>
      <c r="J223" s="21" t="n"/>
      <c r="N223" s="22" t="n"/>
    </row>
    <row r="224">
      <c r="A224" s="19" t="n"/>
      <c r="E224" s="20" t="n"/>
      <c r="I224" s="14" t="n"/>
      <c r="J224" s="21" t="n"/>
      <c r="N224" s="22" t="n"/>
    </row>
    <row r="225">
      <c r="A225" s="19" t="n"/>
      <c r="E225" s="20" t="n"/>
      <c r="I225" s="14" t="n"/>
      <c r="J225" s="21" t="n"/>
      <c r="N225" s="22" t="n"/>
    </row>
    <row r="226">
      <c r="A226" s="19" t="n"/>
      <c r="E226" s="20" t="n"/>
      <c r="I226" s="14" t="n"/>
      <c r="J226" s="21" t="n"/>
      <c r="N226" s="22" t="n"/>
    </row>
    <row r="227">
      <c r="A227" s="19" t="n"/>
      <c r="E227" s="20" t="n"/>
      <c r="I227" s="14" t="n"/>
      <c r="J227" s="21" t="n"/>
      <c r="N227" s="22" t="n"/>
    </row>
    <row r="228">
      <c r="A228" s="19" t="n"/>
      <c r="E228" s="20" t="n"/>
      <c r="I228" s="14" t="n"/>
      <c r="J228" s="21" t="n"/>
      <c r="N228" s="22" t="n"/>
    </row>
    <row r="229">
      <c r="A229" s="19" t="n"/>
      <c r="E229" s="20" t="n"/>
      <c r="I229" s="14" t="n"/>
      <c r="J229" s="21" t="n"/>
      <c r="N229" s="22" t="n"/>
    </row>
    <row r="230">
      <c r="A230" s="19" t="n"/>
      <c r="E230" s="20" t="n"/>
      <c r="I230" s="14" t="n"/>
      <c r="J230" s="21" t="n"/>
      <c r="N230" s="22" t="n"/>
    </row>
    <row r="231">
      <c r="A231" s="19" t="n"/>
      <c r="E231" s="20" t="n"/>
      <c r="I231" s="14" t="n"/>
      <c r="J231" s="21" t="n"/>
      <c r="N231" s="22" t="n"/>
    </row>
    <row r="232">
      <c r="A232" s="19" t="n"/>
      <c r="E232" s="20" t="n"/>
      <c r="I232" s="14" t="n"/>
      <c r="J232" s="21" t="n"/>
      <c r="N232" s="22" t="n"/>
    </row>
    <row r="233">
      <c r="A233" s="19" t="n"/>
      <c r="E233" s="20" t="n"/>
      <c r="I233" s="14" t="n"/>
      <c r="J233" s="21" t="n"/>
      <c r="N233" s="22" t="n"/>
    </row>
    <row r="234">
      <c r="A234" s="19" t="n"/>
      <c r="E234" s="20" t="n"/>
      <c r="I234" s="14" t="n"/>
      <c r="J234" s="21" t="n"/>
      <c r="N234" s="22" t="n"/>
    </row>
    <row r="235">
      <c r="A235" s="19" t="n"/>
      <c r="E235" s="20" t="n"/>
      <c r="I235" s="14" t="n"/>
      <c r="J235" s="21" t="n"/>
      <c r="N235" s="22" t="n"/>
    </row>
    <row r="236">
      <c r="A236" s="19" t="n"/>
      <c r="E236" s="20" t="n"/>
      <c r="I236" s="14" t="n"/>
      <c r="J236" s="21" t="n"/>
      <c r="N236" s="22" t="n"/>
    </row>
    <row r="237">
      <c r="A237" s="19" t="n"/>
      <c r="E237" s="20" t="n"/>
      <c r="I237" s="14" t="n"/>
      <c r="J237" s="21" t="n"/>
      <c r="N237" s="22" t="n"/>
    </row>
    <row r="238">
      <c r="A238" s="19" t="n"/>
      <c r="E238" s="20" t="n"/>
      <c r="I238" s="14" t="n"/>
      <c r="J238" s="21" t="n"/>
      <c r="N238" s="22" t="n"/>
    </row>
    <row r="239">
      <c r="A239" s="19" t="n"/>
      <c r="E239" s="20" t="n"/>
      <c r="I239" s="14" t="n"/>
      <c r="J239" s="21" t="n"/>
      <c r="N239" s="22" t="n"/>
    </row>
    <row r="240">
      <c r="A240" s="19" t="n"/>
      <c r="E240" s="20" t="n"/>
      <c r="I240" s="14" t="n"/>
      <c r="J240" s="21" t="n"/>
      <c r="N240" s="22" t="n"/>
    </row>
    <row r="241">
      <c r="A241" s="19" t="n"/>
      <c r="E241" s="20" t="n"/>
      <c r="I241" s="14" t="n"/>
      <c r="J241" s="21" t="n"/>
      <c r="N241" s="22" t="n"/>
    </row>
    <row r="242">
      <c r="A242" s="19" t="n"/>
      <c r="E242" s="20" t="n"/>
      <c r="I242" s="14" t="n"/>
      <c r="J242" s="21" t="n"/>
      <c r="N242" s="22" t="n"/>
    </row>
    <row r="243">
      <c r="A243" s="19" t="n"/>
      <c r="E243" s="20" t="n"/>
      <c r="I243" s="14" t="n"/>
      <c r="J243" s="21" t="n"/>
      <c r="N243" s="22" t="n"/>
    </row>
    <row r="244">
      <c r="A244" s="19" t="n"/>
      <c r="E244" s="20" t="n"/>
      <c r="I244" s="14" t="n"/>
      <c r="J244" s="21" t="n"/>
      <c r="N244" s="22" t="n"/>
    </row>
    <row r="245">
      <c r="A245" s="19" t="n"/>
      <c r="E245" s="20" t="n"/>
      <c r="I245" s="14" t="n"/>
      <c r="J245" s="21" t="n"/>
      <c r="N245" s="22" t="n"/>
    </row>
    <row r="246">
      <c r="A246" s="19" t="n"/>
      <c r="E246" s="20" t="n"/>
      <c r="I246" s="14" t="n"/>
      <c r="J246" s="21" t="n"/>
      <c r="N246" s="22" t="n"/>
    </row>
    <row r="247">
      <c r="A247" s="19" t="n"/>
      <c r="E247" s="20" t="n"/>
      <c r="I247" s="14" t="n"/>
      <c r="J247" s="21" t="n"/>
      <c r="N247" s="22" t="n"/>
    </row>
    <row r="248">
      <c r="A248" s="19" t="n"/>
      <c r="E248" s="20" t="n"/>
      <c r="I248" s="14" t="n"/>
      <c r="J248" s="21" t="n"/>
      <c r="N248" s="22" t="n"/>
    </row>
    <row r="249">
      <c r="A249" s="19" t="n"/>
      <c r="E249" s="20" t="n"/>
      <c r="I249" s="14" t="n"/>
      <c r="J249" s="21" t="n"/>
      <c r="N249" s="22" t="n"/>
    </row>
    <row r="250">
      <c r="A250" s="19" t="n"/>
      <c r="E250" s="20" t="n"/>
      <c r="I250" s="14" t="n"/>
      <c r="J250" s="21" t="n"/>
      <c r="N250" s="22" t="n"/>
    </row>
    <row r="251">
      <c r="A251" s="19" t="n"/>
      <c r="E251" s="20" t="n"/>
      <c r="I251" s="14" t="n"/>
      <c r="J251" s="21" t="n"/>
      <c r="N251" s="22" t="n"/>
    </row>
    <row r="252">
      <c r="A252" s="19" t="n"/>
      <c r="E252" s="20" t="n"/>
      <c r="I252" s="14" t="n"/>
      <c r="J252" s="21" t="n"/>
      <c r="N252" s="22" t="n"/>
    </row>
    <row r="253">
      <c r="A253" s="19" t="n"/>
      <c r="E253" s="20" t="n"/>
      <c r="I253" s="14" t="n"/>
      <c r="J253" s="21" t="n"/>
      <c r="N253" s="22" t="n"/>
    </row>
    <row r="254">
      <c r="A254" s="19" t="n"/>
      <c r="E254" s="20" t="n"/>
      <c r="I254" s="14" t="n"/>
      <c r="J254" s="21" t="n"/>
      <c r="N254" s="22" t="n"/>
    </row>
    <row r="255">
      <c r="A255" s="19" t="n"/>
      <c r="E255" s="20" t="n"/>
      <c r="I255" s="14" t="n"/>
      <c r="J255" s="21" t="n"/>
      <c r="N255" s="22" t="n"/>
    </row>
    <row r="256">
      <c r="A256" s="19" t="n"/>
      <c r="E256" s="20" t="n"/>
      <c r="I256" s="14" t="n"/>
      <c r="J256" s="21" t="n"/>
      <c r="N256" s="22" t="n"/>
    </row>
    <row r="257">
      <c r="A257" s="19" t="n"/>
      <c r="E257" s="20" t="n"/>
      <c r="I257" s="14" t="n"/>
      <c r="J257" s="21" t="n"/>
      <c r="N257" s="22" t="n"/>
    </row>
    <row r="258">
      <c r="A258" s="19" t="n"/>
      <c r="E258" s="20" t="n"/>
      <c r="I258" s="14" t="n"/>
      <c r="J258" s="21" t="n"/>
      <c r="N258" s="22" t="n"/>
    </row>
    <row r="259">
      <c r="A259" s="19" t="n"/>
      <c r="E259" s="20" t="n"/>
      <c r="I259" s="14" t="n"/>
      <c r="J259" s="21" t="n"/>
      <c r="N259" s="22" t="n"/>
    </row>
    <row r="260">
      <c r="A260" s="19" t="n"/>
      <c r="E260" s="20" t="n"/>
      <c r="I260" s="14" t="n"/>
      <c r="J260" s="21" t="n"/>
      <c r="N260" s="22" t="n"/>
    </row>
    <row r="261">
      <c r="A261" s="19" t="n"/>
      <c r="E261" s="20" t="n"/>
      <c r="I261" s="14" t="n"/>
      <c r="J261" s="21" t="n"/>
      <c r="N261" s="22" t="n"/>
    </row>
    <row r="262">
      <c r="A262" s="19" t="n"/>
      <c r="E262" s="20" t="n"/>
      <c r="I262" s="14" t="n"/>
      <c r="J262" s="21" t="n"/>
      <c r="N262" s="22" t="n"/>
    </row>
    <row r="263">
      <c r="A263" s="19" t="n"/>
      <c r="E263" s="20" t="n"/>
      <c r="I263" s="14" t="n"/>
      <c r="J263" s="21" t="n"/>
      <c r="N263" s="22" t="n"/>
    </row>
    <row r="264">
      <c r="A264" s="19" t="n"/>
      <c r="E264" s="20" t="n"/>
      <c r="I264" s="14" t="n"/>
      <c r="J264" s="21" t="n"/>
      <c r="N264" s="22" t="n"/>
    </row>
    <row r="265">
      <c r="A265" s="19" t="n"/>
      <c r="E265" s="20" t="n"/>
      <c r="I265" s="14" t="n"/>
      <c r="J265" s="21" t="n"/>
      <c r="N265" s="22" t="n"/>
    </row>
    <row r="266">
      <c r="A266" s="19" t="n"/>
      <c r="E266" s="20" t="n"/>
      <c r="I266" s="14" t="n"/>
      <c r="J266" s="21" t="n"/>
      <c r="N266" s="22" t="n"/>
    </row>
    <row r="267">
      <c r="A267" s="19" t="n"/>
      <c r="E267" s="20" t="n"/>
      <c r="I267" s="14" t="n"/>
      <c r="J267" s="21" t="n"/>
      <c r="N267" s="22" t="n"/>
    </row>
    <row r="268">
      <c r="A268" s="19" t="n"/>
      <c r="E268" s="20" t="n"/>
      <c r="I268" s="14" t="n"/>
      <c r="J268" s="21" t="n"/>
      <c r="N268" s="22" t="n"/>
    </row>
    <row r="269">
      <c r="A269" s="19" t="n"/>
      <c r="E269" s="20" t="n"/>
      <c r="I269" s="14" t="n"/>
      <c r="J269" s="21" t="n"/>
      <c r="N269" s="22" t="n"/>
    </row>
    <row r="270">
      <c r="A270" s="19" t="n"/>
      <c r="E270" s="20" t="n"/>
      <c r="I270" s="14" t="n"/>
      <c r="J270" s="21" t="n"/>
      <c r="N270" s="22" t="n"/>
    </row>
    <row r="271">
      <c r="A271" s="19" t="n"/>
      <c r="E271" s="20" t="n"/>
      <c r="I271" s="14" t="n"/>
      <c r="J271" s="21" t="n"/>
      <c r="N271" s="22" t="n"/>
    </row>
    <row r="272">
      <c r="A272" s="19" t="n"/>
      <c r="E272" s="20" t="n"/>
      <c r="I272" s="14" t="n"/>
      <c r="J272" s="21" t="n"/>
      <c r="N272" s="22" t="n"/>
    </row>
    <row r="273">
      <c r="A273" s="19" t="n"/>
      <c r="E273" s="20" t="n"/>
      <c r="I273" s="14" t="n"/>
      <c r="J273" s="21" t="n"/>
      <c r="N273" s="22" t="n"/>
    </row>
    <row r="274">
      <c r="A274" s="19" t="n"/>
      <c r="E274" s="20" t="n"/>
      <c r="I274" s="14" t="n"/>
      <c r="J274" s="21" t="n"/>
      <c r="N274" s="22" t="n"/>
    </row>
    <row r="275">
      <c r="A275" s="19" t="n"/>
      <c r="E275" s="20" t="n"/>
      <c r="I275" s="14" t="n"/>
      <c r="J275" s="21" t="n"/>
      <c r="N275" s="22" t="n"/>
    </row>
    <row r="276">
      <c r="A276" s="19" t="n"/>
      <c r="E276" s="20" t="n"/>
      <c r="I276" s="14" t="n"/>
      <c r="J276" s="21" t="n"/>
      <c r="N276" s="22" t="n"/>
    </row>
    <row r="277">
      <c r="A277" s="19" t="n"/>
      <c r="E277" s="20" t="n"/>
      <c r="I277" s="14" t="n"/>
      <c r="J277" s="21" t="n"/>
      <c r="N277" s="22" t="n"/>
    </row>
    <row r="278">
      <c r="A278" s="19" t="n"/>
      <c r="E278" s="20" t="n"/>
      <c r="I278" s="14" t="n"/>
      <c r="J278" s="21" t="n"/>
      <c r="N278" s="22" t="n"/>
    </row>
    <row r="279">
      <c r="A279" s="19" t="n"/>
      <c r="E279" s="20" t="n"/>
      <c r="I279" s="14" t="n"/>
      <c r="J279" s="21" t="n"/>
      <c r="N279" s="22" t="n"/>
    </row>
    <row r="280">
      <c r="A280" s="19" t="n"/>
      <c r="E280" s="20" t="n"/>
      <c r="I280" s="14" t="n"/>
      <c r="J280" s="21" t="n"/>
      <c r="N280" s="22" t="n"/>
    </row>
    <row r="281">
      <c r="A281" s="19" t="n"/>
      <c r="E281" s="20" t="n"/>
      <c r="I281" s="14" t="n"/>
      <c r="J281" s="21" t="n"/>
      <c r="N281" s="22" t="n"/>
    </row>
    <row r="282">
      <c r="A282" s="19" t="n"/>
      <c r="E282" s="20" t="n"/>
      <c r="I282" s="14" t="n"/>
      <c r="J282" s="21" t="n"/>
      <c r="N282" s="22" t="n"/>
    </row>
    <row r="283">
      <c r="A283" s="19" t="n"/>
      <c r="E283" s="20" t="n"/>
      <c r="I283" s="14" t="n"/>
      <c r="J283" s="21" t="n"/>
      <c r="N283" s="22" t="n"/>
    </row>
    <row r="284">
      <c r="A284" s="19" t="n"/>
      <c r="E284" s="20" t="n"/>
      <c r="I284" s="14" t="n"/>
      <c r="J284" s="21" t="n"/>
      <c r="N284" s="22" t="n"/>
    </row>
    <row r="285">
      <c r="A285" s="19" t="n"/>
      <c r="E285" s="20" t="n"/>
      <c r="I285" s="14" t="n"/>
      <c r="J285" s="21" t="n"/>
      <c r="N285" s="22" t="n"/>
    </row>
    <row r="286">
      <c r="A286" s="19" t="n"/>
      <c r="E286" s="20" t="n"/>
      <c r="I286" s="14" t="n"/>
      <c r="J286" s="21" t="n"/>
      <c r="N286" s="22" t="n"/>
    </row>
    <row r="287">
      <c r="A287" s="19" t="n"/>
      <c r="E287" s="20" t="n"/>
      <c r="I287" s="14" t="n"/>
      <c r="J287" s="21" t="n"/>
      <c r="N287" s="22" t="n"/>
    </row>
    <row r="288">
      <c r="A288" s="19" t="n"/>
      <c r="E288" s="20" t="n"/>
      <c r="I288" s="14" t="n"/>
      <c r="J288" s="21" t="n"/>
      <c r="N288" s="22" t="n"/>
    </row>
    <row r="289">
      <c r="A289" s="19" t="n"/>
      <c r="E289" s="20" t="n"/>
      <c r="I289" s="14" t="n"/>
      <c r="J289" s="21" t="n"/>
      <c r="N289" s="22" t="n"/>
    </row>
    <row r="290">
      <c r="A290" s="19" t="n"/>
      <c r="E290" s="20" t="n"/>
      <c r="I290" s="14" t="n"/>
      <c r="J290" s="21" t="n"/>
      <c r="N290" s="22" t="n"/>
    </row>
    <row r="291">
      <c r="A291" s="19" t="n"/>
      <c r="E291" s="20" t="n"/>
      <c r="I291" s="14" t="n"/>
      <c r="J291" s="21" t="n"/>
      <c r="N291" s="22" t="n"/>
    </row>
    <row r="292">
      <c r="A292" s="19" t="n"/>
      <c r="E292" s="20" t="n"/>
      <c r="I292" s="14" t="n"/>
      <c r="J292" s="21" t="n"/>
      <c r="N292" s="22" t="n"/>
    </row>
    <row r="293">
      <c r="A293" s="19" t="n"/>
      <c r="E293" s="20" t="n"/>
      <c r="I293" s="14" t="n"/>
      <c r="J293" s="21" t="n"/>
      <c r="N293" s="22" t="n"/>
    </row>
    <row r="294">
      <c r="A294" s="19" t="n"/>
      <c r="E294" s="20" t="n"/>
      <c r="I294" s="14" t="n"/>
      <c r="J294" s="21" t="n"/>
      <c r="N294" s="22" t="n"/>
    </row>
    <row r="295">
      <c r="A295" s="19" t="n"/>
      <c r="E295" s="20" t="n"/>
      <c r="I295" s="14" t="n"/>
      <c r="J295" s="21" t="n"/>
      <c r="N295" s="22" t="n"/>
    </row>
    <row r="296">
      <c r="A296" s="19" t="n"/>
      <c r="E296" s="20" t="n"/>
      <c r="I296" s="14" t="n"/>
      <c r="J296" s="21" t="n"/>
      <c r="N296" s="22" t="n"/>
    </row>
    <row r="297">
      <c r="A297" s="19" t="n"/>
      <c r="E297" s="20" t="n"/>
      <c r="I297" s="14" t="n"/>
      <c r="J297" s="21" t="n"/>
      <c r="N297" s="22" t="n"/>
    </row>
    <row r="298">
      <c r="A298" s="19" t="n"/>
      <c r="E298" s="20" t="n"/>
      <c r="I298" s="14" t="n"/>
      <c r="J298" s="21" t="n"/>
      <c r="N298" s="22" t="n"/>
    </row>
    <row r="299">
      <c r="A299" s="19" t="n"/>
      <c r="E299" s="20" t="n"/>
      <c r="I299" s="14" t="n"/>
      <c r="J299" s="21" t="n"/>
      <c r="N299" s="22" t="n"/>
    </row>
    <row r="300">
      <c r="A300" s="19" t="n"/>
      <c r="E300" s="20" t="n"/>
      <c r="I300" s="14" t="n"/>
      <c r="J300" s="21" t="n"/>
      <c r="N300" s="22" t="n"/>
    </row>
    <row r="301">
      <c r="A301" s="19" t="n"/>
      <c r="E301" s="20" t="n"/>
      <c r="I301" s="14" t="n"/>
      <c r="J301" s="21" t="n"/>
      <c r="N301" s="22" t="n"/>
    </row>
    <row r="302">
      <c r="A302" s="19" t="n"/>
      <c r="E302" s="20" t="n"/>
      <c r="I302" s="14" t="n"/>
      <c r="J302" s="21" t="n"/>
      <c r="N302" s="22" t="n"/>
    </row>
    <row r="303">
      <c r="A303" s="19" t="n"/>
      <c r="E303" s="20" t="n"/>
      <c r="I303" s="14" t="n"/>
      <c r="J303" s="21" t="n"/>
      <c r="N303" s="22" t="n"/>
    </row>
    <row r="304">
      <c r="A304" s="19" t="n"/>
      <c r="E304" s="20" t="n"/>
      <c r="I304" s="14" t="n"/>
      <c r="J304" s="21" t="n"/>
      <c r="N304" s="22" t="n"/>
    </row>
    <row r="305">
      <c r="A305" s="19" t="n"/>
      <c r="E305" s="20" t="n"/>
      <c r="I305" s="14" t="n"/>
      <c r="J305" s="21" t="n"/>
      <c r="N305" s="22" t="n"/>
    </row>
    <row r="306">
      <c r="A306" s="19" t="n"/>
      <c r="E306" s="20" t="n"/>
      <c r="I306" s="14" t="n"/>
      <c r="J306" s="21" t="n"/>
      <c r="N306" s="22" t="n"/>
    </row>
    <row r="307">
      <c r="A307" s="19" t="n"/>
      <c r="E307" s="20" t="n"/>
      <c r="I307" s="14" t="n"/>
      <c r="J307" s="21" t="n"/>
      <c r="N307" s="22" t="n"/>
    </row>
    <row r="308">
      <c r="A308" s="19" t="n"/>
      <c r="E308" s="20" t="n"/>
      <c r="I308" s="14" t="n"/>
      <c r="J308" s="21" t="n"/>
      <c r="N308" s="22" t="n"/>
    </row>
    <row r="309">
      <c r="A309" s="19" t="n"/>
      <c r="E309" s="20" t="n"/>
      <c r="I309" s="14" t="n"/>
      <c r="J309" s="21" t="n"/>
      <c r="N309" s="22" t="n"/>
    </row>
    <row r="310">
      <c r="A310" s="19" t="n"/>
      <c r="E310" s="20" t="n"/>
      <c r="I310" s="14" t="n"/>
      <c r="J310" s="21" t="n"/>
      <c r="N310" s="22" t="n"/>
    </row>
    <row r="311">
      <c r="A311" s="19" t="n"/>
      <c r="E311" s="20" t="n"/>
      <c r="I311" s="14" t="n"/>
      <c r="J311" s="21" t="n"/>
      <c r="N311" s="22" t="n"/>
    </row>
    <row r="312">
      <c r="A312" s="19" t="n"/>
      <c r="E312" s="20" t="n"/>
      <c r="I312" s="14" t="n"/>
      <c r="J312" s="21" t="n"/>
      <c r="N312" s="22" t="n"/>
    </row>
    <row r="313">
      <c r="A313" s="19" t="n"/>
      <c r="E313" s="20" t="n"/>
      <c r="I313" s="14" t="n"/>
      <c r="J313" s="21" t="n"/>
      <c r="N313" s="22" t="n"/>
    </row>
    <row r="314">
      <c r="A314" s="19" t="n"/>
      <c r="E314" s="20" t="n"/>
      <c r="I314" s="14" t="n"/>
      <c r="J314" s="21" t="n"/>
      <c r="N314" s="22" t="n"/>
    </row>
    <row r="315">
      <c r="A315" s="19" t="n"/>
      <c r="E315" s="20" t="n"/>
      <c r="I315" s="14" t="n"/>
      <c r="J315" s="21" t="n"/>
      <c r="N315" s="22" t="n"/>
    </row>
    <row r="316">
      <c r="A316" s="19" t="n"/>
      <c r="E316" s="20" t="n"/>
      <c r="I316" s="14" t="n"/>
      <c r="J316" s="21" t="n"/>
      <c r="N316" s="22" t="n"/>
    </row>
    <row r="317">
      <c r="A317" s="19" t="n"/>
      <c r="E317" s="20" t="n"/>
      <c r="I317" s="14" t="n"/>
      <c r="J317" s="21" t="n"/>
      <c r="N317" s="22" t="n"/>
    </row>
    <row r="318">
      <c r="A318" s="19" t="n"/>
      <c r="E318" s="20" t="n"/>
      <c r="I318" s="14" t="n"/>
      <c r="J318" s="21" t="n"/>
      <c r="N318" s="22" t="n"/>
    </row>
    <row r="319">
      <c r="A319" s="19" t="n"/>
      <c r="E319" s="20" t="n"/>
      <c r="I319" s="14" t="n"/>
      <c r="J319" s="21" t="n"/>
      <c r="N319" s="22" t="n"/>
    </row>
    <row r="320">
      <c r="A320" s="19" t="n"/>
      <c r="E320" s="20" t="n"/>
      <c r="I320" s="14" t="n"/>
      <c r="J320" s="21" t="n"/>
      <c r="N320" s="22" t="n"/>
    </row>
    <row r="321">
      <c r="A321" s="19" t="n"/>
      <c r="E321" s="20" t="n"/>
      <c r="I321" s="14" t="n"/>
      <c r="J321" s="21" t="n"/>
      <c r="N321" s="22" t="n"/>
    </row>
    <row r="322">
      <c r="A322" s="19" t="n"/>
      <c r="E322" s="20" t="n"/>
      <c r="I322" s="14" t="n"/>
      <c r="J322" s="21" t="n"/>
      <c r="N322" s="22" t="n"/>
    </row>
    <row r="323">
      <c r="A323" s="19" t="n"/>
      <c r="E323" s="20" t="n"/>
      <c r="I323" s="14" t="n"/>
      <c r="J323" s="21" t="n"/>
      <c r="N323" s="22" t="n"/>
    </row>
    <row r="324">
      <c r="A324" s="19" t="n"/>
      <c r="E324" s="20" t="n"/>
      <c r="I324" s="14" t="n"/>
      <c r="J324" s="21" t="n"/>
      <c r="N324" s="22" t="n"/>
    </row>
    <row r="325">
      <c r="A325" s="19" t="n"/>
      <c r="E325" s="20" t="n"/>
      <c r="I325" s="14" t="n"/>
      <c r="J325" s="21" t="n"/>
      <c r="N325" s="22" t="n"/>
    </row>
    <row r="326">
      <c r="A326" s="19" t="n"/>
      <c r="E326" s="20" t="n"/>
      <c r="I326" s="14" t="n"/>
      <c r="J326" s="21" t="n"/>
      <c r="N326" s="22" t="n"/>
    </row>
    <row r="327">
      <c r="A327" s="19" t="n"/>
      <c r="E327" s="20" t="n"/>
      <c r="I327" s="14" t="n"/>
      <c r="J327" s="21" t="n"/>
      <c r="N327" s="22" t="n"/>
    </row>
    <row r="328">
      <c r="A328" s="19" t="n"/>
      <c r="E328" s="20" t="n"/>
      <c r="I328" s="14" t="n"/>
      <c r="J328" s="21" t="n"/>
      <c r="N328" s="22" t="n"/>
    </row>
    <row r="329">
      <c r="A329" s="19" t="n"/>
      <c r="E329" s="20" t="n"/>
      <c r="I329" s="14" t="n"/>
      <c r="J329" s="21" t="n"/>
      <c r="N329" s="22" t="n"/>
    </row>
    <row r="330">
      <c r="A330" s="19" t="n"/>
      <c r="E330" s="20" t="n"/>
      <c r="I330" s="14" t="n"/>
      <c r="J330" s="21" t="n"/>
      <c r="N330" s="22" t="n"/>
    </row>
    <row r="331">
      <c r="A331" s="19" t="n"/>
      <c r="E331" s="20" t="n"/>
      <c r="I331" s="14" t="n"/>
      <c r="J331" s="21" t="n"/>
      <c r="N331" s="22" t="n"/>
    </row>
    <row r="332">
      <c r="A332" s="19" t="n"/>
      <c r="E332" s="20" t="n"/>
      <c r="I332" s="14" t="n"/>
      <c r="J332" s="21" t="n"/>
      <c r="N332" s="22" t="n"/>
    </row>
    <row r="333">
      <c r="A333" s="19" t="n"/>
      <c r="E333" s="20" t="n"/>
      <c r="I333" s="14" t="n"/>
      <c r="J333" s="21" t="n"/>
      <c r="N333" s="22" t="n"/>
    </row>
    <row r="334">
      <c r="A334" s="19" t="n"/>
      <c r="E334" s="20" t="n"/>
      <c r="I334" s="14" t="n"/>
      <c r="J334" s="21" t="n"/>
      <c r="N334" s="22" t="n"/>
    </row>
    <row r="335">
      <c r="A335" s="19" t="n"/>
      <c r="E335" s="20" t="n"/>
      <c r="I335" s="14" t="n"/>
      <c r="J335" s="21" t="n"/>
      <c r="N335" s="22" t="n"/>
    </row>
    <row r="336">
      <c r="A336" s="19" t="n"/>
      <c r="E336" s="20" t="n"/>
      <c r="I336" s="14" t="n"/>
      <c r="J336" s="21" t="n"/>
      <c r="N336" s="22" t="n"/>
    </row>
    <row r="337">
      <c r="A337" s="19" t="n"/>
      <c r="E337" s="20" t="n"/>
      <c r="I337" s="14" t="n"/>
      <c r="J337" s="21" t="n"/>
      <c r="N337" s="22" t="n"/>
    </row>
    <row r="338">
      <c r="A338" s="19" t="n"/>
      <c r="E338" s="20" t="n"/>
      <c r="I338" s="14" t="n"/>
      <c r="J338" s="21" t="n"/>
      <c r="N338" s="22" t="n"/>
    </row>
    <row r="339">
      <c r="A339" s="19" t="n"/>
      <c r="E339" s="20" t="n"/>
      <c r="I339" s="14" t="n"/>
      <c r="J339" s="21" t="n"/>
      <c r="N339" s="22" t="n"/>
    </row>
    <row r="340">
      <c r="A340" s="19" t="n"/>
      <c r="E340" s="20" t="n"/>
      <c r="I340" s="14" t="n"/>
      <c r="J340" s="21" t="n"/>
      <c r="N340" s="22" t="n"/>
    </row>
    <row r="341">
      <c r="A341" s="19" t="n"/>
      <c r="E341" s="20" t="n"/>
      <c r="I341" s="14" t="n"/>
      <c r="J341" s="21" t="n"/>
      <c r="N341" s="22" t="n"/>
    </row>
    <row r="342">
      <c r="A342" s="19" t="n"/>
      <c r="E342" s="20" t="n"/>
      <c r="I342" s="14" t="n"/>
      <c r="J342" s="21" t="n"/>
      <c r="N342" s="22" t="n"/>
    </row>
    <row r="343">
      <c r="A343" s="19" t="n"/>
      <c r="E343" s="20" t="n"/>
      <c r="I343" s="14" t="n"/>
      <c r="J343" s="21" t="n"/>
      <c r="N343" s="22" t="n"/>
    </row>
    <row r="344">
      <c r="A344" s="19" t="n"/>
      <c r="E344" s="20" t="n"/>
      <c r="I344" s="14" t="n"/>
      <c r="J344" s="21" t="n"/>
      <c r="N344" s="22" t="n"/>
    </row>
    <row r="345">
      <c r="A345" s="19" t="n"/>
      <c r="E345" s="20" t="n"/>
      <c r="I345" s="14" t="n"/>
      <c r="J345" s="21" t="n"/>
      <c r="N345" s="22" t="n"/>
    </row>
    <row r="346">
      <c r="A346" s="19" t="n"/>
      <c r="E346" s="20" t="n"/>
      <c r="I346" s="14" t="n"/>
      <c r="J346" s="21" t="n"/>
      <c r="N346" s="22" t="n"/>
    </row>
    <row r="347">
      <c r="A347" s="19" t="n"/>
      <c r="E347" s="20" t="n"/>
      <c r="I347" s="14" t="n"/>
      <c r="J347" s="21" t="n"/>
      <c r="N347" s="22" t="n"/>
    </row>
    <row r="348">
      <c r="A348" s="19" t="n"/>
      <c r="E348" s="20" t="n"/>
      <c r="I348" s="14" t="n"/>
      <c r="J348" s="21" t="n"/>
      <c r="N348" s="22" t="n"/>
    </row>
    <row r="349">
      <c r="A349" s="19" t="n"/>
      <c r="E349" s="20" t="n"/>
      <c r="I349" s="14" t="n"/>
      <c r="J349" s="21" t="n"/>
      <c r="N349" s="22" t="n"/>
    </row>
    <row r="350">
      <c r="A350" s="19" t="n"/>
      <c r="E350" s="20" t="n"/>
      <c r="I350" s="14" t="n"/>
      <c r="J350" s="21" t="n"/>
      <c r="N350" s="22" t="n"/>
    </row>
    <row r="351">
      <c r="A351" s="19" t="n"/>
      <c r="E351" s="20" t="n"/>
      <c r="I351" s="14" t="n"/>
      <c r="J351" s="21" t="n"/>
      <c r="N351" s="22" t="n"/>
    </row>
    <row r="352">
      <c r="A352" s="19" t="n"/>
      <c r="E352" s="20" t="n"/>
      <c r="I352" s="14" t="n"/>
      <c r="J352" s="21" t="n"/>
      <c r="N352" s="22" t="n"/>
    </row>
    <row r="353">
      <c r="A353" s="19" t="n"/>
      <c r="E353" s="20" t="n"/>
      <c r="I353" s="14" t="n"/>
      <c r="J353" s="21" t="n"/>
      <c r="N353" s="22" t="n"/>
    </row>
    <row r="354">
      <c r="A354" s="19" t="n"/>
      <c r="E354" s="20" t="n"/>
      <c r="I354" s="14" t="n"/>
      <c r="J354" s="21" t="n"/>
      <c r="N354" s="22" t="n"/>
    </row>
    <row r="355">
      <c r="A355" s="19" t="n"/>
      <c r="E355" s="20" t="n"/>
      <c r="I355" s="14" t="n"/>
      <c r="J355" s="21" t="n"/>
      <c r="N355" s="22" t="n"/>
    </row>
    <row r="356">
      <c r="A356" s="19" t="n"/>
      <c r="E356" s="20" t="n"/>
      <c r="I356" s="14" t="n"/>
      <c r="J356" s="21" t="n"/>
      <c r="N356" s="22" t="n"/>
    </row>
    <row r="357">
      <c r="A357" s="19" t="n"/>
      <c r="E357" s="20" t="n"/>
      <c r="I357" s="14" t="n"/>
      <c r="J357" s="21" t="n"/>
      <c r="N357" s="22" t="n"/>
    </row>
    <row r="358">
      <c r="A358" s="19" t="n"/>
      <c r="E358" s="20" t="n"/>
      <c r="I358" s="14" t="n"/>
      <c r="J358" s="21" t="n"/>
      <c r="N358" s="22" t="n"/>
    </row>
    <row r="359">
      <c r="A359" s="19" t="n"/>
      <c r="E359" s="20" t="n"/>
      <c r="I359" s="14" t="n"/>
      <c r="J359" s="21" t="n"/>
      <c r="N359" s="22" t="n"/>
    </row>
    <row r="360">
      <c r="A360" s="19" t="n"/>
      <c r="E360" s="20" t="n"/>
      <c r="I360" s="14" t="n"/>
      <c r="J360" s="21" t="n"/>
      <c r="N360" s="22" t="n"/>
    </row>
    <row r="361">
      <c r="A361" s="19" t="n"/>
      <c r="E361" s="20" t="n"/>
      <c r="I361" s="14" t="n"/>
      <c r="J361" s="21" t="n"/>
      <c r="N361" s="22" t="n"/>
    </row>
    <row r="362">
      <c r="A362" s="19" t="n"/>
      <c r="E362" s="20" t="n"/>
      <c r="I362" s="14" t="n"/>
      <c r="J362" s="21" t="n"/>
      <c r="N362" s="22" t="n"/>
    </row>
    <row r="363">
      <c r="A363" s="19" t="n"/>
      <c r="E363" s="20" t="n"/>
      <c r="I363" s="14" t="n"/>
      <c r="J363" s="21" t="n"/>
      <c r="N363" s="22" t="n"/>
    </row>
    <row r="364">
      <c r="A364" s="19" t="n"/>
      <c r="E364" s="20" t="n"/>
      <c r="I364" s="14" t="n"/>
      <c r="J364" s="21" t="n"/>
      <c r="N364" s="22" t="n"/>
    </row>
    <row r="365">
      <c r="A365" s="19" t="n"/>
      <c r="E365" s="20" t="n"/>
      <c r="I365" s="14" t="n"/>
      <c r="J365" s="21" t="n"/>
      <c r="N365" s="22" t="n"/>
    </row>
    <row r="366">
      <c r="A366" s="19" t="n"/>
      <c r="E366" s="20" t="n"/>
      <c r="I366" s="14" t="n"/>
      <c r="J366" s="21" t="n"/>
      <c r="N366" s="22" t="n"/>
    </row>
    <row r="367">
      <c r="A367" s="19" t="n"/>
      <c r="E367" s="20" t="n"/>
      <c r="I367" s="14" t="n"/>
      <c r="J367" s="21" t="n"/>
      <c r="N367" s="22" t="n"/>
    </row>
    <row r="368">
      <c r="A368" s="19" t="n"/>
      <c r="E368" s="20" t="n"/>
      <c r="I368" s="14" t="n"/>
      <c r="J368" s="21" t="n"/>
      <c r="N368" s="22" t="n"/>
    </row>
    <row r="369">
      <c r="A369" s="19" t="n"/>
      <c r="E369" s="20" t="n"/>
      <c r="I369" s="14" t="n"/>
      <c r="J369" s="21" t="n"/>
      <c r="N369" s="22" t="n"/>
    </row>
    <row r="370">
      <c r="A370" s="19" t="n"/>
      <c r="E370" s="20" t="n"/>
      <c r="I370" s="14" t="n"/>
      <c r="J370" s="21" t="n"/>
      <c r="N370" s="22" t="n"/>
    </row>
    <row r="371">
      <c r="A371" s="19" t="n"/>
      <c r="E371" s="20" t="n"/>
      <c r="I371" s="14" t="n"/>
      <c r="J371" s="21" t="n"/>
      <c r="N371" s="22" t="n"/>
    </row>
    <row r="372">
      <c r="A372" s="19" t="n"/>
      <c r="E372" s="20" t="n"/>
      <c r="I372" s="14" t="n"/>
      <c r="J372" s="21" t="n"/>
      <c r="N372" s="22" t="n"/>
    </row>
    <row r="373">
      <c r="A373" s="19" t="n"/>
      <c r="E373" s="20" t="n"/>
      <c r="I373" s="14" t="n"/>
      <c r="J373" s="21" t="n"/>
      <c r="N373" s="22" t="n"/>
    </row>
    <row r="374">
      <c r="A374" s="19" t="n"/>
      <c r="E374" s="20" t="n"/>
      <c r="I374" s="14" t="n"/>
      <c r="J374" s="21" t="n"/>
      <c r="N374" s="22" t="n"/>
    </row>
    <row r="375">
      <c r="A375" s="19" t="n"/>
      <c r="E375" s="20" t="n"/>
      <c r="I375" s="14" t="n"/>
      <c r="J375" s="21" t="n"/>
      <c r="N375" s="22" t="n"/>
    </row>
    <row r="376">
      <c r="A376" s="19" t="n"/>
      <c r="E376" s="20" t="n"/>
      <c r="I376" s="14" t="n"/>
      <c r="J376" s="21" t="n"/>
      <c r="N376" s="22" t="n"/>
    </row>
    <row r="377">
      <c r="A377" s="19" t="n"/>
      <c r="E377" s="20" t="n"/>
      <c r="I377" s="14" t="n"/>
      <c r="J377" s="21" t="n"/>
      <c r="N377" s="22" t="n"/>
    </row>
    <row r="378">
      <c r="A378" s="19" t="n"/>
      <c r="E378" s="20" t="n"/>
      <c r="I378" s="14" t="n"/>
      <c r="J378" s="21" t="n"/>
      <c r="N378" s="22" t="n"/>
    </row>
    <row r="379">
      <c r="A379" s="19" t="n"/>
      <c r="E379" s="20" t="n"/>
      <c r="I379" s="14" t="n"/>
      <c r="J379" s="21" t="n"/>
      <c r="N379" s="22" t="n"/>
    </row>
    <row r="380">
      <c r="A380" s="19" t="n"/>
      <c r="E380" s="20" t="n"/>
      <c r="I380" s="14" t="n"/>
      <c r="J380" s="21" t="n"/>
      <c r="N380" s="22" t="n"/>
    </row>
    <row r="381">
      <c r="A381" s="19" t="n"/>
      <c r="E381" s="20" t="n"/>
      <c r="I381" s="14" t="n"/>
      <c r="J381" s="21" t="n"/>
      <c r="N381" s="22" t="n"/>
    </row>
    <row r="382">
      <c r="A382" s="19" t="n"/>
      <c r="E382" s="20" t="n"/>
      <c r="I382" s="14" t="n"/>
      <c r="J382" s="21" t="n"/>
      <c r="N382" s="22" t="n"/>
    </row>
    <row r="383">
      <c r="A383" s="19" t="n"/>
      <c r="E383" s="20" t="n"/>
      <c r="I383" s="14" t="n"/>
      <c r="J383" s="21" t="n"/>
      <c r="N383" s="22" t="n"/>
    </row>
    <row r="384">
      <c r="A384" s="19" t="n"/>
      <c r="E384" s="20" t="n"/>
      <c r="I384" s="14" t="n"/>
      <c r="J384" s="21" t="n"/>
      <c r="N384" s="22" t="n"/>
    </row>
    <row r="385">
      <c r="A385" s="19" t="n"/>
      <c r="E385" s="20" t="n"/>
      <c r="I385" s="14" t="n"/>
      <c r="J385" s="21" t="n"/>
      <c r="N385" s="22" t="n"/>
    </row>
    <row r="386">
      <c r="A386" s="19" t="n"/>
      <c r="E386" s="20" t="n"/>
      <c r="I386" s="14" t="n"/>
      <c r="J386" s="21" t="n"/>
      <c r="N386" s="22" t="n"/>
    </row>
    <row r="387">
      <c r="A387" s="19" t="n"/>
      <c r="E387" s="20" t="n"/>
      <c r="I387" s="14" t="n"/>
      <c r="J387" s="21" t="n"/>
      <c r="N387" s="22" t="n"/>
    </row>
    <row r="388">
      <c r="A388" s="19" t="n"/>
      <c r="E388" s="20" t="n"/>
      <c r="I388" s="14" t="n"/>
      <c r="J388" s="21" t="n"/>
      <c r="N388" s="22" t="n"/>
    </row>
    <row r="389">
      <c r="A389" s="19" t="n"/>
      <c r="E389" s="20" t="n"/>
      <c r="I389" s="14" t="n"/>
      <c r="J389" s="21" t="n"/>
      <c r="N389" s="22" t="n"/>
    </row>
    <row r="390">
      <c r="A390" s="19" t="n"/>
      <c r="E390" s="20" t="n"/>
      <c r="I390" s="14" t="n"/>
      <c r="J390" s="21" t="n"/>
      <c r="N390" s="22" t="n"/>
    </row>
    <row r="391">
      <c r="A391" s="19" t="n"/>
      <c r="E391" s="20" t="n"/>
      <c r="I391" s="14" t="n"/>
      <c r="J391" s="21" t="n"/>
      <c r="N391" s="22" t="n"/>
    </row>
    <row r="392">
      <c r="A392" s="19" t="n"/>
      <c r="E392" s="20" t="n"/>
      <c r="I392" s="14" t="n"/>
      <c r="J392" s="21" t="n"/>
      <c r="N392" s="22" t="n"/>
    </row>
    <row r="393">
      <c r="A393" s="19" t="n"/>
      <c r="E393" s="20" t="n"/>
      <c r="I393" s="14" t="n"/>
      <c r="J393" s="21" t="n"/>
      <c r="N393" s="22" t="n"/>
    </row>
    <row r="394">
      <c r="A394" s="19" t="n"/>
      <c r="E394" s="20" t="n"/>
      <c r="I394" s="14" t="n"/>
      <c r="J394" s="21" t="n"/>
      <c r="N394" s="22" t="n"/>
    </row>
    <row r="395">
      <c r="A395" s="19" t="n"/>
      <c r="E395" s="20" t="n"/>
      <c r="I395" s="14" t="n"/>
      <c r="J395" s="21" t="n"/>
      <c r="N395" s="22" t="n"/>
    </row>
    <row r="396">
      <c r="A396" s="19" t="n"/>
      <c r="E396" s="20" t="n"/>
      <c r="I396" s="14" t="n"/>
      <c r="J396" s="21" t="n"/>
      <c r="N396" s="22" t="n"/>
    </row>
    <row r="397">
      <c r="A397" s="19" t="n"/>
      <c r="E397" s="20" t="n"/>
      <c r="I397" s="14" t="n"/>
      <c r="J397" s="21" t="n"/>
      <c r="N397" s="22" t="n"/>
    </row>
    <row r="398">
      <c r="A398" s="19" t="n"/>
      <c r="E398" s="20" t="n"/>
      <c r="I398" s="14" t="n"/>
      <c r="J398" s="21" t="n"/>
      <c r="N398" s="22" t="n"/>
    </row>
    <row r="399">
      <c r="A399" s="19" t="n"/>
      <c r="E399" s="20" t="n"/>
      <c r="I399" s="14" t="n"/>
      <c r="J399" s="21" t="n"/>
      <c r="N399" s="22" t="n"/>
    </row>
    <row r="400">
      <c r="A400" s="19" t="n"/>
      <c r="E400" s="20" t="n"/>
      <c r="I400" s="14" t="n"/>
      <c r="J400" s="21" t="n"/>
      <c r="N400" s="22" t="n"/>
    </row>
    <row r="401">
      <c r="A401" s="19" t="n"/>
      <c r="E401" s="20" t="n"/>
      <c r="I401" s="14" t="n"/>
      <c r="J401" s="21" t="n"/>
      <c r="N401" s="22" t="n"/>
    </row>
    <row r="402">
      <c r="A402" s="19" t="n"/>
      <c r="E402" s="20" t="n"/>
      <c r="I402" s="14" t="n"/>
      <c r="J402" s="21" t="n"/>
      <c r="N402" s="22" t="n"/>
    </row>
    <row r="403">
      <c r="A403" s="19" t="n"/>
      <c r="E403" s="20" t="n"/>
      <c r="I403" s="14" t="n"/>
      <c r="J403" s="21" t="n"/>
      <c r="N403" s="22" t="n"/>
    </row>
    <row r="404">
      <c r="A404" s="19" t="n"/>
      <c r="E404" s="20" t="n"/>
      <c r="I404" s="14" t="n"/>
      <c r="J404" s="21" t="n"/>
      <c r="N404" s="22" t="n"/>
    </row>
    <row r="405">
      <c r="A405" s="19" t="n"/>
      <c r="E405" s="20" t="n"/>
      <c r="I405" s="14" t="n"/>
      <c r="J405" s="21" t="n"/>
      <c r="N405" s="22" t="n"/>
    </row>
    <row r="406">
      <c r="A406" s="19" t="n"/>
      <c r="E406" s="20" t="n"/>
      <c r="I406" s="14" t="n"/>
      <c r="J406" s="21" t="n"/>
      <c r="N406" s="22" t="n"/>
    </row>
    <row r="407">
      <c r="A407" s="19" t="n"/>
      <c r="E407" s="20" t="n"/>
      <c r="I407" s="14" t="n"/>
      <c r="J407" s="21" t="n"/>
      <c r="N407" s="22" t="n"/>
    </row>
    <row r="408">
      <c r="A408" s="19" t="n"/>
      <c r="E408" s="20" t="n"/>
      <c r="I408" s="14" t="n"/>
      <c r="J408" s="21" t="n"/>
      <c r="N408" s="22" t="n"/>
    </row>
    <row r="409">
      <c r="A409" s="19" t="n"/>
      <c r="E409" s="20" t="n"/>
      <c r="I409" s="14" t="n"/>
      <c r="J409" s="21" t="n"/>
      <c r="N409" s="22" t="n"/>
    </row>
    <row r="410">
      <c r="A410" s="19" t="n"/>
      <c r="E410" s="20" t="n"/>
      <c r="I410" s="14" t="n"/>
      <c r="J410" s="21" t="n"/>
      <c r="N410" s="22" t="n"/>
    </row>
    <row r="411">
      <c r="A411" s="19" t="n"/>
      <c r="E411" s="20" t="n"/>
      <c r="I411" s="14" t="n"/>
      <c r="J411" s="21" t="n"/>
      <c r="N411" s="22" t="n"/>
    </row>
    <row r="412">
      <c r="A412" s="19" t="n"/>
      <c r="E412" s="20" t="n"/>
      <c r="I412" s="14" t="n"/>
      <c r="J412" s="21" t="n"/>
      <c r="N412" s="22" t="n"/>
    </row>
    <row r="413">
      <c r="A413" s="19" t="n"/>
      <c r="E413" s="20" t="n"/>
      <c r="I413" s="14" t="n"/>
      <c r="J413" s="21" t="n"/>
      <c r="N413" s="22" t="n"/>
    </row>
    <row r="414">
      <c r="A414" s="19" t="n"/>
      <c r="E414" s="20" t="n"/>
      <c r="I414" s="14" t="n"/>
      <c r="J414" s="21" t="n"/>
      <c r="N414" s="22" t="n"/>
    </row>
    <row r="415">
      <c r="A415" s="19" t="n"/>
      <c r="E415" s="20" t="n"/>
      <c r="I415" s="14" t="n"/>
      <c r="J415" s="21" t="n"/>
      <c r="N415" s="22" t="n"/>
    </row>
    <row r="416">
      <c r="A416" s="19" t="n"/>
      <c r="E416" s="20" t="n"/>
      <c r="I416" s="14" t="n"/>
      <c r="J416" s="21" t="n"/>
      <c r="N416" s="22" t="n"/>
    </row>
    <row r="417">
      <c r="A417" s="19" t="n"/>
      <c r="E417" s="20" t="n"/>
      <c r="I417" s="14" t="n"/>
      <c r="J417" s="21" t="n"/>
      <c r="N417" s="22" t="n"/>
    </row>
    <row r="418">
      <c r="A418" s="19" t="n"/>
      <c r="E418" s="20" t="n"/>
      <c r="I418" s="14" t="n"/>
      <c r="J418" s="21" t="n"/>
      <c r="N418" s="22" t="n"/>
    </row>
    <row r="419">
      <c r="A419" s="19" t="n"/>
      <c r="E419" s="20" t="n"/>
      <c r="I419" s="14" t="n"/>
      <c r="J419" s="21" t="n"/>
      <c r="N419" s="22" t="n"/>
    </row>
    <row r="420">
      <c r="A420" s="19" t="n"/>
      <c r="E420" s="20" t="n"/>
      <c r="I420" s="14" t="n"/>
      <c r="J420" s="21" t="n"/>
      <c r="N420" s="22" t="n"/>
    </row>
    <row r="421">
      <c r="A421" s="19" t="n"/>
      <c r="E421" s="20" t="n"/>
      <c r="I421" s="14" t="n"/>
      <c r="J421" s="21" t="n"/>
      <c r="N421" s="22" t="n"/>
    </row>
    <row r="422">
      <c r="A422" s="19" t="n"/>
      <c r="E422" s="20" t="n"/>
      <c r="I422" s="14" t="n"/>
      <c r="J422" s="21" t="n"/>
      <c r="N422" s="22" t="n"/>
    </row>
    <row r="423">
      <c r="A423" s="19" t="n"/>
      <c r="E423" s="20" t="n"/>
      <c r="I423" s="14" t="n"/>
      <c r="J423" s="21" t="n"/>
      <c r="N423" s="22" t="n"/>
    </row>
    <row r="424">
      <c r="A424" s="19" t="n"/>
      <c r="E424" s="20" t="n"/>
      <c r="I424" s="14" t="n"/>
      <c r="J424" s="21" t="n"/>
      <c r="N424" s="22" t="n"/>
    </row>
    <row r="425">
      <c r="A425" s="19" t="n"/>
      <c r="E425" s="20" t="n"/>
      <c r="I425" s="14" t="n"/>
      <c r="J425" s="21" t="n"/>
      <c r="N425" s="22" t="n"/>
    </row>
    <row r="426">
      <c r="A426" s="19" t="n"/>
      <c r="E426" s="20" t="n"/>
      <c r="I426" s="14" t="n"/>
      <c r="J426" s="21" t="n"/>
      <c r="N426" s="22" t="n"/>
    </row>
    <row r="427">
      <c r="A427" s="19" t="n"/>
      <c r="E427" s="20" t="n"/>
      <c r="I427" s="14" t="n"/>
      <c r="J427" s="21" t="n"/>
      <c r="N427" s="22" t="n"/>
    </row>
    <row r="428">
      <c r="A428" s="19" t="n"/>
      <c r="E428" s="20" t="n"/>
      <c r="I428" s="14" t="n"/>
      <c r="J428" s="21" t="n"/>
      <c r="N428" s="22" t="n"/>
    </row>
    <row r="429">
      <c r="A429" s="19" t="n"/>
      <c r="E429" s="20" t="n"/>
      <c r="I429" s="14" t="n"/>
      <c r="J429" s="21" t="n"/>
      <c r="N429" s="22" t="n"/>
    </row>
    <row r="430">
      <c r="A430" s="19" t="n"/>
      <c r="E430" s="20" t="n"/>
      <c r="I430" s="14" t="n"/>
      <c r="J430" s="21" t="n"/>
      <c r="N430" s="22" t="n"/>
    </row>
    <row r="431">
      <c r="A431" s="19" t="n"/>
      <c r="E431" s="20" t="n"/>
      <c r="I431" s="14" t="n"/>
      <c r="J431" s="21" t="n"/>
      <c r="N431" s="22" t="n"/>
    </row>
    <row r="432">
      <c r="A432" s="19" t="n"/>
      <c r="E432" s="20" t="n"/>
      <c r="I432" s="14" t="n"/>
      <c r="J432" s="21" t="n"/>
      <c r="N432" s="22" t="n"/>
    </row>
    <row r="433">
      <c r="A433" s="19" t="n"/>
      <c r="E433" s="20" t="n"/>
      <c r="I433" s="14" t="n"/>
      <c r="J433" s="21" t="n"/>
      <c r="N433" s="22" t="n"/>
    </row>
    <row r="434">
      <c r="A434" s="19" t="n"/>
      <c r="E434" s="20" t="n"/>
      <c r="I434" s="14" t="n"/>
      <c r="J434" s="21" t="n"/>
      <c r="N434" s="22" t="n"/>
    </row>
    <row r="435">
      <c r="A435" s="19" t="n"/>
      <c r="E435" s="20" t="n"/>
      <c r="I435" s="14" t="n"/>
      <c r="J435" s="21" t="n"/>
      <c r="N435" s="22" t="n"/>
    </row>
    <row r="436">
      <c r="A436" s="19" t="n"/>
      <c r="E436" s="20" t="n"/>
      <c r="I436" s="14" t="n"/>
      <c r="J436" s="21" t="n"/>
      <c r="N436" s="22" t="n"/>
    </row>
    <row r="437">
      <c r="A437" s="19" t="n"/>
      <c r="E437" s="20" t="n"/>
      <c r="I437" s="14" t="n"/>
      <c r="J437" s="21" t="n"/>
      <c r="N437" s="22" t="n"/>
    </row>
    <row r="438">
      <c r="A438" s="19" t="n"/>
      <c r="E438" s="20" t="n"/>
      <c r="I438" s="14" t="n"/>
      <c r="J438" s="21" t="n"/>
      <c r="N438" s="22" t="n"/>
    </row>
    <row r="439">
      <c r="A439" s="19" t="n"/>
      <c r="E439" s="20" t="n"/>
      <c r="I439" s="14" t="n"/>
      <c r="J439" s="21" t="n"/>
      <c r="N439" s="22" t="n"/>
    </row>
    <row r="440">
      <c r="A440" s="19" t="n"/>
      <c r="E440" s="20" t="n"/>
      <c r="I440" s="14" t="n"/>
      <c r="J440" s="21" t="n"/>
      <c r="N440" s="22" t="n"/>
    </row>
    <row r="441">
      <c r="A441" s="19" t="n"/>
      <c r="E441" s="20" t="n"/>
      <c r="I441" s="14" t="n"/>
      <c r="J441" s="21" t="n"/>
      <c r="N441" s="22" t="n"/>
    </row>
    <row r="442">
      <c r="A442" s="19" t="n"/>
      <c r="E442" s="20" t="n"/>
      <c r="I442" s="14" t="n"/>
      <c r="J442" s="21" t="n"/>
      <c r="N442" s="22" t="n"/>
    </row>
    <row r="443">
      <c r="A443" s="19" t="n"/>
      <c r="E443" s="20" t="n"/>
      <c r="I443" s="14" t="n"/>
      <c r="J443" s="21" t="n"/>
      <c r="N443" s="22" t="n"/>
    </row>
    <row r="444">
      <c r="A444" s="19" t="n"/>
      <c r="E444" s="20" t="n"/>
      <c r="I444" s="14" t="n"/>
      <c r="J444" s="21" t="n"/>
      <c r="N444" s="22" t="n"/>
    </row>
    <row r="445">
      <c r="A445" s="19" t="n"/>
      <c r="E445" s="20" t="n"/>
      <c r="I445" s="14" t="n"/>
      <c r="J445" s="21" t="n"/>
      <c r="N445" s="22" t="n"/>
    </row>
    <row r="446">
      <c r="A446" s="19" t="n"/>
      <c r="E446" s="20" t="n"/>
      <c r="I446" s="14" t="n"/>
      <c r="J446" s="21" t="n"/>
      <c r="N446" s="22" t="n"/>
    </row>
    <row r="447">
      <c r="A447" s="19" t="n"/>
      <c r="E447" s="20" t="n"/>
      <c r="I447" s="14" t="n"/>
      <c r="J447" s="21" t="n"/>
      <c r="N447" s="22" t="n"/>
    </row>
    <row r="448">
      <c r="A448" s="19" t="n"/>
      <c r="E448" s="20" t="n"/>
      <c r="I448" s="14" t="n"/>
      <c r="J448" s="21" t="n"/>
      <c r="N448" s="22" t="n"/>
    </row>
    <row r="449">
      <c r="A449" s="19" t="n"/>
      <c r="E449" s="20" t="n"/>
      <c r="I449" s="14" t="n"/>
      <c r="J449" s="21" t="n"/>
      <c r="N449" s="22" t="n"/>
    </row>
    <row r="450">
      <c r="A450" s="19" t="n"/>
      <c r="E450" s="20" t="n"/>
      <c r="I450" s="14" t="n"/>
      <c r="J450" s="21" t="n"/>
      <c r="N450" s="22" t="n"/>
    </row>
    <row r="451">
      <c r="A451" s="19" t="n"/>
      <c r="E451" s="20" t="n"/>
      <c r="I451" s="14" t="n"/>
      <c r="J451" s="21" t="n"/>
      <c r="N451" s="22" t="n"/>
    </row>
    <row r="452">
      <c r="A452" s="19" t="n"/>
      <c r="E452" s="20" t="n"/>
      <c r="I452" s="14" t="n"/>
      <c r="J452" s="21" t="n"/>
      <c r="N452" s="22" t="n"/>
    </row>
    <row r="453">
      <c r="A453" s="19" t="n"/>
      <c r="E453" s="20" t="n"/>
      <c r="I453" s="14" t="n"/>
      <c r="J453" s="21" t="n"/>
      <c r="N453" s="22" t="n"/>
    </row>
    <row r="454">
      <c r="A454" s="19" t="n"/>
      <c r="E454" s="20" t="n"/>
      <c r="I454" s="14" t="n"/>
      <c r="J454" s="21" t="n"/>
      <c r="N454" s="22" t="n"/>
    </row>
    <row r="455">
      <c r="A455" s="19" t="n"/>
      <c r="E455" s="20" t="n"/>
      <c r="I455" s="14" t="n"/>
      <c r="J455" s="21" t="n"/>
      <c r="N455" s="22" t="n"/>
    </row>
    <row r="456">
      <c r="A456" s="19" t="n"/>
      <c r="E456" s="20" t="n"/>
      <c r="I456" s="14" t="n"/>
      <c r="J456" s="21" t="n"/>
      <c r="N456" s="22" t="n"/>
    </row>
    <row r="457">
      <c r="A457" s="19" t="n"/>
      <c r="E457" s="20" t="n"/>
      <c r="I457" s="14" t="n"/>
      <c r="J457" s="21" t="n"/>
      <c r="N457" s="22" t="n"/>
    </row>
    <row r="458">
      <c r="A458" s="19" t="n"/>
      <c r="E458" s="20" t="n"/>
      <c r="I458" s="14" t="n"/>
      <c r="J458" s="21" t="n"/>
      <c r="N458" s="22" t="n"/>
    </row>
    <row r="459">
      <c r="A459" s="19" t="n"/>
      <c r="E459" s="20" t="n"/>
      <c r="I459" s="14" t="n"/>
      <c r="J459" s="21" t="n"/>
      <c r="N459" s="22" t="n"/>
    </row>
    <row r="460">
      <c r="A460" s="19" t="n"/>
      <c r="E460" s="20" t="n"/>
      <c r="I460" s="14" t="n"/>
      <c r="J460" s="21" t="n"/>
      <c r="N460" s="22" t="n"/>
    </row>
    <row r="461">
      <c r="A461" s="19" t="n"/>
      <c r="E461" s="20" t="n"/>
      <c r="I461" s="14" t="n"/>
      <c r="J461" s="21" t="n"/>
      <c r="N461" s="22" t="n"/>
    </row>
    <row r="462">
      <c r="A462" s="19" t="n"/>
      <c r="E462" s="20" t="n"/>
      <c r="I462" s="14" t="n"/>
      <c r="J462" s="21" t="n"/>
      <c r="N462" s="22" t="n"/>
    </row>
    <row r="463">
      <c r="A463" s="19" t="n"/>
      <c r="E463" s="20" t="n"/>
      <c r="I463" s="14" t="n"/>
      <c r="J463" s="21" t="n"/>
      <c r="N463" s="22" t="n"/>
    </row>
    <row r="464">
      <c r="A464" s="19" t="n"/>
      <c r="E464" s="20" t="n"/>
      <c r="I464" s="14" t="n"/>
      <c r="J464" s="21" t="n"/>
      <c r="N464" s="22" t="n"/>
    </row>
    <row r="465">
      <c r="A465" s="19" t="n"/>
      <c r="E465" s="20" t="n"/>
      <c r="I465" s="14" t="n"/>
      <c r="J465" s="21" t="n"/>
      <c r="N465" s="22" t="n"/>
    </row>
    <row r="466">
      <c r="A466" s="19" t="n"/>
      <c r="E466" s="20" t="n"/>
      <c r="I466" s="14" t="n"/>
      <c r="J466" s="21" t="n"/>
      <c r="N466" s="22" t="n"/>
    </row>
    <row r="467">
      <c r="A467" s="19" t="n"/>
      <c r="E467" s="20" t="n"/>
      <c r="I467" s="14" t="n"/>
      <c r="J467" s="21" t="n"/>
      <c r="N467" s="22" t="n"/>
    </row>
    <row r="468">
      <c r="A468" s="19" t="n"/>
      <c r="E468" s="20" t="n"/>
      <c r="I468" s="14" t="n"/>
      <c r="J468" s="21" t="n"/>
      <c r="N468" s="22" t="n"/>
    </row>
    <row r="469">
      <c r="A469" s="19" t="n"/>
      <c r="E469" s="20" t="n"/>
      <c r="I469" s="14" t="n"/>
      <c r="J469" s="21" t="n"/>
      <c r="N469" s="22" t="n"/>
    </row>
    <row r="470">
      <c r="A470" s="19" t="n"/>
      <c r="E470" s="20" t="n"/>
      <c r="I470" s="14" t="n"/>
      <c r="J470" s="21" t="n"/>
      <c r="N470" s="22" t="n"/>
    </row>
    <row r="471">
      <c r="A471" s="19" t="n"/>
      <c r="E471" s="20" t="n"/>
      <c r="I471" s="14" t="n"/>
      <c r="J471" s="21" t="n"/>
      <c r="N471" s="22" t="n"/>
    </row>
    <row r="472">
      <c r="A472" s="19" t="n"/>
      <c r="E472" s="20" t="n"/>
      <c r="I472" s="14" t="n"/>
      <c r="J472" s="21" t="n"/>
      <c r="N472" s="22" t="n"/>
    </row>
    <row r="473">
      <c r="A473" s="19" t="n"/>
      <c r="E473" s="20" t="n"/>
      <c r="I473" s="14" t="n"/>
      <c r="J473" s="21" t="n"/>
      <c r="N473" s="22" t="n"/>
    </row>
    <row r="474">
      <c r="A474" s="19" t="n"/>
      <c r="E474" s="20" t="n"/>
      <c r="I474" s="14" t="n"/>
      <c r="J474" s="21" t="n"/>
      <c r="N474" s="22" t="n"/>
    </row>
    <row r="475">
      <c r="A475" s="19" t="n"/>
      <c r="E475" s="20" t="n"/>
      <c r="I475" s="14" t="n"/>
      <c r="J475" s="21" t="n"/>
      <c r="N475" s="22" t="n"/>
    </row>
    <row r="476">
      <c r="A476" s="19" t="n"/>
      <c r="E476" s="20" t="n"/>
      <c r="I476" s="14" t="n"/>
      <c r="J476" s="21" t="n"/>
      <c r="N476" s="22" t="n"/>
    </row>
    <row r="477">
      <c r="A477" s="19" t="n"/>
      <c r="E477" s="20" t="n"/>
      <c r="I477" s="14" t="n"/>
      <c r="J477" s="21" t="n"/>
      <c r="N477" s="22" t="n"/>
    </row>
    <row r="478">
      <c r="A478" s="19" t="n"/>
      <c r="E478" s="20" t="n"/>
      <c r="I478" s="14" t="n"/>
      <c r="J478" s="21" t="n"/>
      <c r="N478" s="22" t="n"/>
    </row>
    <row r="479">
      <c r="A479" s="19" t="n"/>
      <c r="E479" s="20" t="n"/>
      <c r="I479" s="14" t="n"/>
      <c r="J479" s="21" t="n"/>
      <c r="N479" s="22" t="n"/>
    </row>
    <row r="480">
      <c r="A480" s="19" t="n"/>
      <c r="E480" s="20" t="n"/>
      <c r="I480" s="14" t="n"/>
      <c r="J480" s="21" t="n"/>
      <c r="N480" s="22" t="n"/>
    </row>
    <row r="481">
      <c r="A481" s="19" t="n"/>
      <c r="E481" s="20" t="n"/>
      <c r="I481" s="14" t="n"/>
      <c r="J481" s="21" t="n"/>
      <c r="N481" s="22" t="n"/>
    </row>
    <row r="482">
      <c r="A482" s="19" t="n"/>
      <c r="E482" s="20" t="n"/>
      <c r="I482" s="14" t="n"/>
      <c r="J482" s="21" t="n"/>
      <c r="N482" s="22" t="n"/>
    </row>
    <row r="483">
      <c r="A483" s="19" t="n"/>
      <c r="E483" s="20" t="n"/>
      <c r="I483" s="14" t="n"/>
      <c r="J483" s="21" t="n"/>
      <c r="N483" s="22" t="n"/>
    </row>
    <row r="484">
      <c r="A484" s="19" t="n"/>
      <c r="E484" s="20" t="n"/>
      <c r="I484" s="14" t="n"/>
      <c r="J484" s="21" t="n"/>
      <c r="N484" s="22" t="n"/>
    </row>
    <row r="485">
      <c r="A485" s="19" t="n"/>
      <c r="E485" s="20" t="n"/>
      <c r="I485" s="14" t="n"/>
      <c r="J485" s="21" t="n"/>
      <c r="N485" s="22" t="n"/>
    </row>
    <row r="486">
      <c r="A486" s="19" t="n"/>
      <c r="E486" s="20" t="n"/>
      <c r="I486" s="14" t="n"/>
      <c r="J486" s="21" t="n"/>
      <c r="N486" s="22" t="n"/>
    </row>
    <row r="487">
      <c r="A487" s="19" t="n"/>
      <c r="E487" s="20" t="n"/>
      <c r="I487" s="14" t="n"/>
      <c r="J487" s="21" t="n"/>
      <c r="N487" s="22" t="n"/>
    </row>
    <row r="488">
      <c r="A488" s="19" t="n"/>
      <c r="E488" s="20" t="n"/>
      <c r="I488" s="14" t="n"/>
      <c r="J488" s="21" t="n"/>
      <c r="N488" s="22" t="n"/>
    </row>
    <row r="489">
      <c r="A489" s="19" t="n"/>
      <c r="E489" s="20" t="n"/>
      <c r="I489" s="14" t="n"/>
      <c r="J489" s="21" t="n"/>
      <c r="N489" s="22" t="n"/>
    </row>
    <row r="490">
      <c r="A490" s="19" t="n"/>
      <c r="E490" s="20" t="n"/>
      <c r="I490" s="14" t="n"/>
      <c r="J490" s="21" t="n"/>
      <c r="N490" s="22" t="n"/>
    </row>
    <row r="491">
      <c r="A491" s="19" t="n"/>
      <c r="E491" s="20" t="n"/>
      <c r="I491" s="14" t="n"/>
      <c r="J491" s="21" t="n"/>
      <c r="N491" s="22" t="n"/>
    </row>
    <row r="492">
      <c r="A492" s="19" t="n"/>
      <c r="E492" s="20" t="n"/>
      <c r="I492" s="14" t="n"/>
      <c r="J492" s="21" t="n"/>
      <c r="N492" s="22" t="n"/>
    </row>
    <row r="493">
      <c r="A493" s="19" t="n"/>
      <c r="E493" s="20" t="n"/>
      <c r="I493" s="14" t="n"/>
      <c r="J493" s="21" t="n"/>
      <c r="N493" s="22" t="n"/>
    </row>
    <row r="494">
      <c r="A494" s="19" t="n"/>
      <c r="E494" s="20" t="n"/>
      <c r="I494" s="14" t="n"/>
      <c r="J494" s="21" t="n"/>
      <c r="N494" s="22" t="n"/>
    </row>
    <row r="495">
      <c r="A495" s="19" t="n"/>
      <c r="E495" s="20" t="n"/>
      <c r="I495" s="14" t="n"/>
      <c r="J495" s="21" t="n"/>
      <c r="N495" s="22" t="n"/>
    </row>
    <row r="496">
      <c r="A496" s="19" t="n"/>
      <c r="E496" s="20" t="n"/>
      <c r="I496" s="14" t="n"/>
      <c r="J496" s="21" t="n"/>
      <c r="N496" s="22" t="n"/>
    </row>
    <row r="497">
      <c r="A497" s="19" t="n"/>
      <c r="E497" s="20" t="n"/>
      <c r="I497" s="14" t="n"/>
      <c r="J497" s="21" t="n"/>
      <c r="N497" s="22" t="n"/>
    </row>
    <row r="498">
      <c r="A498" s="19" t="n"/>
      <c r="E498" s="20" t="n"/>
      <c r="I498" s="14" t="n"/>
      <c r="J498" s="21" t="n"/>
      <c r="N498" s="22" t="n"/>
    </row>
    <row r="499">
      <c r="A499" s="19" t="n"/>
      <c r="E499" s="20" t="n"/>
      <c r="I499" s="14" t="n"/>
      <c r="J499" s="21" t="n"/>
      <c r="N499" s="22" t="n"/>
    </row>
    <row r="500">
      <c r="A500" s="19" t="n"/>
      <c r="E500" s="20" t="n"/>
      <c r="I500" s="14" t="n"/>
      <c r="J500" s="21" t="n"/>
      <c r="N500" s="22" t="n"/>
    </row>
    <row r="501">
      <c r="A501" s="19" t="n"/>
      <c r="E501" s="20" t="n"/>
      <c r="I501" s="14" t="n"/>
      <c r="J501" s="21" t="n"/>
      <c r="N501" s="22" t="n"/>
    </row>
    <row r="502">
      <c r="A502" s="19" t="n"/>
      <c r="E502" s="20" t="n"/>
      <c r="I502" s="14" t="n"/>
      <c r="J502" s="21" t="n"/>
      <c r="N502" s="22" t="n"/>
    </row>
    <row r="503">
      <c r="A503" s="19" t="n"/>
      <c r="E503" s="20" t="n"/>
      <c r="I503" s="14" t="n"/>
      <c r="J503" s="21" t="n"/>
      <c r="N503" s="22" t="n"/>
    </row>
    <row r="504">
      <c r="A504" s="19" t="n"/>
      <c r="E504" s="20" t="n"/>
      <c r="I504" s="14" t="n"/>
      <c r="J504" s="21" t="n"/>
      <c r="N504" s="22" t="n"/>
    </row>
    <row r="505">
      <c r="A505" s="19" t="n"/>
      <c r="E505" s="20" t="n"/>
      <c r="I505" s="14" t="n"/>
      <c r="J505" s="21" t="n"/>
      <c r="N505" s="22" t="n"/>
    </row>
    <row r="506">
      <c r="A506" s="19" t="n"/>
      <c r="E506" s="20" t="n"/>
      <c r="I506" s="14" t="n"/>
      <c r="J506" s="21" t="n"/>
      <c r="N506" s="22" t="n"/>
    </row>
    <row r="507">
      <c r="A507" s="19" t="n"/>
      <c r="E507" s="20" t="n"/>
      <c r="I507" s="14" t="n"/>
      <c r="J507" s="21" t="n"/>
      <c r="N507" s="22" t="n"/>
    </row>
    <row r="508">
      <c r="A508" s="19" t="n"/>
      <c r="E508" s="20" t="n"/>
      <c r="I508" s="14" t="n"/>
      <c r="J508" s="21" t="n"/>
      <c r="N508" s="22" t="n"/>
    </row>
    <row r="509">
      <c r="A509" s="19" t="n"/>
      <c r="E509" s="20" t="n"/>
      <c r="I509" s="14" t="n"/>
      <c r="J509" s="21" t="n"/>
      <c r="N509" s="22" t="n"/>
    </row>
    <row r="510">
      <c r="A510" s="19" t="n"/>
      <c r="E510" s="20" t="n"/>
      <c r="I510" s="14" t="n"/>
      <c r="J510" s="21" t="n"/>
      <c r="N510" s="22" t="n"/>
    </row>
    <row r="511">
      <c r="A511" s="19" t="n"/>
      <c r="E511" s="20" t="n"/>
      <c r="I511" s="14" t="n"/>
      <c r="J511" s="21" t="n"/>
      <c r="N511" s="22" t="n"/>
    </row>
    <row r="512">
      <c r="A512" s="19" t="n"/>
      <c r="E512" s="20" t="n"/>
      <c r="I512" s="14" t="n"/>
      <c r="J512" s="21" t="n"/>
      <c r="N512" s="22" t="n"/>
    </row>
    <row r="513">
      <c r="A513" s="19" t="n"/>
      <c r="E513" s="20" t="n"/>
      <c r="I513" s="14" t="n"/>
      <c r="J513" s="21" t="n"/>
      <c r="N513" s="22" t="n"/>
    </row>
    <row r="514">
      <c r="A514" s="19" t="n"/>
      <c r="E514" s="20" t="n"/>
      <c r="I514" s="14" t="n"/>
      <c r="J514" s="21" t="n"/>
      <c r="N514" s="22" t="n"/>
    </row>
    <row r="515">
      <c r="A515" s="19" t="n"/>
      <c r="E515" s="20" t="n"/>
      <c r="I515" s="14" t="n"/>
      <c r="J515" s="21" t="n"/>
      <c r="N515" s="22" t="n"/>
    </row>
    <row r="516">
      <c r="A516" s="19" t="n"/>
      <c r="E516" s="20" t="n"/>
      <c r="I516" s="14" t="n"/>
      <c r="J516" s="21" t="n"/>
      <c r="N516" s="22" t="n"/>
    </row>
    <row r="517">
      <c r="A517" s="19" t="n"/>
      <c r="E517" s="20" t="n"/>
      <c r="I517" s="14" t="n"/>
      <c r="J517" s="21" t="n"/>
      <c r="N517" s="22" t="n"/>
    </row>
    <row r="518">
      <c r="A518" s="19" t="n"/>
      <c r="E518" s="20" t="n"/>
      <c r="I518" s="14" t="n"/>
      <c r="J518" s="21" t="n"/>
      <c r="N518" s="22" t="n"/>
    </row>
    <row r="519">
      <c r="A519" s="19" t="n"/>
      <c r="E519" s="20" t="n"/>
      <c r="I519" s="14" t="n"/>
      <c r="J519" s="21" t="n"/>
      <c r="N519" s="22" t="n"/>
    </row>
    <row r="520">
      <c r="A520" s="19" t="n"/>
      <c r="E520" s="20" t="n"/>
      <c r="I520" s="14" t="n"/>
      <c r="J520" s="21" t="n"/>
      <c r="N520" s="22" t="n"/>
    </row>
    <row r="521">
      <c r="A521" s="19" t="n"/>
      <c r="E521" s="20" t="n"/>
      <c r="I521" s="14" t="n"/>
      <c r="J521" s="21" t="n"/>
      <c r="N521" s="22" t="n"/>
    </row>
    <row r="522">
      <c r="A522" s="19" t="n"/>
      <c r="E522" s="20" t="n"/>
      <c r="I522" s="14" t="n"/>
      <c r="J522" s="21" t="n"/>
      <c r="N522" s="22" t="n"/>
    </row>
    <row r="523">
      <c r="A523" s="19" t="n"/>
      <c r="E523" s="20" t="n"/>
      <c r="I523" s="14" t="n"/>
      <c r="J523" s="21" t="n"/>
      <c r="N523" s="22" t="n"/>
    </row>
    <row r="524">
      <c r="A524" s="19" t="n"/>
      <c r="E524" s="20" t="n"/>
      <c r="I524" s="14" t="n"/>
      <c r="J524" s="21" t="n"/>
      <c r="N524" s="22" t="n"/>
    </row>
    <row r="525">
      <c r="A525" s="19" t="n"/>
      <c r="E525" s="20" t="n"/>
      <c r="I525" s="14" t="n"/>
      <c r="J525" s="21" t="n"/>
      <c r="N525" s="22" t="n"/>
    </row>
    <row r="526">
      <c r="A526" s="19" t="n"/>
      <c r="E526" s="20" t="n"/>
      <c r="I526" s="14" t="n"/>
      <c r="J526" s="21" t="n"/>
      <c r="N526" s="22" t="n"/>
    </row>
    <row r="527">
      <c r="A527" s="19" t="n"/>
      <c r="E527" s="20" t="n"/>
      <c r="I527" s="14" t="n"/>
      <c r="J527" s="21" t="n"/>
      <c r="N527" s="22" t="n"/>
    </row>
    <row r="528">
      <c r="A528" s="19" t="n"/>
      <c r="E528" s="20" t="n"/>
      <c r="I528" s="14" t="n"/>
      <c r="J528" s="21" t="n"/>
      <c r="N528" s="22" t="n"/>
    </row>
    <row r="529">
      <c r="A529" s="19" t="n"/>
      <c r="E529" s="20" t="n"/>
      <c r="I529" s="14" t="n"/>
      <c r="J529" s="21" t="n"/>
      <c r="N529" s="22" t="n"/>
    </row>
    <row r="530">
      <c r="A530" s="19" t="n"/>
      <c r="E530" s="20" t="n"/>
      <c r="I530" s="14" t="n"/>
      <c r="J530" s="21" t="n"/>
      <c r="N530" s="22" t="n"/>
    </row>
    <row r="531">
      <c r="A531" s="19" t="n"/>
      <c r="E531" s="20" t="n"/>
      <c r="I531" s="14" t="n"/>
      <c r="J531" s="21" t="n"/>
      <c r="N531" s="22" t="n"/>
    </row>
    <row r="532">
      <c r="A532" s="19" t="n"/>
      <c r="E532" s="20" t="n"/>
      <c r="I532" s="14" t="n"/>
      <c r="J532" s="21" t="n"/>
      <c r="N532" s="22" t="n"/>
    </row>
    <row r="533">
      <c r="A533" s="19" t="n"/>
      <c r="E533" s="20" t="n"/>
      <c r="I533" s="14" t="n"/>
      <c r="J533" s="21" t="n"/>
      <c r="N533" s="22" t="n"/>
    </row>
    <row r="534">
      <c r="A534" s="19" t="n"/>
      <c r="E534" s="20" t="n"/>
      <c r="I534" s="14" t="n"/>
      <c r="J534" s="21" t="n"/>
      <c r="N534" s="22" t="n"/>
    </row>
    <row r="535">
      <c r="A535" s="19" t="n"/>
      <c r="E535" s="20" t="n"/>
      <c r="I535" s="14" t="n"/>
      <c r="J535" s="21" t="n"/>
      <c r="N535" s="22" t="n"/>
    </row>
    <row r="536">
      <c r="A536" s="19" t="n"/>
      <c r="E536" s="20" t="n"/>
      <c r="I536" s="14" t="n"/>
      <c r="J536" s="21" t="n"/>
      <c r="N536" s="22" t="n"/>
    </row>
    <row r="537">
      <c r="A537" s="19" t="n"/>
      <c r="E537" s="20" t="n"/>
      <c r="I537" s="14" t="n"/>
      <c r="J537" s="21" t="n"/>
      <c r="N537" s="22" t="n"/>
    </row>
    <row r="538">
      <c r="A538" s="19" t="n"/>
      <c r="E538" s="20" t="n"/>
      <c r="I538" s="14" t="n"/>
      <c r="J538" s="21" t="n"/>
      <c r="N538" s="22" t="n"/>
    </row>
    <row r="539">
      <c r="A539" s="19" t="n"/>
      <c r="E539" s="20" t="n"/>
      <c r="I539" s="14" t="n"/>
      <c r="J539" s="21" t="n"/>
      <c r="N539" s="22" t="n"/>
    </row>
    <row r="540">
      <c r="A540" s="19" t="n"/>
      <c r="E540" s="20" t="n"/>
      <c r="I540" s="14" t="n"/>
      <c r="J540" s="21" t="n"/>
      <c r="N540" s="22" t="n"/>
    </row>
    <row r="541">
      <c r="A541" s="19" t="n"/>
      <c r="E541" s="20" t="n"/>
      <c r="I541" s="14" t="n"/>
      <c r="J541" s="21" t="n"/>
      <c r="N541" s="22" t="n"/>
    </row>
    <row r="542">
      <c r="A542" s="19" t="n"/>
      <c r="E542" s="20" t="n"/>
      <c r="I542" s="14" t="n"/>
      <c r="J542" s="21" t="n"/>
      <c r="N542" s="22" t="n"/>
    </row>
    <row r="543">
      <c r="A543" s="19" t="n"/>
      <c r="E543" s="20" t="n"/>
      <c r="I543" s="14" t="n"/>
      <c r="J543" s="21" t="n"/>
      <c r="N543" s="22" t="n"/>
    </row>
    <row r="544">
      <c r="A544" s="19" t="n"/>
      <c r="E544" s="20" t="n"/>
      <c r="I544" s="14" t="n"/>
      <c r="J544" s="21" t="n"/>
      <c r="N544" s="22" t="n"/>
    </row>
    <row r="545">
      <c r="A545" s="19" t="n"/>
      <c r="E545" s="20" t="n"/>
      <c r="I545" s="14" t="n"/>
      <c r="J545" s="21" t="n"/>
      <c r="N545" s="22" t="n"/>
    </row>
    <row r="546">
      <c r="A546" s="19" t="n"/>
      <c r="E546" s="20" t="n"/>
      <c r="I546" s="14" t="n"/>
      <c r="J546" s="21" t="n"/>
      <c r="N546" s="22" t="n"/>
    </row>
    <row r="547">
      <c r="A547" s="19" t="n"/>
      <c r="E547" s="20" t="n"/>
      <c r="I547" s="14" t="n"/>
      <c r="J547" s="21" t="n"/>
      <c r="N547" s="22" t="n"/>
    </row>
    <row r="548">
      <c r="A548" s="19" t="n"/>
      <c r="E548" s="20" t="n"/>
      <c r="I548" s="14" t="n"/>
      <c r="J548" s="21" t="n"/>
      <c r="N548" s="22" t="n"/>
    </row>
    <row r="549">
      <c r="A549" s="19" t="n"/>
      <c r="E549" s="20" t="n"/>
      <c r="I549" s="14" t="n"/>
      <c r="J549" s="21" t="n"/>
      <c r="N549" s="22" t="n"/>
    </row>
    <row r="550">
      <c r="A550" s="19" t="n"/>
      <c r="E550" s="20" t="n"/>
      <c r="I550" s="14" t="n"/>
      <c r="J550" s="21" t="n"/>
      <c r="N550" s="22" t="n"/>
    </row>
    <row r="551">
      <c r="A551" s="19" t="n"/>
      <c r="E551" s="20" t="n"/>
      <c r="I551" s="14" t="n"/>
      <c r="J551" s="21" t="n"/>
      <c r="N551" s="22" t="n"/>
    </row>
    <row r="552">
      <c r="A552" s="19" t="n"/>
      <c r="E552" s="20" t="n"/>
      <c r="I552" s="14" t="n"/>
      <c r="J552" s="21" t="n"/>
      <c r="N552" s="22" t="n"/>
    </row>
    <row r="553">
      <c r="A553" s="19" t="n"/>
      <c r="E553" s="20" t="n"/>
      <c r="I553" s="14" t="n"/>
      <c r="J553" s="21" t="n"/>
      <c r="N553" s="22" t="n"/>
    </row>
    <row r="554">
      <c r="A554" s="19" t="n"/>
      <c r="E554" s="20" t="n"/>
      <c r="I554" s="14" t="n"/>
      <c r="J554" s="21" t="n"/>
      <c r="N554" s="22" t="n"/>
    </row>
    <row r="555">
      <c r="A555" s="19" t="n"/>
      <c r="E555" s="20" t="n"/>
      <c r="I555" s="14" t="n"/>
      <c r="J555" s="21" t="n"/>
      <c r="N555" s="22" t="n"/>
    </row>
    <row r="556">
      <c r="A556" s="19" t="n"/>
      <c r="E556" s="20" t="n"/>
      <c r="I556" s="14" t="n"/>
      <c r="J556" s="21" t="n"/>
      <c r="N556" s="22" t="n"/>
    </row>
    <row r="557">
      <c r="A557" s="19" t="n"/>
      <c r="E557" s="20" t="n"/>
      <c r="I557" s="14" t="n"/>
      <c r="J557" s="21" t="n"/>
      <c r="N557" s="22" t="n"/>
    </row>
    <row r="558">
      <c r="A558" s="19" t="n"/>
      <c r="E558" s="20" t="n"/>
      <c r="I558" s="14" t="n"/>
      <c r="J558" s="21" t="n"/>
      <c r="N558" s="22" t="n"/>
    </row>
    <row r="559">
      <c r="A559" s="19" t="n"/>
      <c r="E559" s="20" t="n"/>
      <c r="I559" s="14" t="n"/>
      <c r="J559" s="21" t="n"/>
      <c r="N559" s="22" t="n"/>
    </row>
    <row r="560">
      <c r="A560" s="19" t="n"/>
      <c r="E560" s="20" t="n"/>
      <c r="I560" s="14" t="n"/>
      <c r="J560" s="21" t="n"/>
      <c r="N560" s="22" t="n"/>
    </row>
    <row r="561">
      <c r="A561" s="19" t="n"/>
      <c r="E561" s="20" t="n"/>
      <c r="I561" s="14" t="n"/>
      <c r="J561" s="21" t="n"/>
      <c r="N561" s="22" t="n"/>
    </row>
    <row r="562">
      <c r="A562" s="19" t="n"/>
      <c r="E562" s="20" t="n"/>
      <c r="I562" s="14" t="n"/>
      <c r="J562" s="21" t="n"/>
      <c r="N562" s="22" t="n"/>
    </row>
    <row r="563">
      <c r="A563" s="19" t="n"/>
      <c r="E563" s="20" t="n"/>
      <c r="I563" s="14" t="n"/>
      <c r="J563" s="21" t="n"/>
      <c r="N563" s="22" t="n"/>
    </row>
    <row r="564">
      <c r="A564" s="19" t="n"/>
      <c r="E564" s="20" t="n"/>
      <c r="I564" s="14" t="n"/>
      <c r="J564" s="21" t="n"/>
      <c r="N564" s="22" t="n"/>
    </row>
    <row r="565">
      <c r="A565" s="19" t="n"/>
      <c r="E565" s="20" t="n"/>
      <c r="I565" s="14" t="n"/>
      <c r="J565" s="21" t="n"/>
      <c r="N565" s="22" t="n"/>
    </row>
    <row r="566">
      <c r="A566" s="19" t="n"/>
      <c r="E566" s="20" t="n"/>
      <c r="I566" s="14" t="n"/>
      <c r="J566" s="21" t="n"/>
      <c r="N566" s="22" t="n"/>
    </row>
    <row r="567">
      <c r="A567" s="19" t="n"/>
      <c r="E567" s="20" t="n"/>
      <c r="I567" s="14" t="n"/>
      <c r="J567" s="21" t="n"/>
      <c r="N567" s="22" t="n"/>
    </row>
    <row r="568">
      <c r="A568" s="19" t="n"/>
      <c r="E568" s="20" t="n"/>
      <c r="I568" s="14" t="n"/>
      <c r="J568" s="21" t="n"/>
      <c r="N568" s="22" t="n"/>
    </row>
    <row r="569">
      <c r="A569" s="19" t="n"/>
      <c r="E569" s="20" t="n"/>
      <c r="I569" s="14" t="n"/>
      <c r="J569" s="21" t="n"/>
      <c r="N569" s="22" t="n"/>
    </row>
    <row r="570">
      <c r="A570" s="19" t="n"/>
      <c r="E570" s="20" t="n"/>
      <c r="I570" s="14" t="n"/>
      <c r="J570" s="21" t="n"/>
      <c r="N570" s="22" t="n"/>
    </row>
    <row r="571">
      <c r="A571" s="19" t="n"/>
      <c r="E571" s="20" t="n"/>
      <c r="I571" s="14" t="n"/>
      <c r="J571" s="21" t="n"/>
      <c r="N571" s="22" t="n"/>
    </row>
    <row r="572">
      <c r="A572" s="19" t="n"/>
      <c r="E572" s="20" t="n"/>
      <c r="I572" s="14" t="n"/>
      <c r="J572" s="21" t="n"/>
      <c r="N572" s="22" t="n"/>
    </row>
    <row r="573">
      <c r="A573" s="19" t="n"/>
      <c r="E573" s="20" t="n"/>
      <c r="I573" s="14" t="n"/>
      <c r="J573" s="21" t="n"/>
      <c r="N573" s="22" t="n"/>
    </row>
    <row r="574">
      <c r="A574" s="19" t="n"/>
      <c r="E574" s="20" t="n"/>
      <c r="I574" s="14" t="n"/>
      <c r="J574" s="21" t="n"/>
      <c r="N574" s="22" t="n"/>
    </row>
    <row r="575">
      <c r="A575" s="19" t="n"/>
      <c r="E575" s="20" t="n"/>
      <c r="I575" s="14" t="n"/>
      <c r="J575" s="21" t="n"/>
      <c r="N575" s="22" t="n"/>
    </row>
    <row r="576">
      <c r="A576" s="19" t="n"/>
      <c r="E576" s="20" t="n"/>
      <c r="I576" s="14" t="n"/>
      <c r="J576" s="21" t="n"/>
      <c r="N576" s="22" t="n"/>
    </row>
    <row r="577">
      <c r="A577" s="19" t="n"/>
      <c r="E577" s="20" t="n"/>
      <c r="I577" s="14" t="n"/>
      <c r="J577" s="21" t="n"/>
      <c r="N577" s="22" t="n"/>
    </row>
    <row r="578">
      <c r="A578" s="19" t="n"/>
      <c r="E578" s="20" t="n"/>
      <c r="I578" s="14" t="n"/>
      <c r="J578" s="21" t="n"/>
      <c r="N578" s="22" t="n"/>
    </row>
    <row r="579">
      <c r="A579" s="19" t="n"/>
      <c r="E579" s="20" t="n"/>
      <c r="I579" s="14" t="n"/>
      <c r="J579" s="21" t="n"/>
      <c r="N579" s="22" t="n"/>
    </row>
    <row r="580">
      <c r="A580" s="19" t="n"/>
      <c r="E580" s="20" t="n"/>
      <c r="I580" s="14" t="n"/>
      <c r="J580" s="21" t="n"/>
      <c r="N580" s="22" t="n"/>
    </row>
    <row r="581">
      <c r="A581" s="19" t="n"/>
      <c r="E581" s="20" t="n"/>
      <c r="I581" s="14" t="n"/>
      <c r="J581" s="21" t="n"/>
      <c r="N581" s="22" t="n"/>
    </row>
    <row r="582">
      <c r="A582" s="19" t="n"/>
      <c r="E582" s="20" t="n"/>
      <c r="I582" s="14" t="n"/>
      <c r="J582" s="21" t="n"/>
      <c r="N582" s="22" t="n"/>
    </row>
    <row r="583">
      <c r="A583" s="19" t="n"/>
      <c r="E583" s="20" t="n"/>
      <c r="I583" s="14" t="n"/>
      <c r="J583" s="21" t="n"/>
      <c r="N583" s="22" t="n"/>
    </row>
    <row r="584">
      <c r="A584" s="19" t="n"/>
      <c r="E584" s="20" t="n"/>
      <c r="I584" s="14" t="n"/>
      <c r="J584" s="21" t="n"/>
      <c r="N584" s="22" t="n"/>
    </row>
    <row r="585">
      <c r="A585" s="19" t="n"/>
      <c r="E585" s="20" t="n"/>
      <c r="I585" s="14" t="n"/>
      <c r="J585" s="21" t="n"/>
      <c r="N585" s="22" t="n"/>
    </row>
    <row r="586">
      <c r="A586" s="19" t="n"/>
      <c r="E586" s="20" t="n"/>
      <c r="I586" s="14" t="n"/>
      <c r="J586" s="21" t="n"/>
      <c r="N586" s="22" t="n"/>
    </row>
    <row r="587">
      <c r="A587" s="19" t="n"/>
      <c r="E587" s="20" t="n"/>
      <c r="I587" s="14" t="n"/>
      <c r="J587" s="21" t="n"/>
      <c r="N587" s="22" t="n"/>
    </row>
    <row r="588">
      <c r="A588" s="19" t="n"/>
      <c r="E588" s="20" t="n"/>
      <c r="I588" s="14" t="n"/>
      <c r="J588" s="21" t="n"/>
      <c r="N588" s="22" t="n"/>
    </row>
    <row r="589">
      <c r="A589" s="19" t="n"/>
      <c r="E589" s="20" t="n"/>
      <c r="I589" s="14" t="n"/>
      <c r="J589" s="21" t="n"/>
      <c r="N589" s="22" t="n"/>
    </row>
    <row r="590">
      <c r="A590" s="19" t="n"/>
      <c r="E590" s="20" t="n"/>
      <c r="I590" s="14" t="n"/>
      <c r="J590" s="21" t="n"/>
      <c r="N590" s="22" t="n"/>
    </row>
    <row r="591">
      <c r="A591" s="19" t="n"/>
      <c r="E591" s="20" t="n"/>
      <c r="I591" s="14" t="n"/>
      <c r="J591" s="21" t="n"/>
      <c r="N591" s="22" t="n"/>
    </row>
    <row r="592">
      <c r="A592" s="19" t="n"/>
      <c r="E592" s="20" t="n"/>
      <c r="I592" s="14" t="n"/>
      <c r="J592" s="21" t="n"/>
      <c r="N592" s="22" t="n"/>
    </row>
    <row r="593">
      <c r="A593" s="19" t="n"/>
      <c r="E593" s="20" t="n"/>
      <c r="I593" s="14" t="n"/>
      <c r="J593" s="21" t="n"/>
      <c r="N593" s="22" t="n"/>
    </row>
    <row r="594">
      <c r="A594" s="19" t="n"/>
      <c r="E594" s="20" t="n"/>
      <c r="I594" s="14" t="n"/>
      <c r="J594" s="21" t="n"/>
      <c r="N594" s="22" t="n"/>
    </row>
    <row r="595">
      <c r="A595" s="19" t="n"/>
      <c r="E595" s="20" t="n"/>
      <c r="I595" s="14" t="n"/>
      <c r="J595" s="21" t="n"/>
      <c r="N595" s="22" t="n"/>
    </row>
    <row r="596">
      <c r="A596" s="19" t="n"/>
      <c r="E596" s="20" t="n"/>
      <c r="I596" s="14" t="n"/>
      <c r="J596" s="21" t="n"/>
      <c r="N596" s="22" t="n"/>
    </row>
    <row r="597">
      <c r="A597" s="19" t="n"/>
      <c r="E597" s="20" t="n"/>
      <c r="I597" s="14" t="n"/>
      <c r="J597" s="21" t="n"/>
      <c r="N597" s="22" t="n"/>
    </row>
    <row r="598">
      <c r="A598" s="19" t="n"/>
      <c r="E598" s="20" t="n"/>
      <c r="I598" s="14" t="n"/>
      <c r="J598" s="21" t="n"/>
      <c r="N598" s="22" t="n"/>
    </row>
    <row r="599">
      <c r="A599" s="19" t="n"/>
      <c r="E599" s="20" t="n"/>
      <c r="I599" s="14" t="n"/>
      <c r="J599" s="21" t="n"/>
      <c r="N599" s="22" t="n"/>
    </row>
    <row r="600">
      <c r="A600" s="19" t="n"/>
      <c r="E600" s="20" t="n"/>
      <c r="I600" s="14" t="n"/>
      <c r="J600" s="21" t="n"/>
      <c r="N600" s="22" t="n"/>
    </row>
    <row r="601">
      <c r="A601" s="19" t="n"/>
      <c r="E601" s="20" t="n"/>
      <c r="I601" s="14" t="n"/>
      <c r="J601" s="21" t="n"/>
      <c r="N601" s="22" t="n"/>
    </row>
    <row r="602">
      <c r="A602" s="19" t="n"/>
      <c r="E602" s="20" t="n"/>
      <c r="I602" s="14" t="n"/>
      <c r="J602" s="21" t="n"/>
      <c r="N602" s="22" t="n"/>
    </row>
    <row r="603">
      <c r="A603" s="19" t="n"/>
      <c r="E603" s="20" t="n"/>
      <c r="I603" s="14" t="n"/>
      <c r="J603" s="21" t="n"/>
      <c r="N603" s="22" t="n"/>
    </row>
    <row r="604">
      <c r="A604" s="19" t="n"/>
      <c r="E604" s="20" t="n"/>
      <c r="I604" s="14" t="n"/>
      <c r="J604" s="21" t="n"/>
      <c r="N604" s="22" t="n"/>
    </row>
    <row r="605">
      <c r="A605" s="19" t="n"/>
      <c r="E605" s="20" t="n"/>
      <c r="I605" s="14" t="n"/>
      <c r="J605" s="21" t="n"/>
      <c r="N605" s="22" t="n"/>
    </row>
    <row r="606">
      <c r="A606" s="19" t="n"/>
      <c r="E606" s="20" t="n"/>
      <c r="I606" s="14" t="n"/>
      <c r="J606" s="21" t="n"/>
      <c r="N606" s="22" t="n"/>
    </row>
    <row r="607">
      <c r="A607" s="19" t="n"/>
      <c r="E607" s="20" t="n"/>
      <c r="I607" s="14" t="n"/>
      <c r="J607" s="21" t="n"/>
      <c r="N607" s="22" t="n"/>
    </row>
    <row r="608">
      <c r="A608" s="19" t="n"/>
      <c r="E608" s="20" t="n"/>
      <c r="I608" s="14" t="n"/>
      <c r="J608" s="21" t="n"/>
      <c r="N608" s="22" t="n"/>
    </row>
    <row r="609">
      <c r="A609" s="19" t="n"/>
      <c r="E609" s="20" t="n"/>
      <c r="I609" s="14" t="n"/>
      <c r="J609" s="21" t="n"/>
      <c r="N609" s="22" t="n"/>
    </row>
    <row r="610">
      <c r="A610" s="19" t="n"/>
      <c r="E610" s="20" t="n"/>
      <c r="I610" s="14" t="n"/>
      <c r="J610" s="21" t="n"/>
      <c r="N610" s="22" t="n"/>
    </row>
    <row r="611">
      <c r="A611" s="19" t="n"/>
      <c r="E611" s="20" t="n"/>
      <c r="I611" s="14" t="n"/>
      <c r="J611" s="21" t="n"/>
      <c r="N611" s="22" t="n"/>
    </row>
    <row r="612">
      <c r="A612" s="19" t="n"/>
      <c r="E612" s="20" t="n"/>
      <c r="I612" s="14" t="n"/>
      <c r="J612" s="21" t="n"/>
      <c r="N612" s="22" t="n"/>
    </row>
    <row r="613">
      <c r="A613" s="19" t="n"/>
      <c r="E613" s="20" t="n"/>
      <c r="I613" s="14" t="n"/>
      <c r="J613" s="21" t="n"/>
      <c r="N613" s="22" t="n"/>
    </row>
    <row r="614">
      <c r="A614" s="19" t="n"/>
      <c r="E614" s="20" t="n"/>
      <c r="I614" s="14" t="n"/>
      <c r="J614" s="21" t="n"/>
      <c r="N614" s="22" t="n"/>
    </row>
    <row r="615">
      <c r="A615" s="19" t="n"/>
      <c r="E615" s="20" t="n"/>
      <c r="I615" s="14" t="n"/>
      <c r="J615" s="21" t="n"/>
      <c r="N615" s="22" t="n"/>
    </row>
    <row r="616">
      <c r="A616" s="19" t="n"/>
      <c r="E616" s="20" t="n"/>
      <c r="I616" s="14" t="n"/>
      <c r="J616" s="21" t="n"/>
      <c r="N616" s="22" t="n"/>
    </row>
    <row r="617">
      <c r="A617" s="19" t="n"/>
      <c r="E617" s="20" t="n"/>
      <c r="I617" s="14" t="n"/>
      <c r="J617" s="21" t="n"/>
      <c r="N617" s="22" t="n"/>
    </row>
    <row r="618">
      <c r="A618" s="19" t="n"/>
      <c r="E618" s="20" t="n"/>
      <c r="I618" s="14" t="n"/>
      <c r="J618" s="21" t="n"/>
      <c r="N618" s="22" t="n"/>
    </row>
    <row r="619">
      <c r="A619" s="19" t="n"/>
      <c r="E619" s="20" t="n"/>
      <c r="I619" s="14" t="n"/>
      <c r="J619" s="21" t="n"/>
      <c r="N619" s="22" t="n"/>
    </row>
    <row r="620">
      <c r="A620" s="19" t="n"/>
      <c r="E620" s="20" t="n"/>
      <c r="I620" s="14" t="n"/>
      <c r="J620" s="21" t="n"/>
      <c r="N620" s="22" t="n"/>
    </row>
    <row r="621">
      <c r="A621" s="19" t="n"/>
      <c r="E621" s="20" t="n"/>
      <c r="I621" s="14" t="n"/>
      <c r="J621" s="21" t="n"/>
      <c r="N621" s="22" t="n"/>
    </row>
    <row r="622">
      <c r="A622" s="19" t="n"/>
      <c r="E622" s="20" t="n"/>
      <c r="I622" s="14" t="n"/>
      <c r="J622" s="21" t="n"/>
      <c r="N622" s="22" t="n"/>
    </row>
    <row r="623">
      <c r="A623" s="19" t="n"/>
      <c r="E623" s="20" t="n"/>
      <c r="I623" s="14" t="n"/>
      <c r="J623" s="21" t="n"/>
      <c r="N623" s="22" t="n"/>
    </row>
    <row r="624">
      <c r="A624" s="19" t="n"/>
      <c r="E624" s="20" t="n"/>
      <c r="I624" s="14" t="n"/>
      <c r="J624" s="21" t="n"/>
      <c r="N624" s="22" t="n"/>
    </row>
    <row r="625">
      <c r="A625" s="19" t="n"/>
      <c r="E625" s="20" t="n"/>
      <c r="I625" s="14" t="n"/>
      <c r="J625" s="21" t="n"/>
      <c r="N625" s="22" t="n"/>
    </row>
    <row r="626">
      <c r="A626" s="19" t="n"/>
      <c r="E626" s="20" t="n"/>
      <c r="I626" s="14" t="n"/>
      <c r="J626" s="21" t="n"/>
      <c r="N626" s="22" t="n"/>
    </row>
    <row r="627">
      <c r="A627" s="19" t="n"/>
      <c r="E627" s="20" t="n"/>
      <c r="I627" s="14" t="n"/>
      <c r="J627" s="21" t="n"/>
      <c r="N627" s="22" t="n"/>
    </row>
    <row r="628">
      <c r="A628" s="19" t="n"/>
      <c r="E628" s="20" t="n"/>
      <c r="I628" s="14" t="n"/>
      <c r="J628" s="21" t="n"/>
      <c r="N628" s="22" t="n"/>
    </row>
    <row r="629">
      <c r="A629" s="19" t="n"/>
      <c r="E629" s="20" t="n"/>
      <c r="I629" s="14" t="n"/>
      <c r="J629" s="21" t="n"/>
      <c r="N629" s="22" t="n"/>
    </row>
    <row r="630">
      <c r="A630" s="19" t="n"/>
      <c r="E630" s="20" t="n"/>
      <c r="I630" s="14" t="n"/>
      <c r="J630" s="21" t="n"/>
      <c r="N630" s="22" t="n"/>
    </row>
    <row r="631">
      <c r="A631" s="19" t="n"/>
      <c r="E631" s="20" t="n"/>
      <c r="I631" s="14" t="n"/>
      <c r="J631" s="21" t="n"/>
      <c r="N631" s="22" t="n"/>
    </row>
    <row r="632">
      <c r="A632" s="19" t="n"/>
      <c r="E632" s="20" t="n"/>
      <c r="I632" s="14" t="n"/>
      <c r="J632" s="21" t="n"/>
      <c r="N632" s="22" t="n"/>
    </row>
    <row r="633">
      <c r="A633" s="19" t="n"/>
      <c r="E633" s="20" t="n"/>
      <c r="I633" s="14" t="n"/>
      <c r="J633" s="21" t="n"/>
      <c r="N633" s="22" t="n"/>
    </row>
    <row r="634">
      <c r="A634" s="19" t="n"/>
      <c r="E634" s="20" t="n"/>
      <c r="I634" s="14" t="n"/>
      <c r="J634" s="21" t="n"/>
      <c r="N634" s="22" t="n"/>
    </row>
    <row r="635">
      <c r="A635" s="19" t="n"/>
      <c r="E635" s="20" t="n"/>
      <c r="I635" s="14" t="n"/>
      <c r="J635" s="21" t="n"/>
      <c r="N635" s="22" t="n"/>
    </row>
    <row r="636">
      <c r="A636" s="19" t="n"/>
      <c r="E636" s="20" t="n"/>
      <c r="I636" s="14" t="n"/>
      <c r="J636" s="21" t="n"/>
      <c r="N636" s="22" t="n"/>
    </row>
    <row r="637">
      <c r="A637" s="19" t="n"/>
      <c r="E637" s="20" t="n"/>
      <c r="I637" s="14" t="n"/>
      <c r="J637" s="21" t="n"/>
      <c r="N637" s="22" t="n"/>
    </row>
    <row r="638">
      <c r="A638" s="19" t="n"/>
      <c r="E638" s="20" t="n"/>
      <c r="I638" s="14" t="n"/>
      <c r="J638" s="21" t="n"/>
      <c r="N638" s="22" t="n"/>
    </row>
    <row r="639">
      <c r="A639" s="19" t="n"/>
      <c r="E639" s="20" t="n"/>
      <c r="I639" s="14" t="n"/>
      <c r="J639" s="21" t="n"/>
      <c r="N639" s="22" t="n"/>
    </row>
    <row r="640">
      <c r="A640" s="19" t="n"/>
      <c r="E640" s="20" t="n"/>
      <c r="I640" s="14" t="n"/>
      <c r="J640" s="21" t="n"/>
      <c r="N640" s="22" t="n"/>
    </row>
    <row r="641">
      <c r="A641" s="19" t="n"/>
      <c r="E641" s="20" t="n"/>
      <c r="I641" s="14" t="n"/>
      <c r="J641" s="21" t="n"/>
      <c r="N641" s="22" t="n"/>
    </row>
    <row r="642">
      <c r="A642" s="19" t="n"/>
      <c r="E642" s="20" t="n"/>
      <c r="I642" s="14" t="n"/>
      <c r="J642" s="21" t="n"/>
      <c r="N642" s="22" t="n"/>
    </row>
    <row r="643">
      <c r="A643" s="19" t="n"/>
      <c r="E643" s="20" t="n"/>
      <c r="I643" s="14" t="n"/>
      <c r="J643" s="21" t="n"/>
      <c r="N643" s="22" t="n"/>
    </row>
    <row r="644">
      <c r="A644" s="19" t="n"/>
      <c r="E644" s="20" t="n"/>
      <c r="I644" s="14" t="n"/>
      <c r="J644" s="21" t="n"/>
      <c r="N644" s="22" t="n"/>
    </row>
    <row r="645">
      <c r="A645" s="19" t="n"/>
      <c r="E645" s="20" t="n"/>
      <c r="I645" s="14" t="n"/>
      <c r="J645" s="21" t="n"/>
      <c r="N645" s="22" t="n"/>
    </row>
    <row r="646">
      <c r="A646" s="19" t="n"/>
      <c r="E646" s="20" t="n"/>
      <c r="I646" s="14" t="n"/>
      <c r="J646" s="21" t="n"/>
      <c r="N646" s="22" t="n"/>
    </row>
    <row r="647">
      <c r="A647" s="19" t="n"/>
      <c r="E647" s="20" t="n"/>
      <c r="I647" s="14" t="n"/>
      <c r="J647" s="21" t="n"/>
      <c r="N647" s="22" t="n"/>
    </row>
    <row r="648">
      <c r="A648" s="19" t="n"/>
      <c r="E648" s="20" t="n"/>
      <c r="I648" s="14" t="n"/>
      <c r="J648" s="21" t="n"/>
      <c r="N648" s="22" t="n"/>
    </row>
    <row r="649">
      <c r="A649" s="19" t="n"/>
      <c r="E649" s="20" t="n"/>
      <c r="I649" s="14" t="n"/>
      <c r="J649" s="21" t="n"/>
      <c r="N649" s="22" t="n"/>
    </row>
    <row r="650">
      <c r="A650" s="19" t="n"/>
      <c r="E650" s="20" t="n"/>
      <c r="I650" s="14" t="n"/>
      <c r="J650" s="21" t="n"/>
      <c r="N650" s="22" t="n"/>
    </row>
    <row r="651">
      <c r="A651" s="19" t="n"/>
      <c r="E651" s="20" t="n"/>
      <c r="I651" s="14" t="n"/>
      <c r="J651" s="21" t="n"/>
      <c r="N651" s="22" t="n"/>
    </row>
    <row r="652">
      <c r="A652" s="19" t="n"/>
      <c r="E652" s="20" t="n"/>
      <c r="I652" s="14" t="n"/>
      <c r="J652" s="21" t="n"/>
      <c r="N652" s="22" t="n"/>
    </row>
    <row r="653">
      <c r="A653" s="19" t="n"/>
      <c r="E653" s="20" t="n"/>
      <c r="I653" s="14" t="n"/>
      <c r="J653" s="21" t="n"/>
      <c r="N653" s="22" t="n"/>
    </row>
    <row r="654">
      <c r="A654" s="19" t="n"/>
      <c r="E654" s="20" t="n"/>
      <c r="I654" s="14" t="n"/>
      <c r="J654" s="21" t="n"/>
      <c r="N654" s="22" t="n"/>
    </row>
    <row r="655">
      <c r="A655" s="19" t="n"/>
      <c r="E655" s="20" t="n"/>
      <c r="I655" s="14" t="n"/>
      <c r="J655" s="21" t="n"/>
      <c r="N655" s="22" t="n"/>
    </row>
    <row r="656">
      <c r="A656" s="19" t="n"/>
      <c r="E656" s="20" t="n"/>
      <c r="I656" s="14" t="n"/>
      <c r="J656" s="21" t="n"/>
      <c r="N656" s="22" t="n"/>
    </row>
    <row r="657">
      <c r="A657" s="19" t="n"/>
      <c r="E657" s="20" t="n"/>
      <c r="I657" s="14" t="n"/>
      <c r="J657" s="21" t="n"/>
      <c r="N657" s="22" t="n"/>
    </row>
    <row r="658">
      <c r="A658" s="19" t="n"/>
      <c r="E658" s="20" t="n"/>
      <c r="I658" s="14" t="n"/>
      <c r="J658" s="21" t="n"/>
      <c r="N658" s="22" t="n"/>
    </row>
    <row r="659">
      <c r="A659" s="19" t="n"/>
      <c r="E659" s="20" t="n"/>
      <c r="I659" s="14" t="n"/>
      <c r="J659" s="21" t="n"/>
      <c r="N659" s="22" t="n"/>
    </row>
    <row r="660">
      <c r="A660" s="19" t="n"/>
      <c r="E660" s="20" t="n"/>
      <c r="I660" s="14" t="n"/>
      <c r="J660" s="21" t="n"/>
      <c r="N660" s="22" t="n"/>
    </row>
    <row r="661">
      <c r="A661" s="19" t="n"/>
      <c r="E661" s="20" t="n"/>
      <c r="I661" s="14" t="n"/>
      <c r="J661" s="21" t="n"/>
      <c r="N661" s="22" t="n"/>
    </row>
    <row r="662">
      <c r="A662" s="19" t="n"/>
      <c r="E662" s="20" t="n"/>
      <c r="I662" s="14" t="n"/>
      <c r="J662" s="21" t="n"/>
      <c r="N662" s="22" t="n"/>
    </row>
    <row r="663">
      <c r="A663" s="19" t="n"/>
      <c r="E663" s="20" t="n"/>
      <c r="I663" s="14" t="n"/>
      <c r="J663" s="21" t="n"/>
      <c r="N663" s="22" t="n"/>
    </row>
    <row r="664">
      <c r="A664" s="19" t="n"/>
      <c r="E664" s="20" t="n"/>
      <c r="I664" s="14" t="n"/>
      <c r="J664" s="21" t="n"/>
      <c r="N664" s="22" t="n"/>
    </row>
    <row r="665">
      <c r="A665" s="19" t="n"/>
      <c r="E665" s="20" t="n"/>
      <c r="I665" s="14" t="n"/>
      <c r="J665" s="21" t="n"/>
      <c r="N665" s="22" t="n"/>
    </row>
    <row r="666">
      <c r="A666" s="19" t="n"/>
      <c r="E666" s="20" t="n"/>
      <c r="I666" s="14" t="n"/>
      <c r="J666" s="21" t="n"/>
      <c r="N666" s="22" t="n"/>
    </row>
    <row r="667">
      <c r="A667" s="19" t="n"/>
      <c r="E667" s="20" t="n"/>
      <c r="I667" s="14" t="n"/>
      <c r="J667" s="21" t="n"/>
      <c r="N667" s="22" t="n"/>
    </row>
    <row r="668">
      <c r="A668" s="19" t="n"/>
      <c r="E668" s="20" t="n"/>
      <c r="I668" s="14" t="n"/>
      <c r="J668" s="21" t="n"/>
      <c r="N668" s="22" t="n"/>
    </row>
    <row r="669">
      <c r="A669" s="19" t="n"/>
      <c r="E669" s="20" t="n"/>
      <c r="I669" s="14" t="n"/>
      <c r="J669" s="21" t="n"/>
      <c r="N669" s="22" t="n"/>
    </row>
    <row r="670">
      <c r="A670" s="19" t="n"/>
      <c r="E670" s="20" t="n"/>
      <c r="I670" s="14" t="n"/>
      <c r="J670" s="21" t="n"/>
      <c r="N670" s="22" t="n"/>
    </row>
    <row r="671">
      <c r="A671" s="19" t="n"/>
      <c r="E671" s="20" t="n"/>
      <c r="I671" s="14" t="n"/>
      <c r="J671" s="21" t="n"/>
      <c r="N671" s="22" t="n"/>
    </row>
    <row r="672">
      <c r="A672" s="19" t="n"/>
      <c r="E672" s="20" t="n"/>
      <c r="I672" s="14" t="n"/>
      <c r="J672" s="21" t="n"/>
      <c r="N672" s="22" t="n"/>
    </row>
    <row r="673">
      <c r="A673" s="19" t="n"/>
      <c r="E673" s="20" t="n"/>
      <c r="I673" s="14" t="n"/>
      <c r="J673" s="21" t="n"/>
      <c r="N673" s="22" t="n"/>
    </row>
    <row r="674">
      <c r="A674" s="19" t="n"/>
      <c r="E674" s="20" t="n"/>
      <c r="I674" s="14" t="n"/>
      <c r="J674" s="21" t="n"/>
      <c r="N674" s="22" t="n"/>
    </row>
    <row r="675">
      <c r="A675" s="19" t="n"/>
      <c r="E675" s="20" t="n"/>
      <c r="I675" s="14" t="n"/>
      <c r="J675" s="21" t="n"/>
      <c r="N675" s="22" t="n"/>
    </row>
    <row r="676">
      <c r="A676" s="19" t="n"/>
      <c r="E676" s="20" t="n"/>
      <c r="I676" s="14" t="n"/>
      <c r="J676" s="21" t="n"/>
      <c r="N676" s="22" t="n"/>
    </row>
    <row r="677">
      <c r="A677" s="19" t="n"/>
      <c r="E677" s="20" t="n"/>
      <c r="I677" s="14" t="n"/>
      <c r="J677" s="21" t="n"/>
      <c r="N677" s="22" t="n"/>
    </row>
    <row r="678">
      <c r="A678" s="19" t="n"/>
      <c r="E678" s="20" t="n"/>
      <c r="I678" s="14" t="n"/>
      <c r="J678" s="21" t="n"/>
      <c r="N678" s="22" t="n"/>
    </row>
    <row r="679">
      <c r="A679" s="19" t="n"/>
      <c r="E679" s="20" t="n"/>
      <c r="I679" s="14" t="n"/>
      <c r="J679" s="21" t="n"/>
      <c r="N679" s="22" t="n"/>
    </row>
    <row r="680">
      <c r="A680" s="19" t="n"/>
      <c r="E680" s="20" t="n"/>
      <c r="I680" s="14" t="n"/>
      <c r="J680" s="21" t="n"/>
      <c r="N680" s="22" t="n"/>
    </row>
    <row r="681">
      <c r="A681" s="19" t="n"/>
      <c r="E681" s="20" t="n"/>
      <c r="I681" s="14" t="n"/>
      <c r="J681" s="21" t="n"/>
      <c r="N681" s="22" t="n"/>
    </row>
    <row r="682">
      <c r="A682" s="19" t="n"/>
      <c r="E682" s="20" t="n"/>
      <c r="I682" s="14" t="n"/>
      <c r="J682" s="21" t="n"/>
      <c r="N682" s="22" t="n"/>
    </row>
    <row r="683">
      <c r="A683" s="19" t="n"/>
      <c r="E683" s="20" t="n"/>
      <c r="I683" s="14" t="n"/>
      <c r="J683" s="21" t="n"/>
      <c r="N683" s="22" t="n"/>
    </row>
    <row r="684">
      <c r="A684" s="19" t="n"/>
      <c r="E684" s="20" t="n"/>
      <c r="I684" s="14" t="n"/>
      <c r="J684" s="21" t="n"/>
      <c r="N684" s="22" t="n"/>
    </row>
    <row r="685">
      <c r="A685" s="19" t="n"/>
      <c r="E685" s="20" t="n"/>
      <c r="I685" s="14" t="n"/>
      <c r="J685" s="21" t="n"/>
      <c r="N685" s="22" t="n"/>
    </row>
    <row r="686">
      <c r="A686" s="19" t="n"/>
      <c r="E686" s="20" t="n"/>
      <c r="I686" s="14" t="n"/>
      <c r="J686" s="21" t="n"/>
      <c r="N686" s="22" t="n"/>
    </row>
    <row r="687">
      <c r="A687" s="19" t="n"/>
      <c r="E687" s="20" t="n"/>
      <c r="I687" s="14" t="n"/>
      <c r="J687" s="21" t="n"/>
      <c r="N687" s="22" t="n"/>
    </row>
    <row r="688">
      <c r="A688" s="19" t="n"/>
      <c r="E688" s="20" t="n"/>
      <c r="I688" s="14" t="n"/>
      <c r="J688" s="21" t="n"/>
      <c r="N688" s="22" t="n"/>
    </row>
    <row r="689">
      <c r="A689" s="19" t="n"/>
      <c r="E689" s="20" t="n"/>
      <c r="I689" s="14" t="n"/>
      <c r="J689" s="21" t="n"/>
      <c r="N689" s="22" t="n"/>
    </row>
    <row r="690">
      <c r="A690" s="19" t="n"/>
      <c r="E690" s="20" t="n"/>
      <c r="I690" s="14" t="n"/>
      <c r="J690" s="21" t="n"/>
      <c r="N690" s="22" t="n"/>
    </row>
    <row r="691">
      <c r="A691" s="19" t="n"/>
      <c r="E691" s="20" t="n"/>
      <c r="I691" s="14" t="n"/>
      <c r="J691" s="21" t="n"/>
      <c r="N691" s="22" t="n"/>
    </row>
    <row r="692">
      <c r="A692" s="19" t="n"/>
      <c r="E692" s="20" t="n"/>
      <c r="I692" s="14" t="n"/>
      <c r="J692" s="21" t="n"/>
      <c r="N692" s="22" t="n"/>
    </row>
    <row r="693">
      <c r="A693" s="19" t="n"/>
      <c r="E693" s="20" t="n"/>
      <c r="I693" s="14" t="n"/>
      <c r="J693" s="21" t="n"/>
      <c r="N693" s="22" t="n"/>
    </row>
    <row r="694">
      <c r="A694" s="19" t="n"/>
      <c r="E694" s="20" t="n"/>
      <c r="I694" s="14" t="n"/>
      <c r="J694" s="21" t="n"/>
      <c r="N694" s="22" t="n"/>
    </row>
    <row r="695">
      <c r="A695" s="19" t="n"/>
      <c r="E695" s="20" t="n"/>
      <c r="I695" s="14" t="n"/>
      <c r="J695" s="21" t="n"/>
      <c r="N695" s="22" t="n"/>
    </row>
    <row r="696">
      <c r="A696" s="19" t="n"/>
      <c r="E696" s="20" t="n"/>
      <c r="I696" s="14" t="n"/>
      <c r="J696" s="21" t="n"/>
      <c r="N696" s="22" t="n"/>
    </row>
    <row r="697">
      <c r="A697" s="19" t="n"/>
      <c r="E697" s="20" t="n"/>
      <c r="I697" s="14" t="n"/>
      <c r="J697" s="21" t="n"/>
      <c r="N697" s="22" t="n"/>
    </row>
    <row r="698">
      <c r="A698" s="19" t="n"/>
      <c r="E698" s="20" t="n"/>
      <c r="I698" s="14" t="n"/>
      <c r="J698" s="21" t="n"/>
      <c r="N698" s="22" t="n"/>
    </row>
    <row r="699">
      <c r="A699" s="19" t="n"/>
      <c r="E699" s="20" t="n"/>
      <c r="I699" s="14" t="n"/>
      <c r="J699" s="21" t="n"/>
      <c r="N699" s="22" t="n"/>
    </row>
    <row r="700">
      <c r="A700" s="19" t="n"/>
      <c r="E700" s="20" t="n"/>
      <c r="I700" s="14" t="n"/>
      <c r="J700" s="21" t="n"/>
      <c r="N700" s="22" t="n"/>
    </row>
    <row r="701">
      <c r="A701" s="19" t="n"/>
      <c r="E701" s="20" t="n"/>
      <c r="I701" s="14" t="n"/>
      <c r="J701" s="21" t="n"/>
      <c r="N701" s="22" t="n"/>
    </row>
    <row r="702">
      <c r="A702" s="19" t="n"/>
      <c r="E702" s="20" t="n"/>
      <c r="I702" s="14" t="n"/>
      <c r="J702" s="21" t="n"/>
      <c r="N702" s="22" t="n"/>
    </row>
    <row r="703">
      <c r="A703" s="19" t="n"/>
      <c r="E703" s="20" t="n"/>
      <c r="I703" s="14" t="n"/>
      <c r="J703" s="21" t="n"/>
      <c r="N703" s="22" t="n"/>
    </row>
    <row r="704">
      <c r="A704" s="19" t="n"/>
      <c r="E704" s="20" t="n"/>
      <c r="I704" s="14" t="n"/>
      <c r="J704" s="21" t="n"/>
      <c r="N704" s="22" t="n"/>
    </row>
    <row r="705">
      <c r="A705" s="19" t="n"/>
      <c r="E705" s="20" t="n"/>
      <c r="I705" s="14" t="n"/>
      <c r="J705" s="21" t="n"/>
      <c r="N705" s="22" t="n"/>
    </row>
    <row r="706">
      <c r="A706" s="19" t="n"/>
      <c r="E706" s="20" t="n"/>
      <c r="I706" s="14" t="n"/>
      <c r="J706" s="21" t="n"/>
      <c r="N706" s="22" t="n"/>
    </row>
    <row r="707">
      <c r="A707" s="19" t="n"/>
      <c r="E707" s="20" t="n"/>
      <c r="I707" s="14" t="n"/>
      <c r="J707" s="21" t="n"/>
      <c r="N707" s="22" t="n"/>
    </row>
    <row r="708">
      <c r="A708" s="19" t="n"/>
      <c r="E708" s="20" t="n"/>
      <c r="I708" s="14" t="n"/>
      <c r="J708" s="21" t="n"/>
      <c r="N708" s="22" t="n"/>
    </row>
    <row r="709">
      <c r="A709" s="19" t="n"/>
      <c r="E709" s="20" t="n"/>
      <c r="I709" s="14" t="n"/>
      <c r="J709" s="21" t="n"/>
      <c r="N709" s="22" t="n"/>
    </row>
    <row r="710">
      <c r="A710" s="19" t="n"/>
      <c r="E710" s="20" t="n"/>
      <c r="I710" s="14" t="n"/>
      <c r="J710" s="21" t="n"/>
      <c r="N710" s="22" t="n"/>
    </row>
    <row r="711">
      <c r="A711" s="19" t="n"/>
      <c r="E711" s="20" t="n"/>
      <c r="I711" s="14" t="n"/>
      <c r="J711" s="21" t="n"/>
      <c r="N711" s="22" t="n"/>
    </row>
    <row r="712">
      <c r="A712" s="19" t="n"/>
      <c r="E712" s="20" t="n"/>
      <c r="I712" s="14" t="n"/>
      <c r="J712" s="21" t="n"/>
      <c r="N712" s="22" t="n"/>
    </row>
    <row r="713">
      <c r="A713" s="19" t="n"/>
      <c r="E713" s="20" t="n"/>
      <c r="I713" s="14" t="n"/>
      <c r="J713" s="21" t="n"/>
      <c r="N713" s="22" t="n"/>
    </row>
    <row r="714">
      <c r="A714" s="19" t="n"/>
      <c r="E714" s="20" t="n"/>
      <c r="I714" s="14" t="n"/>
      <c r="J714" s="21" t="n"/>
      <c r="N714" s="22" t="n"/>
    </row>
    <row r="715">
      <c r="A715" s="19" t="n"/>
      <c r="E715" s="20" t="n"/>
      <c r="I715" s="14" t="n"/>
      <c r="J715" s="21" t="n"/>
      <c r="N715" s="22" t="n"/>
    </row>
    <row r="716">
      <c r="A716" s="19" t="n"/>
      <c r="E716" s="20" t="n"/>
      <c r="I716" s="14" t="n"/>
      <c r="J716" s="21" t="n"/>
      <c r="N716" s="22" t="n"/>
    </row>
    <row r="717">
      <c r="A717" s="19" t="n"/>
      <c r="E717" s="20" t="n"/>
      <c r="I717" s="14" t="n"/>
      <c r="J717" s="21" t="n"/>
      <c r="N717" s="22" t="n"/>
    </row>
    <row r="718">
      <c r="A718" s="19" t="n"/>
      <c r="E718" s="20" t="n"/>
      <c r="I718" s="14" t="n"/>
      <c r="J718" s="21" t="n"/>
      <c r="N718" s="22" t="n"/>
    </row>
    <row r="719">
      <c r="A719" s="19" t="n"/>
      <c r="E719" s="20" t="n"/>
      <c r="I719" s="14" t="n"/>
      <c r="J719" s="21" t="n"/>
      <c r="N719" s="22" t="n"/>
    </row>
    <row r="720">
      <c r="A720" s="19" t="n"/>
      <c r="E720" s="20" t="n"/>
      <c r="I720" s="14" t="n"/>
      <c r="J720" s="21" t="n"/>
      <c r="N720" s="22" t="n"/>
    </row>
    <row r="721">
      <c r="A721" s="19" t="n"/>
      <c r="E721" s="20" t="n"/>
      <c r="I721" s="14" t="n"/>
      <c r="J721" s="21" t="n"/>
      <c r="N721" s="22" t="n"/>
    </row>
    <row r="722">
      <c r="A722" s="19" t="n"/>
      <c r="E722" s="20" t="n"/>
      <c r="I722" s="14" t="n"/>
      <c r="J722" s="21" t="n"/>
      <c r="N722" s="22" t="n"/>
    </row>
    <row r="723">
      <c r="A723" s="19" t="n"/>
      <c r="E723" s="20" t="n"/>
      <c r="I723" s="14" t="n"/>
      <c r="J723" s="21" t="n"/>
      <c r="N723" s="22" t="n"/>
    </row>
    <row r="724">
      <c r="A724" s="19" t="n"/>
      <c r="E724" s="20" t="n"/>
      <c r="I724" s="14" t="n"/>
      <c r="J724" s="21" t="n"/>
      <c r="N724" s="22" t="n"/>
    </row>
    <row r="725">
      <c r="A725" s="19" t="n"/>
      <c r="E725" s="20" t="n"/>
      <c r="I725" s="14" t="n"/>
      <c r="J725" s="21" t="n"/>
      <c r="N725" s="22" t="n"/>
    </row>
    <row r="726">
      <c r="A726" s="19" t="n"/>
      <c r="E726" s="20" t="n"/>
      <c r="I726" s="14" t="n"/>
      <c r="J726" s="21" t="n"/>
      <c r="N726" s="22" t="n"/>
    </row>
    <row r="727">
      <c r="A727" s="19" t="n"/>
      <c r="E727" s="20" t="n"/>
      <c r="I727" s="14" t="n"/>
      <c r="J727" s="21" t="n"/>
      <c r="N727" s="22" t="n"/>
    </row>
    <row r="728">
      <c r="A728" s="19" t="n"/>
      <c r="E728" s="20" t="n"/>
      <c r="I728" s="14" t="n"/>
      <c r="J728" s="21" t="n"/>
      <c r="N728" s="22" t="n"/>
    </row>
    <row r="729">
      <c r="A729" s="19" t="n"/>
      <c r="E729" s="20" t="n"/>
      <c r="I729" s="14" t="n"/>
      <c r="J729" s="21" t="n"/>
      <c r="N729" s="22" t="n"/>
    </row>
    <row r="730">
      <c r="A730" s="19" t="n"/>
      <c r="E730" s="20" t="n"/>
      <c r="I730" s="14" t="n"/>
      <c r="J730" s="21" t="n"/>
      <c r="N730" s="22" t="n"/>
    </row>
    <row r="731">
      <c r="A731" s="19" t="n"/>
      <c r="E731" s="20" t="n"/>
      <c r="I731" s="14" t="n"/>
      <c r="J731" s="21" t="n"/>
      <c r="N731" s="22" t="n"/>
    </row>
    <row r="732">
      <c r="A732" s="19" t="n"/>
      <c r="E732" s="20" t="n"/>
      <c r="I732" s="14" t="n"/>
      <c r="J732" s="21" t="n"/>
      <c r="N732" s="22" t="n"/>
    </row>
    <row r="733">
      <c r="A733" s="19" t="n"/>
      <c r="E733" s="20" t="n"/>
      <c r="I733" s="14" t="n"/>
      <c r="J733" s="21" t="n"/>
      <c r="N733" s="22" t="n"/>
    </row>
    <row r="734">
      <c r="A734" s="19" t="n"/>
      <c r="E734" s="20" t="n"/>
      <c r="I734" s="14" t="n"/>
      <c r="J734" s="21" t="n"/>
      <c r="N734" s="22" t="n"/>
    </row>
    <row r="735">
      <c r="A735" s="19" t="n"/>
      <c r="E735" s="20" t="n"/>
      <c r="I735" s="14" t="n"/>
      <c r="J735" s="21" t="n"/>
      <c r="N735" s="22" t="n"/>
    </row>
    <row r="736">
      <c r="A736" s="19" t="n"/>
      <c r="E736" s="20" t="n"/>
      <c r="I736" s="14" t="n"/>
      <c r="J736" s="21" t="n"/>
      <c r="N736" s="22" t="n"/>
    </row>
    <row r="737">
      <c r="A737" s="19" t="n"/>
      <c r="E737" s="20" t="n"/>
      <c r="I737" s="14" t="n"/>
      <c r="J737" s="21" t="n"/>
      <c r="N737" s="22" t="n"/>
    </row>
    <row r="738">
      <c r="A738" s="19" t="n"/>
      <c r="E738" s="20" t="n"/>
      <c r="I738" s="14" t="n"/>
      <c r="J738" s="21" t="n"/>
      <c r="N738" s="22" t="n"/>
    </row>
    <row r="739">
      <c r="A739" s="19" t="n"/>
      <c r="E739" s="20" t="n"/>
      <c r="I739" s="14" t="n"/>
      <c r="J739" s="21" t="n"/>
      <c r="N739" s="22" t="n"/>
    </row>
    <row r="740">
      <c r="A740" s="19" t="n"/>
      <c r="E740" s="20" t="n"/>
      <c r="I740" s="14" t="n"/>
      <c r="J740" s="21" t="n"/>
      <c r="N740" s="22" t="n"/>
    </row>
    <row r="741">
      <c r="A741" s="19" t="n"/>
      <c r="E741" s="20" t="n"/>
      <c r="I741" s="14" t="n"/>
      <c r="J741" s="21" t="n"/>
      <c r="N741" s="22" t="n"/>
    </row>
    <row r="742">
      <c r="A742" s="19" t="n"/>
      <c r="E742" s="20" t="n"/>
      <c r="I742" s="14" t="n"/>
      <c r="J742" s="21" t="n"/>
      <c r="N742" s="22" t="n"/>
    </row>
    <row r="743">
      <c r="A743" s="19" t="n"/>
      <c r="E743" s="20" t="n"/>
      <c r="I743" s="14" t="n"/>
      <c r="J743" s="21" t="n"/>
      <c r="N743" s="22" t="n"/>
    </row>
    <row r="744">
      <c r="A744" s="19" t="n"/>
      <c r="E744" s="20" t="n"/>
      <c r="I744" s="14" t="n"/>
      <c r="J744" s="21" t="n"/>
      <c r="N744" s="22" t="n"/>
    </row>
    <row r="745">
      <c r="A745" s="19" t="n"/>
      <c r="E745" s="20" t="n"/>
      <c r="I745" s="14" t="n"/>
      <c r="J745" s="21" t="n"/>
      <c r="N745" s="22" t="n"/>
    </row>
    <row r="746">
      <c r="A746" s="19" t="n"/>
      <c r="E746" s="20" t="n"/>
      <c r="I746" s="14" t="n"/>
      <c r="J746" s="21" t="n"/>
      <c r="N746" s="22" t="n"/>
    </row>
    <row r="747">
      <c r="A747" s="19" t="n"/>
      <c r="E747" s="20" t="n"/>
      <c r="I747" s="14" t="n"/>
      <c r="J747" s="21" t="n"/>
      <c r="N747" s="22" t="n"/>
    </row>
    <row r="748">
      <c r="A748" s="19" t="n"/>
      <c r="E748" s="20" t="n"/>
      <c r="I748" s="14" t="n"/>
      <c r="J748" s="21" t="n"/>
      <c r="N748" s="22" t="n"/>
    </row>
    <row r="749">
      <c r="A749" s="19" t="n"/>
      <c r="E749" s="20" t="n"/>
      <c r="I749" s="14" t="n"/>
      <c r="J749" s="21" t="n"/>
      <c r="N749" s="22" t="n"/>
    </row>
    <row r="750">
      <c r="A750" s="19" t="n"/>
      <c r="E750" s="20" t="n"/>
      <c r="I750" s="14" t="n"/>
      <c r="J750" s="21" t="n"/>
      <c r="N750" s="22" t="n"/>
    </row>
    <row r="751">
      <c r="A751" s="19" t="n"/>
      <c r="E751" s="20" t="n"/>
      <c r="I751" s="14" t="n"/>
      <c r="J751" s="21" t="n"/>
      <c r="N751" s="22" t="n"/>
    </row>
    <row r="752">
      <c r="A752" s="19" t="n"/>
      <c r="E752" s="20" t="n"/>
      <c r="I752" s="14" t="n"/>
      <c r="J752" s="21" t="n"/>
      <c r="N752" s="22" t="n"/>
    </row>
    <row r="753">
      <c r="A753" s="19" t="n"/>
      <c r="E753" s="20" t="n"/>
      <c r="I753" s="14" t="n"/>
      <c r="J753" s="21" t="n"/>
      <c r="N753" s="22" t="n"/>
    </row>
    <row r="754">
      <c r="A754" s="19" t="n"/>
      <c r="E754" s="20" t="n"/>
      <c r="I754" s="14" t="n"/>
      <c r="J754" s="21" t="n"/>
      <c r="N754" s="22" t="n"/>
    </row>
    <row r="755">
      <c r="A755" s="19" t="n"/>
      <c r="E755" s="20" t="n"/>
      <c r="I755" s="14" t="n"/>
      <c r="J755" s="21" t="n"/>
      <c r="N755" s="22" t="n"/>
    </row>
    <row r="756">
      <c r="A756" s="19" t="n"/>
      <c r="E756" s="20" t="n"/>
      <c r="I756" s="14" t="n"/>
      <c r="J756" s="21" t="n"/>
      <c r="N756" s="22" t="n"/>
    </row>
    <row r="757">
      <c r="A757" s="19" t="n"/>
      <c r="E757" s="20" t="n"/>
      <c r="I757" s="14" t="n"/>
      <c r="J757" s="21" t="n"/>
      <c r="N757" s="22" t="n"/>
    </row>
    <row r="758">
      <c r="A758" s="19" t="n"/>
      <c r="E758" s="20" t="n"/>
      <c r="I758" s="14" t="n"/>
      <c r="J758" s="21" t="n"/>
      <c r="N758" s="22" t="n"/>
    </row>
    <row r="759">
      <c r="A759" s="19" t="n"/>
      <c r="E759" s="20" t="n"/>
      <c r="I759" s="14" t="n"/>
      <c r="J759" s="21" t="n"/>
      <c r="N759" s="22" t="n"/>
    </row>
    <row r="760">
      <c r="A760" s="19" t="n"/>
      <c r="E760" s="20" t="n"/>
      <c r="I760" s="14" t="n"/>
      <c r="J760" s="21" t="n"/>
      <c r="N760" s="22" t="n"/>
    </row>
    <row r="761">
      <c r="A761" s="19" t="n"/>
      <c r="E761" s="20" t="n"/>
      <c r="I761" s="14" t="n"/>
      <c r="J761" s="21" t="n"/>
      <c r="N761" s="22" t="n"/>
    </row>
    <row r="762">
      <c r="A762" s="19" t="n"/>
      <c r="E762" s="20" t="n"/>
      <c r="I762" s="14" t="n"/>
      <c r="J762" s="21" t="n"/>
      <c r="N762" s="22" t="n"/>
    </row>
    <row r="763">
      <c r="A763" s="19" t="n"/>
      <c r="E763" s="20" t="n"/>
      <c r="I763" s="14" t="n"/>
      <c r="J763" s="21" t="n"/>
      <c r="N763" s="22" t="n"/>
    </row>
    <row r="764">
      <c r="A764" s="19" t="n"/>
      <c r="E764" s="20" t="n"/>
      <c r="I764" s="14" t="n"/>
      <c r="J764" s="21" t="n"/>
      <c r="N764" s="22" t="n"/>
    </row>
    <row r="765">
      <c r="A765" s="19" t="n"/>
      <c r="E765" s="20" t="n"/>
      <c r="I765" s="14" t="n"/>
      <c r="J765" s="21" t="n"/>
      <c r="N765" s="22" t="n"/>
    </row>
    <row r="766">
      <c r="A766" s="19" t="n"/>
      <c r="E766" s="20" t="n"/>
      <c r="I766" s="14" t="n"/>
      <c r="J766" s="21" t="n"/>
      <c r="N766" s="22" t="n"/>
    </row>
    <row r="767">
      <c r="A767" s="19" t="n"/>
      <c r="E767" s="20" t="n"/>
      <c r="I767" s="14" t="n"/>
      <c r="J767" s="21" t="n"/>
      <c r="N767" s="22" t="n"/>
    </row>
    <row r="768">
      <c r="A768" s="19" t="n"/>
      <c r="E768" s="20" t="n"/>
      <c r="I768" s="14" t="n"/>
      <c r="J768" s="21" t="n"/>
      <c r="N768" s="22" t="n"/>
    </row>
    <row r="769">
      <c r="A769" s="19" t="n"/>
      <c r="E769" s="20" t="n"/>
      <c r="I769" s="14" t="n"/>
      <c r="J769" s="21" t="n"/>
      <c r="N769" s="22" t="n"/>
    </row>
    <row r="770">
      <c r="A770" s="19" t="n"/>
      <c r="E770" s="20" t="n"/>
      <c r="I770" s="14" t="n"/>
      <c r="J770" s="21" t="n"/>
      <c r="N770" s="22" t="n"/>
    </row>
    <row r="771">
      <c r="A771" s="19" t="n"/>
      <c r="E771" s="20" t="n"/>
      <c r="I771" s="14" t="n"/>
      <c r="J771" s="21" t="n"/>
      <c r="N771" s="22" t="n"/>
    </row>
    <row r="772">
      <c r="A772" s="19" t="n"/>
      <c r="E772" s="20" t="n"/>
      <c r="I772" s="14" t="n"/>
      <c r="J772" s="21" t="n"/>
      <c r="N772" s="22" t="n"/>
    </row>
    <row r="773">
      <c r="A773" s="19" t="n"/>
      <c r="E773" s="20" t="n"/>
      <c r="I773" s="14" t="n"/>
      <c r="J773" s="21" t="n"/>
      <c r="N773" s="22" t="n"/>
    </row>
    <row r="774">
      <c r="A774" s="19" t="n"/>
      <c r="E774" s="20" t="n"/>
      <c r="I774" s="14" t="n"/>
      <c r="J774" s="21" t="n"/>
      <c r="N774" s="22" t="n"/>
    </row>
    <row r="775">
      <c r="A775" s="19" t="n"/>
      <c r="E775" s="20" t="n"/>
      <c r="I775" s="14" t="n"/>
      <c r="J775" s="21" t="n"/>
      <c r="N775" s="22" t="n"/>
    </row>
    <row r="776">
      <c r="A776" s="19" t="n"/>
      <c r="E776" s="20" t="n"/>
      <c r="I776" s="14" t="n"/>
      <c r="J776" s="21" t="n"/>
      <c r="N776" s="22" t="n"/>
    </row>
    <row r="777">
      <c r="A777" s="19" t="n"/>
      <c r="E777" s="20" t="n"/>
      <c r="I777" s="14" t="n"/>
      <c r="J777" s="21" t="n"/>
      <c r="N777" s="22" t="n"/>
    </row>
    <row r="778">
      <c r="A778" s="19" t="n"/>
      <c r="E778" s="20" t="n"/>
      <c r="I778" s="14" t="n"/>
      <c r="J778" s="21" t="n"/>
      <c r="N778" s="22" t="n"/>
    </row>
    <row r="779">
      <c r="A779" s="19" t="n"/>
      <c r="E779" s="20" t="n"/>
      <c r="I779" s="14" t="n"/>
      <c r="J779" s="21" t="n"/>
      <c r="N779" s="22" t="n"/>
    </row>
    <row r="780">
      <c r="A780" s="19" t="n"/>
      <c r="E780" s="20" t="n"/>
      <c r="I780" s="14" t="n"/>
      <c r="J780" s="21" t="n"/>
      <c r="N780" s="22" t="n"/>
    </row>
    <row r="781">
      <c r="A781" s="19" t="n"/>
      <c r="E781" s="20" t="n"/>
      <c r="I781" s="14" t="n"/>
      <c r="J781" s="21" t="n"/>
      <c r="N781" s="22" t="n"/>
    </row>
    <row r="782">
      <c r="A782" s="19" t="n"/>
      <c r="E782" s="20" t="n"/>
      <c r="I782" s="14" t="n"/>
      <c r="J782" s="21" t="n"/>
      <c r="N782" s="22" t="n"/>
    </row>
    <row r="783">
      <c r="A783" s="19" t="n"/>
      <c r="E783" s="20" t="n"/>
      <c r="I783" s="14" t="n"/>
      <c r="J783" s="21" t="n"/>
      <c r="N783" s="22" t="n"/>
    </row>
    <row r="784">
      <c r="A784" s="19" t="n"/>
      <c r="E784" s="20" t="n"/>
      <c r="I784" s="14" t="n"/>
      <c r="J784" s="21" t="n"/>
      <c r="N784" s="22" t="n"/>
    </row>
    <row r="785">
      <c r="A785" s="19" t="n"/>
      <c r="E785" s="20" t="n"/>
      <c r="I785" s="14" t="n"/>
      <c r="J785" s="21" t="n"/>
      <c r="N785" s="22" t="n"/>
    </row>
    <row r="786">
      <c r="A786" s="19" t="n"/>
      <c r="E786" s="20" t="n"/>
      <c r="I786" s="14" t="n"/>
      <c r="J786" s="21" t="n"/>
      <c r="N786" s="22" t="n"/>
    </row>
    <row r="787">
      <c r="A787" s="19" t="n"/>
      <c r="E787" s="20" t="n"/>
      <c r="I787" s="14" t="n"/>
      <c r="J787" s="21" t="n"/>
      <c r="N787" s="22" t="n"/>
    </row>
    <row r="788">
      <c r="A788" s="19" t="n"/>
      <c r="E788" s="20" t="n"/>
      <c r="I788" s="14" t="n"/>
      <c r="J788" s="21" t="n"/>
      <c r="N788" s="22" t="n"/>
    </row>
    <row r="789">
      <c r="A789" s="19" t="n"/>
      <c r="E789" s="20" t="n"/>
      <c r="I789" s="14" t="n"/>
      <c r="J789" s="21" t="n"/>
      <c r="N789" s="22" t="n"/>
    </row>
    <row r="790">
      <c r="A790" s="19" t="n"/>
      <c r="E790" s="20" t="n"/>
      <c r="I790" s="14" t="n"/>
      <c r="J790" s="21" t="n"/>
      <c r="N790" s="22" t="n"/>
    </row>
    <row r="791">
      <c r="A791" s="19" t="n"/>
      <c r="E791" s="20" t="n"/>
      <c r="I791" s="14" t="n"/>
      <c r="J791" s="21" t="n"/>
      <c r="N791" s="22" t="n"/>
    </row>
    <row r="792">
      <c r="A792" s="19" t="n"/>
      <c r="E792" s="20" t="n"/>
      <c r="I792" s="14" t="n"/>
      <c r="J792" s="21" t="n"/>
      <c r="N792" s="22" t="n"/>
    </row>
    <row r="793">
      <c r="A793" s="19" t="n"/>
      <c r="E793" s="20" t="n"/>
      <c r="I793" s="14" t="n"/>
      <c r="J793" s="21" t="n"/>
      <c r="N793" s="22" t="n"/>
    </row>
    <row r="794">
      <c r="A794" s="19" t="n"/>
      <c r="E794" s="20" t="n"/>
      <c r="I794" s="14" t="n"/>
      <c r="J794" s="21" t="n"/>
      <c r="N794" s="22" t="n"/>
    </row>
    <row r="795">
      <c r="A795" s="19" t="n"/>
      <c r="E795" s="20" t="n"/>
      <c r="I795" s="14" t="n"/>
      <c r="J795" s="21" t="n"/>
      <c r="N795" s="22" t="n"/>
    </row>
    <row r="796">
      <c r="A796" s="19" t="n"/>
      <c r="E796" s="20" t="n"/>
      <c r="I796" s="14" t="n"/>
      <c r="J796" s="21" t="n"/>
      <c r="N796" s="22" t="n"/>
    </row>
    <row r="797">
      <c r="A797" s="19" t="n"/>
      <c r="E797" s="20" t="n"/>
      <c r="I797" s="14" t="n"/>
      <c r="J797" s="21" t="n"/>
      <c r="N797" s="22" t="n"/>
    </row>
    <row r="798">
      <c r="A798" s="19" t="n"/>
      <c r="E798" s="20" t="n"/>
      <c r="I798" s="14" t="n"/>
      <c r="J798" s="21" t="n"/>
      <c r="N798" s="22" t="n"/>
    </row>
    <row r="799">
      <c r="A799" s="19" t="n"/>
      <c r="E799" s="20" t="n"/>
      <c r="I799" s="14" t="n"/>
      <c r="J799" s="21" t="n"/>
      <c r="N799" s="22" t="n"/>
    </row>
    <row r="800">
      <c r="A800" s="19" t="n"/>
      <c r="E800" s="20" t="n"/>
      <c r="I800" s="14" t="n"/>
      <c r="J800" s="21" t="n"/>
      <c r="N800" s="22" t="n"/>
    </row>
    <row r="801">
      <c r="A801" s="19" t="n"/>
      <c r="E801" s="20" t="n"/>
      <c r="I801" s="14" t="n"/>
      <c r="J801" s="21" t="n"/>
      <c r="N801" s="22" t="n"/>
    </row>
    <row r="802">
      <c r="A802" s="19" t="n"/>
      <c r="E802" s="20" t="n"/>
      <c r="I802" s="14" t="n"/>
      <c r="J802" s="21" t="n"/>
      <c r="N802" s="22" t="n"/>
    </row>
    <row r="803">
      <c r="A803" s="19" t="n"/>
      <c r="E803" s="20" t="n"/>
      <c r="I803" s="14" t="n"/>
      <c r="J803" s="21" t="n"/>
      <c r="N803" s="22" t="n"/>
    </row>
    <row r="804">
      <c r="A804" s="19" t="n"/>
      <c r="E804" s="20" t="n"/>
      <c r="I804" s="14" t="n"/>
      <c r="J804" s="21" t="n"/>
      <c r="N804" s="22" t="n"/>
    </row>
    <row r="805">
      <c r="A805" s="19" t="n"/>
      <c r="E805" s="20" t="n"/>
      <c r="I805" s="14" t="n"/>
      <c r="J805" s="21" t="n"/>
      <c r="N805" s="22" t="n"/>
    </row>
    <row r="806">
      <c r="A806" s="19" t="n"/>
      <c r="E806" s="20" t="n"/>
      <c r="I806" s="14" t="n"/>
      <c r="J806" s="21" t="n"/>
      <c r="N806" s="22" t="n"/>
    </row>
    <row r="807">
      <c r="A807" s="19" t="n"/>
      <c r="E807" s="20" t="n"/>
      <c r="I807" s="14" t="n"/>
      <c r="J807" s="21" t="n"/>
      <c r="N807" s="22" t="n"/>
    </row>
    <row r="808">
      <c r="A808" s="19" t="n"/>
      <c r="E808" s="20" t="n"/>
      <c r="I808" s="14" t="n"/>
      <c r="J808" s="21" t="n"/>
      <c r="N808" s="22" t="n"/>
    </row>
    <row r="809">
      <c r="A809" s="19" t="n"/>
      <c r="E809" s="20" t="n"/>
      <c r="I809" s="14" t="n"/>
      <c r="J809" s="21" t="n"/>
      <c r="N809" s="22" t="n"/>
    </row>
    <row r="810">
      <c r="A810" s="19" t="n"/>
      <c r="E810" s="20" t="n"/>
      <c r="I810" s="14" t="n"/>
      <c r="J810" s="21" t="n"/>
      <c r="N810" s="22" t="n"/>
    </row>
    <row r="811">
      <c r="A811" s="19" t="n"/>
      <c r="E811" s="20" t="n"/>
      <c r="I811" s="14" t="n"/>
      <c r="J811" s="21" t="n"/>
      <c r="N811" s="22" t="n"/>
    </row>
    <row r="812">
      <c r="A812" s="19" t="n"/>
      <c r="E812" s="20" t="n"/>
      <c r="I812" s="14" t="n"/>
      <c r="J812" s="21" t="n"/>
      <c r="N812" s="22" t="n"/>
    </row>
    <row r="813">
      <c r="A813" s="19" t="n"/>
      <c r="E813" s="20" t="n"/>
      <c r="I813" s="14" t="n"/>
      <c r="J813" s="21" t="n"/>
      <c r="N813" s="22" t="n"/>
    </row>
    <row r="814">
      <c r="A814" s="19" t="n"/>
      <c r="E814" s="20" t="n"/>
      <c r="I814" s="14" t="n"/>
      <c r="J814" s="21" t="n"/>
      <c r="N814" s="22" t="n"/>
    </row>
    <row r="815">
      <c r="A815" s="19" t="n"/>
      <c r="E815" s="20" t="n"/>
      <c r="I815" s="14" t="n"/>
      <c r="J815" s="21" t="n"/>
      <c r="N815" s="22" t="n"/>
    </row>
    <row r="816">
      <c r="A816" s="19" t="n"/>
      <c r="E816" s="20" t="n"/>
      <c r="I816" s="14" t="n"/>
      <c r="J816" s="21" t="n"/>
      <c r="N816" s="22" t="n"/>
    </row>
    <row r="817">
      <c r="A817" s="19" t="n"/>
      <c r="E817" s="20" t="n"/>
      <c r="I817" s="14" t="n"/>
      <c r="J817" s="21" t="n"/>
      <c r="N817" s="22" t="n"/>
    </row>
    <row r="818">
      <c r="A818" s="19" t="n"/>
      <c r="E818" s="20" t="n"/>
      <c r="I818" s="14" t="n"/>
      <c r="J818" s="21" t="n"/>
      <c r="N818" s="22" t="n"/>
    </row>
    <row r="819">
      <c r="A819" s="19" t="n"/>
      <c r="E819" s="20" t="n"/>
      <c r="I819" s="14" t="n"/>
      <c r="J819" s="21" t="n"/>
      <c r="N819" s="22" t="n"/>
    </row>
    <row r="820">
      <c r="A820" s="19" t="n"/>
      <c r="E820" s="20" t="n"/>
      <c r="I820" s="14" t="n"/>
      <c r="J820" s="21" t="n"/>
      <c r="N820" s="22" t="n"/>
    </row>
    <row r="821">
      <c r="A821" s="19" t="n"/>
      <c r="E821" s="20" t="n"/>
      <c r="I821" s="14" t="n"/>
      <c r="J821" s="21" t="n"/>
      <c r="N821" s="22" t="n"/>
    </row>
    <row r="822">
      <c r="A822" s="19" t="n"/>
      <c r="E822" s="20" t="n"/>
      <c r="I822" s="14" t="n"/>
      <c r="J822" s="21" t="n"/>
      <c r="N822" s="22" t="n"/>
    </row>
    <row r="823">
      <c r="A823" s="19" t="n"/>
      <c r="E823" s="20" t="n"/>
      <c r="I823" s="14" t="n"/>
      <c r="J823" s="21" t="n"/>
      <c r="N823" s="22" t="n"/>
    </row>
    <row r="824">
      <c r="A824" s="19" t="n"/>
      <c r="E824" s="20" t="n"/>
      <c r="I824" s="14" t="n"/>
      <c r="J824" s="21" t="n"/>
      <c r="N824" s="22" t="n"/>
    </row>
    <row r="825">
      <c r="A825" s="19" t="n"/>
      <c r="E825" s="20" t="n"/>
      <c r="I825" s="14" t="n"/>
      <c r="J825" s="21" t="n"/>
      <c r="N825" s="22" t="n"/>
    </row>
    <row r="826">
      <c r="A826" s="19" t="n"/>
      <c r="E826" s="20" t="n"/>
      <c r="I826" s="14" t="n"/>
      <c r="J826" s="21" t="n"/>
      <c r="N826" s="22" t="n"/>
    </row>
    <row r="827">
      <c r="A827" s="19" t="n"/>
      <c r="E827" s="20" t="n"/>
      <c r="I827" s="14" t="n"/>
      <c r="J827" s="21" t="n"/>
      <c r="N827" s="22" t="n"/>
    </row>
    <row r="828">
      <c r="A828" s="19" t="n"/>
      <c r="E828" s="20" t="n"/>
      <c r="I828" s="14" t="n"/>
      <c r="J828" s="21" t="n"/>
      <c r="N828" s="22" t="n"/>
    </row>
    <row r="829">
      <c r="A829" s="19" t="n"/>
      <c r="E829" s="20" t="n"/>
      <c r="I829" s="14" t="n"/>
      <c r="J829" s="21" t="n"/>
      <c r="N829" s="22" t="n"/>
    </row>
    <row r="830">
      <c r="A830" s="19" t="n"/>
      <c r="E830" s="20" t="n"/>
      <c r="I830" s="14" t="n"/>
      <c r="J830" s="21" t="n"/>
      <c r="N830" s="22" t="n"/>
    </row>
    <row r="831">
      <c r="A831" s="19" t="n"/>
      <c r="E831" s="20" t="n"/>
      <c r="I831" s="14" t="n"/>
      <c r="J831" s="21" t="n"/>
      <c r="N831" s="22" t="n"/>
    </row>
    <row r="832">
      <c r="A832" s="19" t="n"/>
      <c r="E832" s="20" t="n"/>
      <c r="I832" s="14" t="n"/>
      <c r="J832" s="21" t="n"/>
      <c r="N832" s="22" t="n"/>
    </row>
    <row r="833">
      <c r="A833" s="19" t="n"/>
      <c r="E833" s="20" t="n"/>
      <c r="I833" s="14" t="n"/>
      <c r="J833" s="21" t="n"/>
      <c r="N833" s="22" t="n"/>
    </row>
    <row r="834">
      <c r="A834" s="19" t="n"/>
      <c r="E834" s="20" t="n"/>
      <c r="I834" s="14" t="n"/>
      <c r="J834" s="21" t="n"/>
      <c r="N834" s="22" t="n"/>
    </row>
    <row r="835">
      <c r="A835" s="19" t="n"/>
      <c r="E835" s="20" t="n"/>
      <c r="I835" s="14" t="n"/>
      <c r="J835" s="21" t="n"/>
      <c r="N835" s="22" t="n"/>
    </row>
    <row r="836">
      <c r="A836" s="19" t="n"/>
      <c r="E836" s="20" t="n"/>
      <c r="I836" s="14" t="n"/>
      <c r="J836" s="21" t="n"/>
      <c r="N836" s="22" t="n"/>
    </row>
    <row r="837">
      <c r="A837" s="19" t="n"/>
      <c r="E837" s="20" t="n"/>
      <c r="I837" s="14" t="n"/>
      <c r="J837" s="21" t="n"/>
      <c r="N837" s="22" t="n"/>
    </row>
    <row r="838">
      <c r="A838" s="19" t="n"/>
      <c r="E838" s="20" t="n"/>
      <c r="I838" s="14" t="n"/>
      <c r="J838" s="21" t="n"/>
      <c r="N838" s="22" t="n"/>
    </row>
    <row r="839">
      <c r="A839" s="19" t="n"/>
      <c r="E839" s="20" t="n"/>
      <c r="I839" s="14" t="n"/>
      <c r="J839" s="21" t="n"/>
      <c r="N839" s="22" t="n"/>
    </row>
    <row r="840">
      <c r="A840" s="19" t="n"/>
      <c r="E840" s="20" t="n"/>
      <c r="I840" s="14" t="n"/>
      <c r="J840" s="21" t="n"/>
      <c r="N840" s="22" t="n"/>
    </row>
    <row r="841">
      <c r="A841" s="19" t="n"/>
      <c r="E841" s="20" t="n"/>
      <c r="I841" s="14" t="n"/>
      <c r="J841" s="21" t="n"/>
      <c r="N841" s="22" t="n"/>
    </row>
    <row r="842">
      <c r="A842" s="19" t="n"/>
      <c r="E842" s="20" t="n"/>
      <c r="I842" s="14" t="n"/>
      <c r="J842" s="21" t="n"/>
      <c r="N842" s="22" t="n"/>
    </row>
    <row r="843">
      <c r="A843" s="19" t="n"/>
      <c r="E843" s="20" t="n"/>
      <c r="I843" s="14" t="n"/>
      <c r="J843" s="21" t="n"/>
      <c r="N843" s="22" t="n"/>
    </row>
    <row r="844">
      <c r="A844" s="19" t="n"/>
      <c r="E844" s="20" t="n"/>
      <c r="I844" s="14" t="n"/>
      <c r="J844" s="21" t="n"/>
      <c r="N844" s="22" t="n"/>
    </row>
    <row r="845">
      <c r="A845" s="19" t="n"/>
      <c r="E845" s="20" t="n"/>
      <c r="I845" s="14" t="n"/>
      <c r="J845" s="21" t="n"/>
      <c r="N845" s="22" t="n"/>
    </row>
    <row r="846">
      <c r="A846" s="19" t="n"/>
      <c r="E846" s="20" t="n"/>
      <c r="I846" s="14" t="n"/>
      <c r="J846" s="21" t="n"/>
      <c r="N846" s="22" t="n"/>
    </row>
    <row r="847">
      <c r="A847" s="19" t="n"/>
      <c r="E847" s="20" t="n"/>
      <c r="I847" s="14" t="n"/>
      <c r="J847" s="21" t="n"/>
      <c r="N847" s="22" t="n"/>
    </row>
    <row r="848">
      <c r="A848" s="19" t="n"/>
      <c r="E848" s="20" t="n"/>
      <c r="I848" s="14" t="n"/>
      <c r="J848" s="21" t="n"/>
      <c r="N848" s="22" t="n"/>
    </row>
    <row r="849">
      <c r="A849" s="19" t="n"/>
      <c r="E849" s="20" t="n"/>
      <c r="I849" s="14" t="n"/>
      <c r="J849" s="21" t="n"/>
      <c r="N849" s="22" t="n"/>
    </row>
    <row r="850">
      <c r="A850" s="19" t="n"/>
      <c r="E850" s="20" t="n"/>
      <c r="I850" s="14" t="n"/>
      <c r="J850" s="21" t="n"/>
      <c r="N850" s="22" t="n"/>
    </row>
    <row r="851">
      <c r="A851" s="19" t="n"/>
      <c r="E851" s="20" t="n"/>
      <c r="I851" s="14" t="n"/>
      <c r="J851" s="21" t="n"/>
      <c r="N851" s="22" t="n"/>
    </row>
    <row r="852">
      <c r="A852" s="19" t="n"/>
      <c r="E852" s="20" t="n"/>
      <c r="I852" s="14" t="n"/>
      <c r="J852" s="21" t="n"/>
      <c r="N852" s="22" t="n"/>
    </row>
    <row r="853">
      <c r="A853" s="19" t="n"/>
      <c r="E853" s="20" t="n"/>
      <c r="I853" s="14" t="n"/>
      <c r="J853" s="21" t="n"/>
      <c r="N853" s="22" t="n"/>
    </row>
    <row r="854">
      <c r="A854" s="19" t="n"/>
      <c r="E854" s="20" t="n"/>
      <c r="I854" s="14" t="n"/>
      <c r="J854" s="21" t="n"/>
      <c r="N854" s="22" t="n"/>
    </row>
    <row r="855">
      <c r="A855" s="19" t="n"/>
      <c r="E855" s="20" t="n"/>
      <c r="I855" s="14" t="n"/>
      <c r="J855" s="21" t="n"/>
      <c r="N855" s="22" t="n"/>
    </row>
    <row r="856">
      <c r="A856" s="19" t="n"/>
      <c r="E856" s="20" t="n"/>
      <c r="I856" s="14" t="n"/>
      <c r="J856" s="21" t="n"/>
      <c r="N856" s="22" t="n"/>
    </row>
    <row r="857">
      <c r="A857" s="19" t="n"/>
      <c r="E857" s="20" t="n"/>
      <c r="I857" s="14" t="n"/>
      <c r="J857" s="21" t="n"/>
      <c r="N857" s="22" t="n"/>
    </row>
    <row r="858">
      <c r="A858" s="19" t="n"/>
      <c r="E858" s="20" t="n"/>
      <c r="I858" s="14" t="n"/>
      <c r="J858" s="21" t="n"/>
      <c r="N858" s="22" t="n"/>
    </row>
    <row r="859">
      <c r="A859" s="19" t="n"/>
      <c r="E859" s="20" t="n"/>
      <c r="I859" s="14" t="n"/>
      <c r="J859" s="21" t="n"/>
      <c r="N859" s="22" t="n"/>
    </row>
    <row r="860">
      <c r="A860" s="19" t="n"/>
      <c r="E860" s="20" t="n"/>
      <c r="I860" s="14" t="n"/>
      <c r="J860" s="21" t="n"/>
      <c r="N860" s="22" t="n"/>
    </row>
    <row r="861">
      <c r="A861" s="19" t="n"/>
      <c r="E861" s="20" t="n"/>
      <c r="I861" s="14" t="n"/>
      <c r="J861" s="21" t="n"/>
      <c r="N861" s="22" t="n"/>
    </row>
    <row r="862">
      <c r="A862" s="19" t="n"/>
      <c r="E862" s="20" t="n"/>
      <c r="I862" s="14" t="n"/>
      <c r="J862" s="21" t="n"/>
      <c r="N862" s="22" t="n"/>
    </row>
    <row r="863">
      <c r="A863" s="19" t="n"/>
      <c r="E863" s="20" t="n"/>
      <c r="I863" s="14" t="n"/>
      <c r="J863" s="21" t="n"/>
      <c r="N863" s="22" t="n"/>
    </row>
    <row r="864">
      <c r="A864" s="19" t="n"/>
      <c r="E864" s="20" t="n"/>
      <c r="I864" s="14" t="n"/>
      <c r="J864" s="21" t="n"/>
      <c r="N864" s="22" t="n"/>
    </row>
    <row r="865">
      <c r="A865" s="19" t="n"/>
      <c r="E865" s="20" t="n"/>
      <c r="I865" s="14" t="n"/>
      <c r="J865" s="21" t="n"/>
      <c r="N865" s="22" t="n"/>
    </row>
    <row r="866">
      <c r="A866" s="19" t="n"/>
      <c r="E866" s="20" t="n"/>
      <c r="I866" s="14" t="n"/>
      <c r="J866" s="21" t="n"/>
      <c r="N866" s="22" t="n"/>
    </row>
    <row r="867">
      <c r="A867" s="19" t="n"/>
      <c r="E867" s="20" t="n"/>
      <c r="I867" s="14" t="n"/>
      <c r="J867" s="21" t="n"/>
      <c r="N867" s="22" t="n"/>
    </row>
    <row r="868">
      <c r="A868" s="19" t="n"/>
      <c r="E868" s="20" t="n"/>
      <c r="I868" s="14" t="n"/>
      <c r="J868" s="21" t="n"/>
      <c r="N868" s="22" t="n"/>
    </row>
    <row r="869">
      <c r="A869" s="19" t="n"/>
      <c r="E869" s="20" t="n"/>
      <c r="I869" s="14" t="n"/>
      <c r="J869" s="21" t="n"/>
      <c r="N869" s="22" t="n"/>
    </row>
    <row r="870">
      <c r="A870" s="19" t="n"/>
      <c r="E870" s="20" t="n"/>
      <c r="I870" s="14" t="n"/>
      <c r="J870" s="21" t="n"/>
      <c r="N870" s="22" t="n"/>
    </row>
    <row r="871">
      <c r="A871" s="19" t="n"/>
      <c r="E871" s="20" t="n"/>
      <c r="I871" s="14" t="n"/>
      <c r="J871" s="21" t="n"/>
      <c r="N871" s="22" t="n"/>
    </row>
    <row r="872">
      <c r="A872" s="19" t="n"/>
      <c r="E872" s="20" t="n"/>
      <c r="I872" s="14" t="n"/>
      <c r="J872" s="21" t="n"/>
      <c r="N872" s="22" t="n"/>
    </row>
    <row r="873">
      <c r="A873" s="19" t="n"/>
      <c r="E873" s="20" t="n"/>
      <c r="I873" s="14" t="n"/>
      <c r="J873" s="21" t="n"/>
      <c r="N873" s="22" t="n"/>
    </row>
    <row r="874">
      <c r="A874" s="19" t="n"/>
      <c r="E874" s="20" t="n"/>
      <c r="I874" s="14" t="n"/>
      <c r="J874" s="21" t="n"/>
      <c r="N874" s="22" t="n"/>
    </row>
    <row r="875">
      <c r="A875" s="19" t="n"/>
      <c r="E875" s="20" t="n"/>
      <c r="I875" s="14" t="n"/>
      <c r="J875" s="21" t="n"/>
      <c r="N875" s="22" t="n"/>
    </row>
    <row r="876">
      <c r="A876" s="19" t="n"/>
      <c r="E876" s="20" t="n"/>
      <c r="I876" s="14" t="n"/>
      <c r="J876" s="21" t="n"/>
      <c r="N876" s="22" t="n"/>
    </row>
    <row r="877">
      <c r="A877" s="19" t="n"/>
      <c r="E877" s="20" t="n"/>
      <c r="I877" s="14" t="n"/>
      <c r="J877" s="21" t="n"/>
      <c r="N877" s="22" t="n"/>
    </row>
    <row r="878">
      <c r="A878" s="19" t="n"/>
      <c r="E878" s="20" t="n"/>
      <c r="I878" s="14" t="n"/>
      <c r="J878" s="21" t="n"/>
      <c r="N878" s="22" t="n"/>
    </row>
    <row r="879">
      <c r="A879" s="19" t="n"/>
      <c r="E879" s="20" t="n"/>
      <c r="I879" s="14" t="n"/>
      <c r="J879" s="21" t="n"/>
      <c r="N879" s="22" t="n"/>
    </row>
    <row r="880">
      <c r="A880" s="19" t="n"/>
      <c r="E880" s="20" t="n"/>
      <c r="I880" s="14" t="n"/>
      <c r="J880" s="21" t="n"/>
      <c r="N880" s="22" t="n"/>
    </row>
    <row r="881">
      <c r="A881" s="19" t="n"/>
      <c r="E881" s="20" t="n"/>
      <c r="I881" s="14" t="n"/>
      <c r="J881" s="21" t="n"/>
      <c r="N881" s="22" t="n"/>
    </row>
    <row r="882">
      <c r="A882" s="19" t="n"/>
      <c r="E882" s="20" t="n"/>
      <c r="I882" s="14" t="n"/>
      <c r="J882" s="21" t="n"/>
      <c r="N882" s="22" t="n"/>
    </row>
    <row r="883">
      <c r="A883" s="19" t="n"/>
      <c r="E883" s="20" t="n"/>
      <c r="I883" s="14" t="n"/>
      <c r="J883" s="21" t="n"/>
      <c r="N883" s="22" t="n"/>
    </row>
    <row r="884">
      <c r="A884" s="19" t="n"/>
      <c r="E884" s="20" t="n"/>
      <c r="I884" s="14" t="n"/>
      <c r="J884" s="21" t="n"/>
      <c r="N884" s="22" t="n"/>
    </row>
    <row r="885">
      <c r="A885" s="19" t="n"/>
      <c r="E885" s="20" t="n"/>
      <c r="I885" s="14" t="n"/>
      <c r="J885" s="21" t="n"/>
      <c r="N885" s="22" t="n"/>
    </row>
    <row r="886">
      <c r="A886" s="19" t="n"/>
      <c r="E886" s="20" t="n"/>
      <c r="I886" s="14" t="n"/>
      <c r="J886" s="21" t="n"/>
      <c r="N886" s="22" t="n"/>
    </row>
    <row r="887">
      <c r="A887" s="19" t="n"/>
      <c r="E887" s="20" t="n"/>
      <c r="I887" s="14" t="n"/>
      <c r="J887" s="21" t="n"/>
      <c r="N887" s="22" t="n"/>
    </row>
    <row r="888">
      <c r="A888" s="19" t="n"/>
      <c r="E888" s="20" t="n"/>
      <c r="I888" s="14" t="n"/>
      <c r="J888" s="21" t="n"/>
      <c r="N888" s="22" t="n"/>
    </row>
    <row r="889">
      <c r="A889" s="19" t="n"/>
      <c r="E889" s="20" t="n"/>
      <c r="I889" s="14" t="n"/>
      <c r="J889" s="21" t="n"/>
      <c r="N889" s="22" t="n"/>
    </row>
    <row r="890">
      <c r="A890" s="19" t="n"/>
      <c r="E890" s="20" t="n"/>
      <c r="I890" s="14" t="n"/>
      <c r="J890" s="21" t="n"/>
      <c r="N890" s="22" t="n"/>
    </row>
    <row r="891">
      <c r="A891" s="19" t="n"/>
      <c r="E891" s="20" t="n"/>
      <c r="I891" s="14" t="n"/>
      <c r="J891" s="21" t="n"/>
      <c r="N891" s="22" t="n"/>
    </row>
    <row r="892">
      <c r="A892" s="19" t="n"/>
      <c r="E892" s="20" t="n"/>
      <c r="I892" s="14" t="n"/>
      <c r="J892" s="21" t="n"/>
      <c r="N892" s="22" t="n"/>
    </row>
    <row r="893">
      <c r="A893" s="19" t="n"/>
      <c r="E893" s="20" t="n"/>
      <c r="I893" s="14" t="n"/>
      <c r="J893" s="21" t="n"/>
      <c r="N893" s="22" t="n"/>
    </row>
    <row r="894">
      <c r="A894" s="19" t="n"/>
      <c r="E894" s="20" t="n"/>
      <c r="I894" s="14" t="n"/>
      <c r="J894" s="21" t="n"/>
      <c r="N894" s="22" t="n"/>
    </row>
    <row r="895">
      <c r="A895" s="19" t="n"/>
      <c r="E895" s="20" t="n"/>
      <c r="I895" s="14" t="n"/>
      <c r="J895" s="21" t="n"/>
      <c r="N895" s="22" t="n"/>
    </row>
    <row r="896">
      <c r="A896" s="19" t="n"/>
      <c r="E896" s="20" t="n"/>
      <c r="I896" s="14" t="n"/>
      <c r="J896" s="21" t="n"/>
      <c r="N896" s="22" t="n"/>
    </row>
    <row r="897">
      <c r="A897" s="19" t="n"/>
      <c r="E897" s="20" t="n"/>
      <c r="I897" s="14" t="n"/>
      <c r="J897" s="21" t="n"/>
      <c r="N897" s="22" t="n"/>
    </row>
    <row r="898">
      <c r="A898" s="19" t="n"/>
      <c r="E898" s="20" t="n"/>
      <c r="I898" s="14" t="n"/>
      <c r="J898" s="21" t="n"/>
      <c r="N898" s="22" t="n"/>
    </row>
    <row r="899">
      <c r="A899" s="19" t="n"/>
      <c r="E899" s="20" t="n"/>
      <c r="I899" s="14" t="n"/>
      <c r="J899" s="21" t="n"/>
      <c r="N899" s="22" t="n"/>
    </row>
    <row r="900">
      <c r="A900" s="19" t="n"/>
      <c r="E900" s="20" t="n"/>
      <c r="I900" s="14" t="n"/>
      <c r="J900" s="21" t="n"/>
      <c r="N900" s="22" t="n"/>
    </row>
    <row r="901">
      <c r="A901" s="19" t="n"/>
      <c r="E901" s="20" t="n"/>
      <c r="I901" s="14" t="n"/>
      <c r="J901" s="21" t="n"/>
      <c r="N901" s="22" t="n"/>
    </row>
    <row r="902">
      <c r="A902" s="19" t="n"/>
      <c r="E902" s="20" t="n"/>
      <c r="I902" s="14" t="n"/>
      <c r="J902" s="21" t="n"/>
      <c r="N902" s="22" t="n"/>
    </row>
    <row r="903">
      <c r="A903" s="19" t="n"/>
      <c r="E903" s="20" t="n"/>
      <c r="I903" s="14" t="n"/>
      <c r="J903" s="21" t="n"/>
      <c r="N903" s="22" t="n"/>
    </row>
    <row r="904">
      <c r="A904" s="19" t="n"/>
      <c r="E904" s="20" t="n"/>
      <c r="I904" s="14" t="n"/>
      <c r="J904" s="21" t="n"/>
      <c r="N904" s="22" t="n"/>
    </row>
    <row r="905">
      <c r="A905" s="19" t="n"/>
      <c r="E905" s="20" t="n"/>
      <c r="I905" s="14" t="n"/>
      <c r="J905" s="21" t="n"/>
      <c r="N905" s="22" t="n"/>
    </row>
    <row r="906">
      <c r="A906" s="19" t="n"/>
      <c r="E906" s="20" t="n"/>
      <c r="I906" s="14" t="n"/>
      <c r="J906" s="21" t="n"/>
      <c r="N906" s="22" t="n"/>
    </row>
    <row r="907">
      <c r="A907" s="19" t="n"/>
      <c r="E907" s="20" t="n"/>
      <c r="I907" s="14" t="n"/>
      <c r="J907" s="21" t="n"/>
      <c r="N907" s="22" t="n"/>
    </row>
    <row r="908">
      <c r="A908" s="19" t="n"/>
      <c r="E908" s="20" t="n"/>
      <c r="I908" s="14" t="n"/>
      <c r="J908" s="21" t="n"/>
      <c r="N908" s="22" t="n"/>
    </row>
    <row r="909">
      <c r="A909" s="19" t="n"/>
      <c r="E909" s="20" t="n"/>
      <c r="I909" s="14" t="n"/>
      <c r="J909" s="21" t="n"/>
      <c r="N909" s="22" t="n"/>
    </row>
    <row r="910">
      <c r="A910" s="19" t="n"/>
      <c r="E910" s="20" t="n"/>
      <c r="I910" s="14" t="n"/>
      <c r="J910" s="21" t="n"/>
      <c r="N910" s="22" t="n"/>
    </row>
    <row r="911">
      <c r="A911" s="19" t="n"/>
      <c r="E911" s="20" t="n"/>
      <c r="I911" s="14" t="n"/>
      <c r="J911" s="21" t="n"/>
      <c r="N911" s="22" t="n"/>
    </row>
    <row r="912">
      <c r="A912" s="19" t="n"/>
      <c r="E912" s="20" t="n"/>
      <c r="I912" s="14" t="n"/>
      <c r="J912" s="21" t="n"/>
      <c r="N912" s="22" t="n"/>
    </row>
    <row r="913">
      <c r="A913" s="19" t="n"/>
      <c r="E913" s="20" t="n"/>
      <c r="I913" s="14" t="n"/>
      <c r="J913" s="21" t="n"/>
      <c r="N913" s="22" t="n"/>
    </row>
    <row r="914">
      <c r="A914" s="19" t="n"/>
      <c r="E914" s="20" t="n"/>
      <c r="I914" s="14" t="n"/>
      <c r="J914" s="21" t="n"/>
      <c r="N914" s="22" t="n"/>
    </row>
    <row r="915">
      <c r="A915" s="19" t="n"/>
      <c r="E915" s="20" t="n"/>
      <c r="I915" s="14" t="n"/>
      <c r="J915" s="21" t="n"/>
      <c r="N915" s="22" t="n"/>
    </row>
    <row r="916">
      <c r="A916" s="19" t="n"/>
      <c r="E916" s="20" t="n"/>
      <c r="I916" s="14" t="n"/>
      <c r="J916" s="21" t="n"/>
      <c r="N916" s="22" t="n"/>
    </row>
    <row r="917">
      <c r="A917" s="19" t="n"/>
      <c r="E917" s="20" t="n"/>
      <c r="I917" s="14" t="n"/>
      <c r="J917" s="21" t="n"/>
      <c r="N917" s="22" t="n"/>
    </row>
    <row r="918">
      <c r="A918" s="19" t="n"/>
      <c r="E918" s="20" t="n"/>
      <c r="I918" s="14" t="n"/>
      <c r="J918" s="21" t="n"/>
      <c r="N918" s="22" t="n"/>
    </row>
    <row r="919">
      <c r="A919" s="19" t="n"/>
      <c r="E919" s="20" t="n"/>
      <c r="I919" s="14" t="n"/>
      <c r="J919" s="21" t="n"/>
      <c r="N919" s="22" t="n"/>
    </row>
    <row r="920">
      <c r="A920" s="19" t="n"/>
      <c r="E920" s="20" t="n"/>
      <c r="I920" s="14" t="n"/>
      <c r="J920" s="21" t="n"/>
      <c r="N920" s="22" t="n"/>
    </row>
    <row r="921">
      <c r="A921" s="19" t="n"/>
      <c r="E921" s="20" t="n"/>
      <c r="I921" s="14" t="n"/>
      <c r="J921" s="21" t="n"/>
      <c r="N921" s="22" t="n"/>
    </row>
    <row r="922">
      <c r="A922" s="19" t="n"/>
      <c r="E922" s="20" t="n"/>
      <c r="I922" s="14" t="n"/>
      <c r="J922" s="21" t="n"/>
      <c r="N922" s="22" t="n"/>
    </row>
    <row r="923">
      <c r="A923" s="19" t="n"/>
      <c r="E923" s="20" t="n"/>
      <c r="I923" s="14" t="n"/>
      <c r="J923" s="21" t="n"/>
      <c r="N923" s="22" t="n"/>
    </row>
    <row r="924">
      <c r="A924" s="19" t="n"/>
      <c r="E924" s="20" t="n"/>
      <c r="I924" s="14" t="n"/>
      <c r="J924" s="21" t="n"/>
      <c r="N924" s="22" t="n"/>
    </row>
    <row r="925">
      <c r="A925" s="19" t="n"/>
      <c r="E925" s="20" t="n"/>
      <c r="I925" s="14" t="n"/>
      <c r="J925" s="21" t="n"/>
      <c r="N925" s="22" t="n"/>
    </row>
    <row r="926">
      <c r="A926" s="19" t="n"/>
      <c r="E926" s="20" t="n"/>
      <c r="I926" s="14" t="n"/>
      <c r="J926" s="21" t="n"/>
      <c r="N926" s="22" t="n"/>
    </row>
    <row r="927">
      <c r="A927" s="19" t="n"/>
      <c r="E927" s="20" t="n"/>
      <c r="I927" s="14" t="n"/>
      <c r="J927" s="21" t="n"/>
      <c r="N927" s="22" t="n"/>
    </row>
    <row r="928">
      <c r="A928" s="19" t="n"/>
      <c r="E928" s="20" t="n"/>
      <c r="I928" s="14" t="n"/>
      <c r="J928" s="21" t="n"/>
      <c r="N928" s="22" t="n"/>
    </row>
    <row r="929">
      <c r="A929" s="19" t="n"/>
      <c r="E929" s="20" t="n"/>
      <c r="I929" s="14" t="n"/>
      <c r="J929" s="21" t="n"/>
      <c r="N929" s="22" t="n"/>
    </row>
    <row r="930">
      <c r="A930" s="19" t="n"/>
      <c r="E930" s="20" t="n"/>
      <c r="I930" s="14" t="n"/>
      <c r="J930" s="21" t="n"/>
      <c r="N930" s="22" t="n"/>
    </row>
    <row r="931">
      <c r="A931" s="19" t="n"/>
      <c r="E931" s="20" t="n"/>
      <c r="I931" s="14" t="n"/>
      <c r="J931" s="21" t="n"/>
      <c r="N931" s="22" t="n"/>
    </row>
    <row r="932">
      <c r="A932" s="19" t="n"/>
      <c r="E932" s="20" t="n"/>
      <c r="I932" s="14" t="n"/>
      <c r="J932" s="21" t="n"/>
      <c r="N932" s="22" t="n"/>
    </row>
    <row r="933">
      <c r="A933" s="19" t="n"/>
      <c r="E933" s="20" t="n"/>
      <c r="I933" s="14" t="n"/>
      <c r="J933" s="21" t="n"/>
      <c r="N933" s="22" t="n"/>
    </row>
    <row r="934">
      <c r="A934" s="19" t="n"/>
      <c r="E934" s="20" t="n"/>
      <c r="I934" s="14" t="n"/>
      <c r="J934" s="21" t="n"/>
      <c r="N934" s="22" t="n"/>
    </row>
    <row r="935">
      <c r="A935" s="19" t="n"/>
      <c r="E935" s="20" t="n"/>
      <c r="I935" s="14" t="n"/>
      <c r="J935" s="21" t="n"/>
      <c r="N935" s="22" t="n"/>
    </row>
    <row r="936">
      <c r="A936" s="19" t="n"/>
      <c r="E936" s="20" t="n"/>
      <c r="I936" s="14" t="n"/>
      <c r="J936" s="21" t="n"/>
      <c r="N936" s="22" t="n"/>
    </row>
    <row r="937">
      <c r="A937" s="19" t="n"/>
      <c r="E937" s="20" t="n"/>
      <c r="I937" s="14" t="n"/>
      <c r="J937" s="21" t="n"/>
      <c r="N937" s="22" t="n"/>
    </row>
    <row r="938">
      <c r="A938" s="19" t="n"/>
      <c r="E938" s="20" t="n"/>
      <c r="I938" s="14" t="n"/>
      <c r="J938" s="21" t="n"/>
      <c r="N938" s="22" t="n"/>
    </row>
    <row r="939">
      <c r="A939" s="19" t="n"/>
      <c r="E939" s="20" t="n"/>
      <c r="I939" s="14" t="n"/>
      <c r="J939" s="21" t="n"/>
      <c r="N939" s="22" t="n"/>
    </row>
    <row r="940">
      <c r="A940" s="19" t="n"/>
      <c r="E940" s="20" t="n"/>
      <c r="I940" s="14" t="n"/>
      <c r="J940" s="21" t="n"/>
      <c r="N940" s="22" t="n"/>
    </row>
    <row r="941">
      <c r="A941" s="19" t="n"/>
      <c r="E941" s="20" t="n"/>
      <c r="I941" s="14" t="n"/>
      <c r="J941" s="21" t="n"/>
      <c r="N941" s="22" t="n"/>
    </row>
    <row r="942">
      <c r="A942" s="19" t="n"/>
      <c r="E942" s="20" t="n"/>
      <c r="I942" s="14" t="n"/>
      <c r="J942" s="21" t="n"/>
      <c r="N942" s="22" t="n"/>
    </row>
    <row r="943">
      <c r="A943" s="19" t="n"/>
      <c r="E943" s="20" t="n"/>
      <c r="I943" s="14" t="n"/>
      <c r="J943" s="21" t="n"/>
      <c r="N943" s="22" t="n"/>
    </row>
    <row r="944">
      <c r="A944" s="19" t="n"/>
      <c r="E944" s="20" t="n"/>
      <c r="I944" s="14" t="n"/>
      <c r="J944" s="21" t="n"/>
      <c r="N944" s="22" t="n"/>
    </row>
    <row r="945">
      <c r="A945" s="19" t="n"/>
      <c r="E945" s="20" t="n"/>
      <c r="I945" s="14" t="n"/>
      <c r="J945" s="21" t="n"/>
      <c r="N945" s="22" t="n"/>
    </row>
    <row r="946">
      <c r="A946" s="19" t="n"/>
      <c r="E946" s="20" t="n"/>
      <c r="I946" s="14" t="n"/>
      <c r="J946" s="21" t="n"/>
      <c r="N946" s="22" t="n"/>
    </row>
    <row r="947">
      <c r="A947" s="19" t="n"/>
      <c r="E947" s="20" t="n"/>
      <c r="I947" s="14" t="n"/>
      <c r="J947" s="21" t="n"/>
      <c r="N947" s="22" t="n"/>
    </row>
    <row r="948">
      <c r="A948" s="19" t="n"/>
      <c r="E948" s="20" t="n"/>
      <c r="I948" s="14" t="n"/>
      <c r="J948" s="21" t="n"/>
      <c r="N948" s="22" t="n"/>
    </row>
    <row r="949">
      <c r="A949" s="19" t="n"/>
      <c r="E949" s="20" t="n"/>
      <c r="I949" s="14" t="n"/>
      <c r="J949" s="21" t="n"/>
      <c r="N949" s="22" t="n"/>
    </row>
    <row r="950">
      <c r="A950" s="19" t="n"/>
      <c r="E950" s="20" t="n"/>
      <c r="I950" s="14" t="n"/>
      <c r="J950" s="21" t="n"/>
      <c r="N950" s="22" t="n"/>
    </row>
    <row r="951">
      <c r="A951" s="19" t="n"/>
      <c r="E951" s="20" t="n"/>
      <c r="I951" s="14" t="n"/>
      <c r="J951" s="21" t="n"/>
      <c r="N951" s="22" t="n"/>
    </row>
    <row r="952">
      <c r="A952" s="19" t="n"/>
      <c r="E952" s="20" t="n"/>
      <c r="I952" s="14" t="n"/>
      <c r="J952" s="21" t="n"/>
      <c r="N952" s="22" t="n"/>
    </row>
    <row r="953">
      <c r="A953" s="19" t="n"/>
      <c r="E953" s="20" t="n"/>
      <c r="I953" s="14" t="n"/>
      <c r="J953" s="21" t="n"/>
      <c r="N953" s="22" t="n"/>
    </row>
    <row r="954">
      <c r="A954" s="19" t="n"/>
      <c r="E954" s="20" t="n"/>
      <c r="I954" s="14" t="n"/>
      <c r="J954" s="21" t="n"/>
      <c r="N954" s="22" t="n"/>
    </row>
    <row r="955">
      <c r="A955" s="19" t="n"/>
      <c r="E955" s="20" t="n"/>
      <c r="I955" s="14" t="n"/>
      <c r="J955" s="21" t="n"/>
      <c r="N955" s="22" t="n"/>
    </row>
    <row r="956">
      <c r="A956" s="19" t="n"/>
      <c r="E956" s="20" t="n"/>
      <c r="I956" s="14" t="n"/>
      <c r="J956" s="21" t="n"/>
      <c r="N956" s="22" t="n"/>
    </row>
    <row r="957">
      <c r="A957" s="19" t="n"/>
      <c r="E957" s="20" t="n"/>
      <c r="I957" s="14" t="n"/>
      <c r="J957" s="21" t="n"/>
      <c r="N957" s="22" t="n"/>
    </row>
    <row r="958">
      <c r="A958" s="19" t="n"/>
      <c r="E958" s="20" t="n"/>
      <c r="I958" s="14" t="n"/>
      <c r="J958" s="21" t="n"/>
      <c r="N958" s="22" t="n"/>
    </row>
    <row r="959">
      <c r="A959" s="19" t="n"/>
      <c r="E959" s="20" t="n"/>
      <c r="I959" s="14" t="n"/>
      <c r="J959" s="21" t="n"/>
      <c r="N959" s="22" t="n"/>
    </row>
    <row r="960">
      <c r="A960" s="19" t="n"/>
      <c r="E960" s="20" t="n"/>
      <c r="I960" s="14" t="n"/>
      <c r="J960" s="21" t="n"/>
      <c r="N960" s="22" t="n"/>
    </row>
    <row r="961">
      <c r="A961" s="19" t="n"/>
      <c r="E961" s="20" t="n"/>
      <c r="I961" s="14" t="n"/>
      <c r="J961" s="21" t="n"/>
      <c r="N961" s="22" t="n"/>
    </row>
    <row r="962">
      <c r="A962" s="19" t="n"/>
      <c r="E962" s="20" t="n"/>
      <c r="I962" s="14" t="n"/>
      <c r="J962" s="21" t="n"/>
      <c r="N962" s="22" t="n"/>
    </row>
    <row r="963">
      <c r="A963" s="19" t="n"/>
      <c r="E963" s="20" t="n"/>
      <c r="I963" s="14" t="n"/>
      <c r="J963" s="21" t="n"/>
      <c r="N963" s="22" t="n"/>
    </row>
    <row r="964">
      <c r="A964" s="19" t="n"/>
      <c r="E964" s="20" t="n"/>
      <c r="I964" s="14" t="n"/>
      <c r="J964" s="21" t="n"/>
      <c r="N964" s="22" t="n"/>
    </row>
    <row r="965">
      <c r="A965" s="19" t="n"/>
      <c r="E965" s="20" t="n"/>
      <c r="I965" s="14" t="n"/>
      <c r="J965" s="21" t="n"/>
      <c r="N965" s="22" t="n"/>
    </row>
    <row r="966">
      <c r="A966" s="19" t="n"/>
      <c r="E966" s="20" t="n"/>
      <c r="I966" s="14" t="n"/>
      <c r="J966" s="21" t="n"/>
      <c r="N966" s="22" t="n"/>
    </row>
    <row r="967">
      <c r="A967" s="19" t="n"/>
      <c r="E967" s="20" t="n"/>
      <c r="I967" s="14" t="n"/>
      <c r="J967" s="21" t="n"/>
      <c r="N967" s="22" t="n"/>
    </row>
    <row r="968">
      <c r="A968" s="19" t="n"/>
      <c r="E968" s="20" t="n"/>
      <c r="I968" s="14" t="n"/>
      <c r="J968" s="21" t="n"/>
      <c r="N968" s="22" t="n"/>
    </row>
    <row r="969">
      <c r="A969" s="19" t="n"/>
      <c r="E969" s="20" t="n"/>
      <c r="I969" s="14" t="n"/>
      <c r="J969" s="21" t="n"/>
      <c r="N969" s="22" t="n"/>
    </row>
    <row r="970">
      <c r="A970" s="19" t="n"/>
      <c r="E970" s="20" t="n"/>
      <c r="I970" s="14" t="n"/>
      <c r="J970" s="21" t="n"/>
      <c r="N970" s="22" t="n"/>
    </row>
    <row r="971">
      <c r="A971" s="19" t="n"/>
      <c r="E971" s="20" t="n"/>
      <c r="I971" s="14" t="n"/>
      <c r="J971" s="21" t="n"/>
      <c r="N971" s="22" t="n"/>
    </row>
    <row r="972">
      <c r="A972" s="19" t="n"/>
      <c r="E972" s="20" t="n"/>
      <c r="I972" s="14" t="n"/>
      <c r="J972" s="21" t="n"/>
      <c r="N972" s="22" t="n"/>
    </row>
    <row r="973">
      <c r="A973" s="19" t="n"/>
      <c r="E973" s="20" t="n"/>
      <c r="I973" s="14" t="n"/>
      <c r="J973" s="21" t="n"/>
      <c r="N973" s="22" t="n"/>
    </row>
    <row r="974">
      <c r="A974" s="19" t="n"/>
      <c r="E974" s="20" t="n"/>
      <c r="I974" s="14" t="n"/>
      <c r="J974" s="21" t="n"/>
      <c r="N974" s="22" t="n"/>
    </row>
    <row r="975">
      <c r="A975" s="19" t="n"/>
      <c r="E975" s="20" t="n"/>
      <c r="I975" s="14" t="n"/>
      <c r="J975" s="21" t="n"/>
      <c r="N975" s="22" t="n"/>
    </row>
    <row r="976">
      <c r="A976" s="19" t="n"/>
      <c r="E976" s="20" t="n"/>
      <c r="I976" s="14" t="n"/>
      <c r="J976" s="21" t="n"/>
      <c r="N976" s="22" t="n"/>
    </row>
    <row r="977">
      <c r="A977" s="19" t="n"/>
      <c r="E977" s="20" t="n"/>
      <c r="I977" s="14" t="n"/>
      <c r="J977" s="21" t="n"/>
      <c r="N977" s="22" t="n"/>
    </row>
    <row r="978">
      <c r="A978" s="19" t="n"/>
      <c r="E978" s="20" t="n"/>
      <c r="I978" s="14" t="n"/>
      <c r="J978" s="21" t="n"/>
      <c r="N978" s="22" t="n"/>
    </row>
    <row r="979">
      <c r="A979" s="19" t="n"/>
      <c r="E979" s="20" t="n"/>
      <c r="I979" s="14" t="n"/>
      <c r="J979" s="21" t="n"/>
      <c r="N979" s="22" t="n"/>
    </row>
    <row r="980">
      <c r="A980" s="19" t="n"/>
      <c r="E980" s="20" t="n"/>
      <c r="I980" s="14" t="n"/>
      <c r="J980" s="21" t="n"/>
      <c r="N980" s="22" t="n"/>
    </row>
    <row r="981">
      <c r="A981" s="19" t="n"/>
      <c r="E981" s="20" t="n"/>
      <c r="I981" s="14" t="n"/>
      <c r="J981" s="21" t="n"/>
      <c r="N981" s="22" t="n"/>
    </row>
    <row r="982">
      <c r="A982" s="19" t="n"/>
      <c r="E982" s="20" t="n"/>
      <c r="I982" s="14" t="n"/>
      <c r="J982" s="21" t="n"/>
      <c r="N982" s="22" t="n"/>
    </row>
    <row r="983">
      <c r="A983" s="19" t="n"/>
      <c r="E983" s="20" t="n"/>
      <c r="I983" s="14" t="n"/>
      <c r="J983" s="21" t="n"/>
      <c r="N983" s="22" t="n"/>
    </row>
    <row r="984">
      <c r="A984" s="19" t="n"/>
      <c r="E984" s="20" t="n"/>
      <c r="I984" s="14" t="n"/>
      <c r="J984" s="21" t="n"/>
      <c r="N984" s="22" t="n"/>
    </row>
    <row r="985">
      <c r="A985" s="19" t="n"/>
      <c r="E985" s="20" t="n"/>
      <c r="I985" s="14" t="n"/>
      <c r="J985" s="21" t="n"/>
      <c r="N985" s="22" t="n"/>
    </row>
    <row r="986">
      <c r="A986" s="19" t="n"/>
      <c r="E986" s="20" t="n"/>
      <c r="I986" s="14" t="n"/>
      <c r="J986" s="21" t="n"/>
      <c r="N986" s="22" t="n"/>
    </row>
    <row r="987">
      <c r="A987" s="19" t="n"/>
      <c r="E987" s="20" t="n"/>
      <c r="I987" s="14" t="n"/>
      <c r="J987" s="21" t="n"/>
      <c r="N987" s="22" t="n"/>
    </row>
    <row r="988">
      <c r="A988" s="19" t="n"/>
      <c r="E988" s="20" t="n"/>
      <c r="I988" s="14" t="n"/>
      <c r="J988" s="21" t="n"/>
      <c r="N988" s="22" t="n"/>
    </row>
    <row r="989">
      <c r="A989" s="19" t="n"/>
      <c r="E989" s="20" t="n"/>
      <c r="I989" s="14" t="n"/>
      <c r="J989" s="21" t="n"/>
      <c r="N989" s="22" t="n"/>
    </row>
    <row r="990">
      <c r="A990" s="19" t="n"/>
      <c r="E990" s="20" t="n"/>
      <c r="I990" s="14" t="n"/>
      <c r="J990" s="21" t="n"/>
      <c r="N990" s="22" t="n"/>
    </row>
    <row r="991">
      <c r="A991" s="19" t="n"/>
      <c r="E991" s="20" t="n"/>
      <c r="I991" s="14" t="n"/>
      <c r="J991" s="21" t="n"/>
      <c r="N991" s="22" t="n"/>
    </row>
    <row r="992">
      <c r="A992" s="19" t="n"/>
      <c r="E992" s="20" t="n"/>
      <c r="I992" s="14" t="n"/>
      <c r="J992" s="21" t="n"/>
      <c r="N992" s="22" t="n"/>
    </row>
    <row r="993">
      <c r="A993" s="19" t="n"/>
      <c r="E993" s="20" t="n"/>
      <c r="I993" s="14" t="n"/>
      <c r="J993" s="21" t="n"/>
      <c r="N993" s="22" t="n"/>
    </row>
    <row r="994">
      <c r="A994" s="19" t="n"/>
      <c r="E994" s="20" t="n"/>
      <c r="I994" s="14" t="n"/>
      <c r="J994" s="21" t="n"/>
      <c r="N994" s="22" t="n"/>
    </row>
    <row r="995">
      <c r="A995" s="19" t="n"/>
      <c r="E995" s="20" t="n"/>
      <c r="I995" s="14" t="n"/>
      <c r="J995" s="21" t="n"/>
      <c r="N995" s="22" t="n"/>
    </row>
    <row r="996">
      <c r="A996" s="19" t="n"/>
      <c r="E996" s="20" t="n"/>
      <c r="I996" s="14" t="n"/>
      <c r="J996" s="21" t="n"/>
      <c r="N996" s="22" t="n"/>
    </row>
    <row r="997">
      <c r="A997" s="19" t="n"/>
      <c r="E997" s="20" t="n"/>
      <c r="I997" s="14" t="n"/>
      <c r="J997" s="21" t="n"/>
      <c r="N997" s="22" t="n"/>
    </row>
    <row r="998">
      <c r="A998" s="19" t="n"/>
      <c r="E998" s="20" t="n"/>
      <c r="I998" s="14" t="n"/>
      <c r="J998" s="21" t="n"/>
      <c r="N998" s="22" t="n"/>
    </row>
    <row r="999">
      <c r="A999" s="19" t="n"/>
      <c r="E999" s="20" t="n"/>
      <c r="I999" s="14" t="n"/>
      <c r="J999" s="21" t="n"/>
      <c r="N999" s="22" t="n"/>
    </row>
    <row r="1000">
      <c r="A1000" s="19" t="n"/>
      <c r="E1000" s="20" t="n"/>
      <c r="I1000" s="14" t="n"/>
      <c r="J1000" s="21" t="n"/>
      <c r="N1000" s="22" t="n"/>
    </row>
    <row r="1001">
      <c r="A1001" s="19" t="n"/>
      <c r="E1001" s="20" t="n"/>
      <c r="I1001" s="14" t="n"/>
      <c r="J1001" s="21" t="n"/>
      <c r="N1001" s="22" t="n"/>
    </row>
    <row r="1002">
      <c r="A1002" s="19" t="n"/>
      <c r="E1002" s="20" t="n"/>
      <c r="I1002" s="14" t="n"/>
      <c r="J1002" s="21" t="n"/>
      <c r="N1002" s="22" t="n"/>
    </row>
    <row r="1003">
      <c r="A1003" s="19" t="n"/>
      <c r="E1003" s="20" t="n"/>
      <c r="I1003" s="14" t="n"/>
      <c r="J1003" s="21" t="n"/>
      <c r="N1003" s="22" t="n"/>
    </row>
    <row r="1004">
      <c r="A1004" s="19" t="n"/>
      <c r="E1004" s="20" t="n"/>
      <c r="I1004" s="14" t="n"/>
      <c r="J1004" s="21" t="n"/>
      <c r="N1004" s="22" t="n"/>
    </row>
    <row r="1005">
      <c r="A1005" s="19" t="n"/>
      <c r="E1005" s="20" t="n"/>
      <c r="I1005" s="14" t="n"/>
      <c r="J1005" s="21" t="n"/>
      <c r="N1005" s="22" t="n"/>
    </row>
    <row r="1006">
      <c r="A1006" s="19" t="n"/>
      <c r="E1006" s="20" t="n"/>
      <c r="I1006" s="14" t="n"/>
      <c r="J1006" s="21" t="n"/>
      <c r="N1006" s="22" t="n"/>
    </row>
    <row r="1007">
      <c r="A1007" s="19" t="n"/>
      <c r="E1007" s="20" t="n"/>
      <c r="I1007" s="14" t="n"/>
      <c r="J1007" s="21" t="n"/>
      <c r="N1007" s="22" t="n"/>
    </row>
    <row r="1008">
      <c r="A1008" s="19" t="n"/>
      <c r="E1008" s="20" t="n"/>
      <c r="I1008" s="14" t="n"/>
      <c r="J1008" s="21" t="n"/>
      <c r="N1008" s="22" t="n"/>
    </row>
    <row r="1009">
      <c r="A1009" s="19" t="n"/>
      <c r="E1009" s="20" t="n"/>
      <c r="I1009" s="14" t="n"/>
      <c r="J1009" s="21" t="n"/>
      <c r="N1009" s="22" t="n"/>
    </row>
    <row r="1010">
      <c r="A1010" s="19" t="n"/>
      <c r="E1010" s="20" t="n"/>
      <c r="I1010" s="14" t="n"/>
      <c r="J1010" s="21" t="n"/>
      <c r="N1010" s="22" t="n"/>
    </row>
    <row r="1011">
      <c r="A1011" s="19" t="n"/>
      <c r="E1011" s="20" t="n"/>
      <c r="I1011" s="14" t="n"/>
      <c r="J1011" s="21" t="n"/>
      <c r="N1011" s="22" t="n"/>
    </row>
    <row r="1012">
      <c r="A1012" s="19" t="n"/>
      <c r="E1012" s="20" t="n"/>
      <c r="I1012" s="14" t="n"/>
      <c r="J1012" s="21" t="n"/>
      <c r="N1012" s="22" t="n"/>
    </row>
    <row r="1013">
      <c r="A1013" s="19" t="n"/>
      <c r="E1013" s="20" t="n"/>
      <c r="I1013" s="14" t="n"/>
      <c r="J1013" s="21" t="n"/>
      <c r="N1013" s="22" t="n"/>
    </row>
    <row r="1014">
      <c r="A1014" s="19" t="n"/>
      <c r="E1014" s="20" t="n"/>
      <c r="I1014" s="14" t="n"/>
      <c r="J1014" s="21" t="n"/>
      <c r="N1014" s="22" t="n"/>
    </row>
    <row r="1015">
      <c r="A1015" s="19" t="n"/>
      <c r="E1015" s="20" t="n"/>
      <c r="I1015" s="14" t="n"/>
      <c r="J1015" s="21" t="n"/>
      <c r="N1015" s="22" t="n"/>
    </row>
    <row r="1016">
      <c r="A1016" s="19" t="n"/>
      <c r="E1016" s="20" t="n"/>
      <c r="I1016" s="14" t="n"/>
      <c r="J1016" s="21" t="n"/>
      <c r="N1016" s="22" t="n"/>
    </row>
    <row r="1017">
      <c r="A1017" s="19" t="n"/>
      <c r="E1017" s="20" t="n"/>
      <c r="I1017" s="14" t="n"/>
      <c r="J1017" s="21" t="n"/>
      <c r="N1017" s="22" t="n"/>
    </row>
    <row r="1018">
      <c r="A1018" s="19" t="n"/>
      <c r="E1018" s="20" t="n"/>
      <c r="I1018" s="14" t="n"/>
      <c r="J1018" s="21" t="n"/>
      <c r="N1018" s="22" t="n"/>
    </row>
    <row r="1019">
      <c r="A1019" s="19" t="n"/>
      <c r="E1019" s="20" t="n"/>
      <c r="I1019" s="14" t="n"/>
      <c r="J1019" s="21" t="n"/>
      <c r="N1019" s="22" t="n"/>
    </row>
    <row r="1020">
      <c r="A1020" s="19" t="n"/>
      <c r="E1020" s="20" t="n"/>
      <c r="I1020" s="14" t="n"/>
      <c r="J1020" s="21" t="n"/>
      <c r="N1020" s="22" t="n"/>
    </row>
    <row r="1021">
      <c r="A1021" s="19" t="n"/>
      <c r="E1021" s="20" t="n"/>
      <c r="I1021" s="14" t="n"/>
      <c r="J1021" s="21" t="n"/>
      <c r="N1021" s="22" t="n"/>
    </row>
    <row r="1022">
      <c r="A1022" s="19" t="n"/>
      <c r="E1022" s="20" t="n"/>
      <c r="I1022" s="14" t="n"/>
      <c r="J1022" s="21" t="n"/>
      <c r="N1022" s="22" t="n"/>
    </row>
    <row r="1023">
      <c r="A1023" s="19" t="n"/>
      <c r="E1023" s="20" t="n"/>
      <c r="I1023" s="14" t="n"/>
      <c r="J1023" s="21" t="n"/>
      <c r="N1023" s="22" t="n"/>
    </row>
    <row r="1024">
      <c r="A1024" s="19" t="n"/>
      <c r="E1024" s="20" t="n"/>
      <c r="I1024" s="14" t="n"/>
      <c r="J1024" s="21" t="n"/>
      <c r="N1024" s="22" t="n"/>
    </row>
    <row r="1025">
      <c r="A1025" s="19" t="n"/>
      <c r="E1025" s="20" t="n"/>
      <c r="I1025" s="14" t="n"/>
      <c r="J1025" s="21" t="n"/>
      <c r="N1025" s="22" t="n"/>
    </row>
    <row r="1026">
      <c r="A1026" s="19" t="n"/>
      <c r="E1026" s="20" t="n"/>
      <c r="I1026" s="14" t="n"/>
      <c r="J1026" s="21" t="n"/>
      <c r="N1026" s="22" t="n"/>
    </row>
    <row r="1027">
      <c r="A1027" s="19" t="n"/>
      <c r="E1027" s="20" t="n"/>
      <c r="I1027" s="14" t="n"/>
      <c r="J1027" s="21" t="n"/>
      <c r="N1027" s="22" t="n"/>
    </row>
    <row r="1028">
      <c r="A1028" s="19" t="n"/>
      <c r="E1028" s="20" t="n"/>
      <c r="I1028" s="14" t="n"/>
      <c r="J1028" s="21" t="n"/>
      <c r="N1028" s="22" t="n"/>
    </row>
    <row r="1029">
      <c r="A1029" s="19" t="n"/>
      <c r="E1029" s="20" t="n"/>
      <c r="I1029" s="14" t="n"/>
      <c r="J1029" s="21" t="n"/>
      <c r="N1029" s="22" t="n"/>
    </row>
    <row r="1030">
      <c r="A1030" s="19" t="n"/>
      <c r="E1030" s="20" t="n"/>
      <c r="I1030" s="14" t="n"/>
      <c r="J1030" s="21" t="n"/>
      <c r="N1030" s="22" t="n"/>
    </row>
    <row r="1031">
      <c r="A1031" s="19" t="n"/>
      <c r="E1031" s="20" t="n"/>
      <c r="I1031" s="14" t="n"/>
      <c r="J1031" s="21" t="n"/>
      <c r="N1031" s="22" t="n"/>
    </row>
    <row r="1032">
      <c r="A1032" s="19" t="n"/>
      <c r="E1032" s="20" t="n"/>
      <c r="I1032" s="14" t="n"/>
      <c r="J1032" s="21" t="n"/>
      <c r="N1032" s="22" t="n"/>
    </row>
    <row r="1033">
      <c r="A1033" s="19" t="n"/>
      <c r="E1033" s="20" t="n"/>
      <c r="I1033" s="14" t="n"/>
      <c r="J1033" s="21" t="n"/>
      <c r="N1033" s="22" t="n"/>
    </row>
    <row r="1034">
      <c r="A1034" s="19" t="n"/>
      <c r="E1034" s="20" t="n"/>
      <c r="I1034" s="14" t="n"/>
      <c r="J1034" s="21" t="n"/>
      <c r="N1034" s="22" t="n"/>
    </row>
    <row r="1035">
      <c r="A1035" s="19" t="n"/>
      <c r="E1035" s="20" t="n"/>
      <c r="I1035" s="14" t="n"/>
      <c r="J1035" s="21" t="n"/>
      <c r="N1035" s="22" t="n"/>
    </row>
    <row r="1036">
      <c r="A1036" s="19" t="n"/>
      <c r="E1036" s="20" t="n"/>
      <c r="I1036" s="14" t="n"/>
      <c r="J1036" s="21" t="n"/>
      <c r="N1036" s="22" t="n"/>
    </row>
    <row r="1037">
      <c r="A1037" s="19" t="n"/>
      <c r="E1037" s="20" t="n"/>
      <c r="I1037" s="14" t="n"/>
      <c r="J1037" s="21" t="n"/>
      <c r="N1037" s="22" t="n"/>
    </row>
    <row r="1038">
      <c r="A1038" s="19" t="n"/>
      <c r="E1038" s="20" t="n"/>
      <c r="I1038" s="14" t="n"/>
      <c r="J1038" s="21" t="n"/>
      <c r="N1038" s="22" t="n"/>
    </row>
    <row r="1039">
      <c r="A1039" s="19" t="n"/>
      <c r="E1039" s="20" t="n"/>
      <c r="I1039" s="14" t="n"/>
      <c r="J1039" s="21" t="n"/>
      <c r="N1039" s="22" t="n"/>
    </row>
    <row r="1040">
      <c r="A1040" s="19" t="n"/>
      <c r="E1040" s="20" t="n"/>
      <c r="I1040" s="14" t="n"/>
      <c r="J1040" s="21" t="n"/>
      <c r="N1040" s="22" t="n"/>
    </row>
    <row r="1041">
      <c r="A1041" s="19" t="n"/>
      <c r="E1041" s="20" t="n"/>
      <c r="I1041" s="14" t="n"/>
      <c r="J1041" s="21" t="n"/>
      <c r="N1041" s="22" t="n"/>
    </row>
    <row r="1042">
      <c r="A1042" s="19" t="n"/>
      <c r="E1042" s="20" t="n"/>
      <c r="I1042" s="14" t="n"/>
      <c r="J1042" s="21" t="n"/>
      <c r="N1042" s="22" t="n"/>
    </row>
    <row r="1043">
      <c r="A1043" s="19" t="n"/>
      <c r="E1043" s="20" t="n"/>
      <c r="I1043" s="14" t="n"/>
      <c r="J1043" s="21" t="n"/>
      <c r="N1043" s="22" t="n"/>
    </row>
    <row r="1044">
      <c r="A1044" s="19" t="n"/>
      <c r="E1044" s="20" t="n"/>
      <c r="I1044" s="14" t="n"/>
      <c r="J1044" s="21" t="n"/>
      <c r="N1044" s="22" t="n"/>
    </row>
    <row r="1045">
      <c r="A1045" s="19" t="n"/>
      <c r="E1045" s="20" t="n"/>
      <c r="I1045" s="14" t="n"/>
      <c r="J1045" s="21" t="n"/>
      <c r="N1045" s="22" t="n"/>
    </row>
    <row r="1046">
      <c r="A1046" s="19" t="n"/>
      <c r="E1046" s="20" t="n"/>
      <c r="I1046" s="14" t="n"/>
      <c r="J1046" s="21" t="n"/>
      <c r="N1046" s="22" t="n"/>
    </row>
    <row r="1047">
      <c r="A1047" s="19" t="n"/>
      <c r="E1047" s="20" t="n"/>
      <c r="I1047" s="14" t="n"/>
      <c r="J1047" s="21" t="n"/>
      <c r="N1047" s="22" t="n"/>
    </row>
    <row r="1048">
      <c r="A1048" s="19" t="n"/>
      <c r="E1048" s="20" t="n"/>
      <c r="I1048" s="14" t="n"/>
      <c r="J1048" s="21" t="n"/>
      <c r="N1048" s="22" t="n"/>
    </row>
    <row r="1049">
      <c r="A1049" s="19" t="n"/>
      <c r="E1049" s="20" t="n"/>
      <c r="I1049" s="14" t="n"/>
      <c r="J1049" s="21" t="n"/>
      <c r="N1049" s="22" t="n"/>
    </row>
    <row r="1050">
      <c r="A1050" s="19" t="n"/>
      <c r="E1050" s="20" t="n"/>
      <c r="I1050" s="14" t="n"/>
      <c r="J1050" s="21" t="n"/>
      <c r="N1050" s="22" t="n"/>
    </row>
    <row r="1051">
      <c r="A1051" s="19" t="n"/>
      <c r="E1051" s="20" t="n"/>
      <c r="I1051" s="14" t="n"/>
      <c r="J1051" s="21" t="n"/>
      <c r="N1051" s="22" t="n"/>
    </row>
    <row r="1052">
      <c r="A1052" s="19" t="n"/>
      <c r="E1052" s="20" t="n"/>
      <c r="I1052" s="14" t="n"/>
      <c r="J1052" s="21" t="n"/>
      <c r="N1052" s="22" t="n"/>
    </row>
    <row r="1053">
      <c r="A1053" s="19" t="n"/>
      <c r="E1053" s="20" t="n"/>
      <c r="I1053" s="14" t="n"/>
      <c r="J1053" s="21" t="n"/>
      <c r="N1053" s="22" t="n"/>
    </row>
    <row r="1054">
      <c r="A1054" s="19" t="n"/>
      <c r="E1054" s="20" t="n"/>
      <c r="I1054" s="14" t="n"/>
      <c r="J1054" s="21" t="n"/>
      <c r="N1054" s="22" t="n"/>
    </row>
    <row r="1055">
      <c r="A1055" s="19" t="n"/>
      <c r="E1055" s="20" t="n"/>
      <c r="I1055" s="14" t="n"/>
      <c r="J1055" s="21" t="n"/>
      <c r="N1055" s="22" t="n"/>
    </row>
    <row r="1056">
      <c r="A1056" s="19" t="n"/>
      <c r="E1056" s="20" t="n"/>
      <c r="I1056" s="14" t="n"/>
      <c r="J1056" s="21" t="n"/>
      <c r="N1056" s="22" t="n"/>
    </row>
    <row r="1057">
      <c r="A1057" s="19" t="n"/>
      <c r="E1057" s="20" t="n"/>
      <c r="I1057" s="14" t="n"/>
      <c r="J1057" s="21" t="n"/>
      <c r="N1057" s="22" t="n"/>
    </row>
    <row r="1058">
      <c r="A1058" s="19" t="n"/>
      <c r="E1058" s="20" t="n"/>
      <c r="I1058" s="14" t="n"/>
      <c r="J1058" s="21" t="n"/>
      <c r="N1058" s="22" t="n"/>
    </row>
    <row r="1059">
      <c r="A1059" s="19" t="n"/>
      <c r="E1059" s="20" t="n"/>
      <c r="I1059" s="14" t="n"/>
      <c r="J1059" s="21" t="n"/>
      <c r="N1059" s="22" t="n"/>
    </row>
    <row r="1060">
      <c r="A1060" s="19" t="n"/>
      <c r="E1060" s="20" t="n"/>
      <c r="I1060" s="14" t="n"/>
      <c r="J1060" s="21" t="n"/>
      <c r="N1060" s="22" t="n"/>
    </row>
    <row r="1061">
      <c r="A1061" s="19" t="n"/>
      <c r="E1061" s="20" t="n"/>
      <c r="I1061" s="14" t="n"/>
      <c r="J1061" s="21" t="n"/>
      <c r="N1061" s="22" t="n"/>
    </row>
    <row r="1062">
      <c r="A1062" s="19" t="n"/>
      <c r="E1062" s="20" t="n"/>
      <c r="I1062" s="14" t="n"/>
      <c r="J1062" s="21" t="n"/>
      <c r="N1062" s="22" t="n"/>
    </row>
    <row r="1063">
      <c r="A1063" s="19" t="n"/>
      <c r="E1063" s="20" t="n"/>
      <c r="I1063" s="14" t="n"/>
      <c r="J1063" s="21" t="n"/>
      <c r="N1063" s="22" t="n"/>
    </row>
    <row r="1064">
      <c r="A1064" s="19" t="n"/>
      <c r="E1064" s="20" t="n"/>
      <c r="I1064" s="14" t="n"/>
      <c r="J1064" s="21" t="n"/>
      <c r="N1064" s="22" t="n"/>
    </row>
    <row r="1065">
      <c r="A1065" s="19" t="n"/>
      <c r="E1065" s="20" t="n"/>
      <c r="I1065" s="14" t="n"/>
      <c r="J1065" s="21" t="n"/>
      <c r="N1065" s="22" t="n"/>
    </row>
    <row r="1066">
      <c r="A1066" s="19" t="n"/>
      <c r="E1066" s="20" t="n"/>
      <c r="I1066" s="14" t="n"/>
      <c r="J1066" s="21" t="n"/>
      <c r="N1066" s="22" t="n"/>
    </row>
    <row r="1067">
      <c r="A1067" s="19" t="n"/>
      <c r="E1067" s="20" t="n"/>
      <c r="I1067" s="14" t="n"/>
      <c r="J1067" s="21" t="n"/>
      <c r="N1067" s="22" t="n"/>
    </row>
    <row r="1068">
      <c r="A1068" s="19" t="n"/>
      <c r="E1068" s="20" t="n"/>
      <c r="I1068" s="14" t="n"/>
      <c r="J1068" s="21" t="n"/>
      <c r="N1068" s="22" t="n"/>
    </row>
    <row r="1069">
      <c r="A1069" s="19" t="n"/>
      <c r="E1069" s="20" t="n"/>
      <c r="I1069" s="14" t="n"/>
      <c r="J1069" s="21" t="n"/>
      <c r="N1069" s="22" t="n"/>
    </row>
    <row r="1070">
      <c r="A1070" s="19" t="n"/>
      <c r="E1070" s="20" t="n"/>
      <c r="I1070" s="14" t="n"/>
      <c r="J1070" s="21" t="n"/>
      <c r="N1070" s="22" t="n"/>
    </row>
    <row r="1071">
      <c r="A1071" s="19" t="n"/>
      <c r="E1071" s="20" t="n"/>
      <c r="I1071" s="14" t="n"/>
      <c r="J1071" s="21" t="n"/>
      <c r="N1071" s="22" t="n"/>
    </row>
    <row r="1072">
      <c r="A1072" s="19" t="n"/>
      <c r="E1072" s="20" t="n"/>
      <c r="I1072" s="14" t="n"/>
      <c r="J1072" s="21" t="n"/>
      <c r="N1072" s="22" t="n"/>
    </row>
    <row r="1073">
      <c r="A1073" s="19" t="n"/>
      <c r="E1073" s="20" t="n"/>
      <c r="I1073" s="14" t="n"/>
      <c r="J1073" s="21" t="n"/>
      <c r="N1073" s="22" t="n"/>
    </row>
    <row r="1074">
      <c r="A1074" s="19" t="n"/>
      <c r="E1074" s="20" t="n"/>
      <c r="I1074" s="14" t="n"/>
      <c r="J1074" s="21" t="n"/>
      <c r="N1074" s="22" t="n"/>
    </row>
    <row r="1075">
      <c r="A1075" s="19" t="n"/>
      <c r="E1075" s="20" t="n"/>
      <c r="I1075" s="14" t="n"/>
      <c r="J1075" s="21" t="n"/>
      <c r="N1075" s="22" t="n"/>
    </row>
    <row r="1076">
      <c r="A1076" s="19" t="n"/>
      <c r="E1076" s="20" t="n"/>
      <c r="I1076" s="14" t="n"/>
      <c r="J1076" s="21" t="n"/>
      <c r="N1076" s="22" t="n"/>
    </row>
    <row r="1077">
      <c r="A1077" s="19" t="n"/>
      <c r="E1077" s="20" t="n"/>
      <c r="I1077" s="14" t="n"/>
      <c r="J1077" s="21" t="n"/>
      <c r="N1077" s="22" t="n"/>
    </row>
    <row r="1078">
      <c r="A1078" s="19" t="n"/>
      <c r="E1078" s="20" t="n"/>
      <c r="I1078" s="14" t="n"/>
      <c r="J1078" s="21" t="n"/>
      <c r="N1078" s="22" t="n"/>
    </row>
    <row r="1079">
      <c r="A1079" s="19" t="n"/>
      <c r="E1079" s="20" t="n"/>
      <c r="I1079" s="14" t="n"/>
      <c r="J1079" s="21" t="n"/>
      <c r="N1079" s="22" t="n"/>
    </row>
    <row r="1080">
      <c r="A1080" s="19" t="n"/>
      <c r="E1080" s="20" t="n"/>
      <c r="I1080" s="14" t="n"/>
      <c r="J1080" s="21" t="n"/>
      <c r="N1080" s="22" t="n"/>
    </row>
    <row r="1081">
      <c r="A1081" s="19" t="n"/>
      <c r="E1081" s="20" t="n"/>
      <c r="I1081" s="14" t="n"/>
      <c r="J1081" s="21" t="n"/>
      <c r="N1081" s="22" t="n"/>
    </row>
    <row r="1082">
      <c r="A1082" s="19" t="n"/>
      <c r="E1082" s="20" t="n"/>
      <c r="I1082" s="14" t="n"/>
      <c r="J1082" s="21" t="n"/>
      <c r="N1082" s="22" t="n"/>
    </row>
    <row r="1083">
      <c r="A1083" s="19" t="n"/>
      <c r="E1083" s="20" t="n"/>
      <c r="I1083" s="14" t="n"/>
      <c r="J1083" s="21" t="n"/>
      <c r="N1083" s="22" t="n"/>
    </row>
    <row r="1084">
      <c r="A1084" s="19" t="n"/>
      <c r="E1084" s="20" t="n"/>
      <c r="I1084" s="14" t="n"/>
      <c r="J1084" s="21" t="n"/>
      <c r="N1084" s="22" t="n"/>
    </row>
    <row r="1085">
      <c r="A1085" s="19" t="n"/>
      <c r="E1085" s="20" t="n"/>
      <c r="I1085" s="14" t="n"/>
      <c r="J1085" s="21" t="n"/>
      <c r="N1085" s="22" t="n"/>
    </row>
    <row r="1086">
      <c r="A1086" s="19" t="n"/>
      <c r="E1086" s="20" t="n"/>
      <c r="I1086" s="14" t="n"/>
      <c r="J1086" s="21" t="n"/>
      <c r="N1086" s="22" t="n"/>
    </row>
    <row r="1087">
      <c r="A1087" s="19" t="n"/>
      <c r="E1087" s="20" t="n"/>
      <c r="I1087" s="14" t="n"/>
      <c r="J1087" s="21" t="n"/>
      <c r="N1087" s="22" t="n"/>
    </row>
    <row r="1088">
      <c r="A1088" s="19" t="n"/>
      <c r="E1088" s="20" t="n"/>
      <c r="I1088" s="14" t="n"/>
      <c r="J1088" s="21" t="n"/>
      <c r="N1088" s="22" t="n"/>
    </row>
    <row r="1089">
      <c r="A1089" s="19" t="n"/>
      <c r="E1089" s="20" t="n"/>
      <c r="I1089" s="14" t="n"/>
      <c r="J1089" s="21" t="n"/>
      <c r="N1089" s="22" t="n"/>
    </row>
    <row r="1090">
      <c r="A1090" s="19" t="n"/>
      <c r="E1090" s="20" t="n"/>
      <c r="I1090" s="14" t="n"/>
      <c r="J1090" s="21" t="n"/>
      <c r="N1090" s="22" t="n"/>
    </row>
    <row r="1091">
      <c r="A1091" s="19" t="n"/>
      <c r="E1091" s="20" t="n"/>
      <c r="I1091" s="14" t="n"/>
      <c r="J1091" s="21" t="n"/>
      <c r="N1091" s="22" t="n"/>
    </row>
    <row r="1092">
      <c r="A1092" s="19" t="n"/>
      <c r="E1092" s="20" t="n"/>
      <c r="I1092" s="14" t="n"/>
      <c r="J1092" s="21" t="n"/>
      <c r="N1092" s="22" t="n"/>
    </row>
    <row r="1093">
      <c r="A1093" s="19" t="n"/>
      <c r="E1093" s="20" t="n"/>
      <c r="I1093" s="14" t="n"/>
      <c r="J1093" s="21" t="n"/>
      <c r="N1093" s="22" t="n"/>
    </row>
    <row r="1094">
      <c r="A1094" s="19" t="n"/>
      <c r="E1094" s="20" t="n"/>
      <c r="I1094" s="14" t="n"/>
      <c r="J1094" s="21" t="n"/>
      <c r="N1094" s="22" t="n"/>
    </row>
    <row r="1095">
      <c r="A1095" s="19" t="n"/>
      <c r="E1095" s="20" t="n"/>
      <c r="I1095" s="14" t="n"/>
      <c r="J1095" s="21" t="n"/>
      <c r="N1095" s="22" t="n"/>
    </row>
    <row r="1096">
      <c r="A1096" s="19" t="n"/>
      <c r="E1096" s="20" t="n"/>
      <c r="I1096" s="14" t="n"/>
      <c r="J1096" s="21" t="n"/>
      <c r="N1096" s="22" t="n"/>
    </row>
    <row r="1097">
      <c r="A1097" s="19" t="n"/>
      <c r="E1097" s="20" t="n"/>
      <c r="I1097" s="14" t="n"/>
      <c r="J1097" s="21" t="n"/>
      <c r="N1097" s="22" t="n"/>
    </row>
    <row r="1098">
      <c r="A1098" s="19" t="n"/>
      <c r="E1098" s="20" t="n"/>
      <c r="I1098" s="14" t="n"/>
      <c r="J1098" s="21" t="n"/>
      <c r="N1098" s="22" t="n"/>
    </row>
    <row r="1099">
      <c r="A1099" s="19" t="n"/>
      <c r="E1099" s="20" t="n"/>
      <c r="I1099" s="14" t="n"/>
      <c r="J1099" s="21" t="n"/>
      <c r="N1099" s="22" t="n"/>
    </row>
    <row r="1100">
      <c r="A1100" s="19" t="n"/>
      <c r="E1100" s="20" t="n"/>
      <c r="I1100" s="14" t="n"/>
      <c r="J1100" s="21" t="n"/>
      <c r="N1100" s="22" t="n"/>
    </row>
    <row r="1101">
      <c r="A1101" s="19" t="n"/>
      <c r="E1101" s="20" t="n"/>
      <c r="I1101" s="14" t="n"/>
      <c r="J1101" s="21" t="n"/>
      <c r="N1101" s="22" t="n"/>
    </row>
    <row r="1102">
      <c r="A1102" s="19" t="n"/>
      <c r="E1102" s="20" t="n"/>
      <c r="I1102" s="14" t="n"/>
      <c r="J1102" s="21" t="n"/>
      <c r="N1102" s="22" t="n"/>
    </row>
    <row r="1103">
      <c r="A1103" s="19" t="n"/>
      <c r="E1103" s="20" t="n"/>
      <c r="I1103" s="14" t="n"/>
      <c r="J1103" s="21" t="n"/>
      <c r="N1103" s="22" t="n"/>
    </row>
    <row r="1104">
      <c r="A1104" s="19" t="n"/>
      <c r="E1104" s="20" t="n"/>
      <c r="I1104" s="14" t="n"/>
      <c r="J1104" s="21" t="n"/>
      <c r="N1104" s="22" t="n"/>
    </row>
    <row r="1105">
      <c r="A1105" s="19" t="n"/>
      <c r="E1105" s="20" t="n"/>
      <c r="I1105" s="14" t="n"/>
      <c r="J1105" s="21" t="n"/>
      <c r="N1105" s="22" t="n"/>
    </row>
    <row r="1106">
      <c r="A1106" s="19" t="n"/>
      <c r="E1106" s="20" t="n"/>
      <c r="I1106" s="14" t="n"/>
      <c r="J1106" s="21" t="n"/>
      <c r="N1106" s="22" t="n"/>
    </row>
    <row r="1107">
      <c r="A1107" s="19" t="n"/>
      <c r="E1107" s="20" t="n"/>
      <c r="I1107" s="14" t="n"/>
      <c r="J1107" s="21" t="n"/>
      <c r="N1107" s="22" t="n"/>
    </row>
    <row r="1108">
      <c r="A1108" s="19" t="n"/>
      <c r="E1108" s="20" t="n"/>
      <c r="I1108" s="14" t="n"/>
      <c r="J1108" s="21" t="n"/>
      <c r="N1108" s="22" t="n"/>
    </row>
    <row r="1109">
      <c r="A1109" s="19" t="n"/>
      <c r="E1109" s="20" t="n"/>
      <c r="I1109" s="14" t="n"/>
      <c r="J1109" s="21" t="n"/>
      <c r="N1109" s="22" t="n"/>
    </row>
    <row r="1110">
      <c r="A1110" s="19" t="n"/>
      <c r="E1110" s="20" t="n"/>
      <c r="I1110" s="14" t="n"/>
      <c r="J1110" s="21" t="n"/>
      <c r="N1110" s="22" t="n"/>
    </row>
    <row r="1111">
      <c r="A1111" s="19" t="n"/>
      <c r="E1111" s="20" t="n"/>
      <c r="I1111" s="14" t="n"/>
      <c r="J1111" s="21" t="n"/>
      <c r="N1111" s="22" t="n"/>
    </row>
    <row r="1112">
      <c r="A1112" s="19" t="n"/>
      <c r="E1112" s="20" t="n"/>
      <c r="I1112" s="14" t="n"/>
      <c r="J1112" s="21" t="n"/>
      <c r="N1112" s="22" t="n"/>
    </row>
    <row r="1113">
      <c r="A1113" s="19" t="n"/>
      <c r="E1113" s="20" t="n"/>
      <c r="I1113" s="14" t="n"/>
      <c r="J1113" s="21" t="n"/>
      <c r="N1113" s="22" t="n"/>
    </row>
    <row r="1114">
      <c r="A1114" s="19" t="n"/>
      <c r="E1114" s="20" t="n"/>
      <c r="I1114" s="14" t="n"/>
      <c r="J1114" s="21" t="n"/>
      <c r="N1114" s="22" t="n"/>
    </row>
    <row r="1115">
      <c r="A1115" s="19" t="n"/>
      <c r="E1115" s="20" t="n"/>
      <c r="I1115" s="14" t="n"/>
      <c r="J1115" s="21" t="n"/>
      <c r="N1115" s="22" t="n"/>
    </row>
    <row r="1116">
      <c r="A1116" s="19" t="n"/>
      <c r="E1116" s="20" t="n"/>
      <c r="I1116" s="14" t="n"/>
      <c r="J1116" s="21" t="n"/>
      <c r="N1116" s="22" t="n"/>
    </row>
    <row r="1117">
      <c r="A1117" s="19" t="n"/>
      <c r="E1117" s="20" t="n"/>
      <c r="I1117" s="14" t="n"/>
      <c r="J1117" s="21" t="n"/>
      <c r="N1117" s="22" t="n"/>
    </row>
    <row r="1118">
      <c r="A1118" s="19" t="n"/>
      <c r="E1118" s="20" t="n"/>
      <c r="I1118" s="14" t="n"/>
      <c r="J1118" s="21" t="n"/>
      <c r="N1118" s="22" t="n"/>
    </row>
    <row r="1119">
      <c r="A1119" s="19" t="n"/>
      <c r="E1119" s="20" t="n"/>
      <c r="I1119" s="14" t="n"/>
      <c r="J1119" s="21" t="n"/>
      <c r="N1119" s="22" t="n"/>
    </row>
    <row r="1120">
      <c r="A1120" s="19" t="n"/>
      <c r="E1120" s="20" t="n"/>
      <c r="I1120" s="14" t="n"/>
      <c r="J1120" s="21" t="n"/>
      <c r="N1120" s="22" t="n"/>
    </row>
    <row r="1121">
      <c r="A1121" s="19" t="n"/>
      <c r="E1121" s="20" t="n"/>
      <c r="I1121" s="14" t="n"/>
      <c r="J1121" s="21" t="n"/>
      <c r="N1121" s="22" t="n"/>
    </row>
    <row r="1122">
      <c r="A1122" s="19" t="n"/>
      <c r="E1122" s="20" t="n"/>
      <c r="I1122" s="14" t="n"/>
      <c r="J1122" s="21" t="n"/>
      <c r="N1122" s="22" t="n"/>
    </row>
    <row r="1123">
      <c r="A1123" s="19" t="n"/>
      <c r="E1123" s="20" t="n"/>
      <c r="I1123" s="14" t="n"/>
      <c r="J1123" s="21" t="n"/>
      <c r="N1123" s="22" t="n"/>
    </row>
    <row r="1124">
      <c r="A1124" s="19" t="n"/>
      <c r="E1124" s="20" t="n"/>
      <c r="I1124" s="14" t="n"/>
      <c r="J1124" s="21" t="n"/>
      <c r="N1124" s="22" t="n"/>
    </row>
    <row r="1125">
      <c r="A1125" s="19" t="n"/>
      <c r="E1125" s="20" t="n"/>
      <c r="I1125" s="14" t="n"/>
      <c r="J1125" s="21" t="n"/>
      <c r="N1125" s="22" t="n"/>
    </row>
    <row r="1126">
      <c r="A1126" s="19" t="n"/>
      <c r="E1126" s="20" t="n"/>
      <c r="I1126" s="14" t="n"/>
      <c r="J1126" s="21" t="n"/>
      <c r="N1126" s="22" t="n"/>
    </row>
    <row r="1127">
      <c r="A1127" s="19" t="n"/>
      <c r="E1127" s="20" t="n"/>
      <c r="I1127" s="14" t="n"/>
      <c r="J1127" s="21" t="n"/>
      <c r="N1127" s="22" t="n"/>
    </row>
    <row r="1128">
      <c r="A1128" s="19" t="n"/>
      <c r="E1128" s="20" t="n"/>
      <c r="I1128" s="14" t="n"/>
      <c r="J1128" s="21" t="n"/>
      <c r="N1128" s="22" t="n"/>
    </row>
    <row r="1129">
      <c r="A1129" s="19" t="n"/>
      <c r="E1129" s="20" t="n"/>
      <c r="I1129" s="14" t="n"/>
      <c r="J1129" s="21" t="n"/>
      <c r="N1129" s="22" t="n"/>
    </row>
    <row r="1130">
      <c r="A1130" s="19" t="n"/>
      <c r="E1130" s="20" t="n"/>
      <c r="I1130" s="14" t="n"/>
      <c r="J1130" s="21" t="n"/>
      <c r="N1130" s="22" t="n"/>
    </row>
    <row r="1131">
      <c r="A1131" s="19" t="n"/>
      <c r="E1131" s="20" t="n"/>
      <c r="I1131" s="14" t="n"/>
      <c r="J1131" s="21" t="n"/>
      <c r="N1131" s="22" t="n"/>
    </row>
    <row r="1132">
      <c r="A1132" s="19" t="n"/>
      <c r="E1132" s="20" t="n"/>
      <c r="I1132" s="14" t="n"/>
      <c r="J1132" s="21" t="n"/>
      <c r="N1132" s="22" t="n"/>
    </row>
    <row r="1133">
      <c r="A1133" s="19" t="n"/>
      <c r="E1133" s="20" t="n"/>
      <c r="I1133" s="14" t="n"/>
      <c r="J1133" s="21" t="n"/>
      <c r="N1133" s="22" t="n"/>
    </row>
    <row r="1134">
      <c r="A1134" s="19" t="n"/>
      <c r="E1134" s="20" t="n"/>
      <c r="I1134" s="14" t="n"/>
      <c r="J1134" s="21" t="n"/>
      <c r="N1134" s="22" t="n"/>
    </row>
    <row r="1135">
      <c r="A1135" s="19" t="n"/>
      <c r="E1135" s="20" t="n"/>
      <c r="I1135" s="14" t="n"/>
      <c r="J1135" s="21" t="n"/>
      <c r="N1135" s="22" t="n"/>
    </row>
    <row r="1136">
      <c r="A1136" s="19" t="n"/>
      <c r="E1136" s="20" t="n"/>
      <c r="I1136" s="14" t="n"/>
      <c r="J1136" s="21" t="n"/>
      <c r="N1136" s="22" t="n"/>
    </row>
    <row r="1137">
      <c r="A1137" s="19" t="n"/>
      <c r="E1137" s="20" t="n"/>
      <c r="I1137" s="14" t="n"/>
      <c r="J1137" s="21" t="n"/>
      <c r="N1137" s="22" t="n"/>
    </row>
    <row r="1138">
      <c r="A1138" s="19" t="n"/>
      <c r="E1138" s="20" t="n"/>
      <c r="I1138" s="14" t="n"/>
      <c r="J1138" s="21" t="n"/>
      <c r="N1138" s="22" t="n"/>
    </row>
    <row r="1139">
      <c r="A1139" s="19" t="n"/>
      <c r="E1139" s="20" t="n"/>
      <c r="I1139" s="14" t="n"/>
      <c r="J1139" s="21" t="n"/>
      <c r="N1139" s="22" t="n"/>
    </row>
    <row r="1140">
      <c r="A1140" s="19" t="n"/>
      <c r="E1140" s="20" t="n"/>
      <c r="I1140" s="14" t="n"/>
      <c r="J1140" s="21" t="n"/>
      <c r="N1140" s="22" t="n"/>
    </row>
    <row r="1141">
      <c r="A1141" s="19" t="n"/>
      <c r="E1141" s="20" t="n"/>
      <c r="I1141" s="14" t="n"/>
      <c r="J1141" s="21" t="n"/>
      <c r="N1141" s="22" t="n"/>
    </row>
    <row r="1142">
      <c r="A1142" s="19" t="n"/>
      <c r="E1142" s="20" t="n"/>
      <c r="I1142" s="14" t="n"/>
      <c r="J1142" s="21" t="n"/>
      <c r="N1142" s="22" t="n"/>
    </row>
    <row r="1143">
      <c r="A1143" s="19" t="n"/>
      <c r="E1143" s="20" t="n"/>
      <c r="I1143" s="14" t="n"/>
      <c r="J1143" s="21" t="n"/>
      <c r="N1143" s="22" t="n"/>
    </row>
    <row r="1144">
      <c r="A1144" s="19" t="n"/>
      <c r="E1144" s="20" t="n"/>
      <c r="I1144" s="14" t="n"/>
      <c r="J1144" s="21" t="n"/>
      <c r="N1144" s="22" t="n"/>
    </row>
    <row r="1145">
      <c r="A1145" s="19" t="n"/>
      <c r="E1145" s="20" t="n"/>
      <c r="I1145" s="14" t="n"/>
      <c r="J1145" s="21" t="n"/>
      <c r="N1145" s="22" t="n"/>
    </row>
    <row r="1146">
      <c r="A1146" s="19" t="n"/>
      <c r="E1146" s="20" t="n"/>
      <c r="I1146" s="14" t="n"/>
      <c r="J1146" s="21" t="n"/>
      <c r="N1146" s="22" t="n"/>
    </row>
    <row r="1147">
      <c r="A1147" s="19" t="n"/>
      <c r="E1147" s="20" t="n"/>
      <c r="I1147" s="14" t="n"/>
      <c r="J1147" s="21" t="n"/>
      <c r="N1147" s="22" t="n"/>
    </row>
    <row r="1148">
      <c r="A1148" s="19" t="n"/>
      <c r="E1148" s="20" t="n"/>
      <c r="I1148" s="14" t="n"/>
      <c r="J1148" s="21" t="n"/>
      <c r="N1148" s="22" t="n"/>
    </row>
    <row r="1149">
      <c r="A1149" s="19" t="n"/>
      <c r="E1149" s="20" t="n"/>
      <c r="I1149" s="14" t="n"/>
      <c r="J1149" s="21" t="n"/>
      <c r="N1149" s="22" t="n"/>
    </row>
    <row r="1150">
      <c r="A1150" s="19" t="n"/>
      <c r="E1150" s="20" t="n"/>
      <c r="I1150" s="14" t="n"/>
      <c r="J1150" s="21" t="n"/>
      <c r="N1150" s="22" t="n"/>
    </row>
    <row r="1151">
      <c r="A1151" s="19" t="n"/>
      <c r="E1151" s="20" t="n"/>
      <c r="I1151" s="14" t="n"/>
      <c r="J1151" s="21" t="n"/>
      <c r="N1151" s="22" t="n"/>
    </row>
    <row r="1152">
      <c r="A1152" s="19" t="n"/>
      <c r="E1152" s="20" t="n"/>
      <c r="I1152" s="14" t="n"/>
      <c r="J1152" s="21" t="n"/>
      <c r="N1152" s="22" t="n"/>
    </row>
    <row r="1153">
      <c r="A1153" s="19" t="n"/>
      <c r="E1153" s="20" t="n"/>
      <c r="I1153" s="14" t="n"/>
      <c r="J1153" s="21" t="n"/>
      <c r="N1153" s="22" t="n"/>
    </row>
    <row r="1154">
      <c r="A1154" s="19" t="n"/>
      <c r="E1154" s="20" t="n"/>
      <c r="I1154" s="14" t="n"/>
      <c r="J1154" s="21" t="n"/>
      <c r="N1154" s="22" t="n"/>
    </row>
    <row r="1155">
      <c r="A1155" s="19" t="n"/>
      <c r="E1155" s="20" t="n"/>
      <c r="I1155" s="14" t="n"/>
      <c r="J1155" s="21" t="n"/>
      <c r="N1155" s="22" t="n"/>
    </row>
    <row r="1156">
      <c r="A1156" s="19" t="n"/>
      <c r="E1156" s="20" t="n"/>
      <c r="I1156" s="14" t="n"/>
      <c r="J1156" s="21" t="n"/>
      <c r="N1156" s="22" t="n"/>
    </row>
    <row r="1157">
      <c r="A1157" s="19" t="n"/>
      <c r="E1157" s="20" t="n"/>
      <c r="I1157" s="14" t="n"/>
      <c r="J1157" s="21" t="n"/>
      <c r="N1157" s="22" t="n"/>
    </row>
    <row r="1158">
      <c r="A1158" s="19" t="n"/>
      <c r="E1158" s="20" t="n"/>
      <c r="I1158" s="14" t="n"/>
      <c r="J1158" s="21" t="n"/>
      <c r="N1158" s="22" t="n"/>
    </row>
    <row r="1159">
      <c r="A1159" s="19" t="n"/>
      <c r="E1159" s="20" t="n"/>
      <c r="I1159" s="14" t="n"/>
      <c r="J1159" s="21" t="n"/>
      <c r="N1159" s="22" t="n"/>
    </row>
    <row r="1160">
      <c r="A1160" s="19" t="n"/>
      <c r="E1160" s="20" t="n"/>
      <c r="I1160" s="14" t="n"/>
      <c r="J1160" s="21" t="n"/>
      <c r="N1160" s="22" t="n"/>
    </row>
    <row r="1161">
      <c r="A1161" s="19" t="n"/>
      <c r="E1161" s="20" t="n"/>
      <c r="I1161" s="14" t="n"/>
      <c r="J1161" s="21" t="n"/>
      <c r="N1161" s="22" t="n"/>
    </row>
    <row r="1162">
      <c r="A1162" s="19" t="n"/>
      <c r="E1162" s="20" t="n"/>
      <c r="I1162" s="14" t="n"/>
      <c r="J1162" s="21" t="n"/>
      <c r="N1162" s="22" t="n"/>
    </row>
    <row r="1163">
      <c r="A1163" s="19" t="n"/>
      <c r="E1163" s="20" t="n"/>
      <c r="I1163" s="14" t="n"/>
      <c r="J1163" s="21" t="n"/>
      <c r="N1163" s="22" t="n"/>
    </row>
    <row r="1164">
      <c r="A1164" s="19" t="n"/>
      <c r="E1164" s="20" t="n"/>
      <c r="I1164" s="14" t="n"/>
      <c r="J1164" s="21" t="n"/>
      <c r="N1164" s="22" t="n"/>
    </row>
    <row r="1165">
      <c r="A1165" s="19" t="n"/>
      <c r="E1165" s="20" t="n"/>
      <c r="I1165" s="14" t="n"/>
      <c r="J1165" s="21" t="n"/>
      <c r="N1165" s="22" t="n"/>
    </row>
    <row r="1166">
      <c r="A1166" s="19" t="n"/>
      <c r="E1166" s="20" t="n"/>
      <c r="I1166" s="14" t="n"/>
      <c r="J1166" s="21" t="n"/>
      <c r="N1166" s="22" t="n"/>
    </row>
    <row r="1167">
      <c r="A1167" s="19" t="n"/>
      <c r="E1167" s="20" t="n"/>
      <c r="I1167" s="14" t="n"/>
      <c r="J1167" s="21" t="n"/>
      <c r="N1167" s="22" t="n"/>
    </row>
    <row r="1168">
      <c r="A1168" s="19" t="n"/>
      <c r="E1168" s="20" t="n"/>
      <c r="I1168" s="14" t="n"/>
      <c r="J1168" s="21" t="n"/>
      <c r="N1168" s="22" t="n"/>
    </row>
    <row r="1169">
      <c r="A1169" s="19" t="n"/>
      <c r="E1169" s="20" t="n"/>
      <c r="I1169" s="14" t="n"/>
      <c r="J1169" s="21" t="n"/>
      <c r="N1169" s="22" t="n"/>
    </row>
    <row r="1170">
      <c r="A1170" s="19" t="n"/>
      <c r="E1170" s="20" t="n"/>
      <c r="I1170" s="14" t="n"/>
      <c r="J1170" s="21" t="n"/>
      <c r="N1170" s="22" t="n"/>
    </row>
    <row r="1171">
      <c r="A1171" s="19" t="n"/>
      <c r="E1171" s="20" t="n"/>
      <c r="I1171" s="14" t="n"/>
      <c r="J1171" s="21" t="n"/>
      <c r="N1171" s="22" t="n"/>
    </row>
    <row r="1172">
      <c r="A1172" s="19" t="n"/>
      <c r="E1172" s="20" t="n"/>
      <c r="I1172" s="14" t="n"/>
      <c r="J1172" s="21" t="n"/>
      <c r="N1172" s="22" t="n"/>
    </row>
    <row r="1173">
      <c r="A1173" s="19" t="n"/>
      <c r="E1173" s="20" t="n"/>
      <c r="I1173" s="14" t="n"/>
      <c r="J1173" s="21" t="n"/>
      <c r="N1173" s="22" t="n"/>
    </row>
    <row r="1174">
      <c r="A1174" s="19" t="n"/>
      <c r="E1174" s="20" t="n"/>
      <c r="I1174" s="14" t="n"/>
      <c r="J1174" s="21" t="n"/>
      <c r="N1174" s="22" t="n"/>
    </row>
    <row r="1175">
      <c r="A1175" s="19" t="n"/>
      <c r="E1175" s="20" t="n"/>
      <c r="I1175" s="14" t="n"/>
      <c r="J1175" s="21" t="n"/>
      <c r="N1175" s="22" t="n"/>
    </row>
    <row r="1176">
      <c r="A1176" s="19" t="n"/>
      <c r="E1176" s="20" t="n"/>
      <c r="I1176" s="14" t="n"/>
      <c r="J1176" s="21" t="n"/>
      <c r="N1176" s="22" t="n"/>
    </row>
    <row r="1177">
      <c r="A1177" s="19" t="n"/>
      <c r="E1177" s="20" t="n"/>
      <c r="I1177" s="14" t="n"/>
      <c r="J1177" s="21" t="n"/>
      <c r="N1177" s="22" t="n"/>
    </row>
    <row r="1178">
      <c r="A1178" s="19" t="n"/>
      <c r="E1178" s="20" t="n"/>
      <c r="I1178" s="14" t="n"/>
      <c r="J1178" s="21" t="n"/>
      <c r="N1178" s="22" t="n"/>
    </row>
    <row r="1179">
      <c r="A1179" s="19" t="n"/>
      <c r="E1179" s="20" t="n"/>
      <c r="I1179" s="14" t="n"/>
      <c r="J1179" s="21" t="n"/>
      <c r="N1179" s="22" t="n"/>
    </row>
    <row r="1180">
      <c r="A1180" s="19" t="n"/>
      <c r="E1180" s="20" t="n"/>
      <c r="I1180" s="14" t="n"/>
      <c r="J1180" s="21" t="n"/>
      <c r="N1180" s="22" t="n"/>
    </row>
    <row r="1181">
      <c r="A1181" s="19" t="n"/>
      <c r="E1181" s="20" t="n"/>
      <c r="I1181" s="14" t="n"/>
      <c r="J1181" s="21" t="n"/>
      <c r="N1181" s="22" t="n"/>
    </row>
    <row r="1182">
      <c r="A1182" s="19" t="n"/>
      <c r="E1182" s="20" t="n"/>
      <c r="I1182" s="14" t="n"/>
      <c r="J1182" s="21" t="n"/>
      <c r="N1182" s="22" t="n"/>
    </row>
    <row r="1183">
      <c r="A1183" s="19" t="n"/>
      <c r="E1183" s="20" t="n"/>
      <c r="I1183" s="14" t="n"/>
      <c r="J1183" s="21" t="n"/>
      <c r="N1183" s="22" t="n"/>
    </row>
    <row r="1184">
      <c r="A1184" s="19" t="n"/>
      <c r="E1184" s="20" t="n"/>
      <c r="I1184" s="14" t="n"/>
      <c r="J1184" s="21" t="n"/>
      <c r="N1184" s="22" t="n"/>
    </row>
    <row r="1185">
      <c r="A1185" s="19" t="n"/>
      <c r="E1185" s="20" t="n"/>
      <c r="I1185" s="14" t="n"/>
      <c r="J1185" s="21" t="n"/>
      <c r="N1185" s="22" t="n"/>
    </row>
    <row r="1186">
      <c r="A1186" s="19" t="n"/>
      <c r="E1186" s="20" t="n"/>
      <c r="I1186" s="14" t="n"/>
      <c r="J1186" s="21" t="n"/>
      <c r="N1186" s="22" t="n"/>
    </row>
    <row r="1187">
      <c r="A1187" s="19" t="n"/>
      <c r="E1187" s="20" t="n"/>
      <c r="I1187" s="14" t="n"/>
      <c r="J1187" s="21" t="n"/>
      <c r="N1187" s="22" t="n"/>
    </row>
    <row r="1188">
      <c r="A1188" s="19" t="n"/>
      <c r="E1188" s="20" t="n"/>
      <c r="I1188" s="14" t="n"/>
      <c r="J1188" s="21" t="n"/>
      <c r="N1188" s="22" t="n"/>
    </row>
    <row r="1189">
      <c r="A1189" s="19" t="n"/>
      <c r="E1189" s="20" t="n"/>
      <c r="I1189" s="14" t="n"/>
      <c r="J1189" s="21" t="n"/>
      <c r="N1189" s="22" t="n"/>
    </row>
    <row r="1190">
      <c r="A1190" s="19" t="n"/>
      <c r="E1190" s="20" t="n"/>
      <c r="I1190" s="14" t="n"/>
      <c r="J1190" s="21" t="n"/>
      <c r="N1190" s="22" t="n"/>
    </row>
    <row r="1191">
      <c r="A1191" s="19" t="n"/>
      <c r="E1191" s="20" t="n"/>
      <c r="I1191" s="14" t="n"/>
      <c r="J1191" s="21" t="n"/>
      <c r="N1191" s="22" t="n"/>
    </row>
    <row r="1192">
      <c r="A1192" s="19" t="n"/>
      <c r="E1192" s="20" t="n"/>
      <c r="I1192" s="14" t="n"/>
      <c r="J1192" s="21" t="n"/>
      <c r="N1192" s="22" t="n"/>
    </row>
    <row r="1193">
      <c r="A1193" s="19" t="n"/>
      <c r="E1193" s="20" t="n"/>
      <c r="I1193" s="14" t="n"/>
      <c r="J1193" s="21" t="n"/>
      <c r="N1193" s="22" t="n"/>
    </row>
    <row r="1194">
      <c r="A1194" s="19" t="n"/>
      <c r="E1194" s="20" t="n"/>
      <c r="I1194" s="14" t="n"/>
      <c r="J1194" s="21" t="n"/>
      <c r="N1194" s="22" t="n"/>
    </row>
    <row r="1195">
      <c r="A1195" s="19" t="n"/>
      <c r="E1195" s="20" t="n"/>
      <c r="I1195" s="14" t="n"/>
      <c r="J1195" s="21" t="n"/>
      <c r="N1195" s="22" t="n"/>
    </row>
    <row r="1196">
      <c r="A1196" s="19" t="n"/>
      <c r="E1196" s="20" t="n"/>
      <c r="I1196" s="14" t="n"/>
      <c r="J1196" s="21" t="n"/>
      <c r="N1196" s="22" t="n"/>
    </row>
    <row r="1197">
      <c r="A1197" s="19" t="n"/>
      <c r="E1197" s="20" t="n"/>
      <c r="I1197" s="14" t="n"/>
      <c r="J1197" s="21" t="n"/>
      <c r="N1197" s="22" t="n"/>
    </row>
    <row r="1198">
      <c r="A1198" s="19" t="n"/>
      <c r="E1198" s="20" t="n"/>
      <c r="I1198" s="14" t="n"/>
      <c r="J1198" s="21" t="n"/>
      <c r="N1198" s="22" t="n"/>
    </row>
    <row r="1199">
      <c r="A1199" s="19" t="n"/>
      <c r="E1199" s="20" t="n"/>
      <c r="I1199" s="14" t="n"/>
      <c r="J1199" s="21" t="n"/>
      <c r="N1199" s="22" t="n"/>
    </row>
    <row r="1200">
      <c r="A1200" s="19" t="n"/>
      <c r="E1200" s="20" t="n"/>
      <c r="I1200" s="14" t="n"/>
      <c r="J1200" s="21" t="n"/>
      <c r="N1200" s="22" t="n"/>
    </row>
    <row r="1201">
      <c r="A1201" s="19" t="n"/>
      <c r="E1201" s="20" t="n"/>
      <c r="I1201" s="14" t="n"/>
      <c r="J1201" s="21" t="n"/>
      <c r="N1201" s="22" t="n"/>
    </row>
    <row r="1202">
      <c r="A1202" s="19" t="n"/>
      <c r="E1202" s="20" t="n"/>
      <c r="I1202" s="14" t="n"/>
      <c r="J1202" s="21" t="n"/>
      <c r="N1202" s="22" t="n"/>
    </row>
    <row r="1203">
      <c r="A1203" s="19" t="n"/>
      <c r="E1203" s="20" t="n"/>
      <c r="I1203" s="14" t="n"/>
      <c r="J1203" s="21" t="n"/>
      <c r="N1203" s="22" t="n"/>
    </row>
    <row r="1204">
      <c r="A1204" s="19" t="n"/>
      <c r="E1204" s="20" t="n"/>
      <c r="I1204" s="14" t="n"/>
      <c r="J1204" s="21" t="n"/>
      <c r="N1204" s="22" t="n"/>
    </row>
    <row r="1205">
      <c r="A1205" s="19" t="n"/>
      <c r="E1205" s="20" t="n"/>
      <c r="I1205" s="14" t="n"/>
      <c r="J1205" s="21" t="n"/>
      <c r="N1205" s="22" t="n"/>
    </row>
    <row r="1206">
      <c r="A1206" s="19" t="n"/>
      <c r="E1206" s="20" t="n"/>
      <c r="I1206" s="14" t="n"/>
      <c r="J1206" s="21" t="n"/>
      <c r="N1206" s="22" t="n"/>
    </row>
    <row r="1207">
      <c r="A1207" s="19" t="n"/>
      <c r="E1207" s="20" t="n"/>
      <c r="I1207" s="14" t="n"/>
      <c r="J1207" s="21" t="n"/>
      <c r="N1207" s="22" t="n"/>
    </row>
    <row r="1208">
      <c r="A1208" s="19" t="n"/>
      <c r="E1208" s="20" t="n"/>
      <c r="I1208" s="14" t="n"/>
      <c r="J1208" s="21" t="n"/>
      <c r="N1208" s="22" t="n"/>
    </row>
    <row r="1209">
      <c r="A1209" s="19" t="n"/>
      <c r="E1209" s="20" t="n"/>
      <c r="I1209" s="14" t="n"/>
      <c r="J1209" s="21" t="n"/>
      <c r="N1209" s="22" t="n"/>
    </row>
    <row r="1210">
      <c r="A1210" s="19" t="n"/>
      <c r="E1210" s="20" t="n"/>
      <c r="I1210" s="14" t="n"/>
      <c r="J1210" s="21" t="n"/>
      <c r="N1210" s="22" t="n"/>
    </row>
    <row r="1211">
      <c r="A1211" s="19" t="n"/>
      <c r="E1211" s="20" t="n"/>
      <c r="I1211" s="14" t="n"/>
      <c r="J1211" s="21" t="n"/>
      <c r="N1211" s="22" t="n"/>
    </row>
    <row r="1212">
      <c r="A1212" s="19" t="n"/>
      <c r="E1212" s="20" t="n"/>
      <c r="I1212" s="14" t="n"/>
      <c r="J1212" s="21" t="n"/>
      <c r="N1212" s="22" t="n"/>
    </row>
    <row r="1213">
      <c r="A1213" s="19" t="n"/>
      <c r="E1213" s="20" t="n"/>
      <c r="I1213" s="14" t="n"/>
      <c r="J1213" s="21" t="n"/>
      <c r="N1213" s="22" t="n"/>
    </row>
    <row r="1214">
      <c r="A1214" s="19" t="n"/>
      <c r="E1214" s="20" t="n"/>
      <c r="I1214" s="14" t="n"/>
      <c r="J1214" s="21" t="n"/>
      <c r="N1214" s="22" t="n"/>
    </row>
    <row r="1215">
      <c r="A1215" s="19" t="n"/>
      <c r="E1215" s="20" t="n"/>
      <c r="I1215" s="14" t="n"/>
      <c r="J1215" s="21" t="n"/>
      <c r="N1215" s="22" t="n"/>
    </row>
    <row r="1216">
      <c r="A1216" s="19" t="n"/>
      <c r="E1216" s="20" t="n"/>
      <c r="I1216" s="14" t="n"/>
      <c r="J1216" s="21" t="n"/>
      <c r="N1216" s="22" t="n"/>
    </row>
    <row r="1217">
      <c r="A1217" s="19" t="n"/>
      <c r="E1217" s="20" t="n"/>
      <c r="I1217" s="14" t="n"/>
      <c r="J1217" s="21" t="n"/>
      <c r="N1217" s="22" t="n"/>
    </row>
    <row r="1218">
      <c r="A1218" s="19" t="n"/>
      <c r="E1218" s="20" t="n"/>
      <c r="I1218" s="14" t="n"/>
      <c r="J1218" s="21" t="n"/>
      <c r="N1218" s="22" t="n"/>
    </row>
    <row r="1219">
      <c r="A1219" s="19" t="n"/>
      <c r="E1219" s="20" t="n"/>
      <c r="I1219" s="14" t="n"/>
      <c r="J1219" s="21" t="n"/>
      <c r="N1219" s="22" t="n"/>
    </row>
    <row r="1220">
      <c r="A1220" s="19" t="n"/>
      <c r="E1220" s="20" t="n"/>
      <c r="I1220" s="14" t="n"/>
      <c r="J1220" s="21" t="n"/>
      <c r="N1220" s="22" t="n"/>
    </row>
    <row r="1221">
      <c r="A1221" s="19" t="n"/>
      <c r="E1221" s="20" t="n"/>
      <c r="I1221" s="14" t="n"/>
      <c r="J1221" s="21" t="n"/>
      <c r="N1221" s="22" t="n"/>
    </row>
    <row r="1222">
      <c r="A1222" s="19" t="n"/>
      <c r="E1222" s="20" t="n"/>
      <c r="I1222" s="14" t="n"/>
      <c r="J1222" s="21" t="n"/>
      <c r="N1222" s="22" t="n"/>
    </row>
    <row r="1223">
      <c r="A1223" s="19" t="n"/>
      <c r="E1223" s="20" t="n"/>
      <c r="I1223" s="14" t="n"/>
      <c r="J1223" s="21" t="n"/>
      <c r="N1223" s="22" t="n"/>
    </row>
    <row r="1224">
      <c r="A1224" s="19" t="n"/>
      <c r="E1224" s="20" t="n"/>
      <c r="I1224" s="14" t="n"/>
      <c r="J1224" s="21" t="n"/>
      <c r="N1224" s="22" t="n"/>
    </row>
    <row r="1225">
      <c r="A1225" s="19" t="n"/>
      <c r="E1225" s="20" t="n"/>
      <c r="I1225" s="14" t="n"/>
      <c r="J1225" s="21" t="n"/>
      <c r="N1225" s="22" t="n"/>
    </row>
    <row r="1226">
      <c r="A1226" s="19" t="n"/>
      <c r="E1226" s="20" t="n"/>
      <c r="I1226" s="14" t="n"/>
      <c r="J1226" s="21" t="n"/>
      <c r="N1226" s="22" t="n"/>
    </row>
    <row r="1227">
      <c r="A1227" s="19" t="n"/>
      <c r="E1227" s="20" t="n"/>
      <c r="I1227" s="14" t="n"/>
      <c r="J1227" s="21" t="n"/>
      <c r="N1227" s="22" t="n"/>
    </row>
    <row r="1228">
      <c r="A1228" s="19" t="n"/>
      <c r="E1228" s="20" t="n"/>
      <c r="I1228" s="14" t="n"/>
      <c r="J1228" s="21" t="n"/>
      <c r="N1228" s="22" t="n"/>
    </row>
    <row r="1229">
      <c r="A1229" s="19" t="n"/>
      <c r="E1229" s="20" t="n"/>
      <c r="I1229" s="14" t="n"/>
      <c r="J1229" s="21" t="n"/>
      <c r="N1229" s="22" t="n"/>
    </row>
    <row r="1230">
      <c r="A1230" s="19" t="n"/>
      <c r="E1230" s="20" t="n"/>
      <c r="I1230" s="14" t="n"/>
      <c r="J1230" s="21" t="n"/>
      <c r="N1230" s="22" t="n"/>
    </row>
    <row r="1231">
      <c r="A1231" s="19" t="n"/>
      <c r="E1231" s="20" t="n"/>
      <c r="I1231" s="14" t="n"/>
      <c r="J1231" s="21" t="n"/>
      <c r="N1231" s="22" t="n"/>
    </row>
    <row r="1232">
      <c r="A1232" s="19" t="n"/>
      <c r="E1232" s="20" t="n"/>
      <c r="I1232" s="14" t="n"/>
      <c r="J1232" s="21" t="n"/>
      <c r="N1232" s="22" t="n"/>
    </row>
    <row r="1233">
      <c r="A1233" s="19" t="n"/>
      <c r="E1233" s="20" t="n"/>
      <c r="I1233" s="14" t="n"/>
      <c r="J1233" s="21" t="n"/>
      <c r="N1233" s="22" t="n"/>
    </row>
    <row r="1234">
      <c r="A1234" s="19" t="n"/>
      <c r="E1234" s="20" t="n"/>
      <c r="I1234" s="14" t="n"/>
      <c r="J1234" s="21" t="n"/>
      <c r="N1234" s="22" t="n"/>
    </row>
    <row r="1235">
      <c r="A1235" s="19" t="n"/>
      <c r="E1235" s="20" t="n"/>
      <c r="I1235" s="14" t="n"/>
      <c r="J1235" s="21" t="n"/>
      <c r="N1235" s="22" t="n"/>
    </row>
    <row r="1236">
      <c r="A1236" s="19" t="n"/>
      <c r="E1236" s="20" t="n"/>
      <c r="I1236" s="14" t="n"/>
      <c r="J1236" s="21" t="n"/>
      <c r="N1236" s="22" t="n"/>
    </row>
    <row r="1237">
      <c r="A1237" s="19" t="n"/>
      <c r="E1237" s="20" t="n"/>
      <c r="I1237" s="14" t="n"/>
      <c r="J1237" s="21" t="n"/>
      <c r="N1237" s="22" t="n"/>
    </row>
    <row r="1238">
      <c r="A1238" s="19" t="n"/>
      <c r="E1238" s="20" t="n"/>
      <c r="I1238" s="14" t="n"/>
      <c r="J1238" s="21" t="n"/>
      <c r="N1238" s="22" t="n"/>
    </row>
    <row r="1239">
      <c r="A1239" s="19" t="n"/>
      <c r="E1239" s="20" t="n"/>
      <c r="I1239" s="14" t="n"/>
      <c r="J1239" s="21" t="n"/>
      <c r="N1239" s="22" t="n"/>
    </row>
    <row r="1240">
      <c r="A1240" s="19" t="n"/>
      <c r="E1240" s="20" t="n"/>
      <c r="I1240" s="14" t="n"/>
      <c r="J1240" s="21" t="n"/>
      <c r="N1240" s="22" t="n"/>
    </row>
    <row r="1241">
      <c r="A1241" s="19" t="n"/>
      <c r="E1241" s="20" t="n"/>
      <c r="I1241" s="14" t="n"/>
      <c r="J1241" s="21" t="n"/>
      <c r="N1241" s="22" t="n"/>
    </row>
    <row r="1242">
      <c r="A1242" s="19" t="n"/>
      <c r="E1242" s="20" t="n"/>
      <c r="I1242" s="14" t="n"/>
      <c r="J1242" s="21" t="n"/>
      <c r="N1242" s="22" t="n"/>
    </row>
    <row r="1243">
      <c r="A1243" s="19" t="n"/>
      <c r="E1243" s="20" t="n"/>
      <c r="I1243" s="14" t="n"/>
      <c r="J1243" s="21" t="n"/>
      <c r="N1243" s="22" t="n"/>
    </row>
    <row r="1244">
      <c r="A1244" s="19" t="n"/>
      <c r="E1244" s="20" t="n"/>
      <c r="I1244" s="14" t="n"/>
      <c r="J1244" s="21" t="n"/>
      <c r="N1244" s="22" t="n"/>
    </row>
    <row r="1245">
      <c r="A1245" s="19" t="n"/>
      <c r="E1245" s="20" t="n"/>
      <c r="I1245" s="14" t="n"/>
      <c r="J1245" s="21" t="n"/>
      <c r="N1245" s="22" t="n"/>
    </row>
    <row r="1246">
      <c r="A1246" s="19" t="n"/>
      <c r="E1246" s="20" t="n"/>
      <c r="I1246" s="14" t="n"/>
      <c r="J1246" s="21" t="n"/>
      <c r="N1246" s="22" t="n"/>
    </row>
    <row r="1247">
      <c r="A1247" s="19" t="n"/>
      <c r="E1247" s="20" t="n"/>
      <c r="I1247" s="14" t="n"/>
      <c r="J1247" s="21" t="n"/>
      <c r="N1247" s="22" t="n"/>
    </row>
    <row r="1248">
      <c r="A1248" s="19" t="n"/>
      <c r="E1248" s="20" t="n"/>
      <c r="I1248" s="14" t="n"/>
      <c r="J1248" s="21" t="n"/>
      <c r="N1248" s="22" t="n"/>
    </row>
    <row r="1249">
      <c r="A1249" s="19" t="n"/>
      <c r="E1249" s="20" t="n"/>
      <c r="I1249" s="14" t="n"/>
      <c r="J1249" s="21" t="n"/>
      <c r="N1249" s="22" t="n"/>
    </row>
    <row r="1250">
      <c r="A1250" s="19" t="n"/>
      <c r="E1250" s="20" t="n"/>
      <c r="I1250" s="14" t="n"/>
      <c r="J1250" s="21" t="n"/>
      <c r="N1250" s="22" t="n"/>
    </row>
    <row r="1251">
      <c r="A1251" s="19" t="n"/>
      <c r="E1251" s="20" t="n"/>
      <c r="I1251" s="14" t="n"/>
      <c r="J1251" s="21" t="n"/>
      <c r="N1251" s="22" t="n"/>
    </row>
    <row r="1252">
      <c r="A1252" s="19" t="n"/>
      <c r="E1252" s="20" t="n"/>
      <c r="I1252" s="14" t="n"/>
      <c r="J1252" s="21" t="n"/>
      <c r="N1252" s="22" t="n"/>
    </row>
    <row r="1253">
      <c r="A1253" s="19" t="n"/>
      <c r="E1253" s="20" t="n"/>
      <c r="I1253" s="14" t="n"/>
      <c r="J1253" s="21" t="n"/>
      <c r="N1253" s="22" t="n"/>
    </row>
    <row r="1254">
      <c r="A1254" s="19" t="n"/>
      <c r="E1254" s="20" t="n"/>
      <c r="I1254" s="14" t="n"/>
      <c r="J1254" s="21" t="n"/>
      <c r="N1254" s="22" t="n"/>
    </row>
    <row r="1255">
      <c r="A1255" s="19" t="n"/>
      <c r="E1255" s="20" t="n"/>
      <c r="I1255" s="14" t="n"/>
      <c r="J1255" s="21" t="n"/>
      <c r="N1255" s="22" t="n"/>
    </row>
    <row r="1256">
      <c r="A1256" s="19" t="n"/>
      <c r="E1256" s="20" t="n"/>
      <c r="I1256" s="14" t="n"/>
      <c r="J1256" s="21" t="n"/>
      <c r="N1256" s="22" t="n"/>
    </row>
    <row r="1257">
      <c r="A1257" s="19" t="n"/>
      <c r="E1257" s="20" t="n"/>
      <c r="I1257" s="14" t="n"/>
      <c r="J1257" s="21" t="n"/>
      <c r="N1257" s="22" t="n"/>
    </row>
    <row r="1258">
      <c r="A1258" s="19" t="n"/>
      <c r="E1258" s="20" t="n"/>
      <c r="I1258" s="14" t="n"/>
      <c r="J1258" s="21" t="n"/>
      <c r="N1258" s="22" t="n"/>
    </row>
    <row r="1259">
      <c r="A1259" s="19" t="n"/>
      <c r="E1259" s="20" t="n"/>
      <c r="I1259" s="14" t="n"/>
      <c r="J1259" s="21" t="n"/>
      <c r="N1259" s="22" t="n"/>
    </row>
    <row r="1260">
      <c r="A1260" s="19" t="n"/>
      <c r="E1260" s="20" t="n"/>
      <c r="I1260" s="14" t="n"/>
      <c r="J1260" s="21" t="n"/>
      <c r="N1260" s="22" t="n"/>
    </row>
    <row r="1261">
      <c r="A1261" s="19" t="n"/>
      <c r="E1261" s="20" t="n"/>
      <c r="I1261" s="14" t="n"/>
      <c r="J1261" s="21" t="n"/>
      <c r="N1261" s="22" t="n"/>
    </row>
    <row r="1262">
      <c r="A1262" s="19" t="n"/>
      <c r="E1262" s="20" t="n"/>
      <c r="I1262" s="14" t="n"/>
      <c r="J1262" s="21" t="n"/>
      <c r="N1262" s="22" t="n"/>
    </row>
    <row r="1263">
      <c r="A1263" s="19" t="n"/>
      <c r="E1263" s="20" t="n"/>
      <c r="I1263" s="14" t="n"/>
      <c r="J1263" s="21" t="n"/>
      <c r="N1263" s="22" t="n"/>
    </row>
    <row r="1264">
      <c r="A1264" s="19" t="n"/>
      <c r="E1264" s="20" t="n"/>
      <c r="I1264" s="14" t="n"/>
      <c r="J1264" s="21" t="n"/>
      <c r="N1264" s="22" t="n"/>
    </row>
    <row r="1265">
      <c r="A1265" s="19" t="n"/>
      <c r="E1265" s="20" t="n"/>
      <c r="I1265" s="14" t="n"/>
      <c r="J1265" s="21" t="n"/>
      <c r="N1265" s="22" t="n"/>
    </row>
    <row r="1266">
      <c r="A1266" s="19" t="n"/>
      <c r="E1266" s="20" t="n"/>
      <c r="I1266" s="14" t="n"/>
      <c r="J1266" s="21" t="n"/>
      <c r="N1266" s="22" t="n"/>
    </row>
    <row r="1267">
      <c r="A1267" s="19" t="n"/>
      <c r="E1267" s="20" t="n"/>
      <c r="I1267" s="14" t="n"/>
      <c r="J1267" s="21" t="n"/>
      <c r="N1267" s="22" t="n"/>
    </row>
    <row r="1268">
      <c r="A1268" s="19" t="n"/>
      <c r="E1268" s="20" t="n"/>
      <c r="I1268" s="14" t="n"/>
      <c r="J1268" s="21" t="n"/>
      <c r="N1268" s="22" t="n"/>
    </row>
    <row r="1269">
      <c r="A1269" s="19" t="n"/>
      <c r="E1269" s="20" t="n"/>
      <c r="I1269" s="14" t="n"/>
      <c r="J1269" s="21" t="n"/>
      <c r="N1269" s="22" t="n"/>
    </row>
    <row r="1270">
      <c r="A1270" s="19" t="n"/>
      <c r="E1270" s="20" t="n"/>
      <c r="I1270" s="14" t="n"/>
      <c r="J1270" s="21" t="n"/>
      <c r="N1270" s="22" t="n"/>
    </row>
    <row r="1271">
      <c r="A1271" s="19" t="n"/>
      <c r="E1271" s="20" t="n"/>
      <c r="I1271" s="14" t="n"/>
      <c r="J1271" s="21" t="n"/>
      <c r="N1271" s="22" t="n"/>
    </row>
    <row r="1272">
      <c r="A1272" s="19" t="n"/>
      <c r="E1272" s="20" t="n"/>
      <c r="I1272" s="14" t="n"/>
      <c r="J1272" s="21" t="n"/>
      <c r="N1272" s="22" t="n"/>
    </row>
    <row r="1273">
      <c r="A1273" s="19" t="n"/>
      <c r="E1273" s="20" t="n"/>
      <c r="I1273" s="14" t="n"/>
      <c r="J1273" s="21" t="n"/>
      <c r="N1273" s="22" t="n"/>
    </row>
    <row r="1274">
      <c r="A1274" s="19" t="n"/>
      <c r="E1274" s="20" t="n"/>
      <c r="I1274" s="14" t="n"/>
      <c r="J1274" s="21" t="n"/>
      <c r="N1274" s="22" t="n"/>
    </row>
    <row r="1275">
      <c r="A1275" s="19" t="n"/>
      <c r="E1275" s="20" t="n"/>
      <c r="I1275" s="14" t="n"/>
      <c r="J1275" s="21" t="n"/>
      <c r="N1275" s="22" t="n"/>
    </row>
    <row r="1276">
      <c r="A1276" s="19" t="n"/>
      <c r="E1276" s="20" t="n"/>
      <c r="I1276" s="14" t="n"/>
      <c r="J1276" s="21" t="n"/>
      <c r="N1276" s="22" t="n"/>
    </row>
    <row r="1277">
      <c r="A1277" s="19" t="n"/>
      <c r="E1277" s="20" t="n"/>
      <c r="I1277" s="14" t="n"/>
      <c r="J1277" s="21" t="n"/>
      <c r="N1277" s="22" t="n"/>
    </row>
    <row r="1278">
      <c r="A1278" s="19" t="n"/>
      <c r="E1278" s="20" t="n"/>
      <c r="I1278" s="14" t="n"/>
      <c r="J1278" s="21" t="n"/>
      <c r="N1278" s="22" t="n"/>
    </row>
    <row r="1279">
      <c r="A1279" s="19" t="n"/>
      <c r="E1279" s="20" t="n"/>
      <c r="I1279" s="14" t="n"/>
      <c r="J1279" s="21" t="n"/>
      <c r="N1279" s="22" t="n"/>
    </row>
    <row r="1280">
      <c r="A1280" s="19" t="n"/>
      <c r="E1280" s="20" t="n"/>
      <c r="I1280" s="14" t="n"/>
      <c r="J1280" s="21" t="n"/>
      <c r="N1280" s="22" t="n"/>
    </row>
    <row r="1281">
      <c r="A1281" s="19" t="n"/>
      <c r="E1281" s="20" t="n"/>
      <c r="I1281" s="14" t="n"/>
      <c r="J1281" s="21" t="n"/>
      <c r="N1281" s="22" t="n"/>
    </row>
    <row r="1282">
      <c r="A1282" s="19" t="n"/>
      <c r="E1282" s="20" t="n"/>
      <c r="I1282" s="14" t="n"/>
      <c r="J1282" s="21" t="n"/>
      <c r="N1282" s="22" t="n"/>
    </row>
    <row r="1283">
      <c r="A1283" s="19" t="n"/>
      <c r="E1283" s="20" t="n"/>
      <c r="I1283" s="14" t="n"/>
      <c r="J1283" s="21" t="n"/>
      <c r="N1283" s="22" t="n"/>
    </row>
    <row r="1284">
      <c r="A1284" s="19" t="n"/>
      <c r="E1284" s="20" t="n"/>
      <c r="I1284" s="14" t="n"/>
      <c r="J1284" s="21" t="n"/>
      <c r="N1284" s="22" t="n"/>
    </row>
    <row r="1285">
      <c r="A1285" s="19" t="n"/>
      <c r="E1285" s="20" t="n"/>
      <c r="I1285" s="14" t="n"/>
      <c r="J1285" s="21" t="n"/>
      <c r="N1285" s="22" t="n"/>
    </row>
    <row r="1286">
      <c r="A1286" s="19" t="n"/>
      <c r="E1286" s="20" t="n"/>
      <c r="I1286" s="14" t="n"/>
      <c r="J1286" s="21" t="n"/>
      <c r="N1286" s="22" t="n"/>
    </row>
    <row r="1287">
      <c r="A1287" s="19" t="n"/>
      <c r="E1287" s="20" t="n"/>
      <c r="I1287" s="14" t="n"/>
      <c r="J1287" s="21" t="n"/>
      <c r="N1287" s="22" t="n"/>
    </row>
    <row r="1288">
      <c r="A1288" s="19" t="n"/>
      <c r="E1288" s="20" t="n"/>
      <c r="I1288" s="14" t="n"/>
      <c r="J1288" s="21" t="n"/>
      <c r="N1288" s="22" t="n"/>
    </row>
    <row r="1289">
      <c r="A1289" s="19" t="n"/>
      <c r="E1289" s="20" t="n"/>
      <c r="I1289" s="14" t="n"/>
      <c r="J1289" s="21" t="n"/>
      <c r="N1289" s="22" t="n"/>
    </row>
    <row r="1290">
      <c r="A1290" s="19" t="n"/>
      <c r="E1290" s="20" t="n"/>
      <c r="I1290" s="14" t="n"/>
      <c r="J1290" s="21" t="n"/>
      <c r="N1290" s="22" t="n"/>
    </row>
    <row r="1291">
      <c r="A1291" s="19" t="n"/>
      <c r="E1291" s="20" t="n"/>
      <c r="I1291" s="14" t="n"/>
      <c r="J1291" s="21" t="n"/>
      <c r="N1291" s="22" t="n"/>
    </row>
    <row r="1292">
      <c r="A1292" s="19" t="n"/>
      <c r="E1292" s="20" t="n"/>
      <c r="I1292" s="14" t="n"/>
      <c r="J1292" s="21" t="n"/>
      <c r="N1292" s="22" t="n"/>
    </row>
    <row r="1293">
      <c r="A1293" s="19" t="n"/>
      <c r="E1293" s="20" t="n"/>
      <c r="I1293" s="14" t="n"/>
      <c r="J1293" s="21" t="n"/>
      <c r="N1293" s="22" t="n"/>
    </row>
    <row r="1294">
      <c r="A1294" s="19" t="n"/>
      <c r="E1294" s="20" t="n"/>
      <c r="I1294" s="14" t="n"/>
      <c r="J1294" s="21" t="n"/>
      <c r="N1294" s="22" t="n"/>
    </row>
    <row r="1295">
      <c r="A1295" s="19" t="n"/>
      <c r="E1295" s="20" t="n"/>
      <c r="I1295" s="14" t="n"/>
      <c r="J1295" s="21" t="n"/>
      <c r="N1295" s="22" t="n"/>
    </row>
    <row r="1296">
      <c r="A1296" s="19" t="n"/>
      <c r="E1296" s="20" t="n"/>
      <c r="I1296" s="14" t="n"/>
      <c r="J1296" s="21" t="n"/>
      <c r="N1296" s="22" t="n"/>
    </row>
    <row r="1297">
      <c r="A1297" s="19" t="n"/>
      <c r="E1297" s="20" t="n"/>
      <c r="I1297" s="14" t="n"/>
      <c r="J1297" s="21" t="n"/>
      <c r="N1297" s="22" t="n"/>
    </row>
    <row r="1298">
      <c r="A1298" s="19" t="n"/>
      <c r="E1298" s="20" t="n"/>
      <c r="I1298" s="14" t="n"/>
      <c r="J1298" s="21" t="n"/>
      <c r="N1298" s="22" t="n"/>
    </row>
    <row r="1299">
      <c r="A1299" s="19" t="n"/>
      <c r="E1299" s="20" t="n"/>
      <c r="I1299" s="14" t="n"/>
      <c r="J1299" s="21" t="n"/>
      <c r="N1299" s="22" t="n"/>
    </row>
    <row r="1300">
      <c r="A1300" s="19" t="n"/>
      <c r="E1300" s="20" t="n"/>
      <c r="I1300" s="14" t="n"/>
      <c r="J1300" s="21" t="n"/>
      <c r="N1300" s="22" t="n"/>
    </row>
    <row r="1301">
      <c r="A1301" s="19" t="n"/>
      <c r="E1301" s="20" t="n"/>
      <c r="I1301" s="14" t="n"/>
      <c r="J1301" s="21" t="n"/>
      <c r="N1301" s="22" t="n"/>
    </row>
    <row r="1302">
      <c r="A1302" s="19" t="n"/>
      <c r="E1302" s="20" t="n"/>
      <c r="I1302" s="14" t="n"/>
      <c r="J1302" s="21" t="n"/>
      <c r="N1302" s="22" t="n"/>
    </row>
    <row r="1303">
      <c r="A1303" s="19" t="n"/>
      <c r="E1303" s="20" t="n"/>
      <c r="I1303" s="14" t="n"/>
      <c r="J1303" s="21" t="n"/>
      <c r="N1303" s="22" t="n"/>
    </row>
    <row r="1304">
      <c r="A1304" s="19" t="n"/>
      <c r="E1304" s="20" t="n"/>
      <c r="I1304" s="14" t="n"/>
      <c r="J1304" s="21" t="n"/>
      <c r="N1304" s="22" t="n"/>
    </row>
    <row r="1305">
      <c r="A1305" s="19" t="n"/>
      <c r="E1305" s="20" t="n"/>
      <c r="I1305" s="14" t="n"/>
      <c r="J1305" s="21" t="n"/>
      <c r="N1305" s="22" t="n"/>
    </row>
    <row r="1306">
      <c r="A1306" s="19" t="n"/>
      <c r="E1306" s="20" t="n"/>
      <c r="I1306" s="14" t="n"/>
      <c r="J1306" s="21" t="n"/>
      <c r="N1306" s="22" t="n"/>
    </row>
    <row r="1307">
      <c r="A1307" s="19" t="n"/>
      <c r="E1307" s="20" t="n"/>
      <c r="I1307" s="14" t="n"/>
      <c r="J1307" s="21" t="n"/>
      <c r="N1307" s="22" t="n"/>
    </row>
    <row r="1308">
      <c r="A1308" s="19" t="n"/>
      <c r="E1308" s="20" t="n"/>
      <c r="I1308" s="14" t="n"/>
      <c r="J1308" s="21" t="n"/>
      <c r="N1308" s="22" t="n"/>
    </row>
    <row r="1309">
      <c r="A1309" s="19" t="n"/>
      <c r="E1309" s="20" t="n"/>
      <c r="I1309" s="14" t="n"/>
      <c r="J1309" s="21" t="n"/>
      <c r="N1309" s="22" t="n"/>
    </row>
    <row r="1310">
      <c r="A1310" s="19" t="n"/>
      <c r="E1310" s="20" t="n"/>
      <c r="I1310" s="14" t="n"/>
      <c r="J1310" s="21" t="n"/>
      <c r="N1310" s="22" t="n"/>
    </row>
    <row r="1311">
      <c r="A1311" s="19" t="n"/>
      <c r="E1311" s="20" t="n"/>
      <c r="I1311" s="14" t="n"/>
      <c r="J1311" s="21" t="n"/>
      <c r="N1311" s="22" t="n"/>
    </row>
    <row r="1312">
      <c r="A1312" s="19" t="n"/>
      <c r="E1312" s="20" t="n"/>
      <c r="I1312" s="14" t="n"/>
      <c r="J1312" s="21" t="n"/>
      <c r="N1312" s="22" t="n"/>
    </row>
    <row r="1313">
      <c r="A1313" s="19" t="n"/>
      <c r="E1313" s="20" t="n"/>
      <c r="I1313" s="14" t="n"/>
      <c r="J1313" s="21" t="n"/>
      <c r="N1313" s="22" t="n"/>
    </row>
    <row r="1314">
      <c r="A1314" s="19" t="n"/>
      <c r="E1314" s="20" t="n"/>
      <c r="I1314" s="14" t="n"/>
      <c r="J1314" s="21" t="n"/>
      <c r="N1314" s="22" t="n"/>
    </row>
    <row r="1315">
      <c r="A1315" s="19" t="n"/>
      <c r="E1315" s="20" t="n"/>
      <c r="I1315" s="14" t="n"/>
      <c r="J1315" s="21" t="n"/>
      <c r="N1315" s="22" t="n"/>
    </row>
    <row r="1316">
      <c r="A1316" s="19" t="n"/>
      <c r="E1316" s="20" t="n"/>
      <c r="I1316" s="14" t="n"/>
      <c r="J1316" s="21" t="n"/>
      <c r="N1316" s="22" t="n"/>
    </row>
    <row r="1317">
      <c r="A1317" s="19" t="n"/>
      <c r="E1317" s="20" t="n"/>
      <c r="I1317" s="14" t="n"/>
      <c r="J1317" s="21" t="n"/>
      <c r="N1317" s="22" t="n"/>
    </row>
    <row r="1318">
      <c r="A1318" s="19" t="n"/>
      <c r="E1318" s="20" t="n"/>
      <c r="I1318" s="14" t="n"/>
      <c r="J1318" s="21" t="n"/>
      <c r="N1318" s="22" t="n"/>
    </row>
    <row r="1319">
      <c r="A1319" s="19" t="n"/>
      <c r="E1319" s="20" t="n"/>
      <c r="I1319" s="14" t="n"/>
      <c r="J1319" s="21" t="n"/>
      <c r="N1319" s="22" t="n"/>
    </row>
    <row r="1320">
      <c r="A1320" s="19" t="n"/>
      <c r="E1320" s="20" t="n"/>
      <c r="I1320" s="14" t="n"/>
      <c r="J1320" s="21" t="n"/>
      <c r="N1320" s="22" t="n"/>
    </row>
    <row r="1321">
      <c r="A1321" s="19" t="n"/>
      <c r="E1321" s="20" t="n"/>
      <c r="I1321" s="14" t="n"/>
      <c r="J1321" s="21" t="n"/>
      <c r="N1321" s="22" t="n"/>
    </row>
    <row r="1322">
      <c r="A1322" s="19" t="n"/>
      <c r="E1322" s="20" t="n"/>
      <c r="I1322" s="14" t="n"/>
      <c r="J1322" s="21" t="n"/>
      <c r="N1322" s="22" t="n"/>
    </row>
    <row r="1323">
      <c r="A1323" s="19" t="n"/>
      <c r="E1323" s="20" t="n"/>
      <c r="I1323" s="14" t="n"/>
      <c r="J1323" s="21" t="n"/>
      <c r="N1323" s="22" t="n"/>
    </row>
    <row r="1324">
      <c r="A1324" s="19" t="n"/>
      <c r="E1324" s="20" t="n"/>
      <c r="I1324" s="14" t="n"/>
      <c r="J1324" s="21" t="n"/>
      <c r="N1324" s="22" t="n"/>
    </row>
    <row r="1325">
      <c r="A1325" s="19" t="n"/>
      <c r="E1325" s="20" t="n"/>
      <c r="I1325" s="14" t="n"/>
      <c r="J1325" s="21" t="n"/>
      <c r="N1325" s="22" t="n"/>
    </row>
    <row r="1326">
      <c r="A1326" s="19" t="n"/>
      <c r="E1326" s="20" t="n"/>
      <c r="I1326" s="14" t="n"/>
      <c r="J1326" s="21" t="n"/>
      <c r="N1326" s="22" t="n"/>
    </row>
    <row r="1327">
      <c r="A1327" s="19" t="n"/>
      <c r="E1327" s="20" t="n"/>
      <c r="I1327" s="14" t="n"/>
      <c r="J1327" s="21" t="n"/>
      <c r="N1327" s="22" t="n"/>
    </row>
    <row r="1328">
      <c r="A1328" s="19" t="n"/>
      <c r="E1328" s="20" t="n"/>
      <c r="I1328" s="14" t="n"/>
      <c r="J1328" s="21" t="n"/>
      <c r="N1328" s="22" t="n"/>
    </row>
    <row r="1329">
      <c r="A1329" s="19" t="n"/>
      <c r="E1329" s="20" t="n"/>
      <c r="I1329" s="14" t="n"/>
      <c r="J1329" s="21" t="n"/>
      <c r="N1329" s="22" t="n"/>
    </row>
    <row r="1330">
      <c r="A1330" s="19" t="n"/>
      <c r="E1330" s="20" t="n"/>
      <c r="I1330" s="14" t="n"/>
      <c r="J1330" s="21" t="n"/>
      <c r="N1330" s="22" t="n"/>
    </row>
    <row r="1331">
      <c r="A1331" s="19" t="n"/>
      <c r="E1331" s="20" t="n"/>
      <c r="I1331" s="14" t="n"/>
      <c r="J1331" s="21" t="n"/>
      <c r="N1331" s="22" t="n"/>
    </row>
    <row r="1332">
      <c r="A1332" s="19" t="n"/>
      <c r="E1332" s="20" t="n"/>
      <c r="I1332" s="14" t="n"/>
      <c r="J1332" s="21" t="n"/>
      <c r="N1332" s="22" t="n"/>
    </row>
    <row r="1333">
      <c r="A1333" s="19" t="n"/>
      <c r="E1333" s="20" t="n"/>
      <c r="I1333" s="14" t="n"/>
      <c r="J1333" s="21" t="n"/>
      <c r="N1333" s="22" t="n"/>
    </row>
    <row r="1334">
      <c r="A1334" s="19" t="n"/>
      <c r="E1334" s="20" t="n"/>
      <c r="I1334" s="14" t="n"/>
      <c r="J1334" s="21" t="n"/>
      <c r="N1334" s="22" t="n"/>
    </row>
    <row r="1335">
      <c r="A1335" s="19" t="n"/>
      <c r="E1335" s="20" t="n"/>
      <c r="I1335" s="14" t="n"/>
      <c r="J1335" s="21" t="n"/>
      <c r="N1335" s="22" t="n"/>
    </row>
    <row r="1336">
      <c r="A1336" s="19" t="n"/>
      <c r="E1336" s="20" t="n"/>
      <c r="I1336" s="14" t="n"/>
      <c r="J1336" s="21" t="n"/>
      <c r="N1336" s="22" t="n"/>
    </row>
    <row r="1337">
      <c r="A1337" s="19" t="n"/>
      <c r="E1337" s="20" t="n"/>
      <c r="I1337" s="14" t="n"/>
      <c r="J1337" s="21" t="n"/>
      <c r="N1337" s="22" t="n"/>
    </row>
    <row r="1338">
      <c r="A1338" s="19" t="n"/>
      <c r="E1338" s="20" t="n"/>
      <c r="I1338" s="14" t="n"/>
      <c r="J1338" s="21" t="n"/>
      <c r="N1338" s="22" t="n"/>
    </row>
    <row r="1339">
      <c r="A1339" s="19" t="n"/>
      <c r="E1339" s="20" t="n"/>
      <c r="I1339" s="14" t="n"/>
      <c r="J1339" s="21" t="n"/>
      <c r="N1339" s="22" t="n"/>
    </row>
    <row r="1340">
      <c r="A1340" s="19" t="n"/>
      <c r="E1340" s="20" t="n"/>
      <c r="I1340" s="14" t="n"/>
      <c r="J1340" s="21" t="n"/>
      <c r="N1340" s="22" t="n"/>
    </row>
    <row r="1341">
      <c r="A1341" s="19" t="n"/>
      <c r="E1341" s="20" t="n"/>
      <c r="I1341" s="14" t="n"/>
      <c r="J1341" s="21" t="n"/>
      <c r="N1341" s="22" t="n"/>
    </row>
    <row r="1342">
      <c r="A1342" s="19" t="n"/>
      <c r="E1342" s="20" t="n"/>
      <c r="I1342" s="14" t="n"/>
      <c r="J1342" s="21" t="n"/>
      <c r="N1342" s="22" t="n"/>
    </row>
    <row r="1343">
      <c r="A1343" s="19" t="n"/>
      <c r="E1343" s="20" t="n"/>
      <c r="I1343" s="14" t="n"/>
      <c r="J1343" s="21" t="n"/>
      <c r="N1343" s="22" t="n"/>
    </row>
    <row r="1344">
      <c r="A1344" s="19" t="n"/>
      <c r="E1344" s="20" t="n"/>
      <c r="I1344" s="14" t="n"/>
      <c r="J1344" s="21" t="n"/>
      <c r="N1344" s="22" t="n"/>
    </row>
    <row r="1345">
      <c r="A1345" s="19" t="n"/>
      <c r="E1345" s="20" t="n"/>
      <c r="I1345" s="14" t="n"/>
      <c r="J1345" s="21" t="n"/>
      <c r="N1345" s="22" t="n"/>
    </row>
    <row r="1346">
      <c r="A1346" s="19" t="n"/>
      <c r="E1346" s="20" t="n"/>
      <c r="I1346" s="14" t="n"/>
      <c r="J1346" s="21" t="n"/>
      <c r="N1346" s="22" t="n"/>
    </row>
    <row r="1347">
      <c r="A1347" s="19" t="n"/>
      <c r="E1347" s="20" t="n"/>
      <c r="I1347" s="14" t="n"/>
      <c r="J1347" s="21" t="n"/>
      <c r="N1347" s="22" t="n"/>
    </row>
    <row r="1348">
      <c r="A1348" s="19" t="n"/>
      <c r="E1348" s="20" t="n"/>
      <c r="I1348" s="14" t="n"/>
      <c r="J1348" s="21" t="n"/>
      <c r="N1348" s="22" t="n"/>
    </row>
    <row r="1349">
      <c r="A1349" s="19" t="n"/>
      <c r="E1349" s="20" t="n"/>
      <c r="I1349" s="14" t="n"/>
      <c r="J1349" s="21" t="n"/>
      <c r="N1349" s="22" t="n"/>
    </row>
    <row r="1350">
      <c r="A1350" s="19" t="n"/>
      <c r="E1350" s="20" t="n"/>
      <c r="I1350" s="14" t="n"/>
      <c r="J1350" s="21" t="n"/>
      <c r="N1350" s="22" t="n"/>
    </row>
    <row r="1351">
      <c r="A1351" s="19" t="n"/>
      <c r="E1351" s="20" t="n"/>
      <c r="I1351" s="14" t="n"/>
      <c r="J1351" s="21" t="n"/>
      <c r="N1351" s="22" t="n"/>
    </row>
    <row r="1352">
      <c r="A1352" s="19" t="n"/>
      <c r="E1352" s="20" t="n"/>
      <c r="I1352" s="14" t="n"/>
      <c r="J1352" s="21" t="n"/>
      <c r="N1352" s="22" t="n"/>
    </row>
    <row r="1353">
      <c r="A1353" s="19" t="n"/>
      <c r="E1353" s="20" t="n"/>
      <c r="I1353" s="14" t="n"/>
      <c r="J1353" s="21" t="n"/>
      <c r="N1353" s="22" t="n"/>
    </row>
    <row r="1354">
      <c r="A1354" s="19" t="n"/>
      <c r="E1354" s="20" t="n"/>
      <c r="I1354" s="14" t="n"/>
      <c r="J1354" s="21" t="n"/>
      <c r="N1354" s="22" t="n"/>
    </row>
    <row r="1355">
      <c r="A1355" s="19" t="n"/>
      <c r="E1355" s="20" t="n"/>
      <c r="I1355" s="14" t="n"/>
      <c r="J1355" s="21" t="n"/>
      <c r="N1355" s="22" t="n"/>
    </row>
    <row r="1356">
      <c r="A1356" s="19" t="n"/>
      <c r="E1356" s="20" t="n"/>
      <c r="I1356" s="14" t="n"/>
      <c r="J1356" s="21" t="n"/>
      <c r="N1356" s="22" t="n"/>
    </row>
    <row r="1357">
      <c r="A1357" s="19" t="n"/>
      <c r="E1357" s="20" t="n"/>
      <c r="I1357" s="14" t="n"/>
      <c r="J1357" s="21" t="n"/>
      <c r="N1357" s="22" t="n"/>
    </row>
    <row r="1358">
      <c r="A1358" s="19" t="n"/>
      <c r="E1358" s="20" t="n"/>
      <c r="I1358" s="14" t="n"/>
      <c r="J1358" s="21" t="n"/>
      <c r="N1358" s="22" t="n"/>
    </row>
    <row r="1359">
      <c r="A1359" s="19" t="n"/>
      <c r="E1359" s="20" t="n"/>
      <c r="I1359" s="14" t="n"/>
      <c r="J1359" s="21" t="n"/>
      <c r="N1359" s="22" t="n"/>
    </row>
    <row r="1360">
      <c r="A1360" s="19" t="n"/>
      <c r="E1360" s="20" t="n"/>
      <c r="I1360" s="14" t="n"/>
      <c r="J1360" s="21" t="n"/>
      <c r="N1360" s="22" t="n"/>
    </row>
    <row r="1361">
      <c r="A1361" s="19" t="n"/>
      <c r="E1361" s="20" t="n"/>
      <c r="I1361" s="14" t="n"/>
      <c r="J1361" s="21" t="n"/>
      <c r="N1361" s="22" t="n"/>
    </row>
    <row r="1362">
      <c r="A1362" s="19" t="n"/>
      <c r="E1362" s="20" t="n"/>
      <c r="I1362" s="14" t="n"/>
      <c r="J1362" s="21" t="n"/>
      <c r="N1362" s="22" t="n"/>
    </row>
    <row r="1363">
      <c r="A1363" s="19" t="n"/>
      <c r="E1363" s="20" t="n"/>
      <c r="I1363" s="14" t="n"/>
      <c r="J1363" s="21" t="n"/>
      <c r="N1363" s="22" t="n"/>
    </row>
    <row r="1364">
      <c r="A1364" s="19" t="n"/>
      <c r="E1364" s="20" t="n"/>
      <c r="I1364" s="14" t="n"/>
      <c r="J1364" s="21" t="n"/>
      <c r="N1364" s="22" t="n"/>
    </row>
    <row r="1365">
      <c r="A1365" s="19" t="n"/>
      <c r="E1365" s="20" t="n"/>
      <c r="I1365" s="14" t="n"/>
      <c r="J1365" s="21" t="n"/>
      <c r="N1365" s="22" t="n"/>
    </row>
    <row r="1366">
      <c r="A1366" s="19" t="n"/>
      <c r="E1366" s="20" t="n"/>
      <c r="I1366" s="14" t="n"/>
      <c r="J1366" s="21" t="n"/>
      <c r="N1366" s="22" t="n"/>
    </row>
    <row r="1367">
      <c r="A1367" s="19" t="n"/>
      <c r="E1367" s="20" t="n"/>
      <c r="I1367" s="14" t="n"/>
      <c r="J1367" s="21" t="n"/>
      <c r="N1367" s="22" t="n"/>
    </row>
    <row r="1368">
      <c r="A1368" s="19" t="n"/>
      <c r="E1368" s="20" t="n"/>
      <c r="I1368" s="14" t="n"/>
      <c r="J1368" s="21" t="n"/>
      <c r="N1368" s="22" t="n"/>
    </row>
    <row r="1369">
      <c r="A1369" s="19" t="n"/>
      <c r="E1369" s="20" t="n"/>
      <c r="I1369" s="14" t="n"/>
      <c r="J1369" s="21" t="n"/>
      <c r="N1369" s="22" t="n"/>
    </row>
    <row r="1370">
      <c r="A1370" s="19" t="n"/>
      <c r="E1370" s="20" t="n"/>
      <c r="I1370" s="14" t="n"/>
      <c r="J1370" s="21" t="n"/>
      <c r="N1370" s="22" t="n"/>
    </row>
    <row r="1371">
      <c r="A1371" s="19" t="n"/>
      <c r="E1371" s="20" t="n"/>
      <c r="I1371" s="14" t="n"/>
      <c r="J1371" s="21" t="n"/>
      <c r="N1371" s="22" t="n"/>
    </row>
    <row r="1372">
      <c r="A1372" s="19" t="n"/>
      <c r="E1372" s="20" t="n"/>
      <c r="I1372" s="14" t="n"/>
      <c r="J1372" s="21" t="n"/>
      <c r="N1372" s="22" t="n"/>
    </row>
    <row r="1373">
      <c r="A1373" s="19" t="n"/>
      <c r="E1373" s="20" t="n"/>
      <c r="I1373" s="14" t="n"/>
      <c r="J1373" s="21" t="n"/>
      <c r="N1373" s="22" t="n"/>
    </row>
    <row r="1374">
      <c r="A1374" s="19" t="n"/>
      <c r="E1374" s="20" t="n"/>
      <c r="I1374" s="14" t="n"/>
      <c r="J1374" s="21" t="n"/>
      <c r="N1374" s="22" t="n"/>
    </row>
    <row r="1375">
      <c r="A1375" s="19" t="n"/>
      <c r="E1375" s="20" t="n"/>
      <c r="I1375" s="14" t="n"/>
      <c r="J1375" s="21" t="n"/>
      <c r="N1375" s="22" t="n"/>
    </row>
    <row r="1376">
      <c r="A1376" s="19" t="n"/>
      <c r="E1376" s="20" t="n"/>
      <c r="I1376" s="14" t="n"/>
      <c r="J1376" s="21" t="n"/>
      <c r="N1376" s="22" t="n"/>
    </row>
    <row r="1377">
      <c r="A1377" s="19" t="n"/>
      <c r="E1377" s="20" t="n"/>
      <c r="I1377" s="14" t="n"/>
      <c r="J1377" s="21" t="n"/>
      <c r="N1377" s="22" t="n"/>
    </row>
    <row r="1378">
      <c r="A1378" s="19" t="n"/>
      <c r="E1378" s="20" t="n"/>
      <c r="I1378" s="14" t="n"/>
      <c r="J1378" s="21" t="n"/>
      <c r="N1378" s="22" t="n"/>
    </row>
    <row r="1379">
      <c r="A1379" s="19" t="n"/>
      <c r="E1379" s="20" t="n"/>
      <c r="I1379" s="14" t="n"/>
      <c r="J1379" s="21" t="n"/>
      <c r="N1379" s="22" t="n"/>
    </row>
    <row r="1380">
      <c r="A1380" s="19" t="n"/>
      <c r="E1380" s="20" t="n"/>
      <c r="I1380" s="14" t="n"/>
      <c r="J1380" s="21" t="n"/>
      <c r="N1380" s="22" t="n"/>
    </row>
    <row r="1381">
      <c r="A1381" s="19" t="n"/>
      <c r="E1381" s="20" t="n"/>
      <c r="I1381" s="14" t="n"/>
      <c r="J1381" s="21" t="n"/>
      <c r="N1381" s="22" t="n"/>
    </row>
    <row r="1382">
      <c r="A1382" s="19" t="n"/>
      <c r="E1382" s="20" t="n"/>
      <c r="I1382" s="14" t="n"/>
      <c r="J1382" s="21" t="n"/>
      <c r="N1382" s="22" t="n"/>
    </row>
    <row r="1383">
      <c r="A1383" s="19" t="n"/>
      <c r="E1383" s="20" t="n"/>
      <c r="I1383" s="14" t="n"/>
      <c r="J1383" s="21" t="n"/>
      <c r="N1383" s="22" t="n"/>
    </row>
    <row r="1384">
      <c r="A1384" s="19" t="n"/>
      <c r="E1384" s="20" t="n"/>
      <c r="I1384" s="14" t="n"/>
      <c r="J1384" s="21" t="n"/>
      <c r="N1384" s="22" t="n"/>
    </row>
    <row r="1385">
      <c r="A1385" s="19" t="n"/>
      <c r="E1385" s="20" t="n"/>
      <c r="I1385" s="14" t="n"/>
      <c r="J1385" s="21" t="n"/>
      <c r="N1385" s="22" t="n"/>
    </row>
    <row r="1386">
      <c r="A1386" s="19" t="n"/>
      <c r="E1386" s="20" t="n"/>
      <c r="I1386" s="14" t="n"/>
      <c r="J1386" s="21" t="n"/>
      <c r="N1386" s="22" t="n"/>
    </row>
    <row r="1387">
      <c r="A1387" s="19" t="n"/>
      <c r="E1387" s="20" t="n"/>
      <c r="I1387" s="14" t="n"/>
      <c r="J1387" s="21" t="n"/>
      <c r="N1387" s="22" t="n"/>
    </row>
    <row r="1388">
      <c r="A1388" s="19" t="n"/>
      <c r="E1388" s="20" t="n"/>
      <c r="I1388" s="14" t="n"/>
      <c r="J1388" s="21" t="n"/>
      <c r="N1388" s="22" t="n"/>
    </row>
    <row r="1389">
      <c r="A1389" s="19" t="n"/>
      <c r="E1389" s="20" t="n"/>
      <c r="I1389" s="14" t="n"/>
      <c r="J1389" s="21" t="n"/>
      <c r="N1389" s="22" t="n"/>
    </row>
    <row r="1390">
      <c r="A1390" s="19" t="n"/>
      <c r="E1390" s="20" t="n"/>
      <c r="I1390" s="14" t="n"/>
      <c r="J1390" s="21" t="n"/>
      <c r="N1390" s="22" t="n"/>
    </row>
    <row r="1391">
      <c r="A1391" s="19" t="n"/>
      <c r="E1391" s="20" t="n"/>
      <c r="I1391" s="14" t="n"/>
      <c r="J1391" s="21" t="n"/>
      <c r="N1391" s="22" t="n"/>
    </row>
    <row r="1392">
      <c r="A1392" s="19" t="n"/>
      <c r="E1392" s="20" t="n"/>
      <c r="I1392" s="14" t="n"/>
      <c r="J1392" s="21" t="n"/>
      <c r="N1392" s="22" t="n"/>
    </row>
    <row r="1393">
      <c r="A1393" s="19" t="n"/>
      <c r="E1393" s="20" t="n"/>
      <c r="I1393" s="14" t="n"/>
      <c r="J1393" s="21" t="n"/>
      <c r="N1393" s="22" t="n"/>
    </row>
    <row r="1394">
      <c r="A1394" s="19" t="n"/>
      <c r="E1394" s="20" t="n"/>
      <c r="I1394" s="14" t="n"/>
      <c r="J1394" s="21" t="n"/>
      <c r="N1394" s="22" t="n"/>
    </row>
    <row r="1395">
      <c r="A1395" s="19" t="n"/>
      <c r="E1395" s="20" t="n"/>
      <c r="I1395" s="14" t="n"/>
      <c r="J1395" s="21" t="n"/>
      <c r="N1395" s="22" t="n"/>
    </row>
    <row r="1396">
      <c r="A1396" s="19" t="n"/>
      <c r="E1396" s="20" t="n"/>
      <c r="I1396" s="14" t="n"/>
      <c r="J1396" s="21" t="n"/>
      <c r="N1396" s="22" t="n"/>
    </row>
    <row r="1397">
      <c r="A1397" s="19" t="n"/>
      <c r="E1397" s="20" t="n"/>
      <c r="I1397" s="14" t="n"/>
      <c r="J1397" s="21" t="n"/>
      <c r="N1397" s="22" t="n"/>
    </row>
    <row r="1398">
      <c r="A1398" s="19" t="n"/>
      <c r="E1398" s="20" t="n"/>
      <c r="I1398" s="14" t="n"/>
      <c r="J1398" s="21" t="n"/>
      <c r="N1398" s="22" t="n"/>
    </row>
    <row r="1399">
      <c r="A1399" s="19" t="n"/>
      <c r="E1399" s="20" t="n"/>
      <c r="I1399" s="14" t="n"/>
      <c r="J1399" s="21" t="n"/>
      <c r="N1399" s="22" t="n"/>
    </row>
    <row r="1400">
      <c r="A1400" s="19" t="n"/>
      <c r="E1400" s="20" t="n"/>
      <c r="I1400" s="14" t="n"/>
      <c r="J1400" s="21" t="n"/>
      <c r="N1400" s="22" t="n"/>
    </row>
    <row r="1401">
      <c r="A1401" s="19" t="n"/>
      <c r="E1401" s="20" t="n"/>
      <c r="I1401" s="14" t="n"/>
      <c r="J1401" s="21" t="n"/>
      <c r="N1401" s="22" t="n"/>
    </row>
    <row r="1402">
      <c r="A1402" s="19" t="n"/>
      <c r="E1402" s="20" t="n"/>
      <c r="I1402" s="14" t="n"/>
      <c r="J1402" s="21" t="n"/>
      <c r="N1402" s="22" t="n"/>
    </row>
    <row r="1403">
      <c r="A1403" s="19" t="n"/>
      <c r="E1403" s="20" t="n"/>
      <c r="I1403" s="14" t="n"/>
      <c r="J1403" s="21" t="n"/>
      <c r="N1403" s="22" t="n"/>
    </row>
    <row r="1404">
      <c r="A1404" s="19" t="n"/>
      <c r="E1404" s="20" t="n"/>
      <c r="I1404" s="14" t="n"/>
      <c r="J1404" s="21" t="n"/>
      <c r="N1404" s="22" t="n"/>
    </row>
    <row r="1405">
      <c r="A1405" s="19" t="n"/>
      <c r="E1405" s="20" t="n"/>
      <c r="I1405" s="14" t="n"/>
      <c r="J1405" s="21" t="n"/>
      <c r="N1405" s="22" t="n"/>
    </row>
    <row r="1406">
      <c r="A1406" s="19" t="n"/>
      <c r="E1406" s="20" t="n"/>
      <c r="I1406" s="14" t="n"/>
      <c r="J1406" s="21" t="n"/>
      <c r="N1406" s="22" t="n"/>
    </row>
    <row r="1407">
      <c r="A1407" s="19" t="n"/>
      <c r="E1407" s="20" t="n"/>
      <c r="I1407" s="14" t="n"/>
      <c r="J1407" s="21" t="n"/>
      <c r="N1407" s="22" t="n"/>
    </row>
    <row r="1408">
      <c r="A1408" s="19" t="n"/>
      <c r="E1408" s="20" t="n"/>
      <c r="I1408" s="14" t="n"/>
      <c r="J1408" s="21" t="n"/>
      <c r="N1408" s="22" t="n"/>
    </row>
    <row r="1409">
      <c r="A1409" s="19" t="n"/>
      <c r="E1409" s="20" t="n"/>
      <c r="I1409" s="14" t="n"/>
      <c r="J1409" s="21" t="n"/>
      <c r="N1409" s="22" t="n"/>
    </row>
    <row r="1410">
      <c r="A1410" s="19" t="n"/>
      <c r="E1410" s="20" t="n"/>
      <c r="I1410" s="14" t="n"/>
      <c r="J1410" s="21" t="n"/>
      <c r="N1410" s="22" t="n"/>
    </row>
    <row r="1411">
      <c r="A1411" s="19" t="n"/>
      <c r="E1411" s="20" t="n"/>
      <c r="I1411" s="14" t="n"/>
      <c r="J1411" s="21" t="n"/>
      <c r="N1411" s="22" t="n"/>
    </row>
    <row r="1412">
      <c r="A1412" s="19" t="n"/>
      <c r="E1412" s="20" t="n"/>
      <c r="I1412" s="14" t="n"/>
      <c r="J1412" s="21" t="n"/>
      <c r="N1412" s="22" t="n"/>
    </row>
    <row r="1413">
      <c r="A1413" s="19" t="n"/>
      <c r="E1413" s="20" t="n"/>
      <c r="I1413" s="14" t="n"/>
      <c r="J1413" s="21" t="n"/>
      <c r="N1413" s="22" t="n"/>
    </row>
    <row r="1414">
      <c r="A1414" s="19" t="n"/>
      <c r="E1414" s="20" t="n"/>
      <c r="I1414" s="14" t="n"/>
      <c r="J1414" s="21" t="n"/>
      <c r="N1414" s="22" t="n"/>
    </row>
    <row r="1415">
      <c r="A1415" s="19" t="n"/>
      <c r="E1415" s="20" t="n"/>
      <c r="I1415" s="14" t="n"/>
      <c r="J1415" s="21" t="n"/>
      <c r="N1415" s="22" t="n"/>
    </row>
    <row r="1416">
      <c r="A1416" s="19" t="n"/>
      <c r="E1416" s="20" t="n"/>
      <c r="I1416" s="14" t="n"/>
      <c r="J1416" s="21" t="n"/>
      <c r="N1416" s="22" t="n"/>
    </row>
    <row r="1417">
      <c r="A1417" s="19" t="n"/>
      <c r="E1417" s="20" t="n"/>
      <c r="I1417" s="14" t="n"/>
      <c r="J1417" s="21" t="n"/>
      <c r="N1417" s="22" t="n"/>
    </row>
    <row r="1418">
      <c r="A1418" s="19" t="n"/>
      <c r="E1418" s="20" t="n"/>
      <c r="I1418" s="14" t="n"/>
      <c r="J1418" s="21" t="n"/>
      <c r="N1418" s="22" t="n"/>
    </row>
    <row r="1419">
      <c r="A1419" s="19" t="n"/>
      <c r="E1419" s="20" t="n"/>
      <c r="I1419" s="14" t="n"/>
      <c r="J1419" s="21" t="n"/>
      <c r="N1419" s="22" t="n"/>
    </row>
    <row r="1420">
      <c r="A1420" s="19" t="n"/>
      <c r="E1420" s="20" t="n"/>
      <c r="I1420" s="14" t="n"/>
      <c r="J1420" s="21" t="n"/>
      <c r="N1420" s="22" t="n"/>
    </row>
    <row r="1421">
      <c r="A1421" s="19" t="n"/>
      <c r="E1421" s="20" t="n"/>
      <c r="I1421" s="14" t="n"/>
      <c r="J1421" s="21" t="n"/>
      <c r="N1421" s="22" t="n"/>
    </row>
    <row r="1422">
      <c r="A1422" s="19" t="n"/>
      <c r="E1422" s="20" t="n"/>
      <c r="I1422" s="14" t="n"/>
      <c r="J1422" s="21" t="n"/>
      <c r="N1422" s="22" t="n"/>
    </row>
    <row r="1423">
      <c r="A1423" s="19" t="n"/>
      <c r="E1423" s="20" t="n"/>
      <c r="I1423" s="14" t="n"/>
      <c r="J1423" s="21" t="n"/>
      <c r="N1423" s="22" t="n"/>
    </row>
    <row r="1424">
      <c r="A1424" s="19" t="n"/>
      <c r="E1424" s="20" t="n"/>
      <c r="I1424" s="14" t="n"/>
      <c r="J1424" s="21" t="n"/>
      <c r="N1424" s="22" t="n"/>
    </row>
    <row r="1425">
      <c r="A1425" s="19" t="n"/>
      <c r="E1425" s="20" t="n"/>
      <c r="I1425" s="14" t="n"/>
      <c r="J1425" s="21" t="n"/>
      <c r="N1425" s="22" t="n"/>
    </row>
    <row r="1426">
      <c r="A1426" s="19" t="n"/>
      <c r="E1426" s="20" t="n"/>
      <c r="I1426" s="14" t="n"/>
      <c r="J1426" s="21" t="n"/>
      <c r="N1426" s="22" t="n"/>
    </row>
    <row r="1427">
      <c r="A1427" s="19" t="n"/>
      <c r="E1427" s="20" t="n"/>
      <c r="I1427" s="14" t="n"/>
      <c r="J1427" s="21" t="n"/>
      <c r="N1427" s="22" t="n"/>
    </row>
    <row r="1428">
      <c r="A1428" s="19" t="n"/>
      <c r="E1428" s="20" t="n"/>
      <c r="I1428" s="14" t="n"/>
      <c r="J1428" s="21" t="n"/>
      <c r="N1428" s="22" t="n"/>
    </row>
    <row r="1429">
      <c r="A1429" s="19" t="n"/>
      <c r="E1429" s="20" t="n"/>
      <c r="I1429" s="14" t="n"/>
      <c r="J1429" s="21" t="n"/>
      <c r="N1429" s="22" t="n"/>
    </row>
    <row r="1430">
      <c r="A1430" s="19" t="n"/>
      <c r="E1430" s="20" t="n"/>
      <c r="I1430" s="14" t="n"/>
      <c r="J1430" s="21" t="n"/>
      <c r="N1430" s="22" t="n"/>
    </row>
    <row r="1431">
      <c r="A1431" s="19" t="n"/>
      <c r="E1431" s="20" t="n"/>
      <c r="I1431" s="14" t="n"/>
      <c r="J1431" s="21" t="n"/>
      <c r="N1431" s="22" t="n"/>
    </row>
    <row r="1432">
      <c r="A1432" s="19" t="n"/>
      <c r="E1432" s="20" t="n"/>
      <c r="I1432" s="14" t="n"/>
      <c r="J1432" s="21" t="n"/>
      <c r="N1432" s="22" t="n"/>
    </row>
    <row r="1433">
      <c r="A1433" s="19" t="n"/>
      <c r="E1433" s="20" t="n"/>
      <c r="I1433" s="14" t="n"/>
      <c r="J1433" s="21" t="n"/>
      <c r="N1433" s="22" t="n"/>
    </row>
    <row r="1434">
      <c r="A1434" s="19" t="n"/>
      <c r="E1434" s="20" t="n"/>
      <c r="I1434" s="14" t="n"/>
      <c r="J1434" s="21" t="n"/>
      <c r="N1434" s="22" t="n"/>
    </row>
    <row r="1435">
      <c r="A1435" s="19" t="n"/>
      <c r="E1435" s="20" t="n"/>
      <c r="I1435" s="14" t="n"/>
      <c r="J1435" s="21" t="n"/>
      <c r="N1435" s="22" t="n"/>
    </row>
    <row r="1436">
      <c r="A1436" s="19" t="n"/>
      <c r="E1436" s="20" t="n"/>
      <c r="I1436" s="14" t="n"/>
      <c r="J1436" s="21" t="n"/>
      <c r="N1436" s="22" t="n"/>
    </row>
    <row r="1437">
      <c r="A1437" s="19" t="n"/>
      <c r="E1437" s="20" t="n"/>
      <c r="I1437" s="14" t="n"/>
      <c r="J1437" s="21" t="n"/>
      <c r="N1437" s="22" t="n"/>
    </row>
    <row r="1438">
      <c r="A1438" s="19" t="n"/>
      <c r="E1438" s="20" t="n"/>
      <c r="I1438" s="14" t="n"/>
      <c r="J1438" s="21" t="n"/>
      <c r="N1438" s="22" t="n"/>
    </row>
    <row r="1439">
      <c r="A1439" s="19" t="n"/>
      <c r="E1439" s="20" t="n"/>
      <c r="I1439" s="14" t="n"/>
      <c r="J1439" s="21" t="n"/>
      <c r="N1439" s="22" t="n"/>
    </row>
    <row r="1440">
      <c r="A1440" s="19" t="n"/>
      <c r="E1440" s="20" t="n"/>
      <c r="I1440" s="14" t="n"/>
      <c r="J1440" s="21" t="n"/>
      <c r="N1440" s="22" t="n"/>
    </row>
    <row r="1441">
      <c r="A1441" s="19" t="n"/>
      <c r="E1441" s="20" t="n"/>
      <c r="I1441" s="14" t="n"/>
      <c r="J1441" s="21" t="n"/>
      <c r="N1441" s="22" t="n"/>
    </row>
    <row r="1442">
      <c r="A1442" s="19" t="n"/>
      <c r="E1442" s="20" t="n"/>
      <c r="I1442" s="14" t="n"/>
      <c r="J1442" s="21" t="n"/>
      <c r="N1442" s="22" t="n"/>
    </row>
    <row r="1443">
      <c r="A1443" s="19" t="n"/>
      <c r="E1443" s="20" t="n"/>
      <c r="I1443" s="14" t="n"/>
      <c r="J1443" s="21" t="n"/>
      <c r="N1443" s="22" t="n"/>
    </row>
    <row r="1444">
      <c r="A1444" s="19" t="n"/>
      <c r="E1444" s="20" t="n"/>
      <c r="I1444" s="14" t="n"/>
      <c r="J1444" s="21" t="n"/>
      <c r="N1444" s="22" t="n"/>
    </row>
    <row r="1445">
      <c r="A1445" s="19" t="n"/>
      <c r="E1445" s="20" t="n"/>
      <c r="I1445" s="14" t="n"/>
      <c r="J1445" s="21" t="n"/>
      <c r="N1445" s="22" t="n"/>
    </row>
    <row r="1446">
      <c r="A1446" s="19" t="n"/>
      <c r="E1446" s="20" t="n"/>
      <c r="I1446" s="14" t="n"/>
      <c r="J1446" s="21" t="n"/>
      <c r="N1446" s="22" t="n"/>
    </row>
    <row r="1447">
      <c r="A1447" s="19" t="n"/>
      <c r="E1447" s="20" t="n"/>
      <c r="I1447" s="14" t="n"/>
      <c r="J1447" s="21" t="n"/>
      <c r="N1447" s="22" t="n"/>
    </row>
    <row r="1448">
      <c r="A1448" s="19" t="n"/>
      <c r="E1448" s="20" t="n"/>
      <c r="I1448" s="14" t="n"/>
      <c r="J1448" s="21" t="n"/>
      <c r="N1448" s="22" t="n"/>
    </row>
    <row r="1449">
      <c r="A1449" s="19" t="n"/>
      <c r="E1449" s="20" t="n"/>
      <c r="I1449" s="14" t="n"/>
      <c r="J1449" s="21" t="n"/>
      <c r="N1449" s="22" t="n"/>
    </row>
    <row r="1450">
      <c r="A1450" s="19" t="n"/>
      <c r="E1450" s="20" t="n"/>
      <c r="I1450" s="14" t="n"/>
      <c r="J1450" s="21" t="n"/>
      <c r="N1450" s="22" t="n"/>
    </row>
    <row r="1451">
      <c r="A1451" s="19" t="n"/>
      <c r="E1451" s="20" t="n"/>
      <c r="I1451" s="14" t="n"/>
      <c r="J1451" s="21" t="n"/>
      <c r="N1451" s="22" t="n"/>
    </row>
    <row r="1452">
      <c r="A1452" s="19" t="n"/>
      <c r="E1452" s="20" t="n"/>
      <c r="I1452" s="14" t="n"/>
      <c r="J1452" s="21" t="n"/>
      <c r="N1452" s="22" t="n"/>
    </row>
    <row r="1453">
      <c r="A1453" s="19" t="n"/>
      <c r="E1453" s="20" t="n"/>
      <c r="I1453" s="14" t="n"/>
      <c r="J1453" s="21" t="n"/>
      <c r="N1453" s="22" t="n"/>
    </row>
    <row r="1454">
      <c r="A1454" s="19" t="n"/>
      <c r="E1454" s="20" t="n"/>
      <c r="I1454" s="14" t="n"/>
      <c r="J1454" s="21" t="n"/>
      <c r="N1454" s="22" t="n"/>
    </row>
    <row r="1455">
      <c r="A1455" s="19" t="n"/>
      <c r="E1455" s="20" t="n"/>
      <c r="I1455" s="14" t="n"/>
      <c r="J1455" s="21" t="n"/>
      <c r="N1455" s="22" t="n"/>
    </row>
    <row r="1456">
      <c r="A1456" s="19" t="n"/>
      <c r="E1456" s="20" t="n"/>
      <c r="I1456" s="14" t="n"/>
      <c r="J1456" s="21" t="n"/>
      <c r="N1456" s="22" t="n"/>
    </row>
    <row r="1457">
      <c r="A1457" s="19" t="n"/>
      <c r="E1457" s="20" t="n"/>
      <c r="I1457" s="14" t="n"/>
      <c r="J1457" s="21" t="n"/>
      <c r="N1457" s="22" t="n"/>
    </row>
    <row r="1458">
      <c r="A1458" s="19" t="n"/>
      <c r="E1458" s="20" t="n"/>
      <c r="I1458" s="14" t="n"/>
      <c r="J1458" s="21" t="n"/>
      <c r="N1458" s="22" t="n"/>
    </row>
    <row r="1459">
      <c r="A1459" s="19" t="n"/>
      <c r="E1459" s="20" t="n"/>
      <c r="I1459" s="14" t="n"/>
      <c r="J1459" s="21" t="n"/>
      <c r="N1459" s="22" t="n"/>
    </row>
    <row r="1460">
      <c r="A1460" s="19" t="n"/>
      <c r="E1460" s="20" t="n"/>
      <c r="I1460" s="14" t="n"/>
      <c r="J1460" s="21" t="n"/>
      <c r="N1460" s="22" t="n"/>
    </row>
    <row r="1461">
      <c r="A1461" s="19" t="n"/>
      <c r="E1461" s="20" t="n"/>
      <c r="I1461" s="14" t="n"/>
      <c r="J1461" s="21" t="n"/>
      <c r="N1461" s="22" t="n"/>
    </row>
    <row r="1462">
      <c r="A1462" s="19" t="n"/>
      <c r="E1462" s="20" t="n"/>
      <c r="I1462" s="14" t="n"/>
      <c r="J1462" s="21" t="n"/>
      <c r="N1462" s="22" t="n"/>
    </row>
    <row r="1463">
      <c r="A1463" s="19" t="n"/>
      <c r="E1463" s="20" t="n"/>
      <c r="I1463" s="14" t="n"/>
      <c r="J1463" s="21" t="n"/>
      <c r="N1463" s="22" t="n"/>
    </row>
    <row r="1464">
      <c r="A1464" s="19" t="n"/>
      <c r="E1464" s="20" t="n"/>
      <c r="I1464" s="14" t="n"/>
      <c r="J1464" s="21" t="n"/>
      <c r="N1464" s="22" t="n"/>
    </row>
    <row r="1465">
      <c r="A1465" s="19" t="n"/>
      <c r="E1465" s="20" t="n"/>
      <c r="I1465" s="14" t="n"/>
      <c r="J1465" s="21" t="n"/>
      <c r="N1465" s="22" t="n"/>
    </row>
    <row r="1466">
      <c r="A1466" s="19" t="n"/>
      <c r="E1466" s="20" t="n"/>
      <c r="I1466" s="14" t="n"/>
      <c r="J1466" s="21" t="n"/>
      <c r="N1466" s="22" t="n"/>
    </row>
    <row r="1467">
      <c r="A1467" s="19" t="n"/>
      <c r="E1467" s="20" t="n"/>
      <c r="I1467" s="14" t="n"/>
      <c r="J1467" s="21" t="n"/>
      <c r="N1467" s="22" t="n"/>
    </row>
    <row r="1468">
      <c r="A1468" s="19" t="n"/>
      <c r="E1468" s="20" t="n"/>
      <c r="I1468" s="14" t="n"/>
      <c r="J1468" s="21" t="n"/>
      <c r="N1468" s="22" t="n"/>
    </row>
    <row r="1469">
      <c r="A1469" s="19" t="n"/>
      <c r="E1469" s="20" t="n"/>
      <c r="I1469" s="14" t="n"/>
      <c r="J1469" s="21" t="n"/>
      <c r="N1469" s="22" t="n"/>
    </row>
    <row r="1470">
      <c r="A1470" s="19" t="n"/>
      <c r="E1470" s="20" t="n"/>
      <c r="I1470" s="14" t="n"/>
      <c r="J1470" s="21" t="n"/>
      <c r="N1470" s="22" t="n"/>
    </row>
    <row r="1471">
      <c r="A1471" s="19" t="n"/>
      <c r="E1471" s="20" t="n"/>
      <c r="I1471" s="14" t="n"/>
      <c r="J1471" s="21" t="n"/>
      <c r="N1471" s="22" t="n"/>
    </row>
    <row r="1472">
      <c r="A1472" s="19" t="n"/>
      <c r="E1472" s="20" t="n"/>
      <c r="I1472" s="14" t="n"/>
      <c r="J1472" s="21" t="n"/>
      <c r="N1472" s="22" t="n"/>
    </row>
    <row r="1473">
      <c r="A1473" s="19" t="n"/>
      <c r="E1473" s="20" t="n"/>
      <c r="I1473" s="14" t="n"/>
      <c r="J1473" s="21" t="n"/>
      <c r="N1473" s="22" t="n"/>
    </row>
    <row r="1474">
      <c r="A1474" s="19" t="n"/>
      <c r="E1474" s="20" t="n"/>
      <c r="I1474" s="14" t="n"/>
      <c r="J1474" s="21" t="n"/>
      <c r="N1474" s="22" t="n"/>
    </row>
    <row r="1475">
      <c r="A1475" s="19" t="n"/>
      <c r="E1475" s="20" t="n"/>
      <c r="I1475" s="14" t="n"/>
      <c r="J1475" s="21" t="n"/>
      <c r="N1475" s="22" t="n"/>
    </row>
    <row r="1476">
      <c r="A1476" s="19" t="n"/>
      <c r="E1476" s="20" t="n"/>
      <c r="I1476" s="14" t="n"/>
      <c r="J1476" s="21" t="n"/>
      <c r="N1476" s="22" t="n"/>
    </row>
    <row r="1477">
      <c r="A1477" s="19" t="n"/>
      <c r="E1477" s="20" t="n"/>
      <c r="I1477" s="14" t="n"/>
      <c r="J1477" s="21" t="n"/>
      <c r="N1477" s="22" t="n"/>
    </row>
    <row r="1478">
      <c r="A1478" s="19" t="n"/>
      <c r="E1478" s="20" t="n"/>
      <c r="I1478" s="14" t="n"/>
      <c r="J1478" s="21" t="n"/>
      <c r="N1478" s="22" t="n"/>
    </row>
    <row r="1479">
      <c r="A1479" s="19" t="n"/>
      <c r="E1479" s="20" t="n"/>
      <c r="I1479" s="14" t="n"/>
      <c r="J1479" s="21" t="n"/>
      <c r="N1479" s="22" t="n"/>
    </row>
    <row r="1480">
      <c r="A1480" s="19" t="n"/>
      <c r="E1480" s="20" t="n"/>
      <c r="I1480" s="14" t="n"/>
      <c r="J1480" s="21" t="n"/>
      <c r="N1480" s="22" t="n"/>
    </row>
    <row r="1481">
      <c r="A1481" s="19" t="n"/>
      <c r="E1481" s="20" t="n"/>
      <c r="I1481" s="14" t="n"/>
      <c r="J1481" s="21" t="n"/>
      <c r="N1481" s="22" t="n"/>
    </row>
    <row r="1482">
      <c r="A1482" s="19" t="n"/>
      <c r="E1482" s="20" t="n"/>
      <c r="I1482" s="14" t="n"/>
      <c r="J1482" s="21" t="n"/>
      <c r="N1482" s="22" t="n"/>
    </row>
    <row r="1483">
      <c r="A1483" s="19" t="n"/>
      <c r="E1483" s="20" t="n"/>
      <c r="I1483" s="14" t="n"/>
      <c r="J1483" s="21" t="n"/>
      <c r="N1483" s="22" t="n"/>
    </row>
    <row r="1484">
      <c r="A1484" s="19" t="n"/>
      <c r="E1484" s="20" t="n"/>
      <c r="I1484" s="14" t="n"/>
      <c r="J1484" s="21" t="n"/>
      <c r="N1484" s="22" t="n"/>
    </row>
    <row r="1485">
      <c r="A1485" s="19" t="n"/>
      <c r="E1485" s="20" t="n"/>
      <c r="I1485" s="14" t="n"/>
      <c r="J1485" s="21" t="n"/>
      <c r="N1485" s="22" t="n"/>
    </row>
    <row r="1486">
      <c r="A1486" s="19" t="n"/>
      <c r="E1486" s="20" t="n"/>
      <c r="I1486" s="14" t="n"/>
      <c r="J1486" s="21" t="n"/>
      <c r="N1486" s="22" t="n"/>
    </row>
    <row r="1487">
      <c r="A1487" s="19" t="n"/>
      <c r="E1487" s="20" t="n"/>
      <c r="I1487" s="14" t="n"/>
      <c r="J1487" s="21" t="n"/>
      <c r="N1487" s="22" t="n"/>
    </row>
    <row r="1488">
      <c r="A1488" s="19" t="n"/>
      <c r="E1488" s="20" t="n"/>
      <c r="I1488" s="14" t="n"/>
      <c r="J1488" s="21" t="n"/>
      <c r="N1488" s="22" t="n"/>
    </row>
    <row r="1489">
      <c r="A1489" s="19" t="n"/>
      <c r="E1489" s="20" t="n"/>
      <c r="I1489" s="14" t="n"/>
      <c r="J1489" s="21" t="n"/>
      <c r="N1489" s="22" t="n"/>
    </row>
    <row r="1490">
      <c r="A1490" s="19" t="n"/>
      <c r="E1490" s="20" t="n"/>
      <c r="I1490" s="14" t="n"/>
      <c r="J1490" s="21" t="n"/>
      <c r="N1490" s="22" t="n"/>
    </row>
    <row r="1491">
      <c r="A1491" s="19" t="n"/>
      <c r="E1491" s="20" t="n"/>
      <c r="I1491" s="14" t="n"/>
      <c r="J1491" s="21" t="n"/>
      <c r="N1491" s="22" t="n"/>
    </row>
    <row r="1492">
      <c r="A1492" s="19" t="n"/>
      <c r="E1492" s="20" t="n"/>
      <c r="I1492" s="14" t="n"/>
      <c r="J1492" s="21" t="n"/>
      <c r="N1492" s="22" t="n"/>
    </row>
    <row r="1493">
      <c r="A1493" s="19" t="n"/>
      <c r="E1493" s="20" t="n"/>
      <c r="I1493" s="14" t="n"/>
      <c r="J1493" s="21" t="n"/>
      <c r="N1493" s="22" t="n"/>
    </row>
    <row r="1494">
      <c r="A1494" s="19" t="n"/>
      <c r="E1494" s="20" t="n"/>
      <c r="I1494" s="14" t="n"/>
      <c r="J1494" s="21" t="n"/>
      <c r="N1494" s="22" t="n"/>
    </row>
    <row r="1495">
      <c r="A1495" s="19" t="n"/>
      <c r="E1495" s="20" t="n"/>
      <c r="I1495" s="14" t="n"/>
      <c r="J1495" s="21" t="n"/>
      <c r="N1495" s="22" t="n"/>
    </row>
    <row r="1496">
      <c r="A1496" s="19" t="n"/>
      <c r="E1496" s="20" t="n"/>
      <c r="I1496" s="14" t="n"/>
      <c r="J1496" s="21" t="n"/>
      <c r="N1496" s="22" t="n"/>
    </row>
    <row r="1497">
      <c r="A1497" s="19" t="n"/>
      <c r="E1497" s="20" t="n"/>
      <c r="I1497" s="14" t="n"/>
      <c r="J1497" s="21" t="n"/>
      <c r="N1497" s="22" t="n"/>
    </row>
    <row r="1498">
      <c r="A1498" s="19" t="n"/>
      <c r="E1498" s="20" t="n"/>
      <c r="I1498" s="14" t="n"/>
      <c r="J1498" s="21" t="n"/>
      <c r="N1498" s="22" t="n"/>
    </row>
    <row r="1499">
      <c r="A1499" s="19" t="n"/>
      <c r="E1499" s="20" t="n"/>
      <c r="I1499" s="14" t="n"/>
      <c r="J1499" s="21" t="n"/>
      <c r="N1499" s="22" t="n"/>
    </row>
    <row r="1500">
      <c r="A1500" s="19" t="n"/>
      <c r="E1500" s="20" t="n"/>
      <c r="I1500" s="14" t="n"/>
      <c r="J1500" s="21" t="n"/>
      <c r="N1500" s="22" t="n"/>
    </row>
    <row r="1501">
      <c r="A1501" s="19" t="n"/>
      <c r="E1501" s="20" t="n"/>
      <c r="I1501" s="14" t="n"/>
      <c r="J1501" s="21" t="n"/>
      <c r="N1501" s="22" t="n"/>
    </row>
    <row r="1502">
      <c r="A1502" s="19" t="n"/>
      <c r="E1502" s="20" t="n"/>
      <c r="I1502" s="14" t="n"/>
      <c r="J1502" s="21" t="n"/>
      <c r="N1502" s="22" t="n"/>
    </row>
    <row r="1503">
      <c r="A1503" s="19" t="n"/>
      <c r="E1503" s="20" t="n"/>
      <c r="I1503" s="14" t="n"/>
      <c r="J1503" s="21" t="n"/>
      <c r="N1503" s="22" t="n"/>
    </row>
    <row r="1504">
      <c r="A1504" s="19" t="n"/>
      <c r="E1504" s="20" t="n"/>
      <c r="I1504" s="14" t="n"/>
      <c r="J1504" s="21" t="n"/>
      <c r="N1504" s="22" t="n"/>
    </row>
    <row r="1505">
      <c r="A1505" s="19" t="n"/>
      <c r="E1505" s="20" t="n"/>
      <c r="I1505" s="14" t="n"/>
      <c r="J1505" s="21" t="n"/>
      <c r="N1505" s="22" t="n"/>
    </row>
    <row r="1506">
      <c r="A1506" s="19" t="n"/>
      <c r="E1506" s="20" t="n"/>
      <c r="I1506" s="14" t="n"/>
      <c r="J1506" s="21" t="n"/>
      <c r="N1506" s="22" t="n"/>
    </row>
    <row r="1507">
      <c r="A1507" s="19" t="n"/>
      <c r="E1507" s="20" t="n"/>
      <c r="I1507" s="14" t="n"/>
      <c r="J1507" s="21" t="n"/>
      <c r="N1507" s="22" t="n"/>
    </row>
    <row r="1508">
      <c r="A1508" s="19" t="n"/>
      <c r="E1508" s="20" t="n"/>
      <c r="I1508" s="14" t="n"/>
      <c r="J1508" s="21" t="n"/>
      <c r="N1508" s="22" t="n"/>
    </row>
    <row r="1509">
      <c r="A1509" s="19" t="n"/>
      <c r="E1509" s="20" t="n"/>
      <c r="I1509" s="14" t="n"/>
      <c r="J1509" s="21" t="n"/>
      <c r="N1509" s="22" t="n"/>
    </row>
    <row r="1510">
      <c r="A1510" s="19" t="n"/>
      <c r="E1510" s="20" t="n"/>
      <c r="I1510" s="14" t="n"/>
      <c r="J1510" s="21" t="n"/>
      <c r="N1510" s="22" t="n"/>
    </row>
    <row r="1511">
      <c r="A1511" s="19" t="n"/>
      <c r="E1511" s="20" t="n"/>
      <c r="I1511" s="14" t="n"/>
      <c r="J1511" s="21" t="n"/>
      <c r="N1511" s="22" t="n"/>
    </row>
    <row r="1512">
      <c r="A1512" s="19" t="n"/>
      <c r="E1512" s="20" t="n"/>
      <c r="I1512" s="14" t="n"/>
      <c r="J1512" s="21" t="n"/>
      <c r="N1512" s="22" t="n"/>
    </row>
    <row r="1513">
      <c r="A1513" s="19" t="n"/>
      <c r="E1513" s="20" t="n"/>
      <c r="I1513" s="14" t="n"/>
      <c r="J1513" s="21" t="n"/>
      <c r="N1513" s="22" t="n"/>
    </row>
    <row r="1514">
      <c r="A1514" s="19" t="n"/>
      <c r="E1514" s="20" t="n"/>
      <c r="I1514" s="14" t="n"/>
      <c r="J1514" s="21" t="n"/>
      <c r="N1514" s="22" t="n"/>
    </row>
    <row r="1515">
      <c r="A1515" s="19" t="n"/>
      <c r="E1515" s="20" t="n"/>
      <c r="I1515" s="14" t="n"/>
      <c r="J1515" s="21" t="n"/>
      <c r="N1515" s="22" t="n"/>
    </row>
    <row r="1516">
      <c r="A1516" s="19" t="n"/>
      <c r="E1516" s="20" t="n"/>
      <c r="I1516" s="14" t="n"/>
      <c r="J1516" s="21" t="n"/>
      <c r="N1516" s="22" t="n"/>
    </row>
    <row r="1517">
      <c r="A1517" s="19" t="n"/>
      <c r="E1517" s="20" t="n"/>
      <c r="I1517" s="14" t="n"/>
      <c r="J1517" s="21" t="n"/>
      <c r="N1517" s="22" t="n"/>
    </row>
    <row r="1518">
      <c r="A1518" s="19" t="n"/>
      <c r="E1518" s="20" t="n"/>
      <c r="I1518" s="14" t="n"/>
      <c r="J1518" s="21" t="n"/>
      <c r="N1518" s="22" t="n"/>
    </row>
    <row r="1519">
      <c r="A1519" s="19" t="n"/>
      <c r="E1519" s="20" t="n"/>
      <c r="I1519" s="14" t="n"/>
      <c r="J1519" s="21" t="n"/>
      <c r="N1519" s="22" t="n"/>
    </row>
    <row r="1520">
      <c r="A1520" s="19" t="n"/>
      <c r="E1520" s="20" t="n"/>
      <c r="I1520" s="14" t="n"/>
      <c r="J1520" s="21" t="n"/>
      <c r="N1520" s="22" t="n"/>
    </row>
    <row r="1521">
      <c r="A1521" s="19" t="n"/>
      <c r="E1521" s="20" t="n"/>
      <c r="I1521" s="14" t="n"/>
      <c r="J1521" s="21" t="n"/>
      <c r="N1521" s="22" t="n"/>
    </row>
    <row r="1522">
      <c r="A1522" s="19" t="n"/>
      <c r="E1522" s="20" t="n"/>
      <c r="I1522" s="14" t="n"/>
      <c r="J1522" s="21" t="n"/>
      <c r="N1522" s="22" t="n"/>
    </row>
    <row r="1523">
      <c r="A1523" s="19" t="n"/>
      <c r="E1523" s="20" t="n"/>
      <c r="I1523" s="14" t="n"/>
      <c r="J1523" s="21" t="n"/>
      <c r="N1523" s="22" t="n"/>
    </row>
    <row r="1524">
      <c r="A1524" s="19" t="n"/>
      <c r="E1524" s="20" t="n"/>
      <c r="I1524" s="14" t="n"/>
      <c r="J1524" s="21" t="n"/>
      <c r="N1524" s="22" t="n"/>
    </row>
    <row r="1525">
      <c r="A1525" s="19" t="n"/>
      <c r="E1525" s="20" t="n"/>
      <c r="I1525" s="14" t="n"/>
      <c r="J1525" s="21" t="n"/>
      <c r="N1525" s="22" t="n"/>
    </row>
    <row r="1526">
      <c r="A1526" s="19" t="n"/>
      <c r="E1526" s="20" t="n"/>
      <c r="I1526" s="14" t="n"/>
      <c r="J1526" s="21" t="n"/>
      <c r="N1526" s="22" t="n"/>
    </row>
    <row r="1527">
      <c r="A1527" s="19" t="n"/>
      <c r="E1527" s="20" t="n"/>
      <c r="I1527" s="14" t="n"/>
      <c r="J1527" s="21" t="n"/>
      <c r="N1527" s="22" t="n"/>
    </row>
    <row r="1528">
      <c r="A1528" s="19" t="n"/>
      <c r="E1528" s="20" t="n"/>
      <c r="I1528" s="14" t="n"/>
      <c r="J1528" s="21" t="n"/>
      <c r="N1528" s="22" t="n"/>
    </row>
    <row r="1529">
      <c r="A1529" s="19" t="n"/>
      <c r="E1529" s="20" t="n"/>
      <c r="I1529" s="14" t="n"/>
      <c r="J1529" s="21" t="n"/>
      <c r="N1529" s="22" t="n"/>
    </row>
    <row r="1530">
      <c r="A1530" s="19" t="n"/>
      <c r="E1530" s="20" t="n"/>
      <c r="I1530" s="14" t="n"/>
      <c r="J1530" s="21" t="n"/>
      <c r="N1530" s="22" t="n"/>
    </row>
    <row r="1531">
      <c r="A1531" s="19" t="n"/>
      <c r="E1531" s="20" t="n"/>
      <c r="I1531" s="14" t="n"/>
      <c r="J1531" s="21" t="n"/>
      <c r="N1531" s="22" t="n"/>
    </row>
    <row r="1532">
      <c r="A1532" s="19" t="n"/>
      <c r="E1532" s="20" t="n"/>
      <c r="I1532" s="14" t="n"/>
      <c r="J1532" s="21" t="n"/>
      <c r="N1532" s="22" t="n"/>
    </row>
    <row r="1533">
      <c r="A1533" s="19" t="n"/>
      <c r="E1533" s="20" t="n"/>
      <c r="I1533" s="14" t="n"/>
      <c r="J1533" s="21" t="n"/>
      <c r="N1533" s="22" t="n"/>
    </row>
    <row r="1534">
      <c r="A1534" s="19" t="n"/>
      <c r="E1534" s="20" t="n"/>
      <c r="I1534" s="14" t="n"/>
      <c r="J1534" s="21" t="n"/>
      <c r="N1534" s="22" t="n"/>
    </row>
    <row r="1535">
      <c r="A1535" s="19" t="n"/>
      <c r="E1535" s="20" t="n"/>
      <c r="I1535" s="14" t="n"/>
      <c r="J1535" s="21" t="n"/>
      <c r="N1535" s="22" t="n"/>
    </row>
    <row r="1536">
      <c r="A1536" s="19" t="n"/>
      <c r="E1536" s="20" t="n"/>
      <c r="I1536" s="14" t="n"/>
      <c r="J1536" s="21" t="n"/>
      <c r="N1536" s="22" t="n"/>
    </row>
    <row r="1537">
      <c r="A1537" s="19" t="n"/>
      <c r="E1537" s="20" t="n"/>
      <c r="I1537" s="14" t="n"/>
      <c r="J1537" s="21" t="n"/>
      <c r="N1537" s="22" t="n"/>
    </row>
    <row r="1538">
      <c r="A1538" s="19" t="n"/>
      <c r="E1538" s="20" t="n"/>
      <c r="I1538" s="14" t="n"/>
      <c r="J1538" s="21" t="n"/>
      <c r="N1538" s="22" t="n"/>
    </row>
    <row r="1539">
      <c r="A1539" s="19" t="n"/>
      <c r="E1539" s="20" t="n"/>
      <c r="I1539" s="14" t="n"/>
      <c r="J1539" s="21" t="n"/>
      <c r="N1539" s="22" t="n"/>
    </row>
    <row r="1540">
      <c r="A1540" s="19" t="n"/>
      <c r="E1540" s="20" t="n"/>
      <c r="I1540" s="14" t="n"/>
      <c r="J1540" s="21" t="n"/>
      <c r="N1540" s="22" t="n"/>
    </row>
    <row r="1541">
      <c r="A1541" s="19" t="n"/>
      <c r="E1541" s="20" t="n"/>
      <c r="I1541" s="14" t="n"/>
      <c r="J1541" s="21" t="n"/>
      <c r="N1541" s="22" t="n"/>
    </row>
    <row r="1542">
      <c r="A1542" s="19" t="n"/>
      <c r="E1542" s="20" t="n"/>
      <c r="I1542" s="14" t="n"/>
      <c r="J1542" s="21" t="n"/>
      <c r="N1542" s="22" t="n"/>
    </row>
    <row r="1543">
      <c r="A1543" s="19" t="n"/>
      <c r="E1543" s="20" t="n"/>
      <c r="I1543" s="14" t="n"/>
      <c r="J1543" s="21" t="n"/>
      <c r="N1543" s="22" t="n"/>
    </row>
    <row r="1544">
      <c r="A1544" s="19" t="n"/>
      <c r="E1544" s="20" t="n"/>
      <c r="I1544" s="14" t="n"/>
      <c r="J1544" s="21" t="n"/>
      <c r="N1544" s="22" t="n"/>
    </row>
    <row r="1545">
      <c r="A1545" s="19" t="n"/>
      <c r="E1545" s="20" t="n"/>
      <c r="I1545" s="14" t="n"/>
      <c r="J1545" s="21" t="n"/>
      <c r="N1545" s="22" t="n"/>
    </row>
    <row r="1546">
      <c r="A1546" s="19" t="n"/>
      <c r="E1546" s="20" t="n"/>
      <c r="I1546" s="14" t="n"/>
      <c r="J1546" s="21" t="n"/>
      <c r="N1546" s="22" t="n"/>
    </row>
    <row r="1547">
      <c r="A1547" s="19" t="n"/>
      <c r="E1547" s="20" t="n"/>
      <c r="I1547" s="14" t="n"/>
      <c r="J1547" s="21" t="n"/>
      <c r="N1547" s="22" t="n"/>
    </row>
    <row r="1548">
      <c r="A1548" s="19" t="n"/>
      <c r="E1548" s="20" t="n"/>
      <c r="I1548" s="14" t="n"/>
      <c r="J1548" s="21" t="n"/>
      <c r="N1548" s="22" t="n"/>
    </row>
    <row r="1549">
      <c r="A1549" s="19" t="n"/>
      <c r="E1549" s="20" t="n"/>
      <c r="I1549" s="14" t="n"/>
      <c r="J1549" s="21" t="n"/>
      <c r="N1549" s="22" t="n"/>
    </row>
    <row r="1550">
      <c r="A1550" s="19" t="n"/>
      <c r="E1550" s="20" t="n"/>
      <c r="I1550" s="14" t="n"/>
      <c r="J1550" s="21" t="n"/>
      <c r="N1550" s="22" t="n"/>
    </row>
    <row r="1551">
      <c r="A1551" s="19" t="n"/>
      <c r="E1551" s="20" t="n"/>
      <c r="I1551" s="14" t="n"/>
      <c r="J1551" s="21" t="n"/>
      <c r="N1551" s="22" t="n"/>
    </row>
    <row r="1552">
      <c r="A1552" s="19" t="n"/>
      <c r="E1552" s="20" t="n"/>
      <c r="I1552" s="14" t="n"/>
      <c r="J1552" s="21" t="n"/>
      <c r="N1552" s="22" t="n"/>
    </row>
    <row r="1553">
      <c r="A1553" s="19" t="n"/>
      <c r="E1553" s="20" t="n"/>
      <c r="I1553" s="14" t="n"/>
      <c r="J1553" s="21" t="n"/>
      <c r="N1553" s="22" t="n"/>
    </row>
    <row r="1554">
      <c r="A1554" s="19" t="n"/>
      <c r="E1554" s="20" t="n"/>
      <c r="I1554" s="14" t="n"/>
      <c r="J1554" s="21" t="n"/>
      <c r="N1554" s="22" t="n"/>
    </row>
    <row r="1555">
      <c r="A1555" s="19" t="n"/>
      <c r="E1555" s="20" t="n"/>
      <c r="I1555" s="14" t="n"/>
      <c r="J1555" s="21" t="n"/>
      <c r="N1555" s="22" t="n"/>
    </row>
    <row r="1556">
      <c r="A1556" s="19" t="n"/>
      <c r="E1556" s="20" t="n"/>
      <c r="I1556" s="14" t="n"/>
      <c r="J1556" s="21" t="n"/>
      <c r="N1556" s="22" t="n"/>
    </row>
    <row r="1557">
      <c r="A1557" s="19" t="n"/>
      <c r="E1557" s="20" t="n"/>
      <c r="I1557" s="14" t="n"/>
      <c r="J1557" s="21" t="n"/>
      <c r="N1557" s="22" t="n"/>
    </row>
    <row r="1558">
      <c r="A1558" s="19" t="n"/>
      <c r="E1558" s="20" t="n"/>
      <c r="I1558" s="14" t="n"/>
      <c r="J1558" s="21" t="n"/>
      <c r="N1558" s="22" t="n"/>
    </row>
    <row r="1559">
      <c r="A1559" s="19" t="n"/>
      <c r="E1559" s="20" t="n"/>
      <c r="I1559" s="14" t="n"/>
      <c r="J1559" s="21" t="n"/>
      <c r="N1559" s="22" t="n"/>
    </row>
    <row r="1560">
      <c r="A1560" s="19" t="n"/>
      <c r="E1560" s="20" t="n"/>
      <c r="I1560" s="14" t="n"/>
      <c r="J1560" s="21" t="n"/>
      <c r="N1560" s="22" t="n"/>
    </row>
    <row r="1561">
      <c r="A1561" s="19" t="n"/>
      <c r="E1561" s="20" t="n"/>
      <c r="I1561" s="14" t="n"/>
      <c r="J1561" s="21" t="n"/>
      <c r="N1561" s="22" t="n"/>
    </row>
    <row r="1562">
      <c r="A1562" s="19" t="n"/>
      <c r="E1562" s="20" t="n"/>
      <c r="I1562" s="14" t="n"/>
      <c r="J1562" s="21" t="n"/>
      <c r="N1562" s="22" t="n"/>
    </row>
    <row r="1563">
      <c r="A1563" s="19" t="n"/>
      <c r="E1563" s="20" t="n"/>
      <c r="I1563" s="14" t="n"/>
      <c r="J1563" s="21" t="n"/>
      <c r="N1563" s="22" t="n"/>
    </row>
    <row r="1564">
      <c r="A1564" s="19" t="n"/>
      <c r="E1564" s="20" t="n"/>
      <c r="I1564" s="14" t="n"/>
      <c r="J1564" s="21" t="n"/>
      <c r="N1564" s="22" t="n"/>
    </row>
    <row r="1565">
      <c r="A1565" s="19" t="n"/>
      <c r="E1565" s="20" t="n"/>
      <c r="I1565" s="14" t="n"/>
      <c r="J1565" s="21" t="n"/>
      <c r="N1565" s="22" t="n"/>
    </row>
    <row r="1566">
      <c r="A1566" s="19" t="n"/>
      <c r="E1566" s="20" t="n"/>
      <c r="I1566" s="14" t="n"/>
      <c r="J1566" s="21" t="n"/>
      <c r="N1566" s="22" t="n"/>
    </row>
    <row r="1567">
      <c r="A1567" s="19" t="n"/>
      <c r="E1567" s="20" t="n"/>
      <c r="I1567" s="14" t="n"/>
      <c r="J1567" s="21" t="n"/>
      <c r="N1567" s="22" t="n"/>
    </row>
    <row r="1568">
      <c r="A1568" s="19" t="n"/>
      <c r="E1568" s="20" t="n"/>
      <c r="I1568" s="14" t="n"/>
      <c r="J1568" s="21" t="n"/>
      <c r="N1568" s="22" t="n"/>
    </row>
    <row r="1569">
      <c r="A1569" s="19" t="n"/>
      <c r="E1569" s="20" t="n"/>
      <c r="I1569" s="14" t="n"/>
      <c r="J1569" s="21" t="n"/>
      <c r="N1569" s="22" t="n"/>
    </row>
    <row r="1570">
      <c r="A1570" s="19" t="n"/>
      <c r="E1570" s="20" t="n"/>
      <c r="I1570" s="14" t="n"/>
      <c r="J1570" s="21" t="n"/>
      <c r="N1570" s="22" t="n"/>
    </row>
    <row r="1571">
      <c r="A1571" s="19" t="n"/>
      <c r="E1571" s="20" t="n"/>
      <c r="I1571" s="14" t="n"/>
      <c r="J1571" s="21" t="n"/>
      <c r="N1571" s="22" t="n"/>
    </row>
    <row r="1572">
      <c r="A1572" s="19" t="n"/>
      <c r="E1572" s="20" t="n"/>
      <c r="I1572" s="14" t="n"/>
      <c r="J1572" s="21" t="n"/>
      <c r="N1572" s="22" t="n"/>
    </row>
    <row r="1573">
      <c r="A1573" s="19" t="n"/>
      <c r="E1573" s="20" t="n"/>
      <c r="I1573" s="14" t="n"/>
      <c r="J1573" s="21" t="n"/>
      <c r="N1573" s="22" t="n"/>
    </row>
    <row r="1574">
      <c r="A1574" s="19" t="n"/>
      <c r="E1574" s="20" t="n"/>
      <c r="I1574" s="14" t="n"/>
      <c r="J1574" s="21" t="n"/>
      <c r="N1574" s="22" t="n"/>
    </row>
    <row r="1575">
      <c r="A1575" s="19" t="n"/>
      <c r="E1575" s="20" t="n"/>
      <c r="I1575" s="14" t="n"/>
      <c r="J1575" s="21" t="n"/>
      <c r="N1575" s="22" t="n"/>
    </row>
    <row r="1576">
      <c r="A1576" s="19" t="n"/>
      <c r="E1576" s="20" t="n"/>
      <c r="I1576" s="14" t="n"/>
      <c r="J1576" s="21" t="n"/>
      <c r="N1576" s="22" t="n"/>
    </row>
    <row r="1577">
      <c r="A1577" s="19" t="n"/>
      <c r="E1577" s="20" t="n"/>
      <c r="I1577" s="14" t="n"/>
      <c r="J1577" s="21" t="n"/>
      <c r="N1577" s="22" t="n"/>
    </row>
    <row r="1578">
      <c r="A1578" s="19" t="n"/>
      <c r="E1578" s="20" t="n"/>
      <c r="I1578" s="14" t="n"/>
      <c r="J1578" s="21" t="n"/>
      <c r="N1578" s="22" t="n"/>
    </row>
    <row r="1579">
      <c r="A1579" s="19" t="n"/>
      <c r="E1579" s="20" t="n"/>
      <c r="I1579" s="14" t="n"/>
      <c r="J1579" s="21" t="n"/>
      <c r="N1579" s="22" t="n"/>
    </row>
    <row r="1580">
      <c r="A1580" s="19" t="n"/>
      <c r="E1580" s="20" t="n"/>
      <c r="I1580" s="14" t="n"/>
      <c r="J1580" s="21" t="n"/>
      <c r="N1580" s="22" t="n"/>
    </row>
    <row r="1581">
      <c r="A1581" s="19" t="n"/>
      <c r="E1581" s="20" t="n"/>
      <c r="I1581" s="14" t="n"/>
      <c r="J1581" s="21" t="n"/>
      <c r="N1581" s="22" t="n"/>
    </row>
    <row r="1582">
      <c r="A1582" s="19" t="n"/>
      <c r="E1582" s="20" t="n"/>
      <c r="I1582" s="14" t="n"/>
      <c r="J1582" s="21" t="n"/>
      <c r="N1582" s="22" t="n"/>
    </row>
    <row r="1583">
      <c r="A1583" s="19" t="n"/>
      <c r="E1583" s="20" t="n"/>
      <c r="I1583" s="14" t="n"/>
      <c r="J1583" s="21" t="n"/>
      <c r="N1583" s="22" t="n"/>
    </row>
    <row r="1584">
      <c r="A1584" s="19" t="n"/>
      <c r="E1584" s="20" t="n"/>
      <c r="I1584" s="14" t="n"/>
      <c r="J1584" s="21" t="n"/>
      <c r="N1584" s="22" t="n"/>
    </row>
    <row r="1585">
      <c r="A1585" s="19" t="n"/>
      <c r="E1585" s="20" t="n"/>
      <c r="I1585" s="14" t="n"/>
      <c r="J1585" s="21" t="n"/>
      <c r="N1585" s="22" t="n"/>
    </row>
    <row r="1586">
      <c r="A1586" s="19" t="n"/>
      <c r="E1586" s="20" t="n"/>
      <c r="I1586" s="14" t="n"/>
      <c r="J1586" s="21" t="n"/>
      <c r="N1586" s="22" t="n"/>
    </row>
    <row r="1587">
      <c r="A1587" s="19" t="n"/>
      <c r="E1587" s="20" t="n"/>
      <c r="I1587" s="14" t="n"/>
      <c r="J1587" s="21" t="n"/>
      <c r="N1587" s="22" t="n"/>
    </row>
    <row r="1588">
      <c r="A1588" s="19" t="n"/>
      <c r="E1588" s="20" t="n"/>
      <c r="I1588" s="14" t="n"/>
      <c r="J1588" s="21" t="n"/>
      <c r="N1588" s="22" t="n"/>
    </row>
    <row r="1589">
      <c r="A1589" s="19" t="n"/>
      <c r="E1589" s="20" t="n"/>
      <c r="I1589" s="14" t="n"/>
      <c r="J1589" s="21" t="n"/>
      <c r="N1589" s="22" t="n"/>
    </row>
    <row r="1590">
      <c r="A1590" s="19" t="n"/>
      <c r="E1590" s="20" t="n"/>
      <c r="I1590" s="14" t="n"/>
      <c r="J1590" s="21" t="n"/>
      <c r="N1590" s="22" t="n"/>
    </row>
    <row r="1591">
      <c r="A1591" s="19" t="n"/>
      <c r="E1591" s="20" t="n"/>
      <c r="I1591" s="14" t="n"/>
      <c r="J1591" s="21" t="n"/>
      <c r="N1591" s="22" t="n"/>
    </row>
    <row r="1592">
      <c r="A1592" s="19" t="n"/>
      <c r="E1592" s="20" t="n"/>
      <c r="I1592" s="14" t="n"/>
      <c r="J1592" s="21" t="n"/>
      <c r="N1592" s="22" t="n"/>
    </row>
    <row r="1593">
      <c r="A1593" s="19" t="n"/>
      <c r="E1593" s="20" t="n"/>
      <c r="I1593" s="14" t="n"/>
      <c r="J1593" s="21" t="n"/>
      <c r="N1593" s="22" t="n"/>
    </row>
    <row r="1594">
      <c r="A1594" s="19" t="n"/>
      <c r="E1594" s="20" t="n"/>
      <c r="I1594" s="14" t="n"/>
      <c r="J1594" s="21" t="n"/>
      <c r="N1594" s="22" t="n"/>
    </row>
    <row r="1595">
      <c r="A1595" s="19" t="n"/>
      <c r="E1595" s="20" t="n"/>
      <c r="I1595" s="14" t="n"/>
      <c r="J1595" s="21" t="n"/>
      <c r="N1595" s="22" t="n"/>
    </row>
    <row r="1596">
      <c r="A1596" s="19" t="n"/>
      <c r="E1596" s="20" t="n"/>
      <c r="I1596" s="14" t="n"/>
      <c r="J1596" s="21" t="n"/>
      <c r="N1596" s="22" t="n"/>
    </row>
    <row r="1597">
      <c r="A1597" s="19" t="n"/>
      <c r="E1597" s="20" t="n"/>
      <c r="I1597" s="14" t="n"/>
      <c r="J1597" s="21" t="n"/>
      <c r="N1597" s="22" t="n"/>
    </row>
    <row r="1598">
      <c r="A1598" s="19" t="n"/>
      <c r="E1598" s="20" t="n"/>
      <c r="I1598" s="14" t="n"/>
      <c r="J1598" s="21" t="n"/>
      <c r="N1598" s="22" t="n"/>
    </row>
    <row r="1599">
      <c r="A1599" s="19" t="n"/>
      <c r="E1599" s="20" t="n"/>
      <c r="I1599" s="14" t="n"/>
      <c r="J1599" s="21" t="n"/>
      <c r="N1599" s="22" t="n"/>
    </row>
    <row r="1600">
      <c r="A1600" s="19" t="n"/>
      <c r="E1600" s="20" t="n"/>
      <c r="I1600" s="14" t="n"/>
      <c r="J1600" s="21" t="n"/>
      <c r="N1600" s="22" t="n"/>
    </row>
    <row r="1601">
      <c r="A1601" s="19" t="n"/>
      <c r="E1601" s="20" t="n"/>
      <c r="I1601" s="14" t="n"/>
      <c r="J1601" s="21" t="n"/>
      <c r="N1601" s="22" t="n"/>
    </row>
    <row r="1602">
      <c r="A1602" s="19" t="n"/>
      <c r="E1602" s="20" t="n"/>
      <c r="I1602" s="14" t="n"/>
      <c r="J1602" s="21" t="n"/>
      <c r="N1602" s="22" t="n"/>
    </row>
    <row r="1603">
      <c r="A1603" s="19" t="n"/>
      <c r="E1603" s="20" t="n"/>
      <c r="I1603" s="14" t="n"/>
      <c r="J1603" s="21" t="n"/>
      <c r="N1603" s="22" t="n"/>
    </row>
    <row r="1604">
      <c r="A1604" s="19" t="n"/>
      <c r="E1604" s="20" t="n"/>
      <c r="I1604" s="14" t="n"/>
      <c r="J1604" s="21" t="n"/>
      <c r="N1604" s="22" t="n"/>
    </row>
    <row r="1605">
      <c r="A1605" s="19" t="n"/>
      <c r="E1605" s="20" t="n"/>
      <c r="I1605" s="14" t="n"/>
      <c r="J1605" s="21" t="n"/>
      <c r="N1605" s="22" t="n"/>
    </row>
    <row r="1606">
      <c r="A1606" s="19" t="n"/>
      <c r="E1606" s="20" t="n"/>
      <c r="I1606" s="14" t="n"/>
      <c r="J1606" s="21" t="n"/>
      <c r="N1606" s="22" t="n"/>
    </row>
    <row r="1607">
      <c r="A1607" s="19" t="n"/>
      <c r="E1607" s="20" t="n"/>
      <c r="I1607" s="14" t="n"/>
      <c r="J1607" s="21" t="n"/>
      <c r="N1607" s="22" t="n"/>
    </row>
    <row r="1608">
      <c r="A1608" s="19" t="n"/>
      <c r="E1608" s="20" t="n"/>
      <c r="I1608" s="14" t="n"/>
      <c r="J1608" s="21" t="n"/>
      <c r="N1608" s="22" t="n"/>
    </row>
    <row r="1609">
      <c r="A1609" s="19" t="n"/>
      <c r="E1609" s="20" t="n"/>
      <c r="I1609" s="14" t="n"/>
      <c r="J1609" s="21" t="n"/>
      <c r="N1609" s="22" t="n"/>
    </row>
    <row r="1610">
      <c r="A1610" s="19" t="n"/>
      <c r="E1610" s="20" t="n"/>
      <c r="I1610" s="14" t="n"/>
      <c r="J1610" s="21" t="n"/>
      <c r="N1610" s="22" t="n"/>
    </row>
    <row r="1611">
      <c r="A1611" s="19" t="n"/>
      <c r="E1611" s="20" t="n"/>
      <c r="I1611" s="14" t="n"/>
      <c r="J1611" s="21" t="n"/>
      <c r="N1611" s="22" t="n"/>
    </row>
    <row r="1612">
      <c r="A1612" s="19" t="n"/>
      <c r="E1612" s="20" t="n"/>
      <c r="I1612" s="14" t="n"/>
      <c r="J1612" s="21" t="n"/>
      <c r="N1612" s="22" t="n"/>
    </row>
    <row r="1613">
      <c r="A1613" s="19" t="n"/>
      <c r="E1613" s="20" t="n"/>
      <c r="I1613" s="14" t="n"/>
      <c r="J1613" s="21" t="n"/>
      <c r="N1613" s="22" t="n"/>
    </row>
    <row r="1614">
      <c r="A1614" s="19" t="n"/>
      <c r="E1614" s="20" t="n"/>
      <c r="I1614" s="14" t="n"/>
      <c r="J1614" s="21" t="n"/>
      <c r="N1614" s="22" t="n"/>
    </row>
    <row r="1615">
      <c r="A1615" s="19" t="n"/>
      <c r="E1615" s="20" t="n"/>
      <c r="I1615" s="14" t="n"/>
      <c r="J1615" s="21" t="n"/>
      <c r="N1615" s="22" t="n"/>
    </row>
    <row r="1616">
      <c r="A1616" s="19" t="n"/>
      <c r="E1616" s="20" t="n"/>
      <c r="I1616" s="14" t="n"/>
      <c r="J1616" s="21" t="n"/>
      <c r="N1616" s="22" t="n"/>
    </row>
    <row r="1617">
      <c r="A1617" s="19" t="n"/>
      <c r="E1617" s="20" t="n"/>
      <c r="I1617" s="14" t="n"/>
      <c r="J1617" s="21" t="n"/>
      <c r="N1617" s="22" t="n"/>
    </row>
    <row r="1618">
      <c r="A1618" s="19" t="n"/>
      <c r="E1618" s="20" t="n"/>
      <c r="I1618" s="14" t="n"/>
      <c r="J1618" s="21" t="n"/>
      <c r="N1618" s="22" t="n"/>
    </row>
    <row r="1619">
      <c r="A1619" s="19" t="n"/>
      <c r="E1619" s="20" t="n"/>
      <c r="I1619" s="14" t="n"/>
      <c r="J1619" s="21" t="n"/>
      <c r="N1619" s="22" t="n"/>
    </row>
    <row r="1620">
      <c r="A1620" s="19" t="n"/>
      <c r="E1620" s="20" t="n"/>
      <c r="I1620" s="14" t="n"/>
      <c r="J1620" s="21" t="n"/>
      <c r="N1620" s="22" t="n"/>
    </row>
    <row r="1621">
      <c r="A1621" s="19" t="n"/>
      <c r="E1621" s="20" t="n"/>
      <c r="I1621" s="14" t="n"/>
      <c r="J1621" s="21" t="n"/>
      <c r="N1621" s="22" t="n"/>
    </row>
    <row r="1622">
      <c r="A1622" s="19" t="n"/>
      <c r="E1622" s="20" t="n"/>
      <c r="I1622" s="14" t="n"/>
      <c r="J1622" s="21" t="n"/>
      <c r="N1622" s="22" t="n"/>
    </row>
    <row r="1623">
      <c r="A1623" s="19" t="n"/>
      <c r="E1623" s="20" t="n"/>
      <c r="I1623" s="14" t="n"/>
      <c r="J1623" s="21" t="n"/>
      <c r="N1623" s="22" t="n"/>
    </row>
    <row r="1624">
      <c r="A1624" s="19" t="n"/>
      <c r="E1624" s="20" t="n"/>
      <c r="I1624" s="14" t="n"/>
      <c r="J1624" s="21" t="n"/>
      <c r="N1624" s="22" t="n"/>
    </row>
    <row r="1625">
      <c r="A1625" s="19" t="n"/>
      <c r="E1625" s="20" t="n"/>
      <c r="I1625" s="14" t="n"/>
      <c r="J1625" s="21" t="n"/>
      <c r="N1625" s="22" t="n"/>
    </row>
    <row r="1626">
      <c r="A1626" s="19" t="n"/>
      <c r="E1626" s="20" t="n"/>
      <c r="I1626" s="14" t="n"/>
      <c r="J1626" s="21" t="n"/>
      <c r="N1626" s="22" t="n"/>
    </row>
    <row r="1627">
      <c r="A1627" s="19" t="n"/>
      <c r="E1627" s="20" t="n"/>
      <c r="I1627" s="14" t="n"/>
      <c r="J1627" s="21" t="n"/>
      <c r="N1627" s="22" t="n"/>
    </row>
    <row r="1628">
      <c r="A1628" s="19" t="n"/>
      <c r="E1628" s="20" t="n"/>
      <c r="I1628" s="14" t="n"/>
      <c r="J1628" s="21" t="n"/>
      <c r="N1628" s="22" t="n"/>
    </row>
    <row r="1629">
      <c r="A1629" s="19" t="n"/>
      <c r="E1629" s="20" t="n"/>
      <c r="I1629" s="14" t="n"/>
      <c r="J1629" s="21" t="n"/>
      <c r="N1629" s="22" t="n"/>
    </row>
    <row r="1630">
      <c r="A1630" s="19" t="n"/>
      <c r="E1630" s="20" t="n"/>
      <c r="I1630" s="14" t="n"/>
      <c r="J1630" s="21" t="n"/>
      <c r="N1630" s="22" t="n"/>
    </row>
    <row r="1631">
      <c r="A1631" s="19" t="n"/>
      <c r="E1631" s="20" t="n"/>
      <c r="I1631" s="14" t="n"/>
      <c r="J1631" s="21" t="n"/>
      <c r="N1631" s="22" t="n"/>
    </row>
    <row r="1632">
      <c r="A1632" s="19" t="n"/>
      <c r="E1632" s="20" t="n"/>
      <c r="I1632" s="14" t="n"/>
      <c r="J1632" s="21" t="n"/>
      <c r="N1632" s="22" t="n"/>
    </row>
    <row r="1633">
      <c r="A1633" s="19" t="n"/>
      <c r="E1633" s="20" t="n"/>
      <c r="I1633" s="14" t="n"/>
      <c r="J1633" s="21" t="n"/>
      <c r="N1633" s="22" t="n"/>
    </row>
    <row r="1634">
      <c r="A1634" s="19" t="n"/>
      <c r="E1634" s="20" t="n"/>
      <c r="I1634" s="14" t="n"/>
      <c r="J1634" s="21" t="n"/>
      <c r="N1634" s="22" t="n"/>
    </row>
    <row r="1635">
      <c r="A1635" s="19" t="n"/>
      <c r="E1635" s="20" t="n"/>
      <c r="I1635" s="14" t="n"/>
      <c r="J1635" s="21" t="n"/>
      <c r="N1635" s="22" t="n"/>
    </row>
    <row r="1636">
      <c r="A1636" s="19" t="n"/>
      <c r="E1636" s="20" t="n"/>
      <c r="I1636" s="14" t="n"/>
      <c r="J1636" s="21" t="n"/>
      <c r="N1636" s="22" t="n"/>
    </row>
    <row r="1637">
      <c r="A1637" s="19" t="n"/>
      <c r="E1637" s="20" t="n"/>
      <c r="I1637" s="14" t="n"/>
      <c r="J1637" s="21" t="n"/>
      <c r="N1637" s="22" t="n"/>
    </row>
    <row r="1638">
      <c r="A1638" s="19" t="n"/>
      <c r="E1638" s="20" t="n"/>
      <c r="I1638" s="14" t="n"/>
      <c r="J1638" s="21" t="n"/>
      <c r="N1638" s="22" t="n"/>
    </row>
    <row r="1639">
      <c r="A1639" s="19" t="n"/>
      <c r="E1639" s="20" t="n"/>
      <c r="I1639" s="14" t="n"/>
      <c r="J1639" s="21" t="n"/>
      <c r="N1639" s="22" t="n"/>
    </row>
    <row r="1640">
      <c r="A1640" s="19" t="n"/>
      <c r="E1640" s="20" t="n"/>
      <c r="I1640" s="14" t="n"/>
      <c r="J1640" s="21" t="n"/>
      <c r="N1640" s="22" t="n"/>
    </row>
    <row r="1641">
      <c r="A1641" s="19" t="n"/>
      <c r="E1641" s="20" t="n"/>
      <c r="I1641" s="14" t="n"/>
      <c r="J1641" s="21" t="n"/>
      <c r="N1641" s="22" t="n"/>
    </row>
    <row r="1642">
      <c r="A1642" s="19" t="n"/>
      <c r="E1642" s="20" t="n"/>
      <c r="I1642" s="14" t="n"/>
      <c r="J1642" s="21" t="n"/>
      <c r="N1642" s="22" t="n"/>
    </row>
    <row r="1643">
      <c r="A1643" s="19" t="n"/>
      <c r="E1643" s="20" t="n"/>
      <c r="I1643" s="14" t="n"/>
      <c r="J1643" s="21" t="n"/>
      <c r="N1643" s="22" t="n"/>
    </row>
    <row r="1644">
      <c r="A1644" s="19" t="n"/>
      <c r="E1644" s="20" t="n"/>
      <c r="I1644" s="14" t="n"/>
      <c r="J1644" s="21" t="n"/>
      <c r="N1644" s="22" t="n"/>
    </row>
    <row r="1645">
      <c r="A1645" s="19" t="n"/>
      <c r="E1645" s="20" t="n"/>
      <c r="I1645" s="14" t="n"/>
      <c r="J1645" s="21" t="n"/>
      <c r="N1645" s="22" t="n"/>
    </row>
    <row r="1646">
      <c r="A1646" s="19" t="n"/>
      <c r="E1646" s="20" t="n"/>
      <c r="I1646" s="14" t="n"/>
      <c r="J1646" s="21" t="n"/>
      <c r="N1646" s="22" t="n"/>
    </row>
    <row r="1647">
      <c r="A1647" s="19" t="n"/>
      <c r="E1647" s="20" t="n"/>
      <c r="I1647" s="14" t="n"/>
      <c r="J1647" s="21" t="n"/>
      <c r="N1647" s="22" t="n"/>
    </row>
    <row r="1648">
      <c r="A1648" s="19" t="n"/>
      <c r="E1648" s="20" t="n"/>
      <c r="I1648" s="14" t="n"/>
      <c r="J1648" s="21" t="n"/>
      <c r="N1648" s="22" t="n"/>
    </row>
    <row r="1649">
      <c r="A1649" s="19" t="n"/>
      <c r="E1649" s="20" t="n"/>
      <c r="I1649" s="14" t="n"/>
      <c r="J1649" s="21" t="n"/>
      <c r="N1649" s="22" t="n"/>
    </row>
    <row r="1650">
      <c r="A1650" s="19" t="n"/>
      <c r="E1650" s="20" t="n"/>
      <c r="I1650" s="14" t="n"/>
      <c r="J1650" s="21" t="n"/>
      <c r="N1650" s="22" t="n"/>
    </row>
    <row r="1651">
      <c r="A1651" s="19" t="n"/>
      <c r="E1651" s="20" t="n"/>
      <c r="I1651" s="14" t="n"/>
      <c r="J1651" s="21" t="n"/>
      <c r="N1651" s="22" t="n"/>
    </row>
    <row r="1652">
      <c r="A1652" s="19" t="n"/>
      <c r="E1652" s="20" t="n"/>
      <c r="I1652" s="14" t="n"/>
      <c r="J1652" s="21" t="n"/>
      <c r="N1652" s="22" t="n"/>
    </row>
    <row r="1653">
      <c r="A1653" s="19" t="n"/>
      <c r="E1653" s="20" t="n"/>
      <c r="I1653" s="14" t="n"/>
      <c r="J1653" s="21" t="n"/>
      <c r="N1653" s="22" t="n"/>
    </row>
    <row r="1654">
      <c r="A1654" s="19" t="n"/>
      <c r="E1654" s="20" t="n"/>
      <c r="I1654" s="14" t="n"/>
      <c r="J1654" s="21" t="n"/>
      <c r="N1654" s="22" t="n"/>
    </row>
    <row r="1655">
      <c r="A1655" s="19" t="n"/>
      <c r="E1655" s="20" t="n"/>
      <c r="I1655" s="14" t="n"/>
      <c r="J1655" s="21" t="n"/>
      <c r="N1655" s="22" t="n"/>
    </row>
    <row r="1656">
      <c r="A1656" s="19" t="n"/>
      <c r="E1656" s="20" t="n"/>
      <c r="I1656" s="14" t="n"/>
      <c r="J1656" s="21" t="n"/>
      <c r="N1656" s="22" t="n"/>
    </row>
    <row r="1657">
      <c r="A1657" s="19" t="n"/>
      <c r="E1657" s="20" t="n"/>
      <c r="I1657" s="14" t="n"/>
      <c r="J1657" s="21" t="n"/>
      <c r="N1657" s="22" t="n"/>
    </row>
    <row r="1658">
      <c r="A1658" s="19" t="n"/>
      <c r="E1658" s="20" t="n"/>
      <c r="I1658" s="14" t="n"/>
      <c r="J1658" s="21" t="n"/>
      <c r="N1658" s="22" t="n"/>
    </row>
    <row r="1659">
      <c r="A1659" s="19" t="n"/>
      <c r="E1659" s="20" t="n"/>
      <c r="I1659" s="14" t="n"/>
      <c r="J1659" s="21" t="n"/>
      <c r="N1659" s="22" t="n"/>
    </row>
    <row r="1660">
      <c r="A1660" s="19" t="n"/>
      <c r="E1660" s="20" t="n"/>
      <c r="I1660" s="14" t="n"/>
      <c r="J1660" s="21" t="n"/>
      <c r="N1660" s="22" t="n"/>
    </row>
    <row r="1661">
      <c r="A1661" s="19" t="n"/>
      <c r="E1661" s="20" t="n"/>
      <c r="I1661" s="14" t="n"/>
      <c r="J1661" s="21" t="n"/>
      <c r="N1661" s="22" t="n"/>
    </row>
    <row r="1662">
      <c r="A1662" s="19" t="n"/>
      <c r="E1662" s="20" t="n"/>
      <c r="I1662" s="14" t="n"/>
      <c r="J1662" s="21" t="n"/>
      <c r="N1662" s="22" t="n"/>
    </row>
    <row r="1663">
      <c r="A1663" s="19" t="n"/>
      <c r="E1663" s="20" t="n"/>
      <c r="I1663" s="14" t="n"/>
      <c r="J1663" s="21" t="n"/>
      <c r="N1663" s="22" t="n"/>
    </row>
    <row r="1664">
      <c r="A1664" s="19" t="n"/>
      <c r="E1664" s="20" t="n"/>
      <c r="I1664" s="14" t="n"/>
      <c r="J1664" s="21" t="n"/>
      <c r="N1664" s="22" t="n"/>
    </row>
    <row r="1665">
      <c r="A1665" s="19" t="n"/>
      <c r="E1665" s="20" t="n"/>
      <c r="I1665" s="14" t="n"/>
      <c r="J1665" s="21" t="n"/>
      <c r="N1665" s="22" t="n"/>
    </row>
    <row r="1666">
      <c r="A1666" s="19" t="n"/>
      <c r="E1666" s="20" t="n"/>
      <c r="I1666" s="14" t="n"/>
      <c r="J1666" s="21" t="n"/>
      <c r="N1666" s="22" t="n"/>
    </row>
    <row r="1667">
      <c r="A1667" s="19" t="n"/>
      <c r="E1667" s="20" t="n"/>
      <c r="I1667" s="14" t="n"/>
      <c r="J1667" s="21" t="n"/>
      <c r="N1667" s="22" t="n"/>
    </row>
    <row r="1668">
      <c r="A1668" s="19" t="n"/>
      <c r="E1668" s="20" t="n"/>
      <c r="I1668" s="14" t="n"/>
      <c r="J1668" s="21" t="n"/>
      <c r="N1668" s="22" t="n"/>
    </row>
    <row r="1669">
      <c r="A1669" s="19" t="n"/>
      <c r="E1669" s="20" t="n"/>
      <c r="I1669" s="14" t="n"/>
      <c r="J1669" s="21" t="n"/>
      <c r="N1669" s="22" t="n"/>
    </row>
    <row r="1670">
      <c r="A1670" s="19" t="n"/>
      <c r="E1670" s="20" t="n"/>
      <c r="I1670" s="14" t="n"/>
      <c r="J1670" s="21" t="n"/>
      <c r="N1670" s="22" t="n"/>
    </row>
    <row r="1671">
      <c r="A1671" s="19" t="n"/>
      <c r="E1671" s="20" t="n"/>
      <c r="I1671" s="14" t="n"/>
      <c r="J1671" s="21" t="n"/>
      <c r="N1671" s="22" t="n"/>
    </row>
    <row r="1672">
      <c r="A1672" s="19" t="n"/>
      <c r="E1672" s="20" t="n"/>
      <c r="I1672" s="14" t="n"/>
      <c r="J1672" s="21" t="n"/>
      <c r="N1672" s="22" t="n"/>
    </row>
    <row r="1673">
      <c r="A1673" s="19" t="n"/>
      <c r="E1673" s="20" t="n"/>
      <c r="I1673" s="14" t="n"/>
      <c r="J1673" s="21" t="n"/>
      <c r="N1673" s="22" t="n"/>
    </row>
    <row r="1674">
      <c r="A1674" s="19" t="n"/>
      <c r="E1674" s="20" t="n"/>
      <c r="I1674" s="14" t="n"/>
      <c r="J1674" s="21" t="n"/>
      <c r="N1674" s="22" t="n"/>
    </row>
    <row r="1675">
      <c r="A1675" s="19" t="n"/>
      <c r="E1675" s="20" t="n"/>
      <c r="I1675" s="14" t="n"/>
      <c r="J1675" s="21" t="n"/>
      <c r="N1675" s="22" t="n"/>
    </row>
    <row r="1676">
      <c r="A1676" s="19" t="n"/>
      <c r="E1676" s="20" t="n"/>
      <c r="I1676" s="14" t="n"/>
      <c r="J1676" s="21" t="n"/>
      <c r="N1676" s="22" t="n"/>
    </row>
    <row r="1677">
      <c r="A1677" s="19" t="n"/>
      <c r="E1677" s="20" t="n"/>
      <c r="I1677" s="14" t="n"/>
      <c r="J1677" s="21" t="n"/>
      <c r="N1677" s="22" t="n"/>
    </row>
    <row r="1678">
      <c r="A1678" s="19" t="n"/>
      <c r="E1678" s="20" t="n"/>
      <c r="I1678" s="14" t="n"/>
      <c r="J1678" s="21" t="n"/>
      <c r="N1678" s="22" t="n"/>
    </row>
    <row r="1679">
      <c r="A1679" s="19" t="n"/>
      <c r="E1679" s="20" t="n"/>
      <c r="I1679" s="14" t="n"/>
      <c r="J1679" s="21" t="n"/>
      <c r="N1679" s="22" t="n"/>
    </row>
    <row r="1680">
      <c r="A1680" s="19" t="n"/>
      <c r="E1680" s="20" t="n"/>
      <c r="I1680" s="14" t="n"/>
      <c r="J1680" s="21" t="n"/>
      <c r="N1680" s="22" t="n"/>
    </row>
    <row r="1681">
      <c r="A1681" s="19" t="n"/>
      <c r="E1681" s="20" t="n"/>
      <c r="I1681" s="14" t="n"/>
      <c r="J1681" s="21" t="n"/>
      <c r="N1681" s="22" t="n"/>
    </row>
    <row r="1682">
      <c r="A1682" s="19" t="n"/>
      <c r="E1682" s="20" t="n"/>
      <c r="I1682" s="14" t="n"/>
      <c r="J1682" s="21" t="n"/>
      <c r="N1682" s="22" t="n"/>
    </row>
    <row r="1683">
      <c r="A1683" s="19" t="n"/>
      <c r="E1683" s="20" t="n"/>
      <c r="I1683" s="14" t="n"/>
      <c r="J1683" s="21" t="n"/>
      <c r="N1683" s="22" t="n"/>
    </row>
    <row r="1684">
      <c r="A1684" s="19" t="n"/>
      <c r="E1684" s="20" t="n"/>
      <c r="I1684" s="14" t="n"/>
      <c r="J1684" s="21" t="n"/>
      <c r="N1684" s="22" t="n"/>
    </row>
    <row r="1685">
      <c r="A1685" s="19" t="n"/>
      <c r="E1685" s="20" t="n"/>
      <c r="I1685" s="14" t="n"/>
      <c r="J1685" s="21" t="n"/>
      <c r="N1685" s="22" t="n"/>
    </row>
    <row r="1686">
      <c r="A1686" s="19" t="n"/>
      <c r="E1686" s="20" t="n"/>
      <c r="I1686" s="14" t="n"/>
      <c r="J1686" s="21" t="n"/>
      <c r="N1686" s="22" t="n"/>
    </row>
    <row r="1687">
      <c r="A1687" s="19" t="n"/>
      <c r="E1687" s="20" t="n"/>
      <c r="I1687" s="14" t="n"/>
      <c r="J1687" s="21" t="n"/>
      <c r="N1687" s="22" t="n"/>
    </row>
    <row r="1688">
      <c r="A1688" s="19" t="n"/>
      <c r="E1688" s="20" t="n"/>
      <c r="I1688" s="14" t="n"/>
      <c r="J1688" s="21" t="n"/>
      <c r="N1688" s="22" t="n"/>
    </row>
    <row r="1689">
      <c r="A1689" s="19" t="n"/>
      <c r="E1689" s="20" t="n"/>
      <c r="I1689" s="14" t="n"/>
      <c r="J1689" s="21" t="n"/>
      <c r="N1689" s="22" t="n"/>
    </row>
    <row r="1690">
      <c r="A1690" s="19" t="n"/>
      <c r="E1690" s="20" t="n"/>
      <c r="I1690" s="14" t="n"/>
      <c r="J1690" s="21" t="n"/>
      <c r="N1690" s="22" t="n"/>
    </row>
    <row r="1691">
      <c r="A1691" s="19" t="n"/>
      <c r="E1691" s="20" t="n"/>
      <c r="I1691" s="14" t="n"/>
      <c r="J1691" s="21" t="n"/>
      <c r="N1691" s="22" t="n"/>
    </row>
    <row r="1692">
      <c r="A1692" s="19" t="n"/>
      <c r="E1692" s="20" t="n"/>
      <c r="I1692" s="14" t="n"/>
      <c r="J1692" s="21" t="n"/>
      <c r="N1692" s="22" t="n"/>
    </row>
    <row r="1693">
      <c r="A1693" s="19" t="n"/>
      <c r="E1693" s="20" t="n"/>
      <c r="I1693" s="14" t="n"/>
      <c r="J1693" s="21" t="n"/>
      <c r="N1693" s="22" t="n"/>
    </row>
    <row r="1694">
      <c r="A1694" s="19" t="n"/>
      <c r="E1694" s="20" t="n"/>
      <c r="I1694" s="14" t="n"/>
      <c r="J1694" s="21" t="n"/>
      <c r="N1694" s="22" t="n"/>
    </row>
    <row r="1695">
      <c r="A1695" s="19" t="n"/>
      <c r="E1695" s="20" t="n"/>
      <c r="I1695" s="14" t="n"/>
      <c r="J1695" s="21" t="n"/>
      <c r="N1695" s="22" t="n"/>
    </row>
    <row r="1696">
      <c r="A1696" s="19" t="n"/>
      <c r="E1696" s="20" t="n"/>
      <c r="I1696" s="14" t="n"/>
      <c r="J1696" s="21" t="n"/>
      <c r="N1696" s="22" t="n"/>
    </row>
    <row r="1697">
      <c r="A1697" s="19" t="n"/>
      <c r="E1697" s="20" t="n"/>
      <c r="I1697" s="14" t="n"/>
      <c r="J1697" s="21" t="n"/>
      <c r="N1697" s="22" t="n"/>
    </row>
    <row r="1698">
      <c r="A1698" s="19" t="n"/>
      <c r="E1698" s="20" t="n"/>
      <c r="I1698" s="14" t="n"/>
      <c r="J1698" s="21" t="n"/>
      <c r="N1698" s="22" t="n"/>
    </row>
    <row r="1699">
      <c r="A1699" s="19" t="n"/>
      <c r="E1699" s="20" t="n"/>
      <c r="I1699" s="14" t="n"/>
      <c r="J1699" s="21" t="n"/>
      <c r="N1699" s="22" t="n"/>
    </row>
    <row r="1700">
      <c r="A1700" s="19" t="n"/>
      <c r="E1700" s="20" t="n"/>
      <c r="I1700" s="14" t="n"/>
      <c r="J1700" s="21" t="n"/>
      <c r="N1700" s="22" t="n"/>
    </row>
    <row r="1701">
      <c r="A1701" s="19" t="n"/>
      <c r="E1701" s="20" t="n"/>
      <c r="I1701" s="14" t="n"/>
      <c r="J1701" s="21" t="n"/>
      <c r="N1701" s="22" t="n"/>
    </row>
    <row r="1702">
      <c r="A1702" s="19" t="n"/>
      <c r="E1702" s="20" t="n"/>
      <c r="I1702" s="14" t="n"/>
      <c r="J1702" s="21" t="n"/>
      <c r="N1702" s="22" t="n"/>
    </row>
    <row r="1703">
      <c r="A1703" s="19" t="n"/>
      <c r="E1703" s="20" t="n"/>
      <c r="I1703" s="14" t="n"/>
      <c r="J1703" s="21" t="n"/>
      <c r="N1703" s="22" t="n"/>
    </row>
    <row r="1704">
      <c r="A1704" s="19" t="n"/>
      <c r="E1704" s="20" t="n"/>
      <c r="I1704" s="14" t="n"/>
      <c r="J1704" s="21" t="n"/>
      <c r="N1704" s="22" t="n"/>
    </row>
    <row r="1705">
      <c r="A1705" s="19" t="n"/>
      <c r="E1705" s="20" t="n"/>
      <c r="I1705" s="14" t="n"/>
      <c r="J1705" s="21" t="n"/>
      <c r="N1705" s="22" t="n"/>
    </row>
    <row r="1706">
      <c r="A1706" s="19" t="n"/>
      <c r="E1706" s="20" t="n"/>
      <c r="I1706" s="14" t="n"/>
      <c r="J1706" s="21" t="n"/>
      <c r="N1706" s="22" t="n"/>
    </row>
    <row r="1707">
      <c r="A1707" s="19" t="n"/>
      <c r="E1707" s="20" t="n"/>
      <c r="I1707" s="14" t="n"/>
      <c r="J1707" s="21" t="n"/>
      <c r="N1707" s="22" t="n"/>
    </row>
    <row r="1708">
      <c r="A1708" s="19" t="n"/>
      <c r="E1708" s="20" t="n"/>
      <c r="I1708" s="14" t="n"/>
      <c r="J1708" s="21" t="n"/>
      <c r="N1708" s="22" t="n"/>
    </row>
    <row r="1709">
      <c r="A1709" s="19" t="n"/>
      <c r="E1709" s="20" t="n"/>
      <c r="I1709" s="14" t="n"/>
      <c r="J1709" s="21" t="n"/>
      <c r="N1709" s="22" t="n"/>
    </row>
    <row r="1710">
      <c r="A1710" s="19" t="n"/>
      <c r="E1710" s="20" t="n"/>
      <c r="I1710" s="14" t="n"/>
      <c r="J1710" s="21" t="n"/>
      <c r="N1710" s="22" t="n"/>
    </row>
    <row r="1711">
      <c r="A1711" s="19" t="n"/>
      <c r="E1711" s="20" t="n"/>
      <c r="I1711" s="14" t="n"/>
      <c r="J1711" s="21" t="n"/>
      <c r="N1711" s="22" t="n"/>
    </row>
    <row r="1712">
      <c r="A1712" s="19" t="n"/>
      <c r="E1712" s="20" t="n"/>
      <c r="I1712" s="14" t="n"/>
      <c r="J1712" s="21" t="n"/>
      <c r="N1712" s="22" t="n"/>
    </row>
    <row r="1713">
      <c r="A1713" s="19" t="n"/>
      <c r="E1713" s="20" t="n"/>
      <c r="I1713" s="14" t="n"/>
      <c r="J1713" s="21" t="n"/>
      <c r="N1713" s="22" t="n"/>
    </row>
    <row r="1714">
      <c r="A1714" s="19" t="n"/>
      <c r="E1714" s="20" t="n"/>
      <c r="I1714" s="14" t="n"/>
      <c r="J1714" s="21" t="n"/>
      <c r="N1714" s="22" t="n"/>
    </row>
    <row r="1715">
      <c r="A1715" s="19" t="n"/>
      <c r="E1715" s="20" t="n"/>
      <c r="I1715" s="14" t="n"/>
      <c r="J1715" s="21" t="n"/>
      <c r="N1715" s="22" t="n"/>
    </row>
    <row r="1716">
      <c r="A1716" s="19" t="n"/>
      <c r="E1716" s="20" t="n"/>
      <c r="I1716" s="14" t="n"/>
      <c r="J1716" s="21" t="n"/>
      <c r="N1716" s="22" t="n"/>
    </row>
    <row r="1717">
      <c r="A1717" s="19" t="n"/>
      <c r="E1717" s="20" t="n"/>
      <c r="I1717" s="14" t="n"/>
      <c r="J1717" s="21" t="n"/>
      <c r="N1717" s="22" t="n"/>
    </row>
    <row r="1718">
      <c r="A1718" s="19" t="n"/>
      <c r="E1718" s="20" t="n"/>
      <c r="I1718" s="14" t="n"/>
      <c r="J1718" s="21" t="n"/>
      <c r="N1718" s="22" t="n"/>
    </row>
    <row r="1719">
      <c r="A1719" s="19" t="n"/>
      <c r="E1719" s="20" t="n"/>
      <c r="I1719" s="14" t="n"/>
      <c r="J1719" s="21" t="n"/>
      <c r="N1719" s="22" t="n"/>
    </row>
    <row r="1720">
      <c r="A1720" s="19" t="n"/>
      <c r="E1720" s="20" t="n"/>
      <c r="I1720" s="14" t="n"/>
      <c r="J1720" s="21" t="n"/>
      <c r="N1720" s="22" t="n"/>
    </row>
    <row r="1721">
      <c r="A1721" s="19" t="n"/>
      <c r="E1721" s="20" t="n"/>
      <c r="I1721" s="14" t="n"/>
      <c r="J1721" s="21" t="n"/>
      <c r="N1721" s="22" t="n"/>
    </row>
    <row r="1722">
      <c r="A1722" s="19" t="n"/>
      <c r="E1722" s="20" t="n"/>
      <c r="I1722" s="14" t="n"/>
      <c r="J1722" s="21" t="n"/>
      <c r="N1722" s="22" t="n"/>
    </row>
    <row r="1723">
      <c r="A1723" s="19" t="n"/>
      <c r="E1723" s="20" t="n"/>
      <c r="I1723" s="14" t="n"/>
      <c r="J1723" s="21" t="n"/>
      <c r="N1723" s="22" t="n"/>
    </row>
    <row r="1724">
      <c r="A1724" s="19" t="n"/>
      <c r="E1724" s="20" t="n"/>
      <c r="I1724" s="14" t="n"/>
      <c r="J1724" s="21" t="n"/>
      <c r="N1724" s="22" t="n"/>
    </row>
    <row r="1725">
      <c r="A1725" s="19" t="n"/>
      <c r="E1725" s="20" t="n"/>
      <c r="I1725" s="14" t="n"/>
      <c r="J1725" s="21" t="n"/>
      <c r="N1725" s="22" t="n"/>
    </row>
    <row r="1726">
      <c r="A1726" s="19" t="n"/>
      <c r="E1726" s="20" t="n"/>
      <c r="I1726" s="14" t="n"/>
      <c r="J1726" s="21" t="n"/>
      <c r="N1726" s="22" t="n"/>
    </row>
    <row r="1727">
      <c r="A1727" s="19" t="n"/>
      <c r="E1727" s="20" t="n"/>
      <c r="I1727" s="14" t="n"/>
      <c r="J1727" s="21" t="n"/>
      <c r="N1727" s="22" t="n"/>
    </row>
    <row r="1728">
      <c r="A1728" s="19" t="n"/>
      <c r="E1728" s="20" t="n"/>
      <c r="I1728" s="14" t="n"/>
      <c r="J1728" s="21" t="n"/>
      <c r="N1728" s="22" t="n"/>
    </row>
    <row r="1729">
      <c r="A1729" s="19" t="n"/>
      <c r="E1729" s="20" t="n"/>
      <c r="I1729" s="14" t="n"/>
      <c r="J1729" s="21" t="n"/>
      <c r="N1729" s="22" t="n"/>
    </row>
    <row r="1730">
      <c r="A1730" s="19" t="n"/>
      <c r="E1730" s="20" t="n"/>
      <c r="I1730" s="14" t="n"/>
      <c r="J1730" s="21" t="n"/>
      <c r="N1730" s="22" t="n"/>
    </row>
    <row r="1731">
      <c r="A1731" s="19" t="n"/>
      <c r="E1731" s="20" t="n"/>
      <c r="I1731" s="14" t="n"/>
      <c r="J1731" s="21" t="n"/>
      <c r="N1731" s="22" t="n"/>
    </row>
    <row r="1732">
      <c r="A1732" s="19" t="n"/>
      <c r="E1732" s="20" t="n"/>
      <c r="I1732" s="14" t="n"/>
      <c r="J1732" s="21" t="n"/>
      <c r="N1732" s="22" t="n"/>
    </row>
    <row r="1733">
      <c r="A1733" s="19" t="n"/>
      <c r="E1733" s="20" t="n"/>
      <c r="I1733" s="14" t="n"/>
      <c r="J1733" s="21" t="n"/>
      <c r="N1733" s="22" t="n"/>
    </row>
    <row r="1734">
      <c r="A1734" s="19" t="n"/>
      <c r="E1734" s="20" t="n"/>
      <c r="I1734" s="14" t="n"/>
      <c r="J1734" s="21" t="n"/>
      <c r="N1734" s="22" t="n"/>
    </row>
    <row r="1735">
      <c r="A1735" s="19" t="n"/>
      <c r="E1735" s="20" t="n"/>
      <c r="I1735" s="14" t="n"/>
      <c r="J1735" s="21" t="n"/>
      <c r="N1735" s="22" t="n"/>
    </row>
    <row r="1736">
      <c r="A1736" s="19" t="n"/>
      <c r="E1736" s="20" t="n"/>
      <c r="I1736" s="14" t="n"/>
      <c r="J1736" s="21" t="n"/>
      <c r="N1736" s="22" t="n"/>
    </row>
    <row r="1737">
      <c r="A1737" s="19" t="n"/>
      <c r="E1737" s="20" t="n"/>
      <c r="I1737" s="14" t="n"/>
      <c r="J1737" s="21" t="n"/>
      <c r="N1737" s="22" t="n"/>
    </row>
    <row r="1738">
      <c r="A1738" s="19" t="n"/>
      <c r="E1738" s="20" t="n"/>
      <c r="I1738" s="14" t="n"/>
      <c r="J1738" s="21" t="n"/>
      <c r="N1738" s="22" t="n"/>
    </row>
    <row r="1739">
      <c r="A1739" s="19" t="n"/>
      <c r="E1739" s="20" t="n"/>
      <c r="I1739" s="14" t="n"/>
      <c r="J1739" s="21" t="n"/>
      <c r="N1739" s="22" t="n"/>
    </row>
    <row r="1740">
      <c r="A1740" s="19" t="n"/>
      <c r="E1740" s="20" t="n"/>
      <c r="I1740" s="14" t="n"/>
      <c r="J1740" s="21" t="n"/>
      <c r="N1740" s="22" t="n"/>
    </row>
    <row r="1741">
      <c r="A1741" s="19" t="n"/>
      <c r="E1741" s="20" t="n"/>
      <c r="I1741" s="14" t="n"/>
      <c r="J1741" s="21" t="n"/>
      <c r="N1741" s="22" t="n"/>
    </row>
    <row r="1742">
      <c r="A1742" s="19" t="n"/>
      <c r="E1742" s="20" t="n"/>
      <c r="I1742" s="14" t="n"/>
      <c r="J1742" s="21" t="n"/>
      <c r="N1742" s="22" t="n"/>
    </row>
    <row r="1743">
      <c r="A1743" s="19" t="n"/>
      <c r="E1743" s="20" t="n"/>
      <c r="I1743" s="14" t="n"/>
      <c r="J1743" s="21" t="n"/>
      <c r="N1743" s="22" t="n"/>
    </row>
    <row r="1744">
      <c r="A1744" s="19" t="n"/>
      <c r="E1744" s="20" t="n"/>
      <c r="I1744" s="14" t="n"/>
      <c r="J1744" s="21" t="n"/>
      <c r="N1744" s="22" t="n"/>
    </row>
    <row r="1745">
      <c r="A1745" s="19" t="n"/>
      <c r="E1745" s="20" t="n"/>
      <c r="I1745" s="14" t="n"/>
      <c r="J1745" s="21" t="n"/>
      <c r="N1745" s="22" t="n"/>
    </row>
    <row r="1746">
      <c r="A1746" s="19" t="n"/>
      <c r="E1746" s="20" t="n"/>
      <c r="I1746" s="14" t="n"/>
      <c r="J1746" s="21" t="n"/>
      <c r="N1746" s="22" t="n"/>
    </row>
    <row r="1747">
      <c r="A1747" s="19" t="n"/>
      <c r="E1747" s="20" t="n"/>
      <c r="I1747" s="14" t="n"/>
      <c r="J1747" s="21" t="n"/>
      <c r="N1747" s="22" t="n"/>
    </row>
    <row r="1748">
      <c r="A1748" s="19" t="n"/>
      <c r="E1748" s="20" t="n"/>
      <c r="I1748" s="14" t="n"/>
      <c r="J1748" s="21" t="n"/>
      <c r="N1748" s="22" t="n"/>
    </row>
    <row r="1749">
      <c r="A1749" s="19" t="n"/>
      <c r="E1749" s="20" t="n"/>
      <c r="I1749" s="14" t="n"/>
      <c r="J1749" s="21" t="n"/>
      <c r="N1749" s="22" t="n"/>
    </row>
    <row r="1750">
      <c r="A1750" s="19" t="n"/>
      <c r="E1750" s="20" t="n"/>
      <c r="I1750" s="14" t="n"/>
      <c r="J1750" s="21" t="n"/>
      <c r="N1750" s="22" t="n"/>
    </row>
    <row r="1751">
      <c r="A1751" s="19" t="n"/>
      <c r="E1751" s="20" t="n"/>
      <c r="I1751" s="14" t="n"/>
      <c r="J1751" s="21" t="n"/>
      <c r="N1751" s="22" t="n"/>
    </row>
    <row r="1752">
      <c r="A1752" s="19" t="n"/>
      <c r="E1752" s="20" t="n"/>
      <c r="I1752" s="14" t="n"/>
      <c r="J1752" s="21" t="n"/>
      <c r="N1752" s="22" t="n"/>
    </row>
    <row r="1753">
      <c r="A1753" s="19" t="n"/>
      <c r="E1753" s="20" t="n"/>
      <c r="I1753" s="14" t="n"/>
      <c r="J1753" s="21" t="n"/>
      <c r="N1753" s="22" t="n"/>
    </row>
    <row r="1754">
      <c r="A1754" s="19" t="n"/>
      <c r="E1754" s="20" t="n"/>
      <c r="I1754" s="14" t="n"/>
      <c r="J1754" s="21" t="n"/>
      <c r="N1754" s="22" t="n"/>
    </row>
    <row r="1755">
      <c r="A1755" s="19" t="n"/>
      <c r="E1755" s="20" t="n"/>
      <c r="I1755" s="14" t="n"/>
      <c r="J1755" s="21" t="n"/>
      <c r="N1755" s="22" t="n"/>
    </row>
    <row r="1756">
      <c r="A1756" s="19" t="n"/>
      <c r="E1756" s="20" t="n"/>
      <c r="I1756" s="14" t="n"/>
      <c r="J1756" s="21" t="n"/>
      <c r="N1756" s="22" t="n"/>
    </row>
    <row r="1757">
      <c r="A1757" s="19" t="n"/>
      <c r="E1757" s="20" t="n"/>
      <c r="I1757" s="14" t="n"/>
      <c r="J1757" s="21" t="n"/>
      <c r="N1757" s="22" t="n"/>
    </row>
    <row r="1758">
      <c r="A1758" s="19" t="n"/>
      <c r="E1758" s="20" t="n"/>
      <c r="I1758" s="14" t="n"/>
      <c r="J1758" s="21" t="n"/>
      <c r="N1758" s="22" t="n"/>
    </row>
    <row r="1759">
      <c r="A1759" s="19" t="n"/>
      <c r="E1759" s="20" t="n"/>
      <c r="I1759" s="14" t="n"/>
      <c r="J1759" s="21" t="n"/>
      <c r="N1759" s="22" t="n"/>
    </row>
    <row r="1760">
      <c r="A1760" s="19" t="n"/>
      <c r="E1760" s="20" t="n"/>
      <c r="I1760" s="14" t="n"/>
      <c r="J1760" s="21" t="n"/>
      <c r="N1760" s="22" t="n"/>
    </row>
    <row r="1761">
      <c r="A1761" s="19" t="n"/>
      <c r="E1761" s="20" t="n"/>
      <c r="I1761" s="14" t="n"/>
      <c r="J1761" s="21" t="n"/>
      <c r="N1761" s="22" t="n"/>
    </row>
    <row r="1762">
      <c r="A1762" s="19" t="n"/>
      <c r="E1762" s="20" t="n"/>
      <c r="I1762" s="14" t="n"/>
      <c r="J1762" s="21" t="n"/>
      <c r="N1762" s="22" t="n"/>
    </row>
    <row r="1763">
      <c r="A1763" s="19" t="n"/>
      <c r="E1763" s="20" t="n"/>
      <c r="I1763" s="14" t="n"/>
      <c r="J1763" s="21" t="n"/>
      <c r="N1763" s="22" t="n"/>
    </row>
    <row r="1764">
      <c r="A1764" s="19" t="n"/>
      <c r="E1764" s="20" t="n"/>
      <c r="I1764" s="14" t="n"/>
      <c r="J1764" s="21" t="n"/>
      <c r="N1764" s="22" t="n"/>
    </row>
    <row r="1765">
      <c r="A1765" s="19" t="n"/>
      <c r="E1765" s="20" t="n"/>
      <c r="I1765" s="14" t="n"/>
      <c r="J1765" s="21" t="n"/>
      <c r="N1765" s="22" t="n"/>
    </row>
    <row r="1766">
      <c r="A1766" s="19" t="n"/>
      <c r="E1766" s="20" t="n"/>
      <c r="I1766" s="14" t="n"/>
      <c r="J1766" s="21" t="n"/>
      <c r="N1766" s="22" t="n"/>
    </row>
    <row r="1767">
      <c r="A1767" s="19" t="n"/>
      <c r="E1767" s="20" t="n"/>
      <c r="I1767" s="14" t="n"/>
      <c r="J1767" s="21" t="n"/>
      <c r="N1767" s="22" t="n"/>
    </row>
    <row r="1768">
      <c r="A1768" s="19" t="n"/>
      <c r="E1768" s="20" t="n"/>
      <c r="I1768" s="14" t="n"/>
      <c r="J1768" s="21" t="n"/>
      <c r="N1768" s="22" t="n"/>
    </row>
    <row r="1769">
      <c r="A1769" s="19" t="n"/>
      <c r="E1769" s="20" t="n"/>
      <c r="I1769" s="14" t="n"/>
      <c r="J1769" s="21" t="n"/>
      <c r="N1769" s="22" t="n"/>
    </row>
    <row r="1770">
      <c r="A1770" s="19" t="n"/>
      <c r="E1770" s="20" t="n"/>
      <c r="I1770" s="14" t="n"/>
      <c r="J1770" s="21" t="n"/>
      <c r="N1770" s="22" t="n"/>
    </row>
    <row r="1771">
      <c r="A1771" s="19" t="n"/>
      <c r="E1771" s="20" t="n"/>
      <c r="I1771" s="14" t="n"/>
      <c r="J1771" s="21" t="n"/>
      <c r="N1771" s="22" t="n"/>
    </row>
    <row r="1772">
      <c r="A1772" s="19" t="n"/>
      <c r="E1772" s="20" t="n"/>
      <c r="I1772" s="14" t="n"/>
      <c r="J1772" s="21" t="n"/>
      <c r="N1772" s="22" t="n"/>
    </row>
    <row r="1773">
      <c r="A1773" s="19" t="n"/>
      <c r="E1773" s="20" t="n"/>
      <c r="I1773" s="14" t="n"/>
      <c r="J1773" s="21" t="n"/>
      <c r="N1773" s="22" t="n"/>
    </row>
    <row r="1774">
      <c r="A1774" s="19" t="n"/>
      <c r="E1774" s="20" t="n"/>
      <c r="I1774" s="14" t="n"/>
      <c r="J1774" s="21" t="n"/>
      <c r="N1774" s="22" t="n"/>
    </row>
    <row r="1775">
      <c r="A1775" s="19" t="n"/>
      <c r="E1775" s="20" t="n"/>
      <c r="I1775" s="14" t="n"/>
      <c r="J1775" s="21" t="n"/>
      <c r="N1775" s="22" t="n"/>
    </row>
    <row r="1776">
      <c r="A1776" s="19" t="n"/>
      <c r="E1776" s="20" t="n"/>
      <c r="I1776" s="14" t="n"/>
      <c r="J1776" s="21" t="n"/>
      <c r="N1776" s="22" t="n"/>
    </row>
    <row r="1777">
      <c r="A1777" s="19" t="n"/>
      <c r="E1777" s="20" t="n"/>
      <c r="I1777" s="14" t="n"/>
      <c r="J1777" s="21" t="n"/>
      <c r="N1777" s="22" t="n"/>
    </row>
    <row r="1778">
      <c r="A1778" s="19" t="n"/>
      <c r="E1778" s="20" t="n"/>
      <c r="I1778" s="14" t="n"/>
      <c r="J1778" s="21" t="n"/>
      <c r="N1778" s="22" t="n"/>
    </row>
    <row r="1779">
      <c r="A1779" s="19" t="n"/>
      <c r="E1779" s="20" t="n"/>
      <c r="I1779" s="14" t="n"/>
      <c r="J1779" s="21" t="n"/>
      <c r="N1779" s="22" t="n"/>
    </row>
    <row r="1780">
      <c r="A1780" s="19" t="n"/>
      <c r="E1780" s="20" t="n"/>
      <c r="I1780" s="14" t="n"/>
      <c r="J1780" s="21" t="n"/>
      <c r="N1780" s="22" t="n"/>
    </row>
    <row r="1781">
      <c r="A1781" s="19" t="n"/>
      <c r="E1781" s="20" t="n"/>
      <c r="I1781" s="14" t="n"/>
      <c r="J1781" s="21" t="n"/>
      <c r="N1781" s="22" t="n"/>
    </row>
    <row r="1782">
      <c r="A1782" s="19" t="n"/>
      <c r="E1782" s="20" t="n"/>
      <c r="I1782" s="14" t="n"/>
      <c r="J1782" s="21" t="n"/>
      <c r="N1782" s="22" t="n"/>
    </row>
    <row r="1783">
      <c r="A1783" s="19" t="n"/>
      <c r="E1783" s="20" t="n"/>
      <c r="I1783" s="14" t="n"/>
      <c r="J1783" s="21" t="n"/>
      <c r="N1783" s="22" t="n"/>
    </row>
    <row r="1784">
      <c r="A1784" s="19" t="n"/>
      <c r="E1784" s="20" t="n"/>
      <c r="I1784" s="14" t="n"/>
      <c r="J1784" s="21" t="n"/>
      <c r="N1784" s="22" t="n"/>
    </row>
    <row r="1785">
      <c r="A1785" s="19" t="n"/>
      <c r="E1785" s="20" t="n"/>
      <c r="I1785" s="14" t="n"/>
      <c r="J1785" s="21" t="n"/>
      <c r="N1785" s="22" t="n"/>
    </row>
    <row r="1786">
      <c r="A1786" s="19" t="n"/>
      <c r="E1786" s="20" t="n"/>
      <c r="I1786" s="14" t="n"/>
      <c r="J1786" s="21" t="n"/>
      <c r="N1786" s="22" t="n"/>
    </row>
    <row r="1787">
      <c r="A1787" s="19" t="n"/>
      <c r="E1787" s="20" t="n"/>
      <c r="I1787" s="14" t="n"/>
      <c r="J1787" s="21" t="n"/>
      <c r="N1787" s="22" t="n"/>
    </row>
    <row r="1788">
      <c r="A1788" s="19" t="n"/>
      <c r="E1788" s="20" t="n"/>
      <c r="I1788" s="14" t="n"/>
      <c r="J1788" s="21" t="n"/>
      <c r="N1788" s="22" t="n"/>
    </row>
    <row r="1789">
      <c r="A1789" s="19" t="n"/>
      <c r="E1789" s="20" t="n"/>
      <c r="I1789" s="14" t="n"/>
      <c r="J1789" s="21" t="n"/>
      <c r="N1789" s="22" t="n"/>
    </row>
    <row r="1790">
      <c r="A1790" s="19" t="n"/>
      <c r="E1790" s="20" t="n"/>
      <c r="I1790" s="14" t="n"/>
      <c r="J1790" s="21" t="n"/>
      <c r="N1790" s="22" t="n"/>
    </row>
    <row r="1791">
      <c r="A1791" s="19" t="n"/>
      <c r="E1791" s="20" t="n"/>
      <c r="I1791" s="14" t="n"/>
      <c r="J1791" s="21" t="n"/>
      <c r="N1791" s="22" t="n"/>
    </row>
    <row r="1792">
      <c r="A1792" s="19" t="n"/>
      <c r="E1792" s="20" t="n"/>
      <c r="I1792" s="14" t="n"/>
      <c r="J1792" s="21" t="n"/>
      <c r="N1792" s="22" t="n"/>
    </row>
    <row r="1793">
      <c r="A1793" s="19" t="n"/>
      <c r="E1793" s="20" t="n"/>
      <c r="I1793" s="14" t="n"/>
      <c r="J1793" s="21" t="n"/>
      <c r="N1793" s="22" t="n"/>
    </row>
    <row r="1794">
      <c r="A1794" s="19" t="n"/>
      <c r="E1794" s="20" t="n"/>
      <c r="I1794" s="14" t="n"/>
      <c r="J1794" s="21" t="n"/>
      <c r="N1794" s="22" t="n"/>
    </row>
    <row r="1795">
      <c r="A1795" s="19" t="n"/>
      <c r="E1795" s="20" t="n"/>
      <c r="I1795" s="14" t="n"/>
      <c r="J1795" s="21" t="n"/>
      <c r="N1795" s="22" t="n"/>
    </row>
    <row r="1796">
      <c r="A1796" s="19" t="n"/>
      <c r="E1796" s="20" t="n"/>
      <c r="I1796" s="14" t="n"/>
      <c r="J1796" s="21" t="n"/>
      <c r="N1796" s="22" t="n"/>
    </row>
    <row r="1797">
      <c r="A1797" s="19" t="n"/>
      <c r="E1797" s="20" t="n"/>
      <c r="I1797" s="14" t="n"/>
      <c r="J1797" s="21" t="n"/>
      <c r="N1797" s="22" t="n"/>
    </row>
    <row r="1798">
      <c r="A1798" s="19" t="n"/>
      <c r="E1798" s="20" t="n"/>
      <c r="I1798" s="14" t="n"/>
      <c r="J1798" s="21" t="n"/>
      <c r="N1798" s="22" t="n"/>
    </row>
    <row r="1799">
      <c r="A1799" s="19" t="n"/>
      <c r="E1799" s="20" t="n"/>
      <c r="I1799" s="14" t="n"/>
      <c r="J1799" s="21" t="n"/>
      <c r="N1799" s="22" t="n"/>
    </row>
    <row r="1800">
      <c r="A1800" s="19" t="n"/>
      <c r="E1800" s="20" t="n"/>
      <c r="I1800" s="14" t="n"/>
      <c r="J1800" s="21" t="n"/>
      <c r="N1800" s="22" t="n"/>
    </row>
    <row r="1801">
      <c r="A1801" s="19" t="n"/>
      <c r="E1801" s="20" t="n"/>
      <c r="I1801" s="14" t="n"/>
      <c r="J1801" s="21" t="n"/>
      <c r="N1801" s="22" t="n"/>
    </row>
    <row r="1802">
      <c r="A1802" s="19" t="n"/>
      <c r="E1802" s="20" t="n"/>
      <c r="I1802" s="14" t="n"/>
      <c r="J1802" s="21" t="n"/>
      <c r="N1802" s="22" t="n"/>
    </row>
    <row r="1803">
      <c r="A1803" s="19" t="n"/>
      <c r="E1803" s="20" t="n"/>
      <c r="I1803" s="14" t="n"/>
      <c r="J1803" s="21" t="n"/>
      <c r="N1803" s="22" t="n"/>
    </row>
    <row r="1804">
      <c r="A1804" s="19" t="n"/>
      <c r="E1804" s="20" t="n"/>
      <c r="I1804" s="14" t="n"/>
      <c r="J1804" s="21" t="n"/>
      <c r="N1804" s="22" t="n"/>
    </row>
    <row r="1805">
      <c r="A1805" s="19" t="n"/>
      <c r="E1805" s="20" t="n"/>
      <c r="I1805" s="14" t="n"/>
      <c r="J1805" s="21" t="n"/>
      <c r="N1805" s="22" t="n"/>
    </row>
    <row r="1806">
      <c r="A1806" s="19" t="n"/>
      <c r="E1806" s="20" t="n"/>
      <c r="I1806" s="14" t="n"/>
      <c r="J1806" s="21" t="n"/>
      <c r="N1806" s="22" t="n"/>
    </row>
    <row r="1807">
      <c r="A1807" s="19" t="n"/>
      <c r="E1807" s="20" t="n"/>
      <c r="I1807" s="14" t="n"/>
      <c r="J1807" s="21" t="n"/>
      <c r="N1807" s="22" t="n"/>
    </row>
    <row r="1808">
      <c r="A1808" s="19" t="n"/>
      <c r="E1808" s="20" t="n"/>
      <c r="I1808" s="14" t="n"/>
      <c r="J1808" s="21" t="n"/>
      <c r="N1808" s="22" t="n"/>
    </row>
    <row r="1809">
      <c r="A1809" s="19" t="n"/>
      <c r="E1809" s="20" t="n"/>
      <c r="I1809" s="14" t="n"/>
      <c r="J1809" s="21" t="n"/>
      <c r="N1809" s="22" t="n"/>
    </row>
    <row r="1810">
      <c r="A1810" s="19" t="n"/>
      <c r="E1810" s="20" t="n"/>
      <c r="I1810" s="14" t="n"/>
      <c r="J1810" s="21" t="n"/>
      <c r="N1810" s="22" t="n"/>
    </row>
    <row r="1811">
      <c r="A1811" s="19" t="n"/>
      <c r="E1811" s="20" t="n"/>
      <c r="I1811" s="14" t="n"/>
      <c r="J1811" s="21" t="n"/>
      <c r="N1811" s="22" t="n"/>
    </row>
    <row r="1812">
      <c r="A1812" s="19" t="n"/>
      <c r="E1812" s="20" t="n"/>
      <c r="I1812" s="14" t="n"/>
      <c r="J1812" s="21" t="n"/>
      <c r="N1812" s="22" t="n"/>
    </row>
    <row r="1813">
      <c r="A1813" s="19" t="n"/>
      <c r="E1813" s="20" t="n"/>
      <c r="I1813" s="14" t="n"/>
      <c r="J1813" s="21" t="n"/>
      <c r="N1813" s="22" t="n"/>
    </row>
    <row r="1814">
      <c r="A1814" s="19" t="n"/>
      <c r="E1814" s="20" t="n"/>
      <c r="I1814" s="14" t="n"/>
      <c r="J1814" s="21" t="n"/>
      <c r="N1814" s="22" t="n"/>
    </row>
    <row r="1815">
      <c r="A1815" s="19" t="n"/>
      <c r="E1815" s="20" t="n"/>
      <c r="I1815" s="14" t="n"/>
      <c r="J1815" s="21" t="n"/>
      <c r="N1815" s="22" t="n"/>
    </row>
    <row r="1816">
      <c r="A1816" s="19" t="n"/>
      <c r="E1816" s="20" t="n"/>
      <c r="I1816" s="14" t="n"/>
      <c r="J1816" s="21" t="n"/>
      <c r="N1816" s="22" t="n"/>
    </row>
    <row r="1817">
      <c r="A1817" s="19" t="n"/>
      <c r="E1817" s="20" t="n"/>
      <c r="I1817" s="14" t="n"/>
      <c r="J1817" s="21" t="n"/>
      <c r="N1817" s="22" t="n"/>
    </row>
    <row r="1818">
      <c r="A1818" s="19" t="n"/>
      <c r="E1818" s="20" t="n"/>
      <c r="I1818" s="14" t="n"/>
      <c r="J1818" s="21" t="n"/>
      <c r="N1818" s="22" t="n"/>
    </row>
    <row r="1819">
      <c r="A1819" s="19" t="n"/>
      <c r="E1819" s="20" t="n"/>
      <c r="I1819" s="14" t="n"/>
      <c r="J1819" s="21" t="n"/>
      <c r="N1819" s="22" t="n"/>
    </row>
    <row r="1820">
      <c r="A1820" s="19" t="n"/>
      <c r="E1820" s="20" t="n"/>
      <c r="I1820" s="14" t="n"/>
      <c r="J1820" s="21" t="n"/>
      <c r="N1820" s="22" t="n"/>
    </row>
    <row r="1821">
      <c r="A1821" s="19" t="n"/>
      <c r="E1821" s="20" t="n"/>
      <c r="I1821" s="14" t="n"/>
      <c r="J1821" s="21" t="n"/>
      <c r="N1821" s="22" t="n"/>
    </row>
    <row r="1822">
      <c r="A1822" s="19" t="n"/>
      <c r="E1822" s="20" t="n"/>
      <c r="I1822" s="14" t="n"/>
      <c r="J1822" s="21" t="n"/>
      <c r="N1822" s="22" t="n"/>
    </row>
    <row r="1823">
      <c r="A1823" s="19" t="n"/>
      <c r="E1823" s="20" t="n"/>
      <c r="I1823" s="14" t="n"/>
      <c r="J1823" s="21" t="n"/>
      <c r="N1823" s="22" t="n"/>
    </row>
    <row r="1824">
      <c r="A1824" s="19" t="n"/>
      <c r="E1824" s="20" t="n"/>
      <c r="I1824" s="14" t="n"/>
      <c r="J1824" s="21" t="n"/>
      <c r="N1824" s="22" t="n"/>
    </row>
    <row r="1825">
      <c r="A1825" s="19" t="n"/>
      <c r="E1825" s="20" t="n"/>
      <c r="I1825" s="14" t="n"/>
      <c r="J1825" s="21" t="n"/>
      <c r="N1825" s="22" t="n"/>
    </row>
    <row r="1826">
      <c r="A1826" s="19" t="n"/>
      <c r="E1826" s="20" t="n"/>
      <c r="I1826" s="14" t="n"/>
      <c r="J1826" s="21" t="n"/>
      <c r="N1826" s="22" t="n"/>
    </row>
    <row r="1827">
      <c r="A1827" s="19" t="n"/>
      <c r="E1827" s="20" t="n"/>
      <c r="I1827" s="14" t="n"/>
      <c r="J1827" s="21" t="n"/>
      <c r="N1827" s="22" t="n"/>
    </row>
    <row r="1828">
      <c r="A1828" s="19" t="n"/>
      <c r="E1828" s="20" t="n"/>
      <c r="I1828" s="14" t="n"/>
      <c r="J1828" s="21" t="n"/>
      <c r="N1828" s="22" t="n"/>
    </row>
    <row r="1829">
      <c r="A1829" s="19" t="n"/>
      <c r="E1829" s="20" t="n"/>
      <c r="I1829" s="14" t="n"/>
      <c r="J1829" s="21" t="n"/>
      <c r="N1829" s="22" t="n"/>
    </row>
    <row r="1830">
      <c r="A1830" s="19" t="n"/>
      <c r="E1830" s="20" t="n"/>
      <c r="I1830" s="14" t="n"/>
      <c r="J1830" s="21" t="n"/>
      <c r="N1830" s="22" t="n"/>
    </row>
    <row r="1831">
      <c r="A1831" s="19" t="n"/>
      <c r="E1831" s="20" t="n"/>
      <c r="I1831" s="14" t="n"/>
      <c r="J1831" s="21" t="n"/>
      <c r="N1831" s="22" t="n"/>
    </row>
    <row r="1832">
      <c r="A1832" s="19" t="n"/>
      <c r="E1832" s="20" t="n"/>
      <c r="I1832" s="14" t="n"/>
      <c r="J1832" s="21" t="n"/>
      <c r="N1832" s="22" t="n"/>
    </row>
    <row r="1833">
      <c r="A1833" s="19" t="n"/>
      <c r="E1833" s="20" t="n"/>
      <c r="I1833" s="14" t="n"/>
      <c r="J1833" s="21" t="n"/>
      <c r="N1833" s="22" t="n"/>
    </row>
    <row r="1834">
      <c r="A1834" s="19" t="n"/>
      <c r="E1834" s="20" t="n"/>
      <c r="I1834" s="14" t="n"/>
      <c r="J1834" s="21" t="n"/>
      <c r="N1834" s="22" t="n"/>
    </row>
    <row r="1835">
      <c r="A1835" s="19" t="n"/>
      <c r="E1835" s="20" t="n"/>
      <c r="I1835" s="14" t="n"/>
      <c r="J1835" s="21" t="n"/>
      <c r="N1835" s="22" t="n"/>
    </row>
    <row r="1836">
      <c r="A1836" s="19" t="n"/>
      <c r="E1836" s="20" t="n"/>
      <c r="I1836" s="14" t="n"/>
      <c r="J1836" s="21" t="n"/>
      <c r="N1836" s="22" t="n"/>
    </row>
    <row r="1837">
      <c r="A1837" s="19" t="n"/>
      <c r="E1837" s="20" t="n"/>
      <c r="I1837" s="14" t="n"/>
      <c r="J1837" s="21" t="n"/>
      <c r="N1837" s="22" t="n"/>
    </row>
    <row r="1838">
      <c r="A1838" s="19" t="n"/>
      <c r="E1838" s="20" t="n"/>
      <c r="I1838" s="14" t="n"/>
      <c r="J1838" s="21" t="n"/>
      <c r="N1838" s="22" t="n"/>
    </row>
    <row r="1839">
      <c r="A1839" s="19" t="n"/>
      <c r="E1839" s="20" t="n"/>
      <c r="I1839" s="14" t="n"/>
      <c r="J1839" s="21" t="n"/>
      <c r="N1839" s="22" t="n"/>
    </row>
    <row r="1840">
      <c r="A1840" s="19" t="n"/>
      <c r="E1840" s="20" t="n"/>
      <c r="I1840" s="14" t="n"/>
      <c r="J1840" s="21" t="n"/>
      <c r="N1840" s="22" t="n"/>
    </row>
    <row r="1841">
      <c r="A1841" s="19" t="n"/>
      <c r="E1841" s="20" t="n"/>
      <c r="I1841" s="14" t="n"/>
      <c r="J1841" s="21" t="n"/>
      <c r="N1841" s="22" t="n"/>
    </row>
    <row r="1842">
      <c r="A1842" s="19" t="n"/>
      <c r="E1842" s="20" t="n"/>
      <c r="I1842" s="14" t="n"/>
      <c r="J1842" s="21" t="n"/>
      <c r="N1842" s="22" t="n"/>
    </row>
    <row r="1843">
      <c r="A1843" s="19" t="n"/>
      <c r="E1843" s="20" t="n"/>
      <c r="I1843" s="14" t="n"/>
      <c r="J1843" s="21" t="n"/>
      <c r="N1843" s="22" t="n"/>
    </row>
    <row r="1844">
      <c r="A1844" s="19" t="n"/>
      <c r="E1844" s="20" t="n"/>
      <c r="I1844" s="14" t="n"/>
      <c r="J1844" s="21" t="n"/>
      <c r="N1844" s="22" t="n"/>
    </row>
    <row r="1845">
      <c r="A1845" s="19" t="n"/>
      <c r="E1845" s="20" t="n"/>
      <c r="I1845" s="14" t="n"/>
      <c r="J1845" s="21" t="n"/>
      <c r="N1845" s="22" t="n"/>
    </row>
    <row r="1846">
      <c r="A1846" s="19" t="n"/>
      <c r="E1846" s="20" t="n"/>
      <c r="I1846" s="14" t="n"/>
      <c r="J1846" s="21" t="n"/>
      <c r="N1846" s="22" t="n"/>
    </row>
    <row r="1847">
      <c r="A1847" s="19" t="n"/>
      <c r="E1847" s="20" t="n"/>
      <c r="I1847" s="14" t="n"/>
      <c r="J1847" s="21" t="n"/>
      <c r="N1847" s="22" t="n"/>
    </row>
    <row r="1848">
      <c r="A1848" s="19" t="n"/>
      <c r="E1848" s="20" t="n"/>
      <c r="I1848" s="14" t="n"/>
      <c r="J1848" s="21" t="n"/>
      <c r="N1848" s="22" t="n"/>
    </row>
    <row r="1849">
      <c r="A1849" s="19" t="n"/>
      <c r="E1849" s="20" t="n"/>
      <c r="I1849" s="14" t="n"/>
      <c r="J1849" s="21" t="n"/>
      <c r="N1849" s="22" t="n"/>
    </row>
    <row r="1850">
      <c r="A1850" s="19" t="n"/>
      <c r="E1850" s="20" t="n"/>
      <c r="I1850" s="14" t="n"/>
      <c r="J1850" s="21" t="n"/>
      <c r="N1850" s="22" t="n"/>
    </row>
    <row r="1851">
      <c r="A1851" s="19" t="n"/>
      <c r="E1851" s="20" t="n"/>
      <c r="I1851" s="14" t="n"/>
      <c r="J1851" s="21" t="n"/>
      <c r="N1851" s="22" t="n"/>
    </row>
    <row r="1852">
      <c r="A1852" s="19" t="n"/>
      <c r="E1852" s="20" t="n"/>
      <c r="I1852" s="14" t="n"/>
      <c r="J1852" s="21" t="n"/>
      <c r="N1852" s="22" t="n"/>
    </row>
    <row r="1853">
      <c r="A1853" s="19" t="n"/>
      <c r="E1853" s="20" t="n"/>
      <c r="I1853" s="14" t="n"/>
      <c r="J1853" s="21" t="n"/>
      <c r="N1853" s="22" t="n"/>
    </row>
    <row r="1854">
      <c r="A1854" s="19" t="n"/>
      <c r="E1854" s="20" t="n"/>
      <c r="I1854" s="14" t="n"/>
      <c r="J1854" s="21" t="n"/>
      <c r="N1854" s="22" t="n"/>
    </row>
    <row r="1855">
      <c r="A1855" s="19" t="n"/>
      <c r="E1855" s="20" t="n"/>
      <c r="I1855" s="14" t="n"/>
      <c r="J1855" s="21" t="n"/>
      <c r="N1855" s="22" t="n"/>
    </row>
    <row r="1856">
      <c r="A1856" s="19" t="n"/>
      <c r="E1856" s="20" t="n"/>
      <c r="I1856" s="14" t="n"/>
      <c r="J1856" s="21" t="n"/>
      <c r="N1856" s="22" t="n"/>
    </row>
    <row r="1857">
      <c r="A1857" s="19" t="n"/>
      <c r="E1857" s="20" t="n"/>
      <c r="I1857" s="14" t="n"/>
      <c r="J1857" s="21" t="n"/>
      <c r="N1857" s="22" t="n"/>
    </row>
    <row r="1858">
      <c r="A1858" s="19" t="n"/>
      <c r="E1858" s="20" t="n"/>
      <c r="I1858" s="14" t="n"/>
      <c r="J1858" s="21" t="n"/>
      <c r="N1858" s="22" t="n"/>
    </row>
    <row r="1859">
      <c r="A1859" s="19" t="n"/>
      <c r="E1859" s="20" t="n"/>
      <c r="I1859" s="14" t="n"/>
      <c r="J1859" s="21" t="n"/>
      <c r="N1859" s="22" t="n"/>
    </row>
    <row r="1860">
      <c r="A1860" s="19" t="n"/>
      <c r="E1860" s="20" t="n"/>
      <c r="I1860" s="14" t="n"/>
      <c r="J1860" s="21" t="n"/>
      <c r="N1860" s="22" t="n"/>
    </row>
    <row r="1861">
      <c r="A1861" s="19" t="n"/>
      <c r="E1861" s="20" t="n"/>
      <c r="I1861" s="14" t="n"/>
      <c r="J1861" s="21" t="n"/>
      <c r="N1861" s="22" t="n"/>
    </row>
    <row r="1862">
      <c r="A1862" s="19" t="n"/>
      <c r="E1862" s="20" t="n"/>
      <c r="I1862" s="14" t="n"/>
      <c r="J1862" s="21" t="n"/>
      <c r="N1862" s="22" t="n"/>
    </row>
    <row r="1863">
      <c r="A1863" s="19" t="n"/>
      <c r="E1863" s="20" t="n"/>
      <c r="I1863" s="14" t="n"/>
      <c r="J1863" s="21" t="n"/>
      <c r="N1863" s="22" t="n"/>
    </row>
    <row r="1864">
      <c r="A1864" s="19" t="n"/>
      <c r="E1864" s="20" t="n"/>
      <c r="I1864" s="14" t="n"/>
      <c r="J1864" s="21" t="n"/>
      <c r="N1864" s="22" t="n"/>
    </row>
    <row r="1865">
      <c r="A1865" s="19" t="n"/>
      <c r="E1865" s="20" t="n"/>
      <c r="I1865" s="14" t="n"/>
      <c r="J1865" s="21" t="n"/>
      <c r="N1865" s="22" t="n"/>
    </row>
    <row r="1866">
      <c r="A1866" s="19" t="n"/>
      <c r="E1866" s="20" t="n"/>
      <c r="I1866" s="14" t="n"/>
      <c r="J1866" s="21" t="n"/>
      <c r="N1866" s="22" t="n"/>
    </row>
    <row r="1867">
      <c r="A1867" s="19" t="n"/>
      <c r="E1867" s="20" t="n"/>
      <c r="I1867" s="14" t="n"/>
      <c r="J1867" s="21" t="n"/>
      <c r="N1867" s="22" t="n"/>
    </row>
    <row r="1868">
      <c r="A1868" s="19" t="n"/>
      <c r="E1868" s="20" t="n"/>
      <c r="I1868" s="14" t="n"/>
      <c r="J1868" s="21" t="n"/>
      <c r="N1868" s="22" t="n"/>
    </row>
    <row r="1869">
      <c r="A1869" s="19" t="n"/>
      <c r="E1869" s="20" t="n"/>
      <c r="I1869" s="14" t="n"/>
      <c r="J1869" s="21" t="n"/>
      <c r="N1869" s="22" t="n"/>
    </row>
    <row r="1870">
      <c r="A1870" s="19" t="n"/>
      <c r="E1870" s="20" t="n"/>
      <c r="I1870" s="14" t="n"/>
      <c r="J1870" s="21" t="n"/>
      <c r="N1870" s="22" t="n"/>
    </row>
    <row r="1871">
      <c r="A1871" s="19" t="n"/>
      <c r="E1871" s="20" t="n"/>
      <c r="I1871" s="14" t="n"/>
      <c r="J1871" s="21" t="n"/>
      <c r="N1871" s="22" t="n"/>
    </row>
    <row r="1872">
      <c r="A1872" s="19" t="n"/>
      <c r="E1872" s="20" t="n"/>
      <c r="I1872" s="14" t="n"/>
      <c r="J1872" s="21" t="n"/>
      <c r="N1872" s="22" t="n"/>
    </row>
    <row r="1873">
      <c r="A1873" s="19" t="n"/>
      <c r="E1873" s="20" t="n"/>
      <c r="I1873" s="14" t="n"/>
      <c r="J1873" s="21" t="n"/>
      <c r="N1873" s="22" t="n"/>
    </row>
    <row r="1874">
      <c r="A1874" s="19" t="n"/>
      <c r="E1874" s="20" t="n"/>
      <c r="I1874" s="14" t="n"/>
      <c r="J1874" s="21" t="n"/>
      <c r="N1874" s="22" t="n"/>
    </row>
    <row r="1875">
      <c r="A1875" s="19" t="n"/>
      <c r="E1875" s="20" t="n"/>
      <c r="I1875" s="14" t="n"/>
      <c r="J1875" s="21" t="n"/>
      <c r="N1875" s="22" t="n"/>
    </row>
    <row r="1876">
      <c r="A1876" s="19" t="n"/>
      <c r="E1876" s="20" t="n"/>
      <c r="I1876" s="14" t="n"/>
      <c r="J1876" s="21" t="n"/>
      <c r="N1876" s="22" t="n"/>
    </row>
    <row r="1877">
      <c r="A1877" s="19" t="n"/>
      <c r="E1877" s="20" t="n"/>
      <c r="I1877" s="14" t="n"/>
      <c r="J1877" s="21" t="n"/>
      <c r="N1877" s="22" t="n"/>
    </row>
    <row r="1878">
      <c r="A1878" s="19" t="n"/>
      <c r="E1878" s="20" t="n"/>
      <c r="I1878" s="14" t="n"/>
      <c r="J1878" s="21" t="n"/>
      <c r="N1878" s="22" t="n"/>
    </row>
    <row r="1879">
      <c r="A1879" s="19" t="n"/>
      <c r="E1879" s="20" t="n"/>
      <c r="I1879" s="14" t="n"/>
      <c r="J1879" s="21" t="n"/>
      <c r="N1879" s="22" t="n"/>
    </row>
    <row r="1880">
      <c r="A1880" s="19" t="n"/>
      <c r="E1880" s="20" t="n"/>
      <c r="I1880" s="14" t="n"/>
      <c r="J1880" s="21" t="n"/>
      <c r="N1880" s="22" t="n"/>
    </row>
    <row r="1881">
      <c r="A1881" s="19" t="n"/>
      <c r="E1881" s="20" t="n"/>
      <c r="I1881" s="14" t="n"/>
      <c r="J1881" s="21" t="n"/>
      <c r="N1881" s="22" t="n"/>
    </row>
    <row r="1882">
      <c r="A1882" s="19" t="n"/>
      <c r="E1882" s="20" t="n"/>
      <c r="I1882" s="14" t="n"/>
      <c r="J1882" s="21" t="n"/>
      <c r="N1882" s="22" t="n"/>
    </row>
    <row r="1883">
      <c r="A1883" s="19" t="n"/>
      <c r="E1883" s="20" t="n"/>
      <c r="I1883" s="14" t="n"/>
      <c r="J1883" s="21" t="n"/>
      <c r="N1883" s="22" t="n"/>
    </row>
    <row r="1884">
      <c r="A1884" s="19" t="n"/>
      <c r="E1884" s="20" t="n"/>
      <c r="I1884" s="14" t="n"/>
      <c r="J1884" s="21" t="n"/>
      <c r="N1884" s="22" t="n"/>
    </row>
    <row r="1885">
      <c r="A1885" s="19" t="n"/>
      <c r="E1885" s="20" t="n"/>
      <c r="I1885" s="14" t="n"/>
      <c r="J1885" s="21" t="n"/>
      <c r="N1885" s="22" t="n"/>
    </row>
    <row r="1886">
      <c r="A1886" s="19" t="n"/>
      <c r="E1886" s="20" t="n"/>
      <c r="I1886" s="14" t="n"/>
      <c r="J1886" s="21" t="n"/>
      <c r="N1886" s="22" t="n"/>
    </row>
    <row r="1887">
      <c r="A1887" s="19" t="n"/>
      <c r="E1887" s="20" t="n"/>
      <c r="I1887" s="14" t="n"/>
      <c r="J1887" s="21" t="n"/>
      <c r="N1887" s="22" t="n"/>
    </row>
    <row r="1888">
      <c r="A1888" s="19" t="n"/>
      <c r="E1888" s="20" t="n"/>
      <c r="I1888" s="14" t="n"/>
      <c r="J1888" s="21" t="n"/>
      <c r="N1888" s="22" t="n"/>
    </row>
    <row r="1889">
      <c r="A1889" s="19" t="n"/>
      <c r="E1889" s="20" t="n"/>
      <c r="I1889" s="14" t="n"/>
      <c r="J1889" s="21" t="n"/>
      <c r="N1889" s="22" t="n"/>
    </row>
    <row r="1890">
      <c r="A1890" s="19" t="n"/>
      <c r="E1890" s="20" t="n"/>
      <c r="I1890" s="14" t="n"/>
      <c r="J1890" s="21" t="n"/>
      <c r="N1890" s="22" t="n"/>
    </row>
    <row r="1891">
      <c r="A1891" s="19" t="n"/>
      <c r="E1891" s="20" t="n"/>
      <c r="I1891" s="14" t="n"/>
      <c r="J1891" s="21" t="n"/>
      <c r="N1891" s="22" t="n"/>
    </row>
    <row r="1892">
      <c r="A1892" s="19" t="n"/>
      <c r="E1892" s="20" t="n"/>
      <c r="I1892" s="14" t="n"/>
      <c r="J1892" s="21" t="n"/>
      <c r="N1892" s="22" t="n"/>
    </row>
    <row r="1893">
      <c r="A1893" s="19" t="n"/>
      <c r="E1893" s="20" t="n"/>
      <c r="I1893" s="14" t="n"/>
      <c r="J1893" s="21" t="n"/>
      <c r="N1893" s="22" t="n"/>
    </row>
    <row r="1894">
      <c r="A1894" s="19" t="n"/>
      <c r="E1894" s="20" t="n"/>
      <c r="I1894" s="14" t="n"/>
      <c r="J1894" s="21" t="n"/>
      <c r="N1894" s="22" t="n"/>
    </row>
    <row r="1895">
      <c r="A1895" s="19" t="n"/>
      <c r="E1895" s="20" t="n"/>
      <c r="I1895" s="14" t="n"/>
      <c r="J1895" s="21" t="n"/>
      <c r="N1895" s="22" t="n"/>
    </row>
    <row r="1896">
      <c r="A1896" s="19" t="n"/>
      <c r="E1896" s="20" t="n"/>
      <c r="I1896" s="14" t="n"/>
      <c r="J1896" s="21" t="n"/>
      <c r="N1896" s="22" t="n"/>
    </row>
    <row r="1897">
      <c r="A1897" s="19" t="n"/>
      <c r="E1897" s="20" t="n"/>
      <c r="I1897" s="14" t="n"/>
      <c r="J1897" s="21" t="n"/>
      <c r="N1897" s="22" t="n"/>
    </row>
    <row r="1898">
      <c r="A1898" s="19" t="n"/>
      <c r="E1898" s="20" t="n"/>
      <c r="I1898" s="14" t="n"/>
      <c r="J1898" s="21" t="n"/>
      <c r="N1898" s="22" t="n"/>
    </row>
    <row r="1899">
      <c r="A1899" s="19" t="n"/>
      <c r="E1899" s="20" t="n"/>
      <c r="I1899" s="14" t="n"/>
      <c r="J1899" s="21" t="n"/>
      <c r="N1899" s="22" t="n"/>
    </row>
    <row r="1900">
      <c r="A1900" s="19" t="n"/>
      <c r="E1900" s="20" t="n"/>
      <c r="I1900" s="14" t="n"/>
      <c r="J1900" s="21" t="n"/>
      <c r="N1900" s="22" t="n"/>
    </row>
    <row r="1901">
      <c r="A1901" s="19" t="n"/>
      <c r="E1901" s="20" t="n"/>
      <c r="I1901" s="14" t="n"/>
      <c r="J1901" s="21" t="n"/>
      <c r="N1901" s="22" t="n"/>
    </row>
    <row r="1902">
      <c r="A1902" s="19" t="n"/>
      <c r="E1902" s="20" t="n"/>
      <c r="I1902" s="14" t="n"/>
      <c r="J1902" s="21" t="n"/>
      <c r="N1902" s="22" t="n"/>
    </row>
    <row r="1903">
      <c r="A1903" s="19" t="n"/>
      <c r="E1903" s="20" t="n"/>
      <c r="I1903" s="14" t="n"/>
      <c r="J1903" s="21" t="n"/>
      <c r="N1903" s="22" t="n"/>
    </row>
    <row r="1904">
      <c r="A1904" s="19" t="n"/>
      <c r="E1904" s="20" t="n"/>
      <c r="I1904" s="14" t="n"/>
      <c r="J1904" s="21" t="n"/>
      <c r="N1904" s="22" t="n"/>
    </row>
    <row r="1905">
      <c r="A1905" s="19" t="n"/>
      <c r="E1905" s="20" t="n"/>
      <c r="I1905" s="14" t="n"/>
      <c r="J1905" s="21" t="n"/>
      <c r="N1905" s="22" t="n"/>
    </row>
    <row r="1906">
      <c r="A1906" s="19" t="n"/>
      <c r="E1906" s="20" t="n"/>
      <c r="I1906" s="14" t="n"/>
      <c r="J1906" s="21" t="n"/>
      <c r="N1906" s="22" t="n"/>
    </row>
    <row r="1907">
      <c r="A1907" s="19" t="n"/>
      <c r="E1907" s="20" t="n"/>
      <c r="I1907" s="14" t="n"/>
      <c r="J1907" s="21" t="n"/>
      <c r="N1907" s="22" t="n"/>
    </row>
    <row r="1908">
      <c r="A1908" s="19" t="n"/>
      <c r="E1908" s="20" t="n"/>
      <c r="I1908" s="14" t="n"/>
      <c r="J1908" s="21" t="n"/>
      <c r="N1908" s="22" t="n"/>
    </row>
    <row r="1909">
      <c r="A1909" s="19" t="n"/>
      <c r="E1909" s="20" t="n"/>
      <c r="I1909" s="14" t="n"/>
      <c r="J1909" s="21" t="n"/>
      <c r="N1909" s="22" t="n"/>
    </row>
    <row r="1910">
      <c r="A1910" s="19" t="n"/>
      <c r="E1910" s="20" t="n"/>
      <c r="I1910" s="14" t="n"/>
      <c r="J1910" s="21" t="n"/>
      <c r="N1910" s="22" t="n"/>
    </row>
    <row r="1911">
      <c r="A1911" s="19" t="n"/>
      <c r="E1911" s="20" t="n"/>
      <c r="I1911" s="14" t="n"/>
      <c r="J1911" s="21" t="n"/>
      <c r="N1911" s="22" t="n"/>
    </row>
    <row r="1912">
      <c r="A1912" s="19" t="n"/>
      <c r="E1912" s="20" t="n"/>
      <c r="I1912" s="14" t="n"/>
      <c r="J1912" s="21" t="n"/>
      <c r="N1912" s="22" t="n"/>
    </row>
    <row r="1913">
      <c r="A1913" s="19" t="n"/>
      <c r="E1913" s="20" t="n"/>
      <c r="I1913" s="14" t="n"/>
      <c r="J1913" s="21" t="n"/>
      <c r="N1913" s="22" t="n"/>
    </row>
    <row r="1914">
      <c r="A1914" s="19" t="n"/>
      <c r="E1914" s="20" t="n"/>
      <c r="I1914" s="14" t="n"/>
      <c r="J1914" s="21" t="n"/>
      <c r="N1914" s="22" t="n"/>
    </row>
    <row r="1915">
      <c r="A1915" s="19" t="n"/>
      <c r="E1915" s="20" t="n"/>
      <c r="I1915" s="14" t="n"/>
      <c r="J1915" s="21" t="n"/>
      <c r="N1915" s="22" t="n"/>
    </row>
    <row r="1916">
      <c r="A1916" s="19" t="n"/>
      <c r="E1916" s="20" t="n"/>
      <c r="I1916" s="14" t="n"/>
      <c r="J1916" s="21" t="n"/>
      <c r="N1916" s="22" t="n"/>
    </row>
    <row r="1917">
      <c r="A1917" s="19" t="n"/>
      <c r="E1917" s="20" t="n"/>
      <c r="I1917" s="14" t="n"/>
      <c r="J1917" s="21" t="n"/>
      <c r="N1917" s="22" t="n"/>
    </row>
    <row r="1918">
      <c r="A1918" s="19" t="n"/>
      <c r="E1918" s="20" t="n"/>
      <c r="I1918" s="14" t="n"/>
      <c r="J1918" s="21" t="n"/>
      <c r="N1918" s="22" t="n"/>
    </row>
    <row r="1919">
      <c r="A1919" s="19" t="n"/>
      <c r="E1919" s="20" t="n"/>
      <c r="I1919" s="14" t="n"/>
      <c r="J1919" s="21" t="n"/>
      <c r="N1919" s="22" t="n"/>
    </row>
    <row r="1920">
      <c r="A1920" s="19" t="n"/>
      <c r="E1920" s="20" t="n"/>
      <c r="I1920" s="14" t="n"/>
      <c r="J1920" s="21" t="n"/>
      <c r="N1920" s="22" t="n"/>
    </row>
    <row r="1921">
      <c r="A1921" s="19" t="n"/>
      <c r="E1921" s="20" t="n"/>
      <c r="I1921" s="14" t="n"/>
      <c r="J1921" s="21" t="n"/>
      <c r="N1921" s="22" t="n"/>
    </row>
    <row r="1922">
      <c r="A1922" s="19" t="n"/>
      <c r="E1922" s="20" t="n"/>
      <c r="I1922" s="14" t="n"/>
      <c r="J1922" s="21" t="n"/>
      <c r="N1922" s="22" t="n"/>
    </row>
    <row r="1923">
      <c r="A1923" s="19" t="n"/>
      <c r="E1923" s="20" t="n"/>
      <c r="I1923" s="14" t="n"/>
      <c r="J1923" s="21" t="n"/>
      <c r="N1923" s="22" t="n"/>
    </row>
    <row r="1924">
      <c r="A1924" s="19" t="n"/>
      <c r="E1924" s="20" t="n"/>
      <c r="I1924" s="14" t="n"/>
      <c r="J1924" s="21" t="n"/>
      <c r="N1924" s="22" t="n"/>
    </row>
    <row r="1925">
      <c r="A1925" s="19" t="n"/>
      <c r="E1925" s="20" t="n"/>
      <c r="I1925" s="14" t="n"/>
      <c r="J1925" s="21" t="n"/>
      <c r="N1925" s="22" t="n"/>
    </row>
    <row r="1926">
      <c r="A1926" s="19" t="n"/>
      <c r="E1926" s="20" t="n"/>
      <c r="I1926" s="14" t="n"/>
      <c r="J1926" s="21" t="n"/>
      <c r="N1926" s="22" t="n"/>
    </row>
    <row r="1927">
      <c r="A1927" s="19" t="n"/>
      <c r="E1927" s="20" t="n"/>
      <c r="I1927" s="14" t="n"/>
      <c r="J1927" s="21" t="n"/>
      <c r="N1927" s="22" t="n"/>
    </row>
    <row r="1928">
      <c r="A1928" s="19" t="n"/>
      <c r="E1928" s="20" t="n"/>
      <c r="I1928" s="14" t="n"/>
      <c r="J1928" s="21" t="n"/>
      <c r="N1928" s="22" t="n"/>
    </row>
    <row r="1929">
      <c r="A1929" s="19" t="n"/>
      <c r="E1929" s="20" t="n"/>
      <c r="I1929" s="14" t="n"/>
      <c r="J1929" s="21" t="n"/>
      <c r="N1929" s="22" t="n"/>
    </row>
    <row r="1930">
      <c r="A1930" s="19" t="n"/>
      <c r="E1930" s="20" t="n"/>
      <c r="I1930" s="14" t="n"/>
      <c r="J1930" s="21" t="n"/>
      <c r="N1930" s="22" t="n"/>
    </row>
    <row r="1931">
      <c r="A1931" s="19" t="n"/>
      <c r="E1931" s="20" t="n"/>
      <c r="I1931" s="14" t="n"/>
      <c r="J1931" s="21" t="n"/>
      <c r="N1931" s="22" t="n"/>
    </row>
    <row r="1932">
      <c r="A1932" s="19" t="n"/>
      <c r="E1932" s="20" t="n"/>
      <c r="I1932" s="14" t="n"/>
      <c r="J1932" s="21" t="n"/>
      <c r="N1932" s="22" t="n"/>
    </row>
    <row r="1933">
      <c r="A1933" s="19" t="n"/>
      <c r="E1933" s="20" t="n"/>
      <c r="I1933" s="14" t="n"/>
      <c r="J1933" s="21" t="n"/>
      <c r="N1933" s="22" t="n"/>
    </row>
    <row r="1934">
      <c r="A1934" s="19" t="n"/>
      <c r="E1934" s="20" t="n"/>
      <c r="I1934" s="14" t="n"/>
      <c r="J1934" s="21" t="n"/>
      <c r="N1934" s="22" t="n"/>
    </row>
    <row r="1935">
      <c r="A1935" s="19" t="n"/>
      <c r="E1935" s="20" t="n"/>
      <c r="I1935" s="14" t="n"/>
      <c r="J1935" s="21" t="n"/>
      <c r="N1935" s="22" t="n"/>
    </row>
    <row r="1936">
      <c r="A1936" s="19" t="n"/>
      <c r="E1936" s="20" t="n"/>
      <c r="I1936" s="14" t="n"/>
      <c r="J1936" s="21" t="n"/>
      <c r="N1936" s="22" t="n"/>
    </row>
    <row r="1937">
      <c r="A1937" s="19" t="n"/>
      <c r="E1937" s="20" t="n"/>
      <c r="I1937" s="14" t="n"/>
      <c r="J1937" s="21" t="n"/>
      <c r="N1937" s="22" t="n"/>
    </row>
    <row r="1938">
      <c r="A1938" s="19" t="n"/>
      <c r="E1938" s="20" t="n"/>
      <c r="I1938" s="14" t="n"/>
      <c r="J1938" s="21" t="n"/>
      <c r="N1938" s="22" t="n"/>
    </row>
    <row r="1939">
      <c r="A1939" s="19" t="n"/>
      <c r="E1939" s="20" t="n"/>
      <c r="I1939" s="14" t="n"/>
      <c r="J1939" s="21" t="n"/>
      <c r="N1939" s="22" t="n"/>
    </row>
    <row r="1940">
      <c r="A1940" s="19" t="n"/>
      <c r="E1940" s="20" t="n"/>
      <c r="I1940" s="14" t="n"/>
      <c r="J1940" s="21" t="n"/>
      <c r="N1940" s="22" t="n"/>
    </row>
    <row r="1941">
      <c r="A1941" s="19" t="n"/>
      <c r="E1941" s="20" t="n"/>
      <c r="I1941" s="14" t="n"/>
      <c r="J1941" s="21" t="n"/>
      <c r="N1941" s="22" t="n"/>
    </row>
    <row r="1942">
      <c r="A1942" s="19" t="n"/>
      <c r="E1942" s="20" t="n"/>
      <c r="I1942" s="14" t="n"/>
      <c r="J1942" s="21" t="n"/>
      <c r="N1942" s="22" t="n"/>
    </row>
    <row r="1943">
      <c r="A1943" s="19" t="n"/>
      <c r="E1943" s="20" t="n"/>
      <c r="I1943" s="14" t="n"/>
      <c r="J1943" s="21" t="n"/>
      <c r="N1943" s="22" t="n"/>
    </row>
    <row r="1944">
      <c r="A1944" s="19" t="n"/>
      <c r="E1944" s="20" t="n"/>
      <c r="I1944" s="14" t="n"/>
      <c r="J1944" s="21" t="n"/>
      <c r="N1944" s="22" t="n"/>
    </row>
    <row r="1945">
      <c r="A1945" s="19" t="n"/>
      <c r="E1945" s="20" t="n"/>
      <c r="I1945" s="14" t="n"/>
      <c r="J1945" s="21" t="n"/>
      <c r="N1945" s="22" t="n"/>
    </row>
    <row r="1946">
      <c r="A1946" s="19" t="n"/>
      <c r="E1946" s="20" t="n"/>
      <c r="I1946" s="14" t="n"/>
      <c r="J1946" s="21" t="n"/>
      <c r="N1946" s="22" t="n"/>
    </row>
    <row r="1947">
      <c r="A1947" s="19" t="n"/>
      <c r="E1947" s="20" t="n"/>
      <c r="I1947" s="14" t="n"/>
      <c r="J1947" s="21" t="n"/>
      <c r="N1947" s="22" t="n"/>
    </row>
    <row r="1948">
      <c r="A1948" s="19" t="n"/>
      <c r="E1948" s="20" t="n"/>
      <c r="I1948" s="14" t="n"/>
      <c r="J1948" s="21" t="n"/>
      <c r="N1948" s="22" t="n"/>
    </row>
    <row r="1949">
      <c r="A1949" s="19" t="n"/>
      <c r="E1949" s="20" t="n"/>
      <c r="I1949" s="14" t="n"/>
      <c r="J1949" s="21" t="n"/>
      <c r="N1949" s="22" t="n"/>
    </row>
    <row r="1950">
      <c r="A1950" s="19" t="n"/>
      <c r="E1950" s="20" t="n"/>
      <c r="I1950" s="14" t="n"/>
      <c r="J1950" s="21" t="n"/>
      <c r="N1950" s="22" t="n"/>
    </row>
    <row r="1951">
      <c r="A1951" s="19" t="n"/>
      <c r="E1951" s="20" t="n"/>
      <c r="I1951" s="14" t="n"/>
      <c r="J1951" s="21" t="n"/>
      <c r="N1951" s="22" t="n"/>
    </row>
    <row r="1952">
      <c r="A1952" s="19" t="n"/>
      <c r="E1952" s="20" t="n"/>
      <c r="I1952" s="14" t="n"/>
      <c r="J1952" s="21" t="n"/>
      <c r="N1952" s="22" t="n"/>
    </row>
    <row r="1953">
      <c r="A1953" s="19" t="n"/>
      <c r="E1953" s="20" t="n"/>
      <c r="I1953" s="14" t="n"/>
      <c r="J1953" s="21" t="n"/>
      <c r="N1953" s="22" t="n"/>
    </row>
    <row r="1954">
      <c r="A1954" s="19" t="n"/>
      <c r="E1954" s="20" t="n"/>
      <c r="I1954" s="14" t="n"/>
      <c r="J1954" s="21" t="n"/>
      <c r="N1954" s="22" t="n"/>
    </row>
    <row r="1955">
      <c r="A1955" s="19" t="n"/>
      <c r="E1955" s="20" t="n"/>
      <c r="I1955" s="14" t="n"/>
      <c r="J1955" s="21" t="n"/>
      <c r="N1955" s="22" t="n"/>
    </row>
    <row r="1956">
      <c r="A1956" s="19" t="n"/>
      <c r="E1956" s="20" t="n"/>
      <c r="I1956" s="14" t="n"/>
      <c r="J1956" s="21" t="n"/>
      <c r="N1956" s="22" t="n"/>
    </row>
    <row r="1957">
      <c r="A1957" s="19" t="n"/>
      <c r="E1957" s="20" t="n"/>
      <c r="I1957" s="14" t="n"/>
      <c r="J1957" s="21" t="n"/>
      <c r="N1957" s="22" t="n"/>
    </row>
    <row r="1958">
      <c r="A1958" s="19" t="n"/>
      <c r="E1958" s="20" t="n"/>
      <c r="I1958" s="14" t="n"/>
      <c r="J1958" s="21" t="n"/>
      <c r="N1958" s="22" t="n"/>
    </row>
    <row r="1959">
      <c r="A1959" s="19" t="n"/>
      <c r="E1959" s="20" t="n"/>
      <c r="I1959" s="14" t="n"/>
      <c r="J1959" s="21" t="n"/>
      <c r="N1959" s="22" t="n"/>
    </row>
    <row r="1960">
      <c r="A1960" s="19" t="n"/>
      <c r="E1960" s="20" t="n"/>
      <c r="I1960" s="14" t="n"/>
      <c r="J1960" s="21" t="n"/>
      <c r="N1960" s="22" t="n"/>
    </row>
    <row r="1961">
      <c r="A1961" s="19" t="n"/>
      <c r="E1961" s="20" t="n"/>
      <c r="I1961" s="14" t="n"/>
      <c r="J1961" s="21" t="n"/>
      <c r="N1961" s="22" t="n"/>
    </row>
    <row r="1962">
      <c r="A1962" s="19" t="n"/>
      <c r="E1962" s="20" t="n"/>
      <c r="I1962" s="14" t="n"/>
      <c r="J1962" s="21" t="n"/>
      <c r="N1962" s="22" t="n"/>
    </row>
    <row r="1963">
      <c r="A1963" s="19" t="n"/>
      <c r="E1963" s="20" t="n"/>
      <c r="I1963" s="14" t="n"/>
      <c r="J1963" s="21" t="n"/>
      <c r="N1963" s="22" t="n"/>
    </row>
    <row r="1964">
      <c r="A1964" s="19" t="n"/>
      <c r="E1964" s="20" t="n"/>
      <c r="I1964" s="14" t="n"/>
      <c r="J1964" s="21" t="n"/>
      <c r="N1964" s="22" t="n"/>
    </row>
    <row r="1965">
      <c r="A1965" s="19" t="n"/>
      <c r="E1965" s="20" t="n"/>
      <c r="I1965" s="14" t="n"/>
      <c r="J1965" s="21" t="n"/>
      <c r="N1965" s="22" t="n"/>
    </row>
    <row r="1966">
      <c r="A1966" s="19" t="n"/>
      <c r="E1966" s="20" t="n"/>
      <c r="I1966" s="14" t="n"/>
      <c r="J1966" s="21" t="n"/>
      <c r="N1966" s="22" t="n"/>
    </row>
    <row r="1967">
      <c r="A1967" s="19" t="n"/>
      <c r="E1967" s="20" t="n"/>
      <c r="I1967" s="14" t="n"/>
      <c r="J1967" s="21" t="n"/>
      <c r="N1967" s="22" t="n"/>
    </row>
    <row r="1968">
      <c r="A1968" s="19" t="n"/>
      <c r="E1968" s="20" t="n"/>
      <c r="I1968" s="14" t="n"/>
      <c r="J1968" s="21" t="n"/>
      <c r="N1968" s="22" t="n"/>
    </row>
    <row r="1969">
      <c r="A1969" s="19" t="n"/>
      <c r="E1969" s="20" t="n"/>
      <c r="I1969" s="14" t="n"/>
      <c r="J1969" s="21" t="n"/>
      <c r="N1969" s="22" t="n"/>
    </row>
    <row r="1970">
      <c r="A1970" s="19" t="n"/>
      <c r="E1970" s="20" t="n"/>
      <c r="I1970" s="14" t="n"/>
      <c r="J1970" s="21" t="n"/>
      <c r="N1970" s="22" t="n"/>
    </row>
    <row r="1971">
      <c r="A1971" s="19" t="n"/>
      <c r="E1971" s="20" t="n"/>
      <c r="I1971" s="14" t="n"/>
      <c r="J1971" s="21" t="n"/>
      <c r="N1971" s="22" t="n"/>
    </row>
    <row r="1972">
      <c r="A1972" s="19" t="n"/>
      <c r="E1972" s="20" t="n"/>
      <c r="I1972" s="14" t="n"/>
      <c r="J1972" s="21" t="n"/>
      <c r="N1972" s="22" t="n"/>
    </row>
    <row r="1973">
      <c r="A1973" s="19" t="n"/>
      <c r="E1973" s="20" t="n"/>
      <c r="I1973" s="14" t="n"/>
      <c r="J1973" s="21" t="n"/>
      <c r="N1973" s="22" t="n"/>
    </row>
    <row r="1974">
      <c r="A1974" s="19" t="n"/>
      <c r="E1974" s="20" t="n"/>
      <c r="I1974" s="14" t="n"/>
      <c r="J1974" s="21" t="n"/>
      <c r="N1974" s="22" t="n"/>
    </row>
    <row r="1975">
      <c r="A1975" s="19" t="n"/>
      <c r="E1975" s="20" t="n"/>
      <c r="I1975" s="14" t="n"/>
      <c r="J1975" s="21" t="n"/>
      <c r="N1975" s="22" t="n"/>
    </row>
    <row r="1976">
      <c r="A1976" s="19" t="n"/>
      <c r="E1976" s="20" t="n"/>
      <c r="I1976" s="14" t="n"/>
      <c r="J1976" s="21" t="n"/>
      <c r="N1976" s="22" t="n"/>
    </row>
    <row r="1977">
      <c r="A1977" s="19" t="n"/>
      <c r="E1977" s="20" t="n"/>
      <c r="I1977" s="14" t="n"/>
      <c r="J1977" s="21" t="n"/>
      <c r="N1977" s="22" t="n"/>
    </row>
    <row r="1978">
      <c r="A1978" s="19" t="n"/>
      <c r="E1978" s="20" t="n"/>
      <c r="I1978" s="14" t="n"/>
      <c r="J1978" s="21" t="n"/>
      <c r="N1978" s="22" t="n"/>
    </row>
    <row r="1979">
      <c r="A1979" s="19" t="n"/>
      <c r="E1979" s="20" t="n"/>
      <c r="I1979" s="14" t="n"/>
      <c r="J1979" s="21" t="n"/>
      <c r="N1979" s="22" t="n"/>
    </row>
    <row r="1980">
      <c r="A1980" s="19" t="n"/>
      <c r="E1980" s="20" t="n"/>
      <c r="I1980" s="14" t="n"/>
      <c r="J1980" s="21" t="n"/>
      <c r="N1980" s="22" t="n"/>
    </row>
    <row r="1981">
      <c r="A1981" s="19" t="n"/>
      <c r="E1981" s="20" t="n"/>
      <c r="I1981" s="14" t="n"/>
      <c r="J1981" s="21" t="n"/>
      <c r="N1981" s="22" t="n"/>
    </row>
    <row r="1982">
      <c r="A1982" s="19" t="n"/>
      <c r="E1982" s="20" t="n"/>
      <c r="I1982" s="14" t="n"/>
      <c r="J1982" s="21" t="n"/>
      <c r="N1982" s="22" t="n"/>
    </row>
    <row r="1983">
      <c r="A1983" s="19" t="n"/>
      <c r="E1983" s="20" t="n"/>
      <c r="I1983" s="14" t="n"/>
      <c r="J1983" s="21" t="n"/>
      <c r="N1983" s="22" t="n"/>
    </row>
    <row r="1984">
      <c r="A1984" s="19" t="n"/>
      <c r="E1984" s="20" t="n"/>
      <c r="I1984" s="14" t="n"/>
      <c r="J1984" s="21" t="n"/>
      <c r="N1984" s="22" t="n"/>
    </row>
    <row r="1985">
      <c r="A1985" s="19" t="n"/>
      <c r="E1985" s="20" t="n"/>
      <c r="I1985" s="14" t="n"/>
      <c r="J1985" s="21" t="n"/>
      <c r="N1985" s="22" t="n"/>
    </row>
    <row r="1986">
      <c r="A1986" s="19" t="n"/>
      <c r="E1986" s="20" t="n"/>
      <c r="I1986" s="14" t="n"/>
      <c r="J1986" s="21" t="n"/>
      <c r="N1986" s="22" t="n"/>
    </row>
    <row r="1987">
      <c r="A1987" s="19" t="n"/>
      <c r="E1987" s="20" t="n"/>
      <c r="I1987" s="14" t="n"/>
      <c r="J1987" s="21" t="n"/>
      <c r="N1987" s="22" t="n"/>
    </row>
    <row r="1988">
      <c r="A1988" s="19" t="n"/>
      <c r="E1988" s="20" t="n"/>
      <c r="I1988" s="14" t="n"/>
      <c r="J1988" s="21" t="n"/>
      <c r="N1988" s="22" t="n"/>
    </row>
    <row r="1989">
      <c r="A1989" s="19" t="n"/>
      <c r="E1989" s="20" t="n"/>
      <c r="I1989" s="14" t="n"/>
      <c r="J1989" s="21" t="n"/>
      <c r="N1989" s="22" t="n"/>
    </row>
    <row r="1990">
      <c r="A1990" s="19" t="n"/>
      <c r="E1990" s="20" t="n"/>
      <c r="I1990" s="14" t="n"/>
      <c r="J1990" s="21" t="n"/>
      <c r="N1990" s="22" t="n"/>
    </row>
    <row r="1991">
      <c r="A1991" s="19" t="n"/>
      <c r="E1991" s="20" t="n"/>
      <c r="I1991" s="14" t="n"/>
      <c r="J1991" s="21" t="n"/>
      <c r="N1991" s="22" t="n"/>
    </row>
    <row r="1992">
      <c r="A1992" s="19" t="n"/>
      <c r="E1992" s="20" t="n"/>
      <c r="I1992" s="14" t="n"/>
      <c r="J1992" s="21" t="n"/>
      <c r="N1992" s="22" t="n"/>
    </row>
    <row r="1993">
      <c r="A1993" s="19" t="n"/>
      <c r="E1993" s="20" t="n"/>
      <c r="I1993" s="14" t="n"/>
      <c r="J1993" s="21" t="n"/>
      <c r="N1993" s="22" t="n"/>
    </row>
    <row r="1994">
      <c r="A1994" s="19" t="n"/>
      <c r="E1994" s="20" t="n"/>
      <c r="I1994" s="14" t="n"/>
      <c r="J1994" s="21" t="n"/>
      <c r="N1994" s="22" t="n"/>
    </row>
    <row r="1995">
      <c r="A1995" s="19" t="n"/>
      <c r="E1995" s="20" t="n"/>
      <c r="I1995" s="14" t="n"/>
      <c r="J1995" s="21" t="n"/>
      <c r="N1995" s="22" t="n"/>
    </row>
    <row r="1996">
      <c r="A1996" s="19" t="n"/>
      <c r="E1996" s="20" t="n"/>
      <c r="I1996" s="14" t="n"/>
      <c r="J1996" s="21" t="n"/>
      <c r="N1996" s="22" t="n"/>
    </row>
    <row r="1997">
      <c r="A1997" s="19" t="n"/>
      <c r="E1997" s="20" t="n"/>
      <c r="I1997" s="14" t="n"/>
      <c r="J1997" s="21" t="n"/>
      <c r="N1997" s="22" t="n"/>
    </row>
    <row r="1998">
      <c r="A1998" s="19" t="n"/>
      <c r="E1998" s="20" t="n"/>
      <c r="I1998" s="14" t="n"/>
      <c r="J1998" s="21" t="n"/>
      <c r="N1998" s="22" t="n"/>
    </row>
    <row r="1999">
      <c r="A1999" s="19" t="n"/>
      <c r="E1999" s="20" t="n"/>
      <c r="I1999" s="14" t="n"/>
      <c r="J1999" s="21" t="n"/>
      <c r="N1999" s="22" t="n"/>
    </row>
    <row r="2000">
      <c r="A2000" s="19" t="n"/>
      <c r="E2000" s="20" t="n"/>
      <c r="I2000" s="14" t="n"/>
      <c r="J2000" s="21" t="n"/>
      <c r="N2000" s="22" t="n"/>
    </row>
    <row r="2001">
      <c r="A2001" s="19" t="n"/>
      <c r="E2001" s="20" t="n"/>
      <c r="I2001" s="14" t="n"/>
      <c r="J2001" s="21" t="n"/>
      <c r="N2001" s="22" t="n"/>
    </row>
    <row r="2002">
      <c r="A2002" s="19" t="n"/>
      <c r="E2002" s="20" t="n"/>
      <c r="I2002" s="14" t="n"/>
      <c r="J2002" s="21" t="n"/>
      <c r="N2002" s="22" t="n"/>
    </row>
    <row r="2003">
      <c r="A2003" s="19" t="n"/>
      <c r="E2003" s="20" t="n"/>
      <c r="I2003" s="14" t="n"/>
      <c r="J2003" s="21" t="n"/>
      <c r="N2003" s="22" t="n"/>
    </row>
    <row r="2004">
      <c r="A2004" s="19" t="n"/>
      <c r="E2004" s="20" t="n"/>
      <c r="I2004" s="14" t="n"/>
      <c r="J2004" s="21" t="n"/>
      <c r="N2004" s="22" t="n"/>
    </row>
    <row r="2005">
      <c r="A2005" s="19" t="n"/>
      <c r="E2005" s="20" t="n"/>
      <c r="I2005" s="14" t="n"/>
      <c r="J2005" s="21" t="n"/>
      <c r="N2005" s="22" t="n"/>
    </row>
    <row r="2006">
      <c r="A2006" s="19" t="n"/>
      <c r="E2006" s="20" t="n"/>
      <c r="I2006" s="14" t="n"/>
      <c r="J2006" s="21" t="n"/>
      <c r="N2006" s="22" t="n"/>
    </row>
    <row r="2007">
      <c r="A2007" s="19" t="n"/>
      <c r="E2007" s="20" t="n"/>
      <c r="I2007" s="14" t="n"/>
      <c r="J2007" s="21" t="n"/>
      <c r="N2007" s="22" t="n"/>
    </row>
    <row r="2008">
      <c r="A2008" s="19" t="n"/>
      <c r="E2008" s="20" t="n"/>
      <c r="I2008" s="14" t="n"/>
      <c r="J2008" s="21" t="n"/>
      <c r="N2008" s="22" t="n"/>
    </row>
    <row r="2009">
      <c r="A2009" s="19" t="n"/>
      <c r="E2009" s="20" t="n"/>
      <c r="I2009" s="14" t="n"/>
      <c r="J2009" s="21" t="n"/>
      <c r="N2009" s="22" t="n"/>
    </row>
    <row r="2010">
      <c r="A2010" s="19" t="n"/>
      <c r="E2010" s="20" t="n"/>
      <c r="I2010" s="14" t="n"/>
      <c r="J2010" s="21" t="n"/>
      <c r="N2010" s="22" t="n"/>
    </row>
    <row r="2011">
      <c r="A2011" s="19" t="n"/>
      <c r="E2011" s="20" t="n"/>
      <c r="I2011" s="14" t="n"/>
      <c r="J2011" s="21" t="n"/>
      <c r="N2011" s="22" t="n"/>
    </row>
    <row r="2012">
      <c r="A2012" s="19" t="n"/>
      <c r="E2012" s="20" t="n"/>
      <c r="I2012" s="14" t="n"/>
      <c r="J2012" s="21" t="n"/>
      <c r="N2012" s="22" t="n"/>
    </row>
    <row r="2013">
      <c r="A2013" s="19" t="n"/>
      <c r="E2013" s="20" t="n"/>
      <c r="I2013" s="14" t="n"/>
      <c r="J2013" s="21" t="n"/>
      <c r="N2013" s="22" t="n"/>
    </row>
    <row r="2014">
      <c r="A2014" s="19" t="n"/>
      <c r="E2014" s="20" t="n"/>
      <c r="I2014" s="14" t="n"/>
      <c r="J2014" s="21" t="n"/>
      <c r="N2014" s="22" t="n"/>
    </row>
    <row r="2015">
      <c r="A2015" s="19" t="n"/>
      <c r="E2015" s="20" t="n"/>
      <c r="I2015" s="14" t="n"/>
      <c r="J2015" s="21" t="n"/>
      <c r="N2015" s="22" t="n"/>
    </row>
    <row r="2016">
      <c r="A2016" s="19" t="n"/>
      <c r="E2016" s="20" t="n"/>
      <c r="I2016" s="14" t="n"/>
      <c r="J2016" s="21" t="n"/>
      <c r="N2016" s="22" t="n"/>
    </row>
    <row r="2017">
      <c r="A2017" s="19" t="n"/>
      <c r="E2017" s="20" t="n"/>
      <c r="I2017" s="14" t="n"/>
      <c r="J2017" s="21" t="n"/>
      <c r="N2017" s="22" t="n"/>
    </row>
    <row r="2018">
      <c r="A2018" s="19" t="n"/>
      <c r="E2018" s="20" t="n"/>
      <c r="I2018" s="14" t="n"/>
      <c r="J2018" s="21" t="n"/>
      <c r="N2018" s="22" t="n"/>
    </row>
    <row r="2019">
      <c r="A2019" s="19" t="n"/>
      <c r="E2019" s="20" t="n"/>
      <c r="I2019" s="14" t="n"/>
      <c r="J2019" s="21" t="n"/>
      <c r="N2019" s="22" t="n"/>
    </row>
    <row r="2020">
      <c r="A2020" s="19" t="n"/>
      <c r="E2020" s="20" t="n"/>
      <c r="I2020" s="14" t="n"/>
      <c r="J2020" s="21" t="n"/>
      <c r="N2020" s="22" t="n"/>
    </row>
    <row r="2021">
      <c r="A2021" s="19" t="n"/>
      <c r="E2021" s="20" t="n"/>
      <c r="I2021" s="14" t="n"/>
      <c r="J2021" s="21" t="n"/>
      <c r="N2021" s="22" t="n"/>
    </row>
    <row r="2022">
      <c r="A2022" s="19" t="n"/>
      <c r="E2022" s="20" t="n"/>
      <c r="I2022" s="14" t="n"/>
      <c r="J2022" s="21" t="n"/>
      <c r="N2022" s="22" t="n"/>
    </row>
    <row r="2023">
      <c r="A2023" s="19" t="n"/>
      <c r="E2023" s="20" t="n"/>
      <c r="I2023" s="14" t="n"/>
      <c r="J2023" s="21" t="n"/>
      <c r="N2023" s="22" t="n"/>
    </row>
    <row r="2024">
      <c r="A2024" s="19" t="n"/>
      <c r="E2024" s="20" t="n"/>
      <c r="I2024" s="14" t="n"/>
      <c r="J2024" s="21" t="n"/>
      <c r="N2024" s="22" t="n"/>
    </row>
    <row r="2025">
      <c r="A2025" s="19" t="n"/>
      <c r="E2025" s="20" t="n"/>
      <c r="I2025" s="14" t="n"/>
      <c r="J2025" s="21" t="n"/>
      <c r="N2025" s="22" t="n"/>
    </row>
    <row r="2026">
      <c r="A2026" s="19" t="n"/>
      <c r="E2026" s="20" t="n"/>
      <c r="I2026" s="14" t="n"/>
      <c r="J2026" s="21" t="n"/>
      <c r="N2026" s="22" t="n"/>
    </row>
    <row r="2027">
      <c r="A2027" s="19" t="n"/>
      <c r="E2027" s="20" t="n"/>
      <c r="I2027" s="14" t="n"/>
      <c r="J2027" s="21" t="n"/>
      <c r="N2027" s="22" t="n"/>
    </row>
    <row r="2028">
      <c r="A2028" s="19" t="n"/>
      <c r="E2028" s="20" t="n"/>
      <c r="I2028" s="14" t="n"/>
      <c r="J2028" s="21" t="n"/>
      <c r="N2028" s="22" t="n"/>
    </row>
    <row r="2029">
      <c r="A2029" s="19" t="n"/>
      <c r="E2029" s="20" t="n"/>
      <c r="I2029" s="14" t="n"/>
      <c r="J2029" s="21" t="n"/>
      <c r="N2029" s="22" t="n"/>
    </row>
    <row r="2030">
      <c r="A2030" s="19" t="n"/>
      <c r="E2030" s="20" t="n"/>
      <c r="I2030" s="14" t="n"/>
      <c r="J2030" s="21" t="n"/>
      <c r="N2030" s="22" t="n"/>
    </row>
    <row r="2031">
      <c r="A2031" s="19" t="n"/>
      <c r="E2031" s="20" t="n"/>
      <c r="I2031" s="14" t="n"/>
      <c r="J2031" s="21" t="n"/>
      <c r="N2031" s="22" t="n"/>
    </row>
    <row r="2032">
      <c r="A2032" s="19" t="n"/>
      <c r="E2032" s="20" t="n"/>
      <c r="I2032" s="14" t="n"/>
      <c r="J2032" s="21" t="n"/>
      <c r="N2032" s="22" t="n"/>
    </row>
    <row r="2033">
      <c r="A2033" s="19" t="n"/>
      <c r="E2033" s="20" t="n"/>
      <c r="I2033" s="14" t="n"/>
      <c r="J2033" s="21" t="n"/>
      <c r="N2033" s="22" t="n"/>
    </row>
    <row r="2034">
      <c r="A2034" s="19" t="n"/>
      <c r="E2034" s="20" t="n"/>
      <c r="I2034" s="14" t="n"/>
      <c r="J2034" s="21" t="n"/>
      <c r="N2034" s="22" t="n"/>
    </row>
    <row r="2035">
      <c r="A2035" s="19" t="n"/>
      <c r="E2035" s="20" t="n"/>
      <c r="I2035" s="14" t="n"/>
      <c r="J2035" s="21" t="n"/>
      <c r="N2035" s="22" t="n"/>
    </row>
    <row r="2036">
      <c r="A2036" s="19" t="n"/>
      <c r="E2036" s="20" t="n"/>
      <c r="I2036" s="14" t="n"/>
      <c r="J2036" s="21" t="n"/>
      <c r="N2036" s="22" t="n"/>
    </row>
    <row r="2037">
      <c r="A2037" s="19" t="n"/>
      <c r="E2037" s="20" t="n"/>
      <c r="I2037" s="14" t="n"/>
      <c r="J2037" s="21" t="n"/>
      <c r="N2037" s="22" t="n"/>
    </row>
    <row r="2038">
      <c r="A2038" s="19" t="n"/>
      <c r="E2038" s="20" t="n"/>
      <c r="I2038" s="14" t="n"/>
      <c r="J2038" s="21" t="n"/>
      <c r="N2038" s="22" t="n"/>
    </row>
    <row r="2039">
      <c r="A2039" s="19" t="n"/>
      <c r="E2039" s="20" t="n"/>
      <c r="I2039" s="14" t="n"/>
      <c r="J2039" s="21" t="n"/>
      <c r="N2039" s="22" t="n"/>
    </row>
    <row r="2040">
      <c r="A2040" s="19" t="n"/>
      <c r="E2040" s="20" t="n"/>
      <c r="I2040" s="14" t="n"/>
      <c r="J2040" s="21" t="n"/>
      <c r="N2040" s="22" t="n"/>
    </row>
    <row r="2041">
      <c r="A2041" s="19" t="n"/>
      <c r="E2041" s="20" t="n"/>
      <c r="I2041" s="14" t="n"/>
      <c r="J2041" s="21" t="n"/>
      <c r="N2041" s="22" t="n"/>
    </row>
    <row r="2042">
      <c r="A2042" s="19" t="n"/>
      <c r="E2042" s="20" t="n"/>
      <c r="I2042" s="14" t="n"/>
      <c r="J2042" s="21" t="n"/>
      <c r="N2042" s="22" t="n"/>
    </row>
    <row r="2043">
      <c r="A2043" s="19" t="n"/>
      <c r="E2043" s="20" t="n"/>
      <c r="I2043" s="14" t="n"/>
      <c r="J2043" s="21" t="n"/>
      <c r="N2043" s="22" t="n"/>
    </row>
    <row r="2044">
      <c r="A2044" s="19" t="n"/>
      <c r="E2044" s="20" t="n"/>
      <c r="I2044" s="14" t="n"/>
      <c r="J2044" s="21" t="n"/>
      <c r="N2044" s="22" t="n"/>
    </row>
    <row r="2045">
      <c r="A2045" s="19" t="n"/>
      <c r="E2045" s="20" t="n"/>
      <c r="I2045" s="14" t="n"/>
      <c r="J2045" s="21" t="n"/>
      <c r="N2045" s="22" t="n"/>
    </row>
    <row r="2046">
      <c r="A2046" s="19" t="n"/>
      <c r="E2046" s="20" t="n"/>
      <c r="I2046" s="14" t="n"/>
      <c r="J2046" s="21" t="n"/>
      <c r="N2046" s="22" t="n"/>
    </row>
    <row r="2047">
      <c r="A2047" s="19" t="n"/>
      <c r="E2047" s="20" t="n"/>
      <c r="I2047" s="14" t="n"/>
      <c r="J2047" s="21" t="n"/>
      <c r="N2047" s="22" t="n"/>
    </row>
    <row r="2048">
      <c r="A2048" s="19" t="n"/>
      <c r="E2048" s="20" t="n"/>
      <c r="I2048" s="14" t="n"/>
      <c r="J2048" s="21" t="n"/>
      <c r="N2048" s="22" t="n"/>
    </row>
    <row r="2049">
      <c r="A2049" s="19" t="n"/>
      <c r="E2049" s="20" t="n"/>
      <c r="I2049" s="14" t="n"/>
      <c r="J2049" s="21" t="n"/>
      <c r="N2049" s="22" t="n"/>
    </row>
    <row r="2050">
      <c r="A2050" s="19" t="n"/>
      <c r="E2050" s="20" t="n"/>
      <c r="I2050" s="14" t="n"/>
      <c r="J2050" s="21" t="n"/>
      <c r="N2050" s="22" t="n"/>
    </row>
    <row r="2051">
      <c r="A2051" s="19" t="n"/>
      <c r="E2051" s="20" t="n"/>
      <c r="I2051" s="14" t="n"/>
      <c r="J2051" s="21" t="n"/>
      <c r="N2051" s="22" t="n"/>
    </row>
    <row r="2052">
      <c r="A2052" s="19" t="n"/>
      <c r="E2052" s="20" t="n"/>
      <c r="I2052" s="14" t="n"/>
      <c r="J2052" s="21" t="n"/>
      <c r="N2052" s="22" t="n"/>
    </row>
    <row r="2053">
      <c r="A2053" s="19" t="n"/>
      <c r="E2053" s="20" t="n"/>
      <c r="I2053" s="14" t="n"/>
      <c r="J2053" s="21" t="n"/>
      <c r="N2053" s="22" t="n"/>
    </row>
    <row r="2054">
      <c r="A2054" s="19" t="n"/>
      <c r="E2054" s="20" t="n"/>
      <c r="I2054" s="14" t="n"/>
      <c r="J2054" s="21" t="n"/>
      <c r="N2054" s="22" t="n"/>
    </row>
    <row r="2055">
      <c r="A2055" s="19" t="n"/>
      <c r="E2055" s="20" t="n"/>
      <c r="I2055" s="14" t="n"/>
      <c r="J2055" s="21" t="n"/>
      <c r="N2055" s="22" t="n"/>
    </row>
    <row r="2056">
      <c r="A2056" s="19" t="n"/>
      <c r="E2056" s="20" t="n"/>
      <c r="I2056" s="14" t="n"/>
      <c r="J2056" s="21" t="n"/>
      <c r="N2056" s="22" t="n"/>
    </row>
    <row r="2057">
      <c r="A2057" s="19" t="n"/>
      <c r="E2057" s="20" t="n"/>
      <c r="I2057" s="14" t="n"/>
      <c r="J2057" s="21" t="n"/>
      <c r="N2057" s="22" t="n"/>
    </row>
    <row r="2058">
      <c r="A2058" s="19" t="n"/>
      <c r="E2058" s="20" t="n"/>
      <c r="I2058" s="14" t="n"/>
      <c r="J2058" s="21" t="n"/>
      <c r="N2058" s="22" t="n"/>
    </row>
    <row r="2059">
      <c r="A2059" s="19" t="n"/>
      <c r="E2059" s="20" t="n"/>
      <c r="I2059" s="14" t="n"/>
      <c r="J2059" s="21" t="n"/>
      <c r="N2059" s="22" t="n"/>
    </row>
    <row r="2060">
      <c r="A2060" s="19" t="n"/>
      <c r="E2060" s="20" t="n"/>
      <c r="I2060" s="14" t="n"/>
      <c r="J2060" s="21" t="n"/>
      <c r="N2060" s="22" t="n"/>
    </row>
    <row r="2061">
      <c r="A2061" s="19" t="n"/>
      <c r="E2061" s="20" t="n"/>
      <c r="I2061" s="14" t="n"/>
      <c r="J2061" s="21" t="n"/>
      <c r="N2061" s="22" t="n"/>
    </row>
    <row r="2062">
      <c r="A2062" s="19" t="n"/>
      <c r="E2062" s="20" t="n"/>
      <c r="I2062" s="14" t="n"/>
      <c r="J2062" s="21" t="n"/>
      <c r="N2062" s="22" t="n"/>
    </row>
    <row r="2063">
      <c r="A2063" s="19" t="n"/>
      <c r="E2063" s="20" t="n"/>
      <c r="I2063" s="14" t="n"/>
      <c r="J2063" s="21" t="n"/>
      <c r="N2063" s="22" t="n"/>
    </row>
    <row r="2064">
      <c r="A2064" s="19" t="n"/>
      <c r="E2064" s="20" t="n"/>
      <c r="I2064" s="14" t="n"/>
      <c r="J2064" s="21" t="n"/>
      <c r="N2064" s="22" t="n"/>
    </row>
    <row r="2065">
      <c r="A2065" s="19" t="n"/>
      <c r="E2065" s="20" t="n"/>
      <c r="I2065" s="14" t="n"/>
      <c r="J2065" s="21" t="n"/>
      <c r="N2065" s="22" t="n"/>
    </row>
    <row r="2066">
      <c r="A2066" s="19" t="n"/>
      <c r="E2066" s="20" t="n"/>
      <c r="I2066" s="14" t="n"/>
      <c r="J2066" s="21" t="n"/>
      <c r="N2066" s="22" t="n"/>
    </row>
    <row r="2067">
      <c r="A2067" s="19" t="n"/>
      <c r="E2067" s="20" t="n"/>
      <c r="I2067" s="14" t="n"/>
      <c r="J2067" s="21" t="n"/>
      <c r="N2067" s="22" t="n"/>
    </row>
    <row r="2068">
      <c r="A2068" s="19" t="n"/>
      <c r="E2068" s="20" t="n"/>
      <c r="I2068" s="14" t="n"/>
      <c r="J2068" s="21" t="n"/>
      <c r="N2068" s="22" t="n"/>
    </row>
    <row r="2069">
      <c r="A2069" s="19" t="n"/>
      <c r="E2069" s="20" t="n"/>
      <c r="I2069" s="14" t="n"/>
      <c r="J2069" s="21" t="n"/>
      <c r="N2069" s="22" t="n"/>
    </row>
    <row r="2070">
      <c r="A2070" s="19" t="n"/>
      <c r="E2070" s="20" t="n"/>
      <c r="I2070" s="14" t="n"/>
      <c r="J2070" s="21" t="n"/>
      <c r="N2070" s="22" t="n"/>
    </row>
    <row r="2071">
      <c r="A2071" s="19" t="n"/>
      <c r="E2071" s="20" t="n"/>
      <c r="I2071" s="14" t="n"/>
      <c r="J2071" s="21" t="n"/>
      <c r="N2071" s="22" t="n"/>
    </row>
    <row r="2072">
      <c r="A2072" s="19" t="n"/>
      <c r="E2072" s="20" t="n"/>
      <c r="I2072" s="14" t="n"/>
      <c r="J2072" s="21" t="n"/>
      <c r="N2072" s="22" t="n"/>
    </row>
    <row r="2073">
      <c r="A2073" s="19" t="n"/>
      <c r="E2073" s="20" t="n"/>
      <c r="I2073" s="14" t="n"/>
      <c r="J2073" s="21" t="n"/>
      <c r="N2073" s="22" t="n"/>
    </row>
    <row r="2074">
      <c r="A2074" s="19" t="n"/>
      <c r="E2074" s="20" t="n"/>
      <c r="I2074" s="14" t="n"/>
      <c r="J2074" s="21" t="n"/>
      <c r="N2074" s="22" t="n"/>
    </row>
    <row r="2075">
      <c r="A2075" s="19" t="n"/>
      <c r="E2075" s="20" t="n"/>
      <c r="I2075" s="14" t="n"/>
      <c r="J2075" s="21" t="n"/>
      <c r="N2075" s="22" t="n"/>
    </row>
    <row r="2076">
      <c r="A2076" s="19" t="n"/>
      <c r="E2076" s="20" t="n"/>
      <c r="I2076" s="14" t="n"/>
      <c r="J2076" s="21" t="n"/>
      <c r="N2076" s="22" t="n"/>
    </row>
    <row r="2077">
      <c r="A2077" s="19" t="n"/>
      <c r="E2077" s="20" t="n"/>
      <c r="I2077" s="14" t="n"/>
      <c r="J2077" s="21" t="n"/>
      <c r="N2077" s="22" t="n"/>
    </row>
    <row r="2078">
      <c r="A2078" s="19" t="n"/>
      <c r="E2078" s="20" t="n"/>
      <c r="I2078" s="14" t="n"/>
      <c r="J2078" s="21" t="n"/>
      <c r="N2078" s="22" t="n"/>
    </row>
    <row r="2079">
      <c r="A2079" s="19" t="n"/>
      <c r="E2079" s="20" t="n"/>
      <c r="I2079" s="14" t="n"/>
      <c r="J2079" s="21" t="n"/>
      <c r="N2079" s="22" t="n"/>
    </row>
    <row r="2080">
      <c r="A2080" s="19" t="n"/>
      <c r="E2080" s="20" t="n"/>
      <c r="I2080" s="14" t="n"/>
      <c r="J2080" s="21" t="n"/>
      <c r="N2080" s="22" t="n"/>
    </row>
    <row r="2081">
      <c r="A2081" s="19" t="n"/>
      <c r="E2081" s="20" t="n"/>
      <c r="I2081" s="14" t="n"/>
      <c r="J2081" s="21" t="n"/>
      <c r="N2081" s="22" t="n"/>
    </row>
    <row r="2082">
      <c r="A2082" s="19" t="n"/>
      <c r="E2082" s="20" t="n"/>
      <c r="I2082" s="14" t="n"/>
      <c r="J2082" s="21" t="n"/>
      <c r="N2082" s="22" t="n"/>
    </row>
    <row r="2083">
      <c r="A2083" s="19" t="n"/>
      <c r="E2083" s="20" t="n"/>
      <c r="I2083" s="14" t="n"/>
      <c r="J2083" s="21" t="n"/>
      <c r="N2083" s="22" t="n"/>
    </row>
    <row r="2084">
      <c r="A2084" s="19" t="n"/>
      <c r="E2084" s="20" t="n"/>
      <c r="I2084" s="14" t="n"/>
      <c r="J2084" s="21" t="n"/>
      <c r="N2084" s="22" t="n"/>
    </row>
    <row r="2085">
      <c r="A2085" s="19" t="n"/>
      <c r="E2085" s="20" t="n"/>
      <c r="I2085" s="14" t="n"/>
      <c r="J2085" s="21" t="n"/>
      <c r="N2085" s="22" t="n"/>
    </row>
    <row r="2086">
      <c r="A2086" s="19" t="n"/>
      <c r="E2086" s="20" t="n"/>
      <c r="I2086" s="14" t="n"/>
      <c r="J2086" s="21" t="n"/>
      <c r="N2086" s="22" t="n"/>
    </row>
    <row r="2087">
      <c r="A2087" s="19" t="n"/>
      <c r="E2087" s="20" t="n"/>
      <c r="I2087" s="14" t="n"/>
      <c r="J2087" s="21" t="n"/>
      <c r="N2087" s="22" t="n"/>
    </row>
    <row r="2088">
      <c r="A2088" s="19" t="n"/>
      <c r="E2088" s="20" t="n"/>
      <c r="I2088" s="14" t="n"/>
      <c r="J2088" s="21" t="n"/>
      <c r="N2088" s="22" t="n"/>
    </row>
    <row r="2089">
      <c r="A2089" s="19" t="n"/>
      <c r="E2089" s="20" t="n"/>
      <c r="I2089" s="14" t="n"/>
      <c r="J2089" s="21" t="n"/>
      <c r="N2089" s="22" t="n"/>
    </row>
    <row r="2090">
      <c r="A2090" s="19" t="n"/>
      <c r="E2090" s="20" t="n"/>
      <c r="I2090" s="14" t="n"/>
      <c r="J2090" s="21" t="n"/>
      <c r="N2090" s="22" t="n"/>
    </row>
    <row r="2091">
      <c r="A2091" s="19" t="n"/>
      <c r="E2091" s="20" t="n"/>
      <c r="I2091" s="14" t="n"/>
      <c r="J2091" s="21" t="n"/>
      <c r="N2091" s="22" t="n"/>
    </row>
    <row r="2092">
      <c r="A2092" s="19" t="n"/>
      <c r="E2092" s="20" t="n"/>
      <c r="I2092" s="14" t="n"/>
      <c r="J2092" s="21" t="n"/>
      <c r="N2092" s="22" t="n"/>
    </row>
    <row r="2093">
      <c r="A2093" s="19" t="n"/>
      <c r="E2093" s="20" t="n"/>
      <c r="I2093" s="14" t="n"/>
      <c r="J2093" s="21" t="n"/>
      <c r="N2093" s="22" t="n"/>
    </row>
    <row r="2094">
      <c r="A2094" s="19" t="n"/>
      <c r="E2094" s="20" t="n"/>
      <c r="I2094" s="14" t="n"/>
      <c r="J2094" s="21" t="n"/>
      <c r="N2094" s="22" t="n"/>
    </row>
    <row r="2095">
      <c r="A2095" s="19" t="n"/>
      <c r="E2095" s="20" t="n"/>
      <c r="I2095" s="14" t="n"/>
      <c r="J2095" s="21" t="n"/>
      <c r="N2095" s="22" t="n"/>
    </row>
    <row r="2096">
      <c r="A2096" s="19" t="n"/>
      <c r="E2096" s="20" t="n"/>
      <c r="I2096" s="14" t="n"/>
      <c r="J2096" s="21" t="n"/>
      <c r="N2096" s="22" t="n"/>
    </row>
    <row r="2097">
      <c r="A2097" s="19" t="n"/>
      <c r="E2097" s="20" t="n"/>
      <c r="I2097" s="14" t="n"/>
      <c r="J2097" s="21" t="n"/>
      <c r="N2097" s="22" t="n"/>
    </row>
    <row r="2098">
      <c r="A2098" s="19" t="n"/>
      <c r="E2098" s="20" t="n"/>
      <c r="I2098" s="14" t="n"/>
      <c r="J2098" s="21" t="n"/>
      <c r="N2098" s="22" t="n"/>
    </row>
    <row r="2099">
      <c r="A2099" s="19" t="n"/>
      <c r="E2099" s="20" t="n"/>
      <c r="I2099" s="14" t="n"/>
      <c r="J2099" s="21" t="n"/>
      <c r="N2099" s="22" t="n"/>
    </row>
    <row r="2100">
      <c r="A2100" s="19" t="n"/>
      <c r="E2100" s="20" t="n"/>
      <c r="I2100" s="14" t="n"/>
      <c r="J2100" s="21" t="n"/>
      <c r="N2100" s="22" t="n"/>
    </row>
    <row r="2101">
      <c r="A2101" s="19" t="n"/>
      <c r="E2101" s="20" t="n"/>
      <c r="I2101" s="14" t="n"/>
      <c r="J2101" s="21" t="n"/>
      <c r="N2101" s="22" t="n"/>
    </row>
    <row r="2102">
      <c r="A2102" s="19" t="n"/>
      <c r="E2102" s="20" t="n"/>
      <c r="I2102" s="14" t="n"/>
      <c r="J2102" s="21" t="n"/>
      <c r="N2102" s="22" t="n"/>
    </row>
    <row r="2103">
      <c r="A2103" s="19" t="n"/>
      <c r="E2103" s="20" t="n"/>
      <c r="I2103" s="14" t="n"/>
      <c r="J2103" s="21" t="n"/>
      <c r="N2103" s="22" t="n"/>
    </row>
    <row r="2104">
      <c r="A2104" s="19" t="n"/>
      <c r="E2104" s="20" t="n"/>
      <c r="I2104" s="14" t="n"/>
      <c r="J2104" s="21" t="n"/>
      <c r="N2104" s="22" t="n"/>
    </row>
    <row r="2105">
      <c r="A2105" s="19" t="n"/>
      <c r="E2105" s="20" t="n"/>
      <c r="I2105" s="14" t="n"/>
      <c r="J2105" s="21" t="n"/>
      <c r="N2105" s="22" t="n"/>
    </row>
    <row r="2106">
      <c r="A2106" s="19" t="n"/>
      <c r="E2106" s="20" t="n"/>
      <c r="I2106" s="14" t="n"/>
      <c r="J2106" s="21" t="n"/>
      <c r="N2106" s="22" t="n"/>
    </row>
    <row r="2107">
      <c r="A2107" s="19" t="n"/>
      <c r="E2107" s="20" t="n"/>
      <c r="I2107" s="14" t="n"/>
      <c r="J2107" s="21" t="n"/>
      <c r="N2107" s="22" t="n"/>
    </row>
    <row r="2108">
      <c r="A2108" s="19" t="n"/>
      <c r="E2108" s="20" t="n"/>
      <c r="I2108" s="14" t="n"/>
      <c r="J2108" s="21" t="n"/>
      <c r="N2108" s="22" t="n"/>
    </row>
    <row r="2109">
      <c r="A2109" s="19" t="n"/>
      <c r="E2109" s="20" t="n"/>
      <c r="I2109" s="14" t="n"/>
      <c r="J2109" s="21" t="n"/>
      <c r="N2109" s="22" t="n"/>
    </row>
    <row r="2110">
      <c r="A2110" s="19" t="n"/>
      <c r="E2110" s="20" t="n"/>
      <c r="I2110" s="14" t="n"/>
      <c r="J2110" s="21" t="n"/>
      <c r="N2110" s="22" t="n"/>
    </row>
    <row r="2111">
      <c r="A2111" s="19" t="n"/>
      <c r="E2111" s="20" t="n"/>
      <c r="I2111" s="14" t="n"/>
      <c r="J2111" s="21" t="n"/>
      <c r="N2111" s="22" t="n"/>
    </row>
    <row r="2112">
      <c r="A2112" s="19" t="n"/>
      <c r="E2112" s="20" t="n"/>
      <c r="I2112" s="14" t="n"/>
      <c r="J2112" s="21" t="n"/>
      <c r="N2112" s="22" t="n"/>
    </row>
    <row r="2113">
      <c r="A2113" s="19" t="n"/>
      <c r="E2113" s="20" t="n"/>
      <c r="I2113" s="14" t="n"/>
      <c r="J2113" s="21" t="n"/>
      <c r="N2113" s="22" t="n"/>
    </row>
    <row r="2114">
      <c r="A2114" s="19" t="n"/>
      <c r="E2114" s="20" t="n"/>
      <c r="I2114" s="14" t="n"/>
      <c r="J2114" s="21" t="n"/>
      <c r="N2114" s="22" t="n"/>
    </row>
    <row r="2115">
      <c r="A2115" s="19" t="n"/>
      <c r="E2115" s="20" t="n"/>
      <c r="I2115" s="14" t="n"/>
      <c r="J2115" s="21" t="n"/>
      <c r="N2115" s="22" t="n"/>
    </row>
    <row r="2116">
      <c r="A2116" s="19" t="n"/>
      <c r="E2116" s="20" t="n"/>
      <c r="I2116" s="14" t="n"/>
      <c r="J2116" s="21" t="n"/>
      <c r="N2116" s="22" t="n"/>
    </row>
    <row r="2117">
      <c r="A2117" s="19" t="n"/>
      <c r="E2117" s="20" t="n"/>
      <c r="I2117" s="14" t="n"/>
      <c r="J2117" s="21" t="n"/>
      <c r="N2117" s="22" t="n"/>
    </row>
    <row r="2118">
      <c r="A2118" s="19" t="n"/>
      <c r="E2118" s="20" t="n"/>
      <c r="I2118" s="14" t="n"/>
      <c r="J2118" s="21" t="n"/>
      <c r="N2118" s="22" t="n"/>
    </row>
    <row r="2119">
      <c r="A2119" s="19" t="n"/>
      <c r="E2119" s="20" t="n"/>
      <c r="I2119" s="14" t="n"/>
      <c r="J2119" s="21" t="n"/>
      <c r="N2119" s="22" t="n"/>
    </row>
    <row r="2120">
      <c r="A2120" s="19" t="n"/>
      <c r="E2120" s="20" t="n"/>
      <c r="I2120" s="14" t="n"/>
      <c r="J2120" s="21" t="n"/>
      <c r="N2120" s="22" t="n"/>
    </row>
    <row r="2121">
      <c r="A2121" s="19" t="n"/>
      <c r="E2121" s="20" t="n"/>
      <c r="I2121" s="14" t="n"/>
      <c r="J2121" s="21" t="n"/>
      <c r="N2121" s="22" t="n"/>
    </row>
    <row r="2122">
      <c r="A2122" s="19" t="n"/>
      <c r="E2122" s="20" t="n"/>
      <c r="I2122" s="14" t="n"/>
      <c r="J2122" s="21" t="n"/>
      <c r="N2122" s="22" t="n"/>
    </row>
    <row r="2123">
      <c r="A2123" s="19" t="n"/>
      <c r="E2123" s="20" t="n"/>
      <c r="I2123" s="14" t="n"/>
      <c r="J2123" s="21" t="n"/>
      <c r="N2123" s="22" t="n"/>
    </row>
    <row r="2124">
      <c r="A2124" s="19" t="n"/>
      <c r="E2124" s="20" t="n"/>
      <c r="I2124" s="14" t="n"/>
      <c r="J2124" s="21" t="n"/>
      <c r="N2124" s="22" t="n"/>
    </row>
    <row r="2125">
      <c r="A2125" s="19" t="n"/>
      <c r="E2125" s="20" t="n"/>
      <c r="I2125" s="14" t="n"/>
      <c r="J2125" s="21" t="n"/>
      <c r="N2125" s="22" t="n"/>
    </row>
    <row r="2126">
      <c r="A2126" s="19" t="n"/>
      <c r="E2126" s="20" t="n"/>
      <c r="I2126" s="14" t="n"/>
      <c r="J2126" s="21" t="n"/>
      <c r="N2126" s="22" t="n"/>
    </row>
    <row r="2127">
      <c r="A2127" s="19" t="n"/>
      <c r="E2127" s="20" t="n"/>
      <c r="I2127" s="14" t="n"/>
      <c r="J2127" s="21" t="n"/>
      <c r="N2127" s="22" t="n"/>
    </row>
    <row r="2128">
      <c r="A2128" s="19" t="n"/>
      <c r="E2128" s="20" t="n"/>
      <c r="I2128" s="14" t="n"/>
      <c r="J2128" s="21" t="n"/>
      <c r="N2128" s="22" t="n"/>
    </row>
    <row r="2129">
      <c r="A2129" s="19" t="n"/>
      <c r="E2129" s="20" t="n"/>
      <c r="I2129" s="14" t="n"/>
      <c r="J2129" s="21" t="n"/>
      <c r="N2129" s="22" t="n"/>
    </row>
    <row r="2130">
      <c r="A2130" s="19" t="n"/>
      <c r="E2130" s="20" t="n"/>
      <c r="I2130" s="14" t="n"/>
      <c r="J2130" s="21" t="n"/>
      <c r="N2130" s="22" t="n"/>
    </row>
    <row r="2131">
      <c r="A2131" s="19" t="n"/>
      <c r="E2131" s="20" t="n"/>
      <c r="I2131" s="14" t="n"/>
      <c r="J2131" s="21" t="n"/>
      <c r="N2131" s="22" t="n"/>
    </row>
    <row r="2132">
      <c r="A2132" s="19" t="n"/>
      <c r="E2132" s="20" t="n"/>
      <c r="I2132" s="14" t="n"/>
      <c r="J2132" s="21" t="n"/>
      <c r="N2132" s="22" t="n"/>
    </row>
    <row r="2133">
      <c r="A2133" s="19" t="n"/>
      <c r="E2133" s="20" t="n"/>
      <c r="I2133" s="14" t="n"/>
      <c r="J2133" s="21" t="n"/>
      <c r="N2133" s="22" t="n"/>
    </row>
    <row r="2134">
      <c r="A2134" s="19" t="n"/>
      <c r="E2134" s="20" t="n"/>
      <c r="I2134" s="14" t="n"/>
      <c r="J2134" s="21" t="n"/>
      <c r="N2134" s="22" t="n"/>
    </row>
    <row r="2135">
      <c r="A2135" s="19" t="n"/>
      <c r="E2135" s="20" t="n"/>
      <c r="I2135" s="14" t="n"/>
      <c r="J2135" s="21" t="n"/>
      <c r="N2135" s="22" t="n"/>
    </row>
    <row r="2136">
      <c r="A2136" s="19" t="n"/>
      <c r="E2136" s="20" t="n"/>
      <c r="I2136" s="14" t="n"/>
      <c r="J2136" s="21" t="n"/>
      <c r="N2136" s="22" t="n"/>
    </row>
    <row r="2137">
      <c r="A2137" s="19" t="n"/>
      <c r="E2137" s="20" t="n"/>
      <c r="I2137" s="14" t="n"/>
      <c r="J2137" s="21" t="n"/>
      <c r="N2137" s="22" t="n"/>
    </row>
    <row r="2138">
      <c r="A2138" s="19" t="n"/>
      <c r="E2138" s="20" t="n"/>
      <c r="I2138" s="14" t="n"/>
      <c r="J2138" s="21" t="n"/>
      <c r="N2138" s="22" t="n"/>
    </row>
    <row r="2139">
      <c r="A2139" s="19" t="n"/>
      <c r="E2139" s="20" t="n"/>
      <c r="I2139" s="14" t="n"/>
      <c r="J2139" s="21" t="n"/>
      <c r="N2139" s="22" t="n"/>
    </row>
    <row r="2140">
      <c r="A2140" s="19" t="n"/>
      <c r="E2140" s="20" t="n"/>
      <c r="I2140" s="14" t="n"/>
      <c r="J2140" s="21" t="n"/>
      <c r="N2140" s="22" t="n"/>
    </row>
    <row r="2141">
      <c r="A2141" s="19" t="n"/>
      <c r="E2141" s="20" t="n"/>
      <c r="I2141" s="14" t="n"/>
      <c r="J2141" s="21" t="n"/>
      <c r="N2141" s="22" t="n"/>
    </row>
    <row r="2142">
      <c r="A2142" s="19" t="n"/>
      <c r="E2142" s="20" t="n"/>
      <c r="I2142" s="14" t="n"/>
      <c r="J2142" s="21" t="n"/>
      <c r="N2142" s="22" t="n"/>
    </row>
    <row r="2143">
      <c r="A2143" s="19" t="n"/>
      <c r="E2143" s="20" t="n"/>
      <c r="I2143" s="14" t="n"/>
      <c r="J2143" s="21" t="n"/>
      <c r="N2143" s="22" t="n"/>
    </row>
    <row r="2144">
      <c r="A2144" s="19" t="n"/>
      <c r="E2144" s="20" t="n"/>
      <c r="I2144" s="14" t="n"/>
      <c r="J2144" s="21" t="n"/>
      <c r="N2144" s="22" t="n"/>
    </row>
    <row r="2145">
      <c r="A2145" s="19" t="n"/>
      <c r="E2145" s="20" t="n"/>
      <c r="I2145" s="14" t="n"/>
      <c r="J2145" s="21" t="n"/>
      <c r="N2145" s="22" t="n"/>
    </row>
    <row r="2146">
      <c r="A2146" s="19" t="n"/>
      <c r="E2146" s="20" t="n"/>
      <c r="I2146" s="14" t="n"/>
      <c r="J2146" s="21" t="n"/>
      <c r="N2146" s="22" t="n"/>
    </row>
    <row r="2147">
      <c r="A2147" s="19" t="n"/>
      <c r="E2147" s="20" t="n"/>
      <c r="I2147" s="14" t="n"/>
      <c r="J2147" s="21" t="n"/>
      <c r="N2147" s="22" t="n"/>
    </row>
    <row r="2148">
      <c r="A2148" s="19" t="n"/>
      <c r="E2148" s="20" t="n"/>
      <c r="I2148" s="14" t="n"/>
      <c r="J2148" s="21" t="n"/>
      <c r="N2148" s="22" t="n"/>
    </row>
    <row r="2149">
      <c r="A2149" s="19" t="n"/>
      <c r="E2149" s="20" t="n"/>
      <c r="I2149" s="14" t="n"/>
      <c r="J2149" s="21" t="n"/>
      <c r="N2149" s="22" t="n"/>
    </row>
    <row r="2150">
      <c r="A2150" s="19" t="n"/>
      <c r="E2150" s="20" t="n"/>
      <c r="I2150" s="14" t="n"/>
      <c r="J2150" s="21" t="n"/>
      <c r="N2150" s="22" t="n"/>
    </row>
    <row r="2151">
      <c r="A2151" s="19" t="n"/>
      <c r="E2151" s="20" t="n"/>
      <c r="I2151" s="14" t="n"/>
      <c r="J2151" s="21" t="n"/>
      <c r="N2151" s="22" t="n"/>
    </row>
    <row r="2152">
      <c r="A2152" s="19" t="n"/>
      <c r="E2152" s="20" t="n"/>
      <c r="I2152" s="14" t="n"/>
      <c r="J2152" s="21" t="n"/>
      <c r="N2152" s="22" t="n"/>
    </row>
    <row r="2153">
      <c r="A2153" s="19" t="n"/>
      <c r="E2153" s="20" t="n"/>
      <c r="I2153" s="14" t="n"/>
      <c r="J2153" s="21" t="n"/>
      <c r="N2153" s="22" t="n"/>
    </row>
    <row r="2154">
      <c r="A2154" s="19" t="n"/>
      <c r="E2154" s="20" t="n"/>
      <c r="I2154" s="14" t="n"/>
      <c r="J2154" s="21" t="n"/>
      <c r="N2154" s="22" t="n"/>
    </row>
    <row r="2155">
      <c r="A2155" s="19" t="n"/>
      <c r="E2155" s="20" t="n"/>
      <c r="I2155" s="14" t="n"/>
      <c r="J2155" s="21" t="n"/>
      <c r="N2155" s="22" t="n"/>
    </row>
    <row r="2156">
      <c r="A2156" s="19" t="n"/>
      <c r="E2156" s="20" t="n"/>
      <c r="I2156" s="14" t="n"/>
      <c r="J2156" s="21" t="n"/>
      <c r="N2156" s="22" t="n"/>
    </row>
    <row r="2157">
      <c r="A2157" s="19" t="n"/>
      <c r="E2157" s="20" t="n"/>
      <c r="I2157" s="14" t="n"/>
      <c r="J2157" s="21" t="n"/>
      <c r="N2157" s="22" t="n"/>
    </row>
    <row r="2158">
      <c r="A2158" s="19" t="n"/>
      <c r="E2158" s="20" t="n"/>
      <c r="I2158" s="14" t="n"/>
      <c r="J2158" s="21" t="n"/>
      <c r="N2158" s="22" t="n"/>
    </row>
    <row r="2159">
      <c r="A2159" s="19" t="n"/>
      <c r="E2159" s="20" t="n"/>
      <c r="I2159" s="14" t="n"/>
      <c r="J2159" s="21" t="n"/>
      <c r="N2159" s="22" t="n"/>
    </row>
    <row r="2160">
      <c r="A2160" s="19" t="n"/>
      <c r="E2160" s="20" t="n"/>
      <c r="I2160" s="14" t="n"/>
      <c r="J2160" s="21" t="n"/>
      <c r="N2160" s="22" t="n"/>
    </row>
    <row r="2161">
      <c r="A2161" s="19" t="n"/>
      <c r="E2161" s="20" t="n"/>
      <c r="I2161" s="14" t="n"/>
      <c r="J2161" s="21" t="n"/>
      <c r="N2161" s="22" t="n"/>
    </row>
    <row r="2162">
      <c r="A2162" s="19" t="n"/>
      <c r="E2162" s="20" t="n"/>
      <c r="I2162" s="14" t="n"/>
      <c r="J2162" s="21" t="n"/>
      <c r="N2162" s="22" t="n"/>
    </row>
    <row r="2163">
      <c r="A2163" s="19" t="n"/>
      <c r="E2163" s="20" t="n"/>
      <c r="I2163" s="14" t="n"/>
      <c r="J2163" s="21" t="n"/>
      <c r="N2163" s="22" t="n"/>
    </row>
    <row r="2164">
      <c r="A2164" s="19" t="n"/>
      <c r="E2164" s="20" t="n"/>
      <c r="I2164" s="14" t="n"/>
      <c r="J2164" s="21" t="n"/>
      <c r="N2164" s="22" t="n"/>
    </row>
    <row r="2165">
      <c r="A2165" s="19" t="n"/>
      <c r="E2165" s="20" t="n"/>
      <c r="I2165" s="14" t="n"/>
      <c r="J2165" s="21" t="n"/>
      <c r="N2165" s="22" t="n"/>
    </row>
    <row r="2166">
      <c r="A2166" s="19" t="n"/>
      <c r="E2166" s="20" t="n"/>
      <c r="I2166" s="14" t="n"/>
      <c r="J2166" s="21" t="n"/>
      <c r="N2166" s="22" t="n"/>
    </row>
    <row r="2167">
      <c r="A2167" s="19" t="n"/>
      <c r="E2167" s="20" t="n"/>
      <c r="I2167" s="14" t="n"/>
      <c r="J2167" s="21" t="n"/>
      <c r="N2167" s="22" t="n"/>
    </row>
    <row r="2168">
      <c r="A2168" s="19" t="n"/>
      <c r="E2168" s="20" t="n"/>
      <c r="I2168" s="14" t="n"/>
      <c r="J2168" s="21" t="n"/>
      <c r="N2168" s="22" t="n"/>
    </row>
    <row r="2169">
      <c r="A2169" s="19" t="n"/>
      <c r="E2169" s="20" t="n"/>
      <c r="I2169" s="14" t="n"/>
      <c r="J2169" s="21" t="n"/>
      <c r="N2169" s="22" t="n"/>
    </row>
    <row r="2170">
      <c r="A2170" s="19" t="n"/>
      <c r="E2170" s="20" t="n"/>
      <c r="I2170" s="14" t="n"/>
      <c r="J2170" s="21" t="n"/>
      <c r="N2170" s="22" t="n"/>
    </row>
    <row r="2171">
      <c r="A2171" s="19" t="n"/>
      <c r="E2171" s="20" t="n"/>
      <c r="I2171" s="14" t="n"/>
      <c r="J2171" s="21" t="n"/>
      <c r="N2171" s="22" t="n"/>
    </row>
    <row r="2172">
      <c r="A2172" s="19" t="n"/>
      <c r="E2172" s="20" t="n"/>
      <c r="I2172" s="14" t="n"/>
      <c r="J2172" s="21" t="n"/>
      <c r="N2172" s="22" t="n"/>
    </row>
    <row r="2173">
      <c r="A2173" s="19" t="n"/>
      <c r="E2173" s="20" t="n"/>
      <c r="I2173" s="14" t="n"/>
      <c r="J2173" s="21" t="n"/>
      <c r="N2173" s="22" t="n"/>
    </row>
    <row r="2174">
      <c r="A2174" s="19" t="n"/>
      <c r="E2174" s="20" t="n"/>
      <c r="I2174" s="14" t="n"/>
      <c r="J2174" s="21" t="n"/>
      <c r="N2174" s="22" t="n"/>
    </row>
    <row r="2175">
      <c r="A2175" s="19" t="n"/>
      <c r="E2175" s="20" t="n"/>
      <c r="I2175" s="14" t="n"/>
      <c r="J2175" s="21" t="n"/>
      <c r="N2175" s="22" t="n"/>
    </row>
    <row r="2176">
      <c r="A2176" s="19" t="n"/>
      <c r="E2176" s="20" t="n"/>
      <c r="I2176" s="14" t="n"/>
      <c r="J2176" s="21" t="n"/>
      <c r="N2176" s="22" t="n"/>
    </row>
    <row r="2177">
      <c r="A2177" s="19" t="n"/>
      <c r="E2177" s="20" t="n"/>
      <c r="I2177" s="14" t="n"/>
      <c r="J2177" s="21" t="n"/>
      <c r="N2177" s="22" t="n"/>
    </row>
    <row r="2178">
      <c r="A2178" s="19" t="n"/>
      <c r="E2178" s="20" t="n"/>
      <c r="I2178" s="14" t="n"/>
      <c r="J2178" s="21" t="n"/>
      <c r="N2178" s="22" t="n"/>
    </row>
    <row r="2179">
      <c r="A2179" s="19" t="n"/>
      <c r="E2179" s="20" t="n"/>
      <c r="I2179" s="14" t="n"/>
      <c r="J2179" s="21" t="n"/>
      <c r="N2179" s="22" t="n"/>
    </row>
    <row r="2180">
      <c r="A2180" s="19" t="n"/>
      <c r="E2180" s="20" t="n"/>
      <c r="I2180" s="14" t="n"/>
      <c r="J2180" s="21" t="n"/>
      <c r="N2180" s="22" t="n"/>
    </row>
    <row r="2181">
      <c r="A2181" s="19" t="n"/>
      <c r="E2181" s="20" t="n"/>
      <c r="I2181" s="14" t="n"/>
      <c r="J2181" s="21" t="n"/>
      <c r="N2181" s="22" t="n"/>
    </row>
    <row r="2182">
      <c r="A2182" s="19" t="n"/>
      <c r="E2182" s="20" t="n"/>
      <c r="I2182" s="14" t="n"/>
      <c r="J2182" s="21" t="n"/>
      <c r="N2182" s="22" t="n"/>
    </row>
    <row r="2183">
      <c r="A2183" s="19" t="n"/>
      <c r="E2183" s="20" t="n"/>
      <c r="I2183" s="14" t="n"/>
      <c r="J2183" s="21" t="n"/>
      <c r="N2183" s="22" t="n"/>
    </row>
    <row r="2184">
      <c r="A2184" s="19" t="n"/>
      <c r="E2184" s="20" t="n"/>
      <c r="I2184" s="14" t="n"/>
      <c r="J2184" s="21" t="n"/>
      <c r="N2184" s="22" t="n"/>
    </row>
    <row r="2185">
      <c r="A2185" s="19" t="n"/>
      <c r="E2185" s="20" t="n"/>
      <c r="I2185" s="14" t="n"/>
      <c r="J2185" s="21" t="n"/>
      <c r="N2185" s="22" t="n"/>
    </row>
    <row r="2186">
      <c r="A2186" s="19" t="n"/>
      <c r="E2186" s="20" t="n"/>
      <c r="I2186" s="14" t="n"/>
      <c r="J2186" s="21" t="n"/>
      <c r="N2186" s="22" t="n"/>
    </row>
    <row r="2187">
      <c r="A2187" s="19" t="n"/>
      <c r="E2187" s="20" t="n"/>
      <c r="I2187" s="14" t="n"/>
      <c r="J2187" s="21" t="n"/>
      <c r="N2187" s="22" t="n"/>
    </row>
    <row r="2188">
      <c r="A2188" s="19" t="n"/>
      <c r="E2188" s="20" t="n"/>
      <c r="I2188" s="14" t="n"/>
      <c r="J2188" s="21" t="n"/>
      <c r="N2188" s="22" t="n"/>
    </row>
    <row r="2189">
      <c r="A2189" s="19" t="n"/>
      <c r="E2189" s="20" t="n"/>
      <c r="I2189" s="14" t="n"/>
      <c r="J2189" s="21" t="n"/>
      <c r="N2189" s="22" t="n"/>
    </row>
    <row r="2190">
      <c r="A2190" s="19" t="n"/>
      <c r="E2190" s="20" t="n"/>
      <c r="I2190" s="14" t="n"/>
      <c r="J2190" s="21" t="n"/>
      <c r="N2190" s="22" t="n"/>
    </row>
    <row r="2191">
      <c r="A2191" s="19" t="n"/>
      <c r="E2191" s="20" t="n"/>
      <c r="I2191" s="14" t="n"/>
      <c r="J2191" s="21" t="n"/>
      <c r="N2191" s="22" t="n"/>
    </row>
    <row r="2192">
      <c r="A2192" s="19" t="n"/>
      <c r="E2192" s="20" t="n"/>
      <c r="I2192" s="14" t="n"/>
      <c r="J2192" s="21" t="n"/>
      <c r="N2192" s="22" t="n"/>
    </row>
    <row r="2193">
      <c r="A2193" s="19" t="n"/>
      <c r="E2193" s="20" t="n"/>
      <c r="I2193" s="14" t="n"/>
      <c r="J2193" s="21" t="n"/>
      <c r="N2193" s="22" t="n"/>
    </row>
    <row r="2194">
      <c r="A2194" s="19" t="n"/>
      <c r="E2194" s="20" t="n"/>
      <c r="I2194" s="14" t="n"/>
      <c r="J2194" s="21" t="n"/>
      <c r="N2194" s="22" t="n"/>
    </row>
    <row r="2195">
      <c r="A2195" s="19" t="n"/>
      <c r="E2195" s="20" t="n"/>
      <c r="I2195" s="14" t="n"/>
      <c r="J2195" s="21" t="n"/>
      <c r="N2195" s="22" t="n"/>
    </row>
    <row r="2196">
      <c r="A2196" s="19" t="n"/>
      <c r="E2196" s="20" t="n"/>
      <c r="I2196" s="14" t="n"/>
      <c r="J2196" s="21" t="n"/>
      <c r="N2196" s="22" t="n"/>
    </row>
    <row r="2197">
      <c r="A2197" s="19" t="n"/>
      <c r="E2197" s="20" t="n"/>
      <c r="I2197" s="14" t="n"/>
      <c r="J2197" s="21" t="n"/>
      <c r="N2197" s="22" t="n"/>
    </row>
    <row r="2198">
      <c r="A2198" s="19" t="n"/>
      <c r="E2198" s="20" t="n"/>
      <c r="I2198" s="14" t="n"/>
      <c r="J2198" s="21" t="n"/>
      <c r="N2198" s="22" t="n"/>
    </row>
    <row r="2199">
      <c r="A2199" s="19" t="n"/>
      <c r="E2199" s="20" t="n"/>
      <c r="I2199" s="14" t="n"/>
      <c r="J2199" s="21" t="n"/>
      <c r="N2199" s="22" t="n"/>
    </row>
    <row r="2200">
      <c r="A2200" s="19" t="n"/>
      <c r="E2200" s="20" t="n"/>
      <c r="I2200" s="14" t="n"/>
      <c r="J2200" s="21" t="n"/>
      <c r="N2200" s="22" t="n"/>
    </row>
    <row r="2201">
      <c r="A2201" s="19" t="n"/>
      <c r="E2201" s="20" t="n"/>
      <c r="I2201" s="14" t="n"/>
      <c r="J2201" s="21" t="n"/>
      <c r="N2201" s="22" t="n"/>
    </row>
    <row r="2202">
      <c r="A2202" s="19" t="n"/>
      <c r="E2202" s="20" t="n"/>
      <c r="I2202" s="14" t="n"/>
      <c r="J2202" s="21" t="n"/>
      <c r="N2202" s="22" t="n"/>
    </row>
    <row r="2203">
      <c r="A2203" s="19" t="n"/>
      <c r="E2203" s="20" t="n"/>
      <c r="I2203" s="14" t="n"/>
      <c r="J2203" s="21" t="n"/>
      <c r="N2203" s="22" t="n"/>
    </row>
    <row r="2204">
      <c r="A2204" s="19" t="n"/>
      <c r="E2204" s="20" t="n"/>
      <c r="I2204" s="14" t="n"/>
      <c r="J2204" s="21" t="n"/>
      <c r="N2204" s="22" t="n"/>
    </row>
    <row r="2205">
      <c r="A2205" s="19" t="n"/>
      <c r="E2205" s="20" t="n"/>
      <c r="I2205" s="14" t="n"/>
      <c r="J2205" s="21" t="n"/>
      <c r="N2205" s="22" t="n"/>
    </row>
    <row r="2206">
      <c r="A2206" s="19" t="n"/>
      <c r="E2206" s="20" t="n"/>
      <c r="I2206" s="14" t="n"/>
      <c r="J2206" s="21" t="n"/>
      <c r="N2206" s="22" t="n"/>
    </row>
    <row r="2207">
      <c r="A2207" s="19" t="n"/>
      <c r="E2207" s="20" t="n"/>
      <c r="I2207" s="14" t="n"/>
      <c r="J2207" s="21" t="n"/>
      <c r="N2207" s="22" t="n"/>
    </row>
    <row r="2208">
      <c r="A2208" s="19" t="n"/>
      <c r="E2208" s="20" t="n"/>
      <c r="I2208" s="14" t="n"/>
      <c r="J2208" s="21" t="n"/>
      <c r="N2208" s="22" t="n"/>
    </row>
    <row r="2209">
      <c r="A2209" s="19" t="n"/>
      <c r="E2209" s="20" t="n"/>
      <c r="I2209" s="14" t="n"/>
      <c r="J2209" s="21" t="n"/>
      <c r="N2209" s="22" t="n"/>
    </row>
    <row r="2210">
      <c r="A2210" s="19" t="n"/>
      <c r="E2210" s="20" t="n"/>
      <c r="I2210" s="14" t="n"/>
      <c r="J2210" s="21" t="n"/>
      <c r="N2210" s="22" t="n"/>
    </row>
    <row r="2211">
      <c r="A2211" s="19" t="n"/>
      <c r="E2211" s="20" t="n"/>
      <c r="I2211" s="14" t="n"/>
      <c r="J2211" s="21" t="n"/>
      <c r="N2211" s="22" t="n"/>
    </row>
    <row r="2212">
      <c r="A2212" s="19" t="n"/>
      <c r="E2212" s="20" t="n"/>
      <c r="I2212" s="14" t="n"/>
      <c r="J2212" s="21" t="n"/>
      <c r="N2212" s="22" t="n"/>
    </row>
    <row r="2213">
      <c r="A2213" s="19" t="n"/>
      <c r="E2213" s="20" t="n"/>
      <c r="I2213" s="14" t="n"/>
      <c r="J2213" s="21" t="n"/>
      <c r="N2213" s="22" t="n"/>
    </row>
    <row r="2214">
      <c r="A2214" s="19" t="n"/>
      <c r="E2214" s="20" t="n"/>
      <c r="I2214" s="14" t="n"/>
      <c r="J2214" s="21" t="n"/>
      <c r="N2214" s="22" t="n"/>
    </row>
    <row r="2215">
      <c r="A2215" s="19" t="n"/>
      <c r="E2215" s="20" t="n"/>
      <c r="I2215" s="14" t="n"/>
      <c r="J2215" s="21" t="n"/>
      <c r="N2215" s="22" t="n"/>
    </row>
    <row r="2216">
      <c r="A2216" s="19" t="n"/>
      <c r="E2216" s="20" t="n"/>
      <c r="I2216" s="14" t="n"/>
      <c r="J2216" s="21" t="n"/>
      <c r="N2216" s="22" t="n"/>
    </row>
    <row r="2217">
      <c r="A2217" s="19" t="n"/>
      <c r="E2217" s="20" t="n"/>
      <c r="I2217" s="14" t="n"/>
      <c r="J2217" s="21" t="n"/>
      <c r="N2217" s="22" t="n"/>
    </row>
    <row r="2218">
      <c r="A2218" s="19" t="n"/>
      <c r="E2218" s="20" t="n"/>
      <c r="I2218" s="14" t="n"/>
      <c r="J2218" s="21" t="n"/>
      <c r="N2218" s="22" t="n"/>
    </row>
    <row r="2219">
      <c r="A2219" s="19" t="n"/>
      <c r="E2219" s="20" t="n"/>
      <c r="I2219" s="14" t="n"/>
      <c r="J2219" s="21" t="n"/>
      <c r="N2219" s="22" t="n"/>
    </row>
    <row r="2220">
      <c r="A2220" s="19" t="n"/>
      <c r="E2220" s="20" t="n"/>
      <c r="I2220" s="14" t="n"/>
      <c r="J2220" s="21" t="n"/>
      <c r="N2220" s="22" t="n"/>
    </row>
    <row r="2221">
      <c r="A2221" s="19" t="n"/>
      <c r="E2221" s="20" t="n"/>
      <c r="I2221" s="14" t="n"/>
      <c r="J2221" s="21" t="n"/>
      <c r="N2221" s="22" t="n"/>
    </row>
    <row r="2222">
      <c r="A2222" s="19" t="n"/>
      <c r="E2222" s="20" t="n"/>
      <c r="I2222" s="14" t="n"/>
      <c r="J2222" s="21" t="n"/>
      <c r="N2222" s="22" t="n"/>
    </row>
    <row r="2223">
      <c r="A2223" s="19" t="n"/>
      <c r="E2223" s="20" t="n"/>
      <c r="I2223" s="14" t="n"/>
      <c r="J2223" s="21" t="n"/>
      <c r="N2223" s="22" t="n"/>
    </row>
    <row r="2224">
      <c r="A2224" s="19" t="n"/>
      <c r="E2224" s="20" t="n"/>
      <c r="I2224" s="14" t="n"/>
      <c r="J2224" s="21" t="n"/>
      <c r="N2224" s="22" t="n"/>
    </row>
    <row r="2225">
      <c r="A2225" s="19" t="n"/>
      <c r="E2225" s="20" t="n"/>
      <c r="I2225" s="14" t="n"/>
      <c r="J2225" s="21" t="n"/>
      <c r="N2225" s="22" t="n"/>
    </row>
    <row r="2226">
      <c r="A2226" s="19" t="n"/>
      <c r="E2226" s="20" t="n"/>
      <c r="I2226" s="14" t="n"/>
      <c r="J2226" s="21" t="n"/>
      <c r="N2226" s="22" t="n"/>
    </row>
    <row r="2227">
      <c r="A2227" s="19" t="n"/>
      <c r="E2227" s="20" t="n"/>
      <c r="I2227" s="14" t="n"/>
      <c r="J2227" s="21" t="n"/>
      <c r="N2227" s="22" t="n"/>
    </row>
    <row r="2228">
      <c r="A2228" s="19" t="n"/>
      <c r="E2228" s="20" t="n"/>
      <c r="I2228" s="14" t="n"/>
      <c r="J2228" s="21" t="n"/>
      <c r="N2228" s="22" t="n"/>
    </row>
    <row r="2229">
      <c r="A2229" s="19" t="n"/>
      <c r="E2229" s="20" t="n"/>
      <c r="I2229" s="14" t="n"/>
      <c r="J2229" s="21" t="n"/>
      <c r="N2229" s="22" t="n"/>
    </row>
    <row r="2230">
      <c r="A2230" s="19" t="n"/>
      <c r="E2230" s="20" t="n"/>
      <c r="I2230" s="14" t="n"/>
      <c r="J2230" s="21" t="n"/>
      <c r="N2230" s="22" t="n"/>
    </row>
    <row r="2231">
      <c r="A2231" s="19" t="n"/>
      <c r="E2231" s="20" t="n"/>
      <c r="I2231" s="14" t="n"/>
      <c r="J2231" s="21" t="n"/>
      <c r="N2231" s="22" t="n"/>
    </row>
    <row r="2232">
      <c r="A2232" s="19" t="n"/>
      <c r="E2232" s="20" t="n"/>
      <c r="I2232" s="14" t="n"/>
      <c r="J2232" s="21" t="n"/>
      <c r="N2232" s="22" t="n"/>
    </row>
    <row r="2233">
      <c r="A2233" s="19" t="n"/>
      <c r="E2233" s="20" t="n"/>
      <c r="I2233" s="14" t="n"/>
      <c r="J2233" s="21" t="n"/>
      <c r="N2233" s="22" t="n"/>
    </row>
    <row r="2234">
      <c r="A2234" s="19" t="n"/>
      <c r="E2234" s="20" t="n"/>
      <c r="I2234" s="14" t="n"/>
      <c r="J2234" s="21" t="n"/>
      <c r="N2234" s="22" t="n"/>
    </row>
    <row r="2235">
      <c r="A2235" s="19" t="n"/>
      <c r="E2235" s="20" t="n"/>
      <c r="I2235" s="14" t="n"/>
      <c r="J2235" s="21" t="n"/>
      <c r="N2235" s="22" t="n"/>
    </row>
    <row r="2236">
      <c r="A2236" s="19" t="n"/>
      <c r="E2236" s="20" t="n"/>
      <c r="I2236" s="14" t="n"/>
      <c r="J2236" s="21" t="n"/>
      <c r="N2236" s="22" t="n"/>
    </row>
    <row r="2237">
      <c r="A2237" s="19" t="n"/>
      <c r="E2237" s="20" t="n"/>
      <c r="I2237" s="14" t="n"/>
      <c r="J2237" s="21" t="n"/>
      <c r="N2237" s="22" t="n"/>
    </row>
    <row r="2238">
      <c r="A2238" s="19" t="n"/>
      <c r="E2238" s="20" t="n"/>
      <c r="I2238" s="14" t="n"/>
      <c r="J2238" s="21" t="n"/>
      <c r="N2238" s="22" t="n"/>
    </row>
    <row r="2239">
      <c r="A2239" s="19" t="n"/>
      <c r="E2239" s="20" t="n"/>
      <c r="I2239" s="14" t="n"/>
      <c r="J2239" s="21" t="n"/>
      <c r="N2239" s="22" t="n"/>
    </row>
    <row r="2240">
      <c r="A2240" s="19" t="n"/>
      <c r="E2240" s="20" t="n"/>
      <c r="I2240" s="14" t="n"/>
      <c r="J2240" s="21" t="n"/>
      <c r="N2240" s="22" t="n"/>
    </row>
    <row r="2241">
      <c r="A2241" s="19" t="n"/>
      <c r="E2241" s="20" t="n"/>
      <c r="I2241" s="14" t="n"/>
      <c r="J2241" s="21" t="n"/>
      <c r="N2241" s="22" t="n"/>
    </row>
    <row r="2242">
      <c r="A2242" s="19" t="n"/>
      <c r="E2242" s="20" t="n"/>
      <c r="I2242" s="14" t="n"/>
      <c r="J2242" s="21" t="n"/>
      <c r="N2242" s="22" t="n"/>
    </row>
    <row r="2243">
      <c r="A2243" s="19" t="n"/>
      <c r="E2243" s="20" t="n"/>
      <c r="I2243" s="14" t="n"/>
      <c r="J2243" s="21" t="n"/>
      <c r="N2243" s="22" t="n"/>
    </row>
    <row r="2244">
      <c r="A2244" s="19" t="n"/>
      <c r="E2244" s="20" t="n"/>
      <c r="I2244" s="14" t="n"/>
      <c r="J2244" s="21" t="n"/>
      <c r="N2244" s="22" t="n"/>
    </row>
    <row r="2245">
      <c r="A2245" s="19" t="n"/>
      <c r="E2245" s="20" t="n"/>
      <c r="I2245" s="14" t="n"/>
      <c r="J2245" s="21" t="n"/>
      <c r="N2245" s="22" t="n"/>
    </row>
    <row r="2246">
      <c r="A2246" s="19" t="n"/>
      <c r="E2246" s="20" t="n"/>
      <c r="I2246" s="14" t="n"/>
      <c r="J2246" s="21" t="n"/>
      <c r="N2246" s="22" t="n"/>
    </row>
    <row r="2247">
      <c r="A2247" s="19" t="n"/>
      <c r="E2247" s="20" t="n"/>
      <c r="I2247" s="14" t="n"/>
      <c r="J2247" s="21" t="n"/>
      <c r="N2247" s="22" t="n"/>
    </row>
    <row r="2248">
      <c r="A2248" s="19" t="n"/>
      <c r="E2248" s="20" t="n"/>
      <c r="I2248" s="14" t="n"/>
      <c r="J2248" s="21" t="n"/>
      <c r="N2248" s="22" t="n"/>
    </row>
    <row r="2249">
      <c r="A2249" s="19" t="n"/>
      <c r="E2249" s="20" t="n"/>
      <c r="I2249" s="14" t="n"/>
      <c r="J2249" s="21" t="n"/>
      <c r="N2249" s="22" t="n"/>
    </row>
    <row r="2250">
      <c r="A2250" s="19" t="n"/>
      <c r="E2250" s="20" t="n"/>
      <c r="I2250" s="14" t="n"/>
      <c r="J2250" s="21" t="n"/>
      <c r="N2250" s="22" t="n"/>
    </row>
    <row r="2251">
      <c r="A2251" s="19" t="n"/>
      <c r="E2251" s="20" t="n"/>
      <c r="I2251" s="14" t="n"/>
      <c r="J2251" s="21" t="n"/>
      <c r="N2251" s="22" t="n"/>
    </row>
    <row r="2252">
      <c r="A2252" s="19" t="n"/>
      <c r="E2252" s="20" t="n"/>
      <c r="I2252" s="14" t="n"/>
      <c r="J2252" s="21" t="n"/>
      <c r="N2252" s="22" t="n"/>
    </row>
    <row r="2253">
      <c r="A2253" s="19" t="n"/>
      <c r="E2253" s="20" t="n"/>
      <c r="I2253" s="14" t="n"/>
      <c r="J2253" s="21" t="n"/>
      <c r="N2253" s="22" t="n"/>
    </row>
    <row r="2254">
      <c r="A2254" s="19" t="n"/>
      <c r="E2254" s="20" t="n"/>
      <c r="I2254" s="14" t="n"/>
      <c r="J2254" s="21" t="n"/>
      <c r="N2254" s="22" t="n"/>
    </row>
    <row r="2255">
      <c r="A2255" s="19" t="n"/>
      <c r="E2255" s="20" t="n"/>
      <c r="I2255" s="14" t="n"/>
      <c r="J2255" s="21" t="n"/>
      <c r="N2255" s="22" t="n"/>
    </row>
    <row r="2256">
      <c r="A2256" s="19" t="n"/>
      <c r="E2256" s="20" t="n"/>
      <c r="I2256" s="14" t="n"/>
      <c r="J2256" s="21" t="n"/>
      <c r="N2256" s="22" t="n"/>
    </row>
    <row r="2257">
      <c r="A2257" s="19" t="n"/>
      <c r="E2257" s="20" t="n"/>
      <c r="I2257" s="14" t="n"/>
      <c r="J2257" s="21" t="n"/>
      <c r="N2257" s="22" t="n"/>
    </row>
    <row r="2258">
      <c r="A2258" s="19" t="n"/>
      <c r="E2258" s="20" t="n"/>
      <c r="I2258" s="14" t="n"/>
      <c r="J2258" s="21" t="n"/>
      <c r="N2258" s="22" t="n"/>
    </row>
    <row r="2259">
      <c r="A2259" s="19" t="n"/>
      <c r="E2259" s="20" t="n"/>
      <c r="I2259" s="14" t="n"/>
      <c r="J2259" s="21" t="n"/>
      <c r="N2259" s="22" t="n"/>
    </row>
    <row r="2260">
      <c r="A2260" s="19" t="n"/>
      <c r="E2260" s="20" t="n"/>
      <c r="I2260" s="14" t="n"/>
      <c r="J2260" s="21" t="n"/>
      <c r="N2260" s="22" t="n"/>
    </row>
    <row r="2261">
      <c r="A2261" s="19" t="n"/>
      <c r="E2261" s="20" t="n"/>
      <c r="I2261" s="14" t="n"/>
      <c r="J2261" s="21" t="n"/>
      <c r="N2261" s="22" t="n"/>
    </row>
    <row r="2262">
      <c r="A2262" s="19" t="n"/>
      <c r="E2262" s="20" t="n"/>
      <c r="I2262" s="14" t="n"/>
      <c r="J2262" s="21" t="n"/>
      <c r="N2262" s="22" t="n"/>
    </row>
    <row r="2263">
      <c r="A2263" s="19" t="n"/>
      <c r="E2263" s="20" t="n"/>
      <c r="I2263" s="14" t="n"/>
      <c r="J2263" s="21" t="n"/>
      <c r="N2263" s="22" t="n"/>
    </row>
    <row r="2264">
      <c r="A2264" s="19" t="n"/>
      <c r="E2264" s="20" t="n"/>
      <c r="I2264" s="14" t="n"/>
      <c r="J2264" s="21" t="n"/>
      <c r="N2264" s="22" t="n"/>
    </row>
    <row r="2265">
      <c r="A2265" s="19" t="n"/>
      <c r="E2265" s="20" t="n"/>
      <c r="I2265" s="14" t="n"/>
      <c r="J2265" s="21" t="n"/>
      <c r="N2265" s="22" t="n"/>
    </row>
    <row r="2266">
      <c r="A2266" s="19" t="n"/>
      <c r="E2266" s="20" t="n"/>
      <c r="I2266" s="14" t="n"/>
      <c r="J2266" s="21" t="n"/>
      <c r="N2266" s="22" t="n"/>
    </row>
    <row r="2267">
      <c r="A2267" s="19" t="n"/>
      <c r="E2267" s="20" t="n"/>
      <c r="I2267" s="14" t="n"/>
      <c r="J2267" s="21" t="n"/>
      <c r="N2267" s="22" t="n"/>
    </row>
    <row r="2268">
      <c r="A2268" s="19" t="n"/>
      <c r="E2268" s="20" t="n"/>
      <c r="I2268" s="14" t="n"/>
      <c r="J2268" s="21" t="n"/>
      <c r="N2268" s="22" t="n"/>
    </row>
    <row r="2269">
      <c r="A2269" s="19" t="n"/>
      <c r="E2269" s="20" t="n"/>
      <c r="I2269" s="14" t="n"/>
      <c r="J2269" s="21" t="n"/>
      <c r="N2269" s="22" t="n"/>
    </row>
    <row r="2270">
      <c r="A2270" s="19" t="n"/>
      <c r="E2270" s="20" t="n"/>
      <c r="I2270" s="14" t="n"/>
      <c r="J2270" s="21" t="n"/>
      <c r="N2270" s="22" t="n"/>
    </row>
    <row r="2271">
      <c r="A2271" s="19" t="n"/>
      <c r="E2271" s="20" t="n"/>
      <c r="I2271" s="14" t="n"/>
      <c r="J2271" s="21" t="n"/>
      <c r="N2271" s="22" t="n"/>
    </row>
    <row r="2272">
      <c r="A2272" s="19" t="n"/>
      <c r="E2272" s="20" t="n"/>
      <c r="I2272" s="14" t="n"/>
      <c r="J2272" s="21" t="n"/>
      <c r="N2272" s="22" t="n"/>
    </row>
    <row r="2273">
      <c r="A2273" s="19" t="n"/>
      <c r="E2273" s="20" t="n"/>
      <c r="I2273" s="14" t="n"/>
      <c r="J2273" s="21" t="n"/>
      <c r="N2273" s="22" t="n"/>
    </row>
    <row r="2274">
      <c r="A2274" s="19" t="n"/>
      <c r="E2274" s="20" t="n"/>
      <c r="I2274" s="14" t="n"/>
      <c r="J2274" s="21" t="n"/>
      <c r="N2274" s="22" t="n"/>
    </row>
    <row r="2275">
      <c r="A2275" s="19" t="n"/>
      <c r="E2275" s="20" t="n"/>
      <c r="I2275" s="14" t="n"/>
      <c r="J2275" s="21" t="n"/>
      <c r="N2275" s="22" t="n"/>
    </row>
    <row r="2276">
      <c r="A2276" s="19" t="n"/>
      <c r="E2276" s="20" t="n"/>
      <c r="I2276" s="14" t="n"/>
      <c r="J2276" s="21" t="n"/>
      <c r="N2276" s="22" t="n"/>
    </row>
    <row r="2277">
      <c r="A2277" s="19" t="n"/>
      <c r="E2277" s="20" t="n"/>
      <c r="I2277" s="14" t="n"/>
      <c r="J2277" s="21" t="n"/>
      <c r="N2277" s="22" t="n"/>
    </row>
    <row r="2278">
      <c r="A2278" s="19" t="n"/>
      <c r="E2278" s="20" t="n"/>
      <c r="I2278" s="14" t="n"/>
      <c r="J2278" s="21" t="n"/>
      <c r="N2278" s="22" t="n"/>
    </row>
    <row r="2279">
      <c r="A2279" s="19" t="n"/>
      <c r="E2279" s="20" t="n"/>
      <c r="I2279" s="14" t="n"/>
      <c r="J2279" s="21" t="n"/>
      <c r="N2279" s="22" t="n"/>
    </row>
    <row r="2280">
      <c r="A2280" s="19" t="n"/>
      <c r="E2280" s="20" t="n"/>
      <c r="I2280" s="14" t="n"/>
      <c r="J2280" s="21" t="n"/>
      <c r="N2280" s="22" t="n"/>
    </row>
    <row r="2281">
      <c r="A2281" s="19" t="n"/>
      <c r="E2281" s="20" t="n"/>
      <c r="I2281" s="14" t="n"/>
      <c r="J2281" s="21" t="n"/>
      <c r="N2281" s="22" t="n"/>
    </row>
    <row r="2282">
      <c r="A2282" s="19" t="n"/>
      <c r="E2282" s="20" t="n"/>
      <c r="I2282" s="14" t="n"/>
      <c r="J2282" s="21" t="n"/>
      <c r="N2282" s="22" t="n"/>
    </row>
    <row r="2283">
      <c r="A2283" s="19" t="n"/>
      <c r="E2283" s="20" t="n"/>
      <c r="I2283" s="14" t="n"/>
      <c r="J2283" s="21" t="n"/>
      <c r="N2283" s="22" t="n"/>
    </row>
    <row r="2284">
      <c r="A2284" s="19" t="n"/>
      <c r="E2284" s="20" t="n"/>
      <c r="I2284" s="14" t="n"/>
      <c r="J2284" s="21" t="n"/>
      <c r="N2284" s="22" t="n"/>
    </row>
    <row r="2285">
      <c r="A2285" s="19" t="n"/>
      <c r="E2285" s="20" t="n"/>
      <c r="I2285" s="14" t="n"/>
      <c r="J2285" s="21" t="n"/>
      <c r="N2285" s="22" t="n"/>
    </row>
    <row r="2286">
      <c r="A2286" s="19" t="n"/>
      <c r="E2286" s="20" t="n"/>
      <c r="I2286" s="14" t="n"/>
      <c r="J2286" s="21" t="n"/>
      <c r="N2286" s="22" t="n"/>
    </row>
    <row r="2287">
      <c r="A2287" s="19" t="n"/>
      <c r="E2287" s="20" t="n"/>
      <c r="I2287" s="14" t="n"/>
      <c r="J2287" s="21" t="n"/>
      <c r="N2287" s="22" t="n"/>
    </row>
    <row r="2288">
      <c r="A2288" s="19" t="n"/>
      <c r="E2288" s="20" t="n"/>
      <c r="I2288" s="14" t="n"/>
      <c r="J2288" s="21" t="n"/>
      <c r="N2288" s="22" t="n"/>
    </row>
    <row r="2289">
      <c r="A2289" s="19" t="n"/>
      <c r="E2289" s="20" t="n"/>
      <c r="I2289" s="14" t="n"/>
      <c r="J2289" s="21" t="n"/>
      <c r="N2289" s="22" t="n"/>
    </row>
    <row r="2290">
      <c r="A2290" s="19" t="n"/>
      <c r="E2290" s="20" t="n"/>
      <c r="I2290" s="14" t="n"/>
      <c r="J2290" s="21" t="n"/>
      <c r="N2290" s="22" t="n"/>
    </row>
    <row r="2291">
      <c r="A2291" s="19" t="n"/>
      <c r="E2291" s="20" t="n"/>
      <c r="I2291" s="14" t="n"/>
      <c r="J2291" s="21" t="n"/>
      <c r="N2291" s="22" t="n"/>
    </row>
    <row r="2292">
      <c r="A2292" s="19" t="n"/>
      <c r="E2292" s="20" t="n"/>
      <c r="I2292" s="14" t="n"/>
      <c r="J2292" s="21" t="n"/>
      <c r="N2292" s="22" t="n"/>
    </row>
    <row r="2293">
      <c r="A2293" s="19" t="n"/>
      <c r="E2293" s="20" t="n"/>
      <c r="I2293" s="14" t="n"/>
      <c r="J2293" s="21" t="n"/>
      <c r="N2293" s="22" t="n"/>
    </row>
    <row r="2294">
      <c r="A2294" s="19" t="n"/>
      <c r="E2294" s="20" t="n"/>
      <c r="I2294" s="14" t="n"/>
      <c r="J2294" s="21" t="n"/>
      <c r="N2294" s="22" t="n"/>
    </row>
    <row r="2295">
      <c r="A2295" s="19" t="n"/>
      <c r="E2295" s="20" t="n"/>
      <c r="I2295" s="14" t="n"/>
      <c r="J2295" s="21" t="n"/>
      <c r="N2295" s="22" t="n"/>
    </row>
    <row r="2296">
      <c r="A2296" s="19" t="n"/>
      <c r="E2296" s="20" t="n"/>
      <c r="I2296" s="14" t="n"/>
      <c r="J2296" s="21" t="n"/>
      <c r="N2296" s="22" t="n"/>
    </row>
    <row r="2297">
      <c r="A2297" s="19" t="n"/>
      <c r="E2297" s="20" t="n"/>
      <c r="I2297" s="14" t="n"/>
      <c r="J2297" s="21" t="n"/>
      <c r="N2297" s="22" t="n"/>
    </row>
    <row r="2298">
      <c r="A2298" s="19" t="n"/>
      <c r="E2298" s="20" t="n"/>
      <c r="I2298" s="14" t="n"/>
      <c r="J2298" s="21" t="n"/>
      <c r="N2298" s="22" t="n"/>
    </row>
    <row r="2299">
      <c r="A2299" s="19" t="n"/>
      <c r="E2299" s="20" t="n"/>
      <c r="I2299" s="14" t="n"/>
      <c r="J2299" s="21" t="n"/>
      <c r="N2299" s="22" t="n"/>
    </row>
    <row r="2300">
      <c r="A2300" s="19" t="n"/>
      <c r="E2300" s="20" t="n"/>
      <c r="I2300" s="14" t="n"/>
      <c r="J2300" s="21" t="n"/>
      <c r="N2300" s="22" t="n"/>
    </row>
    <row r="2301">
      <c r="A2301" s="19" t="n"/>
      <c r="E2301" s="20" t="n"/>
      <c r="I2301" s="14" t="n"/>
      <c r="J2301" s="21" t="n"/>
      <c r="N2301" s="22" t="n"/>
    </row>
    <row r="2302">
      <c r="A2302" s="19" t="n"/>
      <c r="E2302" s="20" t="n"/>
      <c r="I2302" s="14" t="n"/>
      <c r="J2302" s="21" t="n"/>
      <c r="N2302" s="22" t="n"/>
    </row>
    <row r="2303">
      <c r="A2303" s="19" t="n"/>
      <c r="E2303" s="20" t="n"/>
      <c r="I2303" s="14" t="n"/>
      <c r="J2303" s="21" t="n"/>
      <c r="N2303" s="22" t="n"/>
    </row>
    <row r="2304">
      <c r="A2304" s="19" t="n"/>
      <c r="E2304" s="20" t="n"/>
      <c r="I2304" s="14" t="n"/>
      <c r="J2304" s="21" t="n"/>
      <c r="N2304" s="22" t="n"/>
    </row>
    <row r="2305">
      <c r="A2305" s="19" t="n"/>
      <c r="E2305" s="20" t="n"/>
      <c r="I2305" s="14" t="n"/>
      <c r="J2305" s="21" t="n"/>
      <c r="N2305" s="22" t="n"/>
    </row>
    <row r="2306">
      <c r="A2306" s="19" t="n"/>
      <c r="E2306" s="20" t="n"/>
      <c r="I2306" s="14" t="n"/>
      <c r="J2306" s="21" t="n"/>
      <c r="N2306" s="22" t="n"/>
    </row>
    <row r="2307">
      <c r="A2307" s="19" t="n"/>
      <c r="E2307" s="20" t="n"/>
      <c r="I2307" s="14" t="n"/>
      <c r="J2307" s="21" t="n"/>
      <c r="N2307" s="22" t="n"/>
    </row>
    <row r="2308">
      <c r="A2308" s="19" t="n"/>
      <c r="E2308" s="20" t="n"/>
      <c r="I2308" s="14" t="n"/>
      <c r="J2308" s="21" t="n"/>
      <c r="N2308" s="22" t="n"/>
    </row>
    <row r="2309">
      <c r="A2309" s="19" t="n"/>
      <c r="E2309" s="20" t="n"/>
      <c r="I2309" s="14" t="n"/>
      <c r="J2309" s="21" t="n"/>
      <c r="N2309" s="22" t="n"/>
    </row>
    <row r="2310">
      <c r="A2310" s="19" t="n"/>
      <c r="E2310" s="20" t="n"/>
      <c r="I2310" s="14" t="n"/>
      <c r="J2310" s="21" t="n"/>
      <c r="N2310" s="22" t="n"/>
    </row>
    <row r="2311">
      <c r="A2311" s="19" t="n"/>
      <c r="E2311" s="20" t="n"/>
      <c r="I2311" s="14" t="n"/>
      <c r="J2311" s="21" t="n"/>
      <c r="N2311" s="22" t="n"/>
    </row>
    <row r="2312">
      <c r="A2312" s="19" t="n"/>
      <c r="E2312" s="20" t="n"/>
      <c r="I2312" s="14" t="n"/>
      <c r="J2312" s="21" t="n"/>
      <c r="N2312" s="22" t="n"/>
    </row>
    <row r="2313">
      <c r="A2313" s="19" t="n"/>
      <c r="E2313" s="20" t="n"/>
      <c r="I2313" s="14" t="n"/>
      <c r="J2313" s="21" t="n"/>
      <c r="N2313" s="22" t="n"/>
    </row>
    <row r="2314">
      <c r="A2314" s="19" t="n"/>
      <c r="E2314" s="20" t="n"/>
      <c r="I2314" s="14" t="n"/>
      <c r="J2314" s="21" t="n"/>
      <c r="N2314" s="22" t="n"/>
    </row>
    <row r="2315">
      <c r="A2315" s="19" t="n"/>
      <c r="E2315" s="20" t="n"/>
      <c r="I2315" s="14" t="n"/>
      <c r="J2315" s="21" t="n"/>
      <c r="N2315" s="22" t="n"/>
    </row>
    <row r="2316">
      <c r="A2316" s="19" t="n"/>
      <c r="E2316" s="20" t="n"/>
      <c r="I2316" s="14" t="n"/>
      <c r="J2316" s="21" t="n"/>
      <c r="N2316" s="22" t="n"/>
    </row>
    <row r="2317">
      <c r="A2317" s="19" t="n"/>
      <c r="E2317" s="20" t="n"/>
      <c r="I2317" s="14" t="n"/>
      <c r="J2317" s="21" t="n"/>
      <c r="N2317" s="22" t="n"/>
    </row>
    <row r="2318">
      <c r="A2318" s="19" t="n"/>
      <c r="E2318" s="20" t="n"/>
      <c r="I2318" s="14" t="n"/>
      <c r="J2318" s="21" t="n"/>
      <c r="N2318" s="22" t="n"/>
    </row>
    <row r="2319">
      <c r="A2319" s="19" t="n"/>
      <c r="E2319" s="20" t="n"/>
      <c r="I2319" s="14" t="n"/>
      <c r="J2319" s="21" t="n"/>
      <c r="N2319" s="22" t="n"/>
    </row>
    <row r="2320">
      <c r="A2320" s="19" t="n"/>
      <c r="E2320" s="20" t="n"/>
      <c r="I2320" s="14" t="n"/>
      <c r="J2320" s="21" t="n"/>
      <c r="N2320" s="22" t="n"/>
    </row>
    <row r="2321">
      <c r="A2321" s="19" t="n"/>
      <c r="E2321" s="20" t="n"/>
      <c r="I2321" s="14" t="n"/>
      <c r="J2321" s="21" t="n"/>
      <c r="N2321" s="22" t="n"/>
    </row>
    <row r="2322">
      <c r="A2322" s="19" t="n"/>
      <c r="E2322" s="20" t="n"/>
      <c r="I2322" s="14" t="n"/>
      <c r="J2322" s="21" t="n"/>
      <c r="N2322" s="22" t="n"/>
    </row>
    <row r="2323">
      <c r="A2323" s="19" t="n"/>
      <c r="E2323" s="20" t="n"/>
      <c r="I2323" s="14" t="n"/>
      <c r="J2323" s="21" t="n"/>
      <c r="N2323" s="22" t="n"/>
    </row>
    <row r="2324">
      <c r="A2324" s="19" t="n"/>
      <c r="E2324" s="20" t="n"/>
      <c r="I2324" s="14" t="n"/>
      <c r="J2324" s="21" t="n"/>
      <c r="N2324" s="22" t="n"/>
    </row>
    <row r="2325">
      <c r="A2325" s="19" t="n"/>
      <c r="E2325" s="20" t="n"/>
      <c r="I2325" s="14" t="n"/>
      <c r="J2325" s="21" t="n"/>
      <c r="N2325" s="22" t="n"/>
    </row>
    <row r="2326">
      <c r="A2326" s="19" t="n"/>
      <c r="E2326" s="20" t="n"/>
      <c r="I2326" s="14" t="n"/>
      <c r="J2326" s="21" t="n"/>
      <c r="N2326" s="22" t="n"/>
    </row>
    <row r="2327">
      <c r="A2327" s="19" t="n"/>
      <c r="E2327" s="20" t="n"/>
      <c r="I2327" s="14" t="n"/>
      <c r="J2327" s="21" t="n"/>
      <c r="N2327" s="22" t="n"/>
    </row>
    <row r="2328">
      <c r="A2328" s="19" t="n"/>
      <c r="E2328" s="20" t="n"/>
      <c r="I2328" s="14" t="n"/>
      <c r="J2328" s="21" t="n"/>
      <c r="N2328" s="22" t="n"/>
    </row>
    <row r="2329">
      <c r="A2329" s="19" t="n"/>
      <c r="E2329" s="20" t="n"/>
      <c r="I2329" s="14" t="n"/>
      <c r="J2329" s="21" t="n"/>
      <c r="N2329" s="22" t="n"/>
    </row>
    <row r="2330">
      <c r="A2330" s="19" t="n"/>
      <c r="E2330" s="20" t="n"/>
      <c r="I2330" s="14" t="n"/>
      <c r="J2330" s="21" t="n"/>
      <c r="N2330" s="22" t="n"/>
    </row>
    <row r="2331">
      <c r="A2331" s="19" t="n"/>
      <c r="E2331" s="20" t="n"/>
      <c r="I2331" s="14" t="n"/>
      <c r="J2331" s="21" t="n"/>
      <c r="N2331" s="22" t="n"/>
    </row>
    <row r="2332">
      <c r="A2332" s="19" t="n"/>
      <c r="E2332" s="20" t="n"/>
      <c r="I2332" s="14" t="n"/>
      <c r="J2332" s="21" t="n"/>
      <c r="N2332" s="22" t="n"/>
    </row>
    <row r="2333">
      <c r="A2333" s="19" t="n"/>
      <c r="E2333" s="20" t="n"/>
      <c r="I2333" s="14" t="n"/>
      <c r="J2333" s="21" t="n"/>
      <c r="N2333" s="22" t="n"/>
    </row>
    <row r="2334">
      <c r="A2334" s="19" t="n"/>
      <c r="E2334" s="20" t="n"/>
      <c r="I2334" s="14" t="n"/>
      <c r="J2334" s="21" t="n"/>
      <c r="N2334" s="22" t="n"/>
    </row>
    <row r="2335">
      <c r="A2335" s="19" t="n"/>
      <c r="E2335" s="20" t="n"/>
      <c r="I2335" s="14" t="n"/>
      <c r="J2335" s="21" t="n"/>
      <c r="N2335" s="22" t="n"/>
    </row>
    <row r="2336">
      <c r="A2336" s="19" t="n"/>
      <c r="E2336" s="20" t="n"/>
      <c r="I2336" s="14" t="n"/>
      <c r="J2336" s="21" t="n"/>
      <c r="N2336" s="22" t="n"/>
    </row>
    <row r="2337">
      <c r="A2337" s="19" t="n"/>
      <c r="E2337" s="20" t="n"/>
      <c r="I2337" s="14" t="n"/>
      <c r="J2337" s="21" t="n"/>
      <c r="N2337" s="22" t="n"/>
    </row>
    <row r="2338">
      <c r="A2338" s="19" t="n"/>
      <c r="E2338" s="20" t="n"/>
      <c r="I2338" s="14" t="n"/>
      <c r="J2338" s="21" t="n"/>
      <c r="N2338" s="22" t="n"/>
    </row>
    <row r="2339">
      <c r="A2339" s="19" t="n"/>
      <c r="E2339" s="20" t="n"/>
      <c r="I2339" s="14" t="n"/>
      <c r="J2339" s="21" t="n"/>
      <c r="N2339" s="22" t="n"/>
    </row>
    <row r="2340">
      <c r="A2340" s="19" t="n"/>
      <c r="E2340" s="20" t="n"/>
      <c r="I2340" s="14" t="n"/>
      <c r="J2340" s="21" t="n"/>
      <c r="N2340" s="22" t="n"/>
    </row>
    <row r="2341">
      <c r="A2341" s="19" t="n"/>
      <c r="E2341" s="20" t="n"/>
      <c r="I2341" s="14" t="n"/>
      <c r="J2341" s="21" t="n"/>
      <c r="N2341" s="22" t="n"/>
    </row>
    <row r="2342">
      <c r="A2342" s="19" t="n"/>
      <c r="E2342" s="20" t="n"/>
      <c r="I2342" s="14" t="n"/>
      <c r="J2342" s="21" t="n"/>
      <c r="N2342" s="22" t="n"/>
    </row>
    <row r="2343">
      <c r="A2343" s="19" t="n"/>
      <c r="E2343" s="20" t="n"/>
      <c r="I2343" s="14" t="n"/>
      <c r="J2343" s="21" t="n"/>
      <c r="N2343" s="22" t="n"/>
    </row>
    <row r="2344">
      <c r="A2344" s="19" t="n"/>
      <c r="E2344" s="20" t="n"/>
      <c r="I2344" s="14" t="n"/>
      <c r="J2344" s="21" t="n"/>
      <c r="N2344" s="22" t="n"/>
    </row>
    <row r="2345">
      <c r="A2345" s="19" t="n"/>
      <c r="E2345" s="20" t="n"/>
      <c r="I2345" s="14" t="n"/>
      <c r="J2345" s="21" t="n"/>
      <c r="N2345" s="22" t="n"/>
    </row>
    <row r="2346">
      <c r="A2346" s="19" t="n"/>
      <c r="E2346" s="20" t="n"/>
      <c r="I2346" s="14" t="n"/>
      <c r="J2346" s="21" t="n"/>
      <c r="N2346" s="22" t="n"/>
    </row>
    <row r="2347">
      <c r="A2347" s="19" t="n"/>
      <c r="E2347" s="20" t="n"/>
      <c r="I2347" s="14" t="n"/>
      <c r="J2347" s="21" t="n"/>
      <c r="N2347" s="22" t="n"/>
    </row>
    <row r="2348">
      <c r="A2348" s="19" t="n"/>
      <c r="E2348" s="20" t="n"/>
      <c r="I2348" s="14" t="n"/>
      <c r="J2348" s="21" t="n"/>
      <c r="N2348" s="22" t="n"/>
    </row>
    <row r="2349">
      <c r="A2349" s="19" t="n"/>
      <c r="E2349" s="20" t="n"/>
      <c r="I2349" s="14" t="n"/>
      <c r="J2349" s="21" t="n"/>
      <c r="N2349" s="22" t="n"/>
    </row>
    <row r="2350">
      <c r="A2350" s="19" t="n"/>
      <c r="E2350" s="20" t="n"/>
      <c r="I2350" s="14" t="n"/>
      <c r="J2350" s="21" t="n"/>
      <c r="N2350" s="22" t="n"/>
    </row>
    <row r="2351">
      <c r="A2351" s="19" t="n"/>
      <c r="E2351" s="20" t="n"/>
      <c r="I2351" s="14" t="n"/>
      <c r="J2351" s="21" t="n"/>
      <c r="N2351" s="22" t="n"/>
    </row>
    <row r="2352">
      <c r="A2352" s="19" t="n"/>
      <c r="E2352" s="20" t="n"/>
      <c r="I2352" s="14" t="n"/>
      <c r="J2352" s="21" t="n"/>
      <c r="N2352" s="22" t="n"/>
    </row>
    <row r="2353">
      <c r="A2353" s="19" t="n"/>
      <c r="E2353" s="20" t="n"/>
      <c r="I2353" s="14" t="n"/>
      <c r="J2353" s="21" t="n"/>
      <c r="N2353" s="22" t="n"/>
    </row>
    <row r="2354">
      <c r="A2354" s="19" t="n"/>
      <c r="E2354" s="20" t="n"/>
      <c r="I2354" s="14" t="n"/>
      <c r="J2354" s="21" t="n"/>
      <c r="N2354" s="22" t="n"/>
    </row>
    <row r="2355">
      <c r="A2355" s="19" t="n"/>
      <c r="E2355" s="20" t="n"/>
      <c r="I2355" s="14" t="n"/>
      <c r="J2355" s="21" t="n"/>
      <c r="N2355" s="22" t="n"/>
    </row>
    <row r="2356">
      <c r="A2356" s="19" t="n"/>
      <c r="E2356" s="20" t="n"/>
      <c r="I2356" s="14" t="n"/>
      <c r="J2356" s="21" t="n"/>
      <c r="N2356" s="22" t="n"/>
    </row>
    <row r="2357">
      <c r="A2357" s="19" t="n"/>
      <c r="E2357" s="20" t="n"/>
      <c r="I2357" s="14" t="n"/>
      <c r="J2357" s="21" t="n"/>
      <c r="N2357" s="22" t="n"/>
    </row>
    <row r="2358">
      <c r="A2358" s="19" t="n"/>
      <c r="E2358" s="20" t="n"/>
      <c r="I2358" s="14" t="n"/>
      <c r="J2358" s="21" t="n"/>
      <c r="N2358" s="22" t="n"/>
    </row>
    <row r="2359">
      <c r="A2359" s="19" t="n"/>
      <c r="E2359" s="20" t="n"/>
      <c r="I2359" s="14" t="n"/>
      <c r="J2359" s="21" t="n"/>
      <c r="N2359" s="22" t="n"/>
    </row>
    <row r="2360">
      <c r="A2360" s="19" t="n"/>
      <c r="E2360" s="20" t="n"/>
      <c r="I2360" s="14" t="n"/>
      <c r="J2360" s="21" t="n"/>
      <c r="N2360" s="22" t="n"/>
    </row>
    <row r="2361">
      <c r="A2361" s="19" t="n"/>
      <c r="E2361" s="20" t="n"/>
      <c r="I2361" s="14" t="n"/>
      <c r="J2361" s="21" t="n"/>
      <c r="N2361" s="22" t="n"/>
    </row>
    <row r="2362">
      <c r="A2362" s="19" t="n"/>
      <c r="E2362" s="20" t="n"/>
      <c r="I2362" s="14" t="n"/>
      <c r="J2362" s="21" t="n"/>
      <c r="N2362" s="22" t="n"/>
    </row>
    <row r="2363">
      <c r="A2363" s="19" t="n"/>
      <c r="E2363" s="20" t="n"/>
      <c r="I2363" s="14" t="n"/>
      <c r="J2363" s="21" t="n"/>
      <c r="N2363" s="22" t="n"/>
    </row>
    <row r="2364">
      <c r="A2364" s="19" t="n"/>
      <c r="E2364" s="20" t="n"/>
      <c r="I2364" s="14" t="n"/>
      <c r="J2364" s="21" t="n"/>
      <c r="N2364" s="22" t="n"/>
    </row>
    <row r="2365">
      <c r="A2365" s="19" t="n"/>
      <c r="E2365" s="20" t="n"/>
      <c r="I2365" s="14" t="n"/>
      <c r="J2365" s="21" t="n"/>
      <c r="N2365" s="22" t="n"/>
    </row>
    <row r="2366">
      <c r="A2366" s="19" t="n"/>
      <c r="E2366" s="20" t="n"/>
      <c r="I2366" s="14" t="n"/>
      <c r="J2366" s="21" t="n"/>
      <c r="N2366" s="22" t="n"/>
    </row>
    <row r="2367">
      <c r="A2367" s="19" t="n"/>
      <c r="E2367" s="20" t="n"/>
      <c r="I2367" s="14" t="n"/>
      <c r="J2367" s="21" t="n"/>
      <c r="N2367" s="22" t="n"/>
    </row>
    <row r="2368">
      <c r="A2368" s="19" t="n"/>
      <c r="E2368" s="20" t="n"/>
      <c r="I2368" s="14" t="n"/>
      <c r="J2368" s="21" t="n"/>
      <c r="N2368" s="22" t="n"/>
    </row>
    <row r="2369">
      <c r="A2369" s="19" t="n"/>
      <c r="E2369" s="20" t="n"/>
      <c r="I2369" s="14" t="n"/>
      <c r="J2369" s="21" t="n"/>
      <c r="N2369" s="22" t="n"/>
    </row>
    <row r="2370">
      <c r="A2370" s="19" t="n"/>
      <c r="E2370" s="20" t="n"/>
      <c r="I2370" s="14" t="n"/>
      <c r="J2370" s="21" t="n"/>
      <c r="N2370" s="22" t="n"/>
    </row>
    <row r="2371">
      <c r="A2371" s="19" t="n"/>
      <c r="E2371" s="20" t="n"/>
      <c r="I2371" s="14" t="n"/>
      <c r="J2371" s="21" t="n"/>
      <c r="N2371" s="22" t="n"/>
    </row>
    <row r="2372">
      <c r="A2372" s="19" t="n"/>
      <c r="E2372" s="20" t="n"/>
      <c r="I2372" s="14" t="n"/>
      <c r="J2372" s="21" t="n"/>
      <c r="N2372" s="22" t="n"/>
    </row>
    <row r="2373">
      <c r="A2373" s="19" t="n"/>
      <c r="E2373" s="20" t="n"/>
      <c r="I2373" s="14" t="n"/>
      <c r="J2373" s="21" t="n"/>
      <c r="N2373" s="22" t="n"/>
    </row>
    <row r="2374">
      <c r="A2374" s="19" t="n"/>
      <c r="E2374" s="20" t="n"/>
      <c r="I2374" s="14" t="n"/>
      <c r="J2374" s="21" t="n"/>
      <c r="N2374" s="22" t="n"/>
    </row>
    <row r="2375">
      <c r="A2375" s="19" t="n"/>
      <c r="E2375" s="20" t="n"/>
      <c r="I2375" s="14" t="n"/>
      <c r="J2375" s="21" t="n"/>
      <c r="N2375" s="22" t="n"/>
    </row>
    <row r="2376">
      <c r="A2376" s="19" t="n"/>
      <c r="E2376" s="20" t="n"/>
      <c r="I2376" s="14" t="n"/>
      <c r="J2376" s="21" t="n"/>
      <c r="N2376" s="22" t="n"/>
    </row>
    <row r="2377">
      <c r="A2377" s="19" t="n"/>
      <c r="E2377" s="20" t="n"/>
      <c r="I2377" s="14" t="n"/>
      <c r="J2377" s="21" t="n"/>
      <c r="N2377" s="22" t="n"/>
    </row>
    <row r="2378">
      <c r="A2378" s="19" t="n"/>
      <c r="E2378" s="20" t="n"/>
      <c r="I2378" s="14" t="n"/>
      <c r="J2378" s="21" t="n"/>
      <c r="N2378" s="22" t="n"/>
    </row>
    <row r="2379">
      <c r="A2379" s="19" t="n"/>
      <c r="E2379" s="20" t="n"/>
      <c r="I2379" s="14" t="n"/>
      <c r="J2379" s="21" t="n"/>
      <c r="N2379" s="22" t="n"/>
    </row>
    <row r="2380">
      <c r="A2380" s="19" t="n"/>
      <c r="E2380" s="20" t="n"/>
      <c r="I2380" s="14" t="n"/>
      <c r="J2380" s="21" t="n"/>
      <c r="N2380" s="22" t="n"/>
    </row>
    <row r="2381">
      <c r="A2381" s="19" t="n"/>
      <c r="E2381" s="20" t="n"/>
      <c r="I2381" s="14" t="n"/>
      <c r="J2381" s="21" t="n"/>
      <c r="N2381" s="22" t="n"/>
    </row>
    <row r="2382">
      <c r="A2382" s="19" t="n"/>
      <c r="E2382" s="20" t="n"/>
      <c r="I2382" s="14" t="n"/>
      <c r="J2382" s="21" t="n"/>
      <c r="N2382" s="22" t="n"/>
    </row>
    <row r="2383">
      <c r="A2383" s="19" t="n"/>
      <c r="E2383" s="20" t="n"/>
      <c r="I2383" s="14" t="n"/>
      <c r="J2383" s="21" t="n"/>
      <c r="N2383" s="22" t="n"/>
    </row>
    <row r="2384">
      <c r="A2384" s="19" t="n"/>
      <c r="E2384" s="20" t="n"/>
      <c r="I2384" s="14" t="n"/>
      <c r="J2384" s="21" t="n"/>
      <c r="N2384" s="22" t="n"/>
    </row>
    <row r="2385">
      <c r="A2385" s="19" t="n"/>
      <c r="E2385" s="20" t="n"/>
      <c r="I2385" s="14" t="n"/>
      <c r="J2385" s="21" t="n"/>
      <c r="N2385" s="22" t="n"/>
    </row>
    <row r="2386">
      <c r="A2386" s="19" t="n"/>
      <c r="E2386" s="20" t="n"/>
      <c r="I2386" s="14" t="n"/>
      <c r="J2386" s="21" t="n"/>
      <c r="N2386" s="22" t="n"/>
    </row>
    <row r="2387">
      <c r="A2387" s="19" t="n"/>
      <c r="E2387" s="20" t="n"/>
      <c r="I2387" s="14" t="n"/>
      <c r="J2387" s="21" t="n"/>
      <c r="N2387" s="22" t="n"/>
    </row>
    <row r="2388">
      <c r="A2388" s="19" t="n"/>
      <c r="E2388" s="20" t="n"/>
      <c r="I2388" s="14" t="n"/>
      <c r="J2388" s="21" t="n"/>
      <c r="N2388" s="22" t="n"/>
    </row>
    <row r="2389">
      <c r="A2389" s="19" t="n"/>
      <c r="E2389" s="20" t="n"/>
      <c r="I2389" s="14" t="n"/>
      <c r="J2389" s="21" t="n"/>
      <c r="N2389" s="22" t="n"/>
    </row>
    <row r="2390">
      <c r="A2390" s="19" t="n"/>
      <c r="E2390" s="20" t="n"/>
      <c r="I2390" s="14" t="n"/>
      <c r="J2390" s="21" t="n"/>
      <c r="N2390" s="22" t="n"/>
    </row>
    <row r="2391">
      <c r="A2391" s="19" t="n"/>
      <c r="E2391" s="20" t="n"/>
      <c r="I2391" s="14" t="n"/>
      <c r="J2391" s="21" t="n"/>
      <c r="N2391" s="22" t="n"/>
    </row>
    <row r="2392">
      <c r="A2392" s="19" t="n"/>
      <c r="E2392" s="20" t="n"/>
      <c r="I2392" s="14" t="n"/>
      <c r="J2392" s="21" t="n"/>
      <c r="N2392" s="22" t="n"/>
    </row>
    <row r="2393">
      <c r="A2393" s="19" t="n"/>
      <c r="E2393" s="20" t="n"/>
      <c r="I2393" s="14" t="n"/>
      <c r="J2393" s="21" t="n"/>
      <c r="N2393" s="22" t="n"/>
    </row>
    <row r="2394">
      <c r="A2394" s="19" t="n"/>
      <c r="E2394" s="20" t="n"/>
      <c r="I2394" s="14" t="n"/>
      <c r="J2394" s="21" t="n"/>
      <c r="N2394" s="22" t="n"/>
    </row>
    <row r="2395">
      <c r="A2395" s="19" t="n"/>
      <c r="E2395" s="20" t="n"/>
      <c r="I2395" s="14" t="n"/>
      <c r="J2395" s="21" t="n"/>
      <c r="N2395" s="22" t="n"/>
    </row>
    <row r="2396">
      <c r="A2396" s="19" t="n"/>
      <c r="E2396" s="20" t="n"/>
      <c r="I2396" s="14" t="n"/>
      <c r="J2396" s="21" t="n"/>
      <c r="N2396" s="22" t="n"/>
    </row>
    <row r="2397">
      <c r="A2397" s="19" t="n"/>
      <c r="E2397" s="20" t="n"/>
      <c r="I2397" s="14" t="n"/>
      <c r="J2397" s="21" t="n"/>
      <c r="N2397" s="22" t="n"/>
    </row>
    <row r="2398">
      <c r="A2398" s="19" t="n"/>
      <c r="E2398" s="20" t="n"/>
      <c r="I2398" s="14" t="n"/>
      <c r="J2398" s="21" t="n"/>
      <c r="N2398" s="22" t="n"/>
    </row>
    <row r="2399">
      <c r="A2399" s="19" t="n"/>
      <c r="E2399" s="20" t="n"/>
      <c r="I2399" s="14" t="n"/>
      <c r="J2399" s="21" t="n"/>
      <c r="N2399" s="22" t="n"/>
    </row>
    <row r="2400">
      <c r="A2400" s="19" t="n"/>
      <c r="E2400" s="20" t="n"/>
      <c r="I2400" s="14" t="n"/>
      <c r="J2400" s="21" t="n"/>
      <c r="N2400" s="22" t="n"/>
    </row>
    <row r="2401">
      <c r="A2401" s="19" t="n"/>
      <c r="E2401" s="20" t="n"/>
      <c r="I2401" s="14" t="n"/>
      <c r="J2401" s="21" t="n"/>
      <c r="N2401" s="22" t="n"/>
    </row>
    <row r="2402">
      <c r="A2402" s="19" t="n"/>
      <c r="E2402" s="20" t="n"/>
      <c r="I2402" s="14" t="n"/>
      <c r="J2402" s="21" t="n"/>
      <c r="N2402" s="22" t="n"/>
    </row>
    <row r="2403">
      <c r="A2403" s="19" t="n"/>
      <c r="E2403" s="20" t="n"/>
      <c r="I2403" s="14" t="n"/>
      <c r="J2403" s="21" t="n"/>
      <c r="N2403" s="22" t="n"/>
    </row>
    <row r="2404">
      <c r="A2404" s="19" t="n"/>
      <c r="E2404" s="20" t="n"/>
      <c r="I2404" s="14" t="n"/>
      <c r="J2404" s="21" t="n"/>
      <c r="N2404" s="22" t="n"/>
    </row>
    <row r="2405">
      <c r="A2405" s="19" t="n"/>
      <c r="E2405" s="20" t="n"/>
      <c r="I2405" s="14" t="n"/>
      <c r="J2405" s="21" t="n"/>
      <c r="N2405" s="22" t="n"/>
    </row>
    <row r="2406">
      <c r="A2406" s="19" t="n"/>
      <c r="E2406" s="20" t="n"/>
      <c r="I2406" s="14" t="n"/>
      <c r="J2406" s="21" t="n"/>
      <c r="N2406" s="22" t="n"/>
    </row>
    <row r="2407">
      <c r="A2407" s="19" t="n"/>
      <c r="E2407" s="20" t="n"/>
      <c r="I2407" s="14" t="n"/>
      <c r="J2407" s="21" t="n"/>
      <c r="N2407" s="22" t="n"/>
    </row>
    <row r="2408">
      <c r="A2408" s="19" t="n"/>
      <c r="E2408" s="20" t="n"/>
      <c r="I2408" s="14" t="n"/>
      <c r="J2408" s="21" t="n"/>
      <c r="N2408" s="22" t="n"/>
    </row>
    <row r="2409">
      <c r="A2409" s="19" t="n"/>
      <c r="E2409" s="20" t="n"/>
      <c r="I2409" s="14" t="n"/>
      <c r="J2409" s="21" t="n"/>
      <c r="N2409" s="22" t="n"/>
    </row>
    <row r="2410">
      <c r="A2410" s="19" t="n"/>
      <c r="E2410" s="20" t="n"/>
      <c r="I2410" s="14" t="n"/>
      <c r="J2410" s="21" t="n"/>
      <c r="N2410" s="22" t="n"/>
    </row>
    <row r="2411">
      <c r="A2411" s="19" t="n"/>
      <c r="E2411" s="20" t="n"/>
      <c r="I2411" s="14" t="n"/>
      <c r="J2411" s="21" t="n"/>
      <c r="N2411" s="22" t="n"/>
    </row>
    <row r="2412">
      <c r="A2412" s="19" t="n"/>
      <c r="E2412" s="20" t="n"/>
      <c r="I2412" s="14" t="n"/>
      <c r="J2412" s="21" t="n"/>
      <c r="N2412" s="22" t="n"/>
    </row>
    <row r="2413">
      <c r="A2413" s="19" t="n"/>
      <c r="E2413" s="20" t="n"/>
      <c r="I2413" s="14" t="n"/>
      <c r="J2413" s="21" t="n"/>
      <c r="N2413" s="22" t="n"/>
    </row>
    <row r="2414">
      <c r="A2414" s="19" t="n"/>
      <c r="E2414" s="20" t="n"/>
      <c r="I2414" s="14" t="n"/>
      <c r="J2414" s="21" t="n"/>
      <c r="N2414" s="22" t="n"/>
    </row>
    <row r="2415">
      <c r="A2415" s="19" t="n"/>
      <c r="E2415" s="20" t="n"/>
      <c r="I2415" s="14" t="n"/>
      <c r="J2415" s="21" t="n"/>
      <c r="N2415" s="22" t="n"/>
    </row>
    <row r="2416">
      <c r="A2416" s="19" t="n"/>
      <c r="E2416" s="20" t="n"/>
      <c r="I2416" s="14" t="n"/>
      <c r="J2416" s="21" t="n"/>
      <c r="N2416" s="22" t="n"/>
    </row>
    <row r="2417">
      <c r="A2417" s="19" t="n"/>
      <c r="E2417" s="20" t="n"/>
      <c r="I2417" s="14" t="n"/>
      <c r="J2417" s="21" t="n"/>
      <c r="N2417" s="22" t="n"/>
    </row>
    <row r="2418">
      <c r="A2418" s="19" t="n"/>
      <c r="E2418" s="20" t="n"/>
      <c r="I2418" s="14" t="n"/>
      <c r="J2418" s="21" t="n"/>
      <c r="N2418" s="22" t="n"/>
    </row>
    <row r="2419">
      <c r="A2419" s="19" t="n"/>
      <c r="E2419" s="20" t="n"/>
      <c r="I2419" s="14" t="n"/>
      <c r="J2419" s="21" t="n"/>
      <c r="N2419" s="22" t="n"/>
    </row>
    <row r="2420">
      <c r="A2420" s="19" t="n"/>
      <c r="E2420" s="20" t="n"/>
      <c r="I2420" s="14" t="n"/>
      <c r="J2420" s="21" t="n"/>
      <c r="N2420" s="22" t="n"/>
    </row>
    <row r="2421">
      <c r="A2421" s="19" t="n"/>
      <c r="E2421" s="20" t="n"/>
      <c r="I2421" s="14" t="n"/>
      <c r="J2421" s="21" t="n"/>
      <c r="N2421" s="22" t="n"/>
    </row>
    <row r="2422">
      <c r="A2422" s="19" t="n"/>
      <c r="E2422" s="20" t="n"/>
      <c r="I2422" s="14" t="n"/>
      <c r="J2422" s="21" t="n"/>
      <c r="N2422" s="22" t="n"/>
    </row>
    <row r="2423">
      <c r="A2423" s="19" t="n"/>
      <c r="E2423" s="20" t="n"/>
      <c r="I2423" s="14" t="n"/>
      <c r="J2423" s="21" t="n"/>
      <c r="N2423" s="22" t="n"/>
    </row>
    <row r="2424">
      <c r="A2424" s="19" t="n"/>
      <c r="E2424" s="20" t="n"/>
      <c r="I2424" s="14" t="n"/>
      <c r="J2424" s="21" t="n"/>
      <c r="N2424" s="22" t="n"/>
    </row>
    <row r="2425">
      <c r="A2425" s="19" t="n"/>
      <c r="E2425" s="20" t="n"/>
      <c r="I2425" s="14" t="n"/>
      <c r="J2425" s="21" t="n"/>
      <c r="N2425" s="22" t="n"/>
    </row>
    <row r="2426">
      <c r="A2426" s="19" t="n"/>
      <c r="E2426" s="20" t="n"/>
      <c r="I2426" s="14" t="n"/>
      <c r="J2426" s="21" t="n"/>
      <c r="N2426" s="22" t="n"/>
    </row>
    <row r="2427">
      <c r="A2427" s="19" t="n"/>
      <c r="E2427" s="20" t="n"/>
      <c r="I2427" s="14" t="n"/>
      <c r="J2427" s="21" t="n"/>
      <c r="N2427" s="22" t="n"/>
    </row>
    <row r="2428">
      <c r="A2428" s="19" t="n"/>
      <c r="E2428" s="20" t="n"/>
      <c r="I2428" s="14" t="n"/>
      <c r="J2428" s="21" t="n"/>
      <c r="N2428" s="22" t="n"/>
    </row>
    <row r="2429">
      <c r="A2429" s="19" t="n"/>
      <c r="E2429" s="20" t="n"/>
      <c r="I2429" s="14" t="n"/>
      <c r="J2429" s="21" t="n"/>
      <c r="N2429" s="22" t="n"/>
    </row>
    <row r="2430">
      <c r="A2430" s="19" t="n"/>
      <c r="E2430" s="20" t="n"/>
      <c r="I2430" s="14" t="n"/>
      <c r="J2430" s="21" t="n"/>
      <c r="N2430" s="22" t="n"/>
    </row>
    <row r="2431">
      <c r="A2431" s="19" t="n"/>
      <c r="E2431" s="20" t="n"/>
      <c r="I2431" s="14" t="n"/>
      <c r="J2431" s="21" t="n"/>
      <c r="N2431" s="22" t="n"/>
    </row>
    <row r="2432">
      <c r="A2432" s="19" t="n"/>
      <c r="E2432" s="20" t="n"/>
      <c r="I2432" s="14" t="n"/>
      <c r="J2432" s="21" t="n"/>
      <c r="N2432" s="22" t="n"/>
    </row>
    <row r="2433">
      <c r="A2433" s="19" t="n"/>
      <c r="E2433" s="20" t="n"/>
      <c r="I2433" s="14" t="n"/>
      <c r="J2433" s="21" t="n"/>
      <c r="N2433" s="22" t="n"/>
    </row>
    <row r="2434">
      <c r="A2434" s="19" t="n"/>
      <c r="E2434" s="20" t="n"/>
      <c r="I2434" s="14" t="n"/>
      <c r="J2434" s="21" t="n"/>
      <c r="N2434" s="22" t="n"/>
    </row>
    <row r="2435">
      <c r="A2435" s="19" t="n"/>
      <c r="E2435" s="20" t="n"/>
      <c r="I2435" s="14" t="n"/>
      <c r="J2435" s="21" t="n"/>
      <c r="N2435" s="22" t="n"/>
    </row>
    <row r="2436">
      <c r="A2436" s="19" t="n"/>
      <c r="E2436" s="20" t="n"/>
      <c r="I2436" s="14" t="n"/>
      <c r="J2436" s="21" t="n"/>
      <c r="N2436" s="22" t="n"/>
    </row>
    <row r="2437">
      <c r="A2437" s="19" t="n"/>
      <c r="E2437" s="20" t="n"/>
      <c r="I2437" s="14" t="n"/>
      <c r="J2437" s="21" t="n"/>
      <c r="N2437" s="22" t="n"/>
    </row>
    <row r="2438">
      <c r="A2438" s="19" t="n"/>
      <c r="E2438" s="20" t="n"/>
      <c r="I2438" s="14" t="n"/>
      <c r="J2438" s="21" t="n"/>
      <c r="N2438" s="22" t="n"/>
    </row>
    <row r="2439">
      <c r="A2439" s="19" t="n"/>
      <c r="E2439" s="20" t="n"/>
      <c r="I2439" s="14" t="n"/>
      <c r="J2439" s="21" t="n"/>
      <c r="N2439" s="22" t="n"/>
    </row>
    <row r="2440">
      <c r="A2440" s="19" t="n"/>
      <c r="E2440" s="20" t="n"/>
      <c r="I2440" s="14" t="n"/>
      <c r="J2440" s="21" t="n"/>
      <c r="N2440" s="22" t="n"/>
    </row>
    <row r="2441">
      <c r="A2441" s="19" t="n"/>
      <c r="E2441" s="20" t="n"/>
      <c r="I2441" s="14" t="n"/>
      <c r="J2441" s="21" t="n"/>
      <c r="N2441" s="22" t="n"/>
    </row>
    <row r="2442">
      <c r="A2442" s="19" t="n"/>
      <c r="E2442" s="20" t="n"/>
      <c r="I2442" s="14" t="n"/>
      <c r="J2442" s="21" t="n"/>
      <c r="N2442" s="22" t="n"/>
    </row>
    <row r="2443">
      <c r="A2443" s="19" t="n"/>
      <c r="E2443" s="20" t="n"/>
      <c r="I2443" s="14" t="n"/>
      <c r="J2443" s="21" t="n"/>
      <c r="N2443" s="22" t="n"/>
    </row>
    <row r="2444">
      <c r="A2444" s="19" t="n"/>
      <c r="E2444" s="20" t="n"/>
      <c r="I2444" s="14" t="n"/>
      <c r="J2444" s="21" t="n"/>
      <c r="N2444" s="22" t="n"/>
    </row>
    <row r="2445">
      <c r="A2445" s="19" t="n"/>
      <c r="E2445" s="20" t="n"/>
      <c r="I2445" s="14" t="n"/>
      <c r="J2445" s="21" t="n"/>
      <c r="N2445" s="22" t="n"/>
    </row>
    <row r="2446">
      <c r="A2446" s="19" t="n"/>
      <c r="E2446" s="20" t="n"/>
      <c r="I2446" s="14" t="n"/>
      <c r="J2446" s="21" t="n"/>
      <c r="N2446" s="22" t="n"/>
    </row>
    <row r="2447">
      <c r="A2447" s="19" t="n"/>
      <c r="E2447" s="20" t="n"/>
      <c r="I2447" s="14" t="n"/>
      <c r="J2447" s="21" t="n"/>
      <c r="N2447" s="22" t="n"/>
    </row>
    <row r="2448">
      <c r="A2448" s="19" t="n"/>
      <c r="E2448" s="20" t="n"/>
      <c r="I2448" s="14" t="n"/>
      <c r="J2448" s="21" t="n"/>
      <c r="N2448" s="22" t="n"/>
    </row>
    <row r="2449">
      <c r="A2449" s="19" t="n"/>
      <c r="E2449" s="20" t="n"/>
      <c r="I2449" s="14" t="n"/>
      <c r="J2449" s="21" t="n"/>
      <c r="N2449" s="22" t="n"/>
    </row>
    <row r="2450">
      <c r="A2450" s="19" t="n"/>
      <c r="E2450" s="20" t="n"/>
      <c r="I2450" s="14" t="n"/>
      <c r="J2450" s="21" t="n"/>
      <c r="N2450" s="22" t="n"/>
    </row>
    <row r="2451">
      <c r="A2451" s="19" t="n"/>
      <c r="E2451" s="20" t="n"/>
      <c r="I2451" s="14" t="n"/>
      <c r="J2451" s="21" t="n"/>
      <c r="N2451" s="22" t="n"/>
    </row>
    <row r="2452">
      <c r="A2452" s="19" t="n"/>
      <c r="E2452" s="20" t="n"/>
      <c r="I2452" s="14" t="n"/>
      <c r="J2452" s="21" t="n"/>
      <c r="N2452" s="22" t="n"/>
    </row>
    <row r="2453">
      <c r="A2453" s="19" t="n"/>
      <c r="E2453" s="20" t="n"/>
      <c r="I2453" s="14" t="n"/>
      <c r="J2453" s="21" t="n"/>
      <c r="N2453" s="22" t="n"/>
    </row>
    <row r="2454">
      <c r="A2454" s="19" t="n"/>
      <c r="E2454" s="20" t="n"/>
      <c r="I2454" s="14" t="n"/>
      <c r="J2454" s="21" t="n"/>
      <c r="N2454" s="22" t="n"/>
    </row>
    <row r="2455">
      <c r="A2455" s="19" t="n"/>
      <c r="E2455" s="20" t="n"/>
      <c r="I2455" s="14" t="n"/>
      <c r="J2455" s="21" t="n"/>
      <c r="N2455" s="22" t="n"/>
    </row>
    <row r="2456">
      <c r="A2456" s="19" t="n"/>
      <c r="E2456" s="20" t="n"/>
      <c r="I2456" s="14" t="n"/>
      <c r="J2456" s="21" t="n"/>
      <c r="N2456" s="22" t="n"/>
    </row>
    <row r="2457">
      <c r="A2457" s="19" t="n"/>
      <c r="E2457" s="20" t="n"/>
      <c r="I2457" s="14" t="n"/>
      <c r="J2457" s="21" t="n"/>
      <c r="N2457" s="22" t="n"/>
    </row>
    <row r="2458">
      <c r="A2458" s="19" t="n"/>
      <c r="E2458" s="20" t="n"/>
      <c r="I2458" s="14" t="n"/>
      <c r="J2458" s="21" t="n"/>
      <c r="N2458" s="22" t="n"/>
    </row>
    <row r="2459">
      <c r="A2459" s="19" t="n"/>
      <c r="E2459" s="20" t="n"/>
      <c r="I2459" s="14" t="n"/>
      <c r="J2459" s="21" t="n"/>
      <c r="N2459" s="22" t="n"/>
    </row>
    <row r="2460">
      <c r="A2460" s="19" t="n"/>
      <c r="E2460" s="20" t="n"/>
      <c r="I2460" s="14" t="n"/>
      <c r="J2460" s="21" t="n"/>
      <c r="N2460" s="22" t="n"/>
    </row>
    <row r="2461">
      <c r="A2461" s="19" t="n"/>
      <c r="E2461" s="20" t="n"/>
      <c r="I2461" s="14" t="n"/>
      <c r="J2461" s="21" t="n"/>
      <c r="N2461" s="22" t="n"/>
    </row>
    <row r="2462">
      <c r="A2462" s="19" t="n"/>
      <c r="E2462" s="20" t="n"/>
      <c r="I2462" s="14" t="n"/>
      <c r="J2462" s="21" t="n"/>
      <c r="N2462" s="22" t="n"/>
    </row>
    <row r="2463">
      <c r="A2463" s="19" t="n"/>
      <c r="E2463" s="20" t="n"/>
      <c r="I2463" s="14" t="n"/>
      <c r="J2463" s="21" t="n"/>
      <c r="N2463" s="22" t="n"/>
    </row>
    <row r="2464">
      <c r="A2464" s="19" t="n"/>
      <c r="E2464" s="20" t="n"/>
      <c r="I2464" s="14" t="n"/>
      <c r="J2464" s="21" t="n"/>
      <c r="N2464" s="22" t="n"/>
    </row>
    <row r="2465">
      <c r="A2465" s="19" t="n"/>
      <c r="E2465" s="20" t="n"/>
      <c r="I2465" s="14" t="n"/>
      <c r="J2465" s="21" t="n"/>
      <c r="N2465" s="22" t="n"/>
    </row>
    <row r="2466">
      <c r="A2466" s="19" t="n"/>
      <c r="E2466" s="20" t="n"/>
      <c r="I2466" s="14" t="n"/>
      <c r="J2466" s="21" t="n"/>
      <c r="N2466" s="22" t="n"/>
    </row>
    <row r="2467">
      <c r="A2467" s="19" t="n"/>
      <c r="E2467" s="20" t="n"/>
      <c r="I2467" s="14" t="n"/>
      <c r="J2467" s="21" t="n"/>
      <c r="N2467" s="22" t="n"/>
    </row>
    <row r="2468">
      <c r="A2468" s="19" t="n"/>
      <c r="E2468" s="20" t="n"/>
      <c r="I2468" s="14" t="n"/>
      <c r="J2468" s="21" t="n"/>
      <c r="N2468" s="22" t="n"/>
    </row>
    <row r="2469">
      <c r="A2469" s="19" t="n"/>
      <c r="E2469" s="20" t="n"/>
      <c r="I2469" s="14" t="n"/>
      <c r="J2469" s="21" t="n"/>
      <c r="N2469" s="22" t="n"/>
    </row>
    <row r="2470">
      <c r="A2470" s="19" t="n"/>
      <c r="E2470" s="20" t="n"/>
      <c r="I2470" s="14" t="n"/>
      <c r="J2470" s="21" t="n"/>
      <c r="N2470" s="22" t="n"/>
    </row>
    <row r="2471">
      <c r="A2471" s="19" t="n"/>
      <c r="E2471" s="20" t="n"/>
      <c r="I2471" s="14" t="n"/>
      <c r="J2471" s="21" t="n"/>
      <c r="N2471" s="22" t="n"/>
    </row>
    <row r="2472">
      <c r="A2472" s="19" t="n"/>
      <c r="E2472" s="20" t="n"/>
      <c r="I2472" s="14" t="n"/>
      <c r="J2472" s="21" t="n"/>
      <c r="N2472" s="22" t="n"/>
    </row>
    <row r="2473">
      <c r="A2473" s="19" t="n"/>
      <c r="E2473" s="20" t="n"/>
      <c r="I2473" s="14" t="n"/>
      <c r="J2473" s="21" t="n"/>
      <c r="N2473" s="22" t="n"/>
    </row>
    <row r="2474">
      <c r="A2474" s="19" t="n"/>
      <c r="E2474" s="20" t="n"/>
      <c r="I2474" s="14" t="n"/>
      <c r="J2474" s="21" t="n"/>
      <c r="N2474" s="22" t="n"/>
    </row>
    <row r="2475">
      <c r="A2475" s="19" t="n"/>
      <c r="E2475" s="20" t="n"/>
      <c r="I2475" s="14" t="n"/>
      <c r="J2475" s="21" t="n"/>
      <c r="N2475" s="22" t="n"/>
    </row>
    <row r="2476">
      <c r="A2476" s="19" t="n"/>
      <c r="E2476" s="20" t="n"/>
      <c r="I2476" s="14" t="n"/>
      <c r="J2476" s="21" t="n"/>
      <c r="N2476" s="22" t="n"/>
    </row>
    <row r="2477">
      <c r="A2477" s="19" t="n"/>
      <c r="E2477" s="20" t="n"/>
      <c r="I2477" s="14" t="n"/>
      <c r="J2477" s="21" t="n"/>
      <c r="N2477" s="22" t="n"/>
    </row>
    <row r="2478">
      <c r="A2478" s="19" t="n"/>
      <c r="E2478" s="20" t="n"/>
      <c r="I2478" s="14" t="n"/>
      <c r="J2478" s="21" t="n"/>
      <c r="N2478" s="22" t="n"/>
    </row>
    <row r="2479">
      <c r="A2479" s="19" t="n"/>
      <c r="E2479" s="20" t="n"/>
      <c r="I2479" s="14" t="n"/>
      <c r="J2479" s="21" t="n"/>
      <c r="N2479" s="22" t="n"/>
    </row>
    <row r="2480">
      <c r="A2480" s="19" t="n"/>
      <c r="E2480" s="20" t="n"/>
      <c r="I2480" s="14" t="n"/>
      <c r="J2480" s="21" t="n"/>
      <c r="N2480" s="22" t="n"/>
    </row>
    <row r="2481">
      <c r="A2481" s="19" t="n"/>
      <c r="E2481" s="20" t="n"/>
      <c r="I2481" s="14" t="n"/>
      <c r="J2481" s="21" t="n"/>
      <c r="N2481" s="22" t="n"/>
    </row>
    <row r="2482">
      <c r="A2482" s="19" t="n"/>
      <c r="E2482" s="20" t="n"/>
      <c r="I2482" s="14" t="n"/>
      <c r="J2482" s="21" t="n"/>
      <c r="N2482" s="22" t="n"/>
    </row>
    <row r="2483">
      <c r="A2483" s="19" t="n"/>
      <c r="E2483" s="20" t="n"/>
      <c r="I2483" s="14" t="n"/>
      <c r="J2483" s="21" t="n"/>
      <c r="N2483" s="22" t="n"/>
    </row>
    <row r="2484">
      <c r="A2484" s="19" t="n"/>
      <c r="E2484" s="20" t="n"/>
      <c r="I2484" s="14" t="n"/>
      <c r="J2484" s="21" t="n"/>
      <c r="N2484" s="22" t="n"/>
    </row>
    <row r="2485">
      <c r="A2485" s="19" t="n"/>
      <c r="E2485" s="20" t="n"/>
      <c r="I2485" s="14" t="n"/>
      <c r="J2485" s="21" t="n"/>
      <c r="N2485" s="22" t="n"/>
    </row>
    <row r="2486">
      <c r="A2486" s="19" t="n"/>
      <c r="E2486" s="20" t="n"/>
      <c r="I2486" s="14" t="n"/>
      <c r="J2486" s="21" t="n"/>
      <c r="N2486" s="22" t="n"/>
    </row>
    <row r="2487">
      <c r="A2487" s="19" t="n"/>
      <c r="E2487" s="20" t="n"/>
      <c r="I2487" s="14" t="n"/>
      <c r="J2487" s="21" t="n"/>
      <c r="N2487" s="22" t="n"/>
    </row>
    <row r="2488">
      <c r="A2488" s="19" t="n"/>
      <c r="E2488" s="20" t="n"/>
      <c r="I2488" s="14" t="n"/>
      <c r="J2488" s="21" t="n"/>
      <c r="N2488" s="22" t="n"/>
    </row>
    <row r="2489">
      <c r="A2489" s="19" t="n"/>
      <c r="E2489" s="20" t="n"/>
      <c r="I2489" s="14" t="n"/>
      <c r="J2489" s="21" t="n"/>
      <c r="N2489" s="22" t="n"/>
    </row>
    <row r="2490">
      <c r="A2490" s="19" t="n"/>
      <c r="E2490" s="20" t="n"/>
      <c r="I2490" s="14" t="n"/>
      <c r="J2490" s="21" t="n"/>
      <c r="N2490" s="22" t="n"/>
    </row>
    <row r="2491">
      <c r="A2491" s="19" t="n"/>
      <c r="E2491" s="20" t="n"/>
      <c r="I2491" s="14" t="n"/>
      <c r="J2491" s="21" t="n"/>
      <c r="N2491" s="22" t="n"/>
    </row>
    <row r="2492">
      <c r="A2492" s="19" t="n"/>
      <c r="E2492" s="20" t="n"/>
      <c r="I2492" s="14" t="n"/>
      <c r="J2492" s="21" t="n"/>
      <c r="N2492" s="22" t="n"/>
    </row>
    <row r="2493">
      <c r="A2493" s="19" t="n"/>
      <c r="E2493" s="20" t="n"/>
      <c r="I2493" s="14" t="n"/>
      <c r="J2493" s="21" t="n"/>
      <c r="N2493" s="22" t="n"/>
    </row>
    <row r="2494">
      <c r="A2494" s="19" t="n"/>
      <c r="E2494" s="20" t="n"/>
      <c r="I2494" s="14" t="n"/>
      <c r="J2494" s="21" t="n"/>
      <c r="N2494" s="22" t="n"/>
    </row>
    <row r="2495">
      <c r="A2495" s="19" t="n"/>
      <c r="E2495" s="20" t="n"/>
      <c r="I2495" s="14" t="n"/>
      <c r="J2495" s="21" t="n"/>
      <c r="N2495" s="22" t="n"/>
    </row>
    <row r="2496">
      <c r="A2496" s="19" t="n"/>
      <c r="E2496" s="20" t="n"/>
      <c r="I2496" s="14" t="n"/>
      <c r="J2496" s="21" t="n"/>
      <c r="N2496" s="22" t="n"/>
    </row>
    <row r="2497">
      <c r="A2497" s="19" t="n"/>
      <c r="E2497" s="20" t="n"/>
      <c r="I2497" s="14" t="n"/>
      <c r="J2497" s="21" t="n"/>
      <c r="N2497" s="22" t="n"/>
    </row>
    <row r="2498">
      <c r="A2498" s="19" t="n"/>
      <c r="E2498" s="20" t="n"/>
      <c r="I2498" s="14" t="n"/>
      <c r="J2498" s="21" t="n"/>
      <c r="N2498" s="22" t="n"/>
    </row>
    <row r="2499">
      <c r="A2499" s="19" t="n"/>
      <c r="E2499" s="20" t="n"/>
      <c r="I2499" s="14" t="n"/>
      <c r="J2499" s="21" t="n"/>
      <c r="N2499" s="22" t="n"/>
    </row>
    <row r="2500">
      <c r="A2500" s="19" t="n"/>
      <c r="E2500" s="20" t="n"/>
      <c r="I2500" s="14" t="n"/>
      <c r="J2500" s="21" t="n"/>
      <c r="N2500" s="22" t="n"/>
    </row>
    <row r="2501">
      <c r="A2501" s="19" t="n"/>
      <c r="E2501" s="20" t="n"/>
      <c r="I2501" s="14" t="n"/>
      <c r="J2501" s="21" t="n"/>
      <c r="N2501" s="22" t="n"/>
    </row>
    <row r="2502">
      <c r="A2502" s="19" t="n"/>
      <c r="E2502" s="20" t="n"/>
      <c r="I2502" s="14" t="n"/>
      <c r="J2502" s="21" t="n"/>
      <c r="N2502" s="22" t="n"/>
    </row>
    <row r="2503">
      <c r="A2503" s="19" t="n"/>
      <c r="E2503" s="20" t="n"/>
      <c r="I2503" s="14" t="n"/>
      <c r="J2503" s="21" t="n"/>
      <c r="N2503" s="22" t="n"/>
    </row>
    <row r="2504">
      <c r="A2504" s="19" t="n"/>
      <c r="E2504" s="20" t="n"/>
      <c r="I2504" s="14" t="n"/>
      <c r="J2504" s="21" t="n"/>
      <c r="N2504" s="22" t="n"/>
    </row>
    <row r="2505">
      <c r="A2505" s="19" t="n"/>
      <c r="E2505" s="20" t="n"/>
      <c r="I2505" s="14" t="n"/>
      <c r="J2505" s="21" t="n"/>
      <c r="N2505" s="22" t="n"/>
    </row>
    <row r="2506">
      <c r="A2506" s="19" t="n"/>
      <c r="E2506" s="20" t="n"/>
      <c r="I2506" s="14" t="n"/>
      <c r="J2506" s="21" t="n"/>
      <c r="N2506" s="22" t="n"/>
    </row>
    <row r="2507">
      <c r="A2507" s="19" t="n"/>
      <c r="E2507" s="20" t="n"/>
      <c r="I2507" s="14" t="n"/>
      <c r="J2507" s="21" t="n"/>
      <c r="N2507" s="22" t="n"/>
    </row>
    <row r="2508">
      <c r="A2508" s="19" t="n"/>
      <c r="E2508" s="20" t="n"/>
      <c r="I2508" s="14" t="n"/>
      <c r="J2508" s="21" t="n"/>
      <c r="N2508" s="22" t="n"/>
    </row>
    <row r="2509">
      <c r="A2509" s="19" t="n"/>
      <c r="E2509" s="20" t="n"/>
      <c r="I2509" s="14" t="n"/>
      <c r="J2509" s="21" t="n"/>
      <c r="N2509" s="22" t="n"/>
    </row>
    <row r="2510">
      <c r="A2510" s="19" t="n"/>
      <c r="E2510" s="20" t="n"/>
      <c r="I2510" s="14" t="n"/>
      <c r="J2510" s="21" t="n"/>
      <c r="N2510" s="22" t="n"/>
    </row>
    <row r="2511">
      <c r="A2511" s="19" t="n"/>
      <c r="E2511" s="20" t="n"/>
      <c r="I2511" s="14" t="n"/>
      <c r="J2511" s="21" t="n"/>
      <c r="N2511" s="22" t="n"/>
    </row>
    <row r="2512">
      <c r="A2512" s="19" t="n"/>
      <c r="E2512" s="20" t="n"/>
      <c r="I2512" s="14" t="n"/>
      <c r="J2512" s="21" t="n"/>
      <c r="N2512" s="22" t="n"/>
    </row>
    <row r="2513">
      <c r="A2513" s="19" t="n"/>
      <c r="E2513" s="20" t="n"/>
      <c r="I2513" s="14" t="n"/>
      <c r="J2513" s="21" t="n"/>
      <c r="N2513" s="22" t="n"/>
    </row>
    <row r="2514">
      <c r="A2514" s="19" t="n"/>
      <c r="E2514" s="20" t="n"/>
      <c r="I2514" s="14" t="n"/>
      <c r="J2514" s="21" t="n"/>
      <c r="N2514" s="22" t="n"/>
    </row>
    <row r="2515">
      <c r="A2515" s="19" t="n"/>
      <c r="E2515" s="20" t="n"/>
      <c r="I2515" s="14" t="n"/>
      <c r="J2515" s="21" t="n"/>
      <c r="N2515" s="22" t="n"/>
    </row>
    <row r="2516">
      <c r="A2516" s="19" t="n"/>
      <c r="E2516" s="20" t="n"/>
      <c r="I2516" s="14" t="n"/>
      <c r="J2516" s="21" t="n"/>
      <c r="N2516" s="22" t="n"/>
    </row>
    <row r="2517">
      <c r="A2517" s="19" t="n"/>
      <c r="E2517" s="20" t="n"/>
      <c r="I2517" s="14" t="n"/>
      <c r="J2517" s="21" t="n"/>
      <c r="N2517" s="22" t="n"/>
    </row>
    <row r="2518">
      <c r="A2518" s="19" t="n"/>
      <c r="E2518" s="20" t="n"/>
      <c r="I2518" s="14" t="n"/>
      <c r="J2518" s="21" t="n"/>
      <c r="N2518" s="22" t="n"/>
    </row>
    <row r="2519">
      <c r="A2519" s="19" t="n"/>
      <c r="E2519" s="20" t="n"/>
      <c r="I2519" s="14" t="n"/>
      <c r="J2519" s="21" t="n"/>
      <c r="N2519" s="22" t="n"/>
    </row>
    <row r="2520">
      <c r="A2520" s="19" t="n"/>
      <c r="E2520" s="20" t="n"/>
      <c r="I2520" s="14" t="n"/>
      <c r="J2520" s="21" t="n"/>
      <c r="N2520" s="22" t="n"/>
    </row>
    <row r="2521">
      <c r="A2521" s="19" t="n"/>
      <c r="E2521" s="20" t="n"/>
      <c r="I2521" s="14" t="n"/>
      <c r="J2521" s="21" t="n"/>
      <c r="N2521" s="22" t="n"/>
    </row>
    <row r="2522">
      <c r="A2522" s="19" t="n"/>
      <c r="E2522" s="20" t="n"/>
      <c r="I2522" s="14" t="n"/>
      <c r="J2522" s="21" t="n"/>
      <c r="N2522" s="22" t="n"/>
    </row>
    <row r="2523">
      <c r="A2523" s="19" t="n"/>
      <c r="E2523" s="20" t="n"/>
      <c r="I2523" s="14" t="n"/>
      <c r="J2523" s="21" t="n"/>
      <c r="N2523" s="22" t="n"/>
    </row>
    <row r="2524">
      <c r="A2524" s="19" t="n"/>
      <c r="E2524" s="20" t="n"/>
      <c r="I2524" s="14" t="n"/>
      <c r="J2524" s="21" t="n"/>
      <c r="N2524" s="22" t="n"/>
    </row>
    <row r="2525">
      <c r="A2525" s="19" t="n"/>
      <c r="E2525" s="20" t="n"/>
      <c r="I2525" s="14" t="n"/>
      <c r="J2525" s="21" t="n"/>
      <c r="N2525" s="22" t="n"/>
    </row>
    <row r="2526">
      <c r="A2526" s="19" t="n"/>
      <c r="E2526" s="20" t="n"/>
      <c r="I2526" s="14" t="n"/>
      <c r="J2526" s="21" t="n"/>
      <c r="N2526" s="22" t="n"/>
    </row>
    <row r="2527">
      <c r="A2527" s="19" t="n"/>
      <c r="E2527" s="20" t="n"/>
      <c r="I2527" s="14" t="n"/>
      <c r="J2527" s="21" t="n"/>
      <c r="N2527" s="22" t="n"/>
    </row>
    <row r="2528">
      <c r="A2528" s="19" t="n"/>
      <c r="E2528" s="20" t="n"/>
      <c r="I2528" s="14" t="n"/>
      <c r="J2528" s="21" t="n"/>
      <c r="N2528" s="22" t="n"/>
    </row>
    <row r="2529">
      <c r="A2529" s="19" t="n"/>
      <c r="E2529" s="20" t="n"/>
      <c r="I2529" s="14" t="n"/>
      <c r="J2529" s="21" t="n"/>
      <c r="N2529" s="22" t="n"/>
    </row>
    <row r="2530">
      <c r="A2530" s="19" t="n"/>
      <c r="E2530" s="20" t="n"/>
      <c r="I2530" s="14" t="n"/>
      <c r="J2530" s="21" t="n"/>
      <c r="N2530" s="22" t="n"/>
    </row>
    <row r="2531">
      <c r="A2531" s="19" t="n"/>
      <c r="E2531" s="20" t="n"/>
      <c r="I2531" s="14" t="n"/>
      <c r="J2531" s="21" t="n"/>
      <c r="N2531" s="22" t="n"/>
    </row>
    <row r="2532">
      <c r="A2532" s="19" t="n"/>
      <c r="E2532" s="20" t="n"/>
      <c r="I2532" s="14" t="n"/>
      <c r="J2532" s="21" t="n"/>
      <c r="N2532" s="22" t="n"/>
    </row>
    <row r="2533">
      <c r="A2533" s="19" t="n"/>
      <c r="E2533" s="20" t="n"/>
      <c r="I2533" s="14" t="n"/>
      <c r="J2533" s="21" t="n"/>
      <c r="N2533" s="22" t="n"/>
    </row>
    <row r="2534">
      <c r="A2534" s="19" t="n"/>
      <c r="E2534" s="20" t="n"/>
      <c r="I2534" s="14" t="n"/>
      <c r="J2534" s="21" t="n"/>
      <c r="N2534" s="22" t="n"/>
    </row>
    <row r="2535">
      <c r="A2535" s="19" t="n"/>
      <c r="E2535" s="20" t="n"/>
      <c r="I2535" s="14" t="n"/>
      <c r="J2535" s="21" t="n"/>
      <c r="N2535" s="22" t="n"/>
    </row>
    <row r="2536">
      <c r="A2536" s="19" t="n"/>
      <c r="E2536" s="20" t="n"/>
      <c r="I2536" s="14" t="n"/>
      <c r="J2536" s="21" t="n"/>
      <c r="N2536" s="22" t="n"/>
    </row>
    <row r="2537">
      <c r="A2537" s="19" t="n"/>
      <c r="E2537" s="20" t="n"/>
      <c r="I2537" s="14" t="n"/>
      <c r="J2537" s="21" t="n"/>
      <c r="N2537" s="22" t="n"/>
    </row>
    <row r="2538">
      <c r="A2538" s="19" t="n"/>
      <c r="E2538" s="20" t="n"/>
      <c r="I2538" s="14" t="n"/>
      <c r="J2538" s="21" t="n"/>
      <c r="N2538" s="22" t="n"/>
    </row>
    <row r="2539">
      <c r="A2539" s="19" t="n"/>
      <c r="E2539" s="20" t="n"/>
      <c r="I2539" s="14" t="n"/>
      <c r="J2539" s="21" t="n"/>
      <c r="N2539" s="22" t="n"/>
    </row>
    <row r="2540">
      <c r="A2540" s="19" t="n"/>
      <c r="E2540" s="20" t="n"/>
      <c r="I2540" s="14" t="n"/>
      <c r="J2540" s="21" t="n"/>
      <c r="N2540" s="22" t="n"/>
    </row>
    <row r="2541">
      <c r="A2541" s="19" t="n"/>
      <c r="E2541" s="20" t="n"/>
      <c r="I2541" s="14" t="n"/>
      <c r="J2541" s="21" t="n"/>
      <c r="N2541" s="22" t="n"/>
    </row>
    <row r="2542">
      <c r="A2542" s="19" t="n"/>
      <c r="E2542" s="20" t="n"/>
      <c r="I2542" s="14" t="n"/>
      <c r="J2542" s="21" t="n"/>
      <c r="N2542" s="22" t="n"/>
    </row>
    <row r="2543">
      <c r="A2543" s="19" t="n"/>
      <c r="E2543" s="20" t="n"/>
      <c r="I2543" s="14" t="n"/>
      <c r="J2543" s="21" t="n"/>
      <c r="N2543" s="22" t="n"/>
    </row>
    <row r="2544">
      <c r="A2544" s="19" t="n"/>
      <c r="E2544" s="20" t="n"/>
      <c r="I2544" s="14" t="n"/>
      <c r="J2544" s="21" t="n"/>
      <c r="N2544" s="22" t="n"/>
    </row>
    <row r="2545">
      <c r="A2545" s="19" t="n"/>
      <c r="E2545" s="20" t="n"/>
      <c r="I2545" s="14" t="n"/>
      <c r="J2545" s="21" t="n"/>
      <c r="N2545" s="22" t="n"/>
    </row>
    <row r="2546">
      <c r="A2546" s="19" t="n"/>
      <c r="E2546" s="20" t="n"/>
      <c r="I2546" s="14" t="n"/>
      <c r="J2546" s="21" t="n"/>
      <c r="N2546" s="22" t="n"/>
    </row>
    <row r="2547">
      <c r="A2547" s="19" t="n"/>
      <c r="E2547" s="20" t="n"/>
      <c r="I2547" s="14" t="n"/>
      <c r="J2547" s="21" t="n"/>
      <c r="N2547" s="22" t="n"/>
    </row>
    <row r="2548">
      <c r="A2548" s="19" t="n"/>
      <c r="E2548" s="20" t="n"/>
      <c r="I2548" s="14" t="n"/>
      <c r="J2548" s="21" t="n"/>
      <c r="N2548" s="22" t="n"/>
    </row>
    <row r="2549">
      <c r="A2549" s="19" t="n"/>
      <c r="E2549" s="20" t="n"/>
      <c r="I2549" s="14" t="n"/>
      <c r="J2549" s="21" t="n"/>
      <c r="N2549" s="22" t="n"/>
    </row>
    <row r="2550">
      <c r="A2550" s="19" t="n"/>
      <c r="E2550" s="20" t="n"/>
      <c r="I2550" s="14" t="n"/>
      <c r="J2550" s="21" t="n"/>
      <c r="N2550" s="22" t="n"/>
    </row>
    <row r="2551">
      <c r="A2551" s="19" t="n"/>
      <c r="E2551" s="20" t="n"/>
      <c r="I2551" s="14" t="n"/>
      <c r="J2551" s="21" t="n"/>
      <c r="N2551" s="22" t="n"/>
    </row>
    <row r="2552">
      <c r="A2552" s="19" t="n"/>
      <c r="E2552" s="20" t="n"/>
      <c r="I2552" s="14" t="n"/>
      <c r="J2552" s="21" t="n"/>
      <c r="N2552" s="22" t="n"/>
    </row>
    <row r="2553">
      <c r="A2553" s="19" t="n"/>
      <c r="E2553" s="20" t="n"/>
      <c r="I2553" s="14" t="n"/>
      <c r="J2553" s="21" t="n"/>
      <c r="N2553" s="22" t="n"/>
    </row>
    <row r="2554">
      <c r="A2554" s="19" t="n"/>
      <c r="E2554" s="20" t="n"/>
      <c r="I2554" s="14" t="n"/>
      <c r="J2554" s="21" t="n"/>
      <c r="N2554" s="22" t="n"/>
    </row>
    <row r="2555">
      <c r="A2555" s="19" t="n"/>
      <c r="E2555" s="20" t="n"/>
      <c r="I2555" s="14" t="n"/>
      <c r="J2555" s="21" t="n"/>
      <c r="N2555" s="22" t="n"/>
    </row>
    <row r="2556">
      <c r="A2556" s="19" t="n"/>
      <c r="E2556" s="20" t="n"/>
      <c r="I2556" s="14" t="n"/>
      <c r="J2556" s="21" t="n"/>
      <c r="N2556" s="22" t="n"/>
    </row>
    <row r="2557">
      <c r="A2557" s="19" t="n"/>
      <c r="E2557" s="20" t="n"/>
      <c r="I2557" s="14" t="n"/>
      <c r="J2557" s="21" t="n"/>
      <c r="N2557" s="22" t="n"/>
    </row>
    <row r="2558">
      <c r="A2558" s="19" t="n"/>
      <c r="E2558" s="20" t="n"/>
      <c r="I2558" s="14" t="n"/>
      <c r="J2558" s="21" t="n"/>
      <c r="N2558" s="22" t="n"/>
    </row>
    <row r="2559">
      <c r="A2559" s="19" t="n"/>
      <c r="E2559" s="20" t="n"/>
      <c r="I2559" s="14" t="n"/>
      <c r="J2559" s="21" t="n"/>
      <c r="N2559" s="22" t="n"/>
    </row>
    <row r="2560">
      <c r="A2560" s="19" t="n"/>
      <c r="E2560" s="20" t="n"/>
      <c r="I2560" s="14" t="n"/>
      <c r="J2560" s="21" t="n"/>
      <c r="N2560" s="22" t="n"/>
    </row>
    <row r="2561">
      <c r="A2561" s="19" t="n"/>
      <c r="E2561" s="20" t="n"/>
      <c r="I2561" s="14" t="n"/>
      <c r="J2561" s="21" t="n"/>
      <c r="N2561" s="22" t="n"/>
    </row>
    <row r="2562">
      <c r="A2562" s="19" t="n"/>
      <c r="E2562" s="20" t="n"/>
      <c r="I2562" s="14" t="n"/>
      <c r="J2562" s="21" t="n"/>
      <c r="N2562" s="22" t="n"/>
    </row>
    <row r="2563">
      <c r="A2563" s="19" t="n"/>
      <c r="E2563" s="20" t="n"/>
      <c r="I2563" s="14" t="n"/>
      <c r="J2563" s="21" t="n"/>
      <c r="N2563" s="22" t="n"/>
    </row>
    <row r="2564">
      <c r="A2564" s="19" t="n"/>
      <c r="E2564" s="20" t="n"/>
      <c r="I2564" s="14" t="n"/>
      <c r="J2564" s="21" t="n"/>
      <c r="N2564" s="22" t="n"/>
    </row>
    <row r="2565">
      <c r="A2565" s="19" t="n"/>
      <c r="E2565" s="20" t="n"/>
      <c r="I2565" s="14" t="n"/>
      <c r="J2565" s="21" t="n"/>
      <c r="N2565" s="22" t="n"/>
    </row>
    <row r="2566">
      <c r="A2566" s="19" t="n"/>
      <c r="E2566" s="20" t="n"/>
      <c r="I2566" s="14" t="n"/>
      <c r="J2566" s="21" t="n"/>
      <c r="N2566" s="22" t="n"/>
    </row>
    <row r="2567">
      <c r="A2567" s="19" t="n"/>
      <c r="E2567" s="20" t="n"/>
      <c r="I2567" s="14" t="n"/>
      <c r="J2567" s="21" t="n"/>
      <c r="N2567" s="22" t="n"/>
    </row>
    <row r="2568">
      <c r="A2568" s="19" t="n"/>
      <c r="E2568" s="20" t="n"/>
      <c r="I2568" s="14" t="n"/>
      <c r="J2568" s="21" t="n"/>
      <c r="N2568" s="22" t="n"/>
    </row>
    <row r="2569">
      <c r="A2569" s="19" t="n"/>
      <c r="E2569" s="20" t="n"/>
      <c r="I2569" s="14" t="n"/>
      <c r="J2569" s="21" t="n"/>
      <c r="N2569" s="22" t="n"/>
    </row>
    <row r="2570">
      <c r="A2570" s="19" t="n"/>
      <c r="E2570" s="20" t="n"/>
      <c r="I2570" s="14" t="n"/>
      <c r="J2570" s="21" t="n"/>
      <c r="N2570" s="22" t="n"/>
    </row>
    <row r="2571">
      <c r="A2571" s="19" t="n"/>
      <c r="E2571" s="20" t="n"/>
      <c r="I2571" s="14" t="n"/>
      <c r="J2571" s="21" t="n"/>
      <c r="N2571" s="22" t="n"/>
    </row>
    <row r="2572">
      <c r="A2572" s="19" t="n"/>
      <c r="E2572" s="20" t="n"/>
      <c r="I2572" s="14" t="n"/>
      <c r="J2572" s="21" t="n"/>
      <c r="N2572" s="22" t="n"/>
    </row>
    <row r="2573">
      <c r="A2573" s="19" t="n"/>
      <c r="E2573" s="20" t="n"/>
      <c r="I2573" s="14" t="n"/>
      <c r="J2573" s="21" t="n"/>
      <c r="N2573" s="22" t="n"/>
    </row>
    <row r="2574">
      <c r="A2574" s="19" t="n"/>
      <c r="E2574" s="20" t="n"/>
      <c r="I2574" s="14" t="n"/>
      <c r="J2574" s="21" t="n"/>
      <c r="N2574" s="22" t="n"/>
    </row>
    <row r="2575">
      <c r="A2575" s="19" t="n"/>
      <c r="E2575" s="20" t="n"/>
      <c r="I2575" s="14" t="n"/>
      <c r="J2575" s="21" t="n"/>
      <c r="N2575" s="22" t="n"/>
    </row>
    <row r="2576">
      <c r="A2576" s="19" t="n"/>
      <c r="E2576" s="20" t="n"/>
      <c r="I2576" s="14" t="n"/>
      <c r="J2576" s="21" t="n"/>
      <c r="N2576" s="22" t="n"/>
    </row>
    <row r="2577">
      <c r="A2577" s="19" t="n"/>
      <c r="E2577" s="20" t="n"/>
      <c r="I2577" s="14" t="n"/>
      <c r="J2577" s="21" t="n"/>
      <c r="N2577" s="22" t="n"/>
    </row>
    <row r="2578">
      <c r="A2578" s="19" t="n"/>
      <c r="E2578" s="20" t="n"/>
      <c r="I2578" s="14" t="n"/>
      <c r="J2578" s="21" t="n"/>
      <c r="N2578" s="22" t="n"/>
    </row>
    <row r="2579">
      <c r="A2579" s="19" t="n"/>
      <c r="E2579" s="20" t="n"/>
      <c r="I2579" s="14" t="n"/>
      <c r="J2579" s="21" t="n"/>
      <c r="N2579" s="22" t="n"/>
    </row>
    <row r="2580">
      <c r="A2580" s="19" t="n"/>
      <c r="E2580" s="20" t="n"/>
      <c r="I2580" s="14" t="n"/>
      <c r="J2580" s="21" t="n"/>
      <c r="N2580" s="22" t="n"/>
    </row>
    <row r="2581">
      <c r="A2581" s="19" t="n"/>
      <c r="E2581" s="20" t="n"/>
      <c r="I2581" s="14" t="n"/>
      <c r="J2581" s="21" t="n"/>
      <c r="N2581" s="22" t="n"/>
    </row>
    <row r="2582">
      <c r="A2582" s="19" t="n"/>
      <c r="E2582" s="20" t="n"/>
      <c r="I2582" s="14" t="n"/>
      <c r="J2582" s="21" t="n"/>
      <c r="N2582" s="22" t="n"/>
    </row>
    <row r="2583">
      <c r="A2583" s="19" t="n"/>
      <c r="E2583" s="20" t="n"/>
      <c r="I2583" s="14" t="n"/>
      <c r="J2583" s="21" t="n"/>
      <c r="N2583" s="22" t="n"/>
    </row>
    <row r="2584">
      <c r="A2584" s="19" t="n"/>
      <c r="E2584" s="20" t="n"/>
      <c r="I2584" s="14" t="n"/>
      <c r="J2584" s="21" t="n"/>
      <c r="N2584" s="22" t="n"/>
    </row>
    <row r="2585">
      <c r="A2585" s="19" t="n"/>
      <c r="E2585" s="20" t="n"/>
      <c r="I2585" s="14" t="n"/>
      <c r="J2585" s="21" t="n"/>
      <c r="N2585" s="22" t="n"/>
    </row>
    <row r="2586">
      <c r="A2586" s="19" t="n"/>
      <c r="E2586" s="20" t="n"/>
      <c r="I2586" s="14" t="n"/>
      <c r="J2586" s="21" t="n"/>
      <c r="N2586" s="22" t="n"/>
    </row>
    <row r="2587">
      <c r="A2587" s="19" t="n"/>
      <c r="E2587" s="20" t="n"/>
      <c r="I2587" s="14" t="n"/>
      <c r="J2587" s="21" t="n"/>
      <c r="N2587" s="22" t="n"/>
    </row>
    <row r="2588">
      <c r="A2588" s="19" t="n"/>
      <c r="E2588" s="20" t="n"/>
      <c r="I2588" s="14" t="n"/>
      <c r="J2588" s="21" t="n"/>
      <c r="N2588" s="22" t="n"/>
    </row>
    <row r="2589">
      <c r="A2589" s="19" t="n"/>
      <c r="E2589" s="20" t="n"/>
      <c r="I2589" s="14" t="n"/>
      <c r="J2589" s="21" t="n"/>
      <c r="N2589" s="22" t="n"/>
    </row>
    <row r="2590">
      <c r="A2590" s="19" t="n"/>
      <c r="E2590" s="20" t="n"/>
      <c r="I2590" s="14" t="n"/>
      <c r="J2590" s="21" t="n"/>
      <c r="N2590" s="22" t="n"/>
    </row>
    <row r="2591">
      <c r="A2591" s="19" t="n"/>
      <c r="E2591" s="20" t="n"/>
      <c r="I2591" s="14" t="n"/>
      <c r="J2591" s="21" t="n"/>
      <c r="N2591" s="22" t="n"/>
    </row>
    <row r="2592">
      <c r="A2592" s="19" t="n"/>
      <c r="E2592" s="20" t="n"/>
      <c r="I2592" s="14" t="n"/>
      <c r="J2592" s="21" t="n"/>
      <c r="N2592" s="22" t="n"/>
    </row>
    <row r="2593">
      <c r="A2593" s="19" t="n"/>
      <c r="E2593" s="20" t="n"/>
      <c r="I2593" s="14" t="n"/>
      <c r="J2593" s="21" t="n"/>
      <c r="N2593" s="22" t="n"/>
    </row>
    <row r="2594">
      <c r="A2594" s="19" t="n"/>
      <c r="E2594" s="20" t="n"/>
      <c r="I2594" s="14" t="n"/>
      <c r="J2594" s="21" t="n"/>
      <c r="N2594" s="22" t="n"/>
    </row>
    <row r="2595">
      <c r="A2595" s="19" t="n"/>
      <c r="E2595" s="20" t="n"/>
      <c r="I2595" s="14" t="n"/>
      <c r="J2595" s="21" t="n"/>
      <c r="N2595" s="22" t="n"/>
    </row>
    <row r="2596">
      <c r="A2596" s="19" t="n"/>
      <c r="E2596" s="20" t="n"/>
      <c r="I2596" s="14" t="n"/>
      <c r="J2596" s="21" t="n"/>
      <c r="N2596" s="22" t="n"/>
    </row>
    <row r="2597">
      <c r="A2597" s="19" t="n"/>
      <c r="E2597" s="20" t="n"/>
      <c r="I2597" s="14" t="n"/>
      <c r="J2597" s="21" t="n"/>
      <c r="N2597" s="22" t="n"/>
    </row>
    <row r="2598">
      <c r="A2598" s="19" t="n"/>
      <c r="E2598" s="20" t="n"/>
      <c r="I2598" s="14" t="n"/>
      <c r="J2598" s="21" t="n"/>
      <c r="N2598" s="22" t="n"/>
    </row>
    <row r="2599">
      <c r="A2599" s="19" t="n"/>
      <c r="E2599" s="20" t="n"/>
      <c r="I2599" s="14" t="n"/>
      <c r="J2599" s="21" t="n"/>
      <c r="N2599" s="22" t="n"/>
    </row>
    <row r="2600">
      <c r="A2600" s="19" t="n"/>
      <c r="E2600" s="20" t="n"/>
      <c r="I2600" s="14" t="n"/>
      <c r="J2600" s="21" t="n"/>
      <c r="N2600" s="22" t="n"/>
    </row>
    <row r="2601">
      <c r="A2601" s="19" t="n"/>
      <c r="E2601" s="20" t="n"/>
      <c r="I2601" s="14" t="n"/>
      <c r="J2601" s="21" t="n"/>
      <c r="N2601" s="22" t="n"/>
    </row>
    <row r="2602">
      <c r="A2602" s="19" t="n"/>
      <c r="E2602" s="20" t="n"/>
      <c r="I2602" s="14" t="n"/>
      <c r="J2602" s="21" t="n"/>
      <c r="N2602" s="22" t="n"/>
    </row>
    <row r="2603">
      <c r="A2603" s="19" t="n"/>
      <c r="E2603" s="20" t="n"/>
      <c r="I2603" s="14" t="n"/>
      <c r="J2603" s="21" t="n"/>
      <c r="N2603" s="22" t="n"/>
    </row>
    <row r="2604">
      <c r="A2604" s="19" t="n"/>
      <c r="E2604" s="20" t="n"/>
      <c r="I2604" s="14" t="n"/>
      <c r="J2604" s="21" t="n"/>
      <c r="N2604" s="22" t="n"/>
    </row>
    <row r="2605">
      <c r="A2605" s="19" t="n"/>
      <c r="E2605" s="20" t="n"/>
      <c r="I2605" s="14" t="n"/>
      <c r="J2605" s="21" t="n"/>
      <c r="N2605" s="22" t="n"/>
    </row>
    <row r="2606">
      <c r="A2606" s="19" t="n"/>
      <c r="E2606" s="20" t="n"/>
      <c r="I2606" s="14" t="n"/>
      <c r="J2606" s="21" t="n"/>
      <c r="N2606" s="22" t="n"/>
    </row>
    <row r="2607">
      <c r="A2607" s="19" t="n"/>
      <c r="E2607" s="20" t="n"/>
      <c r="I2607" s="14" t="n"/>
      <c r="J2607" s="21" t="n"/>
      <c r="N2607" s="22" t="n"/>
    </row>
    <row r="2608">
      <c r="A2608" s="19" t="n"/>
      <c r="E2608" s="20" t="n"/>
      <c r="I2608" s="14" t="n"/>
      <c r="J2608" s="21" t="n"/>
      <c r="N2608" s="22" t="n"/>
    </row>
    <row r="2609">
      <c r="A2609" s="19" t="n"/>
      <c r="E2609" s="20" t="n"/>
      <c r="I2609" s="14" t="n"/>
      <c r="J2609" s="21" t="n"/>
      <c r="N2609" s="22" t="n"/>
    </row>
    <row r="2610">
      <c r="A2610" s="19" t="n"/>
      <c r="E2610" s="20" t="n"/>
      <c r="I2610" s="14" t="n"/>
      <c r="J2610" s="21" t="n"/>
      <c r="N2610" s="22" t="n"/>
    </row>
    <row r="2611">
      <c r="A2611" s="19" t="n"/>
      <c r="E2611" s="20" t="n"/>
      <c r="I2611" s="14" t="n"/>
      <c r="J2611" s="21" t="n"/>
      <c r="N2611" s="22" t="n"/>
    </row>
    <row r="2612">
      <c r="A2612" s="19" t="n"/>
      <c r="E2612" s="20" t="n"/>
      <c r="I2612" s="14" t="n"/>
      <c r="J2612" s="21" t="n"/>
      <c r="N2612" s="22" t="n"/>
    </row>
    <row r="2613">
      <c r="A2613" s="19" t="n"/>
      <c r="E2613" s="20" t="n"/>
      <c r="I2613" s="14" t="n"/>
      <c r="J2613" s="21" t="n"/>
      <c r="N2613" s="22" t="n"/>
    </row>
    <row r="2614">
      <c r="A2614" s="19" t="n"/>
      <c r="E2614" s="20" t="n"/>
      <c r="I2614" s="14" t="n"/>
      <c r="J2614" s="21" t="n"/>
      <c r="N2614" s="22" t="n"/>
    </row>
    <row r="2615">
      <c r="A2615" s="19" t="n"/>
      <c r="E2615" s="20" t="n"/>
      <c r="I2615" s="14" t="n"/>
      <c r="J2615" s="21" t="n"/>
      <c r="N2615" s="22" t="n"/>
    </row>
    <row r="2616">
      <c r="A2616" s="19" t="n"/>
      <c r="E2616" s="20" t="n"/>
      <c r="I2616" s="14" t="n"/>
      <c r="J2616" s="21" t="n"/>
      <c r="N2616" s="22" t="n"/>
    </row>
    <row r="2617">
      <c r="A2617" s="19" t="n"/>
      <c r="E2617" s="20" t="n"/>
      <c r="I2617" s="14" t="n"/>
      <c r="J2617" s="21" t="n"/>
      <c r="N2617" s="22" t="n"/>
    </row>
    <row r="2618">
      <c r="A2618" s="19" t="n"/>
      <c r="E2618" s="20" t="n"/>
      <c r="I2618" s="14" t="n"/>
      <c r="J2618" s="21" t="n"/>
      <c r="N2618" s="22" t="n"/>
    </row>
    <row r="2619">
      <c r="A2619" s="19" t="n"/>
      <c r="E2619" s="20" t="n"/>
      <c r="I2619" s="14" t="n"/>
      <c r="J2619" s="21" t="n"/>
      <c r="N2619" s="22" t="n"/>
    </row>
    <row r="2620">
      <c r="A2620" s="19" t="n"/>
      <c r="E2620" s="20" t="n"/>
      <c r="I2620" s="14" t="n"/>
      <c r="J2620" s="21" t="n"/>
      <c r="N2620" s="22" t="n"/>
    </row>
    <row r="2621">
      <c r="A2621" s="19" t="n"/>
      <c r="E2621" s="20" t="n"/>
      <c r="I2621" s="14" t="n"/>
      <c r="J2621" s="21" t="n"/>
      <c r="N2621" s="22" t="n"/>
    </row>
    <row r="2622">
      <c r="A2622" s="19" t="n"/>
      <c r="E2622" s="20" t="n"/>
      <c r="I2622" s="14" t="n"/>
      <c r="J2622" s="21" t="n"/>
      <c r="N2622" s="22" t="n"/>
    </row>
    <row r="2623">
      <c r="A2623" s="19" t="n"/>
      <c r="E2623" s="20" t="n"/>
      <c r="I2623" s="14" t="n"/>
      <c r="J2623" s="21" t="n"/>
      <c r="N2623" s="22" t="n"/>
    </row>
    <row r="2624">
      <c r="A2624" s="19" t="n"/>
      <c r="E2624" s="20" t="n"/>
      <c r="I2624" s="14" t="n"/>
      <c r="J2624" s="21" t="n"/>
      <c r="N2624" s="22" t="n"/>
    </row>
    <row r="2625">
      <c r="A2625" s="19" t="n"/>
      <c r="E2625" s="20" t="n"/>
      <c r="I2625" s="14" t="n"/>
      <c r="J2625" s="21" t="n"/>
      <c r="N2625" s="22" t="n"/>
    </row>
    <row r="2626">
      <c r="A2626" s="19" t="n"/>
      <c r="E2626" s="20" t="n"/>
      <c r="I2626" s="14" t="n"/>
      <c r="J2626" s="21" t="n"/>
      <c r="N2626" s="22" t="n"/>
    </row>
    <row r="2627">
      <c r="A2627" s="19" t="n"/>
      <c r="E2627" s="20" t="n"/>
      <c r="I2627" s="14" t="n"/>
      <c r="J2627" s="21" t="n"/>
      <c r="N2627" s="22" t="n"/>
    </row>
    <row r="2628">
      <c r="A2628" s="19" t="n"/>
      <c r="E2628" s="20" t="n"/>
      <c r="I2628" s="14" t="n"/>
      <c r="J2628" s="21" t="n"/>
      <c r="N2628" s="22" t="n"/>
    </row>
    <row r="2629">
      <c r="A2629" s="19" t="n"/>
      <c r="E2629" s="20" t="n"/>
      <c r="I2629" s="14" t="n"/>
      <c r="J2629" s="21" t="n"/>
      <c r="N2629" s="22" t="n"/>
    </row>
    <row r="2630">
      <c r="A2630" s="19" t="n"/>
      <c r="E2630" s="20" t="n"/>
      <c r="I2630" s="14" t="n"/>
      <c r="J2630" s="21" t="n"/>
      <c r="N2630" s="22" t="n"/>
    </row>
    <row r="2631">
      <c r="A2631" s="19" t="n"/>
      <c r="E2631" s="20" t="n"/>
      <c r="I2631" s="14" t="n"/>
      <c r="J2631" s="21" t="n"/>
      <c r="N2631" s="22" t="n"/>
    </row>
    <row r="2632">
      <c r="A2632" s="19" t="n"/>
      <c r="E2632" s="20" t="n"/>
      <c r="I2632" s="14" t="n"/>
      <c r="J2632" s="21" t="n"/>
      <c r="N2632" s="22" t="n"/>
    </row>
    <row r="2633">
      <c r="A2633" s="19" t="n"/>
      <c r="E2633" s="20" t="n"/>
      <c r="I2633" s="14" t="n"/>
      <c r="J2633" s="21" t="n"/>
      <c r="N2633" s="22" t="n"/>
    </row>
    <row r="2634">
      <c r="A2634" s="19" t="n"/>
      <c r="E2634" s="20" t="n"/>
      <c r="I2634" s="14" t="n"/>
      <c r="J2634" s="21" t="n"/>
      <c r="N2634" s="22" t="n"/>
    </row>
    <row r="2635">
      <c r="A2635" s="19" t="n"/>
      <c r="E2635" s="20" t="n"/>
      <c r="I2635" s="14" t="n"/>
      <c r="J2635" s="21" t="n"/>
      <c r="N2635" s="22" t="n"/>
    </row>
    <row r="2636">
      <c r="A2636" s="19" t="n"/>
      <c r="E2636" s="20" t="n"/>
      <c r="I2636" s="14" t="n"/>
      <c r="J2636" s="21" t="n"/>
      <c r="N2636" s="22" t="n"/>
    </row>
    <row r="2637">
      <c r="A2637" s="19" t="n"/>
      <c r="E2637" s="20" t="n"/>
      <c r="I2637" s="14" t="n"/>
      <c r="J2637" s="21" t="n"/>
      <c r="N2637" s="22" t="n"/>
    </row>
    <row r="2638">
      <c r="A2638" s="19" t="n"/>
      <c r="E2638" s="20" t="n"/>
      <c r="I2638" s="14" t="n"/>
      <c r="J2638" s="21" t="n"/>
      <c r="N2638" s="22" t="n"/>
    </row>
    <row r="2639">
      <c r="A2639" s="19" t="n"/>
      <c r="E2639" s="20" t="n"/>
      <c r="I2639" s="14" t="n"/>
      <c r="J2639" s="21" t="n"/>
      <c r="N2639" s="22" t="n"/>
    </row>
    <row r="2640">
      <c r="A2640" s="19" t="n"/>
      <c r="E2640" s="20" t="n"/>
      <c r="I2640" s="14" t="n"/>
      <c r="J2640" s="21" t="n"/>
      <c r="N2640" s="22" t="n"/>
    </row>
    <row r="2641">
      <c r="A2641" s="19" t="n"/>
      <c r="E2641" s="20" t="n"/>
      <c r="I2641" s="14" t="n"/>
      <c r="J2641" s="21" t="n"/>
      <c r="N2641" s="22" t="n"/>
    </row>
    <row r="2642">
      <c r="A2642" s="19" t="n"/>
      <c r="E2642" s="20" t="n"/>
      <c r="I2642" s="14" t="n"/>
      <c r="J2642" s="21" t="n"/>
      <c r="N2642" s="22" t="n"/>
    </row>
    <row r="2643">
      <c r="A2643" s="19" t="n"/>
      <c r="E2643" s="20" t="n"/>
      <c r="I2643" s="14" t="n"/>
      <c r="J2643" s="21" t="n"/>
      <c r="N2643" s="22" t="n"/>
    </row>
    <row r="2644">
      <c r="A2644" s="19" t="n"/>
      <c r="E2644" s="20" t="n"/>
      <c r="I2644" s="14" t="n"/>
      <c r="J2644" s="21" t="n"/>
      <c r="N2644" s="22" t="n"/>
    </row>
    <row r="2645">
      <c r="A2645" s="19" t="n"/>
      <c r="E2645" s="20" t="n"/>
      <c r="I2645" s="14" t="n"/>
      <c r="J2645" s="21" t="n"/>
      <c r="N2645" s="22" t="n"/>
    </row>
    <row r="2646">
      <c r="A2646" s="19" t="n"/>
      <c r="E2646" s="20" t="n"/>
      <c r="I2646" s="14" t="n"/>
      <c r="J2646" s="21" t="n"/>
      <c r="N2646" s="22" t="n"/>
    </row>
    <row r="2647">
      <c r="A2647" s="19" t="n"/>
      <c r="E2647" s="20" t="n"/>
      <c r="I2647" s="14" t="n"/>
      <c r="J2647" s="21" t="n"/>
      <c r="N2647" s="22" t="n"/>
    </row>
    <row r="2648">
      <c r="A2648" s="19" t="n"/>
      <c r="E2648" s="20" t="n"/>
      <c r="I2648" s="14" t="n"/>
      <c r="J2648" s="21" t="n"/>
      <c r="N2648" s="22" t="n"/>
    </row>
    <row r="2649">
      <c r="A2649" s="19" t="n"/>
      <c r="E2649" s="20" t="n"/>
      <c r="I2649" s="14" t="n"/>
      <c r="J2649" s="21" t="n"/>
      <c r="N2649" s="22" t="n"/>
    </row>
    <row r="2650">
      <c r="A2650" s="19" t="n"/>
      <c r="E2650" s="20" t="n"/>
      <c r="I2650" s="14" t="n"/>
      <c r="J2650" s="21" t="n"/>
      <c r="N2650" s="22" t="n"/>
    </row>
    <row r="2651">
      <c r="A2651" s="19" t="n"/>
      <c r="E2651" s="20" t="n"/>
      <c r="I2651" s="14" t="n"/>
      <c r="J2651" s="21" t="n"/>
      <c r="N2651" s="22" t="n"/>
    </row>
    <row r="2652">
      <c r="A2652" s="19" t="n"/>
      <c r="E2652" s="20" t="n"/>
      <c r="I2652" s="14" t="n"/>
      <c r="J2652" s="21" t="n"/>
      <c r="N2652" s="22" t="n"/>
    </row>
    <row r="2653">
      <c r="A2653" s="19" t="n"/>
      <c r="E2653" s="20" t="n"/>
      <c r="I2653" s="14" t="n"/>
      <c r="J2653" s="21" t="n"/>
      <c r="N2653" s="22" t="n"/>
    </row>
    <row r="2654">
      <c r="A2654" s="19" t="n"/>
      <c r="E2654" s="20" t="n"/>
      <c r="I2654" s="14" t="n"/>
      <c r="J2654" s="21" t="n"/>
      <c r="N2654" s="22" t="n"/>
    </row>
    <row r="2655">
      <c r="A2655" s="19" t="n"/>
      <c r="E2655" s="20" t="n"/>
      <c r="I2655" s="14" t="n"/>
      <c r="J2655" s="21" t="n"/>
      <c r="N2655" s="22" t="n"/>
    </row>
    <row r="2656">
      <c r="A2656" s="19" t="n"/>
      <c r="E2656" s="20" t="n"/>
      <c r="I2656" s="14" t="n"/>
      <c r="J2656" s="21" t="n"/>
      <c r="N2656" s="22" t="n"/>
    </row>
    <row r="2657">
      <c r="A2657" s="19" t="n"/>
      <c r="E2657" s="20" t="n"/>
      <c r="I2657" s="14" t="n"/>
      <c r="J2657" s="21" t="n"/>
      <c r="N2657" s="22" t="n"/>
    </row>
    <row r="2658">
      <c r="A2658" s="19" t="n"/>
      <c r="E2658" s="20" t="n"/>
      <c r="I2658" s="14" t="n"/>
      <c r="J2658" s="21" t="n"/>
      <c r="N2658" s="22" t="n"/>
    </row>
    <row r="2659">
      <c r="A2659" s="19" t="n"/>
      <c r="E2659" s="20" t="n"/>
      <c r="I2659" s="14" t="n"/>
      <c r="J2659" s="21" t="n"/>
      <c r="N2659" s="22" t="n"/>
    </row>
    <row r="2660">
      <c r="A2660" s="19" t="n"/>
      <c r="E2660" s="20" t="n"/>
      <c r="I2660" s="14" t="n"/>
      <c r="J2660" s="21" t="n"/>
      <c r="N2660" s="22" t="n"/>
    </row>
    <row r="2661">
      <c r="A2661" s="19" t="n"/>
      <c r="E2661" s="20" t="n"/>
      <c r="I2661" s="14" t="n"/>
      <c r="J2661" s="21" t="n"/>
      <c r="N2661" s="22" t="n"/>
    </row>
    <row r="2662">
      <c r="A2662" s="19" t="n"/>
      <c r="E2662" s="20" t="n"/>
      <c r="I2662" s="14" t="n"/>
      <c r="J2662" s="21" t="n"/>
      <c r="N2662" s="22" t="n"/>
    </row>
    <row r="2663">
      <c r="A2663" s="19" t="n"/>
      <c r="E2663" s="20" t="n"/>
      <c r="I2663" s="14" t="n"/>
      <c r="J2663" s="21" t="n"/>
      <c r="N2663" s="22" t="n"/>
    </row>
    <row r="2664">
      <c r="A2664" s="19" t="n"/>
      <c r="E2664" s="20" t="n"/>
      <c r="I2664" s="14" t="n"/>
      <c r="J2664" s="21" t="n"/>
      <c r="N2664" s="22" t="n"/>
    </row>
    <row r="2665">
      <c r="A2665" s="19" t="n"/>
      <c r="E2665" s="20" t="n"/>
      <c r="I2665" s="14" t="n"/>
      <c r="J2665" s="21" t="n"/>
      <c r="N2665" s="22" t="n"/>
    </row>
    <row r="2666">
      <c r="A2666" s="19" t="n"/>
      <c r="E2666" s="20" t="n"/>
      <c r="I2666" s="14" t="n"/>
      <c r="J2666" s="21" t="n"/>
      <c r="N2666" s="22" t="n"/>
    </row>
    <row r="2667">
      <c r="A2667" s="19" t="n"/>
      <c r="E2667" s="20" t="n"/>
      <c r="I2667" s="14" t="n"/>
      <c r="J2667" s="21" t="n"/>
      <c r="N2667" s="22" t="n"/>
    </row>
    <row r="2668">
      <c r="A2668" s="19" t="n"/>
      <c r="E2668" s="20" t="n"/>
      <c r="I2668" s="14" t="n"/>
      <c r="J2668" s="21" t="n"/>
      <c r="N2668" s="22" t="n"/>
    </row>
    <row r="2669">
      <c r="A2669" s="19" t="n"/>
      <c r="E2669" s="20" t="n"/>
      <c r="I2669" s="14" t="n"/>
      <c r="J2669" s="21" t="n"/>
      <c r="N2669" s="22" t="n"/>
    </row>
    <row r="2670">
      <c r="A2670" s="19" t="n"/>
      <c r="E2670" s="20" t="n"/>
      <c r="I2670" s="14" t="n"/>
      <c r="J2670" s="21" t="n"/>
      <c r="N2670" s="22" t="n"/>
    </row>
    <row r="2671">
      <c r="A2671" s="19" t="n"/>
      <c r="E2671" s="20" t="n"/>
      <c r="I2671" s="14" t="n"/>
      <c r="J2671" s="21" t="n"/>
      <c r="N2671" s="22" t="n"/>
    </row>
    <row r="2672">
      <c r="A2672" s="19" t="n"/>
      <c r="E2672" s="20" t="n"/>
      <c r="I2672" s="14" t="n"/>
      <c r="J2672" s="21" t="n"/>
      <c r="N2672" s="22" t="n"/>
    </row>
    <row r="2673">
      <c r="A2673" s="19" t="n"/>
      <c r="E2673" s="20" t="n"/>
      <c r="I2673" s="14" t="n"/>
      <c r="J2673" s="21" t="n"/>
      <c r="N2673" s="22" t="n"/>
    </row>
    <row r="2674">
      <c r="A2674" s="19" t="n"/>
      <c r="E2674" s="20" t="n"/>
      <c r="I2674" s="14" t="n"/>
      <c r="J2674" s="21" t="n"/>
      <c r="N2674" s="22" t="n"/>
    </row>
    <row r="2675">
      <c r="A2675" s="19" t="n"/>
      <c r="E2675" s="20" t="n"/>
      <c r="I2675" s="14" t="n"/>
      <c r="J2675" s="21" t="n"/>
      <c r="N2675" s="22" t="n"/>
    </row>
    <row r="2676">
      <c r="A2676" s="19" t="n"/>
      <c r="E2676" s="20" t="n"/>
      <c r="I2676" s="14" t="n"/>
      <c r="J2676" s="21" t="n"/>
      <c r="N2676" s="22" t="n"/>
    </row>
    <row r="2677">
      <c r="A2677" s="19" t="n"/>
      <c r="E2677" s="20" t="n"/>
      <c r="I2677" s="14" t="n"/>
      <c r="J2677" s="21" t="n"/>
      <c r="N2677" s="22" t="n"/>
    </row>
    <row r="2678">
      <c r="A2678" s="19" t="n"/>
      <c r="E2678" s="20" t="n"/>
      <c r="I2678" s="14" t="n"/>
      <c r="J2678" s="21" t="n"/>
      <c r="N2678" s="22" t="n"/>
    </row>
    <row r="2679">
      <c r="A2679" s="19" t="n"/>
      <c r="E2679" s="20" t="n"/>
      <c r="I2679" s="14" t="n"/>
      <c r="J2679" s="21" t="n"/>
      <c r="N2679" s="22" t="n"/>
    </row>
    <row r="2680">
      <c r="A2680" s="19" t="n"/>
      <c r="E2680" s="20" t="n"/>
      <c r="I2680" s="14" t="n"/>
      <c r="J2680" s="21" t="n"/>
      <c r="N2680" s="22" t="n"/>
    </row>
    <row r="2681">
      <c r="A2681" s="19" t="n"/>
      <c r="E2681" s="20" t="n"/>
      <c r="I2681" s="14" t="n"/>
      <c r="J2681" s="21" t="n"/>
      <c r="N2681" s="22" t="n"/>
    </row>
    <row r="2682">
      <c r="A2682" s="19" t="n"/>
      <c r="E2682" s="20" t="n"/>
      <c r="I2682" s="14" t="n"/>
      <c r="J2682" s="21" t="n"/>
      <c r="N2682" s="22" t="n"/>
    </row>
    <row r="2683">
      <c r="A2683" s="19" t="n"/>
      <c r="E2683" s="20" t="n"/>
      <c r="I2683" s="14" t="n"/>
      <c r="J2683" s="21" t="n"/>
      <c r="N2683" s="22" t="n"/>
    </row>
    <row r="2684">
      <c r="A2684" s="19" t="n"/>
      <c r="E2684" s="20" t="n"/>
      <c r="I2684" s="14" t="n"/>
      <c r="J2684" s="21" t="n"/>
      <c r="N2684" s="22" t="n"/>
    </row>
    <row r="2685">
      <c r="A2685" s="19" t="n"/>
      <c r="E2685" s="20" t="n"/>
      <c r="I2685" s="14" t="n"/>
      <c r="J2685" s="21" t="n"/>
      <c r="N2685" s="22" t="n"/>
    </row>
    <row r="2686">
      <c r="A2686" s="19" t="n"/>
      <c r="E2686" s="20" t="n"/>
      <c r="I2686" s="14" t="n"/>
      <c r="J2686" s="21" t="n"/>
      <c r="N2686" s="22" t="n"/>
    </row>
    <row r="2687">
      <c r="A2687" s="19" t="n"/>
      <c r="E2687" s="20" t="n"/>
      <c r="I2687" s="14" t="n"/>
      <c r="J2687" s="21" t="n"/>
      <c r="N2687" s="22" t="n"/>
    </row>
    <row r="2688">
      <c r="A2688" s="19" t="n"/>
      <c r="E2688" s="20" t="n"/>
      <c r="I2688" s="14" t="n"/>
      <c r="J2688" s="21" t="n"/>
      <c r="N2688" s="22" t="n"/>
    </row>
    <row r="2689">
      <c r="A2689" s="19" t="n"/>
      <c r="E2689" s="20" t="n"/>
      <c r="I2689" s="14" t="n"/>
      <c r="J2689" s="21" t="n"/>
      <c r="N2689" s="22" t="n"/>
    </row>
    <row r="2690">
      <c r="A2690" s="19" t="n"/>
      <c r="E2690" s="20" t="n"/>
      <c r="I2690" s="14" t="n"/>
      <c r="J2690" s="21" t="n"/>
      <c r="N2690" s="22" t="n"/>
    </row>
    <row r="2691">
      <c r="A2691" s="19" t="n"/>
      <c r="E2691" s="20" t="n"/>
      <c r="I2691" s="14" t="n"/>
      <c r="J2691" s="21" t="n"/>
      <c r="N2691" s="22" t="n"/>
    </row>
    <row r="2692">
      <c r="A2692" s="19" t="n"/>
      <c r="E2692" s="20" t="n"/>
      <c r="I2692" s="14" t="n"/>
      <c r="J2692" s="21" t="n"/>
      <c r="N2692" s="22" t="n"/>
    </row>
    <row r="2693">
      <c r="A2693" s="19" t="n"/>
      <c r="E2693" s="20" t="n"/>
      <c r="I2693" s="14" t="n"/>
      <c r="J2693" s="21" t="n"/>
      <c r="N2693" s="22" t="n"/>
    </row>
    <row r="2694">
      <c r="A2694" s="19" t="n"/>
      <c r="E2694" s="20" t="n"/>
      <c r="I2694" s="14" t="n"/>
      <c r="J2694" s="21" t="n"/>
      <c r="N2694" s="22" t="n"/>
    </row>
    <row r="2695">
      <c r="A2695" s="19" t="n"/>
      <c r="E2695" s="20" t="n"/>
      <c r="I2695" s="14" t="n"/>
      <c r="J2695" s="21" t="n"/>
      <c r="N2695" s="22" t="n"/>
    </row>
    <row r="2696">
      <c r="A2696" s="19" t="n"/>
      <c r="E2696" s="20" t="n"/>
      <c r="I2696" s="14" t="n"/>
      <c r="J2696" s="21" t="n"/>
      <c r="N2696" s="22" t="n"/>
    </row>
    <row r="2697">
      <c r="A2697" s="19" t="n"/>
      <c r="E2697" s="20" t="n"/>
      <c r="I2697" s="14" t="n"/>
      <c r="J2697" s="21" t="n"/>
      <c r="N2697" s="22" t="n"/>
    </row>
    <row r="2698">
      <c r="A2698" s="19" t="n"/>
      <c r="E2698" s="20" t="n"/>
      <c r="I2698" s="14" t="n"/>
      <c r="J2698" s="21" t="n"/>
      <c r="N2698" s="22" t="n"/>
    </row>
    <row r="2699">
      <c r="A2699" s="19" t="n"/>
      <c r="E2699" s="20" t="n"/>
      <c r="I2699" s="14" t="n"/>
      <c r="J2699" s="21" t="n"/>
      <c r="N2699" s="22" t="n"/>
    </row>
    <row r="2700">
      <c r="A2700" s="19" t="n"/>
      <c r="E2700" s="20" t="n"/>
      <c r="I2700" s="14" t="n"/>
      <c r="J2700" s="21" t="n"/>
      <c r="N2700" s="22" t="n"/>
    </row>
    <row r="2701">
      <c r="A2701" s="19" t="n"/>
      <c r="E2701" s="20" t="n"/>
      <c r="I2701" s="14" t="n"/>
      <c r="J2701" s="21" t="n"/>
      <c r="N2701" s="22" t="n"/>
    </row>
    <row r="2702">
      <c r="A2702" s="19" t="n"/>
      <c r="E2702" s="20" t="n"/>
      <c r="I2702" s="14" t="n"/>
      <c r="J2702" s="21" t="n"/>
      <c r="N2702" s="22" t="n"/>
    </row>
    <row r="2703">
      <c r="A2703" s="19" t="n"/>
      <c r="E2703" s="20" t="n"/>
      <c r="I2703" s="14" t="n"/>
      <c r="J2703" s="21" t="n"/>
      <c r="N2703" s="22" t="n"/>
    </row>
    <row r="2704">
      <c r="A2704" s="19" t="n"/>
      <c r="E2704" s="20" t="n"/>
      <c r="I2704" s="14" t="n"/>
      <c r="J2704" s="21" t="n"/>
      <c r="N2704" s="22" t="n"/>
    </row>
    <row r="2705">
      <c r="A2705" s="19" t="n"/>
      <c r="E2705" s="20" t="n"/>
      <c r="I2705" s="14" t="n"/>
      <c r="J2705" s="21" t="n"/>
      <c r="N2705" s="22" t="n"/>
    </row>
    <row r="2706">
      <c r="A2706" s="19" t="n"/>
      <c r="E2706" s="20" t="n"/>
      <c r="I2706" s="14" t="n"/>
      <c r="J2706" s="21" t="n"/>
      <c r="N2706" s="22" t="n"/>
    </row>
    <row r="2707">
      <c r="A2707" s="19" t="n"/>
      <c r="E2707" s="20" t="n"/>
      <c r="I2707" s="14" t="n"/>
      <c r="J2707" s="21" t="n"/>
      <c r="N2707" s="22" t="n"/>
    </row>
    <row r="2708">
      <c r="A2708" s="19" t="n"/>
      <c r="E2708" s="20" t="n"/>
      <c r="I2708" s="14" t="n"/>
      <c r="J2708" s="21" t="n"/>
      <c r="N2708" s="22" t="n"/>
    </row>
    <row r="2709">
      <c r="A2709" s="19" t="n"/>
      <c r="E2709" s="20" t="n"/>
      <c r="I2709" s="14" t="n"/>
      <c r="J2709" s="21" t="n"/>
      <c r="N2709" s="22" t="n"/>
    </row>
    <row r="2710">
      <c r="A2710" s="19" t="n"/>
      <c r="E2710" s="20" t="n"/>
      <c r="I2710" s="14" t="n"/>
      <c r="J2710" s="21" t="n"/>
      <c r="N2710" s="22" t="n"/>
    </row>
    <row r="2711">
      <c r="A2711" s="19" t="n"/>
      <c r="E2711" s="20" t="n"/>
      <c r="I2711" s="14" t="n"/>
      <c r="J2711" s="21" t="n"/>
      <c r="N2711" s="22" t="n"/>
    </row>
    <row r="2712">
      <c r="A2712" s="19" t="n"/>
      <c r="E2712" s="20" t="n"/>
      <c r="I2712" s="14" t="n"/>
      <c r="J2712" s="21" t="n"/>
      <c r="N2712" s="22" t="n"/>
    </row>
    <row r="2713">
      <c r="A2713" s="19" t="n"/>
      <c r="E2713" s="20" t="n"/>
      <c r="I2713" s="14" t="n"/>
      <c r="J2713" s="21" t="n"/>
      <c r="N2713" s="22" t="n"/>
    </row>
    <row r="2714">
      <c r="A2714" s="19" t="n"/>
      <c r="E2714" s="20" t="n"/>
      <c r="I2714" s="14" t="n"/>
      <c r="J2714" s="21" t="n"/>
      <c r="N2714" s="22" t="n"/>
    </row>
    <row r="2715">
      <c r="A2715" s="19" t="n"/>
      <c r="E2715" s="20" t="n"/>
      <c r="I2715" s="14" t="n"/>
      <c r="J2715" s="21" t="n"/>
      <c r="N2715" s="22" t="n"/>
    </row>
    <row r="2716">
      <c r="A2716" s="19" t="n"/>
      <c r="E2716" s="20" t="n"/>
      <c r="I2716" s="14" t="n"/>
      <c r="J2716" s="21" t="n"/>
      <c r="N2716" s="22" t="n"/>
    </row>
    <row r="2717">
      <c r="A2717" s="19" t="n"/>
      <c r="E2717" s="20" t="n"/>
      <c r="I2717" s="14" t="n"/>
      <c r="J2717" s="21" t="n"/>
      <c r="N2717" s="22" t="n"/>
    </row>
    <row r="2718">
      <c r="A2718" s="19" t="n"/>
      <c r="E2718" s="20" t="n"/>
      <c r="I2718" s="14" t="n"/>
      <c r="J2718" s="21" t="n"/>
      <c r="N2718" s="22" t="n"/>
    </row>
    <row r="2719">
      <c r="A2719" s="19" t="n"/>
      <c r="E2719" s="20" t="n"/>
      <c r="I2719" s="14" t="n"/>
      <c r="J2719" s="21" t="n"/>
      <c r="N2719" s="22" t="n"/>
    </row>
    <row r="2720">
      <c r="A2720" s="19" t="n"/>
      <c r="E2720" s="20" t="n"/>
      <c r="I2720" s="14" t="n"/>
      <c r="J2720" s="21" t="n"/>
      <c r="N2720" s="22" t="n"/>
    </row>
    <row r="2721">
      <c r="A2721" s="19" t="n"/>
      <c r="E2721" s="20" t="n"/>
      <c r="I2721" s="14" t="n"/>
      <c r="J2721" s="21" t="n"/>
      <c r="N2721" s="22" t="n"/>
    </row>
    <row r="2722">
      <c r="A2722" s="19" t="n"/>
      <c r="E2722" s="20" t="n"/>
      <c r="I2722" s="14" t="n"/>
      <c r="J2722" s="21" t="n"/>
      <c r="N2722" s="22" t="n"/>
    </row>
    <row r="2723">
      <c r="A2723" s="19" t="n"/>
      <c r="E2723" s="20" t="n"/>
      <c r="I2723" s="14" t="n"/>
      <c r="J2723" s="21" t="n"/>
      <c r="N2723" s="22" t="n"/>
    </row>
    <row r="2724">
      <c r="A2724" s="19" t="n"/>
      <c r="E2724" s="20" t="n"/>
      <c r="I2724" s="14" t="n"/>
      <c r="J2724" s="21" t="n"/>
      <c r="N2724" s="22" t="n"/>
    </row>
    <row r="2725">
      <c r="A2725" s="19" t="n"/>
      <c r="E2725" s="20" t="n"/>
      <c r="I2725" s="14" t="n"/>
      <c r="J2725" s="21" t="n"/>
      <c r="N2725" s="22" t="n"/>
    </row>
    <row r="2726">
      <c r="A2726" s="19" t="n"/>
      <c r="E2726" s="20" t="n"/>
      <c r="I2726" s="14" t="n"/>
      <c r="J2726" s="21" t="n"/>
      <c r="N2726" s="22" t="n"/>
    </row>
    <row r="2727">
      <c r="A2727" s="19" t="n"/>
      <c r="E2727" s="20" t="n"/>
      <c r="I2727" s="14" t="n"/>
      <c r="J2727" s="21" t="n"/>
      <c r="N2727" s="22" t="n"/>
    </row>
    <row r="2728">
      <c r="A2728" s="19" t="n"/>
      <c r="E2728" s="20" t="n"/>
      <c r="I2728" s="14" t="n"/>
      <c r="J2728" s="21" t="n"/>
      <c r="N2728" s="22" t="n"/>
    </row>
    <row r="2729">
      <c r="A2729" s="19" t="n"/>
      <c r="E2729" s="20" t="n"/>
      <c r="I2729" s="14" t="n"/>
      <c r="J2729" s="21" t="n"/>
      <c r="N2729" s="22" t="n"/>
    </row>
    <row r="2730">
      <c r="A2730" s="19" t="n"/>
      <c r="E2730" s="20" t="n"/>
      <c r="I2730" s="14" t="n"/>
      <c r="J2730" s="21" t="n"/>
      <c r="N2730" s="22" t="n"/>
    </row>
    <row r="2731">
      <c r="A2731" s="19" t="n"/>
      <c r="E2731" s="20" t="n"/>
      <c r="I2731" s="14" t="n"/>
      <c r="J2731" s="21" t="n"/>
      <c r="N2731" s="22" t="n"/>
    </row>
    <row r="2732">
      <c r="A2732" s="19" t="n"/>
      <c r="E2732" s="20" t="n"/>
      <c r="I2732" s="14" t="n"/>
      <c r="J2732" s="21" t="n"/>
      <c r="N2732" s="22" t="n"/>
    </row>
    <row r="2733">
      <c r="A2733" s="19" t="n"/>
      <c r="E2733" s="20" t="n"/>
      <c r="I2733" s="14" t="n"/>
      <c r="J2733" s="21" t="n"/>
      <c r="N2733" s="22" t="n"/>
    </row>
    <row r="2734">
      <c r="A2734" s="19" t="n"/>
      <c r="E2734" s="20" t="n"/>
      <c r="I2734" s="14" t="n"/>
      <c r="J2734" s="21" t="n"/>
      <c r="N2734" s="22" t="n"/>
    </row>
    <row r="2735">
      <c r="A2735" s="19" t="n"/>
      <c r="E2735" s="20" t="n"/>
      <c r="I2735" s="14" t="n"/>
      <c r="J2735" s="21" t="n"/>
      <c r="N2735" s="22" t="n"/>
    </row>
    <row r="2736">
      <c r="A2736" s="19" t="n"/>
      <c r="E2736" s="20" t="n"/>
      <c r="I2736" s="14" t="n"/>
      <c r="J2736" s="21" t="n"/>
      <c r="N2736" s="22" t="n"/>
    </row>
    <row r="2737">
      <c r="A2737" s="19" t="n"/>
      <c r="E2737" s="20" t="n"/>
      <c r="I2737" s="14" t="n"/>
      <c r="J2737" s="21" t="n"/>
      <c r="N2737" s="22" t="n"/>
    </row>
    <row r="2738">
      <c r="A2738" s="19" t="n"/>
      <c r="E2738" s="20" t="n"/>
      <c r="I2738" s="14" t="n"/>
      <c r="J2738" s="21" t="n"/>
      <c r="N2738" s="22" t="n"/>
    </row>
    <row r="2739">
      <c r="A2739" s="19" t="n"/>
      <c r="E2739" s="20" t="n"/>
      <c r="I2739" s="14" t="n"/>
      <c r="J2739" s="21" t="n"/>
      <c r="N2739" s="22" t="n"/>
    </row>
    <row r="2740">
      <c r="A2740" s="19" t="n"/>
      <c r="E2740" s="20" t="n"/>
      <c r="I2740" s="14" t="n"/>
      <c r="J2740" s="21" t="n"/>
      <c r="N2740" s="22" t="n"/>
    </row>
    <row r="2741">
      <c r="A2741" s="19" t="n"/>
      <c r="E2741" s="20" t="n"/>
      <c r="I2741" s="14" t="n"/>
      <c r="J2741" s="21" t="n"/>
      <c r="N2741" s="22" t="n"/>
    </row>
    <row r="2742">
      <c r="A2742" s="19" t="n"/>
      <c r="E2742" s="20" t="n"/>
      <c r="I2742" s="14" t="n"/>
      <c r="J2742" s="21" t="n"/>
      <c r="N2742" s="22" t="n"/>
    </row>
    <row r="2743">
      <c r="A2743" s="19" t="n"/>
      <c r="E2743" s="20" t="n"/>
      <c r="I2743" s="14" t="n"/>
      <c r="J2743" s="21" t="n"/>
      <c r="N2743" s="22" t="n"/>
    </row>
    <row r="2744">
      <c r="A2744" s="19" t="n"/>
      <c r="E2744" s="20" t="n"/>
      <c r="I2744" s="14" t="n"/>
      <c r="J2744" s="21" t="n"/>
      <c r="N2744" s="22" t="n"/>
    </row>
    <row r="2745">
      <c r="A2745" s="19" t="n"/>
      <c r="E2745" s="20" t="n"/>
      <c r="I2745" s="14" t="n"/>
      <c r="J2745" s="21" t="n"/>
      <c r="N2745" s="22" t="n"/>
    </row>
    <row r="2746">
      <c r="A2746" s="19" t="n"/>
      <c r="E2746" s="20" t="n"/>
      <c r="I2746" s="14" t="n"/>
      <c r="J2746" s="21" t="n"/>
      <c r="N2746" s="22" t="n"/>
    </row>
    <row r="2747">
      <c r="A2747" s="19" t="n"/>
      <c r="E2747" s="20" t="n"/>
      <c r="I2747" s="14" t="n"/>
      <c r="J2747" s="21" t="n"/>
      <c r="N2747" s="22" t="n"/>
    </row>
    <row r="2748">
      <c r="A2748" s="19" t="n"/>
      <c r="E2748" s="20" t="n"/>
      <c r="I2748" s="14" t="n"/>
      <c r="J2748" s="21" t="n"/>
      <c r="N2748" s="22" t="n"/>
    </row>
    <row r="2749">
      <c r="A2749" s="19" t="n"/>
      <c r="E2749" s="20" t="n"/>
      <c r="I2749" s="14" t="n"/>
      <c r="J2749" s="21" t="n"/>
      <c r="N2749" s="22" t="n"/>
    </row>
    <row r="2750">
      <c r="A2750" s="19" t="n"/>
      <c r="E2750" s="20" t="n"/>
      <c r="I2750" s="14" t="n"/>
      <c r="J2750" s="21" t="n"/>
      <c r="N2750" s="22" t="n"/>
    </row>
    <row r="2751">
      <c r="A2751" s="19" t="n"/>
      <c r="E2751" s="20" t="n"/>
      <c r="I2751" s="14" t="n"/>
      <c r="J2751" s="21" t="n"/>
      <c r="N2751" s="22" t="n"/>
    </row>
    <row r="2752">
      <c r="A2752" s="19" t="n"/>
      <c r="E2752" s="20" t="n"/>
      <c r="I2752" s="14" t="n"/>
      <c r="J2752" s="21" t="n"/>
      <c r="N2752" s="22" t="n"/>
    </row>
    <row r="2753">
      <c r="A2753" s="19" t="n"/>
      <c r="E2753" s="20" t="n"/>
      <c r="I2753" s="14" t="n"/>
      <c r="J2753" s="21" t="n"/>
      <c r="N2753" s="22" t="n"/>
    </row>
    <row r="2754">
      <c r="A2754" s="19" t="n"/>
      <c r="E2754" s="20" t="n"/>
      <c r="I2754" s="14" t="n"/>
      <c r="J2754" s="21" t="n"/>
      <c r="N2754" s="22" t="n"/>
    </row>
    <row r="2755">
      <c r="A2755" s="19" t="n"/>
      <c r="E2755" s="20" t="n"/>
      <c r="I2755" s="14" t="n"/>
      <c r="J2755" s="21" t="n"/>
      <c r="N2755" s="22" t="n"/>
    </row>
    <row r="2756">
      <c r="A2756" s="19" t="n"/>
      <c r="E2756" s="20" t="n"/>
      <c r="I2756" s="14" t="n"/>
      <c r="J2756" s="21" t="n"/>
      <c r="N2756" s="22" t="n"/>
    </row>
    <row r="2757">
      <c r="A2757" s="19" t="n"/>
      <c r="E2757" s="20" t="n"/>
      <c r="I2757" s="14" t="n"/>
      <c r="J2757" s="21" t="n"/>
      <c r="N2757" s="22" t="n"/>
    </row>
    <row r="2758">
      <c r="A2758" s="19" t="n"/>
      <c r="E2758" s="20" t="n"/>
      <c r="I2758" s="14" t="n"/>
      <c r="J2758" s="21" t="n"/>
      <c r="N2758" s="22" t="n"/>
    </row>
    <row r="2759">
      <c r="A2759" s="19" t="n"/>
      <c r="E2759" s="20" t="n"/>
      <c r="I2759" s="14" t="n"/>
      <c r="J2759" s="21" t="n"/>
      <c r="N2759" s="22" t="n"/>
    </row>
    <row r="2760">
      <c r="A2760" s="19" t="n"/>
      <c r="E2760" s="20" t="n"/>
      <c r="I2760" s="14" t="n"/>
      <c r="J2760" s="21" t="n"/>
      <c r="N2760" s="22" t="n"/>
    </row>
    <row r="2761">
      <c r="A2761" s="19" t="n"/>
      <c r="E2761" s="20" t="n"/>
      <c r="I2761" s="14" t="n"/>
      <c r="J2761" s="21" t="n"/>
      <c r="N2761" s="22" t="n"/>
    </row>
    <row r="2762">
      <c r="A2762" s="19" t="n"/>
      <c r="E2762" s="20" t="n"/>
      <c r="I2762" s="14" t="n"/>
      <c r="J2762" s="21" t="n"/>
      <c r="N2762" s="22" t="n"/>
    </row>
    <row r="2763">
      <c r="A2763" s="19" t="n"/>
      <c r="E2763" s="20" t="n"/>
      <c r="I2763" s="14" t="n"/>
      <c r="J2763" s="21" t="n"/>
      <c r="N2763" s="22" t="n"/>
    </row>
    <row r="2764">
      <c r="A2764" s="19" t="n"/>
      <c r="E2764" s="20" t="n"/>
      <c r="I2764" s="14" t="n"/>
      <c r="J2764" s="21" t="n"/>
      <c r="N2764" s="22" t="n"/>
    </row>
    <row r="2765">
      <c r="A2765" s="19" t="n"/>
      <c r="E2765" s="20" t="n"/>
      <c r="I2765" s="14" t="n"/>
      <c r="J2765" s="21" t="n"/>
      <c r="N2765" s="22" t="n"/>
    </row>
    <row r="2766">
      <c r="A2766" s="19" t="n"/>
      <c r="E2766" s="20" t="n"/>
      <c r="I2766" s="14" t="n"/>
      <c r="J2766" s="21" t="n"/>
      <c r="N2766" s="22" t="n"/>
    </row>
    <row r="2767">
      <c r="A2767" s="19" t="n"/>
      <c r="E2767" s="20" t="n"/>
      <c r="I2767" s="14" t="n"/>
      <c r="J2767" s="21" t="n"/>
      <c r="N2767" s="22" t="n"/>
    </row>
    <row r="2768">
      <c r="A2768" s="19" t="n"/>
      <c r="E2768" s="20" t="n"/>
      <c r="I2768" s="14" t="n"/>
      <c r="J2768" s="21" t="n"/>
      <c r="N2768" s="22" t="n"/>
    </row>
    <row r="2769">
      <c r="A2769" s="19" t="n"/>
      <c r="E2769" s="20" t="n"/>
      <c r="I2769" s="14" t="n"/>
      <c r="J2769" s="21" t="n"/>
      <c r="N2769" s="22" t="n"/>
    </row>
    <row r="2770">
      <c r="A2770" s="19" t="n"/>
      <c r="E2770" s="20" t="n"/>
      <c r="I2770" s="14" t="n"/>
      <c r="J2770" s="21" t="n"/>
      <c r="N2770" s="22" t="n"/>
    </row>
    <row r="2771">
      <c r="A2771" s="19" t="n"/>
      <c r="E2771" s="20" t="n"/>
      <c r="I2771" s="14" t="n"/>
      <c r="J2771" s="21" t="n"/>
      <c r="N2771" s="22" t="n"/>
    </row>
    <row r="2772">
      <c r="A2772" s="19" t="n"/>
      <c r="E2772" s="20" t="n"/>
      <c r="I2772" s="14" t="n"/>
      <c r="J2772" s="21" t="n"/>
      <c r="N2772" s="22" t="n"/>
    </row>
    <row r="2773">
      <c r="A2773" s="19" t="n"/>
      <c r="E2773" s="20" t="n"/>
      <c r="I2773" s="14" t="n"/>
      <c r="J2773" s="21" t="n"/>
      <c r="N2773" s="22" t="n"/>
    </row>
    <row r="2774">
      <c r="A2774" s="19" t="n"/>
      <c r="E2774" s="20" t="n"/>
      <c r="I2774" s="14" t="n"/>
      <c r="J2774" s="21" t="n"/>
      <c r="N2774" s="22" t="n"/>
    </row>
    <row r="2775">
      <c r="A2775" s="19" t="n"/>
      <c r="E2775" s="20" t="n"/>
      <c r="I2775" s="14" t="n"/>
      <c r="J2775" s="21" t="n"/>
      <c r="N2775" s="22" t="n"/>
    </row>
    <row r="2776">
      <c r="A2776" s="19" t="n"/>
      <c r="E2776" s="20" t="n"/>
      <c r="I2776" s="14" t="n"/>
      <c r="J2776" s="21" t="n"/>
      <c r="N2776" s="22" t="n"/>
    </row>
    <row r="2777">
      <c r="A2777" s="19" t="n"/>
      <c r="E2777" s="20" t="n"/>
      <c r="I2777" s="14" t="n"/>
      <c r="J2777" s="21" t="n"/>
      <c r="N2777" s="22" t="n"/>
    </row>
    <row r="2778">
      <c r="A2778" s="19" t="n"/>
      <c r="E2778" s="20" t="n"/>
      <c r="I2778" s="14" t="n"/>
      <c r="J2778" s="21" t="n"/>
      <c r="N2778" s="22" t="n"/>
    </row>
    <row r="2779">
      <c r="A2779" s="19" t="n"/>
      <c r="E2779" s="20" t="n"/>
      <c r="I2779" s="14" t="n"/>
      <c r="J2779" s="21" t="n"/>
      <c r="N2779" s="22" t="n"/>
    </row>
    <row r="2780">
      <c r="A2780" s="19" t="n"/>
      <c r="E2780" s="20" t="n"/>
      <c r="I2780" s="14" t="n"/>
      <c r="J2780" s="21" t="n"/>
      <c r="N2780" s="22" t="n"/>
    </row>
    <row r="2781">
      <c r="A2781" s="19" t="n"/>
      <c r="E2781" s="20" t="n"/>
      <c r="I2781" s="14" t="n"/>
      <c r="J2781" s="21" t="n"/>
      <c r="N2781" s="22" t="n"/>
    </row>
    <row r="2782">
      <c r="A2782" s="19" t="n"/>
      <c r="E2782" s="20" t="n"/>
      <c r="I2782" s="14" t="n"/>
      <c r="J2782" s="21" t="n"/>
      <c r="N2782" s="22" t="n"/>
    </row>
    <row r="2783">
      <c r="A2783" s="19" t="n"/>
      <c r="E2783" s="20" t="n"/>
      <c r="I2783" s="14" t="n"/>
      <c r="J2783" s="21" t="n"/>
      <c r="N2783" s="22" t="n"/>
    </row>
    <row r="2784">
      <c r="A2784" s="19" t="n"/>
      <c r="E2784" s="20" t="n"/>
      <c r="I2784" s="14" t="n"/>
      <c r="J2784" s="21" t="n"/>
      <c r="N2784" s="22" t="n"/>
    </row>
    <row r="2785">
      <c r="A2785" s="19" t="n"/>
      <c r="E2785" s="20" t="n"/>
      <c r="I2785" s="14" t="n"/>
      <c r="J2785" s="21" t="n"/>
      <c r="N2785" s="22" t="n"/>
    </row>
    <row r="2786">
      <c r="A2786" s="19" t="n"/>
      <c r="E2786" s="20" t="n"/>
      <c r="I2786" s="14" t="n"/>
      <c r="J2786" s="21" t="n"/>
      <c r="N2786" s="22" t="n"/>
    </row>
    <row r="2787">
      <c r="A2787" s="19" t="n"/>
      <c r="E2787" s="20" t="n"/>
      <c r="I2787" s="14" t="n"/>
      <c r="J2787" s="21" t="n"/>
      <c r="N2787" s="22" t="n"/>
    </row>
    <row r="2788">
      <c r="A2788" s="19" t="n"/>
      <c r="E2788" s="20" t="n"/>
      <c r="I2788" s="14" t="n"/>
      <c r="J2788" s="21" t="n"/>
      <c r="N2788" s="22" t="n"/>
    </row>
    <row r="2789">
      <c r="A2789" s="19" t="n"/>
      <c r="E2789" s="20" t="n"/>
      <c r="I2789" s="14" t="n"/>
      <c r="J2789" s="21" t="n"/>
      <c r="N2789" s="22" t="n"/>
    </row>
    <row r="2790">
      <c r="A2790" s="19" t="n"/>
      <c r="E2790" s="20" t="n"/>
      <c r="I2790" s="14" t="n"/>
      <c r="J2790" s="21" t="n"/>
      <c r="N2790" s="22" t="n"/>
    </row>
    <row r="2791">
      <c r="A2791" s="19" t="n"/>
      <c r="E2791" s="20" t="n"/>
      <c r="I2791" s="14" t="n"/>
      <c r="J2791" s="21" t="n"/>
      <c r="N2791" s="22" t="n"/>
    </row>
    <row r="2792">
      <c r="A2792" s="19" t="n"/>
      <c r="E2792" s="20" t="n"/>
      <c r="I2792" s="14" t="n"/>
      <c r="J2792" s="21" t="n"/>
      <c r="N2792" s="22" t="n"/>
    </row>
    <row r="2793">
      <c r="A2793" s="19" t="n"/>
      <c r="E2793" s="20" t="n"/>
      <c r="I2793" s="14" t="n"/>
      <c r="J2793" s="21" t="n"/>
      <c r="N2793" s="22" t="n"/>
    </row>
    <row r="2794">
      <c r="A2794" s="19" t="n"/>
      <c r="E2794" s="20" t="n"/>
      <c r="I2794" s="14" t="n"/>
      <c r="J2794" s="21" t="n"/>
      <c r="N2794" s="22" t="n"/>
    </row>
    <row r="2795">
      <c r="A2795" s="19" t="n"/>
      <c r="E2795" s="20" t="n"/>
      <c r="I2795" s="14" t="n"/>
      <c r="J2795" s="21" t="n"/>
      <c r="N2795" s="22" t="n"/>
    </row>
    <row r="2796">
      <c r="A2796" s="19" t="n"/>
      <c r="E2796" s="20" t="n"/>
      <c r="I2796" s="14" t="n"/>
      <c r="J2796" s="21" t="n"/>
      <c r="N2796" s="22" t="n"/>
    </row>
    <row r="2797">
      <c r="A2797" s="19" t="n"/>
      <c r="E2797" s="20" t="n"/>
      <c r="I2797" s="14" t="n"/>
      <c r="J2797" s="21" t="n"/>
      <c r="N2797" s="22" t="n"/>
    </row>
    <row r="2798">
      <c r="A2798" s="19" t="n"/>
      <c r="E2798" s="20" t="n"/>
      <c r="I2798" s="14" t="n"/>
      <c r="J2798" s="21" t="n"/>
      <c r="N2798" s="22" t="n"/>
    </row>
    <row r="2799">
      <c r="A2799" s="19" t="n"/>
      <c r="E2799" s="20" t="n"/>
      <c r="I2799" s="14" t="n"/>
      <c r="J2799" s="21" t="n"/>
      <c r="N2799" s="22" t="n"/>
    </row>
    <row r="2800">
      <c r="A2800" s="19" t="n"/>
      <c r="E2800" s="20" t="n"/>
      <c r="I2800" s="14" t="n"/>
      <c r="J2800" s="21" t="n"/>
      <c r="N2800" s="22" t="n"/>
    </row>
    <row r="2801">
      <c r="A2801" s="19" t="n"/>
      <c r="E2801" s="20" t="n"/>
      <c r="I2801" s="14" t="n"/>
      <c r="J2801" s="21" t="n"/>
      <c r="N2801" s="22" t="n"/>
    </row>
    <row r="2802">
      <c r="A2802" s="19" t="n"/>
      <c r="E2802" s="20" t="n"/>
      <c r="I2802" s="14" t="n"/>
      <c r="J2802" s="21" t="n"/>
      <c r="N2802" s="22" t="n"/>
    </row>
    <row r="2803">
      <c r="A2803" s="19" t="n"/>
      <c r="E2803" s="20" t="n"/>
      <c r="I2803" s="14" t="n"/>
      <c r="J2803" s="21" t="n"/>
      <c r="N2803" s="22" t="n"/>
    </row>
    <row r="2804">
      <c r="A2804" s="19" t="n"/>
      <c r="E2804" s="20" t="n"/>
      <c r="I2804" s="14" t="n"/>
      <c r="J2804" s="21" t="n"/>
      <c r="N2804" s="22" t="n"/>
    </row>
    <row r="2805">
      <c r="A2805" s="19" t="n"/>
      <c r="E2805" s="20" t="n"/>
      <c r="I2805" s="14" t="n"/>
      <c r="J2805" s="21" t="n"/>
      <c r="N2805" s="22" t="n"/>
    </row>
    <row r="2806">
      <c r="A2806" s="19" t="n"/>
      <c r="E2806" s="20" t="n"/>
      <c r="I2806" s="14" t="n"/>
      <c r="J2806" s="21" t="n"/>
      <c r="N2806" s="22" t="n"/>
    </row>
    <row r="2807">
      <c r="A2807" s="19" t="n"/>
      <c r="E2807" s="20" t="n"/>
      <c r="I2807" s="14" t="n"/>
      <c r="J2807" s="21" t="n"/>
      <c r="N2807" s="22" t="n"/>
    </row>
    <row r="2808">
      <c r="A2808" s="19" t="n"/>
      <c r="E2808" s="20" t="n"/>
      <c r="I2808" s="14" t="n"/>
      <c r="J2808" s="21" t="n"/>
      <c r="N2808" s="22" t="n"/>
    </row>
    <row r="2809">
      <c r="A2809" s="19" t="n"/>
      <c r="E2809" s="20" t="n"/>
      <c r="I2809" s="14" t="n"/>
      <c r="J2809" s="21" t="n"/>
      <c r="N2809" s="22" t="n"/>
    </row>
    <row r="2810">
      <c r="A2810" s="19" t="n"/>
      <c r="E2810" s="20" t="n"/>
      <c r="I2810" s="14" t="n"/>
      <c r="J2810" s="21" t="n"/>
      <c r="N2810" s="22" t="n"/>
    </row>
    <row r="2811">
      <c r="A2811" s="19" t="n"/>
      <c r="E2811" s="20" t="n"/>
      <c r="I2811" s="14" t="n"/>
      <c r="J2811" s="21" t="n"/>
      <c r="N2811" s="22" t="n"/>
    </row>
    <row r="2812">
      <c r="A2812" s="19" t="n"/>
      <c r="E2812" s="20" t="n"/>
      <c r="I2812" s="14" t="n"/>
      <c r="J2812" s="21" t="n"/>
      <c r="N2812" s="22" t="n"/>
    </row>
    <row r="2813">
      <c r="A2813" s="19" t="n"/>
      <c r="E2813" s="20" t="n"/>
      <c r="I2813" s="14" t="n"/>
      <c r="J2813" s="21" t="n"/>
      <c r="N2813" s="22" t="n"/>
    </row>
    <row r="2814">
      <c r="A2814" s="19" t="n"/>
      <c r="E2814" s="20" t="n"/>
      <c r="I2814" s="14" t="n"/>
      <c r="J2814" s="21" t="n"/>
      <c r="N2814" s="22" t="n"/>
    </row>
    <row r="2815">
      <c r="A2815" s="19" t="n"/>
      <c r="E2815" s="20" t="n"/>
      <c r="I2815" s="14" t="n"/>
      <c r="J2815" s="21" t="n"/>
      <c r="N2815" s="22" t="n"/>
    </row>
    <row r="2816">
      <c r="A2816" s="19" t="n"/>
      <c r="E2816" s="20" t="n"/>
      <c r="I2816" s="14" t="n"/>
      <c r="J2816" s="21" t="n"/>
      <c r="N2816" s="22" t="n"/>
    </row>
    <row r="2817">
      <c r="A2817" s="19" t="n"/>
      <c r="E2817" s="20" t="n"/>
      <c r="I2817" s="14" t="n"/>
      <c r="J2817" s="21" t="n"/>
      <c r="N2817" s="22" t="n"/>
    </row>
    <row r="2818">
      <c r="A2818" s="19" t="n"/>
      <c r="E2818" s="20" t="n"/>
      <c r="I2818" s="14" t="n"/>
      <c r="J2818" s="21" t="n"/>
      <c r="N2818" s="22" t="n"/>
    </row>
    <row r="2819">
      <c r="A2819" s="19" t="n"/>
      <c r="E2819" s="20" t="n"/>
      <c r="I2819" s="14" t="n"/>
      <c r="J2819" s="21" t="n"/>
      <c r="N2819" s="22" t="n"/>
    </row>
    <row r="2820">
      <c r="A2820" s="19" t="n"/>
      <c r="E2820" s="20" t="n"/>
      <c r="I2820" s="14" t="n"/>
      <c r="J2820" s="21" t="n"/>
      <c r="N2820" s="22" t="n"/>
    </row>
    <row r="2821">
      <c r="A2821" s="19" t="n"/>
      <c r="E2821" s="20" t="n"/>
      <c r="I2821" s="14" t="n"/>
      <c r="J2821" s="21" t="n"/>
      <c r="N2821" s="22" t="n"/>
    </row>
    <row r="2822">
      <c r="A2822" s="19" t="n"/>
      <c r="E2822" s="20" t="n"/>
      <c r="I2822" s="14" t="n"/>
      <c r="J2822" s="21" t="n"/>
      <c r="N2822" s="22" t="n"/>
    </row>
    <row r="2823">
      <c r="A2823" s="19" t="n"/>
      <c r="E2823" s="20" t="n"/>
      <c r="I2823" s="14" t="n"/>
      <c r="J2823" s="21" t="n"/>
      <c r="N2823" s="22" t="n"/>
    </row>
    <row r="2824">
      <c r="A2824" s="19" t="n"/>
      <c r="E2824" s="20" t="n"/>
      <c r="I2824" s="14" t="n"/>
      <c r="J2824" s="21" t="n"/>
      <c r="N2824" s="22" t="n"/>
    </row>
    <row r="2825">
      <c r="A2825" s="19" t="n"/>
      <c r="E2825" s="20" t="n"/>
      <c r="I2825" s="14" t="n"/>
      <c r="J2825" s="21" t="n"/>
      <c r="N2825" s="22" t="n"/>
    </row>
    <row r="2826">
      <c r="A2826" s="19" t="n"/>
      <c r="E2826" s="20" t="n"/>
      <c r="I2826" s="14" t="n"/>
      <c r="J2826" s="21" t="n"/>
      <c r="N2826" s="22" t="n"/>
    </row>
    <row r="2827">
      <c r="A2827" s="19" t="n"/>
      <c r="E2827" s="20" t="n"/>
      <c r="I2827" s="14" t="n"/>
      <c r="J2827" s="21" t="n"/>
      <c r="N2827" s="22" t="n"/>
    </row>
    <row r="2828">
      <c r="A2828" s="19" t="n"/>
      <c r="E2828" s="20" t="n"/>
      <c r="I2828" s="14" t="n"/>
      <c r="J2828" s="21" t="n"/>
      <c r="N2828" s="22" t="n"/>
    </row>
    <row r="2829">
      <c r="A2829" s="19" t="n"/>
      <c r="E2829" s="20" t="n"/>
      <c r="I2829" s="14" t="n"/>
      <c r="J2829" s="21" t="n"/>
      <c r="N2829" s="22" t="n"/>
    </row>
    <row r="2830">
      <c r="A2830" s="19" t="n"/>
      <c r="E2830" s="20" t="n"/>
      <c r="I2830" s="14" t="n"/>
      <c r="J2830" s="21" t="n"/>
      <c r="N2830" s="22" t="n"/>
    </row>
    <row r="2831">
      <c r="A2831" s="19" t="n"/>
      <c r="E2831" s="20" t="n"/>
      <c r="I2831" s="14" t="n"/>
      <c r="J2831" s="21" t="n"/>
      <c r="N2831" s="22" t="n"/>
    </row>
    <row r="2832">
      <c r="A2832" s="19" t="n"/>
      <c r="E2832" s="20" t="n"/>
      <c r="I2832" s="14" t="n"/>
      <c r="J2832" s="21" t="n"/>
      <c r="N2832" s="22" t="n"/>
    </row>
    <row r="2833">
      <c r="A2833" s="19" t="n"/>
      <c r="E2833" s="20" t="n"/>
      <c r="I2833" s="14" t="n"/>
      <c r="J2833" s="21" t="n"/>
      <c r="N2833" s="22" t="n"/>
    </row>
    <row r="2834">
      <c r="A2834" s="19" t="n"/>
      <c r="E2834" s="20" t="n"/>
      <c r="I2834" s="14" t="n"/>
      <c r="J2834" s="21" t="n"/>
      <c r="N2834" s="22" t="n"/>
    </row>
    <row r="2835">
      <c r="A2835" s="19" t="n"/>
      <c r="E2835" s="20" t="n"/>
      <c r="I2835" s="14" t="n"/>
      <c r="J2835" s="21" t="n"/>
      <c r="N2835" s="22" t="n"/>
    </row>
    <row r="2836">
      <c r="A2836" s="19" t="n"/>
      <c r="E2836" s="20" t="n"/>
      <c r="I2836" s="14" t="n"/>
      <c r="J2836" s="21" t="n"/>
      <c r="N2836" s="22" t="n"/>
    </row>
    <row r="2837">
      <c r="A2837" s="19" t="n"/>
      <c r="E2837" s="20" t="n"/>
      <c r="I2837" s="14" t="n"/>
      <c r="J2837" s="21" t="n"/>
      <c r="N2837" s="22" t="n"/>
    </row>
    <row r="2838">
      <c r="A2838" s="19" t="n"/>
      <c r="E2838" s="20" t="n"/>
      <c r="I2838" s="14" t="n"/>
      <c r="J2838" s="21" t="n"/>
      <c r="N2838" s="22" t="n"/>
    </row>
    <row r="2839">
      <c r="A2839" s="19" t="n"/>
      <c r="E2839" s="20" t="n"/>
      <c r="I2839" s="14" t="n"/>
      <c r="J2839" s="21" t="n"/>
      <c r="N2839" s="22" t="n"/>
    </row>
    <row r="2840">
      <c r="A2840" s="19" t="n"/>
      <c r="E2840" s="20" t="n"/>
      <c r="I2840" s="14" t="n"/>
      <c r="J2840" s="21" t="n"/>
      <c r="N2840" s="22" t="n"/>
    </row>
    <row r="2841">
      <c r="A2841" s="19" t="n"/>
      <c r="E2841" s="20" t="n"/>
      <c r="I2841" s="14" t="n"/>
      <c r="J2841" s="21" t="n"/>
      <c r="N2841" s="22" t="n"/>
    </row>
    <row r="2842">
      <c r="A2842" s="19" t="n"/>
      <c r="E2842" s="20" t="n"/>
      <c r="I2842" s="14" t="n"/>
      <c r="J2842" s="21" t="n"/>
      <c r="N2842" s="22" t="n"/>
    </row>
    <row r="2843">
      <c r="A2843" s="19" t="n"/>
      <c r="E2843" s="20" t="n"/>
      <c r="I2843" s="14" t="n"/>
      <c r="J2843" s="21" t="n"/>
      <c r="N2843" s="22" t="n"/>
    </row>
    <row r="2844">
      <c r="A2844" s="19" t="n"/>
      <c r="E2844" s="20" t="n"/>
      <c r="I2844" s="14" t="n"/>
      <c r="J2844" s="21" t="n"/>
      <c r="N2844" s="22" t="n"/>
    </row>
    <row r="2845">
      <c r="A2845" s="19" t="n"/>
      <c r="E2845" s="20" t="n"/>
      <c r="I2845" s="14" t="n"/>
      <c r="J2845" s="21" t="n"/>
      <c r="N2845" s="22" t="n"/>
    </row>
    <row r="2846">
      <c r="A2846" s="19" t="n"/>
      <c r="E2846" s="20" t="n"/>
      <c r="I2846" s="14" t="n"/>
      <c r="J2846" s="21" t="n"/>
      <c r="N2846" s="22" t="n"/>
    </row>
    <row r="2847">
      <c r="A2847" s="19" t="n"/>
      <c r="E2847" s="20" t="n"/>
      <c r="I2847" s="14" t="n"/>
      <c r="J2847" s="21" t="n"/>
      <c r="N2847" s="22" t="n"/>
    </row>
    <row r="2848">
      <c r="A2848" s="19" t="n"/>
      <c r="E2848" s="20" t="n"/>
      <c r="I2848" s="14" t="n"/>
      <c r="J2848" s="21" t="n"/>
      <c r="N2848" s="22" t="n"/>
    </row>
    <row r="2849">
      <c r="A2849" s="19" t="n"/>
      <c r="E2849" s="20" t="n"/>
      <c r="I2849" s="14" t="n"/>
      <c r="J2849" s="21" t="n"/>
      <c r="N2849" s="22" t="n"/>
    </row>
    <row r="2850">
      <c r="A2850" s="19" t="n"/>
      <c r="E2850" s="20" t="n"/>
      <c r="I2850" s="14" t="n"/>
      <c r="J2850" s="21" t="n"/>
      <c r="N2850" s="22" t="n"/>
    </row>
    <row r="2851">
      <c r="A2851" s="19" t="n"/>
      <c r="E2851" s="20" t="n"/>
      <c r="I2851" s="14" t="n"/>
      <c r="J2851" s="21" t="n"/>
      <c r="N2851" s="22" t="n"/>
    </row>
    <row r="2852">
      <c r="A2852" s="19" t="n"/>
      <c r="E2852" s="20" t="n"/>
      <c r="I2852" s="14" t="n"/>
      <c r="J2852" s="21" t="n"/>
      <c r="N2852" s="22" t="n"/>
    </row>
    <row r="2853">
      <c r="A2853" s="19" t="n"/>
      <c r="E2853" s="20" t="n"/>
      <c r="I2853" s="14" t="n"/>
      <c r="J2853" s="21" t="n"/>
      <c r="N2853" s="22" t="n"/>
    </row>
    <row r="2854">
      <c r="A2854" s="19" t="n"/>
      <c r="E2854" s="20" t="n"/>
      <c r="I2854" s="14" t="n"/>
      <c r="J2854" s="21" t="n"/>
      <c r="N2854" s="22" t="n"/>
    </row>
    <row r="2855">
      <c r="A2855" s="19" t="n"/>
      <c r="E2855" s="20" t="n"/>
      <c r="I2855" s="14" t="n"/>
      <c r="J2855" s="21" t="n"/>
      <c r="N2855" s="22" t="n"/>
    </row>
    <row r="2856">
      <c r="A2856" s="19" t="n"/>
      <c r="E2856" s="20" t="n"/>
      <c r="I2856" s="14" t="n"/>
      <c r="J2856" s="21" t="n"/>
      <c r="N2856" s="22" t="n"/>
    </row>
    <row r="2857">
      <c r="A2857" s="19" t="n"/>
      <c r="E2857" s="20" t="n"/>
      <c r="I2857" s="14" t="n"/>
      <c r="J2857" s="21" t="n"/>
      <c r="N2857" s="22" t="n"/>
    </row>
    <row r="2858">
      <c r="A2858" s="19" t="n"/>
      <c r="E2858" s="20" t="n"/>
      <c r="I2858" s="14" t="n"/>
      <c r="J2858" s="21" t="n"/>
      <c r="N2858" s="22" t="n"/>
    </row>
    <row r="2859">
      <c r="A2859" s="19" t="n"/>
      <c r="E2859" s="20" t="n"/>
      <c r="I2859" s="14" t="n"/>
      <c r="J2859" s="21" t="n"/>
      <c r="N2859" s="22" t="n"/>
    </row>
    <row r="2860">
      <c r="A2860" s="19" t="n"/>
      <c r="E2860" s="20" t="n"/>
      <c r="I2860" s="14" t="n"/>
      <c r="J2860" s="21" t="n"/>
      <c r="N2860" s="22" t="n"/>
    </row>
    <row r="2861">
      <c r="A2861" s="19" t="n"/>
      <c r="E2861" s="20" t="n"/>
      <c r="I2861" s="14" t="n"/>
      <c r="J2861" s="21" t="n"/>
      <c r="N2861" s="22" t="n"/>
    </row>
    <row r="2862">
      <c r="A2862" s="19" t="n"/>
      <c r="E2862" s="20" t="n"/>
      <c r="I2862" s="14" t="n"/>
      <c r="J2862" s="21" t="n"/>
      <c r="N2862" s="22" t="n"/>
    </row>
    <row r="2863">
      <c r="A2863" s="19" t="n"/>
      <c r="E2863" s="20" t="n"/>
      <c r="I2863" s="14" t="n"/>
      <c r="J2863" s="21" t="n"/>
      <c r="N2863" s="22" t="n"/>
    </row>
    <row r="2864">
      <c r="A2864" s="19" t="n"/>
      <c r="E2864" s="20" t="n"/>
      <c r="I2864" s="14" t="n"/>
      <c r="J2864" s="21" t="n"/>
      <c r="N2864" s="22" t="n"/>
    </row>
    <row r="2865">
      <c r="A2865" s="19" t="n"/>
      <c r="E2865" s="20" t="n"/>
      <c r="I2865" s="14" t="n"/>
      <c r="J2865" s="21" t="n"/>
      <c r="N2865" s="22" t="n"/>
    </row>
    <row r="2866">
      <c r="A2866" s="19" t="n"/>
      <c r="E2866" s="20" t="n"/>
      <c r="I2866" s="14" t="n"/>
      <c r="J2866" s="21" t="n"/>
      <c r="N2866" s="22" t="n"/>
    </row>
    <row r="2867">
      <c r="A2867" s="19" t="n"/>
      <c r="E2867" s="20" t="n"/>
      <c r="I2867" s="14" t="n"/>
      <c r="J2867" s="21" t="n"/>
      <c r="N2867" s="22" t="n"/>
    </row>
    <row r="2868">
      <c r="A2868" s="19" t="n"/>
      <c r="E2868" s="20" t="n"/>
      <c r="I2868" s="14" t="n"/>
      <c r="J2868" s="21" t="n"/>
      <c r="N2868" s="22" t="n"/>
    </row>
    <row r="2869">
      <c r="A2869" s="19" t="n"/>
      <c r="E2869" s="20" t="n"/>
      <c r="I2869" s="14" t="n"/>
      <c r="J2869" s="21" t="n"/>
      <c r="N2869" s="22" t="n"/>
    </row>
    <row r="2870">
      <c r="A2870" s="19" t="n"/>
      <c r="E2870" s="20" t="n"/>
      <c r="I2870" s="14" t="n"/>
      <c r="J2870" s="21" t="n"/>
      <c r="N2870" s="22" t="n"/>
    </row>
    <row r="2871">
      <c r="A2871" s="19" t="n"/>
      <c r="E2871" s="20" t="n"/>
      <c r="I2871" s="14" t="n"/>
      <c r="J2871" s="21" t="n"/>
      <c r="N2871" s="22" t="n"/>
    </row>
    <row r="2872">
      <c r="A2872" s="19" t="n"/>
      <c r="E2872" s="20" t="n"/>
      <c r="I2872" s="14" t="n"/>
      <c r="J2872" s="21" t="n"/>
      <c r="N2872" s="22" t="n"/>
    </row>
    <row r="2873">
      <c r="A2873" s="19" t="n"/>
      <c r="E2873" s="20" t="n"/>
      <c r="I2873" s="14" t="n"/>
      <c r="J2873" s="21" t="n"/>
      <c r="N2873" s="22" t="n"/>
    </row>
    <row r="2874">
      <c r="A2874" s="19" t="n"/>
      <c r="E2874" s="20" t="n"/>
      <c r="I2874" s="14" t="n"/>
      <c r="J2874" s="21" t="n"/>
      <c r="N2874" s="22" t="n"/>
    </row>
    <row r="2875">
      <c r="A2875" s="19" t="n"/>
      <c r="E2875" s="20" t="n"/>
      <c r="I2875" s="14" t="n"/>
      <c r="J2875" s="21" t="n"/>
      <c r="N2875" s="22" t="n"/>
    </row>
    <row r="2876">
      <c r="A2876" s="19" t="n"/>
      <c r="E2876" s="20" t="n"/>
      <c r="I2876" s="14" t="n"/>
      <c r="J2876" s="21" t="n"/>
      <c r="N2876" s="22" t="n"/>
    </row>
    <row r="2877">
      <c r="A2877" s="19" t="n"/>
      <c r="E2877" s="20" t="n"/>
      <c r="I2877" s="14" t="n"/>
      <c r="J2877" s="21" t="n"/>
      <c r="N2877" s="22" t="n"/>
    </row>
    <row r="2878">
      <c r="A2878" s="19" t="n"/>
      <c r="E2878" s="20" t="n"/>
      <c r="I2878" s="14" t="n"/>
      <c r="J2878" s="21" t="n"/>
      <c r="N2878" s="22" t="n"/>
    </row>
    <row r="2879">
      <c r="A2879" s="19" t="n"/>
      <c r="E2879" s="20" t="n"/>
      <c r="I2879" s="14" t="n"/>
      <c r="J2879" s="21" t="n"/>
      <c r="N2879" s="22" t="n"/>
    </row>
    <row r="2880">
      <c r="A2880" s="19" t="n"/>
      <c r="E2880" s="20" t="n"/>
      <c r="I2880" s="14" t="n"/>
      <c r="J2880" s="21" t="n"/>
      <c r="N2880" s="22" t="n"/>
    </row>
    <row r="2881">
      <c r="A2881" s="19" t="n"/>
      <c r="E2881" s="20" t="n"/>
      <c r="I2881" s="14" t="n"/>
      <c r="J2881" s="21" t="n"/>
      <c r="N2881" s="22" t="n"/>
    </row>
    <row r="2882">
      <c r="A2882" s="19" t="n"/>
      <c r="E2882" s="20" t="n"/>
      <c r="I2882" s="14" t="n"/>
      <c r="J2882" s="21" t="n"/>
      <c r="N2882" s="22" t="n"/>
    </row>
    <row r="2883">
      <c r="A2883" s="19" t="n"/>
      <c r="E2883" s="20" t="n"/>
      <c r="I2883" s="14" t="n"/>
      <c r="J2883" s="21" t="n"/>
      <c r="N2883" s="22" t="n"/>
    </row>
    <row r="2884">
      <c r="A2884" s="19" t="n"/>
      <c r="E2884" s="20" t="n"/>
      <c r="I2884" s="14" t="n"/>
      <c r="J2884" s="21" t="n"/>
      <c r="N2884" s="22" t="n"/>
    </row>
    <row r="2885">
      <c r="A2885" s="19" t="n"/>
      <c r="E2885" s="20" t="n"/>
      <c r="I2885" s="14" t="n"/>
      <c r="J2885" s="21" t="n"/>
      <c r="N2885" s="22" t="n"/>
    </row>
    <row r="2886">
      <c r="A2886" s="19" t="n"/>
      <c r="E2886" s="20" t="n"/>
      <c r="I2886" s="14" t="n"/>
      <c r="J2886" s="21" t="n"/>
      <c r="N2886" s="22" t="n"/>
    </row>
    <row r="2887">
      <c r="A2887" s="19" t="n"/>
      <c r="E2887" s="20" t="n"/>
      <c r="I2887" s="14" t="n"/>
      <c r="J2887" s="21" t="n"/>
      <c r="N2887" s="22" t="n"/>
    </row>
    <row r="2888">
      <c r="A2888" s="19" t="n"/>
      <c r="E2888" s="20" t="n"/>
      <c r="I2888" s="14" t="n"/>
      <c r="J2888" s="21" t="n"/>
      <c r="N2888" s="22" t="n"/>
    </row>
    <row r="2889">
      <c r="A2889" s="19" t="n"/>
      <c r="E2889" s="20" t="n"/>
      <c r="I2889" s="14" t="n"/>
      <c r="J2889" s="21" t="n"/>
      <c r="N2889" s="22" t="n"/>
    </row>
    <row r="2890">
      <c r="A2890" s="19" t="n"/>
      <c r="E2890" s="20" t="n"/>
      <c r="I2890" s="14" t="n"/>
      <c r="J2890" s="21" t="n"/>
      <c r="N2890" s="22" t="n"/>
    </row>
    <row r="2891">
      <c r="A2891" s="19" t="n"/>
      <c r="E2891" s="20" t="n"/>
      <c r="I2891" s="14" t="n"/>
      <c r="J2891" s="21" t="n"/>
      <c r="N2891" s="22" t="n"/>
    </row>
    <row r="2892">
      <c r="A2892" s="19" t="n"/>
      <c r="E2892" s="20" t="n"/>
      <c r="I2892" s="14" t="n"/>
      <c r="J2892" s="21" t="n"/>
      <c r="N2892" s="22" t="n"/>
    </row>
    <row r="2893">
      <c r="A2893" s="19" t="n"/>
      <c r="E2893" s="20" t="n"/>
      <c r="I2893" s="14" t="n"/>
      <c r="J2893" s="21" t="n"/>
      <c r="N2893" s="22" t="n"/>
    </row>
    <row r="2894">
      <c r="A2894" s="19" t="n"/>
      <c r="E2894" s="20" t="n"/>
      <c r="I2894" s="14" t="n"/>
      <c r="J2894" s="21" t="n"/>
      <c r="N2894" s="22" t="n"/>
    </row>
    <row r="2895">
      <c r="A2895" s="19" t="n"/>
      <c r="E2895" s="20" t="n"/>
      <c r="I2895" s="14" t="n"/>
      <c r="J2895" s="21" t="n"/>
      <c r="N2895" s="22" t="n"/>
    </row>
    <row r="2896">
      <c r="A2896" s="19" t="n"/>
      <c r="E2896" s="20" t="n"/>
      <c r="I2896" s="14" t="n"/>
      <c r="J2896" s="21" t="n"/>
      <c r="N2896" s="22" t="n"/>
    </row>
    <row r="2897">
      <c r="A2897" s="19" t="n"/>
      <c r="E2897" s="20" t="n"/>
      <c r="I2897" s="14" t="n"/>
      <c r="J2897" s="21" t="n"/>
      <c r="N2897" s="22" t="n"/>
    </row>
    <row r="2898">
      <c r="A2898" s="19" t="n"/>
      <c r="E2898" s="20" t="n"/>
      <c r="I2898" s="14" t="n"/>
      <c r="J2898" s="21" t="n"/>
      <c r="N2898" s="22" t="n"/>
    </row>
    <row r="2899">
      <c r="A2899" s="19" t="n"/>
      <c r="E2899" s="20" t="n"/>
      <c r="I2899" s="14" t="n"/>
      <c r="J2899" s="21" t="n"/>
      <c r="N2899" s="22" t="n"/>
    </row>
    <row r="2900">
      <c r="A2900" s="19" t="n"/>
      <c r="E2900" s="20" t="n"/>
      <c r="I2900" s="14" t="n"/>
      <c r="J2900" s="21" t="n"/>
      <c r="N2900" s="22" t="n"/>
    </row>
    <row r="2901">
      <c r="A2901" s="19" t="n"/>
      <c r="E2901" s="20" t="n"/>
      <c r="I2901" s="14" t="n"/>
      <c r="J2901" s="21" t="n"/>
      <c r="N2901" s="22" t="n"/>
    </row>
    <row r="2902">
      <c r="A2902" s="19" t="n"/>
      <c r="E2902" s="20" t="n"/>
      <c r="I2902" s="14" t="n"/>
      <c r="J2902" s="21" t="n"/>
      <c r="N2902" s="22" t="n"/>
    </row>
    <row r="2903">
      <c r="A2903" s="19" t="n"/>
      <c r="E2903" s="20" t="n"/>
      <c r="I2903" s="14" t="n"/>
      <c r="J2903" s="21" t="n"/>
      <c r="N2903" s="22" t="n"/>
    </row>
    <row r="2904">
      <c r="A2904" s="19" t="n"/>
      <c r="E2904" s="20" t="n"/>
      <c r="I2904" s="14" t="n"/>
      <c r="J2904" s="21" t="n"/>
      <c r="N2904" s="22" t="n"/>
    </row>
    <row r="2905">
      <c r="A2905" s="19" t="n"/>
      <c r="E2905" s="20" t="n"/>
      <c r="I2905" s="14" t="n"/>
      <c r="J2905" s="21" t="n"/>
      <c r="N2905" s="22" t="n"/>
    </row>
    <row r="2906">
      <c r="A2906" s="19" t="n"/>
      <c r="E2906" s="20" t="n"/>
      <c r="I2906" s="14" t="n"/>
      <c r="J2906" s="21" t="n"/>
      <c r="N2906" s="22" t="n"/>
    </row>
    <row r="2907">
      <c r="A2907" s="19" t="n"/>
      <c r="E2907" s="20" t="n"/>
      <c r="I2907" s="14" t="n"/>
      <c r="J2907" s="21" t="n"/>
      <c r="N2907" s="22" t="n"/>
    </row>
    <row r="2908">
      <c r="A2908" s="19" t="n"/>
      <c r="E2908" s="20" t="n"/>
      <c r="I2908" s="14" t="n"/>
      <c r="J2908" s="21" t="n"/>
      <c r="N2908" s="22" t="n"/>
    </row>
    <row r="2909">
      <c r="A2909" s="19" t="n"/>
      <c r="E2909" s="20" t="n"/>
      <c r="I2909" s="14" t="n"/>
      <c r="J2909" s="21" t="n"/>
      <c r="N2909" s="22" t="n"/>
    </row>
    <row r="2910">
      <c r="A2910" s="19" t="n"/>
      <c r="E2910" s="20" t="n"/>
      <c r="I2910" s="14" t="n"/>
      <c r="J2910" s="21" t="n"/>
      <c r="N2910" s="22" t="n"/>
    </row>
    <row r="2911">
      <c r="A2911" s="19" t="n"/>
      <c r="E2911" s="20" t="n"/>
      <c r="I2911" s="14" t="n"/>
      <c r="J2911" s="21" t="n"/>
      <c r="N2911" s="22" t="n"/>
    </row>
    <row r="2912">
      <c r="A2912" s="19" t="n"/>
      <c r="E2912" s="20" t="n"/>
      <c r="I2912" s="14" t="n"/>
      <c r="J2912" s="21" t="n"/>
      <c r="N2912" s="22" t="n"/>
    </row>
    <row r="2913">
      <c r="A2913" s="19" t="n"/>
      <c r="E2913" s="20" t="n"/>
      <c r="I2913" s="14" t="n"/>
      <c r="J2913" s="21" t="n"/>
      <c r="N2913" s="22" t="n"/>
    </row>
    <row r="2914">
      <c r="A2914" s="19" t="n"/>
      <c r="E2914" s="20" t="n"/>
      <c r="I2914" s="14" t="n"/>
      <c r="J2914" s="21" t="n"/>
      <c r="N2914" s="22" t="n"/>
    </row>
    <row r="2915">
      <c r="A2915" s="19" t="n"/>
      <c r="E2915" s="20" t="n"/>
      <c r="I2915" s="14" t="n"/>
      <c r="J2915" s="21" t="n"/>
      <c r="N2915" s="22" t="n"/>
    </row>
    <row r="2916">
      <c r="A2916" s="19" t="n"/>
      <c r="E2916" s="20" t="n"/>
      <c r="I2916" s="14" t="n"/>
      <c r="J2916" s="21" t="n"/>
      <c r="N2916" s="22" t="n"/>
    </row>
    <row r="2917">
      <c r="A2917" s="19" t="n"/>
      <c r="E2917" s="20" t="n"/>
      <c r="I2917" s="14" t="n"/>
      <c r="J2917" s="21" t="n"/>
      <c r="N2917" s="22" t="n"/>
    </row>
    <row r="2918">
      <c r="A2918" s="19" t="n"/>
      <c r="E2918" s="20" t="n"/>
      <c r="I2918" s="14" t="n"/>
      <c r="J2918" s="21" t="n"/>
      <c r="N2918" s="22" t="n"/>
    </row>
    <row r="2919">
      <c r="A2919" s="19" t="n"/>
      <c r="E2919" s="20" t="n"/>
      <c r="I2919" s="14" t="n"/>
      <c r="J2919" s="21" t="n"/>
      <c r="N2919" s="22" t="n"/>
    </row>
    <row r="2920">
      <c r="A2920" s="19" t="n"/>
      <c r="E2920" s="20" t="n"/>
      <c r="I2920" s="14" t="n"/>
      <c r="J2920" s="21" t="n"/>
      <c r="N2920" s="22" t="n"/>
    </row>
    <row r="2921">
      <c r="A2921" s="19" t="n"/>
      <c r="E2921" s="20" t="n"/>
      <c r="I2921" s="14" t="n"/>
      <c r="J2921" s="21" t="n"/>
      <c r="N2921" s="22" t="n"/>
    </row>
    <row r="2922">
      <c r="A2922" s="19" t="n"/>
      <c r="E2922" s="20" t="n"/>
      <c r="I2922" s="14" t="n"/>
      <c r="J2922" s="21" t="n"/>
      <c r="N2922" s="22" t="n"/>
    </row>
    <row r="2923">
      <c r="A2923" s="19" t="n"/>
      <c r="E2923" s="20" t="n"/>
      <c r="I2923" s="14" t="n"/>
      <c r="J2923" s="21" t="n"/>
      <c r="N2923" s="22" t="n"/>
    </row>
    <row r="2924">
      <c r="A2924" s="19" t="n"/>
      <c r="E2924" s="20" t="n"/>
      <c r="I2924" s="14" t="n"/>
      <c r="J2924" s="21" t="n"/>
      <c r="N2924" s="22" t="n"/>
    </row>
    <row r="2925">
      <c r="A2925" s="19" t="n"/>
      <c r="E2925" s="20" t="n"/>
      <c r="I2925" s="14" t="n"/>
      <c r="J2925" s="21" t="n"/>
      <c r="N2925" s="22" t="n"/>
    </row>
    <row r="2926">
      <c r="A2926" s="19" t="n"/>
      <c r="E2926" s="20" t="n"/>
      <c r="I2926" s="14" t="n"/>
      <c r="J2926" s="21" t="n"/>
      <c r="N2926" s="22" t="n"/>
    </row>
    <row r="2927">
      <c r="A2927" s="19" t="n"/>
      <c r="E2927" s="20" t="n"/>
      <c r="I2927" s="14" t="n"/>
      <c r="J2927" s="21" t="n"/>
      <c r="N2927" s="22" t="n"/>
    </row>
    <row r="2928">
      <c r="A2928" s="19" t="n"/>
      <c r="E2928" s="20" t="n"/>
      <c r="I2928" s="14" t="n"/>
      <c r="J2928" s="21" t="n"/>
      <c r="N2928" s="22" t="n"/>
    </row>
    <row r="2929">
      <c r="A2929" s="19" t="n"/>
      <c r="E2929" s="20" t="n"/>
      <c r="I2929" s="14" t="n"/>
      <c r="J2929" s="21" t="n"/>
      <c r="N2929" s="22" t="n"/>
    </row>
    <row r="2930">
      <c r="A2930" s="19" t="n"/>
      <c r="E2930" s="20" t="n"/>
      <c r="I2930" s="14" t="n"/>
      <c r="J2930" s="21" t="n"/>
      <c r="N2930" s="22" t="n"/>
    </row>
    <row r="2931">
      <c r="A2931" s="19" t="n"/>
      <c r="E2931" s="20" t="n"/>
      <c r="I2931" s="14" t="n"/>
      <c r="J2931" s="21" t="n"/>
      <c r="N2931" s="22" t="n"/>
    </row>
    <row r="2932">
      <c r="A2932" s="19" t="n"/>
      <c r="E2932" s="20" t="n"/>
      <c r="I2932" s="14" t="n"/>
      <c r="J2932" s="21" t="n"/>
      <c r="N2932" s="22" t="n"/>
    </row>
    <row r="2933">
      <c r="A2933" s="19" t="n"/>
      <c r="E2933" s="20" t="n"/>
      <c r="I2933" s="14" t="n"/>
      <c r="J2933" s="21" t="n"/>
      <c r="N2933" s="22" t="n"/>
    </row>
    <row r="2934">
      <c r="A2934" s="19" t="n"/>
      <c r="E2934" s="20" t="n"/>
      <c r="I2934" s="14" t="n"/>
      <c r="J2934" s="21" t="n"/>
      <c r="N2934" s="22" t="n"/>
    </row>
    <row r="2935">
      <c r="A2935" s="19" t="n"/>
      <c r="E2935" s="20" t="n"/>
      <c r="I2935" s="14" t="n"/>
      <c r="J2935" s="21" t="n"/>
      <c r="N2935" s="22" t="n"/>
    </row>
    <row r="2936">
      <c r="A2936" s="19" t="n"/>
      <c r="E2936" s="20" t="n"/>
      <c r="I2936" s="14" t="n"/>
      <c r="J2936" s="21" t="n"/>
      <c r="N2936" s="22" t="n"/>
    </row>
    <row r="2937">
      <c r="A2937" s="19" t="n"/>
      <c r="E2937" s="20" t="n"/>
      <c r="I2937" s="14" t="n"/>
      <c r="J2937" s="21" t="n"/>
      <c r="N2937" s="22" t="n"/>
    </row>
    <row r="2938">
      <c r="A2938" s="19" t="n"/>
      <c r="E2938" s="20" t="n"/>
      <c r="I2938" s="14" t="n"/>
      <c r="J2938" s="21" t="n"/>
      <c r="N2938" s="22" t="n"/>
    </row>
    <row r="2939">
      <c r="A2939" s="19" t="n"/>
      <c r="E2939" s="20" t="n"/>
      <c r="I2939" s="14" t="n"/>
      <c r="J2939" s="21" t="n"/>
      <c r="N2939" s="22" t="n"/>
    </row>
    <row r="2940">
      <c r="A2940" s="19" t="n"/>
      <c r="E2940" s="20" t="n"/>
      <c r="I2940" s="14" t="n"/>
      <c r="J2940" s="21" t="n"/>
      <c r="N2940" s="22" t="n"/>
    </row>
    <row r="2941">
      <c r="A2941" s="19" t="n"/>
      <c r="E2941" s="20" t="n"/>
      <c r="I2941" s="14" t="n"/>
      <c r="J2941" s="21" t="n"/>
      <c r="N2941" s="22" t="n"/>
    </row>
    <row r="2942">
      <c r="A2942" s="19" t="n"/>
      <c r="E2942" s="20" t="n"/>
      <c r="I2942" s="14" t="n"/>
      <c r="J2942" s="21" t="n"/>
      <c r="N2942" s="22" t="n"/>
    </row>
    <row r="2943">
      <c r="A2943" s="19" t="n"/>
      <c r="E2943" s="20" t="n"/>
      <c r="I2943" s="14" t="n"/>
      <c r="J2943" s="21" t="n"/>
      <c r="N2943" s="22" t="n"/>
    </row>
    <row r="2944">
      <c r="A2944" s="19" t="n"/>
      <c r="E2944" s="20" t="n"/>
      <c r="I2944" s="14" t="n"/>
      <c r="J2944" s="21" t="n"/>
      <c r="N2944" s="22" t="n"/>
    </row>
    <row r="2945">
      <c r="A2945" s="19" t="n"/>
      <c r="E2945" s="20" t="n"/>
      <c r="I2945" s="14" t="n"/>
      <c r="J2945" s="21" t="n"/>
      <c r="N2945" s="22" t="n"/>
    </row>
    <row r="2946">
      <c r="A2946" s="19" t="n"/>
      <c r="E2946" s="20" t="n"/>
      <c r="I2946" s="14" t="n"/>
      <c r="J2946" s="21" t="n"/>
      <c r="N2946" s="22" t="n"/>
    </row>
    <row r="2947">
      <c r="A2947" s="19" t="n"/>
      <c r="E2947" s="20" t="n"/>
      <c r="I2947" s="14" t="n"/>
      <c r="J2947" s="21" t="n"/>
      <c r="N2947" s="22" t="n"/>
    </row>
    <row r="2948">
      <c r="A2948" s="19" t="n"/>
      <c r="E2948" s="20" t="n"/>
      <c r="I2948" s="14" t="n"/>
      <c r="J2948" s="21" t="n"/>
      <c r="N2948" s="22" t="n"/>
    </row>
    <row r="2949">
      <c r="A2949" s="19" t="n"/>
      <c r="E2949" s="20" t="n"/>
      <c r="I2949" s="14" t="n"/>
      <c r="J2949" s="21" t="n"/>
      <c r="N2949" s="22" t="n"/>
    </row>
    <row r="2950">
      <c r="A2950" s="19" t="n"/>
      <c r="E2950" s="20" t="n"/>
      <c r="I2950" s="14" t="n"/>
      <c r="J2950" s="21" t="n"/>
      <c r="N2950" s="22" t="n"/>
    </row>
    <row r="2951">
      <c r="A2951" s="19" t="n"/>
      <c r="E2951" s="20" t="n"/>
      <c r="I2951" s="14" t="n"/>
      <c r="J2951" s="21" t="n"/>
      <c r="N2951" s="22" t="n"/>
    </row>
    <row r="2952">
      <c r="A2952" s="19" t="n"/>
      <c r="E2952" s="20" t="n"/>
      <c r="I2952" s="14" t="n"/>
      <c r="J2952" s="21" t="n"/>
      <c r="N2952" s="22" t="n"/>
    </row>
    <row r="2953">
      <c r="A2953" s="19" t="n"/>
      <c r="E2953" s="20" t="n"/>
      <c r="I2953" s="14" t="n"/>
      <c r="J2953" s="21" t="n"/>
      <c r="N2953" s="22" t="n"/>
    </row>
    <row r="2954">
      <c r="A2954" s="19" t="n"/>
      <c r="E2954" s="20" t="n"/>
      <c r="I2954" s="14" t="n"/>
      <c r="J2954" s="21" t="n"/>
      <c r="N2954" s="22" t="n"/>
    </row>
    <row r="2955">
      <c r="A2955" s="19" t="n"/>
      <c r="E2955" s="20" t="n"/>
      <c r="I2955" s="14" t="n"/>
      <c r="J2955" s="21" t="n"/>
      <c r="N2955" s="22" t="n"/>
    </row>
    <row r="2956">
      <c r="A2956" s="19" t="n"/>
      <c r="E2956" s="20" t="n"/>
      <c r="I2956" s="14" t="n"/>
      <c r="J2956" s="21" t="n"/>
      <c r="N2956" s="22" t="n"/>
    </row>
    <row r="2957">
      <c r="A2957" s="19" t="n"/>
      <c r="E2957" s="20" t="n"/>
      <c r="I2957" s="14" t="n"/>
      <c r="J2957" s="21" t="n"/>
      <c r="N2957" s="22" t="n"/>
    </row>
    <row r="2958">
      <c r="A2958" s="19" t="n"/>
      <c r="E2958" s="20" t="n"/>
      <c r="I2958" s="14" t="n"/>
      <c r="J2958" s="21" t="n"/>
      <c r="N2958" s="22" t="n"/>
    </row>
    <row r="2959">
      <c r="A2959" s="19" t="n"/>
      <c r="E2959" s="20" t="n"/>
      <c r="I2959" s="14" t="n"/>
      <c r="J2959" s="21" t="n"/>
      <c r="N2959" s="22" t="n"/>
    </row>
    <row r="2960">
      <c r="A2960" s="19" t="n"/>
      <c r="E2960" s="20" t="n"/>
      <c r="I2960" s="14" t="n"/>
      <c r="J2960" s="21" t="n"/>
      <c r="N2960" s="22" t="n"/>
    </row>
    <row r="2961">
      <c r="A2961" s="19" t="n"/>
      <c r="E2961" s="20" t="n"/>
      <c r="I2961" s="14" t="n"/>
      <c r="J2961" s="21" t="n"/>
      <c r="N2961" s="22" t="n"/>
    </row>
    <row r="2962">
      <c r="A2962" s="19" t="n"/>
      <c r="E2962" s="20" t="n"/>
      <c r="I2962" s="14" t="n"/>
      <c r="J2962" s="21" t="n"/>
      <c r="N2962" s="22" t="n"/>
    </row>
    <row r="2963">
      <c r="A2963" s="19" t="n"/>
      <c r="E2963" s="20" t="n"/>
      <c r="I2963" s="14" t="n"/>
      <c r="J2963" s="21" t="n"/>
      <c r="N2963" s="22" t="n"/>
    </row>
    <row r="2964">
      <c r="A2964" s="19" t="n"/>
      <c r="E2964" s="20" t="n"/>
      <c r="I2964" s="14" t="n"/>
      <c r="J2964" s="21" t="n"/>
      <c r="N2964" s="22" t="n"/>
    </row>
    <row r="2965">
      <c r="A2965" s="19" t="n"/>
      <c r="E2965" s="20" t="n"/>
      <c r="I2965" s="14" t="n"/>
      <c r="J2965" s="21" t="n"/>
      <c r="N2965" s="22" t="n"/>
    </row>
    <row r="2966">
      <c r="A2966" s="19" t="n"/>
      <c r="E2966" s="20" t="n"/>
      <c r="I2966" s="14" t="n"/>
      <c r="J2966" s="21" t="n"/>
      <c r="N2966" s="22" t="n"/>
    </row>
    <row r="2967">
      <c r="A2967" s="19" t="n"/>
      <c r="E2967" s="20" t="n"/>
      <c r="I2967" s="14" t="n"/>
      <c r="J2967" s="21" t="n"/>
      <c r="N2967" s="22" t="n"/>
    </row>
    <row r="2968">
      <c r="A2968" s="19" t="n"/>
      <c r="E2968" s="20" t="n"/>
      <c r="I2968" s="14" t="n"/>
      <c r="J2968" s="21" t="n"/>
      <c r="N2968" s="22" t="n"/>
    </row>
    <row r="2969">
      <c r="A2969" s="19" t="n"/>
      <c r="E2969" s="20" t="n"/>
      <c r="I2969" s="14" t="n"/>
      <c r="J2969" s="21" t="n"/>
      <c r="N2969" s="22" t="n"/>
    </row>
    <row r="2970">
      <c r="A2970" s="19" t="n"/>
      <c r="E2970" s="20" t="n"/>
      <c r="I2970" s="14" t="n"/>
      <c r="J2970" s="21" t="n"/>
      <c r="N2970" s="22" t="n"/>
    </row>
    <row r="2971">
      <c r="A2971" s="19" t="n"/>
      <c r="E2971" s="20" t="n"/>
      <c r="I2971" s="14" t="n"/>
      <c r="J2971" s="21" t="n"/>
      <c r="N2971" s="22" t="n"/>
    </row>
    <row r="2972">
      <c r="A2972" s="19" t="n"/>
      <c r="E2972" s="20" t="n"/>
      <c r="I2972" s="14" t="n"/>
      <c r="J2972" s="21" t="n"/>
      <c r="N2972" s="22" t="n"/>
    </row>
    <row r="2973">
      <c r="A2973" s="19" t="n"/>
      <c r="E2973" s="20" t="n"/>
      <c r="I2973" s="14" t="n"/>
      <c r="J2973" s="21" t="n"/>
      <c r="N2973" s="22" t="n"/>
    </row>
    <row r="2974">
      <c r="A2974" s="19" t="n"/>
      <c r="E2974" s="20" t="n"/>
      <c r="I2974" s="14" t="n"/>
      <c r="J2974" s="21" t="n"/>
      <c r="N2974" s="22" t="n"/>
    </row>
    <row r="2975">
      <c r="A2975" s="19" t="n"/>
      <c r="E2975" s="20" t="n"/>
      <c r="I2975" s="14" t="n"/>
      <c r="J2975" s="21" t="n"/>
      <c r="N2975" s="22" t="n"/>
    </row>
    <row r="2976">
      <c r="A2976" s="19" t="n"/>
      <c r="E2976" s="20" t="n"/>
      <c r="I2976" s="14" t="n"/>
      <c r="J2976" s="21" t="n"/>
      <c r="N2976" s="22" t="n"/>
    </row>
    <row r="2977">
      <c r="A2977" s="19" t="n"/>
      <c r="E2977" s="20" t="n"/>
      <c r="I2977" s="14" t="n"/>
      <c r="J2977" s="21" t="n"/>
      <c r="N2977" s="22" t="n"/>
    </row>
    <row r="2978">
      <c r="A2978" s="19" t="n"/>
      <c r="E2978" s="20" t="n"/>
      <c r="I2978" s="14" t="n"/>
      <c r="J2978" s="21" t="n"/>
      <c r="N2978" s="22" t="n"/>
    </row>
    <row r="2979">
      <c r="A2979" s="19" t="n"/>
      <c r="E2979" s="20" t="n"/>
      <c r="I2979" s="14" t="n"/>
      <c r="J2979" s="21" t="n"/>
      <c r="N2979" s="22" t="n"/>
    </row>
    <row r="2980">
      <c r="A2980" s="19" t="n"/>
      <c r="E2980" s="20" t="n"/>
      <c r="I2980" s="14" t="n"/>
      <c r="J2980" s="21" t="n"/>
      <c r="N2980" s="22" t="n"/>
    </row>
    <row r="2981">
      <c r="A2981" s="19" t="n"/>
      <c r="E2981" s="20" t="n"/>
      <c r="I2981" s="14" t="n"/>
      <c r="J2981" s="21" t="n"/>
      <c r="N2981" s="22" t="n"/>
    </row>
    <row r="2982">
      <c r="A2982" s="19" t="n"/>
      <c r="E2982" s="20" t="n"/>
      <c r="I2982" s="14" t="n"/>
      <c r="J2982" s="21" t="n"/>
      <c r="N2982" s="22" t="n"/>
    </row>
    <row r="2983">
      <c r="A2983" s="19" t="n"/>
      <c r="E2983" s="20" t="n"/>
      <c r="I2983" s="14" t="n"/>
      <c r="J2983" s="21" t="n"/>
      <c r="N2983" s="22" t="n"/>
    </row>
    <row r="2984">
      <c r="A2984" s="19" t="n"/>
      <c r="E2984" s="20" t="n"/>
      <c r="I2984" s="14" t="n"/>
      <c r="J2984" s="21" t="n"/>
      <c r="N2984" s="22" t="n"/>
    </row>
    <row r="2985">
      <c r="A2985" s="19" t="n"/>
      <c r="E2985" s="20" t="n"/>
      <c r="I2985" s="14" t="n"/>
      <c r="J2985" s="21" t="n"/>
      <c r="N2985" s="22" t="n"/>
    </row>
    <row r="2986">
      <c r="A2986" s="19" t="n"/>
      <c r="E2986" s="20" t="n"/>
      <c r="I2986" s="14" t="n"/>
      <c r="J2986" s="21" t="n"/>
      <c r="N2986" s="22" t="n"/>
    </row>
    <row r="2987">
      <c r="A2987" s="19" t="n"/>
      <c r="E2987" s="20" t="n"/>
      <c r="I2987" s="14" t="n"/>
      <c r="J2987" s="21" t="n"/>
      <c r="N2987" s="22" t="n"/>
    </row>
    <row r="2988">
      <c r="A2988" s="19" t="n"/>
      <c r="E2988" s="20" t="n"/>
      <c r="I2988" s="14" t="n"/>
      <c r="J2988" s="21" t="n"/>
      <c r="N2988" s="22" t="n"/>
    </row>
    <row r="2989">
      <c r="A2989" s="19" t="n"/>
      <c r="E2989" s="20" t="n"/>
      <c r="I2989" s="14" t="n"/>
      <c r="J2989" s="21" t="n"/>
      <c r="N2989" s="22" t="n"/>
    </row>
    <row r="2990">
      <c r="A2990" s="19" t="n"/>
      <c r="E2990" s="20" t="n"/>
      <c r="I2990" s="14" t="n"/>
      <c r="J2990" s="21" t="n"/>
      <c r="N2990" s="22" t="n"/>
    </row>
    <row r="2991">
      <c r="A2991" s="19" t="n"/>
      <c r="E2991" s="20" t="n"/>
      <c r="I2991" s="14" t="n"/>
      <c r="J2991" s="21" t="n"/>
      <c r="N2991" s="22" t="n"/>
    </row>
    <row r="2992">
      <c r="A2992" s="19" t="n"/>
      <c r="E2992" s="20" t="n"/>
      <c r="I2992" s="14" t="n"/>
      <c r="J2992" s="21" t="n"/>
      <c r="N2992" s="22" t="n"/>
    </row>
    <row r="2993">
      <c r="A2993" s="19" t="n"/>
      <c r="E2993" s="20" t="n"/>
      <c r="I2993" s="14" t="n"/>
      <c r="J2993" s="21" t="n"/>
      <c r="N2993" s="22" t="n"/>
    </row>
    <row r="2994">
      <c r="A2994" s="19" t="n"/>
      <c r="E2994" s="20" t="n"/>
      <c r="I2994" s="14" t="n"/>
      <c r="J2994" s="21" t="n"/>
      <c r="N2994" s="22" t="n"/>
    </row>
    <row r="2995">
      <c r="A2995" s="19" t="n"/>
      <c r="E2995" s="20" t="n"/>
      <c r="I2995" s="14" t="n"/>
      <c r="J2995" s="21" t="n"/>
      <c r="N2995" s="22" t="n"/>
    </row>
    <row r="2996">
      <c r="A2996" s="19" t="n"/>
      <c r="E2996" s="20" t="n"/>
      <c r="I2996" s="14" t="n"/>
      <c r="J2996" s="21" t="n"/>
      <c r="N2996" s="22" t="n"/>
    </row>
    <row r="2997">
      <c r="A2997" s="19" t="n"/>
      <c r="E2997" s="20" t="n"/>
      <c r="I2997" s="14" t="n"/>
      <c r="J2997" s="21" t="n"/>
      <c r="N2997" s="22" t="n"/>
    </row>
    <row r="2998">
      <c r="A2998" s="19" t="n"/>
      <c r="E2998" s="20" t="n"/>
      <c r="I2998" s="14" t="n"/>
      <c r="J2998" s="21" t="n"/>
      <c r="N2998" s="22" t="n"/>
    </row>
    <row r="2999">
      <c r="A2999" s="19" t="n"/>
      <c r="E2999" s="20" t="n"/>
      <c r="I2999" s="14" t="n"/>
      <c r="J2999" s="21" t="n"/>
      <c r="N2999" s="22" t="n"/>
    </row>
    <row r="3000">
      <c r="A3000" s="19" t="n"/>
      <c r="E3000" s="20" t="n"/>
      <c r="I3000" s="14" t="n"/>
      <c r="J3000" s="21" t="n"/>
      <c r="N3000" s="22" t="n"/>
    </row>
    <row r="3001">
      <c r="A3001" s="19" t="n"/>
      <c r="E3001" s="20" t="n"/>
      <c r="I3001" s="14" t="n"/>
      <c r="J3001" s="21" t="n"/>
      <c r="N3001" s="22" t="n"/>
    </row>
    <row r="3002">
      <c r="A3002" s="19" t="n"/>
      <c r="E3002" s="20" t="n"/>
      <c r="I3002" s="14" t="n"/>
      <c r="J3002" s="21" t="n"/>
      <c r="N3002" s="22" t="n"/>
    </row>
    <row r="3003">
      <c r="A3003" s="19" t="n"/>
      <c r="E3003" s="20" t="n"/>
      <c r="I3003" s="14" t="n"/>
      <c r="J3003" s="21" t="n"/>
      <c r="N3003" s="22" t="n"/>
    </row>
    <row r="3004">
      <c r="A3004" s="19" t="n"/>
      <c r="E3004" s="20" t="n"/>
      <c r="I3004" s="14" t="n"/>
      <c r="J3004" s="21" t="n"/>
      <c r="N3004" s="22" t="n"/>
    </row>
    <row r="3005">
      <c r="A3005" s="19" t="n"/>
      <c r="E3005" s="20" t="n"/>
      <c r="I3005" s="14" t="n"/>
      <c r="J3005" s="21" t="n"/>
      <c r="N3005" s="22" t="n"/>
    </row>
  </sheetData>
  <autoFilter ref="A5:N5005"/>
  <mergeCells count="2">
    <mergeCell ref="F1:G1"/>
    <mergeCell ref="H1:I1"/>
  </mergeCells>
  <conditionalFormatting sqref="A6:H5005">
    <cfRule type="expression" priority="1" dxfId="1">
      <formula>$G6&lt;&gt;""</formula>
    </cfRule>
  </conditionalFormatting>
  <conditionalFormatting sqref="A6:N5005">
    <cfRule type="expression" priority="2" dxfId="2">
      <formula>$H6="Umbuchung"</formula>
    </cfRule>
  </conditionalFormatting>
  <conditionalFormatting sqref="E6:E5005">
    <cfRule type="expression" priority="3" dxfId="3">
      <formula>$E6&gt;0</formula>
    </cfRule>
  </conditionalFormatting>
  <hyperlinks>
    <hyperlink xmlns:r="http://schemas.openxmlformats.org/officeDocument/2006/relationships" ref="D1" r:id="rId1"/>
    <hyperlink xmlns:r="http://schemas.openxmlformats.org/officeDocument/2006/relationships" ref="F1" r:id="rId2"/>
    <hyperlink xmlns:r="http://schemas.openxmlformats.org/officeDocument/2006/relationships" ref="H1" r:id="rId3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Abos">
    <tabColor rgb="00548235"/>
    <outlinePr summaryBelow="1" summaryRight="1"/>
    <pageSetUpPr/>
  </sheetPr>
  <dimension ref="A1:T205"/>
  <sheetViews>
    <sheetView showGridLines="0" zoomScale="100" workbookViewId="0">
      <pane xSplit="1" ySplit="5" topLeftCell="B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30" customWidth="1" min="1" max="1"/>
    <col width="14" customWidth="1" min="2" max="2"/>
    <col width="13" customWidth="1" min="3" max="3"/>
    <col width="14" customWidth="1" min="4" max="4"/>
    <col width="13" customWidth="1" min="5" max="5"/>
    <col width="12" customWidth="1" min="6" max="6"/>
    <col width="12" customWidth="1" min="7" max="7"/>
    <col width="12" customWidth="1" min="8" max="8"/>
    <col width="10" customWidth="1" min="9" max="9"/>
    <col width="12" customWidth="1" min="10" max="10"/>
    <col width="12" customWidth="1" min="11" max="11"/>
    <col width="13" customWidth="1" min="12" max="12"/>
    <col width="14" customWidth="1" min="13" max="13"/>
    <col width="12" customWidth="1" min="14" max="14"/>
    <col width="30" customWidth="1" min="15" max="15"/>
    <col width="10" customWidth="1" min="16" max="16"/>
    <col width="36" customWidth="1" min="17" max="17"/>
    <col width="18" customWidth="1" min="18" max="18"/>
    <col width="10" customWidth="1" min="19" max="19"/>
    <col width="8" customWidth="1" min="20" max="20"/>
  </cols>
  <sheetData>
    <row r="1" ht="22" customHeight="1">
      <c r="A1" s="1" t="inlineStr">
        <is>
          <t>Abos, Teilzahlungen und Daueraufträge – erkannt aus den Buchungen</t>
        </is>
      </c>
      <c r="H1" s="3" t="inlineStr">
        <is>
          <t>⟳  Abos neu erkennen</t>
        </is>
      </c>
    </row>
    <row r="2">
      <c r="A2" s="2" t="inlineStr">
        <is>
          <t>Erkannt durch: gleicher Abbucher (Mandat / Gläubiger-ID / IBAN / Name) in festem Rhythmus · gleicher Betrag jeden Monat (auch bei wechselndem Empfängertext). Blau = Eingabe: Kategorie und „x“ bei Ignorieren bleiben bei der nächsten Erkennung erhalten.</t>
        </is>
      </c>
    </row>
    <row r="3">
      <c r="A3" s="2" t="inlineStr">
        <is>
          <t>Noch keine Erkennung gelaufen – Buchungen importieren oder „Abos neu erkennen“ klicken.</t>
        </is>
      </c>
    </row>
    <row r="5" ht="28" customHeight="1">
      <c r="A5" s="13" t="inlineStr">
        <is>
          <t>Abo / Empfänger</t>
        </is>
      </c>
      <c r="B5" s="13" t="inlineStr">
        <is>
          <t>Art</t>
        </is>
      </c>
      <c r="C5" s="13" t="inlineStr">
        <is>
          <t>Status</t>
        </is>
      </c>
      <c r="D5" s="13" t="inlineStr">
        <is>
          <t>Rhythmus</t>
        </is>
      </c>
      <c r="E5" s="13" t="inlineStr">
        <is>
          <t>Betrag (zuletzt)</t>
        </is>
      </c>
      <c r="F5" s="13" t="inlineStr">
        <is>
          <t>Ø Betrag</t>
        </is>
      </c>
      <c r="G5" s="13" t="inlineStr">
        <is>
          <t>pro Monat</t>
        </is>
      </c>
      <c r="H5" s="13" t="inlineStr">
        <is>
          <t>pro Jahr</t>
        </is>
      </c>
      <c r="I5" s="13" t="inlineStr">
        <is>
          <t>Buchungen</t>
        </is>
      </c>
      <c r="J5" s="13" t="inlineStr">
        <is>
          <t>Erste Buchung</t>
        </is>
      </c>
      <c r="K5" s="13" t="inlineStr">
        <is>
          <t>Letzte Buchung</t>
        </is>
      </c>
      <c r="L5" s="13" t="inlineStr">
        <is>
          <t>Nächste (erwartet)</t>
        </is>
      </c>
      <c r="M5" s="13" t="inlineStr">
        <is>
          <t>Konto</t>
        </is>
      </c>
      <c r="N5" s="13" t="inlineStr">
        <is>
          <t>Zahlungsart</t>
        </is>
      </c>
      <c r="O5" s="13" t="inlineStr">
        <is>
          <t>Erkannt durch</t>
        </is>
      </c>
      <c r="P5" s="13" t="inlineStr">
        <is>
          <t>Raten</t>
        </is>
      </c>
      <c r="Q5" s="13" t="inlineStr">
        <is>
          <t>Verwendungszweck (zuletzt)</t>
        </is>
      </c>
      <c r="R5" s="13" t="inlineStr">
        <is>
          <t>Kategorie</t>
        </is>
      </c>
      <c r="S5" s="13" t="inlineStr">
        <is>
          <t>Ignorieren</t>
        </is>
      </c>
      <c r="T5" s="13" t="inlineStr">
        <is>
          <t>Schlüssel</t>
        </is>
      </c>
    </row>
    <row r="6">
      <c r="A6" s="18" t="n"/>
      <c r="B6" s="18" t="n"/>
      <c r="C6" s="18" t="n"/>
      <c r="D6" s="18" t="n"/>
      <c r="E6" s="23" t="n"/>
      <c r="F6" s="23" t="n"/>
      <c r="G6" s="23" t="n"/>
      <c r="H6" s="23" t="n"/>
      <c r="I6" s="15" t="n"/>
      <c r="J6" s="16" t="n"/>
      <c r="K6" s="16" t="n"/>
      <c r="L6" s="16" t="n"/>
      <c r="M6" s="18" t="n"/>
      <c r="N6" s="18" t="n"/>
      <c r="O6" s="18" t="n"/>
      <c r="P6" s="18" t="n"/>
      <c r="Q6" s="18" t="n"/>
      <c r="R6" s="14" t="n"/>
      <c r="S6" s="24" t="n"/>
      <c r="T6" s="22" t="n"/>
    </row>
    <row r="7">
      <c r="A7" s="18" t="n"/>
      <c r="B7" s="18" t="n"/>
      <c r="C7" s="18" t="n"/>
      <c r="D7" s="18" t="n"/>
      <c r="E7" s="23" t="n"/>
      <c r="F7" s="23" t="n"/>
      <c r="G7" s="23" t="n"/>
      <c r="H7" s="23" t="n"/>
      <c r="I7" s="15" t="n"/>
      <c r="J7" s="16" t="n"/>
      <c r="K7" s="16" t="n"/>
      <c r="L7" s="16" t="n"/>
      <c r="M7" s="18" t="n"/>
      <c r="N7" s="18" t="n"/>
      <c r="O7" s="18" t="n"/>
      <c r="P7" s="18" t="n"/>
      <c r="Q7" s="18" t="n"/>
      <c r="R7" s="14" t="n"/>
      <c r="S7" s="24" t="n"/>
      <c r="T7" s="22" t="n"/>
    </row>
    <row r="8">
      <c r="A8" s="18" t="n"/>
      <c r="B8" s="18" t="n"/>
      <c r="C8" s="18" t="n"/>
      <c r="D8" s="18" t="n"/>
      <c r="E8" s="23" t="n"/>
      <c r="F8" s="23" t="n"/>
      <c r="G8" s="23" t="n"/>
      <c r="H8" s="23" t="n"/>
      <c r="I8" s="15" t="n"/>
      <c r="J8" s="16" t="n"/>
      <c r="K8" s="16" t="n"/>
      <c r="L8" s="16" t="n"/>
      <c r="M8" s="18" t="n"/>
      <c r="N8" s="18" t="n"/>
      <c r="O8" s="18" t="n"/>
      <c r="P8" s="18" t="n"/>
      <c r="Q8" s="18" t="n"/>
      <c r="R8" s="14" t="n"/>
      <c r="S8" s="24" t="n"/>
      <c r="T8" s="22" t="n"/>
    </row>
    <row r="9">
      <c r="A9" s="18" t="n"/>
      <c r="B9" s="18" t="n"/>
      <c r="C9" s="18" t="n"/>
      <c r="D9" s="18" t="n"/>
      <c r="E9" s="23" t="n"/>
      <c r="F9" s="23" t="n"/>
      <c r="G9" s="23" t="n"/>
      <c r="H9" s="23" t="n"/>
      <c r="I9" s="15" t="n"/>
      <c r="J9" s="16" t="n"/>
      <c r="K9" s="16" t="n"/>
      <c r="L9" s="16" t="n"/>
      <c r="M9" s="18" t="n"/>
      <c r="N9" s="18" t="n"/>
      <c r="O9" s="18" t="n"/>
      <c r="P9" s="18" t="n"/>
      <c r="Q9" s="18" t="n"/>
      <c r="R9" s="14" t="n"/>
      <c r="S9" s="24" t="n"/>
      <c r="T9" s="22" t="n"/>
    </row>
    <row r="10">
      <c r="A10" s="18" t="n"/>
      <c r="B10" s="18" t="n"/>
      <c r="C10" s="18" t="n"/>
      <c r="D10" s="18" t="n"/>
      <c r="E10" s="23" t="n"/>
      <c r="F10" s="23" t="n"/>
      <c r="G10" s="23" t="n"/>
      <c r="H10" s="23" t="n"/>
      <c r="I10" s="15" t="n"/>
      <c r="J10" s="16" t="n"/>
      <c r="K10" s="16" t="n"/>
      <c r="L10" s="16" t="n"/>
      <c r="M10" s="18" t="n"/>
      <c r="N10" s="18" t="n"/>
      <c r="O10" s="18" t="n"/>
      <c r="P10" s="18" t="n"/>
      <c r="Q10" s="18" t="n"/>
      <c r="R10" s="14" t="n"/>
      <c r="S10" s="24" t="n"/>
      <c r="T10" s="22" t="n"/>
    </row>
    <row r="11">
      <c r="A11" s="18" t="n"/>
      <c r="B11" s="18" t="n"/>
      <c r="C11" s="18" t="n"/>
      <c r="D11" s="18" t="n"/>
      <c r="E11" s="23" t="n"/>
      <c r="F11" s="23" t="n"/>
      <c r="G11" s="23" t="n"/>
      <c r="H11" s="23" t="n"/>
      <c r="I11" s="15" t="n"/>
      <c r="J11" s="16" t="n"/>
      <c r="K11" s="16" t="n"/>
      <c r="L11" s="16" t="n"/>
      <c r="M11" s="18" t="n"/>
      <c r="N11" s="18" t="n"/>
      <c r="O11" s="18" t="n"/>
      <c r="P11" s="18" t="n"/>
      <c r="Q11" s="18" t="n"/>
      <c r="R11" s="14" t="n"/>
      <c r="S11" s="24" t="n"/>
      <c r="T11" s="22" t="n"/>
    </row>
    <row r="12">
      <c r="A12" s="18" t="n"/>
      <c r="B12" s="18" t="n"/>
      <c r="C12" s="18" t="n"/>
      <c r="D12" s="18" t="n"/>
      <c r="E12" s="23" t="n"/>
      <c r="F12" s="23" t="n"/>
      <c r="G12" s="23" t="n"/>
      <c r="H12" s="23" t="n"/>
      <c r="I12" s="15" t="n"/>
      <c r="J12" s="16" t="n"/>
      <c r="K12" s="16" t="n"/>
      <c r="L12" s="16" t="n"/>
      <c r="M12" s="18" t="n"/>
      <c r="N12" s="18" t="n"/>
      <c r="O12" s="18" t="n"/>
      <c r="P12" s="18" t="n"/>
      <c r="Q12" s="18" t="n"/>
      <c r="R12" s="14" t="n"/>
      <c r="S12" s="24" t="n"/>
      <c r="T12" s="22" t="n"/>
    </row>
    <row r="13">
      <c r="A13" s="18" t="n"/>
      <c r="B13" s="18" t="n"/>
      <c r="C13" s="18" t="n"/>
      <c r="D13" s="18" t="n"/>
      <c r="E13" s="23" t="n"/>
      <c r="F13" s="23" t="n"/>
      <c r="G13" s="23" t="n"/>
      <c r="H13" s="23" t="n"/>
      <c r="I13" s="15" t="n"/>
      <c r="J13" s="16" t="n"/>
      <c r="K13" s="16" t="n"/>
      <c r="L13" s="16" t="n"/>
      <c r="M13" s="18" t="n"/>
      <c r="N13" s="18" t="n"/>
      <c r="O13" s="18" t="n"/>
      <c r="P13" s="18" t="n"/>
      <c r="Q13" s="18" t="n"/>
      <c r="R13" s="14" t="n"/>
      <c r="S13" s="24" t="n"/>
      <c r="T13" s="22" t="n"/>
    </row>
    <row r="14">
      <c r="A14" s="18" t="n"/>
      <c r="B14" s="18" t="n"/>
      <c r="C14" s="18" t="n"/>
      <c r="D14" s="18" t="n"/>
      <c r="E14" s="23" t="n"/>
      <c r="F14" s="23" t="n"/>
      <c r="G14" s="23" t="n"/>
      <c r="H14" s="23" t="n"/>
      <c r="I14" s="15" t="n"/>
      <c r="J14" s="16" t="n"/>
      <c r="K14" s="16" t="n"/>
      <c r="L14" s="16" t="n"/>
      <c r="M14" s="18" t="n"/>
      <c r="N14" s="18" t="n"/>
      <c r="O14" s="18" t="n"/>
      <c r="P14" s="18" t="n"/>
      <c r="Q14" s="18" t="n"/>
      <c r="R14" s="14" t="n"/>
      <c r="S14" s="24" t="n"/>
      <c r="T14" s="22" t="n"/>
    </row>
    <row r="15">
      <c r="A15" s="18" t="n"/>
      <c r="B15" s="18" t="n"/>
      <c r="C15" s="18" t="n"/>
      <c r="D15" s="18" t="n"/>
      <c r="E15" s="23" t="n"/>
      <c r="F15" s="23" t="n"/>
      <c r="G15" s="23" t="n"/>
      <c r="H15" s="23" t="n"/>
      <c r="I15" s="15" t="n"/>
      <c r="J15" s="16" t="n"/>
      <c r="K15" s="16" t="n"/>
      <c r="L15" s="16" t="n"/>
      <c r="M15" s="18" t="n"/>
      <c r="N15" s="18" t="n"/>
      <c r="O15" s="18" t="n"/>
      <c r="P15" s="18" t="n"/>
      <c r="Q15" s="18" t="n"/>
      <c r="R15" s="14" t="n"/>
      <c r="S15" s="24" t="n"/>
      <c r="T15" s="22" t="n"/>
    </row>
    <row r="16">
      <c r="A16" s="18" t="n"/>
      <c r="B16" s="18" t="n"/>
      <c r="C16" s="18" t="n"/>
      <c r="D16" s="18" t="n"/>
      <c r="E16" s="23" t="n"/>
      <c r="F16" s="23" t="n"/>
      <c r="G16" s="23" t="n"/>
      <c r="H16" s="23" t="n"/>
      <c r="I16" s="15" t="n"/>
      <c r="J16" s="16" t="n"/>
      <c r="K16" s="16" t="n"/>
      <c r="L16" s="16" t="n"/>
      <c r="M16" s="18" t="n"/>
      <c r="N16" s="18" t="n"/>
      <c r="O16" s="18" t="n"/>
      <c r="P16" s="18" t="n"/>
      <c r="Q16" s="18" t="n"/>
      <c r="R16" s="14" t="n"/>
      <c r="S16" s="24" t="n"/>
      <c r="T16" s="22" t="n"/>
    </row>
    <row r="17">
      <c r="A17" s="18" t="n"/>
      <c r="B17" s="18" t="n"/>
      <c r="C17" s="18" t="n"/>
      <c r="D17" s="18" t="n"/>
      <c r="E17" s="23" t="n"/>
      <c r="F17" s="23" t="n"/>
      <c r="G17" s="23" t="n"/>
      <c r="H17" s="23" t="n"/>
      <c r="I17" s="15" t="n"/>
      <c r="J17" s="16" t="n"/>
      <c r="K17" s="16" t="n"/>
      <c r="L17" s="16" t="n"/>
      <c r="M17" s="18" t="n"/>
      <c r="N17" s="18" t="n"/>
      <c r="O17" s="18" t="n"/>
      <c r="P17" s="18" t="n"/>
      <c r="Q17" s="18" t="n"/>
      <c r="R17" s="14" t="n"/>
      <c r="S17" s="24" t="n"/>
      <c r="T17" s="22" t="n"/>
    </row>
    <row r="18">
      <c r="A18" s="18" t="n"/>
      <c r="B18" s="18" t="n"/>
      <c r="C18" s="18" t="n"/>
      <c r="D18" s="18" t="n"/>
      <c r="E18" s="23" t="n"/>
      <c r="F18" s="23" t="n"/>
      <c r="G18" s="23" t="n"/>
      <c r="H18" s="23" t="n"/>
      <c r="I18" s="15" t="n"/>
      <c r="J18" s="16" t="n"/>
      <c r="K18" s="16" t="n"/>
      <c r="L18" s="16" t="n"/>
      <c r="M18" s="18" t="n"/>
      <c r="N18" s="18" t="n"/>
      <c r="O18" s="18" t="n"/>
      <c r="P18" s="18" t="n"/>
      <c r="Q18" s="18" t="n"/>
      <c r="R18" s="14" t="n"/>
      <c r="S18" s="24" t="n"/>
      <c r="T18" s="22" t="n"/>
    </row>
    <row r="19">
      <c r="A19" s="18" t="n"/>
      <c r="B19" s="18" t="n"/>
      <c r="C19" s="18" t="n"/>
      <c r="D19" s="18" t="n"/>
      <c r="E19" s="23" t="n"/>
      <c r="F19" s="23" t="n"/>
      <c r="G19" s="23" t="n"/>
      <c r="H19" s="23" t="n"/>
      <c r="I19" s="15" t="n"/>
      <c r="J19" s="16" t="n"/>
      <c r="K19" s="16" t="n"/>
      <c r="L19" s="16" t="n"/>
      <c r="M19" s="18" t="n"/>
      <c r="N19" s="18" t="n"/>
      <c r="O19" s="18" t="n"/>
      <c r="P19" s="18" t="n"/>
      <c r="Q19" s="18" t="n"/>
      <c r="R19" s="14" t="n"/>
      <c r="S19" s="24" t="n"/>
      <c r="T19" s="22" t="n"/>
    </row>
    <row r="20">
      <c r="A20" s="18" t="n"/>
      <c r="B20" s="18" t="n"/>
      <c r="C20" s="18" t="n"/>
      <c r="D20" s="18" t="n"/>
      <c r="E20" s="23" t="n"/>
      <c r="F20" s="23" t="n"/>
      <c r="G20" s="23" t="n"/>
      <c r="H20" s="23" t="n"/>
      <c r="I20" s="15" t="n"/>
      <c r="J20" s="16" t="n"/>
      <c r="K20" s="16" t="n"/>
      <c r="L20" s="16" t="n"/>
      <c r="M20" s="18" t="n"/>
      <c r="N20" s="18" t="n"/>
      <c r="O20" s="18" t="n"/>
      <c r="P20" s="18" t="n"/>
      <c r="Q20" s="18" t="n"/>
      <c r="R20" s="14" t="n"/>
      <c r="S20" s="24" t="n"/>
      <c r="T20" s="22" t="n"/>
    </row>
    <row r="21">
      <c r="A21" s="18" t="n"/>
      <c r="B21" s="18" t="n"/>
      <c r="C21" s="18" t="n"/>
      <c r="D21" s="18" t="n"/>
      <c r="E21" s="23" t="n"/>
      <c r="F21" s="23" t="n"/>
      <c r="G21" s="23" t="n"/>
      <c r="H21" s="23" t="n"/>
      <c r="I21" s="15" t="n"/>
      <c r="J21" s="16" t="n"/>
      <c r="K21" s="16" t="n"/>
      <c r="L21" s="16" t="n"/>
      <c r="M21" s="18" t="n"/>
      <c r="N21" s="18" t="n"/>
      <c r="O21" s="18" t="n"/>
      <c r="P21" s="18" t="n"/>
      <c r="Q21" s="18" t="n"/>
      <c r="R21" s="14" t="n"/>
      <c r="S21" s="24" t="n"/>
      <c r="T21" s="22" t="n"/>
    </row>
    <row r="22">
      <c r="A22" s="18" t="n"/>
      <c r="B22" s="18" t="n"/>
      <c r="C22" s="18" t="n"/>
      <c r="D22" s="18" t="n"/>
      <c r="E22" s="23" t="n"/>
      <c r="F22" s="23" t="n"/>
      <c r="G22" s="23" t="n"/>
      <c r="H22" s="23" t="n"/>
      <c r="I22" s="15" t="n"/>
      <c r="J22" s="16" t="n"/>
      <c r="K22" s="16" t="n"/>
      <c r="L22" s="16" t="n"/>
      <c r="M22" s="18" t="n"/>
      <c r="N22" s="18" t="n"/>
      <c r="O22" s="18" t="n"/>
      <c r="P22" s="18" t="n"/>
      <c r="Q22" s="18" t="n"/>
      <c r="R22" s="14" t="n"/>
      <c r="S22" s="24" t="n"/>
      <c r="T22" s="22" t="n"/>
    </row>
    <row r="23">
      <c r="A23" s="18" t="n"/>
      <c r="B23" s="18" t="n"/>
      <c r="C23" s="18" t="n"/>
      <c r="D23" s="18" t="n"/>
      <c r="E23" s="23" t="n"/>
      <c r="F23" s="23" t="n"/>
      <c r="G23" s="23" t="n"/>
      <c r="H23" s="23" t="n"/>
      <c r="I23" s="15" t="n"/>
      <c r="J23" s="16" t="n"/>
      <c r="K23" s="16" t="n"/>
      <c r="L23" s="16" t="n"/>
      <c r="M23" s="18" t="n"/>
      <c r="N23" s="18" t="n"/>
      <c r="O23" s="18" t="n"/>
      <c r="P23" s="18" t="n"/>
      <c r="Q23" s="18" t="n"/>
      <c r="R23" s="14" t="n"/>
      <c r="S23" s="24" t="n"/>
      <c r="T23" s="22" t="n"/>
    </row>
    <row r="24">
      <c r="A24" s="18" t="n"/>
      <c r="B24" s="18" t="n"/>
      <c r="C24" s="18" t="n"/>
      <c r="D24" s="18" t="n"/>
      <c r="E24" s="23" t="n"/>
      <c r="F24" s="23" t="n"/>
      <c r="G24" s="23" t="n"/>
      <c r="H24" s="23" t="n"/>
      <c r="I24" s="15" t="n"/>
      <c r="J24" s="16" t="n"/>
      <c r="K24" s="16" t="n"/>
      <c r="L24" s="16" t="n"/>
      <c r="M24" s="18" t="n"/>
      <c r="N24" s="18" t="n"/>
      <c r="O24" s="18" t="n"/>
      <c r="P24" s="18" t="n"/>
      <c r="Q24" s="18" t="n"/>
      <c r="R24" s="14" t="n"/>
      <c r="S24" s="24" t="n"/>
      <c r="T24" s="22" t="n"/>
    </row>
    <row r="25">
      <c r="A25" s="18" t="n"/>
      <c r="B25" s="18" t="n"/>
      <c r="C25" s="18" t="n"/>
      <c r="D25" s="18" t="n"/>
      <c r="E25" s="23" t="n"/>
      <c r="F25" s="23" t="n"/>
      <c r="G25" s="23" t="n"/>
      <c r="H25" s="23" t="n"/>
      <c r="I25" s="15" t="n"/>
      <c r="J25" s="16" t="n"/>
      <c r="K25" s="16" t="n"/>
      <c r="L25" s="16" t="n"/>
      <c r="M25" s="18" t="n"/>
      <c r="N25" s="18" t="n"/>
      <c r="O25" s="18" t="n"/>
      <c r="P25" s="18" t="n"/>
      <c r="Q25" s="18" t="n"/>
      <c r="R25" s="14" t="n"/>
      <c r="S25" s="24" t="n"/>
      <c r="T25" s="22" t="n"/>
    </row>
    <row r="26">
      <c r="A26" s="18" t="n"/>
      <c r="B26" s="18" t="n"/>
      <c r="C26" s="18" t="n"/>
      <c r="D26" s="18" t="n"/>
      <c r="E26" s="23" t="n"/>
      <c r="F26" s="23" t="n"/>
      <c r="G26" s="23" t="n"/>
      <c r="H26" s="23" t="n"/>
      <c r="I26" s="15" t="n"/>
      <c r="J26" s="16" t="n"/>
      <c r="K26" s="16" t="n"/>
      <c r="L26" s="16" t="n"/>
      <c r="M26" s="18" t="n"/>
      <c r="N26" s="18" t="n"/>
      <c r="O26" s="18" t="n"/>
      <c r="P26" s="18" t="n"/>
      <c r="Q26" s="18" t="n"/>
      <c r="R26" s="14" t="n"/>
      <c r="S26" s="24" t="n"/>
      <c r="T26" s="22" t="n"/>
    </row>
    <row r="27">
      <c r="A27" s="18" t="n"/>
      <c r="B27" s="18" t="n"/>
      <c r="C27" s="18" t="n"/>
      <c r="D27" s="18" t="n"/>
      <c r="E27" s="23" t="n"/>
      <c r="F27" s="23" t="n"/>
      <c r="G27" s="23" t="n"/>
      <c r="H27" s="23" t="n"/>
      <c r="I27" s="15" t="n"/>
      <c r="J27" s="16" t="n"/>
      <c r="K27" s="16" t="n"/>
      <c r="L27" s="16" t="n"/>
      <c r="M27" s="18" t="n"/>
      <c r="N27" s="18" t="n"/>
      <c r="O27" s="18" t="n"/>
      <c r="P27" s="18" t="n"/>
      <c r="Q27" s="18" t="n"/>
      <c r="R27" s="14" t="n"/>
      <c r="S27" s="24" t="n"/>
      <c r="T27" s="22" t="n"/>
    </row>
    <row r="28">
      <c r="A28" s="18" t="n"/>
      <c r="B28" s="18" t="n"/>
      <c r="C28" s="18" t="n"/>
      <c r="D28" s="18" t="n"/>
      <c r="E28" s="23" t="n"/>
      <c r="F28" s="23" t="n"/>
      <c r="G28" s="23" t="n"/>
      <c r="H28" s="23" t="n"/>
      <c r="I28" s="15" t="n"/>
      <c r="J28" s="16" t="n"/>
      <c r="K28" s="16" t="n"/>
      <c r="L28" s="16" t="n"/>
      <c r="M28" s="18" t="n"/>
      <c r="N28" s="18" t="n"/>
      <c r="O28" s="18" t="n"/>
      <c r="P28" s="18" t="n"/>
      <c r="Q28" s="18" t="n"/>
      <c r="R28" s="14" t="n"/>
      <c r="S28" s="24" t="n"/>
      <c r="T28" s="22" t="n"/>
    </row>
    <row r="29">
      <c r="A29" s="18" t="n"/>
      <c r="B29" s="18" t="n"/>
      <c r="C29" s="18" t="n"/>
      <c r="D29" s="18" t="n"/>
      <c r="E29" s="23" t="n"/>
      <c r="F29" s="23" t="n"/>
      <c r="G29" s="23" t="n"/>
      <c r="H29" s="23" t="n"/>
      <c r="I29" s="15" t="n"/>
      <c r="J29" s="16" t="n"/>
      <c r="K29" s="16" t="n"/>
      <c r="L29" s="16" t="n"/>
      <c r="M29" s="18" t="n"/>
      <c r="N29" s="18" t="n"/>
      <c r="O29" s="18" t="n"/>
      <c r="P29" s="18" t="n"/>
      <c r="Q29" s="18" t="n"/>
      <c r="R29" s="14" t="n"/>
      <c r="S29" s="24" t="n"/>
      <c r="T29" s="22" t="n"/>
    </row>
    <row r="30">
      <c r="A30" s="18" t="n"/>
      <c r="B30" s="18" t="n"/>
      <c r="C30" s="18" t="n"/>
      <c r="D30" s="18" t="n"/>
      <c r="E30" s="23" t="n"/>
      <c r="F30" s="23" t="n"/>
      <c r="G30" s="23" t="n"/>
      <c r="H30" s="23" t="n"/>
      <c r="I30" s="15" t="n"/>
      <c r="J30" s="16" t="n"/>
      <c r="K30" s="16" t="n"/>
      <c r="L30" s="16" t="n"/>
      <c r="M30" s="18" t="n"/>
      <c r="N30" s="18" t="n"/>
      <c r="O30" s="18" t="n"/>
      <c r="P30" s="18" t="n"/>
      <c r="Q30" s="18" t="n"/>
      <c r="R30" s="14" t="n"/>
      <c r="S30" s="24" t="n"/>
      <c r="T30" s="22" t="n"/>
    </row>
    <row r="31">
      <c r="A31" s="18" t="n"/>
      <c r="B31" s="18" t="n"/>
      <c r="C31" s="18" t="n"/>
      <c r="D31" s="18" t="n"/>
      <c r="E31" s="23" t="n"/>
      <c r="F31" s="23" t="n"/>
      <c r="G31" s="23" t="n"/>
      <c r="H31" s="23" t="n"/>
      <c r="I31" s="15" t="n"/>
      <c r="J31" s="16" t="n"/>
      <c r="K31" s="16" t="n"/>
      <c r="L31" s="16" t="n"/>
      <c r="M31" s="18" t="n"/>
      <c r="N31" s="18" t="n"/>
      <c r="O31" s="18" t="n"/>
      <c r="P31" s="18" t="n"/>
      <c r="Q31" s="18" t="n"/>
      <c r="R31" s="14" t="n"/>
      <c r="S31" s="24" t="n"/>
      <c r="T31" s="22" t="n"/>
    </row>
    <row r="32">
      <c r="A32" s="18" t="n"/>
      <c r="B32" s="18" t="n"/>
      <c r="C32" s="18" t="n"/>
      <c r="D32" s="18" t="n"/>
      <c r="E32" s="23" t="n"/>
      <c r="F32" s="23" t="n"/>
      <c r="G32" s="23" t="n"/>
      <c r="H32" s="23" t="n"/>
      <c r="I32" s="15" t="n"/>
      <c r="J32" s="16" t="n"/>
      <c r="K32" s="16" t="n"/>
      <c r="L32" s="16" t="n"/>
      <c r="M32" s="18" t="n"/>
      <c r="N32" s="18" t="n"/>
      <c r="O32" s="18" t="n"/>
      <c r="P32" s="18" t="n"/>
      <c r="Q32" s="18" t="n"/>
      <c r="R32" s="14" t="n"/>
      <c r="S32" s="24" t="n"/>
      <c r="T32" s="22" t="n"/>
    </row>
    <row r="33">
      <c r="A33" s="18" t="n"/>
      <c r="B33" s="18" t="n"/>
      <c r="C33" s="18" t="n"/>
      <c r="D33" s="18" t="n"/>
      <c r="E33" s="23" t="n"/>
      <c r="F33" s="23" t="n"/>
      <c r="G33" s="23" t="n"/>
      <c r="H33" s="23" t="n"/>
      <c r="I33" s="15" t="n"/>
      <c r="J33" s="16" t="n"/>
      <c r="K33" s="16" t="n"/>
      <c r="L33" s="16" t="n"/>
      <c r="M33" s="18" t="n"/>
      <c r="N33" s="18" t="n"/>
      <c r="O33" s="18" t="n"/>
      <c r="P33" s="18" t="n"/>
      <c r="Q33" s="18" t="n"/>
      <c r="R33" s="14" t="n"/>
      <c r="S33" s="24" t="n"/>
      <c r="T33" s="22" t="n"/>
    </row>
    <row r="34">
      <c r="A34" s="18" t="n"/>
      <c r="B34" s="18" t="n"/>
      <c r="C34" s="18" t="n"/>
      <c r="D34" s="18" t="n"/>
      <c r="E34" s="23" t="n"/>
      <c r="F34" s="23" t="n"/>
      <c r="G34" s="23" t="n"/>
      <c r="H34" s="23" t="n"/>
      <c r="I34" s="15" t="n"/>
      <c r="J34" s="16" t="n"/>
      <c r="K34" s="16" t="n"/>
      <c r="L34" s="16" t="n"/>
      <c r="M34" s="18" t="n"/>
      <c r="N34" s="18" t="n"/>
      <c r="O34" s="18" t="n"/>
      <c r="P34" s="18" t="n"/>
      <c r="Q34" s="18" t="n"/>
      <c r="R34" s="14" t="n"/>
      <c r="S34" s="24" t="n"/>
      <c r="T34" s="22" t="n"/>
    </row>
    <row r="35">
      <c r="A35" s="18" t="n"/>
      <c r="B35" s="18" t="n"/>
      <c r="C35" s="18" t="n"/>
      <c r="D35" s="18" t="n"/>
      <c r="E35" s="23" t="n"/>
      <c r="F35" s="23" t="n"/>
      <c r="G35" s="23" t="n"/>
      <c r="H35" s="23" t="n"/>
      <c r="I35" s="15" t="n"/>
      <c r="J35" s="16" t="n"/>
      <c r="K35" s="16" t="n"/>
      <c r="L35" s="16" t="n"/>
      <c r="M35" s="18" t="n"/>
      <c r="N35" s="18" t="n"/>
      <c r="O35" s="18" t="n"/>
      <c r="P35" s="18" t="n"/>
      <c r="Q35" s="18" t="n"/>
      <c r="R35" s="14" t="n"/>
      <c r="S35" s="24" t="n"/>
      <c r="T35" s="22" t="n"/>
    </row>
    <row r="36">
      <c r="A36" s="18" t="n"/>
      <c r="B36" s="18" t="n"/>
      <c r="C36" s="18" t="n"/>
      <c r="D36" s="18" t="n"/>
      <c r="E36" s="23" t="n"/>
      <c r="F36" s="23" t="n"/>
      <c r="G36" s="23" t="n"/>
      <c r="H36" s="23" t="n"/>
      <c r="I36" s="15" t="n"/>
      <c r="J36" s="16" t="n"/>
      <c r="K36" s="16" t="n"/>
      <c r="L36" s="16" t="n"/>
      <c r="M36" s="18" t="n"/>
      <c r="N36" s="18" t="n"/>
      <c r="O36" s="18" t="n"/>
      <c r="P36" s="18" t="n"/>
      <c r="Q36" s="18" t="n"/>
      <c r="R36" s="14" t="n"/>
      <c r="S36" s="24" t="n"/>
      <c r="T36" s="22" t="n"/>
    </row>
    <row r="37">
      <c r="A37" s="18" t="n"/>
      <c r="B37" s="18" t="n"/>
      <c r="C37" s="18" t="n"/>
      <c r="D37" s="18" t="n"/>
      <c r="E37" s="23" t="n"/>
      <c r="F37" s="23" t="n"/>
      <c r="G37" s="23" t="n"/>
      <c r="H37" s="23" t="n"/>
      <c r="I37" s="15" t="n"/>
      <c r="J37" s="16" t="n"/>
      <c r="K37" s="16" t="n"/>
      <c r="L37" s="16" t="n"/>
      <c r="M37" s="18" t="n"/>
      <c r="N37" s="18" t="n"/>
      <c r="O37" s="18" t="n"/>
      <c r="P37" s="18" t="n"/>
      <c r="Q37" s="18" t="n"/>
      <c r="R37" s="14" t="n"/>
      <c r="S37" s="24" t="n"/>
      <c r="T37" s="22" t="n"/>
    </row>
    <row r="38">
      <c r="A38" s="18" t="n"/>
      <c r="B38" s="18" t="n"/>
      <c r="C38" s="18" t="n"/>
      <c r="D38" s="18" t="n"/>
      <c r="E38" s="23" t="n"/>
      <c r="F38" s="23" t="n"/>
      <c r="G38" s="23" t="n"/>
      <c r="H38" s="23" t="n"/>
      <c r="I38" s="15" t="n"/>
      <c r="J38" s="16" t="n"/>
      <c r="K38" s="16" t="n"/>
      <c r="L38" s="16" t="n"/>
      <c r="M38" s="18" t="n"/>
      <c r="N38" s="18" t="n"/>
      <c r="O38" s="18" t="n"/>
      <c r="P38" s="18" t="n"/>
      <c r="Q38" s="18" t="n"/>
      <c r="R38" s="14" t="n"/>
      <c r="S38" s="24" t="n"/>
      <c r="T38" s="22" t="n"/>
    </row>
    <row r="39">
      <c r="A39" s="18" t="n"/>
      <c r="B39" s="18" t="n"/>
      <c r="C39" s="18" t="n"/>
      <c r="D39" s="18" t="n"/>
      <c r="E39" s="23" t="n"/>
      <c r="F39" s="23" t="n"/>
      <c r="G39" s="23" t="n"/>
      <c r="H39" s="23" t="n"/>
      <c r="I39" s="15" t="n"/>
      <c r="J39" s="16" t="n"/>
      <c r="K39" s="16" t="n"/>
      <c r="L39" s="16" t="n"/>
      <c r="M39" s="18" t="n"/>
      <c r="N39" s="18" t="n"/>
      <c r="O39" s="18" t="n"/>
      <c r="P39" s="18" t="n"/>
      <c r="Q39" s="18" t="n"/>
      <c r="R39" s="14" t="n"/>
      <c r="S39" s="24" t="n"/>
      <c r="T39" s="22" t="n"/>
    </row>
    <row r="40">
      <c r="A40" s="18" t="n"/>
      <c r="B40" s="18" t="n"/>
      <c r="C40" s="18" t="n"/>
      <c r="D40" s="18" t="n"/>
      <c r="E40" s="23" t="n"/>
      <c r="F40" s="23" t="n"/>
      <c r="G40" s="23" t="n"/>
      <c r="H40" s="23" t="n"/>
      <c r="I40" s="15" t="n"/>
      <c r="J40" s="16" t="n"/>
      <c r="K40" s="16" t="n"/>
      <c r="L40" s="16" t="n"/>
      <c r="M40" s="18" t="n"/>
      <c r="N40" s="18" t="n"/>
      <c r="O40" s="18" t="n"/>
      <c r="P40" s="18" t="n"/>
      <c r="Q40" s="18" t="n"/>
      <c r="R40" s="14" t="n"/>
      <c r="S40" s="24" t="n"/>
      <c r="T40" s="22" t="n"/>
    </row>
    <row r="41">
      <c r="A41" s="18" t="n"/>
      <c r="B41" s="18" t="n"/>
      <c r="C41" s="18" t="n"/>
      <c r="D41" s="18" t="n"/>
      <c r="E41" s="23" t="n"/>
      <c r="F41" s="23" t="n"/>
      <c r="G41" s="23" t="n"/>
      <c r="H41" s="23" t="n"/>
      <c r="I41" s="15" t="n"/>
      <c r="J41" s="16" t="n"/>
      <c r="K41" s="16" t="n"/>
      <c r="L41" s="16" t="n"/>
      <c r="M41" s="18" t="n"/>
      <c r="N41" s="18" t="n"/>
      <c r="O41" s="18" t="n"/>
      <c r="P41" s="18" t="n"/>
      <c r="Q41" s="18" t="n"/>
      <c r="R41" s="14" t="n"/>
      <c r="S41" s="24" t="n"/>
      <c r="T41" s="22" t="n"/>
    </row>
    <row r="42">
      <c r="A42" s="18" t="n"/>
      <c r="B42" s="18" t="n"/>
      <c r="C42" s="18" t="n"/>
      <c r="D42" s="18" t="n"/>
      <c r="E42" s="23" t="n"/>
      <c r="F42" s="23" t="n"/>
      <c r="G42" s="23" t="n"/>
      <c r="H42" s="23" t="n"/>
      <c r="I42" s="15" t="n"/>
      <c r="J42" s="16" t="n"/>
      <c r="K42" s="16" t="n"/>
      <c r="L42" s="16" t="n"/>
      <c r="M42" s="18" t="n"/>
      <c r="N42" s="18" t="n"/>
      <c r="O42" s="18" t="n"/>
      <c r="P42" s="18" t="n"/>
      <c r="Q42" s="18" t="n"/>
      <c r="R42" s="14" t="n"/>
      <c r="S42" s="24" t="n"/>
      <c r="T42" s="22" t="n"/>
    </row>
    <row r="43">
      <c r="A43" s="18" t="n"/>
      <c r="B43" s="18" t="n"/>
      <c r="C43" s="18" t="n"/>
      <c r="D43" s="18" t="n"/>
      <c r="E43" s="23" t="n"/>
      <c r="F43" s="23" t="n"/>
      <c r="G43" s="23" t="n"/>
      <c r="H43" s="23" t="n"/>
      <c r="I43" s="15" t="n"/>
      <c r="J43" s="16" t="n"/>
      <c r="K43" s="16" t="n"/>
      <c r="L43" s="16" t="n"/>
      <c r="M43" s="18" t="n"/>
      <c r="N43" s="18" t="n"/>
      <c r="O43" s="18" t="n"/>
      <c r="P43" s="18" t="n"/>
      <c r="Q43" s="18" t="n"/>
      <c r="R43" s="14" t="n"/>
      <c r="S43" s="24" t="n"/>
      <c r="T43" s="22" t="n"/>
    </row>
    <row r="44">
      <c r="A44" s="18" t="n"/>
      <c r="B44" s="18" t="n"/>
      <c r="C44" s="18" t="n"/>
      <c r="D44" s="18" t="n"/>
      <c r="E44" s="23" t="n"/>
      <c r="F44" s="23" t="n"/>
      <c r="G44" s="23" t="n"/>
      <c r="H44" s="23" t="n"/>
      <c r="I44" s="15" t="n"/>
      <c r="J44" s="16" t="n"/>
      <c r="K44" s="16" t="n"/>
      <c r="L44" s="16" t="n"/>
      <c r="M44" s="18" t="n"/>
      <c r="N44" s="18" t="n"/>
      <c r="O44" s="18" t="n"/>
      <c r="P44" s="18" t="n"/>
      <c r="Q44" s="18" t="n"/>
      <c r="R44" s="14" t="n"/>
      <c r="S44" s="24" t="n"/>
      <c r="T44" s="22" t="n"/>
    </row>
    <row r="45">
      <c r="A45" s="18" t="n"/>
      <c r="B45" s="18" t="n"/>
      <c r="C45" s="18" t="n"/>
      <c r="D45" s="18" t="n"/>
      <c r="E45" s="23" t="n"/>
      <c r="F45" s="23" t="n"/>
      <c r="G45" s="23" t="n"/>
      <c r="H45" s="23" t="n"/>
      <c r="I45" s="15" t="n"/>
      <c r="J45" s="16" t="n"/>
      <c r="K45" s="16" t="n"/>
      <c r="L45" s="16" t="n"/>
      <c r="M45" s="18" t="n"/>
      <c r="N45" s="18" t="n"/>
      <c r="O45" s="18" t="n"/>
      <c r="P45" s="18" t="n"/>
      <c r="Q45" s="18" t="n"/>
      <c r="R45" s="14" t="n"/>
      <c r="S45" s="24" t="n"/>
      <c r="T45" s="22" t="n"/>
    </row>
    <row r="46">
      <c r="A46" s="18" t="n"/>
      <c r="B46" s="18" t="n"/>
      <c r="C46" s="18" t="n"/>
      <c r="D46" s="18" t="n"/>
      <c r="E46" s="23" t="n"/>
      <c r="F46" s="23" t="n"/>
      <c r="G46" s="23" t="n"/>
      <c r="H46" s="23" t="n"/>
      <c r="I46" s="15" t="n"/>
      <c r="J46" s="16" t="n"/>
      <c r="K46" s="16" t="n"/>
      <c r="L46" s="16" t="n"/>
      <c r="M46" s="18" t="n"/>
      <c r="N46" s="18" t="n"/>
      <c r="O46" s="18" t="n"/>
      <c r="P46" s="18" t="n"/>
      <c r="Q46" s="18" t="n"/>
      <c r="R46" s="14" t="n"/>
      <c r="S46" s="24" t="n"/>
      <c r="T46" s="22" t="n"/>
    </row>
    <row r="47">
      <c r="A47" s="18" t="n"/>
      <c r="B47" s="18" t="n"/>
      <c r="C47" s="18" t="n"/>
      <c r="D47" s="18" t="n"/>
      <c r="E47" s="23" t="n"/>
      <c r="F47" s="23" t="n"/>
      <c r="G47" s="23" t="n"/>
      <c r="H47" s="23" t="n"/>
      <c r="I47" s="15" t="n"/>
      <c r="J47" s="16" t="n"/>
      <c r="K47" s="16" t="n"/>
      <c r="L47" s="16" t="n"/>
      <c r="M47" s="18" t="n"/>
      <c r="N47" s="18" t="n"/>
      <c r="O47" s="18" t="n"/>
      <c r="P47" s="18" t="n"/>
      <c r="Q47" s="18" t="n"/>
      <c r="R47" s="14" t="n"/>
      <c r="S47" s="24" t="n"/>
      <c r="T47" s="22" t="n"/>
    </row>
    <row r="48">
      <c r="A48" s="18" t="n"/>
      <c r="B48" s="18" t="n"/>
      <c r="C48" s="18" t="n"/>
      <c r="D48" s="18" t="n"/>
      <c r="E48" s="23" t="n"/>
      <c r="F48" s="23" t="n"/>
      <c r="G48" s="23" t="n"/>
      <c r="H48" s="23" t="n"/>
      <c r="I48" s="15" t="n"/>
      <c r="J48" s="16" t="n"/>
      <c r="K48" s="16" t="n"/>
      <c r="L48" s="16" t="n"/>
      <c r="M48" s="18" t="n"/>
      <c r="N48" s="18" t="n"/>
      <c r="O48" s="18" t="n"/>
      <c r="P48" s="18" t="n"/>
      <c r="Q48" s="18" t="n"/>
      <c r="R48" s="14" t="n"/>
      <c r="S48" s="24" t="n"/>
      <c r="T48" s="22" t="n"/>
    </row>
    <row r="49">
      <c r="A49" s="18" t="n"/>
      <c r="B49" s="18" t="n"/>
      <c r="C49" s="18" t="n"/>
      <c r="D49" s="18" t="n"/>
      <c r="E49" s="23" t="n"/>
      <c r="F49" s="23" t="n"/>
      <c r="G49" s="23" t="n"/>
      <c r="H49" s="23" t="n"/>
      <c r="I49" s="15" t="n"/>
      <c r="J49" s="16" t="n"/>
      <c r="K49" s="16" t="n"/>
      <c r="L49" s="16" t="n"/>
      <c r="M49" s="18" t="n"/>
      <c r="N49" s="18" t="n"/>
      <c r="O49" s="18" t="n"/>
      <c r="P49" s="18" t="n"/>
      <c r="Q49" s="18" t="n"/>
      <c r="R49" s="14" t="n"/>
      <c r="S49" s="24" t="n"/>
      <c r="T49" s="22" t="n"/>
    </row>
    <row r="50">
      <c r="A50" s="18" t="n"/>
      <c r="B50" s="18" t="n"/>
      <c r="C50" s="18" t="n"/>
      <c r="D50" s="18" t="n"/>
      <c r="E50" s="23" t="n"/>
      <c r="F50" s="23" t="n"/>
      <c r="G50" s="23" t="n"/>
      <c r="H50" s="23" t="n"/>
      <c r="I50" s="15" t="n"/>
      <c r="J50" s="16" t="n"/>
      <c r="K50" s="16" t="n"/>
      <c r="L50" s="16" t="n"/>
      <c r="M50" s="18" t="n"/>
      <c r="N50" s="18" t="n"/>
      <c r="O50" s="18" t="n"/>
      <c r="P50" s="18" t="n"/>
      <c r="Q50" s="18" t="n"/>
      <c r="R50" s="14" t="n"/>
      <c r="S50" s="24" t="n"/>
      <c r="T50" s="22" t="n"/>
    </row>
    <row r="51">
      <c r="A51" s="18" t="n"/>
      <c r="B51" s="18" t="n"/>
      <c r="C51" s="18" t="n"/>
      <c r="D51" s="18" t="n"/>
      <c r="E51" s="23" t="n"/>
      <c r="F51" s="23" t="n"/>
      <c r="G51" s="23" t="n"/>
      <c r="H51" s="23" t="n"/>
      <c r="I51" s="15" t="n"/>
      <c r="J51" s="16" t="n"/>
      <c r="K51" s="16" t="n"/>
      <c r="L51" s="16" t="n"/>
      <c r="M51" s="18" t="n"/>
      <c r="N51" s="18" t="n"/>
      <c r="O51" s="18" t="n"/>
      <c r="P51" s="18" t="n"/>
      <c r="Q51" s="18" t="n"/>
      <c r="R51" s="14" t="n"/>
      <c r="S51" s="24" t="n"/>
      <c r="T51" s="22" t="n"/>
    </row>
    <row r="52">
      <c r="A52" s="18" t="n"/>
      <c r="B52" s="18" t="n"/>
      <c r="C52" s="18" t="n"/>
      <c r="D52" s="18" t="n"/>
      <c r="E52" s="23" t="n"/>
      <c r="F52" s="23" t="n"/>
      <c r="G52" s="23" t="n"/>
      <c r="H52" s="23" t="n"/>
      <c r="I52" s="15" t="n"/>
      <c r="J52" s="16" t="n"/>
      <c r="K52" s="16" t="n"/>
      <c r="L52" s="16" t="n"/>
      <c r="M52" s="18" t="n"/>
      <c r="N52" s="18" t="n"/>
      <c r="O52" s="18" t="n"/>
      <c r="P52" s="18" t="n"/>
      <c r="Q52" s="18" t="n"/>
      <c r="R52" s="14" t="n"/>
      <c r="S52" s="24" t="n"/>
      <c r="T52" s="22" t="n"/>
    </row>
    <row r="53">
      <c r="A53" s="18" t="n"/>
      <c r="B53" s="18" t="n"/>
      <c r="C53" s="18" t="n"/>
      <c r="D53" s="18" t="n"/>
      <c r="E53" s="23" t="n"/>
      <c r="F53" s="23" t="n"/>
      <c r="G53" s="23" t="n"/>
      <c r="H53" s="23" t="n"/>
      <c r="I53" s="15" t="n"/>
      <c r="J53" s="16" t="n"/>
      <c r="K53" s="16" t="n"/>
      <c r="L53" s="16" t="n"/>
      <c r="M53" s="18" t="n"/>
      <c r="N53" s="18" t="n"/>
      <c r="O53" s="18" t="n"/>
      <c r="P53" s="18" t="n"/>
      <c r="Q53" s="18" t="n"/>
      <c r="R53" s="14" t="n"/>
      <c r="S53" s="24" t="n"/>
      <c r="T53" s="22" t="n"/>
    </row>
    <row r="54">
      <c r="A54" s="18" t="n"/>
      <c r="B54" s="18" t="n"/>
      <c r="C54" s="18" t="n"/>
      <c r="D54" s="18" t="n"/>
      <c r="E54" s="23" t="n"/>
      <c r="F54" s="23" t="n"/>
      <c r="G54" s="23" t="n"/>
      <c r="H54" s="23" t="n"/>
      <c r="I54" s="15" t="n"/>
      <c r="J54" s="16" t="n"/>
      <c r="K54" s="16" t="n"/>
      <c r="L54" s="16" t="n"/>
      <c r="M54" s="18" t="n"/>
      <c r="N54" s="18" t="n"/>
      <c r="O54" s="18" t="n"/>
      <c r="P54" s="18" t="n"/>
      <c r="Q54" s="18" t="n"/>
      <c r="R54" s="14" t="n"/>
      <c r="S54" s="24" t="n"/>
      <c r="T54" s="22" t="n"/>
    </row>
    <row r="55">
      <c r="A55" s="18" t="n"/>
      <c r="B55" s="18" t="n"/>
      <c r="C55" s="18" t="n"/>
      <c r="D55" s="18" t="n"/>
      <c r="E55" s="23" t="n"/>
      <c r="F55" s="23" t="n"/>
      <c r="G55" s="23" t="n"/>
      <c r="H55" s="23" t="n"/>
      <c r="I55" s="15" t="n"/>
      <c r="J55" s="16" t="n"/>
      <c r="K55" s="16" t="n"/>
      <c r="L55" s="16" t="n"/>
      <c r="M55" s="18" t="n"/>
      <c r="N55" s="18" t="n"/>
      <c r="O55" s="18" t="n"/>
      <c r="P55" s="18" t="n"/>
      <c r="Q55" s="18" t="n"/>
      <c r="R55" s="14" t="n"/>
      <c r="S55" s="24" t="n"/>
      <c r="T55" s="22" t="n"/>
    </row>
    <row r="56">
      <c r="A56" s="18" t="n"/>
      <c r="B56" s="18" t="n"/>
      <c r="C56" s="18" t="n"/>
      <c r="D56" s="18" t="n"/>
      <c r="E56" s="23" t="n"/>
      <c r="F56" s="23" t="n"/>
      <c r="G56" s="23" t="n"/>
      <c r="H56" s="23" t="n"/>
      <c r="I56" s="15" t="n"/>
      <c r="J56" s="16" t="n"/>
      <c r="K56" s="16" t="n"/>
      <c r="L56" s="16" t="n"/>
      <c r="M56" s="18" t="n"/>
      <c r="N56" s="18" t="n"/>
      <c r="O56" s="18" t="n"/>
      <c r="P56" s="18" t="n"/>
      <c r="Q56" s="18" t="n"/>
      <c r="R56" s="14" t="n"/>
      <c r="S56" s="24" t="n"/>
      <c r="T56" s="22" t="n"/>
    </row>
    <row r="57">
      <c r="A57" s="18" t="n"/>
      <c r="B57" s="18" t="n"/>
      <c r="C57" s="18" t="n"/>
      <c r="D57" s="18" t="n"/>
      <c r="E57" s="23" t="n"/>
      <c r="F57" s="23" t="n"/>
      <c r="G57" s="23" t="n"/>
      <c r="H57" s="23" t="n"/>
      <c r="I57" s="15" t="n"/>
      <c r="J57" s="16" t="n"/>
      <c r="K57" s="16" t="n"/>
      <c r="L57" s="16" t="n"/>
      <c r="M57" s="18" t="n"/>
      <c r="N57" s="18" t="n"/>
      <c r="O57" s="18" t="n"/>
      <c r="P57" s="18" t="n"/>
      <c r="Q57" s="18" t="n"/>
      <c r="R57" s="14" t="n"/>
      <c r="S57" s="24" t="n"/>
      <c r="T57" s="22" t="n"/>
    </row>
    <row r="58">
      <c r="A58" s="18" t="n"/>
      <c r="B58" s="18" t="n"/>
      <c r="C58" s="18" t="n"/>
      <c r="D58" s="18" t="n"/>
      <c r="E58" s="23" t="n"/>
      <c r="F58" s="23" t="n"/>
      <c r="G58" s="23" t="n"/>
      <c r="H58" s="23" t="n"/>
      <c r="I58" s="15" t="n"/>
      <c r="J58" s="16" t="n"/>
      <c r="K58" s="16" t="n"/>
      <c r="L58" s="16" t="n"/>
      <c r="M58" s="18" t="n"/>
      <c r="N58" s="18" t="n"/>
      <c r="O58" s="18" t="n"/>
      <c r="P58" s="18" t="n"/>
      <c r="Q58" s="18" t="n"/>
      <c r="R58" s="14" t="n"/>
      <c r="S58" s="24" t="n"/>
      <c r="T58" s="22" t="n"/>
    </row>
    <row r="59">
      <c r="A59" s="18" t="n"/>
      <c r="B59" s="18" t="n"/>
      <c r="C59" s="18" t="n"/>
      <c r="D59" s="18" t="n"/>
      <c r="E59" s="23" t="n"/>
      <c r="F59" s="23" t="n"/>
      <c r="G59" s="23" t="n"/>
      <c r="H59" s="23" t="n"/>
      <c r="I59" s="15" t="n"/>
      <c r="J59" s="16" t="n"/>
      <c r="K59" s="16" t="n"/>
      <c r="L59" s="16" t="n"/>
      <c r="M59" s="18" t="n"/>
      <c r="N59" s="18" t="n"/>
      <c r="O59" s="18" t="n"/>
      <c r="P59" s="18" t="n"/>
      <c r="Q59" s="18" t="n"/>
      <c r="R59" s="14" t="n"/>
      <c r="S59" s="24" t="n"/>
      <c r="T59" s="22" t="n"/>
    </row>
    <row r="60">
      <c r="A60" s="18" t="n"/>
      <c r="B60" s="18" t="n"/>
      <c r="C60" s="18" t="n"/>
      <c r="D60" s="18" t="n"/>
      <c r="E60" s="23" t="n"/>
      <c r="F60" s="23" t="n"/>
      <c r="G60" s="23" t="n"/>
      <c r="H60" s="23" t="n"/>
      <c r="I60" s="15" t="n"/>
      <c r="J60" s="16" t="n"/>
      <c r="K60" s="16" t="n"/>
      <c r="L60" s="16" t="n"/>
      <c r="M60" s="18" t="n"/>
      <c r="N60" s="18" t="n"/>
      <c r="O60" s="18" t="n"/>
      <c r="P60" s="18" t="n"/>
      <c r="Q60" s="18" t="n"/>
      <c r="R60" s="14" t="n"/>
      <c r="S60" s="24" t="n"/>
      <c r="T60" s="22" t="n"/>
    </row>
    <row r="61">
      <c r="A61" s="18" t="n"/>
      <c r="B61" s="18" t="n"/>
      <c r="C61" s="18" t="n"/>
      <c r="D61" s="18" t="n"/>
      <c r="E61" s="23" t="n"/>
      <c r="F61" s="23" t="n"/>
      <c r="G61" s="23" t="n"/>
      <c r="H61" s="23" t="n"/>
      <c r="I61" s="15" t="n"/>
      <c r="J61" s="16" t="n"/>
      <c r="K61" s="16" t="n"/>
      <c r="L61" s="16" t="n"/>
      <c r="M61" s="18" t="n"/>
      <c r="N61" s="18" t="n"/>
      <c r="O61" s="18" t="n"/>
      <c r="P61" s="18" t="n"/>
      <c r="Q61" s="18" t="n"/>
      <c r="R61" s="14" t="n"/>
      <c r="S61" s="24" t="n"/>
      <c r="T61" s="22" t="n"/>
    </row>
    <row r="62">
      <c r="A62" s="18" t="n"/>
      <c r="B62" s="18" t="n"/>
      <c r="C62" s="18" t="n"/>
      <c r="D62" s="18" t="n"/>
      <c r="E62" s="23" t="n"/>
      <c r="F62" s="23" t="n"/>
      <c r="G62" s="23" t="n"/>
      <c r="H62" s="23" t="n"/>
      <c r="I62" s="15" t="n"/>
      <c r="J62" s="16" t="n"/>
      <c r="K62" s="16" t="n"/>
      <c r="L62" s="16" t="n"/>
      <c r="M62" s="18" t="n"/>
      <c r="N62" s="18" t="n"/>
      <c r="O62" s="18" t="n"/>
      <c r="P62" s="18" t="n"/>
      <c r="Q62" s="18" t="n"/>
      <c r="R62" s="14" t="n"/>
      <c r="S62" s="24" t="n"/>
      <c r="T62" s="22" t="n"/>
    </row>
    <row r="63">
      <c r="A63" s="18" t="n"/>
      <c r="B63" s="18" t="n"/>
      <c r="C63" s="18" t="n"/>
      <c r="D63" s="18" t="n"/>
      <c r="E63" s="23" t="n"/>
      <c r="F63" s="23" t="n"/>
      <c r="G63" s="23" t="n"/>
      <c r="H63" s="23" t="n"/>
      <c r="I63" s="15" t="n"/>
      <c r="J63" s="16" t="n"/>
      <c r="K63" s="16" t="n"/>
      <c r="L63" s="16" t="n"/>
      <c r="M63" s="18" t="n"/>
      <c r="N63" s="18" t="n"/>
      <c r="O63" s="18" t="n"/>
      <c r="P63" s="18" t="n"/>
      <c r="Q63" s="18" t="n"/>
      <c r="R63" s="14" t="n"/>
      <c r="S63" s="24" t="n"/>
      <c r="T63" s="22" t="n"/>
    </row>
    <row r="64">
      <c r="A64" s="18" t="n"/>
      <c r="B64" s="18" t="n"/>
      <c r="C64" s="18" t="n"/>
      <c r="D64" s="18" t="n"/>
      <c r="E64" s="23" t="n"/>
      <c r="F64" s="23" t="n"/>
      <c r="G64" s="23" t="n"/>
      <c r="H64" s="23" t="n"/>
      <c r="I64" s="15" t="n"/>
      <c r="J64" s="16" t="n"/>
      <c r="K64" s="16" t="n"/>
      <c r="L64" s="16" t="n"/>
      <c r="M64" s="18" t="n"/>
      <c r="N64" s="18" t="n"/>
      <c r="O64" s="18" t="n"/>
      <c r="P64" s="18" t="n"/>
      <c r="Q64" s="18" t="n"/>
      <c r="R64" s="14" t="n"/>
      <c r="S64" s="24" t="n"/>
      <c r="T64" s="22" t="n"/>
    </row>
    <row r="65">
      <c r="A65" s="18" t="n"/>
      <c r="B65" s="18" t="n"/>
      <c r="C65" s="18" t="n"/>
      <c r="D65" s="18" t="n"/>
      <c r="E65" s="23" t="n"/>
      <c r="F65" s="23" t="n"/>
      <c r="G65" s="23" t="n"/>
      <c r="H65" s="23" t="n"/>
      <c r="I65" s="15" t="n"/>
      <c r="J65" s="16" t="n"/>
      <c r="K65" s="16" t="n"/>
      <c r="L65" s="16" t="n"/>
      <c r="M65" s="18" t="n"/>
      <c r="N65" s="18" t="n"/>
      <c r="O65" s="18" t="n"/>
      <c r="P65" s="18" t="n"/>
      <c r="Q65" s="18" t="n"/>
      <c r="R65" s="14" t="n"/>
      <c r="S65" s="24" t="n"/>
      <c r="T65" s="22" t="n"/>
    </row>
    <row r="66">
      <c r="A66" s="18" t="n"/>
      <c r="B66" s="18" t="n"/>
      <c r="C66" s="18" t="n"/>
      <c r="D66" s="18" t="n"/>
      <c r="E66" s="23" t="n"/>
      <c r="F66" s="23" t="n"/>
      <c r="G66" s="23" t="n"/>
      <c r="H66" s="23" t="n"/>
      <c r="I66" s="15" t="n"/>
      <c r="J66" s="16" t="n"/>
      <c r="K66" s="16" t="n"/>
      <c r="L66" s="16" t="n"/>
      <c r="M66" s="18" t="n"/>
      <c r="N66" s="18" t="n"/>
      <c r="O66" s="18" t="n"/>
      <c r="P66" s="18" t="n"/>
      <c r="Q66" s="18" t="n"/>
      <c r="R66" s="14" t="n"/>
      <c r="S66" s="24" t="n"/>
      <c r="T66" s="22" t="n"/>
    </row>
    <row r="67">
      <c r="A67" s="18" t="n"/>
      <c r="B67" s="18" t="n"/>
      <c r="C67" s="18" t="n"/>
      <c r="D67" s="18" t="n"/>
      <c r="E67" s="23" t="n"/>
      <c r="F67" s="23" t="n"/>
      <c r="G67" s="23" t="n"/>
      <c r="H67" s="23" t="n"/>
      <c r="I67" s="15" t="n"/>
      <c r="J67" s="16" t="n"/>
      <c r="K67" s="16" t="n"/>
      <c r="L67" s="16" t="n"/>
      <c r="M67" s="18" t="n"/>
      <c r="N67" s="18" t="n"/>
      <c r="O67" s="18" t="n"/>
      <c r="P67" s="18" t="n"/>
      <c r="Q67" s="18" t="n"/>
      <c r="R67" s="14" t="n"/>
      <c r="S67" s="24" t="n"/>
      <c r="T67" s="22" t="n"/>
    </row>
    <row r="68">
      <c r="A68" s="18" t="n"/>
      <c r="B68" s="18" t="n"/>
      <c r="C68" s="18" t="n"/>
      <c r="D68" s="18" t="n"/>
      <c r="E68" s="23" t="n"/>
      <c r="F68" s="23" t="n"/>
      <c r="G68" s="23" t="n"/>
      <c r="H68" s="23" t="n"/>
      <c r="I68" s="15" t="n"/>
      <c r="J68" s="16" t="n"/>
      <c r="K68" s="16" t="n"/>
      <c r="L68" s="16" t="n"/>
      <c r="M68" s="18" t="n"/>
      <c r="N68" s="18" t="n"/>
      <c r="O68" s="18" t="n"/>
      <c r="P68" s="18" t="n"/>
      <c r="Q68" s="18" t="n"/>
      <c r="R68" s="14" t="n"/>
      <c r="S68" s="24" t="n"/>
      <c r="T68" s="22" t="n"/>
    </row>
    <row r="69">
      <c r="A69" s="18" t="n"/>
      <c r="B69" s="18" t="n"/>
      <c r="C69" s="18" t="n"/>
      <c r="D69" s="18" t="n"/>
      <c r="E69" s="23" t="n"/>
      <c r="F69" s="23" t="n"/>
      <c r="G69" s="23" t="n"/>
      <c r="H69" s="23" t="n"/>
      <c r="I69" s="15" t="n"/>
      <c r="J69" s="16" t="n"/>
      <c r="K69" s="16" t="n"/>
      <c r="L69" s="16" t="n"/>
      <c r="M69" s="18" t="n"/>
      <c r="N69" s="18" t="n"/>
      <c r="O69" s="18" t="n"/>
      <c r="P69" s="18" t="n"/>
      <c r="Q69" s="18" t="n"/>
      <c r="R69" s="14" t="n"/>
      <c r="S69" s="24" t="n"/>
      <c r="T69" s="22" t="n"/>
    </row>
    <row r="70">
      <c r="A70" s="18" t="n"/>
      <c r="B70" s="18" t="n"/>
      <c r="C70" s="18" t="n"/>
      <c r="D70" s="18" t="n"/>
      <c r="E70" s="23" t="n"/>
      <c r="F70" s="23" t="n"/>
      <c r="G70" s="23" t="n"/>
      <c r="H70" s="23" t="n"/>
      <c r="I70" s="15" t="n"/>
      <c r="J70" s="16" t="n"/>
      <c r="K70" s="16" t="n"/>
      <c r="L70" s="16" t="n"/>
      <c r="M70" s="18" t="n"/>
      <c r="N70" s="18" t="n"/>
      <c r="O70" s="18" t="n"/>
      <c r="P70" s="18" t="n"/>
      <c r="Q70" s="18" t="n"/>
      <c r="R70" s="14" t="n"/>
      <c r="S70" s="24" t="n"/>
      <c r="T70" s="22" t="n"/>
    </row>
    <row r="71">
      <c r="A71" s="18" t="n"/>
      <c r="B71" s="18" t="n"/>
      <c r="C71" s="18" t="n"/>
      <c r="D71" s="18" t="n"/>
      <c r="E71" s="23" t="n"/>
      <c r="F71" s="23" t="n"/>
      <c r="G71" s="23" t="n"/>
      <c r="H71" s="23" t="n"/>
      <c r="I71" s="15" t="n"/>
      <c r="J71" s="16" t="n"/>
      <c r="K71" s="16" t="n"/>
      <c r="L71" s="16" t="n"/>
      <c r="M71" s="18" t="n"/>
      <c r="N71" s="18" t="n"/>
      <c r="O71" s="18" t="n"/>
      <c r="P71" s="18" t="n"/>
      <c r="Q71" s="18" t="n"/>
      <c r="R71" s="14" t="n"/>
      <c r="S71" s="24" t="n"/>
      <c r="T71" s="22" t="n"/>
    </row>
    <row r="72">
      <c r="A72" s="18" t="n"/>
      <c r="B72" s="18" t="n"/>
      <c r="C72" s="18" t="n"/>
      <c r="D72" s="18" t="n"/>
      <c r="E72" s="23" t="n"/>
      <c r="F72" s="23" t="n"/>
      <c r="G72" s="23" t="n"/>
      <c r="H72" s="23" t="n"/>
      <c r="I72" s="15" t="n"/>
      <c r="J72" s="16" t="n"/>
      <c r="K72" s="16" t="n"/>
      <c r="L72" s="16" t="n"/>
      <c r="M72" s="18" t="n"/>
      <c r="N72" s="18" t="n"/>
      <c r="O72" s="18" t="n"/>
      <c r="P72" s="18" t="n"/>
      <c r="Q72" s="18" t="n"/>
      <c r="R72" s="14" t="n"/>
      <c r="S72" s="24" t="n"/>
      <c r="T72" s="22" t="n"/>
    </row>
    <row r="73">
      <c r="A73" s="18" t="n"/>
      <c r="B73" s="18" t="n"/>
      <c r="C73" s="18" t="n"/>
      <c r="D73" s="18" t="n"/>
      <c r="E73" s="23" t="n"/>
      <c r="F73" s="23" t="n"/>
      <c r="G73" s="23" t="n"/>
      <c r="H73" s="23" t="n"/>
      <c r="I73" s="15" t="n"/>
      <c r="J73" s="16" t="n"/>
      <c r="K73" s="16" t="n"/>
      <c r="L73" s="16" t="n"/>
      <c r="M73" s="18" t="n"/>
      <c r="N73" s="18" t="n"/>
      <c r="O73" s="18" t="n"/>
      <c r="P73" s="18" t="n"/>
      <c r="Q73" s="18" t="n"/>
      <c r="R73" s="14" t="n"/>
      <c r="S73" s="24" t="n"/>
      <c r="T73" s="22" t="n"/>
    </row>
    <row r="74">
      <c r="A74" s="18" t="n"/>
      <c r="B74" s="18" t="n"/>
      <c r="C74" s="18" t="n"/>
      <c r="D74" s="18" t="n"/>
      <c r="E74" s="23" t="n"/>
      <c r="F74" s="23" t="n"/>
      <c r="G74" s="23" t="n"/>
      <c r="H74" s="23" t="n"/>
      <c r="I74" s="15" t="n"/>
      <c r="J74" s="16" t="n"/>
      <c r="K74" s="16" t="n"/>
      <c r="L74" s="16" t="n"/>
      <c r="M74" s="18" t="n"/>
      <c r="N74" s="18" t="n"/>
      <c r="O74" s="18" t="n"/>
      <c r="P74" s="18" t="n"/>
      <c r="Q74" s="18" t="n"/>
      <c r="R74" s="14" t="n"/>
      <c r="S74" s="24" t="n"/>
      <c r="T74" s="22" t="n"/>
    </row>
    <row r="75">
      <c r="A75" s="18" t="n"/>
      <c r="B75" s="18" t="n"/>
      <c r="C75" s="18" t="n"/>
      <c r="D75" s="18" t="n"/>
      <c r="E75" s="23" t="n"/>
      <c r="F75" s="23" t="n"/>
      <c r="G75" s="23" t="n"/>
      <c r="H75" s="23" t="n"/>
      <c r="I75" s="15" t="n"/>
      <c r="J75" s="16" t="n"/>
      <c r="K75" s="16" t="n"/>
      <c r="L75" s="16" t="n"/>
      <c r="M75" s="18" t="n"/>
      <c r="N75" s="18" t="n"/>
      <c r="O75" s="18" t="n"/>
      <c r="P75" s="18" t="n"/>
      <c r="Q75" s="18" t="n"/>
      <c r="R75" s="14" t="n"/>
      <c r="S75" s="24" t="n"/>
      <c r="T75" s="22" t="n"/>
    </row>
    <row r="76">
      <c r="A76" s="18" t="n"/>
      <c r="B76" s="18" t="n"/>
      <c r="C76" s="18" t="n"/>
      <c r="D76" s="18" t="n"/>
      <c r="E76" s="23" t="n"/>
      <c r="F76" s="23" t="n"/>
      <c r="G76" s="23" t="n"/>
      <c r="H76" s="23" t="n"/>
      <c r="I76" s="15" t="n"/>
      <c r="J76" s="16" t="n"/>
      <c r="K76" s="16" t="n"/>
      <c r="L76" s="16" t="n"/>
      <c r="M76" s="18" t="n"/>
      <c r="N76" s="18" t="n"/>
      <c r="O76" s="18" t="n"/>
      <c r="P76" s="18" t="n"/>
      <c r="Q76" s="18" t="n"/>
      <c r="R76" s="14" t="n"/>
      <c r="S76" s="24" t="n"/>
      <c r="T76" s="22" t="n"/>
    </row>
    <row r="77">
      <c r="A77" s="18" t="n"/>
      <c r="B77" s="18" t="n"/>
      <c r="C77" s="18" t="n"/>
      <c r="D77" s="18" t="n"/>
      <c r="E77" s="23" t="n"/>
      <c r="F77" s="23" t="n"/>
      <c r="G77" s="23" t="n"/>
      <c r="H77" s="23" t="n"/>
      <c r="I77" s="15" t="n"/>
      <c r="J77" s="16" t="n"/>
      <c r="K77" s="16" t="n"/>
      <c r="L77" s="16" t="n"/>
      <c r="M77" s="18" t="n"/>
      <c r="N77" s="18" t="n"/>
      <c r="O77" s="18" t="n"/>
      <c r="P77" s="18" t="n"/>
      <c r="Q77" s="18" t="n"/>
      <c r="R77" s="14" t="n"/>
      <c r="S77" s="24" t="n"/>
      <c r="T77" s="22" t="n"/>
    </row>
    <row r="78">
      <c r="A78" s="18" t="n"/>
      <c r="B78" s="18" t="n"/>
      <c r="C78" s="18" t="n"/>
      <c r="D78" s="18" t="n"/>
      <c r="E78" s="23" t="n"/>
      <c r="F78" s="23" t="n"/>
      <c r="G78" s="23" t="n"/>
      <c r="H78" s="23" t="n"/>
      <c r="I78" s="15" t="n"/>
      <c r="J78" s="16" t="n"/>
      <c r="K78" s="16" t="n"/>
      <c r="L78" s="16" t="n"/>
      <c r="M78" s="18" t="n"/>
      <c r="N78" s="18" t="n"/>
      <c r="O78" s="18" t="n"/>
      <c r="P78" s="18" t="n"/>
      <c r="Q78" s="18" t="n"/>
      <c r="R78" s="14" t="n"/>
      <c r="S78" s="24" t="n"/>
      <c r="T78" s="22" t="n"/>
    </row>
    <row r="79">
      <c r="A79" s="18" t="n"/>
      <c r="B79" s="18" t="n"/>
      <c r="C79" s="18" t="n"/>
      <c r="D79" s="18" t="n"/>
      <c r="E79" s="23" t="n"/>
      <c r="F79" s="23" t="n"/>
      <c r="G79" s="23" t="n"/>
      <c r="H79" s="23" t="n"/>
      <c r="I79" s="15" t="n"/>
      <c r="J79" s="16" t="n"/>
      <c r="K79" s="16" t="n"/>
      <c r="L79" s="16" t="n"/>
      <c r="M79" s="18" t="n"/>
      <c r="N79" s="18" t="n"/>
      <c r="O79" s="18" t="n"/>
      <c r="P79" s="18" t="n"/>
      <c r="Q79" s="18" t="n"/>
      <c r="R79" s="14" t="n"/>
      <c r="S79" s="24" t="n"/>
      <c r="T79" s="22" t="n"/>
    </row>
    <row r="80">
      <c r="A80" s="18" t="n"/>
      <c r="B80" s="18" t="n"/>
      <c r="C80" s="18" t="n"/>
      <c r="D80" s="18" t="n"/>
      <c r="E80" s="23" t="n"/>
      <c r="F80" s="23" t="n"/>
      <c r="G80" s="23" t="n"/>
      <c r="H80" s="23" t="n"/>
      <c r="I80" s="15" t="n"/>
      <c r="J80" s="16" t="n"/>
      <c r="K80" s="16" t="n"/>
      <c r="L80" s="16" t="n"/>
      <c r="M80" s="18" t="n"/>
      <c r="N80" s="18" t="n"/>
      <c r="O80" s="18" t="n"/>
      <c r="P80" s="18" t="n"/>
      <c r="Q80" s="18" t="n"/>
      <c r="R80" s="14" t="n"/>
      <c r="S80" s="24" t="n"/>
      <c r="T80" s="22" t="n"/>
    </row>
    <row r="81">
      <c r="A81" s="18" t="n"/>
      <c r="B81" s="18" t="n"/>
      <c r="C81" s="18" t="n"/>
      <c r="D81" s="18" t="n"/>
      <c r="E81" s="23" t="n"/>
      <c r="F81" s="23" t="n"/>
      <c r="G81" s="23" t="n"/>
      <c r="H81" s="23" t="n"/>
      <c r="I81" s="15" t="n"/>
      <c r="J81" s="16" t="n"/>
      <c r="K81" s="16" t="n"/>
      <c r="L81" s="16" t="n"/>
      <c r="M81" s="18" t="n"/>
      <c r="N81" s="18" t="n"/>
      <c r="O81" s="18" t="n"/>
      <c r="P81" s="18" t="n"/>
      <c r="Q81" s="18" t="n"/>
      <c r="R81" s="14" t="n"/>
      <c r="S81" s="24" t="n"/>
      <c r="T81" s="22" t="n"/>
    </row>
    <row r="82">
      <c r="A82" s="18" t="n"/>
      <c r="B82" s="18" t="n"/>
      <c r="C82" s="18" t="n"/>
      <c r="D82" s="18" t="n"/>
      <c r="E82" s="23" t="n"/>
      <c r="F82" s="23" t="n"/>
      <c r="G82" s="23" t="n"/>
      <c r="H82" s="23" t="n"/>
      <c r="I82" s="15" t="n"/>
      <c r="J82" s="16" t="n"/>
      <c r="K82" s="16" t="n"/>
      <c r="L82" s="16" t="n"/>
      <c r="M82" s="18" t="n"/>
      <c r="N82" s="18" t="n"/>
      <c r="O82" s="18" t="n"/>
      <c r="P82" s="18" t="n"/>
      <c r="Q82" s="18" t="n"/>
      <c r="R82" s="14" t="n"/>
      <c r="S82" s="24" t="n"/>
      <c r="T82" s="22" t="n"/>
    </row>
    <row r="83">
      <c r="A83" s="18" t="n"/>
      <c r="B83" s="18" t="n"/>
      <c r="C83" s="18" t="n"/>
      <c r="D83" s="18" t="n"/>
      <c r="E83" s="23" t="n"/>
      <c r="F83" s="23" t="n"/>
      <c r="G83" s="23" t="n"/>
      <c r="H83" s="23" t="n"/>
      <c r="I83" s="15" t="n"/>
      <c r="J83" s="16" t="n"/>
      <c r="K83" s="16" t="n"/>
      <c r="L83" s="16" t="n"/>
      <c r="M83" s="18" t="n"/>
      <c r="N83" s="18" t="n"/>
      <c r="O83" s="18" t="n"/>
      <c r="P83" s="18" t="n"/>
      <c r="Q83" s="18" t="n"/>
      <c r="R83" s="14" t="n"/>
      <c r="S83" s="24" t="n"/>
      <c r="T83" s="22" t="n"/>
    </row>
    <row r="84">
      <c r="A84" s="18" t="n"/>
      <c r="B84" s="18" t="n"/>
      <c r="C84" s="18" t="n"/>
      <c r="D84" s="18" t="n"/>
      <c r="E84" s="23" t="n"/>
      <c r="F84" s="23" t="n"/>
      <c r="G84" s="23" t="n"/>
      <c r="H84" s="23" t="n"/>
      <c r="I84" s="15" t="n"/>
      <c r="J84" s="16" t="n"/>
      <c r="K84" s="16" t="n"/>
      <c r="L84" s="16" t="n"/>
      <c r="M84" s="18" t="n"/>
      <c r="N84" s="18" t="n"/>
      <c r="O84" s="18" t="n"/>
      <c r="P84" s="18" t="n"/>
      <c r="Q84" s="18" t="n"/>
      <c r="R84" s="14" t="n"/>
      <c r="S84" s="24" t="n"/>
      <c r="T84" s="22" t="n"/>
    </row>
    <row r="85">
      <c r="A85" s="18" t="n"/>
      <c r="B85" s="18" t="n"/>
      <c r="C85" s="18" t="n"/>
      <c r="D85" s="18" t="n"/>
      <c r="E85" s="23" t="n"/>
      <c r="F85" s="23" t="n"/>
      <c r="G85" s="23" t="n"/>
      <c r="H85" s="23" t="n"/>
      <c r="I85" s="15" t="n"/>
      <c r="J85" s="16" t="n"/>
      <c r="K85" s="16" t="n"/>
      <c r="L85" s="16" t="n"/>
      <c r="M85" s="18" t="n"/>
      <c r="N85" s="18" t="n"/>
      <c r="O85" s="18" t="n"/>
      <c r="P85" s="18" t="n"/>
      <c r="Q85" s="18" t="n"/>
      <c r="R85" s="14" t="n"/>
      <c r="S85" s="24" t="n"/>
      <c r="T85" s="22" t="n"/>
    </row>
    <row r="86">
      <c r="A86" s="18" t="n"/>
      <c r="B86" s="18" t="n"/>
      <c r="C86" s="18" t="n"/>
      <c r="D86" s="18" t="n"/>
      <c r="E86" s="23" t="n"/>
      <c r="F86" s="23" t="n"/>
      <c r="G86" s="23" t="n"/>
      <c r="H86" s="23" t="n"/>
      <c r="I86" s="15" t="n"/>
      <c r="J86" s="16" t="n"/>
      <c r="K86" s="16" t="n"/>
      <c r="L86" s="16" t="n"/>
      <c r="M86" s="18" t="n"/>
      <c r="N86" s="18" t="n"/>
      <c r="O86" s="18" t="n"/>
      <c r="P86" s="18" t="n"/>
      <c r="Q86" s="18" t="n"/>
      <c r="R86" s="14" t="n"/>
      <c r="S86" s="24" t="n"/>
      <c r="T86" s="22" t="n"/>
    </row>
    <row r="87">
      <c r="A87" s="18" t="n"/>
      <c r="B87" s="18" t="n"/>
      <c r="C87" s="18" t="n"/>
      <c r="D87" s="18" t="n"/>
      <c r="E87" s="23" t="n"/>
      <c r="F87" s="23" t="n"/>
      <c r="G87" s="23" t="n"/>
      <c r="H87" s="23" t="n"/>
      <c r="I87" s="15" t="n"/>
      <c r="J87" s="16" t="n"/>
      <c r="K87" s="16" t="n"/>
      <c r="L87" s="16" t="n"/>
      <c r="M87" s="18" t="n"/>
      <c r="N87" s="18" t="n"/>
      <c r="O87" s="18" t="n"/>
      <c r="P87" s="18" t="n"/>
      <c r="Q87" s="18" t="n"/>
      <c r="R87" s="14" t="n"/>
      <c r="S87" s="24" t="n"/>
      <c r="T87" s="22" t="n"/>
    </row>
    <row r="88">
      <c r="A88" s="18" t="n"/>
      <c r="B88" s="18" t="n"/>
      <c r="C88" s="18" t="n"/>
      <c r="D88" s="18" t="n"/>
      <c r="E88" s="23" t="n"/>
      <c r="F88" s="23" t="n"/>
      <c r="G88" s="23" t="n"/>
      <c r="H88" s="23" t="n"/>
      <c r="I88" s="15" t="n"/>
      <c r="J88" s="16" t="n"/>
      <c r="K88" s="16" t="n"/>
      <c r="L88" s="16" t="n"/>
      <c r="M88" s="18" t="n"/>
      <c r="N88" s="18" t="n"/>
      <c r="O88" s="18" t="n"/>
      <c r="P88" s="18" t="n"/>
      <c r="Q88" s="18" t="n"/>
      <c r="R88" s="14" t="n"/>
      <c r="S88" s="24" t="n"/>
      <c r="T88" s="22" t="n"/>
    </row>
    <row r="89">
      <c r="A89" s="18" t="n"/>
      <c r="B89" s="18" t="n"/>
      <c r="C89" s="18" t="n"/>
      <c r="D89" s="18" t="n"/>
      <c r="E89" s="23" t="n"/>
      <c r="F89" s="23" t="n"/>
      <c r="G89" s="23" t="n"/>
      <c r="H89" s="23" t="n"/>
      <c r="I89" s="15" t="n"/>
      <c r="J89" s="16" t="n"/>
      <c r="K89" s="16" t="n"/>
      <c r="L89" s="16" t="n"/>
      <c r="M89" s="18" t="n"/>
      <c r="N89" s="18" t="n"/>
      <c r="O89" s="18" t="n"/>
      <c r="P89" s="18" t="n"/>
      <c r="Q89" s="18" t="n"/>
      <c r="R89" s="14" t="n"/>
      <c r="S89" s="24" t="n"/>
      <c r="T89" s="22" t="n"/>
    </row>
    <row r="90">
      <c r="A90" s="18" t="n"/>
      <c r="B90" s="18" t="n"/>
      <c r="C90" s="18" t="n"/>
      <c r="D90" s="18" t="n"/>
      <c r="E90" s="23" t="n"/>
      <c r="F90" s="23" t="n"/>
      <c r="G90" s="23" t="n"/>
      <c r="H90" s="23" t="n"/>
      <c r="I90" s="15" t="n"/>
      <c r="J90" s="16" t="n"/>
      <c r="K90" s="16" t="n"/>
      <c r="L90" s="16" t="n"/>
      <c r="M90" s="18" t="n"/>
      <c r="N90" s="18" t="n"/>
      <c r="O90" s="18" t="n"/>
      <c r="P90" s="18" t="n"/>
      <c r="Q90" s="18" t="n"/>
      <c r="R90" s="14" t="n"/>
      <c r="S90" s="24" t="n"/>
      <c r="T90" s="22" t="n"/>
    </row>
    <row r="91">
      <c r="A91" s="18" t="n"/>
      <c r="B91" s="18" t="n"/>
      <c r="C91" s="18" t="n"/>
      <c r="D91" s="18" t="n"/>
      <c r="E91" s="23" t="n"/>
      <c r="F91" s="23" t="n"/>
      <c r="G91" s="23" t="n"/>
      <c r="H91" s="23" t="n"/>
      <c r="I91" s="15" t="n"/>
      <c r="J91" s="16" t="n"/>
      <c r="K91" s="16" t="n"/>
      <c r="L91" s="16" t="n"/>
      <c r="M91" s="18" t="n"/>
      <c r="N91" s="18" t="n"/>
      <c r="O91" s="18" t="n"/>
      <c r="P91" s="18" t="n"/>
      <c r="Q91" s="18" t="n"/>
      <c r="R91" s="14" t="n"/>
      <c r="S91" s="24" t="n"/>
      <c r="T91" s="22" t="n"/>
    </row>
    <row r="92">
      <c r="A92" s="18" t="n"/>
      <c r="B92" s="18" t="n"/>
      <c r="C92" s="18" t="n"/>
      <c r="D92" s="18" t="n"/>
      <c r="E92" s="23" t="n"/>
      <c r="F92" s="23" t="n"/>
      <c r="G92" s="23" t="n"/>
      <c r="H92" s="23" t="n"/>
      <c r="I92" s="15" t="n"/>
      <c r="J92" s="16" t="n"/>
      <c r="K92" s="16" t="n"/>
      <c r="L92" s="16" t="n"/>
      <c r="M92" s="18" t="n"/>
      <c r="N92" s="18" t="n"/>
      <c r="O92" s="18" t="n"/>
      <c r="P92" s="18" t="n"/>
      <c r="Q92" s="18" t="n"/>
      <c r="R92" s="14" t="n"/>
      <c r="S92" s="24" t="n"/>
      <c r="T92" s="22" t="n"/>
    </row>
    <row r="93">
      <c r="A93" s="18" t="n"/>
      <c r="B93" s="18" t="n"/>
      <c r="C93" s="18" t="n"/>
      <c r="D93" s="18" t="n"/>
      <c r="E93" s="23" t="n"/>
      <c r="F93" s="23" t="n"/>
      <c r="G93" s="23" t="n"/>
      <c r="H93" s="23" t="n"/>
      <c r="I93" s="15" t="n"/>
      <c r="J93" s="16" t="n"/>
      <c r="K93" s="16" t="n"/>
      <c r="L93" s="16" t="n"/>
      <c r="M93" s="18" t="n"/>
      <c r="N93" s="18" t="n"/>
      <c r="O93" s="18" t="n"/>
      <c r="P93" s="18" t="n"/>
      <c r="Q93" s="18" t="n"/>
      <c r="R93" s="14" t="n"/>
      <c r="S93" s="24" t="n"/>
      <c r="T93" s="22" t="n"/>
    </row>
    <row r="94">
      <c r="A94" s="18" t="n"/>
      <c r="B94" s="18" t="n"/>
      <c r="C94" s="18" t="n"/>
      <c r="D94" s="18" t="n"/>
      <c r="E94" s="23" t="n"/>
      <c r="F94" s="23" t="n"/>
      <c r="G94" s="23" t="n"/>
      <c r="H94" s="23" t="n"/>
      <c r="I94" s="15" t="n"/>
      <c r="J94" s="16" t="n"/>
      <c r="K94" s="16" t="n"/>
      <c r="L94" s="16" t="n"/>
      <c r="M94" s="18" t="n"/>
      <c r="N94" s="18" t="n"/>
      <c r="O94" s="18" t="n"/>
      <c r="P94" s="18" t="n"/>
      <c r="Q94" s="18" t="n"/>
      <c r="R94" s="14" t="n"/>
      <c r="S94" s="24" t="n"/>
      <c r="T94" s="22" t="n"/>
    </row>
    <row r="95">
      <c r="A95" s="18" t="n"/>
      <c r="B95" s="18" t="n"/>
      <c r="C95" s="18" t="n"/>
      <c r="D95" s="18" t="n"/>
      <c r="E95" s="23" t="n"/>
      <c r="F95" s="23" t="n"/>
      <c r="G95" s="23" t="n"/>
      <c r="H95" s="23" t="n"/>
      <c r="I95" s="15" t="n"/>
      <c r="J95" s="16" t="n"/>
      <c r="K95" s="16" t="n"/>
      <c r="L95" s="16" t="n"/>
      <c r="M95" s="18" t="n"/>
      <c r="N95" s="18" t="n"/>
      <c r="O95" s="18" t="n"/>
      <c r="P95" s="18" t="n"/>
      <c r="Q95" s="18" t="n"/>
      <c r="R95" s="14" t="n"/>
      <c r="S95" s="24" t="n"/>
      <c r="T95" s="22" t="n"/>
    </row>
    <row r="96">
      <c r="A96" s="18" t="n"/>
      <c r="B96" s="18" t="n"/>
      <c r="C96" s="18" t="n"/>
      <c r="D96" s="18" t="n"/>
      <c r="E96" s="23" t="n"/>
      <c r="F96" s="23" t="n"/>
      <c r="G96" s="23" t="n"/>
      <c r="H96" s="23" t="n"/>
      <c r="I96" s="15" t="n"/>
      <c r="J96" s="16" t="n"/>
      <c r="K96" s="16" t="n"/>
      <c r="L96" s="16" t="n"/>
      <c r="M96" s="18" t="n"/>
      <c r="N96" s="18" t="n"/>
      <c r="O96" s="18" t="n"/>
      <c r="P96" s="18" t="n"/>
      <c r="Q96" s="18" t="n"/>
      <c r="R96" s="14" t="n"/>
      <c r="S96" s="24" t="n"/>
      <c r="T96" s="22" t="n"/>
    </row>
    <row r="97">
      <c r="A97" s="18" t="n"/>
      <c r="B97" s="18" t="n"/>
      <c r="C97" s="18" t="n"/>
      <c r="D97" s="18" t="n"/>
      <c r="E97" s="23" t="n"/>
      <c r="F97" s="23" t="n"/>
      <c r="G97" s="23" t="n"/>
      <c r="H97" s="23" t="n"/>
      <c r="I97" s="15" t="n"/>
      <c r="J97" s="16" t="n"/>
      <c r="K97" s="16" t="n"/>
      <c r="L97" s="16" t="n"/>
      <c r="M97" s="18" t="n"/>
      <c r="N97" s="18" t="n"/>
      <c r="O97" s="18" t="n"/>
      <c r="P97" s="18" t="n"/>
      <c r="Q97" s="18" t="n"/>
      <c r="R97" s="14" t="n"/>
      <c r="S97" s="24" t="n"/>
      <c r="T97" s="22" t="n"/>
    </row>
    <row r="98">
      <c r="A98" s="18" t="n"/>
      <c r="B98" s="18" t="n"/>
      <c r="C98" s="18" t="n"/>
      <c r="D98" s="18" t="n"/>
      <c r="E98" s="23" t="n"/>
      <c r="F98" s="23" t="n"/>
      <c r="G98" s="23" t="n"/>
      <c r="H98" s="23" t="n"/>
      <c r="I98" s="15" t="n"/>
      <c r="J98" s="16" t="n"/>
      <c r="K98" s="16" t="n"/>
      <c r="L98" s="16" t="n"/>
      <c r="M98" s="18" t="n"/>
      <c r="N98" s="18" t="n"/>
      <c r="O98" s="18" t="n"/>
      <c r="P98" s="18" t="n"/>
      <c r="Q98" s="18" t="n"/>
      <c r="R98" s="14" t="n"/>
      <c r="S98" s="24" t="n"/>
      <c r="T98" s="22" t="n"/>
    </row>
    <row r="99">
      <c r="A99" s="18" t="n"/>
      <c r="B99" s="18" t="n"/>
      <c r="C99" s="18" t="n"/>
      <c r="D99" s="18" t="n"/>
      <c r="E99" s="23" t="n"/>
      <c r="F99" s="23" t="n"/>
      <c r="G99" s="23" t="n"/>
      <c r="H99" s="23" t="n"/>
      <c r="I99" s="15" t="n"/>
      <c r="J99" s="16" t="n"/>
      <c r="K99" s="16" t="n"/>
      <c r="L99" s="16" t="n"/>
      <c r="M99" s="18" t="n"/>
      <c r="N99" s="18" t="n"/>
      <c r="O99" s="18" t="n"/>
      <c r="P99" s="18" t="n"/>
      <c r="Q99" s="18" t="n"/>
      <c r="R99" s="14" t="n"/>
      <c r="S99" s="24" t="n"/>
      <c r="T99" s="22" t="n"/>
    </row>
    <row r="100">
      <c r="A100" s="18" t="n"/>
      <c r="B100" s="18" t="n"/>
      <c r="C100" s="18" t="n"/>
      <c r="D100" s="18" t="n"/>
      <c r="E100" s="23" t="n"/>
      <c r="F100" s="23" t="n"/>
      <c r="G100" s="23" t="n"/>
      <c r="H100" s="23" t="n"/>
      <c r="I100" s="15" t="n"/>
      <c r="J100" s="16" t="n"/>
      <c r="K100" s="16" t="n"/>
      <c r="L100" s="16" t="n"/>
      <c r="M100" s="18" t="n"/>
      <c r="N100" s="18" t="n"/>
      <c r="O100" s="18" t="n"/>
      <c r="P100" s="18" t="n"/>
      <c r="Q100" s="18" t="n"/>
      <c r="R100" s="14" t="n"/>
      <c r="S100" s="24" t="n"/>
      <c r="T100" s="22" t="n"/>
    </row>
    <row r="101">
      <c r="A101" s="18" t="n"/>
      <c r="B101" s="18" t="n"/>
      <c r="C101" s="18" t="n"/>
      <c r="D101" s="18" t="n"/>
      <c r="E101" s="23" t="n"/>
      <c r="F101" s="23" t="n"/>
      <c r="G101" s="23" t="n"/>
      <c r="H101" s="23" t="n"/>
      <c r="I101" s="15" t="n"/>
      <c r="J101" s="16" t="n"/>
      <c r="K101" s="16" t="n"/>
      <c r="L101" s="16" t="n"/>
      <c r="M101" s="18" t="n"/>
      <c r="N101" s="18" t="n"/>
      <c r="O101" s="18" t="n"/>
      <c r="P101" s="18" t="n"/>
      <c r="Q101" s="18" t="n"/>
      <c r="R101" s="14" t="n"/>
      <c r="S101" s="24" t="n"/>
      <c r="T101" s="22" t="n"/>
    </row>
    <row r="102">
      <c r="A102" s="18" t="n"/>
      <c r="B102" s="18" t="n"/>
      <c r="C102" s="18" t="n"/>
      <c r="D102" s="18" t="n"/>
      <c r="E102" s="23" t="n"/>
      <c r="F102" s="23" t="n"/>
      <c r="G102" s="23" t="n"/>
      <c r="H102" s="23" t="n"/>
      <c r="I102" s="15" t="n"/>
      <c r="J102" s="16" t="n"/>
      <c r="K102" s="16" t="n"/>
      <c r="L102" s="16" t="n"/>
      <c r="M102" s="18" t="n"/>
      <c r="N102" s="18" t="n"/>
      <c r="O102" s="18" t="n"/>
      <c r="P102" s="18" t="n"/>
      <c r="Q102" s="18" t="n"/>
      <c r="R102" s="14" t="n"/>
      <c r="S102" s="24" t="n"/>
      <c r="T102" s="22" t="n"/>
    </row>
    <row r="103">
      <c r="A103" s="18" t="n"/>
      <c r="B103" s="18" t="n"/>
      <c r="C103" s="18" t="n"/>
      <c r="D103" s="18" t="n"/>
      <c r="E103" s="23" t="n"/>
      <c r="F103" s="23" t="n"/>
      <c r="G103" s="23" t="n"/>
      <c r="H103" s="23" t="n"/>
      <c r="I103" s="15" t="n"/>
      <c r="J103" s="16" t="n"/>
      <c r="K103" s="16" t="n"/>
      <c r="L103" s="16" t="n"/>
      <c r="M103" s="18" t="n"/>
      <c r="N103" s="18" t="n"/>
      <c r="O103" s="18" t="n"/>
      <c r="P103" s="18" t="n"/>
      <c r="Q103" s="18" t="n"/>
      <c r="R103" s="14" t="n"/>
      <c r="S103" s="24" t="n"/>
      <c r="T103" s="22" t="n"/>
    </row>
    <row r="104">
      <c r="A104" s="18" t="n"/>
      <c r="B104" s="18" t="n"/>
      <c r="C104" s="18" t="n"/>
      <c r="D104" s="18" t="n"/>
      <c r="E104" s="23" t="n"/>
      <c r="F104" s="23" t="n"/>
      <c r="G104" s="23" t="n"/>
      <c r="H104" s="23" t="n"/>
      <c r="I104" s="15" t="n"/>
      <c r="J104" s="16" t="n"/>
      <c r="K104" s="16" t="n"/>
      <c r="L104" s="16" t="n"/>
      <c r="M104" s="18" t="n"/>
      <c r="N104" s="18" t="n"/>
      <c r="O104" s="18" t="n"/>
      <c r="P104" s="18" t="n"/>
      <c r="Q104" s="18" t="n"/>
      <c r="R104" s="14" t="n"/>
      <c r="S104" s="24" t="n"/>
      <c r="T104" s="22" t="n"/>
    </row>
    <row r="105">
      <c r="A105" s="18" t="n"/>
      <c r="B105" s="18" t="n"/>
      <c r="C105" s="18" t="n"/>
      <c r="D105" s="18" t="n"/>
      <c r="E105" s="23" t="n"/>
      <c r="F105" s="23" t="n"/>
      <c r="G105" s="23" t="n"/>
      <c r="H105" s="23" t="n"/>
      <c r="I105" s="15" t="n"/>
      <c r="J105" s="16" t="n"/>
      <c r="K105" s="16" t="n"/>
      <c r="L105" s="16" t="n"/>
      <c r="M105" s="18" t="n"/>
      <c r="N105" s="18" t="n"/>
      <c r="O105" s="18" t="n"/>
      <c r="P105" s="18" t="n"/>
      <c r="Q105" s="18" t="n"/>
      <c r="R105" s="14" t="n"/>
      <c r="S105" s="24" t="n"/>
      <c r="T105" s="22" t="n"/>
    </row>
    <row r="106">
      <c r="A106" s="18" t="n"/>
      <c r="B106" s="18" t="n"/>
      <c r="C106" s="18" t="n"/>
      <c r="D106" s="18" t="n"/>
      <c r="E106" s="23" t="n"/>
      <c r="F106" s="23" t="n"/>
      <c r="G106" s="23" t="n"/>
      <c r="H106" s="23" t="n"/>
      <c r="I106" s="15" t="n"/>
      <c r="J106" s="16" t="n"/>
      <c r="K106" s="16" t="n"/>
      <c r="L106" s="16" t="n"/>
      <c r="M106" s="18" t="n"/>
      <c r="N106" s="18" t="n"/>
      <c r="O106" s="18" t="n"/>
      <c r="P106" s="18" t="n"/>
      <c r="Q106" s="18" t="n"/>
      <c r="R106" s="14" t="n"/>
      <c r="S106" s="24" t="n"/>
      <c r="T106" s="22" t="n"/>
    </row>
    <row r="107">
      <c r="A107" s="18" t="n"/>
      <c r="B107" s="18" t="n"/>
      <c r="C107" s="18" t="n"/>
      <c r="D107" s="18" t="n"/>
      <c r="E107" s="23" t="n"/>
      <c r="F107" s="23" t="n"/>
      <c r="G107" s="23" t="n"/>
      <c r="H107" s="23" t="n"/>
      <c r="I107" s="15" t="n"/>
      <c r="J107" s="16" t="n"/>
      <c r="K107" s="16" t="n"/>
      <c r="L107" s="16" t="n"/>
      <c r="M107" s="18" t="n"/>
      <c r="N107" s="18" t="n"/>
      <c r="O107" s="18" t="n"/>
      <c r="P107" s="18" t="n"/>
      <c r="Q107" s="18" t="n"/>
      <c r="R107" s="14" t="n"/>
      <c r="S107" s="24" t="n"/>
      <c r="T107" s="22" t="n"/>
    </row>
    <row r="108">
      <c r="A108" s="18" t="n"/>
      <c r="B108" s="18" t="n"/>
      <c r="C108" s="18" t="n"/>
      <c r="D108" s="18" t="n"/>
      <c r="E108" s="23" t="n"/>
      <c r="F108" s="23" t="n"/>
      <c r="G108" s="23" t="n"/>
      <c r="H108" s="23" t="n"/>
      <c r="I108" s="15" t="n"/>
      <c r="J108" s="16" t="n"/>
      <c r="K108" s="16" t="n"/>
      <c r="L108" s="16" t="n"/>
      <c r="M108" s="18" t="n"/>
      <c r="N108" s="18" t="n"/>
      <c r="O108" s="18" t="n"/>
      <c r="P108" s="18" t="n"/>
      <c r="Q108" s="18" t="n"/>
      <c r="R108" s="14" t="n"/>
      <c r="S108" s="24" t="n"/>
      <c r="T108" s="22" t="n"/>
    </row>
    <row r="109">
      <c r="A109" s="18" t="n"/>
      <c r="B109" s="18" t="n"/>
      <c r="C109" s="18" t="n"/>
      <c r="D109" s="18" t="n"/>
      <c r="E109" s="23" t="n"/>
      <c r="F109" s="23" t="n"/>
      <c r="G109" s="23" t="n"/>
      <c r="H109" s="23" t="n"/>
      <c r="I109" s="15" t="n"/>
      <c r="J109" s="16" t="n"/>
      <c r="K109" s="16" t="n"/>
      <c r="L109" s="16" t="n"/>
      <c r="M109" s="18" t="n"/>
      <c r="N109" s="18" t="n"/>
      <c r="O109" s="18" t="n"/>
      <c r="P109" s="18" t="n"/>
      <c r="Q109" s="18" t="n"/>
      <c r="R109" s="14" t="n"/>
      <c r="S109" s="24" t="n"/>
      <c r="T109" s="22" t="n"/>
    </row>
    <row r="110">
      <c r="A110" s="18" t="n"/>
      <c r="B110" s="18" t="n"/>
      <c r="C110" s="18" t="n"/>
      <c r="D110" s="18" t="n"/>
      <c r="E110" s="23" t="n"/>
      <c r="F110" s="23" t="n"/>
      <c r="G110" s="23" t="n"/>
      <c r="H110" s="23" t="n"/>
      <c r="I110" s="15" t="n"/>
      <c r="J110" s="16" t="n"/>
      <c r="K110" s="16" t="n"/>
      <c r="L110" s="16" t="n"/>
      <c r="M110" s="18" t="n"/>
      <c r="N110" s="18" t="n"/>
      <c r="O110" s="18" t="n"/>
      <c r="P110" s="18" t="n"/>
      <c r="Q110" s="18" t="n"/>
      <c r="R110" s="14" t="n"/>
      <c r="S110" s="24" t="n"/>
      <c r="T110" s="22" t="n"/>
    </row>
    <row r="111">
      <c r="A111" s="18" t="n"/>
      <c r="B111" s="18" t="n"/>
      <c r="C111" s="18" t="n"/>
      <c r="D111" s="18" t="n"/>
      <c r="E111" s="23" t="n"/>
      <c r="F111" s="23" t="n"/>
      <c r="G111" s="23" t="n"/>
      <c r="H111" s="23" t="n"/>
      <c r="I111" s="15" t="n"/>
      <c r="J111" s="16" t="n"/>
      <c r="K111" s="16" t="n"/>
      <c r="L111" s="16" t="n"/>
      <c r="M111" s="18" t="n"/>
      <c r="N111" s="18" t="n"/>
      <c r="O111" s="18" t="n"/>
      <c r="P111" s="18" t="n"/>
      <c r="Q111" s="18" t="n"/>
      <c r="R111" s="14" t="n"/>
      <c r="S111" s="24" t="n"/>
      <c r="T111" s="22" t="n"/>
    </row>
    <row r="112">
      <c r="A112" s="18" t="n"/>
      <c r="B112" s="18" t="n"/>
      <c r="C112" s="18" t="n"/>
      <c r="D112" s="18" t="n"/>
      <c r="E112" s="23" t="n"/>
      <c r="F112" s="23" t="n"/>
      <c r="G112" s="23" t="n"/>
      <c r="H112" s="23" t="n"/>
      <c r="I112" s="15" t="n"/>
      <c r="J112" s="16" t="n"/>
      <c r="K112" s="16" t="n"/>
      <c r="L112" s="16" t="n"/>
      <c r="M112" s="18" t="n"/>
      <c r="N112" s="18" t="n"/>
      <c r="O112" s="18" t="n"/>
      <c r="P112" s="18" t="n"/>
      <c r="Q112" s="18" t="n"/>
      <c r="R112" s="14" t="n"/>
      <c r="S112" s="24" t="n"/>
      <c r="T112" s="22" t="n"/>
    </row>
    <row r="113">
      <c r="A113" s="18" t="n"/>
      <c r="B113" s="18" t="n"/>
      <c r="C113" s="18" t="n"/>
      <c r="D113" s="18" t="n"/>
      <c r="E113" s="23" t="n"/>
      <c r="F113" s="23" t="n"/>
      <c r="G113" s="23" t="n"/>
      <c r="H113" s="23" t="n"/>
      <c r="I113" s="15" t="n"/>
      <c r="J113" s="16" t="n"/>
      <c r="K113" s="16" t="n"/>
      <c r="L113" s="16" t="n"/>
      <c r="M113" s="18" t="n"/>
      <c r="N113" s="18" t="n"/>
      <c r="O113" s="18" t="n"/>
      <c r="P113" s="18" t="n"/>
      <c r="Q113" s="18" t="n"/>
      <c r="R113" s="14" t="n"/>
      <c r="S113" s="24" t="n"/>
      <c r="T113" s="22" t="n"/>
    </row>
    <row r="114">
      <c r="A114" s="18" t="n"/>
      <c r="B114" s="18" t="n"/>
      <c r="C114" s="18" t="n"/>
      <c r="D114" s="18" t="n"/>
      <c r="E114" s="23" t="n"/>
      <c r="F114" s="23" t="n"/>
      <c r="G114" s="23" t="n"/>
      <c r="H114" s="23" t="n"/>
      <c r="I114" s="15" t="n"/>
      <c r="J114" s="16" t="n"/>
      <c r="K114" s="16" t="n"/>
      <c r="L114" s="16" t="n"/>
      <c r="M114" s="18" t="n"/>
      <c r="N114" s="18" t="n"/>
      <c r="O114" s="18" t="n"/>
      <c r="P114" s="18" t="n"/>
      <c r="Q114" s="18" t="n"/>
      <c r="R114" s="14" t="n"/>
      <c r="S114" s="24" t="n"/>
      <c r="T114" s="22" t="n"/>
    </row>
    <row r="115">
      <c r="A115" s="18" t="n"/>
      <c r="B115" s="18" t="n"/>
      <c r="C115" s="18" t="n"/>
      <c r="D115" s="18" t="n"/>
      <c r="E115" s="23" t="n"/>
      <c r="F115" s="23" t="n"/>
      <c r="G115" s="23" t="n"/>
      <c r="H115" s="23" t="n"/>
      <c r="I115" s="15" t="n"/>
      <c r="J115" s="16" t="n"/>
      <c r="K115" s="16" t="n"/>
      <c r="L115" s="16" t="n"/>
      <c r="M115" s="18" t="n"/>
      <c r="N115" s="18" t="n"/>
      <c r="O115" s="18" t="n"/>
      <c r="P115" s="18" t="n"/>
      <c r="Q115" s="18" t="n"/>
      <c r="R115" s="14" t="n"/>
      <c r="S115" s="24" t="n"/>
      <c r="T115" s="22" t="n"/>
    </row>
    <row r="116">
      <c r="A116" s="18" t="n"/>
      <c r="B116" s="18" t="n"/>
      <c r="C116" s="18" t="n"/>
      <c r="D116" s="18" t="n"/>
      <c r="E116" s="23" t="n"/>
      <c r="F116" s="23" t="n"/>
      <c r="G116" s="23" t="n"/>
      <c r="H116" s="23" t="n"/>
      <c r="I116" s="15" t="n"/>
      <c r="J116" s="16" t="n"/>
      <c r="K116" s="16" t="n"/>
      <c r="L116" s="16" t="n"/>
      <c r="M116" s="18" t="n"/>
      <c r="N116" s="18" t="n"/>
      <c r="O116" s="18" t="n"/>
      <c r="P116" s="18" t="n"/>
      <c r="Q116" s="18" t="n"/>
      <c r="R116" s="14" t="n"/>
      <c r="S116" s="24" t="n"/>
      <c r="T116" s="22" t="n"/>
    </row>
    <row r="117">
      <c r="A117" s="18" t="n"/>
      <c r="B117" s="18" t="n"/>
      <c r="C117" s="18" t="n"/>
      <c r="D117" s="18" t="n"/>
      <c r="E117" s="23" t="n"/>
      <c r="F117" s="23" t="n"/>
      <c r="G117" s="23" t="n"/>
      <c r="H117" s="23" t="n"/>
      <c r="I117" s="15" t="n"/>
      <c r="J117" s="16" t="n"/>
      <c r="K117" s="16" t="n"/>
      <c r="L117" s="16" t="n"/>
      <c r="M117" s="18" t="n"/>
      <c r="N117" s="18" t="n"/>
      <c r="O117" s="18" t="n"/>
      <c r="P117" s="18" t="n"/>
      <c r="Q117" s="18" t="n"/>
      <c r="R117" s="14" t="n"/>
      <c r="S117" s="24" t="n"/>
      <c r="T117" s="22" t="n"/>
    </row>
    <row r="118">
      <c r="A118" s="18" t="n"/>
      <c r="B118" s="18" t="n"/>
      <c r="C118" s="18" t="n"/>
      <c r="D118" s="18" t="n"/>
      <c r="E118" s="23" t="n"/>
      <c r="F118" s="23" t="n"/>
      <c r="G118" s="23" t="n"/>
      <c r="H118" s="23" t="n"/>
      <c r="I118" s="15" t="n"/>
      <c r="J118" s="16" t="n"/>
      <c r="K118" s="16" t="n"/>
      <c r="L118" s="16" t="n"/>
      <c r="M118" s="18" t="n"/>
      <c r="N118" s="18" t="n"/>
      <c r="O118" s="18" t="n"/>
      <c r="P118" s="18" t="n"/>
      <c r="Q118" s="18" t="n"/>
      <c r="R118" s="14" t="n"/>
      <c r="S118" s="24" t="n"/>
      <c r="T118" s="22" t="n"/>
    </row>
    <row r="119">
      <c r="A119" s="18" t="n"/>
      <c r="B119" s="18" t="n"/>
      <c r="C119" s="18" t="n"/>
      <c r="D119" s="18" t="n"/>
      <c r="E119" s="23" t="n"/>
      <c r="F119" s="23" t="n"/>
      <c r="G119" s="23" t="n"/>
      <c r="H119" s="23" t="n"/>
      <c r="I119" s="15" t="n"/>
      <c r="J119" s="16" t="n"/>
      <c r="K119" s="16" t="n"/>
      <c r="L119" s="16" t="n"/>
      <c r="M119" s="18" t="n"/>
      <c r="N119" s="18" t="n"/>
      <c r="O119" s="18" t="n"/>
      <c r="P119" s="18" t="n"/>
      <c r="Q119" s="18" t="n"/>
      <c r="R119" s="14" t="n"/>
      <c r="S119" s="24" t="n"/>
      <c r="T119" s="22" t="n"/>
    </row>
    <row r="120">
      <c r="A120" s="18" t="n"/>
      <c r="B120" s="18" t="n"/>
      <c r="C120" s="18" t="n"/>
      <c r="D120" s="18" t="n"/>
      <c r="E120" s="23" t="n"/>
      <c r="F120" s="23" t="n"/>
      <c r="G120" s="23" t="n"/>
      <c r="H120" s="23" t="n"/>
      <c r="I120" s="15" t="n"/>
      <c r="J120" s="16" t="n"/>
      <c r="K120" s="16" t="n"/>
      <c r="L120" s="16" t="n"/>
      <c r="M120" s="18" t="n"/>
      <c r="N120" s="18" t="n"/>
      <c r="O120" s="18" t="n"/>
      <c r="P120" s="18" t="n"/>
      <c r="Q120" s="18" t="n"/>
      <c r="R120" s="14" t="n"/>
      <c r="S120" s="24" t="n"/>
      <c r="T120" s="22" t="n"/>
    </row>
    <row r="121">
      <c r="A121" s="18" t="n"/>
      <c r="B121" s="18" t="n"/>
      <c r="C121" s="18" t="n"/>
      <c r="D121" s="18" t="n"/>
      <c r="E121" s="23" t="n"/>
      <c r="F121" s="23" t="n"/>
      <c r="G121" s="23" t="n"/>
      <c r="H121" s="23" t="n"/>
      <c r="I121" s="15" t="n"/>
      <c r="J121" s="16" t="n"/>
      <c r="K121" s="16" t="n"/>
      <c r="L121" s="16" t="n"/>
      <c r="M121" s="18" t="n"/>
      <c r="N121" s="18" t="n"/>
      <c r="O121" s="18" t="n"/>
      <c r="P121" s="18" t="n"/>
      <c r="Q121" s="18" t="n"/>
      <c r="R121" s="14" t="n"/>
      <c r="S121" s="24" t="n"/>
      <c r="T121" s="22" t="n"/>
    </row>
    <row r="122">
      <c r="A122" s="18" t="n"/>
      <c r="B122" s="18" t="n"/>
      <c r="C122" s="18" t="n"/>
      <c r="D122" s="18" t="n"/>
      <c r="E122" s="23" t="n"/>
      <c r="F122" s="23" t="n"/>
      <c r="G122" s="23" t="n"/>
      <c r="H122" s="23" t="n"/>
      <c r="I122" s="15" t="n"/>
      <c r="J122" s="16" t="n"/>
      <c r="K122" s="16" t="n"/>
      <c r="L122" s="16" t="n"/>
      <c r="M122" s="18" t="n"/>
      <c r="N122" s="18" t="n"/>
      <c r="O122" s="18" t="n"/>
      <c r="P122" s="18" t="n"/>
      <c r="Q122" s="18" t="n"/>
      <c r="R122" s="14" t="n"/>
      <c r="S122" s="24" t="n"/>
      <c r="T122" s="22" t="n"/>
    </row>
    <row r="123">
      <c r="A123" s="18" t="n"/>
      <c r="B123" s="18" t="n"/>
      <c r="C123" s="18" t="n"/>
      <c r="D123" s="18" t="n"/>
      <c r="E123" s="23" t="n"/>
      <c r="F123" s="23" t="n"/>
      <c r="G123" s="23" t="n"/>
      <c r="H123" s="23" t="n"/>
      <c r="I123" s="15" t="n"/>
      <c r="J123" s="16" t="n"/>
      <c r="K123" s="16" t="n"/>
      <c r="L123" s="16" t="n"/>
      <c r="M123" s="18" t="n"/>
      <c r="N123" s="18" t="n"/>
      <c r="O123" s="18" t="n"/>
      <c r="P123" s="18" t="n"/>
      <c r="Q123" s="18" t="n"/>
      <c r="R123" s="14" t="n"/>
      <c r="S123" s="24" t="n"/>
      <c r="T123" s="22" t="n"/>
    </row>
    <row r="124">
      <c r="A124" s="18" t="n"/>
      <c r="B124" s="18" t="n"/>
      <c r="C124" s="18" t="n"/>
      <c r="D124" s="18" t="n"/>
      <c r="E124" s="23" t="n"/>
      <c r="F124" s="23" t="n"/>
      <c r="G124" s="23" t="n"/>
      <c r="H124" s="23" t="n"/>
      <c r="I124" s="15" t="n"/>
      <c r="J124" s="16" t="n"/>
      <c r="K124" s="16" t="n"/>
      <c r="L124" s="16" t="n"/>
      <c r="M124" s="18" t="n"/>
      <c r="N124" s="18" t="n"/>
      <c r="O124" s="18" t="n"/>
      <c r="P124" s="18" t="n"/>
      <c r="Q124" s="18" t="n"/>
      <c r="R124" s="14" t="n"/>
      <c r="S124" s="24" t="n"/>
      <c r="T124" s="22" t="n"/>
    </row>
    <row r="125">
      <c r="A125" s="18" t="n"/>
      <c r="B125" s="18" t="n"/>
      <c r="C125" s="18" t="n"/>
      <c r="D125" s="18" t="n"/>
      <c r="E125" s="23" t="n"/>
      <c r="F125" s="23" t="n"/>
      <c r="G125" s="23" t="n"/>
      <c r="H125" s="23" t="n"/>
      <c r="I125" s="15" t="n"/>
      <c r="J125" s="16" t="n"/>
      <c r="K125" s="16" t="n"/>
      <c r="L125" s="16" t="n"/>
      <c r="M125" s="18" t="n"/>
      <c r="N125" s="18" t="n"/>
      <c r="O125" s="18" t="n"/>
      <c r="P125" s="18" t="n"/>
      <c r="Q125" s="18" t="n"/>
      <c r="R125" s="14" t="n"/>
      <c r="S125" s="24" t="n"/>
      <c r="T125" s="22" t="n"/>
    </row>
    <row r="126">
      <c r="A126" s="18" t="n"/>
      <c r="B126" s="18" t="n"/>
      <c r="C126" s="18" t="n"/>
      <c r="D126" s="18" t="n"/>
      <c r="E126" s="23" t="n"/>
      <c r="F126" s="23" t="n"/>
      <c r="G126" s="23" t="n"/>
      <c r="H126" s="23" t="n"/>
      <c r="I126" s="15" t="n"/>
      <c r="J126" s="16" t="n"/>
      <c r="K126" s="16" t="n"/>
      <c r="L126" s="16" t="n"/>
      <c r="M126" s="18" t="n"/>
      <c r="N126" s="18" t="n"/>
      <c r="O126" s="18" t="n"/>
      <c r="P126" s="18" t="n"/>
      <c r="Q126" s="18" t="n"/>
      <c r="R126" s="14" t="n"/>
      <c r="S126" s="24" t="n"/>
      <c r="T126" s="22" t="n"/>
    </row>
    <row r="127">
      <c r="A127" s="18" t="n"/>
      <c r="B127" s="18" t="n"/>
      <c r="C127" s="18" t="n"/>
      <c r="D127" s="18" t="n"/>
      <c r="E127" s="23" t="n"/>
      <c r="F127" s="23" t="n"/>
      <c r="G127" s="23" t="n"/>
      <c r="H127" s="23" t="n"/>
      <c r="I127" s="15" t="n"/>
      <c r="J127" s="16" t="n"/>
      <c r="K127" s="16" t="n"/>
      <c r="L127" s="16" t="n"/>
      <c r="M127" s="18" t="n"/>
      <c r="N127" s="18" t="n"/>
      <c r="O127" s="18" t="n"/>
      <c r="P127" s="18" t="n"/>
      <c r="Q127" s="18" t="n"/>
      <c r="R127" s="14" t="n"/>
      <c r="S127" s="24" t="n"/>
      <c r="T127" s="22" t="n"/>
    </row>
    <row r="128">
      <c r="A128" s="18" t="n"/>
      <c r="B128" s="18" t="n"/>
      <c r="C128" s="18" t="n"/>
      <c r="D128" s="18" t="n"/>
      <c r="E128" s="23" t="n"/>
      <c r="F128" s="23" t="n"/>
      <c r="G128" s="23" t="n"/>
      <c r="H128" s="23" t="n"/>
      <c r="I128" s="15" t="n"/>
      <c r="J128" s="16" t="n"/>
      <c r="K128" s="16" t="n"/>
      <c r="L128" s="16" t="n"/>
      <c r="M128" s="18" t="n"/>
      <c r="N128" s="18" t="n"/>
      <c r="O128" s="18" t="n"/>
      <c r="P128" s="18" t="n"/>
      <c r="Q128" s="18" t="n"/>
      <c r="R128" s="14" t="n"/>
      <c r="S128" s="24" t="n"/>
      <c r="T128" s="22" t="n"/>
    </row>
    <row r="129">
      <c r="A129" s="18" t="n"/>
      <c r="B129" s="18" t="n"/>
      <c r="C129" s="18" t="n"/>
      <c r="D129" s="18" t="n"/>
      <c r="E129" s="23" t="n"/>
      <c r="F129" s="23" t="n"/>
      <c r="G129" s="23" t="n"/>
      <c r="H129" s="23" t="n"/>
      <c r="I129" s="15" t="n"/>
      <c r="J129" s="16" t="n"/>
      <c r="K129" s="16" t="n"/>
      <c r="L129" s="16" t="n"/>
      <c r="M129" s="18" t="n"/>
      <c r="N129" s="18" t="n"/>
      <c r="O129" s="18" t="n"/>
      <c r="P129" s="18" t="n"/>
      <c r="Q129" s="18" t="n"/>
      <c r="R129" s="14" t="n"/>
      <c r="S129" s="24" t="n"/>
      <c r="T129" s="22" t="n"/>
    </row>
    <row r="130">
      <c r="A130" s="18" t="n"/>
      <c r="B130" s="18" t="n"/>
      <c r="C130" s="18" t="n"/>
      <c r="D130" s="18" t="n"/>
      <c r="E130" s="23" t="n"/>
      <c r="F130" s="23" t="n"/>
      <c r="G130" s="23" t="n"/>
      <c r="H130" s="23" t="n"/>
      <c r="I130" s="15" t="n"/>
      <c r="J130" s="16" t="n"/>
      <c r="K130" s="16" t="n"/>
      <c r="L130" s="16" t="n"/>
      <c r="M130" s="18" t="n"/>
      <c r="N130" s="18" t="n"/>
      <c r="O130" s="18" t="n"/>
      <c r="P130" s="18" t="n"/>
      <c r="Q130" s="18" t="n"/>
      <c r="R130" s="14" t="n"/>
      <c r="S130" s="24" t="n"/>
      <c r="T130" s="22" t="n"/>
    </row>
    <row r="131">
      <c r="A131" s="18" t="n"/>
      <c r="B131" s="18" t="n"/>
      <c r="C131" s="18" t="n"/>
      <c r="D131" s="18" t="n"/>
      <c r="E131" s="23" t="n"/>
      <c r="F131" s="23" t="n"/>
      <c r="G131" s="23" t="n"/>
      <c r="H131" s="23" t="n"/>
      <c r="I131" s="15" t="n"/>
      <c r="J131" s="16" t="n"/>
      <c r="K131" s="16" t="n"/>
      <c r="L131" s="16" t="n"/>
      <c r="M131" s="18" t="n"/>
      <c r="N131" s="18" t="n"/>
      <c r="O131" s="18" t="n"/>
      <c r="P131" s="18" t="n"/>
      <c r="Q131" s="18" t="n"/>
      <c r="R131" s="14" t="n"/>
      <c r="S131" s="24" t="n"/>
      <c r="T131" s="22" t="n"/>
    </row>
    <row r="132">
      <c r="A132" s="18" t="n"/>
      <c r="B132" s="18" t="n"/>
      <c r="C132" s="18" t="n"/>
      <c r="D132" s="18" t="n"/>
      <c r="E132" s="23" t="n"/>
      <c r="F132" s="23" t="n"/>
      <c r="G132" s="23" t="n"/>
      <c r="H132" s="23" t="n"/>
      <c r="I132" s="15" t="n"/>
      <c r="J132" s="16" t="n"/>
      <c r="K132" s="16" t="n"/>
      <c r="L132" s="16" t="n"/>
      <c r="M132" s="18" t="n"/>
      <c r="N132" s="18" t="n"/>
      <c r="O132" s="18" t="n"/>
      <c r="P132" s="18" t="n"/>
      <c r="Q132" s="18" t="n"/>
      <c r="R132" s="14" t="n"/>
      <c r="S132" s="24" t="n"/>
      <c r="T132" s="22" t="n"/>
    </row>
    <row r="133">
      <c r="A133" s="18" t="n"/>
      <c r="B133" s="18" t="n"/>
      <c r="C133" s="18" t="n"/>
      <c r="D133" s="18" t="n"/>
      <c r="E133" s="23" t="n"/>
      <c r="F133" s="23" t="n"/>
      <c r="G133" s="23" t="n"/>
      <c r="H133" s="23" t="n"/>
      <c r="I133" s="15" t="n"/>
      <c r="J133" s="16" t="n"/>
      <c r="K133" s="16" t="n"/>
      <c r="L133" s="16" t="n"/>
      <c r="M133" s="18" t="n"/>
      <c r="N133" s="18" t="n"/>
      <c r="O133" s="18" t="n"/>
      <c r="P133" s="18" t="n"/>
      <c r="Q133" s="18" t="n"/>
      <c r="R133" s="14" t="n"/>
      <c r="S133" s="24" t="n"/>
      <c r="T133" s="22" t="n"/>
    </row>
    <row r="134">
      <c r="A134" s="18" t="n"/>
      <c r="B134" s="18" t="n"/>
      <c r="C134" s="18" t="n"/>
      <c r="D134" s="18" t="n"/>
      <c r="E134" s="23" t="n"/>
      <c r="F134" s="23" t="n"/>
      <c r="G134" s="23" t="n"/>
      <c r="H134" s="23" t="n"/>
      <c r="I134" s="15" t="n"/>
      <c r="J134" s="16" t="n"/>
      <c r="K134" s="16" t="n"/>
      <c r="L134" s="16" t="n"/>
      <c r="M134" s="18" t="n"/>
      <c r="N134" s="18" t="n"/>
      <c r="O134" s="18" t="n"/>
      <c r="P134" s="18" t="n"/>
      <c r="Q134" s="18" t="n"/>
      <c r="R134" s="14" t="n"/>
      <c r="S134" s="24" t="n"/>
      <c r="T134" s="22" t="n"/>
    </row>
    <row r="135">
      <c r="A135" s="18" t="n"/>
      <c r="B135" s="18" t="n"/>
      <c r="C135" s="18" t="n"/>
      <c r="D135" s="18" t="n"/>
      <c r="E135" s="23" t="n"/>
      <c r="F135" s="23" t="n"/>
      <c r="G135" s="23" t="n"/>
      <c r="H135" s="23" t="n"/>
      <c r="I135" s="15" t="n"/>
      <c r="J135" s="16" t="n"/>
      <c r="K135" s="16" t="n"/>
      <c r="L135" s="16" t="n"/>
      <c r="M135" s="18" t="n"/>
      <c r="N135" s="18" t="n"/>
      <c r="O135" s="18" t="n"/>
      <c r="P135" s="18" t="n"/>
      <c r="Q135" s="18" t="n"/>
      <c r="R135" s="14" t="n"/>
      <c r="S135" s="24" t="n"/>
      <c r="T135" s="22" t="n"/>
    </row>
    <row r="136">
      <c r="A136" s="18" t="n"/>
      <c r="B136" s="18" t="n"/>
      <c r="C136" s="18" t="n"/>
      <c r="D136" s="18" t="n"/>
      <c r="E136" s="23" t="n"/>
      <c r="F136" s="23" t="n"/>
      <c r="G136" s="23" t="n"/>
      <c r="H136" s="23" t="n"/>
      <c r="I136" s="15" t="n"/>
      <c r="J136" s="16" t="n"/>
      <c r="K136" s="16" t="n"/>
      <c r="L136" s="16" t="n"/>
      <c r="M136" s="18" t="n"/>
      <c r="N136" s="18" t="n"/>
      <c r="O136" s="18" t="n"/>
      <c r="P136" s="18" t="n"/>
      <c r="Q136" s="18" t="n"/>
      <c r="R136" s="14" t="n"/>
      <c r="S136" s="24" t="n"/>
      <c r="T136" s="22" t="n"/>
    </row>
    <row r="137">
      <c r="A137" s="18" t="n"/>
      <c r="B137" s="18" t="n"/>
      <c r="C137" s="18" t="n"/>
      <c r="D137" s="18" t="n"/>
      <c r="E137" s="23" t="n"/>
      <c r="F137" s="23" t="n"/>
      <c r="G137" s="23" t="n"/>
      <c r="H137" s="23" t="n"/>
      <c r="I137" s="15" t="n"/>
      <c r="J137" s="16" t="n"/>
      <c r="K137" s="16" t="n"/>
      <c r="L137" s="16" t="n"/>
      <c r="M137" s="18" t="n"/>
      <c r="N137" s="18" t="n"/>
      <c r="O137" s="18" t="n"/>
      <c r="P137" s="18" t="n"/>
      <c r="Q137" s="18" t="n"/>
      <c r="R137" s="14" t="n"/>
      <c r="S137" s="24" t="n"/>
      <c r="T137" s="22" t="n"/>
    </row>
    <row r="138">
      <c r="A138" s="18" t="n"/>
      <c r="B138" s="18" t="n"/>
      <c r="C138" s="18" t="n"/>
      <c r="D138" s="18" t="n"/>
      <c r="E138" s="23" t="n"/>
      <c r="F138" s="23" t="n"/>
      <c r="G138" s="23" t="n"/>
      <c r="H138" s="23" t="n"/>
      <c r="I138" s="15" t="n"/>
      <c r="J138" s="16" t="n"/>
      <c r="K138" s="16" t="n"/>
      <c r="L138" s="16" t="n"/>
      <c r="M138" s="18" t="n"/>
      <c r="N138" s="18" t="n"/>
      <c r="O138" s="18" t="n"/>
      <c r="P138" s="18" t="n"/>
      <c r="Q138" s="18" t="n"/>
      <c r="R138" s="14" t="n"/>
      <c r="S138" s="24" t="n"/>
      <c r="T138" s="22" t="n"/>
    </row>
    <row r="139">
      <c r="A139" s="18" t="n"/>
      <c r="B139" s="18" t="n"/>
      <c r="C139" s="18" t="n"/>
      <c r="D139" s="18" t="n"/>
      <c r="E139" s="23" t="n"/>
      <c r="F139" s="23" t="n"/>
      <c r="G139" s="23" t="n"/>
      <c r="H139" s="23" t="n"/>
      <c r="I139" s="15" t="n"/>
      <c r="J139" s="16" t="n"/>
      <c r="K139" s="16" t="n"/>
      <c r="L139" s="16" t="n"/>
      <c r="M139" s="18" t="n"/>
      <c r="N139" s="18" t="n"/>
      <c r="O139" s="18" t="n"/>
      <c r="P139" s="18" t="n"/>
      <c r="Q139" s="18" t="n"/>
      <c r="R139" s="14" t="n"/>
      <c r="S139" s="24" t="n"/>
      <c r="T139" s="22" t="n"/>
    </row>
    <row r="140">
      <c r="A140" s="18" t="n"/>
      <c r="B140" s="18" t="n"/>
      <c r="C140" s="18" t="n"/>
      <c r="D140" s="18" t="n"/>
      <c r="E140" s="23" t="n"/>
      <c r="F140" s="23" t="n"/>
      <c r="G140" s="23" t="n"/>
      <c r="H140" s="23" t="n"/>
      <c r="I140" s="15" t="n"/>
      <c r="J140" s="16" t="n"/>
      <c r="K140" s="16" t="n"/>
      <c r="L140" s="16" t="n"/>
      <c r="M140" s="18" t="n"/>
      <c r="N140" s="18" t="n"/>
      <c r="O140" s="18" t="n"/>
      <c r="P140" s="18" t="n"/>
      <c r="Q140" s="18" t="n"/>
      <c r="R140" s="14" t="n"/>
      <c r="S140" s="24" t="n"/>
      <c r="T140" s="22" t="n"/>
    </row>
    <row r="141">
      <c r="A141" s="18" t="n"/>
      <c r="B141" s="18" t="n"/>
      <c r="C141" s="18" t="n"/>
      <c r="D141" s="18" t="n"/>
      <c r="E141" s="23" t="n"/>
      <c r="F141" s="23" t="n"/>
      <c r="G141" s="23" t="n"/>
      <c r="H141" s="23" t="n"/>
      <c r="I141" s="15" t="n"/>
      <c r="J141" s="16" t="n"/>
      <c r="K141" s="16" t="n"/>
      <c r="L141" s="16" t="n"/>
      <c r="M141" s="18" t="n"/>
      <c r="N141" s="18" t="n"/>
      <c r="O141" s="18" t="n"/>
      <c r="P141" s="18" t="n"/>
      <c r="Q141" s="18" t="n"/>
      <c r="R141" s="14" t="n"/>
      <c r="S141" s="24" t="n"/>
      <c r="T141" s="22" t="n"/>
    </row>
    <row r="142">
      <c r="A142" s="18" t="n"/>
      <c r="B142" s="18" t="n"/>
      <c r="C142" s="18" t="n"/>
      <c r="D142" s="18" t="n"/>
      <c r="E142" s="23" t="n"/>
      <c r="F142" s="23" t="n"/>
      <c r="G142" s="23" t="n"/>
      <c r="H142" s="23" t="n"/>
      <c r="I142" s="15" t="n"/>
      <c r="J142" s="16" t="n"/>
      <c r="K142" s="16" t="n"/>
      <c r="L142" s="16" t="n"/>
      <c r="M142" s="18" t="n"/>
      <c r="N142" s="18" t="n"/>
      <c r="O142" s="18" t="n"/>
      <c r="P142" s="18" t="n"/>
      <c r="Q142" s="18" t="n"/>
      <c r="R142" s="14" t="n"/>
      <c r="S142" s="24" t="n"/>
      <c r="T142" s="22" t="n"/>
    </row>
    <row r="143">
      <c r="A143" s="18" t="n"/>
      <c r="B143" s="18" t="n"/>
      <c r="C143" s="18" t="n"/>
      <c r="D143" s="18" t="n"/>
      <c r="E143" s="23" t="n"/>
      <c r="F143" s="23" t="n"/>
      <c r="G143" s="23" t="n"/>
      <c r="H143" s="23" t="n"/>
      <c r="I143" s="15" t="n"/>
      <c r="J143" s="16" t="n"/>
      <c r="K143" s="16" t="n"/>
      <c r="L143" s="16" t="n"/>
      <c r="M143" s="18" t="n"/>
      <c r="N143" s="18" t="n"/>
      <c r="O143" s="18" t="n"/>
      <c r="P143" s="18" t="n"/>
      <c r="Q143" s="18" t="n"/>
      <c r="R143" s="14" t="n"/>
      <c r="S143" s="24" t="n"/>
      <c r="T143" s="22" t="n"/>
    </row>
    <row r="144">
      <c r="A144" s="18" t="n"/>
      <c r="B144" s="18" t="n"/>
      <c r="C144" s="18" t="n"/>
      <c r="D144" s="18" t="n"/>
      <c r="E144" s="23" t="n"/>
      <c r="F144" s="23" t="n"/>
      <c r="G144" s="23" t="n"/>
      <c r="H144" s="23" t="n"/>
      <c r="I144" s="15" t="n"/>
      <c r="J144" s="16" t="n"/>
      <c r="K144" s="16" t="n"/>
      <c r="L144" s="16" t="n"/>
      <c r="M144" s="18" t="n"/>
      <c r="N144" s="18" t="n"/>
      <c r="O144" s="18" t="n"/>
      <c r="P144" s="18" t="n"/>
      <c r="Q144" s="18" t="n"/>
      <c r="R144" s="14" t="n"/>
      <c r="S144" s="24" t="n"/>
      <c r="T144" s="22" t="n"/>
    </row>
    <row r="145">
      <c r="A145" s="18" t="n"/>
      <c r="B145" s="18" t="n"/>
      <c r="C145" s="18" t="n"/>
      <c r="D145" s="18" t="n"/>
      <c r="E145" s="23" t="n"/>
      <c r="F145" s="23" t="n"/>
      <c r="G145" s="23" t="n"/>
      <c r="H145" s="23" t="n"/>
      <c r="I145" s="15" t="n"/>
      <c r="J145" s="16" t="n"/>
      <c r="K145" s="16" t="n"/>
      <c r="L145" s="16" t="n"/>
      <c r="M145" s="18" t="n"/>
      <c r="N145" s="18" t="n"/>
      <c r="O145" s="18" t="n"/>
      <c r="P145" s="18" t="n"/>
      <c r="Q145" s="18" t="n"/>
      <c r="R145" s="14" t="n"/>
      <c r="S145" s="24" t="n"/>
      <c r="T145" s="22" t="n"/>
    </row>
    <row r="146">
      <c r="A146" s="18" t="n"/>
      <c r="B146" s="18" t="n"/>
      <c r="C146" s="18" t="n"/>
      <c r="D146" s="18" t="n"/>
      <c r="E146" s="23" t="n"/>
      <c r="F146" s="23" t="n"/>
      <c r="G146" s="23" t="n"/>
      <c r="H146" s="23" t="n"/>
      <c r="I146" s="15" t="n"/>
      <c r="J146" s="16" t="n"/>
      <c r="K146" s="16" t="n"/>
      <c r="L146" s="16" t="n"/>
      <c r="M146" s="18" t="n"/>
      <c r="N146" s="18" t="n"/>
      <c r="O146" s="18" t="n"/>
      <c r="P146" s="18" t="n"/>
      <c r="Q146" s="18" t="n"/>
      <c r="R146" s="14" t="n"/>
      <c r="S146" s="24" t="n"/>
      <c r="T146" s="22" t="n"/>
    </row>
    <row r="147">
      <c r="A147" s="18" t="n"/>
      <c r="B147" s="18" t="n"/>
      <c r="C147" s="18" t="n"/>
      <c r="D147" s="18" t="n"/>
      <c r="E147" s="23" t="n"/>
      <c r="F147" s="23" t="n"/>
      <c r="G147" s="23" t="n"/>
      <c r="H147" s="23" t="n"/>
      <c r="I147" s="15" t="n"/>
      <c r="J147" s="16" t="n"/>
      <c r="K147" s="16" t="n"/>
      <c r="L147" s="16" t="n"/>
      <c r="M147" s="18" t="n"/>
      <c r="N147" s="18" t="n"/>
      <c r="O147" s="18" t="n"/>
      <c r="P147" s="18" t="n"/>
      <c r="Q147" s="18" t="n"/>
      <c r="R147" s="14" t="n"/>
      <c r="S147" s="24" t="n"/>
      <c r="T147" s="22" t="n"/>
    </row>
    <row r="148">
      <c r="A148" s="18" t="n"/>
      <c r="B148" s="18" t="n"/>
      <c r="C148" s="18" t="n"/>
      <c r="D148" s="18" t="n"/>
      <c r="E148" s="23" t="n"/>
      <c r="F148" s="23" t="n"/>
      <c r="G148" s="23" t="n"/>
      <c r="H148" s="23" t="n"/>
      <c r="I148" s="15" t="n"/>
      <c r="J148" s="16" t="n"/>
      <c r="K148" s="16" t="n"/>
      <c r="L148" s="16" t="n"/>
      <c r="M148" s="18" t="n"/>
      <c r="N148" s="18" t="n"/>
      <c r="O148" s="18" t="n"/>
      <c r="P148" s="18" t="n"/>
      <c r="Q148" s="18" t="n"/>
      <c r="R148" s="14" t="n"/>
      <c r="S148" s="24" t="n"/>
      <c r="T148" s="22" t="n"/>
    </row>
    <row r="149">
      <c r="A149" s="18" t="n"/>
      <c r="B149" s="18" t="n"/>
      <c r="C149" s="18" t="n"/>
      <c r="D149" s="18" t="n"/>
      <c r="E149" s="23" t="n"/>
      <c r="F149" s="23" t="n"/>
      <c r="G149" s="23" t="n"/>
      <c r="H149" s="23" t="n"/>
      <c r="I149" s="15" t="n"/>
      <c r="J149" s="16" t="n"/>
      <c r="K149" s="16" t="n"/>
      <c r="L149" s="16" t="n"/>
      <c r="M149" s="18" t="n"/>
      <c r="N149" s="18" t="n"/>
      <c r="O149" s="18" t="n"/>
      <c r="P149" s="18" t="n"/>
      <c r="Q149" s="18" t="n"/>
      <c r="R149" s="14" t="n"/>
      <c r="S149" s="24" t="n"/>
      <c r="T149" s="22" t="n"/>
    </row>
    <row r="150">
      <c r="A150" s="18" t="n"/>
      <c r="B150" s="18" t="n"/>
      <c r="C150" s="18" t="n"/>
      <c r="D150" s="18" t="n"/>
      <c r="E150" s="23" t="n"/>
      <c r="F150" s="23" t="n"/>
      <c r="G150" s="23" t="n"/>
      <c r="H150" s="23" t="n"/>
      <c r="I150" s="15" t="n"/>
      <c r="J150" s="16" t="n"/>
      <c r="K150" s="16" t="n"/>
      <c r="L150" s="16" t="n"/>
      <c r="M150" s="18" t="n"/>
      <c r="N150" s="18" t="n"/>
      <c r="O150" s="18" t="n"/>
      <c r="P150" s="18" t="n"/>
      <c r="Q150" s="18" t="n"/>
      <c r="R150" s="14" t="n"/>
      <c r="S150" s="24" t="n"/>
      <c r="T150" s="22" t="n"/>
    </row>
    <row r="151">
      <c r="A151" s="18" t="n"/>
      <c r="B151" s="18" t="n"/>
      <c r="C151" s="18" t="n"/>
      <c r="D151" s="18" t="n"/>
      <c r="E151" s="23" t="n"/>
      <c r="F151" s="23" t="n"/>
      <c r="G151" s="23" t="n"/>
      <c r="H151" s="23" t="n"/>
      <c r="I151" s="15" t="n"/>
      <c r="J151" s="16" t="n"/>
      <c r="K151" s="16" t="n"/>
      <c r="L151" s="16" t="n"/>
      <c r="M151" s="18" t="n"/>
      <c r="N151" s="18" t="n"/>
      <c r="O151" s="18" t="n"/>
      <c r="P151" s="18" t="n"/>
      <c r="Q151" s="18" t="n"/>
      <c r="R151" s="14" t="n"/>
      <c r="S151" s="24" t="n"/>
      <c r="T151" s="22" t="n"/>
    </row>
    <row r="152">
      <c r="A152" s="18" t="n"/>
      <c r="B152" s="18" t="n"/>
      <c r="C152" s="18" t="n"/>
      <c r="D152" s="18" t="n"/>
      <c r="E152" s="23" t="n"/>
      <c r="F152" s="23" t="n"/>
      <c r="G152" s="23" t="n"/>
      <c r="H152" s="23" t="n"/>
      <c r="I152" s="15" t="n"/>
      <c r="J152" s="16" t="n"/>
      <c r="K152" s="16" t="n"/>
      <c r="L152" s="16" t="n"/>
      <c r="M152" s="18" t="n"/>
      <c r="N152" s="18" t="n"/>
      <c r="O152" s="18" t="n"/>
      <c r="P152" s="18" t="n"/>
      <c r="Q152" s="18" t="n"/>
      <c r="R152" s="14" t="n"/>
      <c r="S152" s="24" t="n"/>
      <c r="T152" s="22" t="n"/>
    </row>
    <row r="153">
      <c r="A153" s="18" t="n"/>
      <c r="B153" s="18" t="n"/>
      <c r="C153" s="18" t="n"/>
      <c r="D153" s="18" t="n"/>
      <c r="E153" s="23" t="n"/>
      <c r="F153" s="23" t="n"/>
      <c r="G153" s="23" t="n"/>
      <c r="H153" s="23" t="n"/>
      <c r="I153" s="15" t="n"/>
      <c r="J153" s="16" t="n"/>
      <c r="K153" s="16" t="n"/>
      <c r="L153" s="16" t="n"/>
      <c r="M153" s="18" t="n"/>
      <c r="N153" s="18" t="n"/>
      <c r="O153" s="18" t="n"/>
      <c r="P153" s="18" t="n"/>
      <c r="Q153" s="18" t="n"/>
      <c r="R153" s="14" t="n"/>
      <c r="S153" s="24" t="n"/>
      <c r="T153" s="22" t="n"/>
    </row>
    <row r="154">
      <c r="A154" s="18" t="n"/>
      <c r="B154" s="18" t="n"/>
      <c r="C154" s="18" t="n"/>
      <c r="D154" s="18" t="n"/>
      <c r="E154" s="23" t="n"/>
      <c r="F154" s="23" t="n"/>
      <c r="G154" s="23" t="n"/>
      <c r="H154" s="23" t="n"/>
      <c r="I154" s="15" t="n"/>
      <c r="J154" s="16" t="n"/>
      <c r="K154" s="16" t="n"/>
      <c r="L154" s="16" t="n"/>
      <c r="M154" s="18" t="n"/>
      <c r="N154" s="18" t="n"/>
      <c r="O154" s="18" t="n"/>
      <c r="P154" s="18" t="n"/>
      <c r="Q154" s="18" t="n"/>
      <c r="R154" s="14" t="n"/>
      <c r="S154" s="24" t="n"/>
      <c r="T154" s="22" t="n"/>
    </row>
    <row r="155">
      <c r="A155" s="18" t="n"/>
      <c r="B155" s="18" t="n"/>
      <c r="C155" s="18" t="n"/>
      <c r="D155" s="18" t="n"/>
      <c r="E155" s="23" t="n"/>
      <c r="F155" s="23" t="n"/>
      <c r="G155" s="23" t="n"/>
      <c r="H155" s="23" t="n"/>
      <c r="I155" s="15" t="n"/>
      <c r="J155" s="16" t="n"/>
      <c r="K155" s="16" t="n"/>
      <c r="L155" s="16" t="n"/>
      <c r="M155" s="18" t="n"/>
      <c r="N155" s="18" t="n"/>
      <c r="O155" s="18" t="n"/>
      <c r="P155" s="18" t="n"/>
      <c r="Q155" s="18" t="n"/>
      <c r="R155" s="14" t="n"/>
      <c r="S155" s="24" t="n"/>
      <c r="T155" s="22" t="n"/>
    </row>
    <row r="156">
      <c r="A156" s="18" t="n"/>
      <c r="B156" s="18" t="n"/>
      <c r="C156" s="18" t="n"/>
      <c r="D156" s="18" t="n"/>
      <c r="E156" s="23" t="n"/>
      <c r="F156" s="23" t="n"/>
      <c r="G156" s="23" t="n"/>
      <c r="H156" s="23" t="n"/>
      <c r="I156" s="15" t="n"/>
      <c r="J156" s="16" t="n"/>
      <c r="K156" s="16" t="n"/>
      <c r="L156" s="16" t="n"/>
      <c r="M156" s="18" t="n"/>
      <c r="N156" s="18" t="n"/>
      <c r="O156" s="18" t="n"/>
      <c r="P156" s="18" t="n"/>
      <c r="Q156" s="18" t="n"/>
      <c r="R156" s="14" t="n"/>
      <c r="S156" s="24" t="n"/>
      <c r="T156" s="22" t="n"/>
    </row>
    <row r="157">
      <c r="A157" s="18" t="n"/>
      <c r="B157" s="18" t="n"/>
      <c r="C157" s="18" t="n"/>
      <c r="D157" s="18" t="n"/>
      <c r="E157" s="23" t="n"/>
      <c r="F157" s="23" t="n"/>
      <c r="G157" s="23" t="n"/>
      <c r="H157" s="23" t="n"/>
      <c r="I157" s="15" t="n"/>
      <c r="J157" s="16" t="n"/>
      <c r="K157" s="16" t="n"/>
      <c r="L157" s="16" t="n"/>
      <c r="M157" s="18" t="n"/>
      <c r="N157" s="18" t="n"/>
      <c r="O157" s="18" t="n"/>
      <c r="P157" s="18" t="n"/>
      <c r="Q157" s="18" t="n"/>
      <c r="R157" s="14" t="n"/>
      <c r="S157" s="24" t="n"/>
      <c r="T157" s="22" t="n"/>
    </row>
    <row r="158">
      <c r="A158" s="18" t="n"/>
      <c r="B158" s="18" t="n"/>
      <c r="C158" s="18" t="n"/>
      <c r="D158" s="18" t="n"/>
      <c r="E158" s="23" t="n"/>
      <c r="F158" s="23" t="n"/>
      <c r="G158" s="23" t="n"/>
      <c r="H158" s="23" t="n"/>
      <c r="I158" s="15" t="n"/>
      <c r="J158" s="16" t="n"/>
      <c r="K158" s="16" t="n"/>
      <c r="L158" s="16" t="n"/>
      <c r="M158" s="18" t="n"/>
      <c r="N158" s="18" t="n"/>
      <c r="O158" s="18" t="n"/>
      <c r="P158" s="18" t="n"/>
      <c r="Q158" s="18" t="n"/>
      <c r="R158" s="14" t="n"/>
      <c r="S158" s="24" t="n"/>
      <c r="T158" s="22" t="n"/>
    </row>
    <row r="159">
      <c r="A159" s="18" t="n"/>
      <c r="B159" s="18" t="n"/>
      <c r="C159" s="18" t="n"/>
      <c r="D159" s="18" t="n"/>
      <c r="E159" s="23" t="n"/>
      <c r="F159" s="23" t="n"/>
      <c r="G159" s="23" t="n"/>
      <c r="H159" s="23" t="n"/>
      <c r="I159" s="15" t="n"/>
      <c r="J159" s="16" t="n"/>
      <c r="K159" s="16" t="n"/>
      <c r="L159" s="16" t="n"/>
      <c r="M159" s="18" t="n"/>
      <c r="N159" s="18" t="n"/>
      <c r="O159" s="18" t="n"/>
      <c r="P159" s="18" t="n"/>
      <c r="Q159" s="18" t="n"/>
      <c r="R159" s="14" t="n"/>
      <c r="S159" s="24" t="n"/>
      <c r="T159" s="22" t="n"/>
    </row>
    <row r="160">
      <c r="A160" s="18" t="n"/>
      <c r="B160" s="18" t="n"/>
      <c r="C160" s="18" t="n"/>
      <c r="D160" s="18" t="n"/>
      <c r="E160" s="23" t="n"/>
      <c r="F160" s="23" t="n"/>
      <c r="G160" s="23" t="n"/>
      <c r="H160" s="23" t="n"/>
      <c r="I160" s="15" t="n"/>
      <c r="J160" s="16" t="n"/>
      <c r="K160" s="16" t="n"/>
      <c r="L160" s="16" t="n"/>
      <c r="M160" s="18" t="n"/>
      <c r="N160" s="18" t="n"/>
      <c r="O160" s="18" t="n"/>
      <c r="P160" s="18" t="n"/>
      <c r="Q160" s="18" t="n"/>
      <c r="R160" s="14" t="n"/>
      <c r="S160" s="24" t="n"/>
      <c r="T160" s="22" t="n"/>
    </row>
    <row r="161">
      <c r="A161" s="18" t="n"/>
      <c r="B161" s="18" t="n"/>
      <c r="C161" s="18" t="n"/>
      <c r="D161" s="18" t="n"/>
      <c r="E161" s="23" t="n"/>
      <c r="F161" s="23" t="n"/>
      <c r="G161" s="23" t="n"/>
      <c r="H161" s="23" t="n"/>
      <c r="I161" s="15" t="n"/>
      <c r="J161" s="16" t="n"/>
      <c r="K161" s="16" t="n"/>
      <c r="L161" s="16" t="n"/>
      <c r="M161" s="18" t="n"/>
      <c r="N161" s="18" t="n"/>
      <c r="O161" s="18" t="n"/>
      <c r="P161" s="18" t="n"/>
      <c r="Q161" s="18" t="n"/>
      <c r="R161" s="14" t="n"/>
      <c r="S161" s="24" t="n"/>
      <c r="T161" s="22" t="n"/>
    </row>
    <row r="162">
      <c r="A162" s="18" t="n"/>
      <c r="B162" s="18" t="n"/>
      <c r="C162" s="18" t="n"/>
      <c r="D162" s="18" t="n"/>
      <c r="E162" s="23" t="n"/>
      <c r="F162" s="23" t="n"/>
      <c r="G162" s="23" t="n"/>
      <c r="H162" s="23" t="n"/>
      <c r="I162" s="15" t="n"/>
      <c r="J162" s="16" t="n"/>
      <c r="K162" s="16" t="n"/>
      <c r="L162" s="16" t="n"/>
      <c r="M162" s="18" t="n"/>
      <c r="N162" s="18" t="n"/>
      <c r="O162" s="18" t="n"/>
      <c r="P162" s="18" t="n"/>
      <c r="Q162" s="18" t="n"/>
      <c r="R162" s="14" t="n"/>
      <c r="S162" s="24" t="n"/>
      <c r="T162" s="22" t="n"/>
    </row>
    <row r="163">
      <c r="A163" s="18" t="n"/>
      <c r="B163" s="18" t="n"/>
      <c r="C163" s="18" t="n"/>
      <c r="D163" s="18" t="n"/>
      <c r="E163" s="23" t="n"/>
      <c r="F163" s="23" t="n"/>
      <c r="G163" s="23" t="n"/>
      <c r="H163" s="23" t="n"/>
      <c r="I163" s="15" t="n"/>
      <c r="J163" s="16" t="n"/>
      <c r="K163" s="16" t="n"/>
      <c r="L163" s="16" t="n"/>
      <c r="M163" s="18" t="n"/>
      <c r="N163" s="18" t="n"/>
      <c r="O163" s="18" t="n"/>
      <c r="P163" s="18" t="n"/>
      <c r="Q163" s="18" t="n"/>
      <c r="R163" s="14" t="n"/>
      <c r="S163" s="24" t="n"/>
      <c r="T163" s="22" t="n"/>
    </row>
    <row r="164">
      <c r="A164" s="18" t="n"/>
      <c r="B164" s="18" t="n"/>
      <c r="C164" s="18" t="n"/>
      <c r="D164" s="18" t="n"/>
      <c r="E164" s="23" t="n"/>
      <c r="F164" s="23" t="n"/>
      <c r="G164" s="23" t="n"/>
      <c r="H164" s="23" t="n"/>
      <c r="I164" s="15" t="n"/>
      <c r="J164" s="16" t="n"/>
      <c r="K164" s="16" t="n"/>
      <c r="L164" s="16" t="n"/>
      <c r="M164" s="18" t="n"/>
      <c r="N164" s="18" t="n"/>
      <c r="O164" s="18" t="n"/>
      <c r="P164" s="18" t="n"/>
      <c r="Q164" s="18" t="n"/>
      <c r="R164" s="14" t="n"/>
      <c r="S164" s="24" t="n"/>
      <c r="T164" s="22" t="n"/>
    </row>
    <row r="165">
      <c r="A165" s="18" t="n"/>
      <c r="B165" s="18" t="n"/>
      <c r="C165" s="18" t="n"/>
      <c r="D165" s="18" t="n"/>
      <c r="E165" s="23" t="n"/>
      <c r="F165" s="23" t="n"/>
      <c r="G165" s="23" t="n"/>
      <c r="H165" s="23" t="n"/>
      <c r="I165" s="15" t="n"/>
      <c r="J165" s="16" t="n"/>
      <c r="K165" s="16" t="n"/>
      <c r="L165" s="16" t="n"/>
      <c r="M165" s="18" t="n"/>
      <c r="N165" s="18" t="n"/>
      <c r="O165" s="18" t="n"/>
      <c r="P165" s="18" t="n"/>
      <c r="Q165" s="18" t="n"/>
      <c r="R165" s="14" t="n"/>
      <c r="S165" s="24" t="n"/>
      <c r="T165" s="22" t="n"/>
    </row>
    <row r="166">
      <c r="A166" s="18" t="n"/>
      <c r="B166" s="18" t="n"/>
      <c r="C166" s="18" t="n"/>
      <c r="D166" s="18" t="n"/>
      <c r="E166" s="23" t="n"/>
      <c r="F166" s="23" t="n"/>
      <c r="G166" s="23" t="n"/>
      <c r="H166" s="23" t="n"/>
      <c r="I166" s="15" t="n"/>
      <c r="J166" s="16" t="n"/>
      <c r="K166" s="16" t="n"/>
      <c r="L166" s="16" t="n"/>
      <c r="M166" s="18" t="n"/>
      <c r="N166" s="18" t="n"/>
      <c r="O166" s="18" t="n"/>
      <c r="P166" s="18" t="n"/>
      <c r="Q166" s="18" t="n"/>
      <c r="R166" s="14" t="n"/>
      <c r="S166" s="24" t="n"/>
      <c r="T166" s="22" t="n"/>
    </row>
    <row r="167">
      <c r="A167" s="18" t="n"/>
      <c r="B167" s="18" t="n"/>
      <c r="C167" s="18" t="n"/>
      <c r="D167" s="18" t="n"/>
      <c r="E167" s="23" t="n"/>
      <c r="F167" s="23" t="n"/>
      <c r="G167" s="23" t="n"/>
      <c r="H167" s="23" t="n"/>
      <c r="I167" s="15" t="n"/>
      <c r="J167" s="16" t="n"/>
      <c r="K167" s="16" t="n"/>
      <c r="L167" s="16" t="n"/>
      <c r="M167" s="18" t="n"/>
      <c r="N167" s="18" t="n"/>
      <c r="O167" s="18" t="n"/>
      <c r="P167" s="18" t="n"/>
      <c r="Q167" s="18" t="n"/>
      <c r="R167" s="14" t="n"/>
      <c r="S167" s="24" t="n"/>
      <c r="T167" s="22" t="n"/>
    </row>
    <row r="168">
      <c r="A168" s="18" t="n"/>
      <c r="B168" s="18" t="n"/>
      <c r="C168" s="18" t="n"/>
      <c r="D168" s="18" t="n"/>
      <c r="E168" s="23" t="n"/>
      <c r="F168" s="23" t="n"/>
      <c r="G168" s="23" t="n"/>
      <c r="H168" s="23" t="n"/>
      <c r="I168" s="15" t="n"/>
      <c r="J168" s="16" t="n"/>
      <c r="K168" s="16" t="n"/>
      <c r="L168" s="16" t="n"/>
      <c r="M168" s="18" t="n"/>
      <c r="N168" s="18" t="n"/>
      <c r="O168" s="18" t="n"/>
      <c r="P168" s="18" t="n"/>
      <c r="Q168" s="18" t="n"/>
      <c r="R168" s="14" t="n"/>
      <c r="S168" s="24" t="n"/>
      <c r="T168" s="22" t="n"/>
    </row>
    <row r="169">
      <c r="A169" s="18" t="n"/>
      <c r="B169" s="18" t="n"/>
      <c r="C169" s="18" t="n"/>
      <c r="D169" s="18" t="n"/>
      <c r="E169" s="23" t="n"/>
      <c r="F169" s="23" t="n"/>
      <c r="G169" s="23" t="n"/>
      <c r="H169" s="23" t="n"/>
      <c r="I169" s="15" t="n"/>
      <c r="J169" s="16" t="n"/>
      <c r="K169" s="16" t="n"/>
      <c r="L169" s="16" t="n"/>
      <c r="M169" s="18" t="n"/>
      <c r="N169" s="18" t="n"/>
      <c r="O169" s="18" t="n"/>
      <c r="P169" s="18" t="n"/>
      <c r="Q169" s="18" t="n"/>
      <c r="R169" s="14" t="n"/>
      <c r="S169" s="24" t="n"/>
      <c r="T169" s="22" t="n"/>
    </row>
    <row r="170">
      <c r="A170" s="18" t="n"/>
      <c r="B170" s="18" t="n"/>
      <c r="C170" s="18" t="n"/>
      <c r="D170" s="18" t="n"/>
      <c r="E170" s="23" t="n"/>
      <c r="F170" s="23" t="n"/>
      <c r="G170" s="23" t="n"/>
      <c r="H170" s="23" t="n"/>
      <c r="I170" s="15" t="n"/>
      <c r="J170" s="16" t="n"/>
      <c r="K170" s="16" t="n"/>
      <c r="L170" s="16" t="n"/>
      <c r="M170" s="18" t="n"/>
      <c r="N170" s="18" t="n"/>
      <c r="O170" s="18" t="n"/>
      <c r="P170" s="18" t="n"/>
      <c r="Q170" s="18" t="n"/>
      <c r="R170" s="14" t="n"/>
      <c r="S170" s="24" t="n"/>
      <c r="T170" s="22" t="n"/>
    </row>
    <row r="171">
      <c r="A171" s="18" t="n"/>
      <c r="B171" s="18" t="n"/>
      <c r="C171" s="18" t="n"/>
      <c r="D171" s="18" t="n"/>
      <c r="E171" s="23" t="n"/>
      <c r="F171" s="23" t="n"/>
      <c r="G171" s="23" t="n"/>
      <c r="H171" s="23" t="n"/>
      <c r="I171" s="15" t="n"/>
      <c r="J171" s="16" t="n"/>
      <c r="K171" s="16" t="n"/>
      <c r="L171" s="16" t="n"/>
      <c r="M171" s="18" t="n"/>
      <c r="N171" s="18" t="n"/>
      <c r="O171" s="18" t="n"/>
      <c r="P171" s="18" t="n"/>
      <c r="Q171" s="18" t="n"/>
      <c r="R171" s="14" t="n"/>
      <c r="S171" s="24" t="n"/>
      <c r="T171" s="22" t="n"/>
    </row>
    <row r="172">
      <c r="A172" s="18" t="n"/>
      <c r="B172" s="18" t="n"/>
      <c r="C172" s="18" t="n"/>
      <c r="D172" s="18" t="n"/>
      <c r="E172" s="23" t="n"/>
      <c r="F172" s="23" t="n"/>
      <c r="G172" s="23" t="n"/>
      <c r="H172" s="23" t="n"/>
      <c r="I172" s="15" t="n"/>
      <c r="J172" s="16" t="n"/>
      <c r="K172" s="16" t="n"/>
      <c r="L172" s="16" t="n"/>
      <c r="M172" s="18" t="n"/>
      <c r="N172" s="18" t="n"/>
      <c r="O172" s="18" t="n"/>
      <c r="P172" s="18" t="n"/>
      <c r="Q172" s="18" t="n"/>
      <c r="R172" s="14" t="n"/>
      <c r="S172" s="24" t="n"/>
      <c r="T172" s="22" t="n"/>
    </row>
    <row r="173">
      <c r="A173" s="18" t="n"/>
      <c r="B173" s="18" t="n"/>
      <c r="C173" s="18" t="n"/>
      <c r="D173" s="18" t="n"/>
      <c r="E173" s="23" t="n"/>
      <c r="F173" s="23" t="n"/>
      <c r="G173" s="23" t="n"/>
      <c r="H173" s="23" t="n"/>
      <c r="I173" s="15" t="n"/>
      <c r="J173" s="16" t="n"/>
      <c r="K173" s="16" t="n"/>
      <c r="L173" s="16" t="n"/>
      <c r="M173" s="18" t="n"/>
      <c r="N173" s="18" t="n"/>
      <c r="O173" s="18" t="n"/>
      <c r="P173" s="18" t="n"/>
      <c r="Q173" s="18" t="n"/>
      <c r="R173" s="14" t="n"/>
      <c r="S173" s="24" t="n"/>
      <c r="T173" s="22" t="n"/>
    </row>
    <row r="174">
      <c r="A174" s="18" t="n"/>
      <c r="B174" s="18" t="n"/>
      <c r="C174" s="18" t="n"/>
      <c r="D174" s="18" t="n"/>
      <c r="E174" s="23" t="n"/>
      <c r="F174" s="23" t="n"/>
      <c r="G174" s="23" t="n"/>
      <c r="H174" s="23" t="n"/>
      <c r="I174" s="15" t="n"/>
      <c r="J174" s="16" t="n"/>
      <c r="K174" s="16" t="n"/>
      <c r="L174" s="16" t="n"/>
      <c r="M174" s="18" t="n"/>
      <c r="N174" s="18" t="n"/>
      <c r="O174" s="18" t="n"/>
      <c r="P174" s="18" t="n"/>
      <c r="Q174" s="18" t="n"/>
      <c r="R174" s="14" t="n"/>
      <c r="S174" s="24" t="n"/>
      <c r="T174" s="22" t="n"/>
    </row>
    <row r="175">
      <c r="A175" s="18" t="n"/>
      <c r="B175" s="18" t="n"/>
      <c r="C175" s="18" t="n"/>
      <c r="D175" s="18" t="n"/>
      <c r="E175" s="23" t="n"/>
      <c r="F175" s="23" t="n"/>
      <c r="G175" s="23" t="n"/>
      <c r="H175" s="23" t="n"/>
      <c r="I175" s="15" t="n"/>
      <c r="J175" s="16" t="n"/>
      <c r="K175" s="16" t="n"/>
      <c r="L175" s="16" t="n"/>
      <c r="M175" s="18" t="n"/>
      <c r="N175" s="18" t="n"/>
      <c r="O175" s="18" t="n"/>
      <c r="P175" s="18" t="n"/>
      <c r="Q175" s="18" t="n"/>
      <c r="R175" s="14" t="n"/>
      <c r="S175" s="24" t="n"/>
      <c r="T175" s="22" t="n"/>
    </row>
    <row r="176">
      <c r="A176" s="18" t="n"/>
      <c r="B176" s="18" t="n"/>
      <c r="C176" s="18" t="n"/>
      <c r="D176" s="18" t="n"/>
      <c r="E176" s="23" t="n"/>
      <c r="F176" s="23" t="n"/>
      <c r="G176" s="23" t="n"/>
      <c r="H176" s="23" t="n"/>
      <c r="I176" s="15" t="n"/>
      <c r="J176" s="16" t="n"/>
      <c r="K176" s="16" t="n"/>
      <c r="L176" s="16" t="n"/>
      <c r="M176" s="18" t="n"/>
      <c r="N176" s="18" t="n"/>
      <c r="O176" s="18" t="n"/>
      <c r="P176" s="18" t="n"/>
      <c r="Q176" s="18" t="n"/>
      <c r="R176" s="14" t="n"/>
      <c r="S176" s="24" t="n"/>
      <c r="T176" s="22" t="n"/>
    </row>
    <row r="177">
      <c r="A177" s="18" t="n"/>
      <c r="B177" s="18" t="n"/>
      <c r="C177" s="18" t="n"/>
      <c r="D177" s="18" t="n"/>
      <c r="E177" s="23" t="n"/>
      <c r="F177" s="23" t="n"/>
      <c r="G177" s="23" t="n"/>
      <c r="H177" s="23" t="n"/>
      <c r="I177" s="15" t="n"/>
      <c r="J177" s="16" t="n"/>
      <c r="K177" s="16" t="n"/>
      <c r="L177" s="16" t="n"/>
      <c r="M177" s="18" t="n"/>
      <c r="N177" s="18" t="n"/>
      <c r="O177" s="18" t="n"/>
      <c r="P177" s="18" t="n"/>
      <c r="Q177" s="18" t="n"/>
      <c r="R177" s="14" t="n"/>
      <c r="S177" s="24" t="n"/>
      <c r="T177" s="22" t="n"/>
    </row>
    <row r="178">
      <c r="A178" s="18" t="n"/>
      <c r="B178" s="18" t="n"/>
      <c r="C178" s="18" t="n"/>
      <c r="D178" s="18" t="n"/>
      <c r="E178" s="23" t="n"/>
      <c r="F178" s="23" t="n"/>
      <c r="G178" s="23" t="n"/>
      <c r="H178" s="23" t="n"/>
      <c r="I178" s="15" t="n"/>
      <c r="J178" s="16" t="n"/>
      <c r="K178" s="16" t="n"/>
      <c r="L178" s="16" t="n"/>
      <c r="M178" s="18" t="n"/>
      <c r="N178" s="18" t="n"/>
      <c r="O178" s="18" t="n"/>
      <c r="P178" s="18" t="n"/>
      <c r="Q178" s="18" t="n"/>
      <c r="R178" s="14" t="n"/>
      <c r="S178" s="24" t="n"/>
      <c r="T178" s="22" t="n"/>
    </row>
    <row r="179">
      <c r="A179" s="18" t="n"/>
      <c r="B179" s="18" t="n"/>
      <c r="C179" s="18" t="n"/>
      <c r="D179" s="18" t="n"/>
      <c r="E179" s="23" t="n"/>
      <c r="F179" s="23" t="n"/>
      <c r="G179" s="23" t="n"/>
      <c r="H179" s="23" t="n"/>
      <c r="I179" s="15" t="n"/>
      <c r="J179" s="16" t="n"/>
      <c r="K179" s="16" t="n"/>
      <c r="L179" s="16" t="n"/>
      <c r="M179" s="18" t="n"/>
      <c r="N179" s="18" t="n"/>
      <c r="O179" s="18" t="n"/>
      <c r="P179" s="18" t="n"/>
      <c r="Q179" s="18" t="n"/>
      <c r="R179" s="14" t="n"/>
      <c r="S179" s="24" t="n"/>
      <c r="T179" s="22" t="n"/>
    </row>
    <row r="180">
      <c r="A180" s="18" t="n"/>
      <c r="B180" s="18" t="n"/>
      <c r="C180" s="18" t="n"/>
      <c r="D180" s="18" t="n"/>
      <c r="E180" s="23" t="n"/>
      <c r="F180" s="23" t="n"/>
      <c r="G180" s="23" t="n"/>
      <c r="H180" s="23" t="n"/>
      <c r="I180" s="15" t="n"/>
      <c r="J180" s="16" t="n"/>
      <c r="K180" s="16" t="n"/>
      <c r="L180" s="16" t="n"/>
      <c r="M180" s="18" t="n"/>
      <c r="N180" s="18" t="n"/>
      <c r="O180" s="18" t="n"/>
      <c r="P180" s="18" t="n"/>
      <c r="Q180" s="18" t="n"/>
      <c r="R180" s="14" t="n"/>
      <c r="S180" s="24" t="n"/>
      <c r="T180" s="22" t="n"/>
    </row>
    <row r="181">
      <c r="A181" s="18" t="n"/>
      <c r="B181" s="18" t="n"/>
      <c r="C181" s="18" t="n"/>
      <c r="D181" s="18" t="n"/>
      <c r="E181" s="23" t="n"/>
      <c r="F181" s="23" t="n"/>
      <c r="G181" s="23" t="n"/>
      <c r="H181" s="23" t="n"/>
      <c r="I181" s="15" t="n"/>
      <c r="J181" s="16" t="n"/>
      <c r="K181" s="16" t="n"/>
      <c r="L181" s="16" t="n"/>
      <c r="M181" s="18" t="n"/>
      <c r="N181" s="18" t="n"/>
      <c r="O181" s="18" t="n"/>
      <c r="P181" s="18" t="n"/>
      <c r="Q181" s="18" t="n"/>
      <c r="R181" s="14" t="n"/>
      <c r="S181" s="24" t="n"/>
      <c r="T181" s="22" t="n"/>
    </row>
    <row r="182">
      <c r="A182" s="18" t="n"/>
      <c r="B182" s="18" t="n"/>
      <c r="C182" s="18" t="n"/>
      <c r="D182" s="18" t="n"/>
      <c r="E182" s="23" t="n"/>
      <c r="F182" s="23" t="n"/>
      <c r="G182" s="23" t="n"/>
      <c r="H182" s="23" t="n"/>
      <c r="I182" s="15" t="n"/>
      <c r="J182" s="16" t="n"/>
      <c r="K182" s="16" t="n"/>
      <c r="L182" s="16" t="n"/>
      <c r="M182" s="18" t="n"/>
      <c r="N182" s="18" t="n"/>
      <c r="O182" s="18" t="n"/>
      <c r="P182" s="18" t="n"/>
      <c r="Q182" s="18" t="n"/>
      <c r="R182" s="14" t="n"/>
      <c r="S182" s="24" t="n"/>
      <c r="T182" s="22" t="n"/>
    </row>
    <row r="183">
      <c r="A183" s="18" t="n"/>
      <c r="B183" s="18" t="n"/>
      <c r="C183" s="18" t="n"/>
      <c r="D183" s="18" t="n"/>
      <c r="E183" s="23" t="n"/>
      <c r="F183" s="23" t="n"/>
      <c r="G183" s="23" t="n"/>
      <c r="H183" s="23" t="n"/>
      <c r="I183" s="15" t="n"/>
      <c r="J183" s="16" t="n"/>
      <c r="K183" s="16" t="n"/>
      <c r="L183" s="16" t="n"/>
      <c r="M183" s="18" t="n"/>
      <c r="N183" s="18" t="n"/>
      <c r="O183" s="18" t="n"/>
      <c r="P183" s="18" t="n"/>
      <c r="Q183" s="18" t="n"/>
      <c r="R183" s="14" t="n"/>
      <c r="S183" s="24" t="n"/>
      <c r="T183" s="22" t="n"/>
    </row>
    <row r="184">
      <c r="A184" s="18" t="n"/>
      <c r="B184" s="18" t="n"/>
      <c r="C184" s="18" t="n"/>
      <c r="D184" s="18" t="n"/>
      <c r="E184" s="23" t="n"/>
      <c r="F184" s="23" t="n"/>
      <c r="G184" s="23" t="n"/>
      <c r="H184" s="23" t="n"/>
      <c r="I184" s="15" t="n"/>
      <c r="J184" s="16" t="n"/>
      <c r="K184" s="16" t="n"/>
      <c r="L184" s="16" t="n"/>
      <c r="M184" s="18" t="n"/>
      <c r="N184" s="18" t="n"/>
      <c r="O184" s="18" t="n"/>
      <c r="P184" s="18" t="n"/>
      <c r="Q184" s="18" t="n"/>
      <c r="R184" s="14" t="n"/>
      <c r="S184" s="24" t="n"/>
      <c r="T184" s="22" t="n"/>
    </row>
    <row r="185">
      <c r="A185" s="18" t="n"/>
      <c r="B185" s="18" t="n"/>
      <c r="C185" s="18" t="n"/>
      <c r="D185" s="18" t="n"/>
      <c r="E185" s="23" t="n"/>
      <c r="F185" s="23" t="n"/>
      <c r="G185" s="23" t="n"/>
      <c r="H185" s="23" t="n"/>
      <c r="I185" s="15" t="n"/>
      <c r="J185" s="16" t="n"/>
      <c r="K185" s="16" t="n"/>
      <c r="L185" s="16" t="n"/>
      <c r="M185" s="18" t="n"/>
      <c r="N185" s="18" t="n"/>
      <c r="O185" s="18" t="n"/>
      <c r="P185" s="18" t="n"/>
      <c r="Q185" s="18" t="n"/>
      <c r="R185" s="14" t="n"/>
      <c r="S185" s="24" t="n"/>
      <c r="T185" s="22" t="n"/>
    </row>
    <row r="186">
      <c r="A186" s="18" t="n"/>
      <c r="B186" s="18" t="n"/>
      <c r="C186" s="18" t="n"/>
      <c r="D186" s="18" t="n"/>
      <c r="E186" s="23" t="n"/>
      <c r="F186" s="23" t="n"/>
      <c r="G186" s="23" t="n"/>
      <c r="H186" s="23" t="n"/>
      <c r="I186" s="15" t="n"/>
      <c r="J186" s="16" t="n"/>
      <c r="K186" s="16" t="n"/>
      <c r="L186" s="16" t="n"/>
      <c r="M186" s="18" t="n"/>
      <c r="N186" s="18" t="n"/>
      <c r="O186" s="18" t="n"/>
      <c r="P186" s="18" t="n"/>
      <c r="Q186" s="18" t="n"/>
      <c r="R186" s="14" t="n"/>
      <c r="S186" s="24" t="n"/>
      <c r="T186" s="22" t="n"/>
    </row>
    <row r="187">
      <c r="A187" s="18" t="n"/>
      <c r="B187" s="18" t="n"/>
      <c r="C187" s="18" t="n"/>
      <c r="D187" s="18" t="n"/>
      <c r="E187" s="23" t="n"/>
      <c r="F187" s="23" t="n"/>
      <c r="G187" s="23" t="n"/>
      <c r="H187" s="23" t="n"/>
      <c r="I187" s="15" t="n"/>
      <c r="J187" s="16" t="n"/>
      <c r="K187" s="16" t="n"/>
      <c r="L187" s="16" t="n"/>
      <c r="M187" s="18" t="n"/>
      <c r="N187" s="18" t="n"/>
      <c r="O187" s="18" t="n"/>
      <c r="P187" s="18" t="n"/>
      <c r="Q187" s="18" t="n"/>
      <c r="R187" s="14" t="n"/>
      <c r="S187" s="24" t="n"/>
      <c r="T187" s="22" t="n"/>
    </row>
    <row r="188">
      <c r="A188" s="18" t="n"/>
      <c r="B188" s="18" t="n"/>
      <c r="C188" s="18" t="n"/>
      <c r="D188" s="18" t="n"/>
      <c r="E188" s="23" t="n"/>
      <c r="F188" s="23" t="n"/>
      <c r="G188" s="23" t="n"/>
      <c r="H188" s="23" t="n"/>
      <c r="I188" s="15" t="n"/>
      <c r="J188" s="16" t="n"/>
      <c r="K188" s="16" t="n"/>
      <c r="L188" s="16" t="n"/>
      <c r="M188" s="18" t="n"/>
      <c r="N188" s="18" t="n"/>
      <c r="O188" s="18" t="n"/>
      <c r="P188" s="18" t="n"/>
      <c r="Q188" s="18" t="n"/>
      <c r="R188" s="14" t="n"/>
      <c r="S188" s="24" t="n"/>
      <c r="T188" s="22" t="n"/>
    </row>
    <row r="189">
      <c r="A189" s="18" t="n"/>
      <c r="B189" s="18" t="n"/>
      <c r="C189" s="18" t="n"/>
      <c r="D189" s="18" t="n"/>
      <c r="E189" s="23" t="n"/>
      <c r="F189" s="23" t="n"/>
      <c r="G189" s="23" t="n"/>
      <c r="H189" s="23" t="n"/>
      <c r="I189" s="15" t="n"/>
      <c r="J189" s="16" t="n"/>
      <c r="K189" s="16" t="n"/>
      <c r="L189" s="16" t="n"/>
      <c r="M189" s="18" t="n"/>
      <c r="N189" s="18" t="n"/>
      <c r="O189" s="18" t="n"/>
      <c r="P189" s="18" t="n"/>
      <c r="Q189" s="18" t="n"/>
      <c r="R189" s="14" t="n"/>
      <c r="S189" s="24" t="n"/>
      <c r="T189" s="22" t="n"/>
    </row>
    <row r="190">
      <c r="A190" s="18" t="n"/>
      <c r="B190" s="18" t="n"/>
      <c r="C190" s="18" t="n"/>
      <c r="D190" s="18" t="n"/>
      <c r="E190" s="23" t="n"/>
      <c r="F190" s="23" t="n"/>
      <c r="G190" s="23" t="n"/>
      <c r="H190" s="23" t="n"/>
      <c r="I190" s="15" t="n"/>
      <c r="J190" s="16" t="n"/>
      <c r="K190" s="16" t="n"/>
      <c r="L190" s="16" t="n"/>
      <c r="M190" s="18" t="n"/>
      <c r="N190" s="18" t="n"/>
      <c r="O190" s="18" t="n"/>
      <c r="P190" s="18" t="n"/>
      <c r="Q190" s="18" t="n"/>
      <c r="R190" s="14" t="n"/>
      <c r="S190" s="24" t="n"/>
      <c r="T190" s="22" t="n"/>
    </row>
    <row r="191">
      <c r="A191" s="18" t="n"/>
      <c r="B191" s="18" t="n"/>
      <c r="C191" s="18" t="n"/>
      <c r="D191" s="18" t="n"/>
      <c r="E191" s="23" t="n"/>
      <c r="F191" s="23" t="n"/>
      <c r="G191" s="23" t="n"/>
      <c r="H191" s="23" t="n"/>
      <c r="I191" s="15" t="n"/>
      <c r="J191" s="16" t="n"/>
      <c r="K191" s="16" t="n"/>
      <c r="L191" s="16" t="n"/>
      <c r="M191" s="18" t="n"/>
      <c r="N191" s="18" t="n"/>
      <c r="O191" s="18" t="n"/>
      <c r="P191" s="18" t="n"/>
      <c r="Q191" s="18" t="n"/>
      <c r="R191" s="14" t="n"/>
      <c r="S191" s="24" t="n"/>
      <c r="T191" s="22" t="n"/>
    </row>
    <row r="192">
      <c r="A192" s="18" t="n"/>
      <c r="B192" s="18" t="n"/>
      <c r="C192" s="18" t="n"/>
      <c r="D192" s="18" t="n"/>
      <c r="E192" s="23" t="n"/>
      <c r="F192" s="23" t="n"/>
      <c r="G192" s="23" t="n"/>
      <c r="H192" s="23" t="n"/>
      <c r="I192" s="15" t="n"/>
      <c r="J192" s="16" t="n"/>
      <c r="K192" s="16" t="n"/>
      <c r="L192" s="16" t="n"/>
      <c r="M192" s="18" t="n"/>
      <c r="N192" s="18" t="n"/>
      <c r="O192" s="18" t="n"/>
      <c r="P192" s="18" t="n"/>
      <c r="Q192" s="18" t="n"/>
      <c r="R192" s="14" t="n"/>
      <c r="S192" s="24" t="n"/>
      <c r="T192" s="22" t="n"/>
    </row>
    <row r="193">
      <c r="A193" s="18" t="n"/>
      <c r="B193" s="18" t="n"/>
      <c r="C193" s="18" t="n"/>
      <c r="D193" s="18" t="n"/>
      <c r="E193" s="23" t="n"/>
      <c r="F193" s="23" t="n"/>
      <c r="G193" s="23" t="n"/>
      <c r="H193" s="23" t="n"/>
      <c r="I193" s="15" t="n"/>
      <c r="J193" s="16" t="n"/>
      <c r="K193" s="16" t="n"/>
      <c r="L193" s="16" t="n"/>
      <c r="M193" s="18" t="n"/>
      <c r="N193" s="18" t="n"/>
      <c r="O193" s="18" t="n"/>
      <c r="P193" s="18" t="n"/>
      <c r="Q193" s="18" t="n"/>
      <c r="R193" s="14" t="n"/>
      <c r="S193" s="24" t="n"/>
      <c r="T193" s="22" t="n"/>
    </row>
    <row r="194">
      <c r="A194" s="18" t="n"/>
      <c r="B194" s="18" t="n"/>
      <c r="C194" s="18" t="n"/>
      <c r="D194" s="18" t="n"/>
      <c r="E194" s="23" t="n"/>
      <c r="F194" s="23" t="n"/>
      <c r="G194" s="23" t="n"/>
      <c r="H194" s="23" t="n"/>
      <c r="I194" s="15" t="n"/>
      <c r="J194" s="16" t="n"/>
      <c r="K194" s="16" t="n"/>
      <c r="L194" s="16" t="n"/>
      <c r="M194" s="18" t="n"/>
      <c r="N194" s="18" t="n"/>
      <c r="O194" s="18" t="n"/>
      <c r="P194" s="18" t="n"/>
      <c r="Q194" s="18" t="n"/>
      <c r="R194" s="14" t="n"/>
      <c r="S194" s="24" t="n"/>
      <c r="T194" s="22" t="n"/>
    </row>
    <row r="195">
      <c r="A195" s="18" t="n"/>
      <c r="B195" s="18" t="n"/>
      <c r="C195" s="18" t="n"/>
      <c r="D195" s="18" t="n"/>
      <c r="E195" s="23" t="n"/>
      <c r="F195" s="23" t="n"/>
      <c r="G195" s="23" t="n"/>
      <c r="H195" s="23" t="n"/>
      <c r="I195" s="15" t="n"/>
      <c r="J195" s="16" t="n"/>
      <c r="K195" s="16" t="n"/>
      <c r="L195" s="16" t="n"/>
      <c r="M195" s="18" t="n"/>
      <c r="N195" s="18" t="n"/>
      <c r="O195" s="18" t="n"/>
      <c r="P195" s="18" t="n"/>
      <c r="Q195" s="18" t="n"/>
      <c r="R195" s="14" t="n"/>
      <c r="S195" s="24" t="n"/>
      <c r="T195" s="22" t="n"/>
    </row>
    <row r="196">
      <c r="A196" s="18" t="n"/>
      <c r="B196" s="18" t="n"/>
      <c r="C196" s="18" t="n"/>
      <c r="D196" s="18" t="n"/>
      <c r="E196" s="23" t="n"/>
      <c r="F196" s="23" t="n"/>
      <c r="G196" s="23" t="n"/>
      <c r="H196" s="23" t="n"/>
      <c r="I196" s="15" t="n"/>
      <c r="J196" s="16" t="n"/>
      <c r="K196" s="16" t="n"/>
      <c r="L196" s="16" t="n"/>
      <c r="M196" s="18" t="n"/>
      <c r="N196" s="18" t="n"/>
      <c r="O196" s="18" t="n"/>
      <c r="P196" s="18" t="n"/>
      <c r="Q196" s="18" t="n"/>
      <c r="R196" s="14" t="n"/>
      <c r="S196" s="24" t="n"/>
      <c r="T196" s="22" t="n"/>
    </row>
    <row r="197">
      <c r="A197" s="18" t="n"/>
      <c r="B197" s="18" t="n"/>
      <c r="C197" s="18" t="n"/>
      <c r="D197" s="18" t="n"/>
      <c r="E197" s="23" t="n"/>
      <c r="F197" s="23" t="n"/>
      <c r="G197" s="23" t="n"/>
      <c r="H197" s="23" t="n"/>
      <c r="I197" s="15" t="n"/>
      <c r="J197" s="16" t="n"/>
      <c r="K197" s="16" t="n"/>
      <c r="L197" s="16" t="n"/>
      <c r="M197" s="18" t="n"/>
      <c r="N197" s="18" t="n"/>
      <c r="O197" s="18" t="n"/>
      <c r="P197" s="18" t="n"/>
      <c r="Q197" s="18" t="n"/>
      <c r="R197" s="14" t="n"/>
      <c r="S197" s="24" t="n"/>
      <c r="T197" s="22" t="n"/>
    </row>
    <row r="198">
      <c r="A198" s="18" t="n"/>
      <c r="B198" s="18" t="n"/>
      <c r="C198" s="18" t="n"/>
      <c r="D198" s="18" t="n"/>
      <c r="E198" s="23" t="n"/>
      <c r="F198" s="23" t="n"/>
      <c r="G198" s="23" t="n"/>
      <c r="H198" s="23" t="n"/>
      <c r="I198" s="15" t="n"/>
      <c r="J198" s="16" t="n"/>
      <c r="K198" s="16" t="n"/>
      <c r="L198" s="16" t="n"/>
      <c r="M198" s="18" t="n"/>
      <c r="N198" s="18" t="n"/>
      <c r="O198" s="18" t="n"/>
      <c r="P198" s="18" t="n"/>
      <c r="Q198" s="18" t="n"/>
      <c r="R198" s="14" t="n"/>
      <c r="S198" s="24" t="n"/>
      <c r="T198" s="22" t="n"/>
    </row>
    <row r="199">
      <c r="A199" s="18" t="n"/>
      <c r="B199" s="18" t="n"/>
      <c r="C199" s="18" t="n"/>
      <c r="D199" s="18" t="n"/>
      <c r="E199" s="23" t="n"/>
      <c r="F199" s="23" t="n"/>
      <c r="G199" s="23" t="n"/>
      <c r="H199" s="23" t="n"/>
      <c r="I199" s="15" t="n"/>
      <c r="J199" s="16" t="n"/>
      <c r="K199" s="16" t="n"/>
      <c r="L199" s="16" t="n"/>
      <c r="M199" s="18" t="n"/>
      <c r="N199" s="18" t="n"/>
      <c r="O199" s="18" t="n"/>
      <c r="P199" s="18" t="n"/>
      <c r="Q199" s="18" t="n"/>
      <c r="R199" s="14" t="n"/>
      <c r="S199" s="24" t="n"/>
      <c r="T199" s="22" t="n"/>
    </row>
    <row r="200">
      <c r="A200" s="18" t="n"/>
      <c r="B200" s="18" t="n"/>
      <c r="C200" s="18" t="n"/>
      <c r="D200" s="18" t="n"/>
      <c r="E200" s="23" t="n"/>
      <c r="F200" s="23" t="n"/>
      <c r="G200" s="23" t="n"/>
      <c r="H200" s="23" t="n"/>
      <c r="I200" s="15" t="n"/>
      <c r="J200" s="16" t="n"/>
      <c r="K200" s="16" t="n"/>
      <c r="L200" s="16" t="n"/>
      <c r="M200" s="18" t="n"/>
      <c r="N200" s="18" t="n"/>
      <c r="O200" s="18" t="n"/>
      <c r="P200" s="18" t="n"/>
      <c r="Q200" s="18" t="n"/>
      <c r="R200" s="14" t="n"/>
      <c r="S200" s="24" t="n"/>
      <c r="T200" s="22" t="n"/>
    </row>
    <row r="201">
      <c r="A201" s="18" t="n"/>
      <c r="B201" s="18" t="n"/>
      <c r="C201" s="18" t="n"/>
      <c r="D201" s="18" t="n"/>
      <c r="E201" s="23" t="n"/>
      <c r="F201" s="23" t="n"/>
      <c r="G201" s="23" t="n"/>
      <c r="H201" s="23" t="n"/>
      <c r="I201" s="15" t="n"/>
      <c r="J201" s="16" t="n"/>
      <c r="K201" s="16" t="n"/>
      <c r="L201" s="16" t="n"/>
      <c r="M201" s="18" t="n"/>
      <c r="N201" s="18" t="n"/>
      <c r="O201" s="18" t="n"/>
      <c r="P201" s="18" t="n"/>
      <c r="Q201" s="18" t="n"/>
      <c r="R201" s="14" t="n"/>
      <c r="S201" s="24" t="n"/>
      <c r="T201" s="22" t="n"/>
    </row>
    <row r="202">
      <c r="A202" s="18" t="n"/>
      <c r="B202" s="18" t="n"/>
      <c r="C202" s="18" t="n"/>
      <c r="D202" s="18" t="n"/>
      <c r="E202" s="23" t="n"/>
      <c r="F202" s="23" t="n"/>
      <c r="G202" s="23" t="n"/>
      <c r="H202" s="23" t="n"/>
      <c r="I202" s="15" t="n"/>
      <c r="J202" s="16" t="n"/>
      <c r="K202" s="16" t="n"/>
      <c r="L202" s="16" t="n"/>
      <c r="M202" s="18" t="n"/>
      <c r="N202" s="18" t="n"/>
      <c r="O202" s="18" t="n"/>
      <c r="P202" s="18" t="n"/>
      <c r="Q202" s="18" t="n"/>
      <c r="R202" s="14" t="n"/>
      <c r="S202" s="24" t="n"/>
      <c r="T202" s="22" t="n"/>
    </row>
    <row r="203">
      <c r="A203" s="18" t="n"/>
      <c r="B203" s="18" t="n"/>
      <c r="C203" s="18" t="n"/>
      <c r="D203" s="18" t="n"/>
      <c r="E203" s="23" t="n"/>
      <c r="F203" s="23" t="n"/>
      <c r="G203" s="23" t="n"/>
      <c r="H203" s="23" t="n"/>
      <c r="I203" s="15" t="n"/>
      <c r="J203" s="16" t="n"/>
      <c r="K203" s="16" t="n"/>
      <c r="L203" s="16" t="n"/>
      <c r="M203" s="18" t="n"/>
      <c r="N203" s="18" t="n"/>
      <c r="O203" s="18" t="n"/>
      <c r="P203" s="18" t="n"/>
      <c r="Q203" s="18" t="n"/>
      <c r="R203" s="14" t="n"/>
      <c r="S203" s="24" t="n"/>
      <c r="T203" s="22" t="n"/>
    </row>
    <row r="204">
      <c r="A204" s="18" t="n"/>
      <c r="B204" s="18" t="n"/>
      <c r="C204" s="18" t="n"/>
      <c r="D204" s="18" t="n"/>
      <c r="E204" s="23" t="n"/>
      <c r="F204" s="23" t="n"/>
      <c r="G204" s="23" t="n"/>
      <c r="H204" s="23" t="n"/>
      <c r="I204" s="15" t="n"/>
      <c r="J204" s="16" t="n"/>
      <c r="K204" s="16" t="n"/>
      <c r="L204" s="16" t="n"/>
      <c r="M204" s="18" t="n"/>
      <c r="N204" s="18" t="n"/>
      <c r="O204" s="18" t="n"/>
      <c r="P204" s="18" t="n"/>
      <c r="Q204" s="18" t="n"/>
      <c r="R204" s="14" t="n"/>
      <c r="S204" s="24" t="n"/>
      <c r="T204" s="22" t="n"/>
    </row>
    <row r="205">
      <c r="A205" s="18" t="n"/>
      <c r="B205" s="18" t="n"/>
      <c r="C205" s="18" t="n"/>
      <c r="D205" s="18" t="n"/>
      <c r="E205" s="23" t="n"/>
      <c r="F205" s="23" t="n"/>
      <c r="G205" s="23" t="n"/>
      <c r="H205" s="23" t="n"/>
      <c r="I205" s="15" t="n"/>
      <c r="J205" s="16" t="n"/>
      <c r="K205" s="16" t="n"/>
      <c r="L205" s="16" t="n"/>
      <c r="M205" s="18" t="n"/>
      <c r="N205" s="18" t="n"/>
      <c r="O205" s="18" t="n"/>
      <c r="P205" s="18" t="n"/>
      <c r="Q205" s="18" t="n"/>
      <c r="R205" s="14" t="n"/>
      <c r="S205" s="24" t="n"/>
      <c r="T205" s="22" t="n"/>
    </row>
  </sheetData>
  <autoFilter ref="A5:T205"/>
  <mergeCells count="1">
    <mergeCell ref="H1:I1"/>
  </mergeCells>
  <conditionalFormatting sqref="A6:T205">
    <cfRule type="expression" priority="1" dxfId="2">
      <formula>OR($C6="beendet",$C6="abgeschlossen")</formula>
    </cfRule>
    <cfRule type="expression" priority="2" dxfId="4">
      <formula>$S6&lt;&gt;""</formula>
    </cfRule>
  </conditionalFormatting>
  <conditionalFormatting sqref="C6:C205">
    <cfRule type="expression" priority="3" dxfId="5">
      <formula>$C6="überfällig"</formula>
    </cfRule>
  </conditionalFormatting>
  <conditionalFormatting sqref="B6:B205">
    <cfRule type="expression" priority="4" dxfId="1">
      <formula>LEFT($B6,3)="Abo"</formula>
    </cfRule>
    <cfRule type="expression" priority="5" dxfId="6">
      <formula>$B6="Teilzahlung"</formula>
    </cfRule>
    <cfRule type="expression" priority="6" dxfId="7">
      <formula>$B6="Dauerauftrag"</formula>
    </cfRule>
  </conditionalFormatting>
  <dataValidations count="2">
    <dataValidation sqref="S6:S205" showDropDown="0" showInputMessage="0" showErrorMessage="0" allowBlank="1" type="list">
      <formula1>"x"</formula1>
    </dataValidation>
    <dataValidation sqref="R6:R205" showDropDown="0" showInputMessage="0" showErrorMessage="0" allowBlank="1" type="list">
      <formula1>=Einstellungen!$D$5:$D$30</formula1>
    </dataValidation>
  </dataValidations>
  <hyperlinks>
    <hyperlink xmlns:r="http://schemas.openxmlformats.org/officeDocument/2006/relationships" ref="H1" r:id="rId1"/>
  </hyperlink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Monat">
    <outlinePr summaryBelow="1" summaryRight="1"/>
    <pageSetUpPr/>
  </sheetPr>
  <dimension ref="A1:H41"/>
  <sheetViews>
    <sheetView showGridLines="0" zoomScale="100" workbookViewId="0">
      <selection activeCell="A1" sqref="A1"/>
    </sheetView>
  </sheetViews>
  <sheetFormatPr baseColWidth="8" defaultRowHeight="15"/>
  <cols>
    <col width="12" customWidth="1" min="1" max="1"/>
    <col width="14" customWidth="1" min="2" max="2"/>
    <col width="14" customWidth="1" min="3" max="3"/>
    <col width="14" customWidth="1" min="4" max="4"/>
    <col width="14" customWidth="1" min="5" max="5"/>
    <col width="16" customWidth="1" min="6" max="6"/>
    <col width="16" customWidth="1" min="7" max="7"/>
    <col width="14" customWidth="1" min="8" max="8"/>
  </cols>
  <sheetData>
    <row r="1">
      <c r="A1" s="1" t="inlineStr">
        <is>
          <t>Monatsübersicht</t>
        </is>
      </c>
    </row>
    <row r="2">
      <c r="A2" s="2" t="inlineStr">
        <is>
          <t>Je Monat mit Buchungen (wird von der Abo-Erkennung befüllt, die jüngsten 36 Monate). Beträge aus dem Blatt Buchungen nach Art.</t>
        </is>
      </c>
    </row>
    <row r="5" ht="28" customHeight="1">
      <c r="A5" s="13" t="inlineStr">
        <is>
          <t>Monat</t>
        </is>
      </c>
      <c r="B5" s="13" t="inlineStr">
        <is>
          <t>Einnahmen</t>
        </is>
      </c>
      <c r="C5" s="13" t="inlineStr">
        <is>
          <t>Abos</t>
        </is>
      </c>
      <c r="D5" s="13" t="inlineStr">
        <is>
          <t>Teilzahlungen</t>
        </is>
      </c>
      <c r="E5" s="13" t="inlineStr">
        <is>
          <t>Daueraufträge</t>
        </is>
      </c>
      <c r="F5" s="13" t="inlineStr">
        <is>
          <t>sonstige Ausgaben</t>
        </is>
      </c>
      <c r="G5" s="13" t="inlineStr">
        <is>
          <t>Ausgaben gesamt</t>
        </is>
      </c>
      <c r="H5" s="13" t="inlineStr">
        <is>
          <t>Saldo</t>
        </is>
      </c>
    </row>
    <row r="6">
      <c r="A6" s="25" t="n"/>
      <c r="B6" s="17">
        <f>IF($A6="","",SUMIFS(Buchungen!$E$6:$E$20000,Buchungen!$H$6:$H$20000,"Einnahme",Buchungen!$J$6:$J$20000,$A6))</f>
        <v/>
      </c>
      <c r="C6" s="17">
        <f>IF($A6="","",-SUMIFS(Buchungen!$E$6:$E$20000,Buchungen!$H$6:$H$20000,"Abo*",Buchungen!$J$6:$J$20000,$A6))</f>
        <v/>
      </c>
      <c r="D6" s="17">
        <f>IF($A6="","",-SUMIFS(Buchungen!$E$6:$E$20000,Buchungen!$H$6:$H$20000,"Teilzahlung",Buchungen!$J$6:$J$20000,$A6))</f>
        <v/>
      </c>
      <c r="E6" s="17">
        <f>IF($A6="","",-SUMIFS(Buchungen!$E$6:$E$20000,Buchungen!$H$6:$H$20000,"Dauerauftrag",Buchungen!$J$6:$J$20000,$A6))</f>
        <v/>
      </c>
      <c r="F6" s="17">
        <f>IF($A6="","",-SUMIFS(Buchungen!$E$6:$E$20000,Buchungen!$H$6:$H$20000,"Ausgabe",Buchungen!$J$6:$J$20000,$A6))</f>
        <v/>
      </c>
      <c r="G6" s="26">
        <f>IF($A6="","",C6+D6+E6+F6)</f>
        <v/>
      </c>
      <c r="H6" s="26">
        <f>IF($A6="","",B6-G6)</f>
        <v/>
      </c>
    </row>
    <row r="7">
      <c r="A7" s="25" t="n"/>
      <c r="B7" s="17">
        <f>IF($A7="","",SUMIFS(Buchungen!$E$6:$E$20000,Buchungen!$H$6:$H$20000,"Einnahme",Buchungen!$J$6:$J$20000,$A7))</f>
        <v/>
      </c>
      <c r="C7" s="17">
        <f>IF($A7="","",-SUMIFS(Buchungen!$E$6:$E$20000,Buchungen!$H$6:$H$20000,"Abo*",Buchungen!$J$6:$J$20000,$A7))</f>
        <v/>
      </c>
      <c r="D7" s="17">
        <f>IF($A7="","",-SUMIFS(Buchungen!$E$6:$E$20000,Buchungen!$H$6:$H$20000,"Teilzahlung",Buchungen!$J$6:$J$20000,$A7))</f>
        <v/>
      </c>
      <c r="E7" s="17">
        <f>IF($A7="","",-SUMIFS(Buchungen!$E$6:$E$20000,Buchungen!$H$6:$H$20000,"Dauerauftrag",Buchungen!$J$6:$J$20000,$A7))</f>
        <v/>
      </c>
      <c r="F7" s="17">
        <f>IF($A7="","",-SUMIFS(Buchungen!$E$6:$E$20000,Buchungen!$H$6:$H$20000,"Ausgabe",Buchungen!$J$6:$J$20000,$A7))</f>
        <v/>
      </c>
      <c r="G7" s="26">
        <f>IF($A7="","",C7+D7+E7+F7)</f>
        <v/>
      </c>
      <c r="H7" s="26">
        <f>IF($A7="","",B7-G7)</f>
        <v/>
      </c>
    </row>
    <row r="8">
      <c r="A8" s="25" t="n"/>
      <c r="B8" s="17">
        <f>IF($A8="","",SUMIFS(Buchungen!$E$6:$E$20000,Buchungen!$H$6:$H$20000,"Einnahme",Buchungen!$J$6:$J$20000,$A8))</f>
        <v/>
      </c>
      <c r="C8" s="17">
        <f>IF($A8="","",-SUMIFS(Buchungen!$E$6:$E$20000,Buchungen!$H$6:$H$20000,"Abo*",Buchungen!$J$6:$J$20000,$A8))</f>
        <v/>
      </c>
      <c r="D8" s="17">
        <f>IF($A8="","",-SUMIFS(Buchungen!$E$6:$E$20000,Buchungen!$H$6:$H$20000,"Teilzahlung",Buchungen!$J$6:$J$20000,$A8))</f>
        <v/>
      </c>
      <c r="E8" s="17">
        <f>IF($A8="","",-SUMIFS(Buchungen!$E$6:$E$20000,Buchungen!$H$6:$H$20000,"Dauerauftrag",Buchungen!$J$6:$J$20000,$A8))</f>
        <v/>
      </c>
      <c r="F8" s="17">
        <f>IF($A8="","",-SUMIFS(Buchungen!$E$6:$E$20000,Buchungen!$H$6:$H$20000,"Ausgabe",Buchungen!$J$6:$J$20000,$A8))</f>
        <v/>
      </c>
      <c r="G8" s="26">
        <f>IF($A8="","",C8+D8+E8+F8)</f>
        <v/>
      </c>
      <c r="H8" s="26">
        <f>IF($A8="","",B8-G8)</f>
        <v/>
      </c>
    </row>
    <row r="9">
      <c r="A9" s="25" t="n"/>
      <c r="B9" s="17">
        <f>IF($A9="","",SUMIFS(Buchungen!$E$6:$E$20000,Buchungen!$H$6:$H$20000,"Einnahme",Buchungen!$J$6:$J$20000,$A9))</f>
        <v/>
      </c>
      <c r="C9" s="17">
        <f>IF($A9="","",-SUMIFS(Buchungen!$E$6:$E$20000,Buchungen!$H$6:$H$20000,"Abo*",Buchungen!$J$6:$J$20000,$A9))</f>
        <v/>
      </c>
      <c r="D9" s="17">
        <f>IF($A9="","",-SUMIFS(Buchungen!$E$6:$E$20000,Buchungen!$H$6:$H$20000,"Teilzahlung",Buchungen!$J$6:$J$20000,$A9))</f>
        <v/>
      </c>
      <c r="E9" s="17">
        <f>IF($A9="","",-SUMIFS(Buchungen!$E$6:$E$20000,Buchungen!$H$6:$H$20000,"Dauerauftrag",Buchungen!$J$6:$J$20000,$A9))</f>
        <v/>
      </c>
      <c r="F9" s="17">
        <f>IF($A9="","",-SUMIFS(Buchungen!$E$6:$E$20000,Buchungen!$H$6:$H$20000,"Ausgabe",Buchungen!$J$6:$J$20000,$A9))</f>
        <v/>
      </c>
      <c r="G9" s="26">
        <f>IF($A9="","",C9+D9+E9+F9)</f>
        <v/>
      </c>
      <c r="H9" s="26">
        <f>IF($A9="","",B9-G9)</f>
        <v/>
      </c>
    </row>
    <row r="10">
      <c r="A10" s="25" t="n"/>
      <c r="B10" s="17">
        <f>IF($A10="","",SUMIFS(Buchungen!$E$6:$E$20000,Buchungen!$H$6:$H$20000,"Einnahme",Buchungen!$J$6:$J$20000,$A10))</f>
        <v/>
      </c>
      <c r="C10" s="17">
        <f>IF($A10="","",-SUMIFS(Buchungen!$E$6:$E$20000,Buchungen!$H$6:$H$20000,"Abo*",Buchungen!$J$6:$J$20000,$A10))</f>
        <v/>
      </c>
      <c r="D10" s="17">
        <f>IF($A10="","",-SUMIFS(Buchungen!$E$6:$E$20000,Buchungen!$H$6:$H$20000,"Teilzahlung",Buchungen!$J$6:$J$20000,$A10))</f>
        <v/>
      </c>
      <c r="E10" s="17">
        <f>IF($A10="","",-SUMIFS(Buchungen!$E$6:$E$20000,Buchungen!$H$6:$H$20000,"Dauerauftrag",Buchungen!$J$6:$J$20000,$A10))</f>
        <v/>
      </c>
      <c r="F10" s="17">
        <f>IF($A10="","",-SUMIFS(Buchungen!$E$6:$E$20000,Buchungen!$H$6:$H$20000,"Ausgabe",Buchungen!$J$6:$J$20000,$A10))</f>
        <v/>
      </c>
      <c r="G10" s="26">
        <f>IF($A10="","",C10+D10+E10+F10)</f>
        <v/>
      </c>
      <c r="H10" s="26">
        <f>IF($A10="","",B10-G10)</f>
        <v/>
      </c>
    </row>
    <row r="11">
      <c r="A11" s="25" t="n"/>
      <c r="B11" s="17">
        <f>IF($A11="","",SUMIFS(Buchungen!$E$6:$E$20000,Buchungen!$H$6:$H$20000,"Einnahme",Buchungen!$J$6:$J$20000,$A11))</f>
        <v/>
      </c>
      <c r="C11" s="17">
        <f>IF($A11="","",-SUMIFS(Buchungen!$E$6:$E$20000,Buchungen!$H$6:$H$20000,"Abo*",Buchungen!$J$6:$J$20000,$A11))</f>
        <v/>
      </c>
      <c r="D11" s="17">
        <f>IF($A11="","",-SUMIFS(Buchungen!$E$6:$E$20000,Buchungen!$H$6:$H$20000,"Teilzahlung",Buchungen!$J$6:$J$20000,$A11))</f>
        <v/>
      </c>
      <c r="E11" s="17">
        <f>IF($A11="","",-SUMIFS(Buchungen!$E$6:$E$20000,Buchungen!$H$6:$H$20000,"Dauerauftrag",Buchungen!$J$6:$J$20000,$A11))</f>
        <v/>
      </c>
      <c r="F11" s="17">
        <f>IF($A11="","",-SUMIFS(Buchungen!$E$6:$E$20000,Buchungen!$H$6:$H$20000,"Ausgabe",Buchungen!$J$6:$J$20000,$A11))</f>
        <v/>
      </c>
      <c r="G11" s="26">
        <f>IF($A11="","",C11+D11+E11+F11)</f>
        <v/>
      </c>
      <c r="H11" s="26">
        <f>IF($A11="","",B11-G11)</f>
        <v/>
      </c>
    </row>
    <row r="12">
      <c r="A12" s="25" t="n"/>
      <c r="B12" s="17">
        <f>IF($A12="","",SUMIFS(Buchungen!$E$6:$E$20000,Buchungen!$H$6:$H$20000,"Einnahme",Buchungen!$J$6:$J$20000,$A12))</f>
        <v/>
      </c>
      <c r="C12" s="17">
        <f>IF($A12="","",-SUMIFS(Buchungen!$E$6:$E$20000,Buchungen!$H$6:$H$20000,"Abo*",Buchungen!$J$6:$J$20000,$A12))</f>
        <v/>
      </c>
      <c r="D12" s="17">
        <f>IF($A12="","",-SUMIFS(Buchungen!$E$6:$E$20000,Buchungen!$H$6:$H$20000,"Teilzahlung",Buchungen!$J$6:$J$20000,$A12))</f>
        <v/>
      </c>
      <c r="E12" s="17">
        <f>IF($A12="","",-SUMIFS(Buchungen!$E$6:$E$20000,Buchungen!$H$6:$H$20000,"Dauerauftrag",Buchungen!$J$6:$J$20000,$A12))</f>
        <v/>
      </c>
      <c r="F12" s="17">
        <f>IF($A12="","",-SUMIFS(Buchungen!$E$6:$E$20000,Buchungen!$H$6:$H$20000,"Ausgabe",Buchungen!$J$6:$J$20000,$A12))</f>
        <v/>
      </c>
      <c r="G12" s="26">
        <f>IF($A12="","",C12+D12+E12+F12)</f>
        <v/>
      </c>
      <c r="H12" s="26">
        <f>IF($A12="","",B12-G12)</f>
        <v/>
      </c>
    </row>
    <row r="13">
      <c r="A13" s="25" t="n"/>
      <c r="B13" s="17">
        <f>IF($A13="","",SUMIFS(Buchungen!$E$6:$E$20000,Buchungen!$H$6:$H$20000,"Einnahme",Buchungen!$J$6:$J$20000,$A13))</f>
        <v/>
      </c>
      <c r="C13" s="17">
        <f>IF($A13="","",-SUMIFS(Buchungen!$E$6:$E$20000,Buchungen!$H$6:$H$20000,"Abo*",Buchungen!$J$6:$J$20000,$A13))</f>
        <v/>
      </c>
      <c r="D13" s="17">
        <f>IF($A13="","",-SUMIFS(Buchungen!$E$6:$E$20000,Buchungen!$H$6:$H$20000,"Teilzahlung",Buchungen!$J$6:$J$20000,$A13))</f>
        <v/>
      </c>
      <c r="E13" s="17">
        <f>IF($A13="","",-SUMIFS(Buchungen!$E$6:$E$20000,Buchungen!$H$6:$H$20000,"Dauerauftrag",Buchungen!$J$6:$J$20000,$A13))</f>
        <v/>
      </c>
      <c r="F13" s="17">
        <f>IF($A13="","",-SUMIFS(Buchungen!$E$6:$E$20000,Buchungen!$H$6:$H$20000,"Ausgabe",Buchungen!$J$6:$J$20000,$A13))</f>
        <v/>
      </c>
      <c r="G13" s="26">
        <f>IF($A13="","",C13+D13+E13+F13)</f>
        <v/>
      </c>
      <c r="H13" s="26">
        <f>IF($A13="","",B13-G13)</f>
        <v/>
      </c>
    </row>
    <row r="14">
      <c r="A14" s="25" t="n"/>
      <c r="B14" s="17">
        <f>IF($A14="","",SUMIFS(Buchungen!$E$6:$E$20000,Buchungen!$H$6:$H$20000,"Einnahme",Buchungen!$J$6:$J$20000,$A14))</f>
        <v/>
      </c>
      <c r="C14" s="17">
        <f>IF($A14="","",-SUMIFS(Buchungen!$E$6:$E$20000,Buchungen!$H$6:$H$20000,"Abo*",Buchungen!$J$6:$J$20000,$A14))</f>
        <v/>
      </c>
      <c r="D14" s="17">
        <f>IF($A14="","",-SUMIFS(Buchungen!$E$6:$E$20000,Buchungen!$H$6:$H$20000,"Teilzahlung",Buchungen!$J$6:$J$20000,$A14))</f>
        <v/>
      </c>
      <c r="E14" s="17">
        <f>IF($A14="","",-SUMIFS(Buchungen!$E$6:$E$20000,Buchungen!$H$6:$H$20000,"Dauerauftrag",Buchungen!$J$6:$J$20000,$A14))</f>
        <v/>
      </c>
      <c r="F14" s="17">
        <f>IF($A14="","",-SUMIFS(Buchungen!$E$6:$E$20000,Buchungen!$H$6:$H$20000,"Ausgabe",Buchungen!$J$6:$J$20000,$A14))</f>
        <v/>
      </c>
      <c r="G14" s="26">
        <f>IF($A14="","",C14+D14+E14+F14)</f>
        <v/>
      </c>
      <c r="H14" s="26">
        <f>IF($A14="","",B14-G14)</f>
        <v/>
      </c>
    </row>
    <row r="15">
      <c r="A15" s="25" t="n"/>
      <c r="B15" s="17">
        <f>IF($A15="","",SUMIFS(Buchungen!$E$6:$E$20000,Buchungen!$H$6:$H$20000,"Einnahme",Buchungen!$J$6:$J$20000,$A15))</f>
        <v/>
      </c>
      <c r="C15" s="17">
        <f>IF($A15="","",-SUMIFS(Buchungen!$E$6:$E$20000,Buchungen!$H$6:$H$20000,"Abo*",Buchungen!$J$6:$J$20000,$A15))</f>
        <v/>
      </c>
      <c r="D15" s="17">
        <f>IF($A15="","",-SUMIFS(Buchungen!$E$6:$E$20000,Buchungen!$H$6:$H$20000,"Teilzahlung",Buchungen!$J$6:$J$20000,$A15))</f>
        <v/>
      </c>
      <c r="E15" s="17">
        <f>IF($A15="","",-SUMIFS(Buchungen!$E$6:$E$20000,Buchungen!$H$6:$H$20000,"Dauerauftrag",Buchungen!$J$6:$J$20000,$A15))</f>
        <v/>
      </c>
      <c r="F15" s="17">
        <f>IF($A15="","",-SUMIFS(Buchungen!$E$6:$E$20000,Buchungen!$H$6:$H$20000,"Ausgabe",Buchungen!$J$6:$J$20000,$A15))</f>
        <v/>
      </c>
      <c r="G15" s="26">
        <f>IF($A15="","",C15+D15+E15+F15)</f>
        <v/>
      </c>
      <c r="H15" s="26">
        <f>IF($A15="","",B15-G15)</f>
        <v/>
      </c>
    </row>
    <row r="16">
      <c r="A16" s="25" t="n"/>
      <c r="B16" s="17">
        <f>IF($A16="","",SUMIFS(Buchungen!$E$6:$E$20000,Buchungen!$H$6:$H$20000,"Einnahme",Buchungen!$J$6:$J$20000,$A16))</f>
        <v/>
      </c>
      <c r="C16" s="17">
        <f>IF($A16="","",-SUMIFS(Buchungen!$E$6:$E$20000,Buchungen!$H$6:$H$20000,"Abo*",Buchungen!$J$6:$J$20000,$A16))</f>
        <v/>
      </c>
      <c r="D16" s="17">
        <f>IF($A16="","",-SUMIFS(Buchungen!$E$6:$E$20000,Buchungen!$H$6:$H$20000,"Teilzahlung",Buchungen!$J$6:$J$20000,$A16))</f>
        <v/>
      </c>
      <c r="E16" s="17">
        <f>IF($A16="","",-SUMIFS(Buchungen!$E$6:$E$20000,Buchungen!$H$6:$H$20000,"Dauerauftrag",Buchungen!$J$6:$J$20000,$A16))</f>
        <v/>
      </c>
      <c r="F16" s="17">
        <f>IF($A16="","",-SUMIFS(Buchungen!$E$6:$E$20000,Buchungen!$H$6:$H$20000,"Ausgabe",Buchungen!$J$6:$J$20000,$A16))</f>
        <v/>
      </c>
      <c r="G16" s="26">
        <f>IF($A16="","",C16+D16+E16+F16)</f>
        <v/>
      </c>
      <c r="H16" s="26">
        <f>IF($A16="","",B16-G16)</f>
        <v/>
      </c>
    </row>
    <row r="17">
      <c r="A17" s="25" t="n"/>
      <c r="B17" s="17">
        <f>IF($A17="","",SUMIFS(Buchungen!$E$6:$E$20000,Buchungen!$H$6:$H$20000,"Einnahme",Buchungen!$J$6:$J$20000,$A17))</f>
        <v/>
      </c>
      <c r="C17" s="17">
        <f>IF($A17="","",-SUMIFS(Buchungen!$E$6:$E$20000,Buchungen!$H$6:$H$20000,"Abo*",Buchungen!$J$6:$J$20000,$A17))</f>
        <v/>
      </c>
      <c r="D17" s="17">
        <f>IF($A17="","",-SUMIFS(Buchungen!$E$6:$E$20000,Buchungen!$H$6:$H$20000,"Teilzahlung",Buchungen!$J$6:$J$20000,$A17))</f>
        <v/>
      </c>
      <c r="E17" s="17">
        <f>IF($A17="","",-SUMIFS(Buchungen!$E$6:$E$20000,Buchungen!$H$6:$H$20000,"Dauerauftrag",Buchungen!$J$6:$J$20000,$A17))</f>
        <v/>
      </c>
      <c r="F17" s="17">
        <f>IF($A17="","",-SUMIFS(Buchungen!$E$6:$E$20000,Buchungen!$H$6:$H$20000,"Ausgabe",Buchungen!$J$6:$J$20000,$A17))</f>
        <v/>
      </c>
      <c r="G17" s="26">
        <f>IF($A17="","",C17+D17+E17+F17)</f>
        <v/>
      </c>
      <c r="H17" s="26">
        <f>IF($A17="","",B17-G17)</f>
        <v/>
      </c>
    </row>
    <row r="18">
      <c r="A18" s="25" t="n"/>
      <c r="B18" s="17">
        <f>IF($A18="","",SUMIFS(Buchungen!$E$6:$E$20000,Buchungen!$H$6:$H$20000,"Einnahme",Buchungen!$J$6:$J$20000,$A18))</f>
        <v/>
      </c>
      <c r="C18" s="17">
        <f>IF($A18="","",-SUMIFS(Buchungen!$E$6:$E$20000,Buchungen!$H$6:$H$20000,"Abo*",Buchungen!$J$6:$J$20000,$A18))</f>
        <v/>
      </c>
      <c r="D18" s="17">
        <f>IF($A18="","",-SUMIFS(Buchungen!$E$6:$E$20000,Buchungen!$H$6:$H$20000,"Teilzahlung",Buchungen!$J$6:$J$20000,$A18))</f>
        <v/>
      </c>
      <c r="E18" s="17">
        <f>IF($A18="","",-SUMIFS(Buchungen!$E$6:$E$20000,Buchungen!$H$6:$H$20000,"Dauerauftrag",Buchungen!$J$6:$J$20000,$A18))</f>
        <v/>
      </c>
      <c r="F18" s="17">
        <f>IF($A18="","",-SUMIFS(Buchungen!$E$6:$E$20000,Buchungen!$H$6:$H$20000,"Ausgabe",Buchungen!$J$6:$J$20000,$A18))</f>
        <v/>
      </c>
      <c r="G18" s="26">
        <f>IF($A18="","",C18+D18+E18+F18)</f>
        <v/>
      </c>
      <c r="H18" s="26">
        <f>IF($A18="","",B18-G18)</f>
        <v/>
      </c>
    </row>
    <row r="19">
      <c r="A19" s="25" t="n"/>
      <c r="B19" s="17">
        <f>IF($A19="","",SUMIFS(Buchungen!$E$6:$E$20000,Buchungen!$H$6:$H$20000,"Einnahme",Buchungen!$J$6:$J$20000,$A19))</f>
        <v/>
      </c>
      <c r="C19" s="17">
        <f>IF($A19="","",-SUMIFS(Buchungen!$E$6:$E$20000,Buchungen!$H$6:$H$20000,"Abo*",Buchungen!$J$6:$J$20000,$A19))</f>
        <v/>
      </c>
      <c r="D19" s="17">
        <f>IF($A19="","",-SUMIFS(Buchungen!$E$6:$E$20000,Buchungen!$H$6:$H$20000,"Teilzahlung",Buchungen!$J$6:$J$20000,$A19))</f>
        <v/>
      </c>
      <c r="E19" s="17">
        <f>IF($A19="","",-SUMIFS(Buchungen!$E$6:$E$20000,Buchungen!$H$6:$H$20000,"Dauerauftrag",Buchungen!$J$6:$J$20000,$A19))</f>
        <v/>
      </c>
      <c r="F19" s="17">
        <f>IF($A19="","",-SUMIFS(Buchungen!$E$6:$E$20000,Buchungen!$H$6:$H$20000,"Ausgabe",Buchungen!$J$6:$J$20000,$A19))</f>
        <v/>
      </c>
      <c r="G19" s="26">
        <f>IF($A19="","",C19+D19+E19+F19)</f>
        <v/>
      </c>
      <c r="H19" s="26">
        <f>IF($A19="","",B19-G19)</f>
        <v/>
      </c>
    </row>
    <row r="20">
      <c r="A20" s="25" t="n"/>
      <c r="B20" s="17">
        <f>IF($A20="","",SUMIFS(Buchungen!$E$6:$E$20000,Buchungen!$H$6:$H$20000,"Einnahme",Buchungen!$J$6:$J$20000,$A20))</f>
        <v/>
      </c>
      <c r="C20" s="17">
        <f>IF($A20="","",-SUMIFS(Buchungen!$E$6:$E$20000,Buchungen!$H$6:$H$20000,"Abo*",Buchungen!$J$6:$J$20000,$A20))</f>
        <v/>
      </c>
      <c r="D20" s="17">
        <f>IF($A20="","",-SUMIFS(Buchungen!$E$6:$E$20000,Buchungen!$H$6:$H$20000,"Teilzahlung",Buchungen!$J$6:$J$20000,$A20))</f>
        <v/>
      </c>
      <c r="E20" s="17">
        <f>IF($A20="","",-SUMIFS(Buchungen!$E$6:$E$20000,Buchungen!$H$6:$H$20000,"Dauerauftrag",Buchungen!$J$6:$J$20000,$A20))</f>
        <v/>
      </c>
      <c r="F20" s="17">
        <f>IF($A20="","",-SUMIFS(Buchungen!$E$6:$E$20000,Buchungen!$H$6:$H$20000,"Ausgabe",Buchungen!$J$6:$J$20000,$A20))</f>
        <v/>
      </c>
      <c r="G20" s="26">
        <f>IF($A20="","",C20+D20+E20+F20)</f>
        <v/>
      </c>
      <c r="H20" s="26">
        <f>IF($A20="","",B20-G20)</f>
        <v/>
      </c>
    </row>
    <row r="21">
      <c r="A21" s="25" t="n"/>
      <c r="B21" s="17">
        <f>IF($A21="","",SUMIFS(Buchungen!$E$6:$E$20000,Buchungen!$H$6:$H$20000,"Einnahme",Buchungen!$J$6:$J$20000,$A21))</f>
        <v/>
      </c>
      <c r="C21" s="17">
        <f>IF($A21="","",-SUMIFS(Buchungen!$E$6:$E$20000,Buchungen!$H$6:$H$20000,"Abo*",Buchungen!$J$6:$J$20000,$A21))</f>
        <v/>
      </c>
      <c r="D21" s="17">
        <f>IF($A21="","",-SUMIFS(Buchungen!$E$6:$E$20000,Buchungen!$H$6:$H$20000,"Teilzahlung",Buchungen!$J$6:$J$20000,$A21))</f>
        <v/>
      </c>
      <c r="E21" s="17">
        <f>IF($A21="","",-SUMIFS(Buchungen!$E$6:$E$20000,Buchungen!$H$6:$H$20000,"Dauerauftrag",Buchungen!$J$6:$J$20000,$A21))</f>
        <v/>
      </c>
      <c r="F21" s="17">
        <f>IF($A21="","",-SUMIFS(Buchungen!$E$6:$E$20000,Buchungen!$H$6:$H$20000,"Ausgabe",Buchungen!$J$6:$J$20000,$A21))</f>
        <v/>
      </c>
      <c r="G21" s="26">
        <f>IF($A21="","",C21+D21+E21+F21)</f>
        <v/>
      </c>
      <c r="H21" s="26">
        <f>IF($A21="","",B21-G21)</f>
        <v/>
      </c>
    </row>
    <row r="22">
      <c r="A22" s="25" t="n"/>
      <c r="B22" s="17">
        <f>IF($A22="","",SUMIFS(Buchungen!$E$6:$E$20000,Buchungen!$H$6:$H$20000,"Einnahme",Buchungen!$J$6:$J$20000,$A22))</f>
        <v/>
      </c>
      <c r="C22" s="17">
        <f>IF($A22="","",-SUMIFS(Buchungen!$E$6:$E$20000,Buchungen!$H$6:$H$20000,"Abo*",Buchungen!$J$6:$J$20000,$A22))</f>
        <v/>
      </c>
      <c r="D22" s="17">
        <f>IF($A22="","",-SUMIFS(Buchungen!$E$6:$E$20000,Buchungen!$H$6:$H$20000,"Teilzahlung",Buchungen!$J$6:$J$20000,$A22))</f>
        <v/>
      </c>
      <c r="E22" s="17">
        <f>IF($A22="","",-SUMIFS(Buchungen!$E$6:$E$20000,Buchungen!$H$6:$H$20000,"Dauerauftrag",Buchungen!$J$6:$J$20000,$A22))</f>
        <v/>
      </c>
      <c r="F22" s="17">
        <f>IF($A22="","",-SUMIFS(Buchungen!$E$6:$E$20000,Buchungen!$H$6:$H$20000,"Ausgabe",Buchungen!$J$6:$J$20000,$A22))</f>
        <v/>
      </c>
      <c r="G22" s="26">
        <f>IF($A22="","",C22+D22+E22+F22)</f>
        <v/>
      </c>
      <c r="H22" s="26">
        <f>IF($A22="","",B22-G22)</f>
        <v/>
      </c>
    </row>
    <row r="23">
      <c r="A23" s="25" t="n"/>
      <c r="B23" s="17">
        <f>IF($A23="","",SUMIFS(Buchungen!$E$6:$E$20000,Buchungen!$H$6:$H$20000,"Einnahme",Buchungen!$J$6:$J$20000,$A23))</f>
        <v/>
      </c>
      <c r="C23" s="17">
        <f>IF($A23="","",-SUMIFS(Buchungen!$E$6:$E$20000,Buchungen!$H$6:$H$20000,"Abo*",Buchungen!$J$6:$J$20000,$A23))</f>
        <v/>
      </c>
      <c r="D23" s="17">
        <f>IF($A23="","",-SUMIFS(Buchungen!$E$6:$E$20000,Buchungen!$H$6:$H$20000,"Teilzahlung",Buchungen!$J$6:$J$20000,$A23))</f>
        <v/>
      </c>
      <c r="E23" s="17">
        <f>IF($A23="","",-SUMIFS(Buchungen!$E$6:$E$20000,Buchungen!$H$6:$H$20000,"Dauerauftrag",Buchungen!$J$6:$J$20000,$A23))</f>
        <v/>
      </c>
      <c r="F23" s="17">
        <f>IF($A23="","",-SUMIFS(Buchungen!$E$6:$E$20000,Buchungen!$H$6:$H$20000,"Ausgabe",Buchungen!$J$6:$J$20000,$A23))</f>
        <v/>
      </c>
      <c r="G23" s="26">
        <f>IF($A23="","",C23+D23+E23+F23)</f>
        <v/>
      </c>
      <c r="H23" s="26">
        <f>IF($A23="","",B23-G23)</f>
        <v/>
      </c>
    </row>
    <row r="24">
      <c r="A24" s="25" t="n"/>
      <c r="B24" s="17">
        <f>IF($A24="","",SUMIFS(Buchungen!$E$6:$E$20000,Buchungen!$H$6:$H$20000,"Einnahme",Buchungen!$J$6:$J$20000,$A24))</f>
        <v/>
      </c>
      <c r="C24" s="17">
        <f>IF($A24="","",-SUMIFS(Buchungen!$E$6:$E$20000,Buchungen!$H$6:$H$20000,"Abo*",Buchungen!$J$6:$J$20000,$A24))</f>
        <v/>
      </c>
      <c r="D24" s="17">
        <f>IF($A24="","",-SUMIFS(Buchungen!$E$6:$E$20000,Buchungen!$H$6:$H$20000,"Teilzahlung",Buchungen!$J$6:$J$20000,$A24))</f>
        <v/>
      </c>
      <c r="E24" s="17">
        <f>IF($A24="","",-SUMIFS(Buchungen!$E$6:$E$20000,Buchungen!$H$6:$H$20000,"Dauerauftrag",Buchungen!$J$6:$J$20000,$A24))</f>
        <v/>
      </c>
      <c r="F24" s="17">
        <f>IF($A24="","",-SUMIFS(Buchungen!$E$6:$E$20000,Buchungen!$H$6:$H$20000,"Ausgabe",Buchungen!$J$6:$J$20000,$A24))</f>
        <v/>
      </c>
      <c r="G24" s="26">
        <f>IF($A24="","",C24+D24+E24+F24)</f>
        <v/>
      </c>
      <c r="H24" s="26">
        <f>IF($A24="","",B24-G24)</f>
        <v/>
      </c>
    </row>
    <row r="25">
      <c r="A25" s="25" t="n"/>
      <c r="B25" s="17">
        <f>IF($A25="","",SUMIFS(Buchungen!$E$6:$E$20000,Buchungen!$H$6:$H$20000,"Einnahme",Buchungen!$J$6:$J$20000,$A25))</f>
        <v/>
      </c>
      <c r="C25" s="17">
        <f>IF($A25="","",-SUMIFS(Buchungen!$E$6:$E$20000,Buchungen!$H$6:$H$20000,"Abo*",Buchungen!$J$6:$J$20000,$A25))</f>
        <v/>
      </c>
      <c r="D25" s="17">
        <f>IF($A25="","",-SUMIFS(Buchungen!$E$6:$E$20000,Buchungen!$H$6:$H$20000,"Teilzahlung",Buchungen!$J$6:$J$20000,$A25))</f>
        <v/>
      </c>
      <c r="E25" s="17">
        <f>IF($A25="","",-SUMIFS(Buchungen!$E$6:$E$20000,Buchungen!$H$6:$H$20000,"Dauerauftrag",Buchungen!$J$6:$J$20000,$A25))</f>
        <v/>
      </c>
      <c r="F25" s="17">
        <f>IF($A25="","",-SUMIFS(Buchungen!$E$6:$E$20000,Buchungen!$H$6:$H$20000,"Ausgabe",Buchungen!$J$6:$J$20000,$A25))</f>
        <v/>
      </c>
      <c r="G25" s="26">
        <f>IF($A25="","",C25+D25+E25+F25)</f>
        <v/>
      </c>
      <c r="H25" s="26">
        <f>IF($A25="","",B25-G25)</f>
        <v/>
      </c>
    </row>
    <row r="26">
      <c r="A26" s="25" t="n"/>
      <c r="B26" s="17">
        <f>IF($A26="","",SUMIFS(Buchungen!$E$6:$E$20000,Buchungen!$H$6:$H$20000,"Einnahme",Buchungen!$J$6:$J$20000,$A26))</f>
        <v/>
      </c>
      <c r="C26" s="17">
        <f>IF($A26="","",-SUMIFS(Buchungen!$E$6:$E$20000,Buchungen!$H$6:$H$20000,"Abo*",Buchungen!$J$6:$J$20000,$A26))</f>
        <v/>
      </c>
      <c r="D26" s="17">
        <f>IF($A26="","",-SUMIFS(Buchungen!$E$6:$E$20000,Buchungen!$H$6:$H$20000,"Teilzahlung",Buchungen!$J$6:$J$20000,$A26))</f>
        <v/>
      </c>
      <c r="E26" s="17">
        <f>IF($A26="","",-SUMIFS(Buchungen!$E$6:$E$20000,Buchungen!$H$6:$H$20000,"Dauerauftrag",Buchungen!$J$6:$J$20000,$A26))</f>
        <v/>
      </c>
      <c r="F26" s="17">
        <f>IF($A26="","",-SUMIFS(Buchungen!$E$6:$E$20000,Buchungen!$H$6:$H$20000,"Ausgabe",Buchungen!$J$6:$J$20000,$A26))</f>
        <v/>
      </c>
      <c r="G26" s="26">
        <f>IF($A26="","",C26+D26+E26+F26)</f>
        <v/>
      </c>
      <c r="H26" s="26">
        <f>IF($A26="","",B26-G26)</f>
        <v/>
      </c>
    </row>
    <row r="27">
      <c r="A27" s="25" t="n"/>
      <c r="B27" s="17">
        <f>IF($A27="","",SUMIFS(Buchungen!$E$6:$E$20000,Buchungen!$H$6:$H$20000,"Einnahme",Buchungen!$J$6:$J$20000,$A27))</f>
        <v/>
      </c>
      <c r="C27" s="17">
        <f>IF($A27="","",-SUMIFS(Buchungen!$E$6:$E$20000,Buchungen!$H$6:$H$20000,"Abo*",Buchungen!$J$6:$J$20000,$A27))</f>
        <v/>
      </c>
      <c r="D27" s="17">
        <f>IF($A27="","",-SUMIFS(Buchungen!$E$6:$E$20000,Buchungen!$H$6:$H$20000,"Teilzahlung",Buchungen!$J$6:$J$20000,$A27))</f>
        <v/>
      </c>
      <c r="E27" s="17">
        <f>IF($A27="","",-SUMIFS(Buchungen!$E$6:$E$20000,Buchungen!$H$6:$H$20000,"Dauerauftrag",Buchungen!$J$6:$J$20000,$A27))</f>
        <v/>
      </c>
      <c r="F27" s="17">
        <f>IF($A27="","",-SUMIFS(Buchungen!$E$6:$E$20000,Buchungen!$H$6:$H$20000,"Ausgabe",Buchungen!$J$6:$J$20000,$A27))</f>
        <v/>
      </c>
      <c r="G27" s="26">
        <f>IF($A27="","",C27+D27+E27+F27)</f>
        <v/>
      </c>
      <c r="H27" s="26">
        <f>IF($A27="","",B27-G27)</f>
        <v/>
      </c>
    </row>
    <row r="28">
      <c r="A28" s="25" t="n"/>
      <c r="B28" s="17">
        <f>IF($A28="","",SUMIFS(Buchungen!$E$6:$E$20000,Buchungen!$H$6:$H$20000,"Einnahme",Buchungen!$J$6:$J$20000,$A28))</f>
        <v/>
      </c>
      <c r="C28" s="17">
        <f>IF($A28="","",-SUMIFS(Buchungen!$E$6:$E$20000,Buchungen!$H$6:$H$20000,"Abo*",Buchungen!$J$6:$J$20000,$A28))</f>
        <v/>
      </c>
      <c r="D28" s="17">
        <f>IF($A28="","",-SUMIFS(Buchungen!$E$6:$E$20000,Buchungen!$H$6:$H$20000,"Teilzahlung",Buchungen!$J$6:$J$20000,$A28))</f>
        <v/>
      </c>
      <c r="E28" s="17">
        <f>IF($A28="","",-SUMIFS(Buchungen!$E$6:$E$20000,Buchungen!$H$6:$H$20000,"Dauerauftrag",Buchungen!$J$6:$J$20000,$A28))</f>
        <v/>
      </c>
      <c r="F28" s="17">
        <f>IF($A28="","",-SUMIFS(Buchungen!$E$6:$E$20000,Buchungen!$H$6:$H$20000,"Ausgabe",Buchungen!$J$6:$J$20000,$A28))</f>
        <v/>
      </c>
      <c r="G28" s="26">
        <f>IF($A28="","",C28+D28+E28+F28)</f>
        <v/>
      </c>
      <c r="H28" s="26">
        <f>IF($A28="","",B28-G28)</f>
        <v/>
      </c>
    </row>
    <row r="29">
      <c r="A29" s="25" t="n"/>
      <c r="B29" s="17">
        <f>IF($A29="","",SUMIFS(Buchungen!$E$6:$E$20000,Buchungen!$H$6:$H$20000,"Einnahme",Buchungen!$J$6:$J$20000,$A29))</f>
        <v/>
      </c>
      <c r="C29" s="17">
        <f>IF($A29="","",-SUMIFS(Buchungen!$E$6:$E$20000,Buchungen!$H$6:$H$20000,"Abo*",Buchungen!$J$6:$J$20000,$A29))</f>
        <v/>
      </c>
      <c r="D29" s="17">
        <f>IF($A29="","",-SUMIFS(Buchungen!$E$6:$E$20000,Buchungen!$H$6:$H$20000,"Teilzahlung",Buchungen!$J$6:$J$20000,$A29))</f>
        <v/>
      </c>
      <c r="E29" s="17">
        <f>IF($A29="","",-SUMIFS(Buchungen!$E$6:$E$20000,Buchungen!$H$6:$H$20000,"Dauerauftrag",Buchungen!$J$6:$J$20000,$A29))</f>
        <v/>
      </c>
      <c r="F29" s="17">
        <f>IF($A29="","",-SUMIFS(Buchungen!$E$6:$E$20000,Buchungen!$H$6:$H$20000,"Ausgabe",Buchungen!$J$6:$J$20000,$A29))</f>
        <v/>
      </c>
      <c r="G29" s="26">
        <f>IF($A29="","",C29+D29+E29+F29)</f>
        <v/>
      </c>
      <c r="H29" s="26">
        <f>IF($A29="","",B29-G29)</f>
        <v/>
      </c>
    </row>
    <row r="30">
      <c r="A30" s="25" t="n"/>
      <c r="B30" s="17">
        <f>IF($A30="","",SUMIFS(Buchungen!$E$6:$E$20000,Buchungen!$H$6:$H$20000,"Einnahme",Buchungen!$J$6:$J$20000,$A30))</f>
        <v/>
      </c>
      <c r="C30" s="17">
        <f>IF($A30="","",-SUMIFS(Buchungen!$E$6:$E$20000,Buchungen!$H$6:$H$20000,"Abo*",Buchungen!$J$6:$J$20000,$A30))</f>
        <v/>
      </c>
      <c r="D30" s="17">
        <f>IF($A30="","",-SUMIFS(Buchungen!$E$6:$E$20000,Buchungen!$H$6:$H$20000,"Teilzahlung",Buchungen!$J$6:$J$20000,$A30))</f>
        <v/>
      </c>
      <c r="E30" s="17">
        <f>IF($A30="","",-SUMIFS(Buchungen!$E$6:$E$20000,Buchungen!$H$6:$H$20000,"Dauerauftrag",Buchungen!$J$6:$J$20000,$A30))</f>
        <v/>
      </c>
      <c r="F30" s="17">
        <f>IF($A30="","",-SUMIFS(Buchungen!$E$6:$E$20000,Buchungen!$H$6:$H$20000,"Ausgabe",Buchungen!$J$6:$J$20000,$A30))</f>
        <v/>
      </c>
      <c r="G30" s="26">
        <f>IF($A30="","",C30+D30+E30+F30)</f>
        <v/>
      </c>
      <c r="H30" s="26">
        <f>IF($A30="","",B30-G30)</f>
        <v/>
      </c>
    </row>
    <row r="31">
      <c r="A31" s="25" t="n"/>
      <c r="B31" s="17">
        <f>IF($A31="","",SUMIFS(Buchungen!$E$6:$E$20000,Buchungen!$H$6:$H$20000,"Einnahme",Buchungen!$J$6:$J$20000,$A31))</f>
        <v/>
      </c>
      <c r="C31" s="17">
        <f>IF($A31="","",-SUMIFS(Buchungen!$E$6:$E$20000,Buchungen!$H$6:$H$20000,"Abo*",Buchungen!$J$6:$J$20000,$A31))</f>
        <v/>
      </c>
      <c r="D31" s="17">
        <f>IF($A31="","",-SUMIFS(Buchungen!$E$6:$E$20000,Buchungen!$H$6:$H$20000,"Teilzahlung",Buchungen!$J$6:$J$20000,$A31))</f>
        <v/>
      </c>
      <c r="E31" s="17">
        <f>IF($A31="","",-SUMIFS(Buchungen!$E$6:$E$20000,Buchungen!$H$6:$H$20000,"Dauerauftrag",Buchungen!$J$6:$J$20000,$A31))</f>
        <v/>
      </c>
      <c r="F31" s="17">
        <f>IF($A31="","",-SUMIFS(Buchungen!$E$6:$E$20000,Buchungen!$H$6:$H$20000,"Ausgabe",Buchungen!$J$6:$J$20000,$A31))</f>
        <v/>
      </c>
      <c r="G31" s="26">
        <f>IF($A31="","",C31+D31+E31+F31)</f>
        <v/>
      </c>
      <c r="H31" s="26">
        <f>IF($A31="","",B31-G31)</f>
        <v/>
      </c>
    </row>
    <row r="32">
      <c r="A32" s="25" t="n"/>
      <c r="B32" s="17">
        <f>IF($A32="","",SUMIFS(Buchungen!$E$6:$E$20000,Buchungen!$H$6:$H$20000,"Einnahme",Buchungen!$J$6:$J$20000,$A32))</f>
        <v/>
      </c>
      <c r="C32" s="17">
        <f>IF($A32="","",-SUMIFS(Buchungen!$E$6:$E$20000,Buchungen!$H$6:$H$20000,"Abo*",Buchungen!$J$6:$J$20000,$A32))</f>
        <v/>
      </c>
      <c r="D32" s="17">
        <f>IF($A32="","",-SUMIFS(Buchungen!$E$6:$E$20000,Buchungen!$H$6:$H$20000,"Teilzahlung",Buchungen!$J$6:$J$20000,$A32))</f>
        <v/>
      </c>
      <c r="E32" s="17">
        <f>IF($A32="","",-SUMIFS(Buchungen!$E$6:$E$20000,Buchungen!$H$6:$H$20000,"Dauerauftrag",Buchungen!$J$6:$J$20000,$A32))</f>
        <v/>
      </c>
      <c r="F32" s="17">
        <f>IF($A32="","",-SUMIFS(Buchungen!$E$6:$E$20000,Buchungen!$H$6:$H$20000,"Ausgabe",Buchungen!$J$6:$J$20000,$A32))</f>
        <v/>
      </c>
      <c r="G32" s="26">
        <f>IF($A32="","",C32+D32+E32+F32)</f>
        <v/>
      </c>
      <c r="H32" s="26">
        <f>IF($A32="","",B32-G32)</f>
        <v/>
      </c>
    </row>
    <row r="33">
      <c r="A33" s="25" t="n"/>
      <c r="B33" s="17">
        <f>IF($A33="","",SUMIFS(Buchungen!$E$6:$E$20000,Buchungen!$H$6:$H$20000,"Einnahme",Buchungen!$J$6:$J$20000,$A33))</f>
        <v/>
      </c>
      <c r="C33" s="17">
        <f>IF($A33="","",-SUMIFS(Buchungen!$E$6:$E$20000,Buchungen!$H$6:$H$20000,"Abo*",Buchungen!$J$6:$J$20000,$A33))</f>
        <v/>
      </c>
      <c r="D33" s="17">
        <f>IF($A33="","",-SUMIFS(Buchungen!$E$6:$E$20000,Buchungen!$H$6:$H$20000,"Teilzahlung",Buchungen!$J$6:$J$20000,$A33))</f>
        <v/>
      </c>
      <c r="E33" s="17">
        <f>IF($A33="","",-SUMIFS(Buchungen!$E$6:$E$20000,Buchungen!$H$6:$H$20000,"Dauerauftrag",Buchungen!$J$6:$J$20000,$A33))</f>
        <v/>
      </c>
      <c r="F33" s="17">
        <f>IF($A33="","",-SUMIFS(Buchungen!$E$6:$E$20000,Buchungen!$H$6:$H$20000,"Ausgabe",Buchungen!$J$6:$J$20000,$A33))</f>
        <v/>
      </c>
      <c r="G33" s="26">
        <f>IF($A33="","",C33+D33+E33+F33)</f>
        <v/>
      </c>
      <c r="H33" s="26">
        <f>IF($A33="","",B33-G33)</f>
        <v/>
      </c>
    </row>
    <row r="34">
      <c r="A34" s="25" t="n"/>
      <c r="B34" s="17">
        <f>IF($A34="","",SUMIFS(Buchungen!$E$6:$E$20000,Buchungen!$H$6:$H$20000,"Einnahme",Buchungen!$J$6:$J$20000,$A34))</f>
        <v/>
      </c>
      <c r="C34" s="17">
        <f>IF($A34="","",-SUMIFS(Buchungen!$E$6:$E$20000,Buchungen!$H$6:$H$20000,"Abo*",Buchungen!$J$6:$J$20000,$A34))</f>
        <v/>
      </c>
      <c r="D34" s="17">
        <f>IF($A34="","",-SUMIFS(Buchungen!$E$6:$E$20000,Buchungen!$H$6:$H$20000,"Teilzahlung",Buchungen!$J$6:$J$20000,$A34))</f>
        <v/>
      </c>
      <c r="E34" s="17">
        <f>IF($A34="","",-SUMIFS(Buchungen!$E$6:$E$20000,Buchungen!$H$6:$H$20000,"Dauerauftrag",Buchungen!$J$6:$J$20000,$A34))</f>
        <v/>
      </c>
      <c r="F34" s="17">
        <f>IF($A34="","",-SUMIFS(Buchungen!$E$6:$E$20000,Buchungen!$H$6:$H$20000,"Ausgabe",Buchungen!$J$6:$J$20000,$A34))</f>
        <v/>
      </c>
      <c r="G34" s="26">
        <f>IF($A34="","",C34+D34+E34+F34)</f>
        <v/>
      </c>
      <c r="H34" s="26">
        <f>IF($A34="","",B34-G34)</f>
        <v/>
      </c>
    </row>
    <row r="35">
      <c r="A35" s="25" t="n"/>
      <c r="B35" s="17">
        <f>IF($A35="","",SUMIFS(Buchungen!$E$6:$E$20000,Buchungen!$H$6:$H$20000,"Einnahme",Buchungen!$J$6:$J$20000,$A35))</f>
        <v/>
      </c>
      <c r="C35" s="17">
        <f>IF($A35="","",-SUMIFS(Buchungen!$E$6:$E$20000,Buchungen!$H$6:$H$20000,"Abo*",Buchungen!$J$6:$J$20000,$A35))</f>
        <v/>
      </c>
      <c r="D35" s="17">
        <f>IF($A35="","",-SUMIFS(Buchungen!$E$6:$E$20000,Buchungen!$H$6:$H$20000,"Teilzahlung",Buchungen!$J$6:$J$20000,$A35))</f>
        <v/>
      </c>
      <c r="E35" s="17">
        <f>IF($A35="","",-SUMIFS(Buchungen!$E$6:$E$20000,Buchungen!$H$6:$H$20000,"Dauerauftrag",Buchungen!$J$6:$J$20000,$A35))</f>
        <v/>
      </c>
      <c r="F35" s="17">
        <f>IF($A35="","",-SUMIFS(Buchungen!$E$6:$E$20000,Buchungen!$H$6:$H$20000,"Ausgabe",Buchungen!$J$6:$J$20000,$A35))</f>
        <v/>
      </c>
      <c r="G35" s="26">
        <f>IF($A35="","",C35+D35+E35+F35)</f>
        <v/>
      </c>
      <c r="H35" s="26">
        <f>IF($A35="","",B35-G35)</f>
        <v/>
      </c>
    </row>
    <row r="36">
      <c r="A36" s="25" t="n"/>
      <c r="B36" s="17">
        <f>IF($A36="","",SUMIFS(Buchungen!$E$6:$E$20000,Buchungen!$H$6:$H$20000,"Einnahme",Buchungen!$J$6:$J$20000,$A36))</f>
        <v/>
      </c>
      <c r="C36" s="17">
        <f>IF($A36="","",-SUMIFS(Buchungen!$E$6:$E$20000,Buchungen!$H$6:$H$20000,"Abo*",Buchungen!$J$6:$J$20000,$A36))</f>
        <v/>
      </c>
      <c r="D36" s="17">
        <f>IF($A36="","",-SUMIFS(Buchungen!$E$6:$E$20000,Buchungen!$H$6:$H$20000,"Teilzahlung",Buchungen!$J$6:$J$20000,$A36))</f>
        <v/>
      </c>
      <c r="E36" s="17">
        <f>IF($A36="","",-SUMIFS(Buchungen!$E$6:$E$20000,Buchungen!$H$6:$H$20000,"Dauerauftrag",Buchungen!$J$6:$J$20000,$A36))</f>
        <v/>
      </c>
      <c r="F36" s="17">
        <f>IF($A36="","",-SUMIFS(Buchungen!$E$6:$E$20000,Buchungen!$H$6:$H$20000,"Ausgabe",Buchungen!$J$6:$J$20000,$A36))</f>
        <v/>
      </c>
      <c r="G36" s="26">
        <f>IF($A36="","",C36+D36+E36+F36)</f>
        <v/>
      </c>
      <c r="H36" s="26">
        <f>IF($A36="","",B36-G36)</f>
        <v/>
      </c>
    </row>
    <row r="37">
      <c r="A37" s="25" t="n"/>
      <c r="B37" s="17">
        <f>IF($A37="","",SUMIFS(Buchungen!$E$6:$E$20000,Buchungen!$H$6:$H$20000,"Einnahme",Buchungen!$J$6:$J$20000,$A37))</f>
        <v/>
      </c>
      <c r="C37" s="17">
        <f>IF($A37="","",-SUMIFS(Buchungen!$E$6:$E$20000,Buchungen!$H$6:$H$20000,"Abo*",Buchungen!$J$6:$J$20000,$A37))</f>
        <v/>
      </c>
      <c r="D37" s="17">
        <f>IF($A37="","",-SUMIFS(Buchungen!$E$6:$E$20000,Buchungen!$H$6:$H$20000,"Teilzahlung",Buchungen!$J$6:$J$20000,$A37))</f>
        <v/>
      </c>
      <c r="E37" s="17">
        <f>IF($A37="","",-SUMIFS(Buchungen!$E$6:$E$20000,Buchungen!$H$6:$H$20000,"Dauerauftrag",Buchungen!$J$6:$J$20000,$A37))</f>
        <v/>
      </c>
      <c r="F37" s="17">
        <f>IF($A37="","",-SUMIFS(Buchungen!$E$6:$E$20000,Buchungen!$H$6:$H$20000,"Ausgabe",Buchungen!$J$6:$J$20000,$A37))</f>
        <v/>
      </c>
      <c r="G37" s="26">
        <f>IF($A37="","",C37+D37+E37+F37)</f>
        <v/>
      </c>
      <c r="H37" s="26">
        <f>IF($A37="","",B37-G37)</f>
        <v/>
      </c>
    </row>
    <row r="38">
      <c r="A38" s="25" t="n"/>
      <c r="B38" s="17">
        <f>IF($A38="","",SUMIFS(Buchungen!$E$6:$E$20000,Buchungen!$H$6:$H$20000,"Einnahme",Buchungen!$J$6:$J$20000,$A38))</f>
        <v/>
      </c>
      <c r="C38" s="17">
        <f>IF($A38="","",-SUMIFS(Buchungen!$E$6:$E$20000,Buchungen!$H$6:$H$20000,"Abo*",Buchungen!$J$6:$J$20000,$A38))</f>
        <v/>
      </c>
      <c r="D38" s="17">
        <f>IF($A38="","",-SUMIFS(Buchungen!$E$6:$E$20000,Buchungen!$H$6:$H$20000,"Teilzahlung",Buchungen!$J$6:$J$20000,$A38))</f>
        <v/>
      </c>
      <c r="E38" s="17">
        <f>IF($A38="","",-SUMIFS(Buchungen!$E$6:$E$20000,Buchungen!$H$6:$H$20000,"Dauerauftrag",Buchungen!$J$6:$J$20000,$A38))</f>
        <v/>
      </c>
      <c r="F38" s="17">
        <f>IF($A38="","",-SUMIFS(Buchungen!$E$6:$E$20000,Buchungen!$H$6:$H$20000,"Ausgabe",Buchungen!$J$6:$J$20000,$A38))</f>
        <v/>
      </c>
      <c r="G38" s="26">
        <f>IF($A38="","",C38+D38+E38+F38)</f>
        <v/>
      </c>
      <c r="H38" s="26">
        <f>IF($A38="","",B38-G38)</f>
        <v/>
      </c>
    </row>
    <row r="39">
      <c r="A39" s="25" t="n"/>
      <c r="B39" s="17">
        <f>IF($A39="","",SUMIFS(Buchungen!$E$6:$E$20000,Buchungen!$H$6:$H$20000,"Einnahme",Buchungen!$J$6:$J$20000,$A39))</f>
        <v/>
      </c>
      <c r="C39" s="17">
        <f>IF($A39="","",-SUMIFS(Buchungen!$E$6:$E$20000,Buchungen!$H$6:$H$20000,"Abo*",Buchungen!$J$6:$J$20000,$A39))</f>
        <v/>
      </c>
      <c r="D39" s="17">
        <f>IF($A39="","",-SUMIFS(Buchungen!$E$6:$E$20000,Buchungen!$H$6:$H$20000,"Teilzahlung",Buchungen!$J$6:$J$20000,$A39))</f>
        <v/>
      </c>
      <c r="E39" s="17">
        <f>IF($A39="","",-SUMIFS(Buchungen!$E$6:$E$20000,Buchungen!$H$6:$H$20000,"Dauerauftrag",Buchungen!$J$6:$J$20000,$A39))</f>
        <v/>
      </c>
      <c r="F39" s="17">
        <f>IF($A39="","",-SUMIFS(Buchungen!$E$6:$E$20000,Buchungen!$H$6:$H$20000,"Ausgabe",Buchungen!$J$6:$J$20000,$A39))</f>
        <v/>
      </c>
      <c r="G39" s="26">
        <f>IF($A39="","",C39+D39+E39+F39)</f>
        <v/>
      </c>
      <c r="H39" s="26">
        <f>IF($A39="","",B39-G39)</f>
        <v/>
      </c>
    </row>
    <row r="40">
      <c r="A40" s="25" t="n"/>
      <c r="B40" s="17">
        <f>IF($A40="","",SUMIFS(Buchungen!$E$6:$E$20000,Buchungen!$H$6:$H$20000,"Einnahme",Buchungen!$J$6:$J$20000,$A40))</f>
        <v/>
      </c>
      <c r="C40" s="17">
        <f>IF($A40="","",-SUMIFS(Buchungen!$E$6:$E$20000,Buchungen!$H$6:$H$20000,"Abo*",Buchungen!$J$6:$J$20000,$A40))</f>
        <v/>
      </c>
      <c r="D40" s="17">
        <f>IF($A40="","",-SUMIFS(Buchungen!$E$6:$E$20000,Buchungen!$H$6:$H$20000,"Teilzahlung",Buchungen!$J$6:$J$20000,$A40))</f>
        <v/>
      </c>
      <c r="E40" s="17">
        <f>IF($A40="","",-SUMIFS(Buchungen!$E$6:$E$20000,Buchungen!$H$6:$H$20000,"Dauerauftrag",Buchungen!$J$6:$J$20000,$A40))</f>
        <v/>
      </c>
      <c r="F40" s="17">
        <f>IF($A40="","",-SUMIFS(Buchungen!$E$6:$E$20000,Buchungen!$H$6:$H$20000,"Ausgabe",Buchungen!$J$6:$J$20000,$A40))</f>
        <v/>
      </c>
      <c r="G40" s="26">
        <f>IF($A40="","",C40+D40+E40+F40)</f>
        <v/>
      </c>
      <c r="H40" s="26">
        <f>IF($A40="","",B40-G40)</f>
        <v/>
      </c>
    </row>
    <row r="41">
      <c r="A41" s="25" t="n"/>
      <c r="B41" s="17">
        <f>IF($A41="","",SUMIFS(Buchungen!$E$6:$E$20000,Buchungen!$H$6:$H$20000,"Einnahme",Buchungen!$J$6:$J$20000,$A41))</f>
        <v/>
      </c>
      <c r="C41" s="17">
        <f>IF($A41="","",-SUMIFS(Buchungen!$E$6:$E$20000,Buchungen!$H$6:$H$20000,"Abo*",Buchungen!$J$6:$J$20000,$A41))</f>
        <v/>
      </c>
      <c r="D41" s="17">
        <f>IF($A41="","",-SUMIFS(Buchungen!$E$6:$E$20000,Buchungen!$H$6:$H$20000,"Teilzahlung",Buchungen!$J$6:$J$20000,$A41))</f>
        <v/>
      </c>
      <c r="E41" s="17">
        <f>IF($A41="","",-SUMIFS(Buchungen!$E$6:$E$20000,Buchungen!$H$6:$H$20000,"Dauerauftrag",Buchungen!$J$6:$J$20000,$A41))</f>
        <v/>
      </c>
      <c r="F41" s="17">
        <f>IF($A41="","",-SUMIFS(Buchungen!$E$6:$E$20000,Buchungen!$H$6:$H$20000,"Ausgabe",Buchungen!$J$6:$J$20000,$A41))</f>
        <v/>
      </c>
      <c r="G41" s="26">
        <f>IF($A41="","",C41+D41+E41+F41)</f>
        <v/>
      </c>
      <c r="H41" s="26">
        <f>IF($A41="","",B41-G41)</f>
        <v/>
      </c>
    </row>
  </sheetData>
  <conditionalFormatting sqref="H6:H41">
    <cfRule type="cellIs" priority="1" operator="lessThan" dxfId="8">
      <formula>0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inst">
    <outlinePr summaryBelow="1" summaryRight="1"/>
    <pageSetUpPr/>
  </sheetPr>
  <dimension ref="A1:H19"/>
  <sheetViews>
    <sheetView showGridLines="0" zoomScale="100" workbookViewId="0">
      <selection activeCell="A1" sqref="A1"/>
    </sheetView>
  </sheetViews>
  <sheetFormatPr baseColWidth="8" defaultRowHeight="15"/>
  <cols>
    <col width="34" customWidth="1" min="1" max="1"/>
    <col width="44" customWidth="1" min="2" max="2"/>
    <col width="60" customWidth="1" min="3" max="3"/>
    <col width="22" customWidth="1" min="4" max="4"/>
    <col width="3" customWidth="1" min="5" max="5"/>
    <col width="16" customWidth="1" min="6" max="6"/>
    <col width="3" customWidth="1" min="7" max="7"/>
    <col width="16" customWidth="1" min="8" max="8"/>
  </cols>
  <sheetData>
    <row r="1">
      <c r="A1" s="1" t="inlineStr">
        <is>
          <t>Einstellungen</t>
        </is>
      </c>
    </row>
    <row r="2">
      <c r="A2" s="2" t="inlineStr">
        <is>
          <t>Blau = änderbar. Die Abo-Erkennung läuft nach jedem Import; nach Änderungen hier „Abos neu erkennen“ klicken.</t>
        </is>
      </c>
    </row>
    <row r="4" ht="28" customHeight="1">
      <c r="A4" s="13" t="inlineStr">
        <is>
          <t>Parameter</t>
        </is>
      </c>
      <c r="B4" s="13" t="inlineStr">
        <is>
          <t>Wert</t>
        </is>
      </c>
      <c r="C4" s="13" t="inlineStr">
        <is>
          <t>Erklärung</t>
        </is>
      </c>
      <c r="D4" s="13" t="inlineStr">
        <is>
          <t>Kategorien (für Abos)</t>
        </is>
      </c>
      <c r="F4" s="13" t="inlineStr">
        <is>
          <t>Kontotypen</t>
        </is>
      </c>
      <c r="H4" s="13" t="inlineStr">
        <is>
          <t>Arten (fest)</t>
        </is>
      </c>
    </row>
    <row r="5">
      <c r="A5" s="18" t="inlineStr">
        <is>
          <t>Import-Ordner</t>
        </is>
      </c>
      <c r="B5" s="27" t="inlineStr"/>
      <c r="C5" s="28" t="inlineStr">
        <is>
          <t>leer = Ordner „Import“ neben der Mappe (auch in OneDrive). Eingelesene Dateien wandern nach „Import\erledigt“.</t>
        </is>
      </c>
      <c r="D5" s="14" t="inlineStr">
        <is>
          <t>Wohnen</t>
        </is>
      </c>
      <c r="F5" s="14" t="inlineStr">
        <is>
          <t>Girokonto</t>
        </is>
      </c>
      <c r="H5" s="18" t="inlineStr">
        <is>
          <t>Abo</t>
        </is>
      </c>
    </row>
    <row r="6">
      <c r="A6" s="18" t="inlineStr">
        <is>
          <t>Mindestanzahl Buchungen</t>
        </is>
      </c>
      <c r="B6" s="27" t="n">
        <v>3</v>
      </c>
      <c r="C6" s="28" t="inlineStr">
        <is>
          <t>So oft muss ein Abbucher bzw. ein Betrag regelmäßig vorkommen (Jahresabos: 2).</t>
        </is>
      </c>
      <c r="D6" s="14" t="inlineStr">
        <is>
          <t>Energie</t>
        </is>
      </c>
      <c r="F6" s="14" t="inlineStr">
        <is>
          <t>Sparkonto</t>
        </is>
      </c>
      <c r="H6" s="18" t="inlineStr">
        <is>
          <t>Abo (variabel)</t>
        </is>
      </c>
    </row>
    <row r="7">
      <c r="A7" s="18" t="inlineStr">
        <is>
          <t>Toleranz Betrag „fest“</t>
        </is>
      </c>
      <c r="B7" s="29" t="n">
        <v>0.01</v>
      </c>
      <c r="C7" s="28" t="inlineStr">
        <is>
          <t>Beträge, die höchstens so weit voneinander abweichen, gelten als gleich (sonst „Abo (variabel)“).</t>
        </is>
      </c>
      <c r="D7" s="14" t="inlineStr">
        <is>
          <t>Handy &amp; Internet</t>
        </is>
      </c>
      <c r="F7" s="14" t="inlineStr">
        <is>
          <t>Bausparkonto</t>
        </is>
      </c>
      <c r="H7" s="18" t="inlineStr">
        <is>
          <t>Teilzahlung</t>
        </is>
      </c>
    </row>
    <row r="8">
      <c r="A8" s="18" t="inlineStr">
        <is>
          <t>Toleranz Termin (Tage)</t>
        </is>
      </c>
      <c r="B8" s="27" t="n">
        <v>7</v>
      </c>
      <c r="C8" s="28" t="inlineStr">
        <is>
          <t>Abweichung vom erwarteten Abstand (monatlich ≈ 30 Tage), die noch als regelmäßig gilt.</t>
        </is>
      </c>
      <c r="D8" s="14" t="inlineStr">
        <is>
          <t>Streaming &amp; Abos</t>
        </is>
      </c>
      <c r="F8" s="14" t="inlineStr">
        <is>
          <t>Kreditkarte</t>
        </is>
      </c>
      <c r="H8" s="18" t="inlineStr">
        <is>
          <t>Dauerauftrag</t>
        </is>
      </c>
    </row>
    <row r="9">
      <c r="A9" s="18" t="inlineStr">
        <is>
          <t>Mindestbetrag</t>
        </is>
      </c>
      <c r="B9" s="30" t="n">
        <v>1</v>
      </c>
      <c r="C9" s="28" t="inlineStr">
        <is>
          <t>Kleinere Beträge werden nicht als Abo betrachtet.</t>
        </is>
      </c>
      <c r="D9" s="14" t="inlineStr">
        <is>
          <t>Software &amp; Cloud</t>
        </is>
      </c>
      <c r="F9" s="14" t="inlineStr">
        <is>
          <t>Sonstiges</t>
        </is>
      </c>
      <c r="H9" s="18" t="inlineStr">
        <is>
          <t>Ausgabe</t>
        </is>
      </c>
    </row>
    <row r="10" ht="42" customHeight="1">
      <c r="A10" s="18" t="inlineStr">
        <is>
          <t>Stichwörter Teilzahlung</t>
        </is>
      </c>
      <c r="B10" s="27" t="inlineStr">
        <is>
          <t>rate;raten;ratenzahlung;ratenkauf;teilzahlung;teilbetrag;finanzierung;kreditrate;kreditrückzahlung;tilgung;leasing;abzahlung</t>
        </is>
      </c>
      <c r="C10" s="28" t="inlineStr">
        <is>
          <t>Kommt eines davon im Verwendungszweck/Empfänger vor (oder ein Zähler wie „3/12“), ist eine feste Zahlung eine „Teilzahlung“.</t>
        </is>
      </c>
      <c r="D10" s="14" t="inlineStr">
        <is>
          <t>Versicherung</t>
        </is>
      </c>
      <c r="H10" s="18" t="inlineStr">
        <is>
          <t>Einnahme</t>
        </is>
      </c>
    </row>
    <row r="11" ht="42" customHeight="1">
      <c r="A11" s="18" t="inlineStr">
        <is>
          <t>Stichwörter Umbuchung</t>
        </is>
      </c>
      <c r="B11" s="27" t="inlineStr">
        <is>
          <t>kreditkartenabrechnung;kartenabrechnung;kreditkartenrechnung;kartenausgleich;umbuchung;eigenübertrag;eigenüberweisung</t>
        </is>
      </c>
      <c r="C11" s="28" t="inlineStr">
        <is>
          <t>Solche Buchungen zählen als Umbuchung und nie als Abo (zusätzlich: Überweisungen zwischen eigenen Konten laut Übersicht).</t>
        </is>
      </c>
      <c r="D11" s="14" t="inlineStr">
        <is>
          <t>Kredit &amp; Raten</t>
        </is>
      </c>
      <c r="H11" s="18" t="inlineStr">
        <is>
          <t>Umbuchung</t>
        </is>
      </c>
    </row>
    <row r="12" ht="42" customHeight="1">
      <c r="A12" s="18" t="inlineStr">
        <is>
          <t>Stichwörter Bargeld</t>
        </is>
      </c>
      <c r="B12" s="27" t="inlineStr">
        <is>
          <t>bargeld;bankomat;behebung;atm;automat;auszahlung</t>
        </is>
      </c>
      <c r="C12" s="28" t="inlineStr">
        <is>
          <t>Behebungen sind nie Abos, auch wenn jeden Monat derselbe Betrag abgehoben wird.</t>
        </is>
      </c>
      <c r="D12" s="14" t="inlineStr">
        <is>
          <t>Mobilität</t>
        </is>
      </c>
      <c r="H12" s="18" t="inlineStr">
        <is>
          <t>Ignorieren</t>
        </is>
      </c>
    </row>
    <row r="13">
      <c r="D13" s="14" t="inlineStr">
        <is>
          <t>Fitness &amp; Sport</t>
        </is>
      </c>
    </row>
    <row r="14">
      <c r="D14" s="14" t="inlineStr">
        <is>
          <t>Gesundheit</t>
        </is>
      </c>
    </row>
    <row r="15">
      <c r="A15" s="2" t="inlineStr">
        <is>
          <t>Kontotypen steuern die Einordnung: Spar-/Bausparkonto → Ein-/Auszahlungen sind Umbuchungen (Zinsen = Einnahme, KESt = Ausgabe); Kreditkarte → Eingänge sind Umbuchungen (Kartenausgleich).</t>
        </is>
      </c>
      <c r="D15" s="14" t="inlineStr">
        <is>
          <t>Bildung &amp; Kinder</t>
        </is>
      </c>
    </row>
    <row r="16">
      <c r="D16" s="14" t="inlineStr">
        <is>
          <t>Spenden &amp; Mitgliedschaften</t>
        </is>
      </c>
    </row>
    <row r="17">
      <c r="D17" s="14" t="inlineStr">
        <is>
          <t>Bank &amp; Gebühren</t>
        </is>
      </c>
    </row>
    <row r="18">
      <c r="D18" s="14" t="inlineStr">
        <is>
          <t>Sparen</t>
        </is>
      </c>
    </row>
    <row r="19">
      <c r="D19" s="14" t="inlineStr">
        <is>
          <t>Sonstiges</t>
        </is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Hinweise">
    <outlinePr summaryBelow="1" summaryRight="1"/>
    <pageSetUpPr/>
  </sheetPr>
  <dimension ref="A1:B28"/>
  <sheetViews>
    <sheetView showGridLines="0" zoomScale="100" workbookViewId="0">
      <selection activeCell="A1" sqref="A1"/>
    </sheetView>
  </sheetViews>
  <sheetFormatPr baseColWidth="8" defaultRowHeight="15"/>
  <cols>
    <col width="4" customWidth="1" min="1" max="1"/>
    <col width="130" customWidth="1" min="2" max="2"/>
  </cols>
  <sheetData>
    <row r="1">
      <c r="A1" s="1" t="inlineStr">
        <is>
          <t>Hinweise</t>
        </is>
      </c>
    </row>
    <row r="3">
      <c r="A3" s="12" t="inlineStr">
        <is>
          <t>Import</t>
        </is>
      </c>
      <c r="B3" s="31" t="n"/>
    </row>
    <row r="4" ht="30" customHeight="1">
      <c r="A4" s="32" t="inlineStr">
        <is>
          <t>1</t>
        </is>
      </c>
      <c r="B4" s="33" t="inlineStr">
        <is>
          <t>George: je Konto (Giro, Sparkonto, Kreditkarte) den Umsatz-Export als JSON herunterladen – mehr braucht die Vorlage nicht.</t>
        </is>
      </c>
    </row>
    <row r="5" ht="30" customHeight="1">
      <c r="A5" s="32" t="inlineStr">
        <is>
          <t>2</t>
        </is>
      </c>
      <c r="B5" s="33" t="inlineStr">
        <is>
          <t>„Dateien importieren …“ (Übersicht, Buchungen oder Menüband „Finanzen“) → alle JSON-Dateien markieren → Öffnen. Oder: Dateien in den Ordner „Import“ neben der Mappe ziehen und „Import-Ordner einlesen“ klicken.</t>
        </is>
      </c>
    </row>
    <row r="6" ht="30" customHeight="1">
      <c r="A6" s="32" t="inlineStr">
        <is>
          <t>3</t>
        </is>
      </c>
      <c r="B6" s="33" t="inlineStr">
        <is>
          <t>Konten werden aus dem Export angelegt (Kontobezeichnung + IBAN/Kartennummer) und in der Übersicht eingetragen. Den Typ kannst du dort anpassen.</t>
        </is>
      </c>
    </row>
    <row r="7" ht="15" customHeight="1">
      <c r="A7" s="32" t="inlineStr">
        <is>
          <t>4</t>
        </is>
      </c>
      <c r="B7" s="33" t="inlineStr">
        <is>
          <t>Bereits importierte Buchungen werden erkannt (Spalte „Schlüssel“) – dieselbe Datei mehrfach einlesen ist unschädlich.</t>
        </is>
      </c>
    </row>
    <row r="8" ht="15" customHeight="1">
      <c r="A8" s="32" t="inlineStr">
        <is>
          <t>5</t>
        </is>
      </c>
      <c r="B8" s="33" t="inlineStr">
        <is>
          <t>Nach jedem Import läuft die Abo-Erkennung automatisch über alle Buchungen.</t>
        </is>
      </c>
    </row>
    <row r="10">
      <c r="A10" s="12" t="inlineStr">
        <is>
          <t>Wie Abos erkannt werden</t>
        </is>
      </c>
      <c r="B10" s="31" t="n"/>
    </row>
    <row r="11" ht="45" customHeight="1">
      <c r="A11" s="32" t="inlineStr">
        <is>
          <t>•</t>
        </is>
      </c>
      <c r="B11" s="33" t="inlineStr">
        <is>
          <t>Gleicher Abbucher: Buchungen mit derselben Mandatsreferenz, Gläubiger-ID, IBAN oder demselben Namen werden als Serie betrachtet. Kommen sie in festem Abstand (wöchentlich, monatlich, vierteljährlich, halbjährlich, jährlich – Toleranz in den Einstellungen) und mindestens so oft wie „Mindestanzahl“, ist es eine regelmäßige Zahlung.</t>
        </is>
      </c>
    </row>
    <row r="12" ht="45" customHeight="1">
      <c r="A12" s="32" t="inlineStr">
        <is>
          <t>•</t>
        </is>
      </c>
      <c r="B12" s="33" t="inlineStr">
        <is>
          <t>Fester Betrag → „Abo“ (Lastschrift/Karte), „Dauerauftrag“ (Überweisung) oder „Teilzahlung“ (Stichwort wie Rate/Ratenzahlung/Teilbetrag oder Zähler wie „3/12“ im Text). Schwankender Betrag (Handy, Strom) → „Abo (variabel)“. Preisänderungen (z. B. 10,99 → 11,99) bleiben ein Abo.</t>
        </is>
      </c>
    </row>
    <row r="13" ht="30" customHeight="1">
      <c r="A13" s="32" t="inlineStr">
        <is>
          <t>•</t>
        </is>
      </c>
      <c r="B13" s="33" t="inlineStr">
        <is>
          <t>Mehrere Abos beim selben Anbieter (z. B. zwei Apple-Abos am selben Tag, Jahresabo neben Einzelkäufen) werden über den Betrag getrennt.</t>
        </is>
      </c>
    </row>
    <row r="14" ht="30" customHeight="1">
      <c r="A14" s="32" t="inlineStr">
        <is>
          <t>•</t>
        </is>
      </c>
      <c r="B14" s="33" t="inlineStr">
        <is>
          <t>Gleicher Betrag: Zahlungen mit exakt demselben Betrag in festem Rhythmus (eine je Zeitraum) gelten auch dann als Teilzahlung/Dauerauftrag/Abo, wenn der Empfängertext wechselt.</t>
        </is>
      </c>
    </row>
    <row r="15" ht="30" customHeight="1">
      <c r="A15" s="32" t="inlineStr">
        <is>
          <t>•</t>
        </is>
      </c>
      <c r="B15" s="33" t="inlineStr">
        <is>
          <t>Nie Abos: Umbuchungen zwischen eigenen Konten, Kreditkartenabrechnungen, Bargeldbehebungen, Eingänge, Beträge unter dem Mindestbetrag.</t>
        </is>
      </c>
    </row>
    <row r="16" ht="30" customHeight="1">
      <c r="A16" s="32" t="inlineStr">
        <is>
          <t>•</t>
        </is>
      </c>
      <c r="B16" s="33" t="inlineStr">
        <is>
          <t>Status: aktiv = nächste Zahlung steht noch aus · überfällig = erwartet, aber (laut Datenstand des Kontos) nicht gekommen · beendet = seit mehr als einem Zeitraum nichts mehr · abgeschlossen = letzte Rate (Zähler) erreicht.</t>
        </is>
      </c>
    </row>
    <row r="17" ht="30" customHeight="1">
      <c r="A17" s="32" t="inlineStr">
        <is>
          <t>•</t>
        </is>
      </c>
      <c r="B17" s="33" t="inlineStr">
        <is>
          <t>„pro Monat“ rechnet den Rhythmus um (vierteljährlich ÷ 3, jährlich ÷ 12, wöchentlich × 52 ÷ 12). In der Übersicht zählen nur Zeilen ohne „x“ bei Ignorieren.</t>
        </is>
      </c>
    </row>
    <row r="19">
      <c r="A19" s="12" t="inlineStr">
        <is>
          <t>Eingaben</t>
        </is>
      </c>
      <c r="B19" s="31" t="n"/>
    </row>
    <row r="20" ht="30" customHeight="1">
      <c r="A20" s="32" t="inlineStr">
        <is>
          <t>•</t>
        </is>
      </c>
      <c r="B20" s="33" t="inlineStr">
        <is>
          <t>Blatt Abos: Kategorie und „x“ bei Ignorieren bleiben bei der nächsten Erkennung erhalten (Zuordnung über die Spalte „Schlüssel“).</t>
        </is>
      </c>
    </row>
    <row r="21" ht="15" customHeight="1">
      <c r="A21" s="32" t="inlineStr">
        <is>
          <t>•</t>
        </is>
      </c>
      <c r="B21" s="33" t="inlineStr">
        <is>
          <t>Blatt Buchungen: nur die Notiz ist für Eingaben gedacht; Abo/Art werden von der Erkennung neu gesetzt.</t>
        </is>
      </c>
    </row>
    <row r="22" ht="15" customHeight="1">
      <c r="A22" s="32" t="inlineStr">
        <is>
          <t>•</t>
        </is>
      </c>
      <c r="B22" s="33" t="inlineStr">
        <is>
          <t>Einstellungen: Mindestanzahl, Toleranzen, Mindestbetrag und Stichwörter. Danach „Abos neu erkennen“.</t>
        </is>
      </c>
    </row>
    <row r="24">
      <c r="A24" s="12" t="inlineStr">
        <is>
          <t>Technik</t>
        </is>
      </c>
      <c r="B24" s="31" t="n"/>
    </row>
    <row r="25" ht="30" customHeight="1">
      <c r="A25" s="32" t="inlineStr">
        <is>
          <t>•</t>
        </is>
      </c>
      <c r="B25" s="33" t="inlineStr">
        <is>
          <t>Die Mappe enthält Makros (.xlsm). Beim ersten Öffnen ggf. „Inhalt aktivieren“ bzw. in den Dateieigenschaften „Zulassen“ anklicken.</t>
        </is>
      </c>
    </row>
    <row r="26" ht="15" customHeight="1">
      <c r="A26" s="32" t="inlineStr">
        <is>
          <t>•</t>
        </is>
      </c>
      <c r="B26" s="33" t="inlineStr">
        <is>
          <t>Für Excel unter Windows gebaut (Excel 2019 / Microsoft 365). Die Formeln MINIFS/MAXIFS brauchen Excel 2019 oder neuer.</t>
        </is>
      </c>
    </row>
    <row r="27" ht="15" customHeight="1">
      <c r="A27" s="32" t="inlineStr">
        <is>
          <t>•</t>
        </is>
      </c>
      <c r="B27" s="33" t="inlineStr">
        <is>
          <t>Kontostände sind nicht im George-Export enthalten und werden deshalb nicht geführt.</t>
        </is>
      </c>
    </row>
    <row r="28" ht="15" customHeight="1">
      <c r="A28" s="32" t="inlineStr">
        <is>
          <t>•</t>
        </is>
      </c>
      <c r="B28" s="33" t="inlineStr">
        <is>
          <t>Quelltexte der Makros: Ordner tools/vorlage/vba im Repository bzw. VBA-Module-Vorlage.zip.</t>
        </is>
      </c>
    </row>
  </sheetData>
  <pageMargins left="0.75" right="0.75" top="1" bottom="1" header="0.5" footer="0.5"/>
</worksheet>
</file>

<file path=customUI/customUI14.xml><?xml version="1.0" encoding="utf-8"?>
<customUI xmlns="http://schemas.microsoft.com/office/2009/07/customui">
  <ribbon>
    <tabs>
      <tab id="tabFinanzen" label="Finanzen">
        <group id="grpImport" label="George-Import">
          <button id="btnImport" label="Dateien importieren" size="large" imageMso="FileOpen" onAction="Ribbon_Import" screentip="George-Export(e) auswählen" supertip="JSON-Exporte aus George auswählen (mehrere Dateien möglich: Giro, Sparkonto, Kreditkarte). Danach läuft die Abo-Erkennung automatisch."/>
          <button id="btnOrdner" label="Import-Ordner einlesen" size="large" imageMso="RefreshAll" onAction="Ribbon_Ordner" screentip="Alle Dateien im Import-Ordner einlesen" supertip="Liest alle *.json im Ordner „Import“ neben der Mappe und verschiebt sie danach nach „Import\erledigt“."/>
          <button id="btnOeffnen" label="Import-Ordner öffnen" size="normal" imageMso="FileOpen" onAction="Ribbon_OrdnerOeffnen" screentip="Ordner im Explorer öffnen – Dateien hineinziehen"/>
        </group>
        <group id="grpAbos" label="Abos">
          <button id="btnAbos" label="Abos erkennen" size="large" imageMso="CalculateNow" onAction="Ribbon_Abos" screentip="Abos, Teilzahlungen und Daueraufträge neu erkennen" supertip="Durchsucht alle Buchungen nach gleichen Abbuchern in regelmäßigem Rhythmus und nach gleichen Beträgen jeden Monat. Ergebnis im Blatt „Abos“."/>
        </group>
      </tab>
    </tabs>
  </ribbon>
</customUI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Finanzen-Excel</dc:creator>
  <dc:title xmlns:dc="http://purl.org/dc/elements/1.1/">Finanzen – Vorlage mit Abo-Erkennung</dc:title>
  <dcterms:created xmlns:dcterms="http://purl.org/dc/terms/" xmlns:xsi="http://www.w3.org/2001/XMLSchema-instance" xsi:type="dcterms:W3CDTF">2026-10-13T16:15:37Z</dcterms:created>
  <dcterms:modified xmlns:dcterms="http://purl.org/dc/terms/" xmlns:xsi="http://www.w3.org/2001/XMLSchema-instance" xsi:type="dcterms:W3CDTF">2026-10-13T16:15:37Z</dcterms:modified>
</cp:coreProperties>
</file>